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corrinebarta/Documents/Pipeline/"/>
    </mc:Choice>
  </mc:AlternateContent>
  <xr:revisionPtr revIDLastSave="0" documentId="13_ncr:1_{D6386D8C-00F2-0A4F-9211-D6E9CF996051}" xr6:coauthVersionLast="47" xr6:coauthVersionMax="47" xr10:uidLastSave="{00000000-0000-0000-0000-000000000000}"/>
  <bookViews>
    <workbookView xWindow="0" yWindow="760" windowWidth="34560" windowHeight="19980" tabRatio="988" firstSheet="5" activeTab="18" xr2:uid="{00000000-000D-0000-FFFF-FFFF00000000}"/>
  </bookViews>
  <sheets>
    <sheet name="Summary" sheetId="5" r:id="rId1"/>
    <sheet name="1.0 BaseLay" sheetId="36" r:id="rId2"/>
    <sheet name="2.1" sheetId="6" r:id="rId3"/>
    <sheet name="2.2" sheetId="40" r:id="rId4"/>
    <sheet name="2.3" sheetId="41" r:id="rId5"/>
    <sheet name="2.11" sheetId="95" r:id="rId6"/>
    <sheet name="2.14" sheetId="28" r:id="rId7"/>
    <sheet name="2.18" sheetId="45" r:id="rId8"/>
    <sheet name="2.22" sheetId="71" r:id="rId9"/>
    <sheet name="2.27" sheetId="32" r:id="rId10"/>
    <sheet name="2.29" sheetId="44" r:id="rId11"/>
    <sheet name="2.31" sheetId="17" r:id="rId12"/>
    <sheet name="2.35" sheetId="108" r:id="rId13"/>
    <sheet name="3.2.2-2A" sheetId="39" r:id="rId14"/>
    <sheet name="3.1.2-2A" sheetId="37" r:id="rId15"/>
    <sheet name="4.1" sheetId="4" r:id="rId16"/>
    <sheet name="RFI's" sheetId="53" r:id="rId17"/>
    <sheet name="SI Log" sheetId="54" r:id="rId18"/>
    <sheet name="CO Log" sheetId="52" r:id="rId19"/>
    <sheet name="CO001" sheetId="50" r:id="rId20"/>
    <sheet name="CO002" sheetId="42" r:id="rId21"/>
    <sheet name="CO003" sheetId="7" r:id="rId22"/>
    <sheet name="CO004" sheetId="46" r:id="rId23"/>
    <sheet name="CO005" sheetId="47" r:id="rId24"/>
    <sheet name="CO006" sheetId="65" r:id="rId25"/>
    <sheet name="CO007" sheetId="49" r:id="rId26"/>
    <sheet name="CO009" sheetId="64" r:id="rId27"/>
    <sheet name="CO010" sheetId="63" r:id="rId28"/>
    <sheet name="CO011" sheetId="62" r:id="rId29"/>
    <sheet name="CO012" sheetId="61" r:id="rId30"/>
    <sheet name="CO013" sheetId="60" r:id="rId31"/>
    <sheet name="CO014" sheetId="59" r:id="rId32"/>
    <sheet name="CO015" sheetId="58" r:id="rId33"/>
    <sheet name="CO016" sheetId="55" r:id="rId34"/>
    <sheet name="CO017" sheetId="67" r:id="rId35"/>
    <sheet name="CO018" sheetId="68" r:id="rId36"/>
    <sheet name="CO019" sheetId="69" r:id="rId37"/>
    <sheet name="CO020" sheetId="70" r:id="rId38"/>
    <sheet name="CO021" sheetId="72" r:id="rId39"/>
    <sheet name="CO022" sheetId="73" r:id="rId40"/>
    <sheet name="CO023" sheetId="74" r:id="rId41"/>
    <sheet name="CO024" sheetId="88" r:id="rId42"/>
    <sheet name="CO026UPI" sheetId="66" r:id="rId43"/>
    <sheet name="CO027" sheetId="80" r:id="rId44"/>
    <sheet name="CO028UPI" sheetId="76" r:id="rId45"/>
    <sheet name="CO029" sheetId="75" r:id="rId46"/>
    <sheet name="CO030" sheetId="77" r:id="rId47"/>
    <sheet name="CO031" sheetId="78" r:id="rId48"/>
    <sheet name="CO033" sheetId="79" r:id="rId49"/>
    <sheet name="CO034" sheetId="82" r:id="rId50"/>
    <sheet name="CO035UPI" sheetId="81" r:id="rId51"/>
    <sheet name="CO036UPI" sheetId="83" r:id="rId52"/>
    <sheet name="CO037" sheetId="84" r:id="rId53"/>
    <sheet name="CO038" sheetId="85" r:id="rId54"/>
    <sheet name="CO039" sheetId="86" r:id="rId55"/>
    <sheet name="CO040" sheetId="90" r:id="rId56"/>
    <sheet name="CO041" sheetId="93" r:id="rId57"/>
    <sheet name="CO042UPI" sheetId="89" r:id="rId58"/>
    <sheet name="CO043" sheetId="94" r:id="rId59"/>
    <sheet name="CO044" sheetId="91" r:id="rId60"/>
    <sheet name="CO045" sheetId="92" r:id="rId61"/>
    <sheet name="CO046UPI" sheetId="96" r:id="rId62"/>
    <sheet name="CO047" sheetId="97" r:id="rId63"/>
    <sheet name="CO048" sheetId="98" r:id="rId64"/>
    <sheet name="CO049UPIs" sheetId="99" r:id="rId65"/>
    <sheet name="CO050" sheetId="100" r:id="rId66"/>
    <sheet name="CO051" sheetId="101" r:id="rId67"/>
    <sheet name="CO052" sheetId="102" r:id="rId68"/>
    <sheet name="CO053" sheetId="103" r:id="rId69"/>
    <sheet name="CO054" sheetId="105" r:id="rId70"/>
    <sheet name="CO055" sheetId="106" r:id="rId71"/>
    <sheet name="CO056UPIs" sheetId="109" r:id="rId72"/>
    <sheet name="CO057" sheetId="107" r:id="rId73"/>
    <sheet name="CO058" sheetId="104" r:id="rId74"/>
    <sheet name="Mats" sheetId="56" r:id="rId75"/>
    <sheet name="Standby" sheetId="48" r:id="rId76"/>
  </sheets>
  <definedNames>
    <definedName name="_xlnm.Print_Area" localSheetId="18">'CO Log'!$A$1:$L$72</definedName>
    <definedName name="_xlnm.Print_Area" localSheetId="17">'SI Log'!$A$1:$L$46</definedName>
    <definedName name="_xlnm.Print_Titles" localSheetId="16">'RFI''s'!$1:$5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65" i="52" l="1"/>
  <c r="L10" i="52"/>
  <c r="L11" i="52"/>
  <c r="L12" i="52"/>
  <c r="L13" i="52"/>
  <c r="L69" i="52" s="1"/>
  <c r="L14" i="52"/>
  <c r="L15" i="52"/>
  <c r="L16" i="52"/>
  <c r="L17" i="52"/>
  <c r="L18" i="52"/>
  <c r="L19" i="52"/>
  <c r="L20" i="52"/>
  <c r="L21" i="52"/>
  <c r="L22" i="52"/>
  <c r="L23" i="52"/>
  <c r="L24" i="52"/>
  <c r="L25" i="52"/>
  <c r="L26" i="52"/>
  <c r="L27" i="52"/>
  <c r="L28" i="52"/>
  <c r="L29" i="52"/>
  <c r="L30" i="52"/>
  <c r="L31" i="52"/>
  <c r="L32" i="52"/>
  <c r="L33" i="52"/>
  <c r="L34" i="52"/>
  <c r="L35" i="52"/>
  <c r="L36" i="52"/>
  <c r="L37" i="52"/>
  <c r="L38" i="52"/>
  <c r="L39" i="52"/>
  <c r="L40" i="52"/>
  <c r="L41" i="52"/>
  <c r="L42" i="52"/>
  <c r="L43" i="52"/>
  <c r="L44" i="52"/>
  <c r="L45" i="52"/>
  <c r="L46" i="52"/>
  <c r="L47" i="52"/>
  <c r="L48" i="52"/>
  <c r="L49" i="52"/>
  <c r="L50" i="52"/>
  <c r="L51" i="52"/>
  <c r="L52" i="52"/>
  <c r="L53" i="52"/>
  <c r="L54" i="52"/>
  <c r="L55" i="52"/>
  <c r="R55" i="52" s="1"/>
  <c r="L56" i="52"/>
  <c r="L57" i="52"/>
  <c r="L58" i="52"/>
  <c r="L59" i="52"/>
  <c r="L60" i="52"/>
  <c r="L61" i="52"/>
  <c r="L62" i="52"/>
  <c r="R62" i="52" s="1"/>
  <c r="L63" i="52"/>
  <c r="L64" i="52"/>
  <c r="L66" i="52"/>
  <c r="L67" i="52"/>
  <c r="L68" i="52"/>
  <c r="E422" i="41"/>
  <c r="F422" i="41" s="1"/>
  <c r="A37" i="109"/>
  <c r="F21" i="109"/>
  <c r="F22" i="109"/>
  <c r="F23" i="109"/>
  <c r="F24" i="109"/>
  <c r="F25" i="109"/>
  <c r="F26" i="109"/>
  <c r="F35" i="109" s="1"/>
  <c r="F27" i="109"/>
  <c r="F28" i="109"/>
  <c r="F29" i="109"/>
  <c r="F30" i="109"/>
  <c r="F31" i="109"/>
  <c r="F32" i="109"/>
  <c r="F33" i="109"/>
  <c r="F34" i="109"/>
  <c r="E35" i="109"/>
  <c r="D35" i="109"/>
  <c r="A1" i="109"/>
  <c r="N10" i="52"/>
  <c r="N11" i="52"/>
  <c r="N12" i="52" s="1"/>
  <c r="N13" i="52" s="1"/>
  <c r="N14" i="52" s="1"/>
  <c r="N15" i="52" s="1"/>
  <c r="N16" i="52" s="1"/>
  <c r="N17" i="52" s="1"/>
  <c r="N18" i="52" s="1"/>
  <c r="N19" i="52" s="1"/>
  <c r="N20" i="52" s="1"/>
  <c r="N21" i="52" s="1"/>
  <c r="N22" i="52" s="1"/>
  <c r="N23" i="52" s="1"/>
  <c r="N24" i="52" s="1"/>
  <c r="N25" i="52" s="1"/>
  <c r="N26" i="52" s="1"/>
  <c r="N27" i="52" s="1"/>
  <c r="N28" i="52" s="1"/>
  <c r="N29" i="52" s="1"/>
  <c r="N30" i="52" s="1"/>
  <c r="N31" i="52" s="1"/>
  <c r="N32" i="52" s="1"/>
  <c r="N33" i="52" s="1"/>
  <c r="N34" i="52" s="1"/>
  <c r="N35" i="52" s="1"/>
  <c r="N36" i="52" s="1"/>
  <c r="N37" i="52" s="1"/>
  <c r="N38" i="52" s="1"/>
  <c r="N39" i="52" s="1"/>
  <c r="N40" i="52" s="1"/>
  <c r="N41" i="52" s="1"/>
  <c r="N42" i="52" s="1"/>
  <c r="N43" i="52" s="1"/>
  <c r="N44" i="52" s="1"/>
  <c r="N45" i="52" s="1"/>
  <c r="N46" i="52" s="1"/>
  <c r="N47" i="52" s="1"/>
  <c r="N48" i="52" s="1"/>
  <c r="N49" i="52" s="1"/>
  <c r="N50" i="52" s="1"/>
  <c r="N51" i="52" s="1"/>
  <c r="N52" i="52" s="1"/>
  <c r="N53" i="52" s="1"/>
  <c r="N54" i="52" s="1"/>
  <c r="N55" i="52" s="1"/>
  <c r="N56" i="52" s="1"/>
  <c r="N57" i="52" s="1"/>
  <c r="N58" i="52" s="1"/>
  <c r="N59" i="52" s="1"/>
  <c r="N60" i="52" s="1"/>
  <c r="N61" i="52" s="1"/>
  <c r="N62" i="52" s="1"/>
  <c r="N63" i="52" s="1"/>
  <c r="N64" i="52" s="1"/>
  <c r="N65" i="52" s="1"/>
  <c r="N66" i="52" s="1"/>
  <c r="N67" i="52" s="1"/>
  <c r="N68" i="52" s="1"/>
  <c r="E483" i="50"/>
  <c r="J483" i="50" s="1"/>
  <c r="I483" i="50"/>
  <c r="K483" i="50" s="1"/>
  <c r="E484" i="50"/>
  <c r="I484" i="50"/>
  <c r="K484" i="50" s="1"/>
  <c r="J484" i="50"/>
  <c r="E485" i="50"/>
  <c r="I485" i="50"/>
  <c r="K485" i="50" s="1"/>
  <c r="J485" i="50"/>
  <c r="E486" i="50"/>
  <c r="I486" i="50" s="1"/>
  <c r="E487" i="50"/>
  <c r="I487" i="50" s="1"/>
  <c r="K487" i="50" s="1"/>
  <c r="J487" i="50"/>
  <c r="E488" i="50"/>
  <c r="I488" i="50" s="1"/>
  <c r="E489" i="50"/>
  <c r="I489" i="50" s="1"/>
  <c r="K489" i="50" s="1"/>
  <c r="J489" i="50"/>
  <c r="E490" i="50"/>
  <c r="J490" i="50" s="1"/>
  <c r="I490" i="50"/>
  <c r="K490" i="50" s="1"/>
  <c r="E491" i="50"/>
  <c r="I491" i="50"/>
  <c r="K491" i="50" s="1"/>
  <c r="J491" i="50"/>
  <c r="E492" i="50"/>
  <c r="I492" i="50"/>
  <c r="K492" i="50" s="1"/>
  <c r="J492" i="50"/>
  <c r="E493" i="50"/>
  <c r="I493" i="50" s="1"/>
  <c r="E494" i="50"/>
  <c r="I494" i="50" s="1"/>
  <c r="K494" i="50" s="1"/>
  <c r="J494" i="50"/>
  <c r="E482" i="50"/>
  <c r="J482" i="50" s="1"/>
  <c r="A471" i="50"/>
  <c r="C38" i="108"/>
  <c r="A34" i="108"/>
  <c r="F21" i="108"/>
  <c r="F32" i="108" s="1"/>
  <c r="B16" i="5" s="1"/>
  <c r="F16" i="108"/>
  <c r="A1" i="108"/>
  <c r="E268" i="58"/>
  <c r="E269" i="58"/>
  <c r="E270" i="58"/>
  <c r="E146" i="85"/>
  <c r="E21" i="107"/>
  <c r="E29" i="107"/>
  <c r="E40" i="107" s="1"/>
  <c r="C35" i="107"/>
  <c r="A31" i="107"/>
  <c r="D29" i="107"/>
  <c r="C29" i="107"/>
  <c r="E16" i="107"/>
  <c r="A1" i="107"/>
  <c r="D22" i="5"/>
  <c r="E21" i="106"/>
  <c r="E29" i="106"/>
  <c r="E40" i="106" s="1"/>
  <c r="C35" i="106"/>
  <c r="A31" i="106"/>
  <c r="D29" i="106"/>
  <c r="C29" i="106"/>
  <c r="E16" i="106"/>
  <c r="A1" i="106"/>
  <c r="D21" i="5"/>
  <c r="E22" i="105"/>
  <c r="E29" i="105" s="1"/>
  <c r="E40" i="105" s="1"/>
  <c r="E21" i="105"/>
  <c r="C35" i="105"/>
  <c r="A31" i="105"/>
  <c r="D29" i="105"/>
  <c r="C29" i="105"/>
  <c r="E16" i="105"/>
  <c r="A1" i="105"/>
  <c r="E21" i="104"/>
  <c r="E29" i="104"/>
  <c r="E40" i="104" s="1"/>
  <c r="C35" i="104"/>
  <c r="A31" i="104"/>
  <c r="D29" i="104"/>
  <c r="C29" i="104"/>
  <c r="E16" i="104"/>
  <c r="A1" i="104"/>
  <c r="D20" i="5"/>
  <c r="E21" i="103"/>
  <c r="E29" i="103" s="1"/>
  <c r="E40" i="103" s="1"/>
  <c r="C35" i="103"/>
  <c r="A31" i="103"/>
  <c r="D29" i="103"/>
  <c r="C29" i="103"/>
  <c r="E16" i="103"/>
  <c r="A1" i="103"/>
  <c r="R67" i="52"/>
  <c r="R63" i="52"/>
  <c r="R64" i="52"/>
  <c r="R66" i="52"/>
  <c r="C29" i="102"/>
  <c r="D19" i="5" s="1"/>
  <c r="E21" i="102"/>
  <c r="E29" i="102"/>
  <c r="E40" i="102" s="1"/>
  <c r="C35" i="102"/>
  <c r="A31" i="102"/>
  <c r="D29" i="102"/>
  <c r="E16" i="102"/>
  <c r="A1" i="102"/>
  <c r="W467" i="41"/>
  <c r="W468" i="41"/>
  <c r="W460" i="41"/>
  <c r="W470" i="41" s="1"/>
  <c r="Z470" i="41" s="1"/>
  <c r="W461" i="41"/>
  <c r="W462" i="41"/>
  <c r="W463" i="41"/>
  <c r="W465" i="41"/>
  <c r="W466" i="41"/>
  <c r="AD467" i="41"/>
  <c r="AD468" i="41"/>
  <c r="AD460" i="41"/>
  <c r="AD470" i="41" s="1"/>
  <c r="AG470" i="41" s="1"/>
  <c r="AD461" i="41"/>
  <c r="AD462" i="41"/>
  <c r="AD463" i="41"/>
  <c r="AD465" i="41"/>
  <c r="AD466" i="41"/>
  <c r="P468" i="41"/>
  <c r="P460" i="41"/>
  <c r="P461" i="41"/>
  <c r="P462" i="41"/>
  <c r="P470" i="41" s="1"/>
  <c r="S470" i="41" s="1"/>
  <c r="P463" i="41"/>
  <c r="P464" i="41"/>
  <c r="P465" i="41"/>
  <c r="P466" i="41"/>
  <c r="AD441" i="41"/>
  <c r="AD452" i="41" s="1"/>
  <c r="E419" i="41" s="1"/>
  <c r="F419" i="41" s="1"/>
  <c r="F425" i="41" s="1"/>
  <c r="B8" i="5" s="1"/>
  <c r="AD443" i="41"/>
  <c r="C472" i="41"/>
  <c r="F472" i="41"/>
  <c r="K472" i="41"/>
  <c r="AD444" i="41"/>
  <c r="AD445" i="41"/>
  <c r="AD446" i="41"/>
  <c r="AD447" i="41"/>
  <c r="AD448" i="41"/>
  <c r="AD449" i="41"/>
  <c r="AD450" i="41"/>
  <c r="W444" i="41"/>
  <c r="W445" i="41"/>
  <c r="W446" i="41"/>
  <c r="W447" i="41"/>
  <c r="W448" i="41"/>
  <c r="W449" i="41"/>
  <c r="W452" i="41" s="1"/>
  <c r="E420" i="41" s="1"/>
  <c r="F420" i="41" s="1"/>
  <c r="W450" i="41"/>
  <c r="P441" i="41"/>
  <c r="P442" i="41"/>
  <c r="P439" i="41"/>
  <c r="P440" i="41"/>
  <c r="P452" i="41" s="1"/>
  <c r="E421" i="41" s="1"/>
  <c r="F421" i="41" s="1"/>
  <c r="P443" i="41"/>
  <c r="P444" i="41"/>
  <c r="P445" i="41"/>
  <c r="P448" i="41"/>
  <c r="P449" i="41"/>
  <c r="P450" i="41"/>
  <c r="C454" i="41"/>
  <c r="F454" i="41"/>
  <c r="C152" i="85"/>
  <c r="D16" i="5" s="1"/>
  <c r="C272" i="58"/>
  <c r="D9" i="5" s="1"/>
  <c r="E495" i="50"/>
  <c r="I495" i="50"/>
  <c r="F494" i="50"/>
  <c r="F492" i="50"/>
  <c r="F493" i="50"/>
  <c r="F491" i="50"/>
  <c r="F490" i="50"/>
  <c r="E65" i="101"/>
  <c r="E76" i="101"/>
  <c r="E87" i="101" s="1"/>
  <c r="C82" i="101"/>
  <c r="A78" i="101"/>
  <c r="D76" i="101"/>
  <c r="C76" i="101"/>
  <c r="E60" i="101"/>
  <c r="A45" i="101"/>
  <c r="E62" i="100"/>
  <c r="E70" i="100"/>
  <c r="E81" i="100" s="1"/>
  <c r="C76" i="100"/>
  <c r="A72" i="100"/>
  <c r="D70" i="100"/>
  <c r="C70" i="100"/>
  <c r="E57" i="100"/>
  <c r="A42" i="100"/>
  <c r="E102" i="93"/>
  <c r="E111" i="93" s="1"/>
  <c r="E122" i="93" s="1"/>
  <c r="E104" i="93"/>
  <c r="C117" i="93"/>
  <c r="A113" i="93"/>
  <c r="D111" i="93"/>
  <c r="C111" i="93"/>
  <c r="E98" i="93"/>
  <c r="A83" i="93"/>
  <c r="E139" i="85"/>
  <c r="E187" i="79"/>
  <c r="E199" i="79" s="1"/>
  <c r="E210" i="79" s="1"/>
  <c r="E189" i="79"/>
  <c r="E193" i="79"/>
  <c r="E196" i="79"/>
  <c r="C205" i="79"/>
  <c r="A201" i="79"/>
  <c r="D199" i="79"/>
  <c r="C199" i="79"/>
  <c r="E183" i="79"/>
  <c r="A168" i="79"/>
  <c r="E148" i="88"/>
  <c r="E159" i="88" s="1"/>
  <c r="E170" i="88" s="1"/>
  <c r="E151" i="88"/>
  <c r="E154" i="88"/>
  <c r="E156" i="88"/>
  <c r="C165" i="88"/>
  <c r="A161" i="88"/>
  <c r="D159" i="88"/>
  <c r="C159" i="88"/>
  <c r="E143" i="88"/>
  <c r="A128" i="88"/>
  <c r="E249" i="58"/>
  <c r="E250" i="58"/>
  <c r="E251" i="58"/>
  <c r="E252" i="58"/>
  <c r="E253" i="58"/>
  <c r="E254" i="58"/>
  <c r="E256" i="58"/>
  <c r="E257" i="58"/>
  <c r="E260" i="58"/>
  <c r="E261" i="58"/>
  <c r="E262" i="58"/>
  <c r="E272" i="58" s="1"/>
  <c r="E283" i="58" s="1"/>
  <c r="E263" i="58"/>
  <c r="E264" i="58"/>
  <c r="E265" i="58"/>
  <c r="E266" i="58"/>
  <c r="E267" i="58"/>
  <c r="C278" i="58"/>
  <c r="A274" i="58"/>
  <c r="D272" i="58"/>
  <c r="E245" i="58"/>
  <c r="A230" i="58"/>
  <c r="J495" i="50"/>
  <c r="K495" i="50"/>
  <c r="I503" i="50"/>
  <c r="A499" i="50"/>
  <c r="E496" i="50"/>
  <c r="D496" i="50"/>
  <c r="F495" i="50"/>
  <c r="F489" i="50"/>
  <c r="F488" i="50"/>
  <c r="F487" i="50"/>
  <c r="F486" i="50"/>
  <c r="F485" i="50"/>
  <c r="F484" i="50"/>
  <c r="F483" i="50"/>
  <c r="F482" i="50"/>
  <c r="J480" i="50"/>
  <c r="C188" i="17"/>
  <c r="A184" i="17"/>
  <c r="F171" i="17"/>
  <c r="F182" i="17" s="1"/>
  <c r="F172" i="17"/>
  <c r="Q179" i="17"/>
  <c r="P179" i="17"/>
  <c r="F166" i="17"/>
  <c r="A151" i="17"/>
  <c r="C263" i="44"/>
  <c r="A259" i="44"/>
  <c r="F252" i="44"/>
  <c r="F253" i="44"/>
  <c r="F257" i="44"/>
  <c r="L253" i="44"/>
  <c r="F247" i="44"/>
  <c r="A232" i="44"/>
  <c r="C143" i="28"/>
  <c r="A139" i="28"/>
  <c r="F129" i="28"/>
  <c r="F130" i="28"/>
  <c r="F137" i="28" s="1"/>
  <c r="E135" i="28"/>
  <c r="F124" i="28"/>
  <c r="A109" i="28"/>
  <c r="P392" i="41"/>
  <c r="P393" i="41"/>
  <c r="P396" i="41"/>
  <c r="E375" i="41" s="1"/>
  <c r="F375" i="41" s="1"/>
  <c r="C430" i="41"/>
  <c r="A427" i="41"/>
  <c r="F414" i="41"/>
  <c r="A399" i="41"/>
  <c r="I457" i="36"/>
  <c r="A452" i="36"/>
  <c r="E435" i="36"/>
  <c r="J435" i="36" s="1"/>
  <c r="I435" i="36"/>
  <c r="E436" i="36"/>
  <c r="I436" i="36"/>
  <c r="K436" i="36" s="1"/>
  <c r="J436" i="36"/>
  <c r="E437" i="36"/>
  <c r="E449" i="36" s="1"/>
  <c r="E438" i="36"/>
  <c r="J438" i="36" s="1"/>
  <c r="K438" i="36" s="1"/>
  <c r="I438" i="36"/>
  <c r="E439" i="36"/>
  <c r="J439" i="36" s="1"/>
  <c r="K439" i="36" s="1"/>
  <c r="I439" i="36"/>
  <c r="E440" i="36"/>
  <c r="I440" i="36" s="1"/>
  <c r="K440" i="36" s="1"/>
  <c r="J440" i="36"/>
  <c r="E441" i="36"/>
  <c r="J441" i="36" s="1"/>
  <c r="I441" i="36"/>
  <c r="K441" i="36" s="1"/>
  <c r="E442" i="36"/>
  <c r="I442" i="36"/>
  <c r="K442" i="36" s="1"/>
  <c r="J442" i="36"/>
  <c r="E443" i="36"/>
  <c r="I443" i="36"/>
  <c r="K443" i="36" s="1"/>
  <c r="J443" i="36"/>
  <c r="E444" i="36"/>
  <c r="I444" i="36" s="1"/>
  <c r="E445" i="36"/>
  <c r="J445" i="36" s="1"/>
  <c r="K445" i="36" s="1"/>
  <c r="I445" i="36"/>
  <c r="E446" i="36"/>
  <c r="J446" i="36" s="1"/>
  <c r="K446" i="36" s="1"/>
  <c r="I446" i="36"/>
  <c r="E447" i="36"/>
  <c r="I447" i="36" s="1"/>
  <c r="K447" i="36" s="1"/>
  <c r="J447" i="36"/>
  <c r="E448" i="36"/>
  <c r="J448" i="36" s="1"/>
  <c r="I448" i="36"/>
  <c r="D449" i="36"/>
  <c r="F448" i="36"/>
  <c r="F447" i="36"/>
  <c r="S447" i="36" s="1"/>
  <c r="F446" i="36"/>
  <c r="S446" i="36" s="1"/>
  <c r="Q446" i="36"/>
  <c r="F445" i="36"/>
  <c r="S445" i="36" s="1"/>
  <c r="Q445" i="36"/>
  <c r="F444" i="36"/>
  <c r="S444" i="36"/>
  <c r="Q444" i="36"/>
  <c r="F443" i="36"/>
  <c r="S443" i="36" s="1"/>
  <c r="Q443" i="36"/>
  <c r="F442" i="36"/>
  <c r="S442" i="36" s="1"/>
  <c r="Q442" i="36"/>
  <c r="F441" i="36"/>
  <c r="S441" i="36"/>
  <c r="Q441" i="36"/>
  <c r="F440" i="36"/>
  <c r="S440" i="36"/>
  <c r="Q440" i="36"/>
  <c r="F439" i="36"/>
  <c r="S439" i="36" s="1"/>
  <c r="Q439" i="36"/>
  <c r="F438" i="36"/>
  <c r="S438" i="36"/>
  <c r="Q438" i="36"/>
  <c r="F437" i="36"/>
  <c r="F436" i="36"/>
  <c r="F435" i="36"/>
  <c r="J433" i="36"/>
  <c r="A424" i="36"/>
  <c r="E617" i="40"/>
  <c r="E618" i="40"/>
  <c r="E619" i="40"/>
  <c r="E620" i="40"/>
  <c r="E621" i="40"/>
  <c r="E622" i="40"/>
  <c r="E623" i="40"/>
  <c r="P47" i="52"/>
  <c r="E21" i="101"/>
  <c r="E32" i="101" s="1"/>
  <c r="E43" i="101" s="1"/>
  <c r="C38" i="101"/>
  <c r="A34" i="101"/>
  <c r="D32" i="101"/>
  <c r="C32" i="101"/>
  <c r="A1" i="101"/>
  <c r="R59" i="52"/>
  <c r="R60" i="52"/>
  <c r="R61" i="52"/>
  <c r="R65" i="52"/>
  <c r="H451" i="50"/>
  <c r="E451" i="50"/>
  <c r="I451" i="50" s="1"/>
  <c r="K451" i="50" s="1"/>
  <c r="H452" i="50"/>
  <c r="I452" i="50" s="1"/>
  <c r="K452" i="50" s="1"/>
  <c r="E452" i="50"/>
  <c r="H453" i="50"/>
  <c r="F453" i="50" s="1"/>
  <c r="E453" i="50"/>
  <c r="H454" i="50"/>
  <c r="E454" i="50"/>
  <c r="I454" i="50"/>
  <c r="K454" i="50" s="1"/>
  <c r="H455" i="50"/>
  <c r="I455" i="50" s="1"/>
  <c r="K455" i="50" s="1"/>
  <c r="E455" i="50"/>
  <c r="E443" i="50"/>
  <c r="I443" i="50" s="1"/>
  <c r="E444" i="50"/>
  <c r="I444" i="50"/>
  <c r="K444" i="50" s="1"/>
  <c r="E445" i="50"/>
  <c r="I445" i="50"/>
  <c r="K445" i="50" s="1"/>
  <c r="E446" i="50"/>
  <c r="I446" i="50" s="1"/>
  <c r="K446" i="50" s="1"/>
  <c r="E447" i="50"/>
  <c r="I447" i="50" s="1"/>
  <c r="K447" i="50" s="1"/>
  <c r="E448" i="50"/>
  <c r="I448" i="50" s="1"/>
  <c r="K448" i="50" s="1"/>
  <c r="E449" i="50"/>
  <c r="I449" i="50" s="1"/>
  <c r="K449" i="50" s="1"/>
  <c r="E450" i="50"/>
  <c r="I450" i="50" s="1"/>
  <c r="K450" i="50" s="1"/>
  <c r="E456" i="50"/>
  <c r="J456" i="50" s="1"/>
  <c r="I456" i="50"/>
  <c r="C217" i="58"/>
  <c r="D155" i="79"/>
  <c r="C155" i="79"/>
  <c r="E21" i="100"/>
  <c r="E29" i="100" s="1"/>
  <c r="E40" i="100" s="1"/>
  <c r="C35" i="100"/>
  <c r="A31" i="100"/>
  <c r="D29" i="100"/>
  <c r="C29" i="100"/>
  <c r="A1" i="100"/>
  <c r="F219" i="44"/>
  <c r="F224" i="44"/>
  <c r="F373" i="41"/>
  <c r="F379" i="41" s="1"/>
  <c r="F374" i="41"/>
  <c r="C397" i="41"/>
  <c r="F397" i="41"/>
  <c r="E376" i="41" s="1"/>
  <c r="F376" i="41" s="1"/>
  <c r="A37" i="99"/>
  <c r="F21" i="99"/>
  <c r="F22" i="99"/>
  <c r="F23" i="99"/>
  <c r="F35" i="99" s="1"/>
  <c r="F24" i="99"/>
  <c r="F25" i="99"/>
  <c r="F26" i="99"/>
  <c r="F27" i="99"/>
  <c r="F28" i="99"/>
  <c r="F29" i="99"/>
  <c r="F30" i="99"/>
  <c r="F31" i="99"/>
  <c r="F32" i="99"/>
  <c r="F33" i="99"/>
  <c r="F34" i="99"/>
  <c r="E35" i="99"/>
  <c r="D35" i="99"/>
  <c r="A1" i="99"/>
  <c r="E208" i="58"/>
  <c r="E209" i="58"/>
  <c r="E210" i="58"/>
  <c r="E211" i="58"/>
  <c r="E212" i="58"/>
  <c r="E213" i="58"/>
  <c r="E214" i="58"/>
  <c r="E215" i="58"/>
  <c r="E107" i="88"/>
  <c r="E112" i="88"/>
  <c r="E63" i="69"/>
  <c r="L94" i="28"/>
  <c r="E94" i="28"/>
  <c r="L93" i="28"/>
  <c r="E93" i="28" s="1"/>
  <c r="F94" i="28"/>
  <c r="C115" i="88"/>
  <c r="I409" i="36"/>
  <c r="E63" i="93"/>
  <c r="C70" i="93"/>
  <c r="I410" i="36"/>
  <c r="K410" i="36" s="1"/>
  <c r="E61" i="98"/>
  <c r="E70" i="98" s="1"/>
  <c r="E81" i="98" s="1"/>
  <c r="C76" i="98"/>
  <c r="A72" i="98"/>
  <c r="D70" i="98"/>
  <c r="C70" i="98"/>
  <c r="E57" i="98"/>
  <c r="A42" i="98"/>
  <c r="E61" i="97"/>
  <c r="E70" i="97"/>
  <c r="E81" i="97" s="1"/>
  <c r="C76" i="97"/>
  <c r="A72" i="97"/>
  <c r="D70" i="97"/>
  <c r="C70" i="97"/>
  <c r="E57" i="97"/>
  <c r="A42" i="97"/>
  <c r="E102" i="92"/>
  <c r="E104" i="92"/>
  <c r="E111" i="92" s="1"/>
  <c r="E122" i="92" s="1"/>
  <c r="C117" i="92"/>
  <c r="A113" i="92"/>
  <c r="D111" i="92"/>
  <c r="C111" i="92"/>
  <c r="E98" i="92"/>
  <c r="A83" i="92"/>
  <c r="E102" i="91"/>
  <c r="E111" i="91" s="1"/>
  <c r="E122" i="91" s="1"/>
  <c r="E104" i="91"/>
  <c r="C117" i="91"/>
  <c r="A113" i="91"/>
  <c r="D111" i="91"/>
  <c r="C111" i="91"/>
  <c r="E98" i="91"/>
  <c r="A83" i="91"/>
  <c r="E102" i="94"/>
  <c r="E111" i="94" s="1"/>
  <c r="E122" i="94" s="1"/>
  <c r="E104" i="94"/>
  <c r="C117" i="94"/>
  <c r="A113" i="94"/>
  <c r="D111" i="94"/>
  <c r="C111" i="94"/>
  <c r="E98" i="94"/>
  <c r="A83" i="94"/>
  <c r="E143" i="85"/>
  <c r="E152" i="85" s="1"/>
  <c r="E163" i="85" s="1"/>
  <c r="E144" i="85"/>
  <c r="E145" i="85"/>
  <c r="C158" i="85"/>
  <c r="A154" i="85"/>
  <c r="D152" i="85"/>
  <c r="A124" i="85"/>
  <c r="E152" i="79"/>
  <c r="E143" i="79"/>
  <c r="E155" i="79" s="1"/>
  <c r="E166" i="79" s="1"/>
  <c r="E145" i="79"/>
  <c r="E149" i="79"/>
  <c r="C161" i="79"/>
  <c r="A157" i="79"/>
  <c r="A124" i="79"/>
  <c r="E192" i="77"/>
  <c r="E184" i="77"/>
  <c r="E186" i="77"/>
  <c r="E188" i="77"/>
  <c r="E190" i="77"/>
  <c r="E195" i="77"/>
  <c r="E206" i="77" s="1"/>
  <c r="C201" i="77"/>
  <c r="A197" i="77"/>
  <c r="D195" i="77"/>
  <c r="C195" i="77"/>
  <c r="E180" i="77"/>
  <c r="A165" i="77"/>
  <c r="E104" i="88"/>
  <c r="E110" i="88"/>
  <c r="E115" i="88"/>
  <c r="E126" i="88" s="1"/>
  <c r="C121" i="88"/>
  <c r="A117" i="88"/>
  <c r="D115" i="88"/>
  <c r="A84" i="88"/>
  <c r="E197" i="58"/>
  <c r="E198" i="58"/>
  <c r="E217" i="58" s="1"/>
  <c r="E228" i="58" s="1"/>
  <c r="E199" i="58"/>
  <c r="E200" i="58"/>
  <c r="E201" i="58"/>
  <c r="E202" i="58"/>
  <c r="E204" i="58"/>
  <c r="E205" i="58"/>
  <c r="C223" i="58"/>
  <c r="A219" i="58"/>
  <c r="D217" i="58"/>
  <c r="A178" i="58"/>
  <c r="I464" i="50"/>
  <c r="A460" i="50"/>
  <c r="D457" i="50"/>
  <c r="F456" i="50"/>
  <c r="F455" i="50"/>
  <c r="F454" i="50"/>
  <c r="F452" i="50"/>
  <c r="F451" i="50"/>
  <c r="F450" i="50"/>
  <c r="F449" i="50"/>
  <c r="F448" i="50"/>
  <c r="F447" i="50"/>
  <c r="F446" i="50"/>
  <c r="F445" i="50"/>
  <c r="F444" i="50"/>
  <c r="F443" i="50"/>
  <c r="A432" i="50"/>
  <c r="C230" i="44"/>
  <c r="A226" i="44"/>
  <c r="F220" i="44"/>
  <c r="L220" i="44"/>
  <c r="A199" i="44"/>
  <c r="C61" i="95"/>
  <c r="A57" i="95"/>
  <c r="E55" i="95"/>
  <c r="E47" i="95"/>
  <c r="A32" i="95"/>
  <c r="W396" i="41"/>
  <c r="C384" i="41"/>
  <c r="A381" i="41"/>
  <c r="A353" i="41"/>
  <c r="C343" i="41"/>
  <c r="F343" i="41"/>
  <c r="E302" i="41" s="1"/>
  <c r="F302" i="41" s="1"/>
  <c r="F305" i="41" s="1"/>
  <c r="C351" i="41"/>
  <c r="F351" i="41"/>
  <c r="C600" i="40"/>
  <c r="A596" i="40"/>
  <c r="F586" i="40"/>
  <c r="A571" i="40"/>
  <c r="I422" i="36"/>
  <c r="A417" i="36"/>
  <c r="E400" i="36"/>
  <c r="I400" i="36" s="1"/>
  <c r="J400" i="36"/>
  <c r="E401" i="36"/>
  <c r="I401" i="36" s="1"/>
  <c r="E402" i="36"/>
  <c r="I402" i="36" s="1"/>
  <c r="E403" i="36"/>
  <c r="I403" i="36"/>
  <c r="K403" i="36" s="1"/>
  <c r="J403" i="36"/>
  <c r="E404" i="36"/>
  <c r="I404" i="36" s="1"/>
  <c r="K404" i="36" s="1"/>
  <c r="J404" i="36"/>
  <c r="E405" i="36"/>
  <c r="I405" i="36" s="1"/>
  <c r="K405" i="36" s="1"/>
  <c r="J405" i="36"/>
  <c r="E406" i="36"/>
  <c r="J406" i="36" s="1"/>
  <c r="I406" i="36"/>
  <c r="E407" i="36"/>
  <c r="I407" i="36" s="1"/>
  <c r="K407" i="36" s="1"/>
  <c r="J407" i="36"/>
  <c r="E408" i="36"/>
  <c r="I408" i="36" s="1"/>
  <c r="E409" i="36"/>
  <c r="J409" i="36"/>
  <c r="K409" i="36" s="1"/>
  <c r="E410" i="36"/>
  <c r="J410" i="36"/>
  <c r="E411" i="36"/>
  <c r="I411" i="36" s="1"/>
  <c r="E412" i="36"/>
  <c r="J412" i="36" s="1"/>
  <c r="E413" i="36"/>
  <c r="J413" i="36" s="1"/>
  <c r="K413" i="36" s="1"/>
  <c r="I413" i="36"/>
  <c r="D414" i="36"/>
  <c r="F413" i="36"/>
  <c r="F412" i="36"/>
  <c r="S412" i="36" s="1"/>
  <c r="F411" i="36"/>
  <c r="S411" i="36" s="1"/>
  <c r="Q411" i="36"/>
  <c r="F410" i="36"/>
  <c r="S410" i="36"/>
  <c r="Q410" i="36"/>
  <c r="F409" i="36"/>
  <c r="S409" i="36" s="1"/>
  <c r="Q409" i="36"/>
  <c r="F408" i="36"/>
  <c r="S408" i="36" s="1"/>
  <c r="Q408" i="36"/>
  <c r="F407" i="36"/>
  <c r="S407" i="36" s="1"/>
  <c r="Q407" i="36"/>
  <c r="F406" i="36"/>
  <c r="S406" i="36"/>
  <c r="Q406" i="36"/>
  <c r="F405" i="36"/>
  <c r="S405" i="36" s="1"/>
  <c r="Q405" i="36"/>
  <c r="F404" i="36"/>
  <c r="S404" i="36" s="1"/>
  <c r="Q404" i="36"/>
  <c r="F403" i="36"/>
  <c r="S403" i="36"/>
  <c r="Q403" i="36"/>
  <c r="F402" i="36"/>
  <c r="F401" i="36"/>
  <c r="F400" i="36"/>
  <c r="A389" i="36"/>
  <c r="I374" i="36"/>
  <c r="R42" i="52"/>
  <c r="T42" i="52"/>
  <c r="R47" i="52"/>
  <c r="T47" i="52" s="1"/>
  <c r="R52" i="52"/>
  <c r="T52" i="52" s="1"/>
  <c r="R54" i="52"/>
  <c r="T54" i="52" s="1"/>
  <c r="E20" i="98"/>
  <c r="E29" i="98"/>
  <c r="E40" i="98" s="1"/>
  <c r="C35" i="98"/>
  <c r="A31" i="98"/>
  <c r="D29" i="98"/>
  <c r="C29" i="98"/>
  <c r="A1" i="98"/>
  <c r="E20" i="97"/>
  <c r="E29" i="97" s="1"/>
  <c r="E40" i="97" s="1"/>
  <c r="C35" i="97"/>
  <c r="A31" i="97"/>
  <c r="D29" i="97"/>
  <c r="C29" i="97"/>
  <c r="A1" i="97"/>
  <c r="E69" i="88"/>
  <c r="E71" i="88" s="1"/>
  <c r="E82" i="88" s="1"/>
  <c r="A37" i="96"/>
  <c r="F21" i="96"/>
  <c r="F24" i="96"/>
  <c r="F22" i="96"/>
  <c r="F35" i="96" s="1"/>
  <c r="F23" i="96"/>
  <c r="F25" i="96"/>
  <c r="F26" i="96"/>
  <c r="F27" i="96"/>
  <c r="F28" i="96"/>
  <c r="F29" i="96"/>
  <c r="F30" i="96"/>
  <c r="F31" i="96"/>
  <c r="F32" i="96"/>
  <c r="F33" i="96"/>
  <c r="F34" i="96"/>
  <c r="E35" i="96"/>
  <c r="D35" i="96"/>
  <c r="A1" i="96"/>
  <c r="E161" i="58"/>
  <c r="E162" i="58"/>
  <c r="E160" i="58"/>
  <c r="E63" i="91"/>
  <c r="E63" i="92"/>
  <c r="E104" i="85"/>
  <c r="E63" i="94"/>
  <c r="E102" i="79"/>
  <c r="E108" i="79"/>
  <c r="AH49" i="56"/>
  <c r="AH48" i="56"/>
  <c r="E149" i="77"/>
  <c r="V342" i="41"/>
  <c r="V350" i="41" s="1"/>
  <c r="N342" i="41"/>
  <c r="N350" i="41" s="1"/>
  <c r="E560" i="40"/>
  <c r="I561" i="40" s="1"/>
  <c r="E561" i="40"/>
  <c r="E565" i="40"/>
  <c r="I565" i="40" s="1"/>
  <c r="E563" i="40"/>
  <c r="I564" i="40" s="1"/>
  <c r="E564" i="40"/>
  <c r="E557" i="40"/>
  <c r="I559" i="40" s="1"/>
  <c r="E558" i="40"/>
  <c r="E569" i="40" s="1"/>
  <c r="E543" i="40" s="1"/>
  <c r="F543" i="40" s="1"/>
  <c r="F545" i="40" s="1"/>
  <c r="E559" i="40"/>
  <c r="F627" i="40"/>
  <c r="E606" i="40"/>
  <c r="E607" i="40"/>
  <c r="E627" i="40" s="1"/>
  <c r="E592" i="40" s="1"/>
  <c r="F592" i="40" s="1"/>
  <c r="F594" i="40" s="1"/>
  <c r="E608" i="40"/>
  <c r="E609" i="40"/>
  <c r="E610" i="40"/>
  <c r="E611" i="40"/>
  <c r="E612" i="40"/>
  <c r="E613" i="40"/>
  <c r="E614" i="40"/>
  <c r="E615" i="40"/>
  <c r="E616" i="40"/>
  <c r="E624" i="40"/>
  <c r="E625" i="40"/>
  <c r="Q376" i="36"/>
  <c r="C70" i="92"/>
  <c r="C70" i="91"/>
  <c r="C70" i="94"/>
  <c r="C111" i="85"/>
  <c r="C111" i="79"/>
  <c r="C152" i="77"/>
  <c r="C71" i="88"/>
  <c r="C165" i="58"/>
  <c r="H412" i="50"/>
  <c r="E412" i="50"/>
  <c r="I412" i="50"/>
  <c r="K412" i="50" s="1"/>
  <c r="H415" i="50"/>
  <c r="E415" i="50"/>
  <c r="I415" i="50"/>
  <c r="K415" i="50" s="1"/>
  <c r="H413" i="50"/>
  <c r="F413" i="50" s="1"/>
  <c r="E413" i="50"/>
  <c r="I413" i="50"/>
  <c r="H414" i="50"/>
  <c r="I414" i="50" s="1"/>
  <c r="K414" i="50" s="1"/>
  <c r="E414" i="50"/>
  <c r="E404" i="50"/>
  <c r="I404" i="50" s="1"/>
  <c r="E405" i="50"/>
  <c r="I405" i="50"/>
  <c r="E406" i="50"/>
  <c r="I406" i="50" s="1"/>
  <c r="K406" i="50" s="1"/>
  <c r="E407" i="50"/>
  <c r="I407" i="50"/>
  <c r="E408" i="50"/>
  <c r="I408" i="50"/>
  <c r="E409" i="50"/>
  <c r="I409" i="50" s="1"/>
  <c r="K409" i="50" s="1"/>
  <c r="E410" i="50"/>
  <c r="I410" i="50" s="1"/>
  <c r="K410" i="50" s="1"/>
  <c r="E411" i="50"/>
  <c r="I411" i="50" s="1"/>
  <c r="K411" i="50" s="1"/>
  <c r="E416" i="50"/>
  <c r="I416" i="50"/>
  <c r="K416" i="50" s="1"/>
  <c r="E417" i="50"/>
  <c r="J417" i="50" s="1"/>
  <c r="J418" i="50" s="1"/>
  <c r="E562" i="40"/>
  <c r="E566" i="40"/>
  <c r="E567" i="40"/>
  <c r="F299" i="41"/>
  <c r="F300" i="41"/>
  <c r="F301" i="41"/>
  <c r="F186" i="44"/>
  <c r="F191" i="44" s="1"/>
  <c r="E230" i="6"/>
  <c r="B6" i="5" s="1"/>
  <c r="B45" i="5" s="1"/>
  <c r="D5" i="5" s="1"/>
  <c r="D45" i="5" s="1"/>
  <c r="I376" i="36"/>
  <c r="K376" i="36" s="1"/>
  <c r="E61" i="92"/>
  <c r="E70" i="92" s="1"/>
  <c r="E81" i="92" s="1"/>
  <c r="C76" i="92"/>
  <c r="A72" i="92"/>
  <c r="D70" i="92"/>
  <c r="A42" i="92"/>
  <c r="E61" i="91"/>
  <c r="E70" i="91"/>
  <c r="E81" i="91" s="1"/>
  <c r="C76" i="91"/>
  <c r="A72" i="91"/>
  <c r="D70" i="91"/>
  <c r="A42" i="91"/>
  <c r="E61" i="94"/>
  <c r="E70" i="94" s="1"/>
  <c r="E81" i="94" s="1"/>
  <c r="C76" i="94"/>
  <c r="A72" i="94"/>
  <c r="D70" i="94"/>
  <c r="A42" i="94"/>
  <c r="E61" i="93"/>
  <c r="E70" i="93"/>
  <c r="E81" i="93" s="1"/>
  <c r="C76" i="93"/>
  <c r="A72" i="93"/>
  <c r="D70" i="93"/>
  <c r="A42" i="93"/>
  <c r="E61" i="90"/>
  <c r="E70" i="90" s="1"/>
  <c r="E81" i="90" s="1"/>
  <c r="C76" i="90"/>
  <c r="A72" i="90"/>
  <c r="D70" i="90"/>
  <c r="C70" i="90"/>
  <c r="E57" i="90"/>
  <c r="A42" i="90"/>
  <c r="E102" i="85"/>
  <c r="E103" i="85"/>
  <c r="E111" i="85"/>
  <c r="E122" i="85" s="1"/>
  <c r="C117" i="85"/>
  <c r="A113" i="85"/>
  <c r="D111" i="85"/>
  <c r="A83" i="85"/>
  <c r="E104" i="79"/>
  <c r="E111" i="79"/>
  <c r="E122" i="79" s="1"/>
  <c r="C117" i="79"/>
  <c r="A113" i="79"/>
  <c r="D111" i="79"/>
  <c r="A83" i="79"/>
  <c r="E143" i="77"/>
  <c r="E145" i="77"/>
  <c r="E152" i="77" s="1"/>
  <c r="E163" i="77" s="1"/>
  <c r="E147" i="77"/>
  <c r="C158" i="77"/>
  <c r="A154" i="77"/>
  <c r="D152" i="77"/>
  <c r="A124" i="77"/>
  <c r="E62" i="88"/>
  <c r="E65" i="88"/>
  <c r="C77" i="88"/>
  <c r="A73" i="88"/>
  <c r="D71" i="88"/>
  <c r="A42" i="88"/>
  <c r="E102" i="74"/>
  <c r="E103" i="74"/>
  <c r="E111" i="74" s="1"/>
  <c r="E122" i="74" s="1"/>
  <c r="C117" i="74"/>
  <c r="A113" i="74"/>
  <c r="D111" i="74"/>
  <c r="C111" i="74"/>
  <c r="E98" i="74"/>
  <c r="A83" i="74"/>
  <c r="E149" i="58"/>
  <c r="E165" i="58" s="1"/>
  <c r="E176" i="58" s="1"/>
  <c r="E150" i="58"/>
  <c r="E151" i="58"/>
  <c r="E152" i="58"/>
  <c r="E153" i="58"/>
  <c r="E154" i="58"/>
  <c r="E156" i="58"/>
  <c r="E157" i="58"/>
  <c r="C171" i="58"/>
  <c r="A167" i="58"/>
  <c r="D165" i="58"/>
  <c r="A130" i="58"/>
  <c r="E143" i="64"/>
  <c r="E152" i="64" s="1"/>
  <c r="E163" i="64" s="1"/>
  <c r="E145" i="64"/>
  <c r="E147" i="64"/>
  <c r="C158" i="64"/>
  <c r="A154" i="64"/>
  <c r="D152" i="64"/>
  <c r="C152" i="64"/>
  <c r="E139" i="64"/>
  <c r="A124" i="64"/>
  <c r="K405" i="50"/>
  <c r="K407" i="50"/>
  <c r="K408" i="50"/>
  <c r="K413" i="50"/>
  <c r="I425" i="50"/>
  <c r="A421" i="50"/>
  <c r="D418" i="50"/>
  <c r="F417" i="50"/>
  <c r="F416" i="50"/>
  <c r="F415" i="50"/>
  <c r="F414" i="50"/>
  <c r="F412" i="50"/>
  <c r="F411" i="50"/>
  <c r="F410" i="50"/>
  <c r="F409" i="50"/>
  <c r="F408" i="50"/>
  <c r="F407" i="50"/>
  <c r="F406" i="50"/>
  <c r="F405" i="50"/>
  <c r="F404" i="50"/>
  <c r="A393" i="50"/>
  <c r="C197" i="44"/>
  <c r="A193" i="44"/>
  <c r="F187" i="44"/>
  <c r="L187" i="44"/>
  <c r="A166" i="44"/>
  <c r="C551" i="40"/>
  <c r="A547" i="40"/>
  <c r="A522" i="40"/>
  <c r="I387" i="36"/>
  <c r="A382" i="36"/>
  <c r="E365" i="36"/>
  <c r="I365" i="36"/>
  <c r="J365" i="36"/>
  <c r="E366" i="36"/>
  <c r="E379" i="36" s="1"/>
  <c r="E367" i="36"/>
  <c r="I367" i="36" s="1"/>
  <c r="E368" i="36"/>
  <c r="I368" i="36" s="1"/>
  <c r="E369" i="36"/>
  <c r="I369" i="36"/>
  <c r="J369" i="36"/>
  <c r="K369" i="36" s="1"/>
  <c r="E370" i="36"/>
  <c r="I370" i="36" s="1"/>
  <c r="K370" i="36" s="1"/>
  <c r="J370" i="36"/>
  <c r="E371" i="36"/>
  <c r="I371" i="36"/>
  <c r="K371" i="36" s="1"/>
  <c r="J371" i="36"/>
  <c r="E372" i="36"/>
  <c r="I372" i="36"/>
  <c r="K372" i="36" s="1"/>
  <c r="J372" i="36"/>
  <c r="E373" i="36"/>
  <c r="I373" i="36" s="1"/>
  <c r="E374" i="36"/>
  <c r="J374" i="36"/>
  <c r="K374" i="36" s="1"/>
  <c r="E375" i="36"/>
  <c r="I375" i="36"/>
  <c r="K375" i="36" s="1"/>
  <c r="J375" i="36"/>
  <c r="E376" i="36"/>
  <c r="J376" i="36"/>
  <c r="E377" i="36"/>
  <c r="I377" i="36"/>
  <c r="K377" i="36" s="1"/>
  <c r="J377" i="36"/>
  <c r="E378" i="36"/>
  <c r="I378" i="36"/>
  <c r="K378" i="36" s="1"/>
  <c r="J378" i="36"/>
  <c r="D379" i="36"/>
  <c r="F378" i="36"/>
  <c r="F377" i="36"/>
  <c r="S377" i="36"/>
  <c r="F376" i="36"/>
  <c r="S376" i="36" s="1"/>
  <c r="F375" i="36"/>
  <c r="S375" i="36" s="1"/>
  <c r="Q375" i="36"/>
  <c r="F374" i="36"/>
  <c r="S374" i="36"/>
  <c r="Q374" i="36"/>
  <c r="F373" i="36"/>
  <c r="S373" i="36" s="1"/>
  <c r="Q373" i="36"/>
  <c r="F372" i="36"/>
  <c r="S372" i="36" s="1"/>
  <c r="Q372" i="36"/>
  <c r="F371" i="36"/>
  <c r="S371" i="36" s="1"/>
  <c r="Q371" i="36"/>
  <c r="F370" i="36"/>
  <c r="S370" i="36"/>
  <c r="Q370" i="36"/>
  <c r="F369" i="36"/>
  <c r="S369" i="36"/>
  <c r="Q369" i="36"/>
  <c r="F368" i="36"/>
  <c r="S368" i="36" s="1"/>
  <c r="Q368" i="36"/>
  <c r="F367" i="36"/>
  <c r="F366" i="36"/>
  <c r="F365" i="36"/>
  <c r="A354" i="36"/>
  <c r="L21" i="95"/>
  <c r="C30" i="95"/>
  <c r="A26" i="95"/>
  <c r="E24" i="95"/>
  <c r="A1" i="95"/>
  <c r="R18" i="52"/>
  <c r="R39" i="52"/>
  <c r="R10" i="52"/>
  <c r="R11" i="52"/>
  <c r="R56" i="52"/>
  <c r="R57" i="52"/>
  <c r="R58" i="52"/>
  <c r="R68" i="52"/>
  <c r="R53" i="52"/>
  <c r="H373" i="50"/>
  <c r="E373" i="50"/>
  <c r="I373" i="50"/>
  <c r="K373" i="50" s="1"/>
  <c r="H374" i="50"/>
  <c r="E374" i="50"/>
  <c r="I374" i="50"/>
  <c r="H375" i="50"/>
  <c r="I375" i="50" s="1"/>
  <c r="K375" i="50" s="1"/>
  <c r="E375" i="50"/>
  <c r="H376" i="50"/>
  <c r="I376" i="50" s="1"/>
  <c r="K376" i="50" s="1"/>
  <c r="E376" i="50"/>
  <c r="E365" i="50"/>
  <c r="I365" i="50" s="1"/>
  <c r="E366" i="50"/>
  <c r="I366" i="50" s="1"/>
  <c r="K366" i="50" s="1"/>
  <c r="E367" i="50"/>
  <c r="I367" i="50" s="1"/>
  <c r="K367" i="50" s="1"/>
  <c r="E368" i="50"/>
  <c r="I368" i="50"/>
  <c r="E369" i="50"/>
  <c r="I369" i="50" s="1"/>
  <c r="K369" i="50" s="1"/>
  <c r="E370" i="50"/>
  <c r="I370" i="50"/>
  <c r="K370" i="50" s="1"/>
  <c r="E371" i="50"/>
  <c r="I371" i="50"/>
  <c r="E372" i="50"/>
  <c r="I372" i="50" s="1"/>
  <c r="K372" i="50" s="1"/>
  <c r="E377" i="50"/>
  <c r="I377" i="50" s="1"/>
  <c r="K377" i="50" s="1"/>
  <c r="E378" i="50"/>
  <c r="I378" i="50" s="1"/>
  <c r="K378" i="50" s="1"/>
  <c r="E63" i="79"/>
  <c r="E20" i="94"/>
  <c r="E29" i="94" s="1"/>
  <c r="E40" i="94" s="1"/>
  <c r="C35" i="94"/>
  <c r="A31" i="94"/>
  <c r="D29" i="94"/>
  <c r="C29" i="94"/>
  <c r="A1" i="94"/>
  <c r="E20" i="93"/>
  <c r="E29" i="93"/>
  <c r="E40" i="93" s="1"/>
  <c r="C35" i="93"/>
  <c r="A31" i="93"/>
  <c r="D29" i="93"/>
  <c r="C29" i="93"/>
  <c r="A1" i="93"/>
  <c r="E20" i="92"/>
  <c r="E29" i="92" s="1"/>
  <c r="E40" i="92" s="1"/>
  <c r="C35" i="92"/>
  <c r="A31" i="92"/>
  <c r="D29" i="92"/>
  <c r="C29" i="92"/>
  <c r="A1" i="92"/>
  <c r="E20" i="91"/>
  <c r="E29" i="91"/>
  <c r="E40" i="91"/>
  <c r="C35" i="91"/>
  <c r="A31" i="91"/>
  <c r="D29" i="91"/>
  <c r="C29" i="91"/>
  <c r="A1" i="91"/>
  <c r="E20" i="90"/>
  <c r="E29" i="90"/>
  <c r="E40" i="90"/>
  <c r="C35" i="90"/>
  <c r="A31" i="90"/>
  <c r="D29" i="90"/>
  <c r="C29" i="90"/>
  <c r="A1" i="90"/>
  <c r="R51" i="52"/>
  <c r="E106" i="77"/>
  <c r="E112" i="58"/>
  <c r="E62" i="85"/>
  <c r="L154" i="44"/>
  <c r="AH55" i="56"/>
  <c r="AH56" i="56"/>
  <c r="AH57" i="56"/>
  <c r="AH50" i="56"/>
  <c r="AJ50" i="56" s="1"/>
  <c r="AH40" i="56"/>
  <c r="AH41" i="56"/>
  <c r="AH34" i="56"/>
  <c r="AH35" i="56"/>
  <c r="AH42" i="56"/>
  <c r="AH43" i="56"/>
  <c r="A37" i="89"/>
  <c r="F21" i="89"/>
  <c r="F22" i="89"/>
  <c r="F23" i="89"/>
  <c r="F24" i="89"/>
  <c r="F25" i="89"/>
  <c r="F26" i="89"/>
  <c r="F27" i="89"/>
  <c r="F28" i="89"/>
  <c r="F29" i="89"/>
  <c r="F30" i="89"/>
  <c r="F31" i="89"/>
  <c r="F32" i="89"/>
  <c r="F35" i="89" s="1"/>
  <c r="F33" i="89"/>
  <c r="F34" i="89"/>
  <c r="E35" i="89"/>
  <c r="D35" i="89"/>
  <c r="A1" i="89"/>
  <c r="E511" i="40"/>
  <c r="E512" i="40"/>
  <c r="E513" i="40"/>
  <c r="E514" i="40"/>
  <c r="E515" i="40"/>
  <c r="E516" i="40"/>
  <c r="E517" i="40"/>
  <c r="E518" i="40"/>
  <c r="E519" i="40"/>
  <c r="F520" i="40"/>
  <c r="F153" i="44"/>
  <c r="F158" i="44" s="1"/>
  <c r="R13" i="52"/>
  <c r="R14" i="52"/>
  <c r="F15" i="52"/>
  <c r="R15" i="52"/>
  <c r="R16" i="52"/>
  <c r="R17" i="52"/>
  <c r="R19" i="52"/>
  <c r="R20" i="52"/>
  <c r="R21" i="52"/>
  <c r="R22" i="52"/>
  <c r="R23" i="52"/>
  <c r="R24" i="52"/>
  <c r="R25" i="52"/>
  <c r="R26" i="52"/>
  <c r="R27" i="52"/>
  <c r="R28" i="52"/>
  <c r="R29" i="52"/>
  <c r="R30" i="52"/>
  <c r="R31" i="52"/>
  <c r="R32" i="52"/>
  <c r="R33" i="52"/>
  <c r="R34" i="52"/>
  <c r="R35" i="52"/>
  <c r="R36" i="52"/>
  <c r="R37" i="52"/>
  <c r="R38" i="52"/>
  <c r="R40" i="52"/>
  <c r="R41" i="52"/>
  <c r="R43" i="52"/>
  <c r="R44" i="52"/>
  <c r="R45" i="52"/>
  <c r="R46" i="52"/>
  <c r="R48" i="52"/>
  <c r="R49" i="52"/>
  <c r="R50" i="52"/>
  <c r="R12" i="52"/>
  <c r="E106" i="64"/>
  <c r="E104" i="64"/>
  <c r="E62" i="74"/>
  <c r="E22" i="88"/>
  <c r="E23" i="88"/>
  <c r="E25" i="88"/>
  <c r="E21" i="88"/>
  <c r="E29" i="88" s="1"/>
  <c r="E40" i="88" s="1"/>
  <c r="C29" i="88"/>
  <c r="C35" i="88"/>
  <c r="A31" i="88"/>
  <c r="D29" i="88"/>
  <c r="A1" i="88"/>
  <c r="I339" i="36"/>
  <c r="K339" i="36" s="1"/>
  <c r="C111" i="64"/>
  <c r="C117" i="58"/>
  <c r="C70" i="74"/>
  <c r="C111" i="77"/>
  <c r="C70" i="79"/>
  <c r="C70" i="85"/>
  <c r="B46" i="5"/>
  <c r="E61" i="86"/>
  <c r="E70" i="86" s="1"/>
  <c r="E81" i="86" s="1"/>
  <c r="C76" i="86"/>
  <c r="A72" i="86"/>
  <c r="D70" i="86"/>
  <c r="C70" i="86"/>
  <c r="E57" i="86"/>
  <c r="A42" i="86"/>
  <c r="E61" i="85"/>
  <c r="E70" i="85"/>
  <c r="E81" i="85" s="1"/>
  <c r="C76" i="85"/>
  <c r="A72" i="85"/>
  <c r="D70" i="85"/>
  <c r="A42" i="85"/>
  <c r="E61" i="84"/>
  <c r="E70" i="84"/>
  <c r="E81" i="84" s="1"/>
  <c r="C76" i="84"/>
  <c r="A72" i="84"/>
  <c r="D70" i="84"/>
  <c r="C70" i="84"/>
  <c r="E57" i="84"/>
  <c r="A42" i="84"/>
  <c r="E62" i="82"/>
  <c r="E70" i="82"/>
  <c r="E81" i="82"/>
  <c r="C76" i="82"/>
  <c r="A72" i="82"/>
  <c r="D70" i="82"/>
  <c r="C70" i="82"/>
  <c r="E57" i="82"/>
  <c r="A42" i="82"/>
  <c r="E102" i="77"/>
  <c r="E104" i="77"/>
  <c r="C117" i="77"/>
  <c r="A113" i="77"/>
  <c r="D111" i="77"/>
  <c r="A83" i="77"/>
  <c r="E102" i="80"/>
  <c r="E111" i="80" s="1"/>
  <c r="E122" i="80" s="1"/>
  <c r="E103" i="80"/>
  <c r="E104" i="80"/>
  <c r="C117" i="80"/>
  <c r="A113" i="80"/>
  <c r="D111" i="80"/>
  <c r="C111" i="80"/>
  <c r="E98" i="80"/>
  <c r="A83" i="80"/>
  <c r="E61" i="74"/>
  <c r="E70" i="74"/>
  <c r="E81" i="74" s="1"/>
  <c r="C76" i="74"/>
  <c r="A72" i="74"/>
  <c r="D70" i="74"/>
  <c r="A42" i="74"/>
  <c r="E62" i="69"/>
  <c r="E70" i="69"/>
  <c r="E81" i="69"/>
  <c r="C76" i="69"/>
  <c r="A72" i="69"/>
  <c r="D70" i="69"/>
  <c r="C70" i="69"/>
  <c r="E57" i="69"/>
  <c r="A42" i="69"/>
  <c r="E104" i="58"/>
  <c r="E105" i="58"/>
  <c r="E106" i="58"/>
  <c r="E107" i="58"/>
  <c r="E108" i="58"/>
  <c r="E109" i="58"/>
  <c r="E111" i="58"/>
  <c r="C123" i="58"/>
  <c r="A119" i="58"/>
  <c r="D117" i="58"/>
  <c r="A85" i="58"/>
  <c r="K368" i="50"/>
  <c r="K371" i="50"/>
  <c r="K374" i="50"/>
  <c r="J378" i="50"/>
  <c r="J379" i="50" s="1"/>
  <c r="I386" i="50"/>
  <c r="A382" i="50"/>
  <c r="E379" i="50"/>
  <c r="D379" i="50"/>
  <c r="F378" i="50"/>
  <c r="F377" i="50"/>
  <c r="F374" i="50"/>
  <c r="F373" i="50"/>
  <c r="F372" i="50"/>
  <c r="F371" i="50"/>
  <c r="F370" i="50"/>
  <c r="F369" i="50"/>
  <c r="F368" i="50"/>
  <c r="F367" i="50"/>
  <c r="F366" i="50"/>
  <c r="F365" i="50"/>
  <c r="A354" i="50"/>
  <c r="C149" i="17"/>
  <c r="A145" i="17"/>
  <c r="F132" i="17"/>
  <c r="F133" i="17"/>
  <c r="F143" i="17"/>
  <c r="Q140" i="17"/>
  <c r="P140" i="17"/>
  <c r="A112" i="17"/>
  <c r="C277" i="41"/>
  <c r="E277" i="41" s="1"/>
  <c r="G277" i="41" s="1"/>
  <c r="E259" i="41" s="1"/>
  <c r="F259" i="41" s="1"/>
  <c r="C310" i="41"/>
  <c r="A307" i="41"/>
  <c r="A279" i="41"/>
  <c r="C506" i="40"/>
  <c r="A502" i="40"/>
  <c r="A477" i="40"/>
  <c r="C236" i="6"/>
  <c r="A232" i="6"/>
  <c r="E220" i="6"/>
  <c r="A204" i="6"/>
  <c r="I352" i="36"/>
  <c r="A347" i="36"/>
  <c r="E330" i="36"/>
  <c r="I330" i="36"/>
  <c r="J330" i="36"/>
  <c r="E331" i="36"/>
  <c r="E344" i="36" s="1"/>
  <c r="E332" i="36"/>
  <c r="I332" i="36" s="1"/>
  <c r="E333" i="36"/>
  <c r="E334" i="36"/>
  <c r="I334" i="36"/>
  <c r="J334" i="36"/>
  <c r="K334" i="36" s="1"/>
  <c r="E335" i="36"/>
  <c r="I335" i="36" s="1"/>
  <c r="K335" i="36" s="1"/>
  <c r="J335" i="36"/>
  <c r="E336" i="36"/>
  <c r="I336" i="36"/>
  <c r="K336" i="36" s="1"/>
  <c r="J336" i="36"/>
  <c r="E337" i="36"/>
  <c r="I337" i="36"/>
  <c r="K337" i="36" s="1"/>
  <c r="J337" i="36"/>
  <c r="E338" i="36"/>
  <c r="I338" i="36" s="1"/>
  <c r="E339" i="36"/>
  <c r="J339" i="36"/>
  <c r="E340" i="36"/>
  <c r="I340" i="36"/>
  <c r="K340" i="36" s="1"/>
  <c r="J340" i="36"/>
  <c r="E341" i="36"/>
  <c r="I341" i="36" s="1"/>
  <c r="K341" i="36" s="1"/>
  <c r="J341" i="36"/>
  <c r="E342" i="36"/>
  <c r="I342" i="36"/>
  <c r="K342" i="36" s="1"/>
  <c r="J342" i="36"/>
  <c r="E343" i="36"/>
  <c r="I343" i="36"/>
  <c r="K343" i="36" s="1"/>
  <c r="J343" i="36"/>
  <c r="D344" i="36"/>
  <c r="F343" i="36"/>
  <c r="F342" i="36"/>
  <c r="S342" i="36"/>
  <c r="F341" i="36"/>
  <c r="S341" i="36" s="1"/>
  <c r="Q341" i="36"/>
  <c r="F340" i="36"/>
  <c r="S340" i="36"/>
  <c r="Q340" i="36"/>
  <c r="F339" i="36"/>
  <c r="S339" i="36"/>
  <c r="Q339" i="36"/>
  <c r="F338" i="36"/>
  <c r="S338" i="36" s="1"/>
  <c r="Q338" i="36"/>
  <c r="F337" i="36"/>
  <c r="S337" i="36"/>
  <c r="Q337" i="36"/>
  <c r="F336" i="36"/>
  <c r="S336" i="36" s="1"/>
  <c r="Q336" i="36"/>
  <c r="F335" i="36"/>
  <c r="S335" i="36" s="1"/>
  <c r="Q335" i="36"/>
  <c r="F334" i="36"/>
  <c r="S334" i="36"/>
  <c r="Q334" i="36"/>
  <c r="F333" i="36"/>
  <c r="S333" i="36"/>
  <c r="Q333" i="36"/>
  <c r="F332" i="36"/>
  <c r="F331" i="36"/>
  <c r="F330" i="36"/>
  <c r="A319" i="36"/>
  <c r="E63" i="80"/>
  <c r="E61" i="80"/>
  <c r="E70" i="80" s="1"/>
  <c r="E81" i="80" s="1"/>
  <c r="E20" i="86"/>
  <c r="E29" i="86"/>
  <c r="E40" i="86"/>
  <c r="C35" i="86"/>
  <c r="A31" i="86"/>
  <c r="D29" i="86"/>
  <c r="C29" i="86"/>
  <c r="A1" i="86"/>
  <c r="E20" i="85"/>
  <c r="E29" i="85"/>
  <c r="E40" i="85" s="1"/>
  <c r="C35" i="85"/>
  <c r="A31" i="85"/>
  <c r="D29" i="85"/>
  <c r="C29" i="85"/>
  <c r="A1" i="85"/>
  <c r="E20" i="84"/>
  <c r="E29" i="84"/>
  <c r="E40" i="84" s="1"/>
  <c r="C35" i="84"/>
  <c r="A31" i="84"/>
  <c r="D29" i="84"/>
  <c r="C29" i="84"/>
  <c r="A1" i="84"/>
  <c r="E61" i="77"/>
  <c r="E70" i="77" s="1"/>
  <c r="E81" i="77" s="1"/>
  <c r="E63" i="77"/>
  <c r="C35" i="69"/>
  <c r="E68" i="58"/>
  <c r="C70" i="59"/>
  <c r="C72" i="58"/>
  <c r="E409" i="40"/>
  <c r="E475" i="40" s="1"/>
  <c r="E397" i="40" s="1"/>
  <c r="F397" i="40" s="1"/>
  <c r="F399" i="40" s="1"/>
  <c r="E410" i="40"/>
  <c r="E411" i="40"/>
  <c r="E412" i="40"/>
  <c r="E413" i="40"/>
  <c r="E414" i="40"/>
  <c r="E415" i="40"/>
  <c r="E417" i="40"/>
  <c r="E419" i="40"/>
  <c r="E420" i="40"/>
  <c r="E421" i="40"/>
  <c r="E422" i="40"/>
  <c r="E423" i="40"/>
  <c r="E424" i="40"/>
  <c r="E425" i="40"/>
  <c r="E427" i="40"/>
  <c r="E429" i="40"/>
  <c r="E430" i="40"/>
  <c r="E432" i="40"/>
  <c r="E433" i="40"/>
  <c r="E434" i="40"/>
  <c r="E435" i="40"/>
  <c r="E437" i="40"/>
  <c r="E440" i="40"/>
  <c r="E441" i="40"/>
  <c r="E443" i="40"/>
  <c r="E444" i="40"/>
  <c r="E445" i="40"/>
  <c r="E446" i="40"/>
  <c r="E449" i="40"/>
  <c r="E450" i="40"/>
  <c r="E452" i="40"/>
  <c r="E453" i="40"/>
  <c r="E455" i="40"/>
  <c r="E456" i="40"/>
  <c r="E457" i="40"/>
  <c r="E458" i="40"/>
  <c r="E460" i="40"/>
  <c r="E461" i="40"/>
  <c r="E462" i="40"/>
  <c r="E463" i="40"/>
  <c r="E467" i="40"/>
  <c r="E468" i="40"/>
  <c r="E470" i="40"/>
  <c r="E472" i="40"/>
  <c r="E473" i="40"/>
  <c r="E474" i="40"/>
  <c r="E295" i="36"/>
  <c r="I295" i="36" s="1"/>
  <c r="E296" i="36"/>
  <c r="E297" i="36"/>
  <c r="J297" i="36" s="1"/>
  <c r="E298" i="36"/>
  <c r="E299" i="36"/>
  <c r="I299" i="36"/>
  <c r="K299" i="36" s="1"/>
  <c r="E300" i="36"/>
  <c r="I300" i="36"/>
  <c r="E301" i="36"/>
  <c r="J301" i="36" s="1"/>
  <c r="E302" i="36"/>
  <c r="I302" i="36" s="1"/>
  <c r="K302" i="36" s="1"/>
  <c r="E303" i="36"/>
  <c r="E304" i="36"/>
  <c r="J304" i="36" s="1"/>
  <c r="E305" i="36"/>
  <c r="E306" i="36"/>
  <c r="I306" i="36"/>
  <c r="K306" i="36" s="1"/>
  <c r="E307" i="36"/>
  <c r="I307" i="36"/>
  <c r="E308" i="36"/>
  <c r="J308" i="36" s="1"/>
  <c r="F256" i="41"/>
  <c r="F257" i="41"/>
  <c r="F262" i="41" s="1"/>
  <c r="F258" i="41"/>
  <c r="C233" i="41"/>
  <c r="E233" i="41" s="1"/>
  <c r="G233" i="41"/>
  <c r="E201" i="41" s="1"/>
  <c r="F201" i="41" s="1"/>
  <c r="U220" i="41"/>
  <c r="U232" i="41" s="1"/>
  <c r="U221" i="41"/>
  <c r="U222" i="41"/>
  <c r="U223" i="41"/>
  <c r="U224" i="41"/>
  <c r="U225" i="41"/>
  <c r="U226" i="41"/>
  <c r="U227" i="41"/>
  <c r="U228" i="41"/>
  <c r="U229" i="41"/>
  <c r="U230" i="41"/>
  <c r="E199" i="41"/>
  <c r="F199" i="41" s="1"/>
  <c r="M222" i="41"/>
  <c r="M223" i="41"/>
  <c r="M224" i="41"/>
  <c r="M225" i="41"/>
  <c r="M226" i="41"/>
  <c r="M227" i="41"/>
  <c r="M228" i="41"/>
  <c r="M232" i="41" s="1"/>
  <c r="M229" i="41"/>
  <c r="M230" i="41"/>
  <c r="E198" i="41"/>
  <c r="F198" i="41" s="1"/>
  <c r="F204" i="41" s="1"/>
  <c r="F569" i="40"/>
  <c r="F475" i="40"/>
  <c r="D35" i="83"/>
  <c r="A37" i="83"/>
  <c r="F21" i="83"/>
  <c r="F22" i="83"/>
  <c r="F26" i="83"/>
  <c r="F27" i="83"/>
  <c r="F23" i="83"/>
  <c r="F24" i="83"/>
  <c r="F25" i="83"/>
  <c r="F28" i="83"/>
  <c r="F29" i="83"/>
  <c r="F30" i="83"/>
  <c r="F31" i="83"/>
  <c r="F32" i="83"/>
  <c r="F33" i="83"/>
  <c r="F34" i="83"/>
  <c r="E35" i="83"/>
  <c r="A1" i="83"/>
  <c r="E331" i="50"/>
  <c r="I331" i="50" s="1"/>
  <c r="K331" i="50" s="1"/>
  <c r="E332" i="50"/>
  <c r="I332" i="50" s="1"/>
  <c r="K332" i="50" s="1"/>
  <c r="E333" i="50"/>
  <c r="I333" i="50"/>
  <c r="E334" i="50"/>
  <c r="I334" i="50" s="1"/>
  <c r="K334" i="50" s="1"/>
  <c r="E335" i="50"/>
  <c r="I335" i="50"/>
  <c r="K335" i="50" s="1"/>
  <c r="E336" i="50"/>
  <c r="I336" i="50" s="1"/>
  <c r="K336" i="50" s="1"/>
  <c r="E337" i="50"/>
  <c r="I337" i="50" s="1"/>
  <c r="K337" i="50" s="1"/>
  <c r="E326" i="50"/>
  <c r="I326" i="50" s="1"/>
  <c r="E327" i="50"/>
  <c r="I327" i="50" s="1"/>
  <c r="K327" i="50" s="1"/>
  <c r="E328" i="50"/>
  <c r="I328" i="50"/>
  <c r="K328" i="50" s="1"/>
  <c r="E329" i="50"/>
  <c r="I329" i="50" s="1"/>
  <c r="K329" i="50" s="1"/>
  <c r="E330" i="50"/>
  <c r="I330" i="50"/>
  <c r="K330" i="50" s="1"/>
  <c r="E338" i="50"/>
  <c r="I338" i="50" s="1"/>
  <c r="E339" i="50"/>
  <c r="J339" i="50" s="1"/>
  <c r="C29" i="74"/>
  <c r="C70" i="77"/>
  <c r="C29" i="82"/>
  <c r="E21" i="82"/>
  <c r="E29" i="82"/>
  <c r="E40" i="82"/>
  <c r="C35" i="82"/>
  <c r="A31" i="82"/>
  <c r="D29" i="82"/>
  <c r="A1" i="82"/>
  <c r="F93" i="17"/>
  <c r="Q101" i="17"/>
  <c r="F94" i="17"/>
  <c r="F96" i="17"/>
  <c r="F97" i="17"/>
  <c r="F99" i="17"/>
  <c r="F100" i="17"/>
  <c r="F102" i="17"/>
  <c r="F103" i="17"/>
  <c r="E196" i="6"/>
  <c r="E62" i="79"/>
  <c r="E70" i="79"/>
  <c r="E81" i="79" s="1"/>
  <c r="C76" i="79"/>
  <c r="A72" i="79"/>
  <c r="D70" i="79"/>
  <c r="A42" i="79"/>
  <c r="E62" i="78"/>
  <c r="E70" i="78"/>
  <c r="E81" i="78" s="1"/>
  <c r="C76" i="78"/>
  <c r="A72" i="78"/>
  <c r="D70" i="78"/>
  <c r="C70" i="78"/>
  <c r="E57" i="78"/>
  <c r="A42" i="78"/>
  <c r="C76" i="77"/>
  <c r="A72" i="77"/>
  <c r="D70" i="77"/>
  <c r="A42" i="77"/>
  <c r="E62" i="75"/>
  <c r="E70" i="75" s="1"/>
  <c r="E81" i="75" s="1"/>
  <c r="C76" i="75"/>
  <c r="A72" i="75"/>
  <c r="D70" i="75"/>
  <c r="C70" i="75"/>
  <c r="E57" i="75"/>
  <c r="A42" i="75"/>
  <c r="E62" i="80"/>
  <c r="C76" i="80"/>
  <c r="A72" i="80"/>
  <c r="D70" i="80"/>
  <c r="C70" i="80"/>
  <c r="A42" i="80"/>
  <c r="A1" i="68"/>
  <c r="A42" i="68"/>
  <c r="E61" i="68"/>
  <c r="E70" i="68" s="1"/>
  <c r="E81" i="68"/>
  <c r="C76" i="68"/>
  <c r="A72" i="68"/>
  <c r="D70" i="68"/>
  <c r="C70" i="68"/>
  <c r="E57" i="68"/>
  <c r="E106" i="67"/>
  <c r="E104" i="67"/>
  <c r="E115" i="67" s="1"/>
  <c r="E126" i="67" s="1"/>
  <c r="E102" i="67"/>
  <c r="C121" i="67"/>
  <c r="A117" i="67"/>
  <c r="D115" i="67"/>
  <c r="C115" i="67"/>
  <c r="E98" i="67"/>
  <c r="A83" i="67"/>
  <c r="E143" i="62"/>
  <c r="E152" i="62" s="1"/>
  <c r="E144" i="62"/>
  <c r="E146" i="62"/>
  <c r="E163" i="62"/>
  <c r="C158" i="62"/>
  <c r="A154" i="62"/>
  <c r="D152" i="62"/>
  <c r="C152" i="62"/>
  <c r="E139" i="62"/>
  <c r="A124" i="62"/>
  <c r="K333" i="50"/>
  <c r="J338" i="50"/>
  <c r="J340" i="50" s="1"/>
  <c r="I347" i="50"/>
  <c r="A343" i="50"/>
  <c r="D340" i="50"/>
  <c r="F339" i="50"/>
  <c r="F338" i="50"/>
  <c r="F337" i="50"/>
  <c r="F336" i="50"/>
  <c r="F335" i="50"/>
  <c r="F334" i="50"/>
  <c r="F333" i="50"/>
  <c r="F332" i="50"/>
  <c r="F331" i="50"/>
  <c r="F330" i="50"/>
  <c r="F329" i="50"/>
  <c r="F328" i="50"/>
  <c r="F327" i="50"/>
  <c r="F326" i="50"/>
  <c r="A315" i="50"/>
  <c r="C110" i="17"/>
  <c r="A106" i="17"/>
  <c r="P101" i="17"/>
  <c r="A73" i="17"/>
  <c r="C112" i="71"/>
  <c r="A108" i="71"/>
  <c r="F97" i="71"/>
  <c r="F106" i="71" s="1"/>
  <c r="F93" i="71"/>
  <c r="A78" i="71"/>
  <c r="U276" i="41"/>
  <c r="M276" i="41"/>
  <c r="C267" i="41"/>
  <c r="A264" i="41"/>
  <c r="A236" i="41"/>
  <c r="C405" i="40"/>
  <c r="A401" i="40"/>
  <c r="A376" i="40"/>
  <c r="C202" i="6"/>
  <c r="A198" i="6"/>
  <c r="A170" i="6"/>
  <c r="I317" i="36"/>
  <c r="A312" i="36"/>
  <c r="J295" i="36"/>
  <c r="J299" i="36"/>
  <c r="J300" i="36"/>
  <c r="K300" i="36" s="1"/>
  <c r="J302" i="36"/>
  <c r="J306" i="36"/>
  <c r="J307" i="36"/>
  <c r="K307" i="36" s="1"/>
  <c r="D309" i="36"/>
  <c r="F308" i="36"/>
  <c r="F307" i="36"/>
  <c r="S307" i="36" s="1"/>
  <c r="F306" i="36"/>
  <c r="S306" i="36" s="1"/>
  <c r="Q306" i="36"/>
  <c r="F305" i="36"/>
  <c r="S305" i="36" s="1"/>
  <c r="Q305" i="36"/>
  <c r="F304" i="36"/>
  <c r="S304" i="36" s="1"/>
  <c r="Q304" i="36"/>
  <c r="F303" i="36"/>
  <c r="S303" i="36"/>
  <c r="Q303" i="36"/>
  <c r="F302" i="36"/>
  <c r="S302" i="36" s="1"/>
  <c r="Q302" i="36"/>
  <c r="F301" i="36"/>
  <c r="S301" i="36" s="1"/>
  <c r="Q301" i="36"/>
  <c r="F300" i="36"/>
  <c r="S300" i="36"/>
  <c r="Q300" i="36"/>
  <c r="F299" i="36"/>
  <c r="S299" i="36" s="1"/>
  <c r="Q299" i="36"/>
  <c r="F298" i="36"/>
  <c r="S298" i="36" s="1"/>
  <c r="Q298" i="36"/>
  <c r="F297" i="36"/>
  <c r="F296" i="36"/>
  <c r="F295" i="36"/>
  <c r="A284" i="36"/>
  <c r="A21" i="81"/>
  <c r="E291" i="40"/>
  <c r="E292" i="40"/>
  <c r="E293" i="40"/>
  <c r="E294" i="40"/>
  <c r="E295" i="40"/>
  <c r="E296" i="40"/>
  <c r="E297" i="40"/>
  <c r="E298" i="40"/>
  <c r="E299" i="40"/>
  <c r="E300" i="40"/>
  <c r="E301" i="40"/>
  <c r="F302" i="40" s="1"/>
  <c r="E302" i="40"/>
  <c r="E304" i="40"/>
  <c r="E305" i="40"/>
  <c r="E306" i="40"/>
  <c r="E307" i="40"/>
  <c r="E308" i="40"/>
  <c r="E309" i="40"/>
  <c r="E310" i="40"/>
  <c r="E311" i="40"/>
  <c r="E312" i="40"/>
  <c r="E313" i="40"/>
  <c r="E314" i="40"/>
  <c r="E315" i="40"/>
  <c r="F317" i="40" s="1"/>
  <c r="E316" i="40"/>
  <c r="E317" i="40"/>
  <c r="E318" i="40"/>
  <c r="E319" i="40"/>
  <c r="E320" i="40"/>
  <c r="E321" i="40"/>
  <c r="E322" i="40"/>
  <c r="E323" i="40"/>
  <c r="E324" i="40"/>
  <c r="E325" i="40"/>
  <c r="E326" i="40"/>
  <c r="E327" i="40"/>
  <c r="E328" i="40"/>
  <c r="E329" i="40"/>
  <c r="E330" i="40"/>
  <c r="E331" i="40"/>
  <c r="E332" i="40"/>
  <c r="E333" i="40"/>
  <c r="F334" i="40" s="1"/>
  <c r="E335" i="40"/>
  <c r="E336" i="40"/>
  <c r="E337" i="40"/>
  <c r="E338" i="40"/>
  <c r="E339" i="40"/>
  <c r="E340" i="40"/>
  <c r="E341" i="40"/>
  <c r="E342" i="40"/>
  <c r="E343" i="40"/>
  <c r="E344" i="40"/>
  <c r="E345" i="40"/>
  <c r="E346" i="40"/>
  <c r="E347" i="40"/>
  <c r="E348" i="40"/>
  <c r="E349" i="40"/>
  <c r="E350" i="40"/>
  <c r="E351" i="40"/>
  <c r="E352" i="40"/>
  <c r="E353" i="40"/>
  <c r="E354" i="40"/>
  <c r="E355" i="40"/>
  <c r="E356" i="40"/>
  <c r="E357" i="40"/>
  <c r="E358" i="40"/>
  <c r="E359" i="40"/>
  <c r="E360" i="40"/>
  <c r="E361" i="40"/>
  <c r="E362" i="40"/>
  <c r="E363" i="40"/>
  <c r="E364" i="40"/>
  <c r="E365" i="40"/>
  <c r="F370" i="40" s="1"/>
  <c r="E367" i="40"/>
  <c r="E368" i="40"/>
  <c r="E369" i="40"/>
  <c r="E370" i="40"/>
  <c r="E371" i="40"/>
  <c r="E372" i="40"/>
  <c r="F200" i="41"/>
  <c r="A37" i="81"/>
  <c r="F21" i="81"/>
  <c r="F22" i="81"/>
  <c r="F35" i="81" s="1"/>
  <c r="F23" i="81"/>
  <c r="F24" i="81"/>
  <c r="F25" i="81"/>
  <c r="F26" i="81"/>
  <c r="F27" i="81"/>
  <c r="F28" i="81"/>
  <c r="F29" i="81"/>
  <c r="F30" i="81"/>
  <c r="F31" i="81"/>
  <c r="F32" i="81"/>
  <c r="F33" i="81"/>
  <c r="F34" i="81"/>
  <c r="E35" i="81"/>
  <c r="D35" i="81"/>
  <c r="A1" i="81"/>
  <c r="E21" i="80"/>
  <c r="E29" i="80"/>
  <c r="E40" i="80" s="1"/>
  <c r="C35" i="80"/>
  <c r="A31" i="80"/>
  <c r="D29" i="80"/>
  <c r="C29" i="80"/>
  <c r="A1" i="80"/>
  <c r="C29" i="75"/>
  <c r="C111" i="62"/>
  <c r="E21" i="79"/>
  <c r="E29" i="79"/>
  <c r="E40" i="79" s="1"/>
  <c r="C35" i="79"/>
  <c r="A31" i="79"/>
  <c r="D29" i="79"/>
  <c r="C29" i="79"/>
  <c r="A1" i="79"/>
  <c r="E21" i="78"/>
  <c r="E29" i="78" s="1"/>
  <c r="E40" i="78" s="1"/>
  <c r="C35" i="78"/>
  <c r="A31" i="78"/>
  <c r="D29" i="78"/>
  <c r="C29" i="78"/>
  <c r="A1" i="78"/>
  <c r="E21" i="77"/>
  <c r="E29" i="77"/>
  <c r="E40" i="77"/>
  <c r="C35" i="77"/>
  <c r="A31" i="77"/>
  <c r="D29" i="77"/>
  <c r="C29" i="77"/>
  <c r="A1" i="77"/>
  <c r="E105" i="62"/>
  <c r="F60" i="17"/>
  <c r="F61" i="17"/>
  <c r="F63" i="17"/>
  <c r="F64" i="17"/>
  <c r="Q55" i="17"/>
  <c r="Q56" i="17"/>
  <c r="Q57" i="17"/>
  <c r="Q65" i="17"/>
  <c r="F351" i="40"/>
  <c r="F310" i="40"/>
  <c r="F356" i="40"/>
  <c r="F292" i="40"/>
  <c r="F295" i="40"/>
  <c r="F296" i="40"/>
  <c r="F304" i="40"/>
  <c r="F325" i="40"/>
  <c r="P65" i="17"/>
  <c r="F265" i="36"/>
  <c r="S265" i="36" s="1"/>
  <c r="F263" i="36"/>
  <c r="S263" i="36" s="1"/>
  <c r="Q263" i="36"/>
  <c r="E263" i="36"/>
  <c r="J263" i="36" s="1"/>
  <c r="E264" i="36"/>
  <c r="J264" i="36" s="1"/>
  <c r="I264" i="36"/>
  <c r="E265" i="36"/>
  <c r="I265" i="36" s="1"/>
  <c r="E266" i="36"/>
  <c r="I266" i="36"/>
  <c r="K266" i="36" s="1"/>
  <c r="E267" i="36"/>
  <c r="I267" i="36" s="1"/>
  <c r="E268" i="36"/>
  <c r="I268" i="36"/>
  <c r="E271" i="36"/>
  <c r="J271" i="36" s="1"/>
  <c r="I271" i="36"/>
  <c r="K271" i="36" s="1"/>
  <c r="E260" i="36"/>
  <c r="I260" i="36" s="1"/>
  <c r="E261" i="36"/>
  <c r="I261" i="36"/>
  <c r="E262" i="36"/>
  <c r="I262" i="36" s="1"/>
  <c r="E269" i="36"/>
  <c r="I269" i="36"/>
  <c r="E270" i="36"/>
  <c r="I270" i="36" s="1"/>
  <c r="K270" i="36" s="1"/>
  <c r="E272" i="36"/>
  <c r="I272" i="36"/>
  <c r="E273" i="36"/>
  <c r="I273" i="36"/>
  <c r="K273" i="36" s="1"/>
  <c r="E287" i="50"/>
  <c r="I287" i="50" s="1"/>
  <c r="E288" i="50"/>
  <c r="I288" i="50"/>
  <c r="K288" i="50" s="1"/>
  <c r="E289" i="50"/>
  <c r="I289" i="50"/>
  <c r="K289" i="50" s="1"/>
  <c r="E290" i="50"/>
  <c r="I290" i="50" s="1"/>
  <c r="E291" i="50"/>
  <c r="I291" i="50" s="1"/>
  <c r="K291" i="50" s="1"/>
  <c r="E292" i="50"/>
  <c r="I292" i="50" s="1"/>
  <c r="E293" i="50"/>
  <c r="I293" i="50" s="1"/>
  <c r="K293" i="50" s="1"/>
  <c r="E294" i="50"/>
  <c r="I294" i="50" s="1"/>
  <c r="E295" i="50"/>
  <c r="I295" i="50"/>
  <c r="K295" i="50" s="1"/>
  <c r="E296" i="50"/>
  <c r="I296" i="50"/>
  <c r="E297" i="50"/>
  <c r="I297" i="50" s="1"/>
  <c r="K297" i="50" s="1"/>
  <c r="E298" i="50"/>
  <c r="I298" i="50" s="1"/>
  <c r="K298" i="50" s="1"/>
  <c r="E299" i="50"/>
  <c r="E300" i="50"/>
  <c r="J300" i="50" s="1"/>
  <c r="I300" i="50"/>
  <c r="K300" i="50" s="1"/>
  <c r="F57" i="17"/>
  <c r="F58" i="17"/>
  <c r="F65" i="17"/>
  <c r="E162" i="6"/>
  <c r="E66" i="67"/>
  <c r="Q266" i="36"/>
  <c r="E61" i="73"/>
  <c r="E70" i="73" s="1"/>
  <c r="E81" i="73"/>
  <c r="C76" i="73"/>
  <c r="A72" i="73"/>
  <c r="D70" i="73"/>
  <c r="C70" i="73"/>
  <c r="E57" i="73"/>
  <c r="A42" i="73"/>
  <c r="E61" i="72"/>
  <c r="E62" i="72"/>
  <c r="E63" i="72"/>
  <c r="E70" i="72"/>
  <c r="E81" i="72" s="1"/>
  <c r="C76" i="72"/>
  <c r="A72" i="72"/>
  <c r="D70" i="72"/>
  <c r="C70" i="72"/>
  <c r="E57" i="72"/>
  <c r="A42" i="72"/>
  <c r="E72" i="58"/>
  <c r="E83" i="58" s="1"/>
  <c r="E61" i="58"/>
  <c r="E62" i="58"/>
  <c r="E63" i="58"/>
  <c r="E64" i="58"/>
  <c r="E65" i="58"/>
  <c r="E66" i="58"/>
  <c r="C78" i="58"/>
  <c r="A74" i="58"/>
  <c r="D72" i="58"/>
  <c r="A42" i="58"/>
  <c r="E102" i="62"/>
  <c r="E111" i="62" s="1"/>
  <c r="E122" i="62" s="1"/>
  <c r="E103" i="62"/>
  <c r="C117" i="62"/>
  <c r="A113" i="62"/>
  <c r="D111" i="62"/>
  <c r="A83" i="62"/>
  <c r="E102" i="63"/>
  <c r="E111" i="63" s="1"/>
  <c r="E122" i="63" s="1"/>
  <c r="E105" i="63"/>
  <c r="C117" i="63"/>
  <c r="A113" i="63"/>
  <c r="D111" i="63"/>
  <c r="C111" i="63"/>
  <c r="E98" i="63"/>
  <c r="A83" i="63"/>
  <c r="E102" i="64"/>
  <c r="E111" i="64"/>
  <c r="E122" i="64" s="1"/>
  <c r="C117" i="64"/>
  <c r="A113" i="64"/>
  <c r="D111" i="64"/>
  <c r="A83" i="64"/>
  <c r="E233" i="46"/>
  <c r="E234" i="46"/>
  <c r="E241" i="46" s="1"/>
  <c r="E255" i="46" s="1"/>
  <c r="E235" i="46"/>
  <c r="E236" i="46"/>
  <c r="E237" i="46"/>
  <c r="C247" i="46"/>
  <c r="A243" i="46"/>
  <c r="D241" i="46"/>
  <c r="C241" i="46"/>
  <c r="E228" i="46"/>
  <c r="A213" i="46"/>
  <c r="K290" i="50"/>
  <c r="K292" i="50"/>
  <c r="K294" i="50"/>
  <c r="K296" i="50"/>
  <c r="I308" i="50"/>
  <c r="A304" i="50"/>
  <c r="D301" i="50"/>
  <c r="F300" i="50"/>
  <c r="F299" i="50"/>
  <c r="F298" i="50"/>
  <c r="F297" i="50"/>
  <c r="F296" i="50"/>
  <c r="F295" i="50"/>
  <c r="F294" i="50"/>
  <c r="F293" i="50"/>
  <c r="F292" i="50"/>
  <c r="F291" i="50"/>
  <c r="F290" i="50"/>
  <c r="F289" i="50"/>
  <c r="F288" i="50"/>
  <c r="F287" i="50"/>
  <c r="A276" i="50"/>
  <c r="C164" i="44"/>
  <c r="A160" i="44"/>
  <c r="F154" i="44"/>
  <c r="A133" i="44"/>
  <c r="C76" i="71"/>
  <c r="A72" i="71"/>
  <c r="F61" i="71"/>
  <c r="F70" i="71"/>
  <c r="A42" i="71"/>
  <c r="C209" i="41"/>
  <c r="A206" i="41"/>
  <c r="A178" i="41"/>
  <c r="G374" i="40"/>
  <c r="C281" i="40"/>
  <c r="A277" i="40"/>
  <c r="A252" i="40"/>
  <c r="C168" i="6"/>
  <c r="A164" i="6"/>
  <c r="A136" i="6"/>
  <c r="I282" i="36"/>
  <c r="A277" i="36"/>
  <c r="J260" i="36"/>
  <c r="J261" i="36"/>
  <c r="K261" i="36"/>
  <c r="J265" i="36"/>
  <c r="J266" i="36"/>
  <c r="J267" i="36"/>
  <c r="J268" i="36"/>
  <c r="K268" i="36"/>
  <c r="J269" i="36"/>
  <c r="J270" i="36"/>
  <c r="J272" i="36"/>
  <c r="J273" i="36"/>
  <c r="D274" i="36"/>
  <c r="F273" i="36"/>
  <c r="F272" i="36"/>
  <c r="S272" i="36"/>
  <c r="F271" i="36"/>
  <c r="S271" i="36" s="1"/>
  <c r="Q271" i="36"/>
  <c r="F270" i="36"/>
  <c r="S270" i="36" s="1"/>
  <c r="Q270" i="36"/>
  <c r="F269" i="36"/>
  <c r="S269" i="36"/>
  <c r="Q269" i="36"/>
  <c r="F268" i="36"/>
  <c r="S268" i="36"/>
  <c r="Q268" i="36"/>
  <c r="F267" i="36"/>
  <c r="S267" i="36"/>
  <c r="Q267" i="36"/>
  <c r="F266" i="36"/>
  <c r="S266" i="36"/>
  <c r="Q265" i="36"/>
  <c r="F264" i="36"/>
  <c r="S264" i="36" s="1"/>
  <c r="Q264" i="36"/>
  <c r="F262" i="36"/>
  <c r="F261" i="36"/>
  <c r="F260" i="36"/>
  <c r="A249" i="36"/>
  <c r="E62" i="62"/>
  <c r="E70" i="62" s="1"/>
  <c r="E81" i="62" s="1"/>
  <c r="E62" i="64"/>
  <c r="E64" i="63"/>
  <c r="E70" i="63" s="1"/>
  <c r="E81" i="63" s="1"/>
  <c r="C29" i="73"/>
  <c r="E22" i="72"/>
  <c r="C29" i="58"/>
  <c r="E24" i="58"/>
  <c r="E21" i="58"/>
  <c r="E22" i="58"/>
  <c r="E23" i="58"/>
  <c r="E193" i="46"/>
  <c r="C197" i="46"/>
  <c r="C29" i="72"/>
  <c r="E235" i="40"/>
  <c r="E236" i="40"/>
  <c r="E237" i="40"/>
  <c r="E238" i="40"/>
  <c r="E241" i="40"/>
  <c r="E242" i="40"/>
  <c r="E243" i="40"/>
  <c r="E244" i="40"/>
  <c r="E245" i="40"/>
  <c r="E246" i="40"/>
  <c r="E247" i="40"/>
  <c r="E248" i="40"/>
  <c r="F146" i="41"/>
  <c r="F147" i="41"/>
  <c r="F148" i="41"/>
  <c r="C176" i="41"/>
  <c r="E176" i="41"/>
  <c r="C169" i="41"/>
  <c r="E169" i="41" s="1"/>
  <c r="G176" i="41" s="1"/>
  <c r="E149" i="41" s="1"/>
  <c r="F149" i="41" s="1"/>
  <c r="AK25" i="56"/>
  <c r="AK27" i="56" s="1"/>
  <c r="AM27" i="56" s="1"/>
  <c r="AK26" i="56"/>
  <c r="O120" i="44"/>
  <c r="AK15" i="56"/>
  <c r="AK16" i="56"/>
  <c r="A37" i="76"/>
  <c r="F21" i="76"/>
  <c r="F22" i="76"/>
  <c r="F23" i="76"/>
  <c r="F25" i="76"/>
  <c r="F24" i="76"/>
  <c r="F26" i="76"/>
  <c r="F27" i="76"/>
  <c r="F28" i="76"/>
  <c r="F29" i="76"/>
  <c r="F30" i="76"/>
  <c r="F31" i="76"/>
  <c r="F32" i="76"/>
  <c r="F33" i="76"/>
  <c r="F34" i="76"/>
  <c r="E35" i="76"/>
  <c r="D35" i="76"/>
  <c r="A1" i="76"/>
  <c r="E225" i="36"/>
  <c r="I225" i="36"/>
  <c r="E226" i="36"/>
  <c r="J226" i="36" s="1"/>
  <c r="E227" i="36"/>
  <c r="I227" i="36"/>
  <c r="E228" i="36"/>
  <c r="E229" i="36"/>
  <c r="I229" i="36"/>
  <c r="E230" i="36"/>
  <c r="I230" i="36"/>
  <c r="K230" i="36" s="1"/>
  <c r="E231" i="36"/>
  <c r="I231" i="36"/>
  <c r="K231" i="36" s="1"/>
  <c r="E232" i="36"/>
  <c r="I232" i="36"/>
  <c r="E233" i="36"/>
  <c r="I233" i="36" s="1"/>
  <c r="K233" i="36" s="1"/>
  <c r="E234" i="36"/>
  <c r="I234" i="36"/>
  <c r="E235" i="36"/>
  <c r="E236" i="36"/>
  <c r="I236" i="36"/>
  <c r="F227" i="36"/>
  <c r="S227" i="36"/>
  <c r="F228" i="36"/>
  <c r="S228" i="36"/>
  <c r="F229" i="36"/>
  <c r="S229" i="36"/>
  <c r="F230" i="36"/>
  <c r="S230" i="36"/>
  <c r="F231" i="36"/>
  <c r="S231" i="36"/>
  <c r="F232" i="36"/>
  <c r="S232" i="36" s="1"/>
  <c r="F233" i="36"/>
  <c r="S233" i="36"/>
  <c r="F234" i="36"/>
  <c r="S234" i="36"/>
  <c r="F235" i="36"/>
  <c r="S235" i="36"/>
  <c r="F236" i="36"/>
  <c r="S236" i="36"/>
  <c r="F237" i="36"/>
  <c r="S237" i="36" s="1"/>
  <c r="F226" i="36"/>
  <c r="S226" i="36"/>
  <c r="E128" i="6"/>
  <c r="F20" i="71"/>
  <c r="F29" i="71"/>
  <c r="E237" i="36"/>
  <c r="I237" i="36" s="1"/>
  <c r="E238" i="36"/>
  <c r="I238" i="36" s="1"/>
  <c r="E249" i="50"/>
  <c r="I249" i="50"/>
  <c r="K249" i="50" s="1"/>
  <c r="E250" i="50"/>
  <c r="I250" i="50"/>
  <c r="E251" i="50"/>
  <c r="I251" i="50"/>
  <c r="K251" i="50" s="1"/>
  <c r="E252" i="50"/>
  <c r="I252" i="50" s="1"/>
  <c r="K252" i="50" s="1"/>
  <c r="E253" i="50"/>
  <c r="I253" i="50"/>
  <c r="K253" i="50" s="1"/>
  <c r="E254" i="50"/>
  <c r="I254" i="50"/>
  <c r="E255" i="50"/>
  <c r="I255" i="50"/>
  <c r="E256" i="50"/>
  <c r="I256" i="50"/>
  <c r="K256" i="50" s="1"/>
  <c r="E257" i="50"/>
  <c r="I257" i="50" s="1"/>
  <c r="E258" i="50"/>
  <c r="I258" i="50"/>
  <c r="K258" i="50" s="1"/>
  <c r="E259" i="50"/>
  <c r="E248" i="50"/>
  <c r="I248" i="50"/>
  <c r="E260" i="50"/>
  <c r="I260" i="50"/>
  <c r="K260" i="50" s="1"/>
  <c r="E261" i="50"/>
  <c r="I261" i="50"/>
  <c r="K261" i="50" s="1"/>
  <c r="AK10" i="56"/>
  <c r="AK13" i="56" s="1"/>
  <c r="AK11" i="56"/>
  <c r="AK5" i="56"/>
  <c r="AK6" i="56"/>
  <c r="AK7" i="56" s="1"/>
  <c r="AM7" i="56" s="1"/>
  <c r="O121" i="44"/>
  <c r="E21" i="75"/>
  <c r="E29" i="75"/>
  <c r="E40" i="75"/>
  <c r="C35" i="75"/>
  <c r="A31" i="75"/>
  <c r="D29" i="75"/>
  <c r="A1" i="75"/>
  <c r="E20" i="74"/>
  <c r="E29" i="74"/>
  <c r="E40" i="74"/>
  <c r="C35" i="74"/>
  <c r="A31" i="74"/>
  <c r="D29" i="74"/>
  <c r="A1" i="74"/>
  <c r="F249" i="50"/>
  <c r="Q234" i="36"/>
  <c r="Q235" i="36"/>
  <c r="Q236" i="36"/>
  <c r="C70" i="67"/>
  <c r="E64" i="67"/>
  <c r="E70" i="67" s="1"/>
  <c r="E81" i="67" s="1"/>
  <c r="E70" i="59"/>
  <c r="E81" i="59" s="1"/>
  <c r="E20" i="73"/>
  <c r="E29" i="73"/>
  <c r="E40" i="73" s="1"/>
  <c r="C35" i="73"/>
  <c r="A31" i="73"/>
  <c r="D29" i="73"/>
  <c r="A1" i="73"/>
  <c r="E20" i="72"/>
  <c r="E29" i="72" s="1"/>
  <c r="E40" i="72" s="1"/>
  <c r="E21" i="72"/>
  <c r="C35" i="72"/>
  <c r="A31" i="72"/>
  <c r="D29" i="72"/>
  <c r="A1" i="72"/>
  <c r="AM16" i="56"/>
  <c r="E61" i="70"/>
  <c r="E70" i="70" s="1"/>
  <c r="E81" i="70" s="1"/>
  <c r="C76" i="70"/>
  <c r="A72" i="70"/>
  <c r="D70" i="70"/>
  <c r="C70" i="70"/>
  <c r="E57" i="70"/>
  <c r="A42" i="70"/>
  <c r="E61" i="67"/>
  <c r="C76" i="67"/>
  <c r="A72" i="67"/>
  <c r="D70" i="67"/>
  <c r="A42" i="67"/>
  <c r="D62" i="55"/>
  <c r="D70" i="55" s="1"/>
  <c r="E61" i="55"/>
  <c r="C76" i="55"/>
  <c r="A72" i="55"/>
  <c r="C70" i="55"/>
  <c r="E57" i="55"/>
  <c r="A42" i="55"/>
  <c r="E61" i="59"/>
  <c r="C76" i="59"/>
  <c r="A72" i="59"/>
  <c r="D70" i="59"/>
  <c r="E57" i="59"/>
  <c r="A42" i="59"/>
  <c r="E61" i="60"/>
  <c r="E70" i="60"/>
  <c r="E81" i="60"/>
  <c r="C76" i="60"/>
  <c r="A72" i="60"/>
  <c r="D70" i="60"/>
  <c r="C70" i="60"/>
  <c r="E57" i="60"/>
  <c r="A42" i="60"/>
  <c r="A72" i="62"/>
  <c r="A31" i="62"/>
  <c r="E61" i="62"/>
  <c r="C76" i="62"/>
  <c r="D70" i="62"/>
  <c r="C70" i="62"/>
  <c r="A42" i="62"/>
  <c r="E61" i="63"/>
  <c r="C76" i="63"/>
  <c r="A72" i="63"/>
  <c r="D70" i="63"/>
  <c r="C70" i="63"/>
  <c r="A42" i="63"/>
  <c r="A31" i="70"/>
  <c r="A31" i="69"/>
  <c r="A31" i="68"/>
  <c r="A31" i="67"/>
  <c r="A31" i="55"/>
  <c r="A31" i="58"/>
  <c r="A31" i="59"/>
  <c r="A31" i="60"/>
  <c r="A31" i="61"/>
  <c r="A31" i="63"/>
  <c r="E16" i="61"/>
  <c r="A1" i="58"/>
  <c r="A1" i="59"/>
  <c r="A1" i="60"/>
  <c r="A1" i="61"/>
  <c r="A1" i="62"/>
  <c r="A1" i="63"/>
  <c r="C35" i="70"/>
  <c r="A1" i="55"/>
  <c r="C35" i="55"/>
  <c r="A1" i="67"/>
  <c r="A1" i="69"/>
  <c r="A1" i="70"/>
  <c r="C35" i="68"/>
  <c r="C35" i="67"/>
  <c r="C35" i="58"/>
  <c r="C35" i="59"/>
  <c r="C35" i="60"/>
  <c r="C35" i="61"/>
  <c r="C35" i="62"/>
  <c r="C35" i="63"/>
  <c r="C76" i="64"/>
  <c r="E61" i="64"/>
  <c r="E70" i="64" s="1"/>
  <c r="E81" i="64" s="1"/>
  <c r="A72" i="64"/>
  <c r="D70" i="64"/>
  <c r="C70" i="64"/>
  <c r="A42" i="64"/>
  <c r="C35" i="64"/>
  <c r="A31" i="64"/>
  <c r="A1" i="64"/>
  <c r="E189" i="46"/>
  <c r="E190" i="46"/>
  <c r="E191" i="46"/>
  <c r="E192" i="46"/>
  <c r="E197" i="46"/>
  <c r="E211" i="46" s="1"/>
  <c r="C203" i="46"/>
  <c r="A199" i="46"/>
  <c r="D197" i="46"/>
  <c r="A169" i="46"/>
  <c r="E108" i="7"/>
  <c r="E109" i="7"/>
  <c r="E117" i="7" s="1"/>
  <c r="E131" i="7" s="1"/>
  <c r="E110" i="7"/>
  <c r="E111" i="7"/>
  <c r="C123" i="7"/>
  <c r="A119" i="7"/>
  <c r="D117" i="7"/>
  <c r="C117" i="7"/>
  <c r="E104" i="7"/>
  <c r="A89" i="7"/>
  <c r="K250" i="50"/>
  <c r="K254" i="50"/>
  <c r="K255" i="50"/>
  <c r="J258" i="50"/>
  <c r="J260" i="50"/>
  <c r="J261" i="50"/>
  <c r="I269" i="50"/>
  <c r="A265" i="50"/>
  <c r="D262" i="50"/>
  <c r="F261" i="50"/>
  <c r="F260" i="50"/>
  <c r="F259" i="50"/>
  <c r="F258" i="50"/>
  <c r="F257" i="50"/>
  <c r="F256" i="50"/>
  <c r="F255" i="50"/>
  <c r="F254" i="50"/>
  <c r="F253" i="50"/>
  <c r="F252" i="50"/>
  <c r="F251" i="50"/>
  <c r="F250" i="50"/>
  <c r="F248" i="50"/>
  <c r="A237" i="50"/>
  <c r="C71" i="17"/>
  <c r="A67" i="17"/>
  <c r="A37" i="17"/>
  <c r="A31" i="17"/>
  <c r="A1" i="17"/>
  <c r="C131" i="44"/>
  <c r="A127" i="44"/>
  <c r="F120" i="44"/>
  <c r="F121" i="44"/>
  <c r="F125" i="44"/>
  <c r="A100" i="44"/>
  <c r="C157" i="41"/>
  <c r="A154" i="41"/>
  <c r="A126" i="41"/>
  <c r="C222" i="40"/>
  <c r="A218" i="40"/>
  <c r="A193" i="40"/>
  <c r="C134" i="6"/>
  <c r="A130" i="6"/>
  <c r="A102" i="6"/>
  <c r="I247" i="36"/>
  <c r="A242" i="36"/>
  <c r="J225" i="36"/>
  <c r="K225" i="36"/>
  <c r="J227" i="36"/>
  <c r="K227" i="36" s="1"/>
  <c r="J229" i="36"/>
  <c r="J230" i="36"/>
  <c r="J231" i="36"/>
  <c r="J232" i="36"/>
  <c r="K232" i="36"/>
  <c r="J233" i="36"/>
  <c r="J234" i="36"/>
  <c r="K234" i="36"/>
  <c r="J236" i="36"/>
  <c r="J238" i="36"/>
  <c r="D239" i="36"/>
  <c r="F238" i="36"/>
  <c r="Q233" i="36"/>
  <c r="Q232" i="36"/>
  <c r="Q231" i="36"/>
  <c r="Q230" i="36"/>
  <c r="Q229" i="36"/>
  <c r="Q228" i="36"/>
  <c r="Q227" i="36"/>
  <c r="Q226" i="36"/>
  <c r="F225" i="36"/>
  <c r="A214" i="36"/>
  <c r="C29" i="64"/>
  <c r="E20" i="63"/>
  <c r="E29" i="63"/>
  <c r="E190" i="36"/>
  <c r="J190" i="36"/>
  <c r="E191" i="36"/>
  <c r="J191" i="36" s="1"/>
  <c r="E192" i="36"/>
  <c r="E204" i="36" s="1"/>
  <c r="J192" i="36"/>
  <c r="E193" i="36"/>
  <c r="J193" i="36" s="1"/>
  <c r="E194" i="36"/>
  <c r="J194" i="36" s="1"/>
  <c r="E195" i="36"/>
  <c r="J195" i="36"/>
  <c r="K195" i="36" s="1"/>
  <c r="E196" i="36"/>
  <c r="I196" i="36" s="1"/>
  <c r="J196" i="36"/>
  <c r="E197" i="36"/>
  <c r="J197" i="36"/>
  <c r="E198" i="36"/>
  <c r="J198" i="36" s="1"/>
  <c r="F21" i="17"/>
  <c r="F29" i="17" s="1"/>
  <c r="C35" i="17"/>
  <c r="C124" i="41"/>
  <c r="E124" i="41" s="1"/>
  <c r="E182" i="40"/>
  <c r="E191" i="40" s="1"/>
  <c r="E164" i="40" s="1"/>
  <c r="F164" i="40" s="1"/>
  <c r="F166" i="40" s="1"/>
  <c r="E183" i="40"/>
  <c r="E184" i="40"/>
  <c r="E185" i="40"/>
  <c r="E186" i="40"/>
  <c r="E187" i="40"/>
  <c r="E188" i="40"/>
  <c r="E189" i="40"/>
  <c r="I180" i="40"/>
  <c r="C35" i="71"/>
  <c r="A31" i="71"/>
  <c r="A1" i="71"/>
  <c r="E20" i="70"/>
  <c r="E29" i="70"/>
  <c r="E40" i="70" s="1"/>
  <c r="I104" i="36"/>
  <c r="D29" i="70"/>
  <c r="C29" i="70"/>
  <c r="E21" i="69"/>
  <c r="E29" i="69"/>
  <c r="E40" i="69"/>
  <c r="D29" i="69"/>
  <c r="C29" i="69"/>
  <c r="E20" i="68"/>
  <c r="E29" i="68"/>
  <c r="E40" i="68" s="1"/>
  <c r="D29" i="68"/>
  <c r="C29" i="68"/>
  <c r="E20" i="67"/>
  <c r="E29" i="67" s="1"/>
  <c r="E40" i="67" s="1"/>
  <c r="D29" i="67"/>
  <c r="C29" i="67"/>
  <c r="D35" i="66"/>
  <c r="A37" i="66"/>
  <c r="F21" i="66"/>
  <c r="F22" i="66"/>
  <c r="F23" i="66"/>
  <c r="F24" i="66"/>
  <c r="F25" i="66"/>
  <c r="F26" i="66"/>
  <c r="F27" i="66"/>
  <c r="F28" i="66"/>
  <c r="F29" i="66"/>
  <c r="F30" i="66"/>
  <c r="F31" i="66"/>
  <c r="F32" i="66"/>
  <c r="F33" i="66"/>
  <c r="F34" i="66"/>
  <c r="E35" i="66"/>
  <c r="A1" i="66"/>
  <c r="E101" i="41"/>
  <c r="F101" i="41" s="1"/>
  <c r="F98" i="41"/>
  <c r="F99" i="41"/>
  <c r="F100" i="41"/>
  <c r="E94" i="6"/>
  <c r="F87" i="44"/>
  <c r="F88" i="44"/>
  <c r="F92" i="44"/>
  <c r="F44" i="5"/>
  <c r="E209" i="50"/>
  <c r="E223" i="50" s="1"/>
  <c r="I209" i="50"/>
  <c r="E210" i="50"/>
  <c r="I210" i="50"/>
  <c r="K210" i="50" s="1"/>
  <c r="E211" i="50"/>
  <c r="I211" i="50"/>
  <c r="K211" i="50" s="1"/>
  <c r="E212" i="50"/>
  <c r="I212" i="50" s="1"/>
  <c r="K212" i="50" s="1"/>
  <c r="E213" i="50"/>
  <c r="I213" i="50"/>
  <c r="K213" i="50" s="1"/>
  <c r="E214" i="50"/>
  <c r="I214" i="50" s="1"/>
  <c r="K214" i="50" s="1"/>
  <c r="E215" i="50"/>
  <c r="I215" i="50" s="1"/>
  <c r="K215" i="50" s="1"/>
  <c r="E216" i="50"/>
  <c r="I216" i="50"/>
  <c r="E217" i="50"/>
  <c r="I217" i="50"/>
  <c r="K217" i="50" s="1"/>
  <c r="E218" i="50"/>
  <c r="I218" i="50" s="1"/>
  <c r="E219" i="50"/>
  <c r="I219" i="50" s="1"/>
  <c r="E220" i="50"/>
  <c r="I220" i="50"/>
  <c r="K220" i="50" s="1"/>
  <c r="E221" i="50"/>
  <c r="J221" i="50" s="1"/>
  <c r="E222" i="50"/>
  <c r="I222" i="50"/>
  <c r="K222" i="50" s="1"/>
  <c r="C153" i="46"/>
  <c r="I191" i="36"/>
  <c r="K191" i="36" s="1"/>
  <c r="I193" i="36"/>
  <c r="K193" i="36" s="1"/>
  <c r="I194" i="36"/>
  <c r="I195" i="36"/>
  <c r="I197" i="36"/>
  <c r="I198" i="36"/>
  <c r="K198" i="36" s="1"/>
  <c r="I190" i="36"/>
  <c r="E199" i="36"/>
  <c r="I199" i="36" s="1"/>
  <c r="K199" i="36" s="1"/>
  <c r="E200" i="36"/>
  <c r="I200" i="36"/>
  <c r="E201" i="36"/>
  <c r="I201" i="36"/>
  <c r="E202" i="36"/>
  <c r="J202" i="36" s="1"/>
  <c r="I202" i="36"/>
  <c r="K202" i="36" s="1"/>
  <c r="E203" i="36"/>
  <c r="J203" i="36" s="1"/>
  <c r="I203" i="36"/>
  <c r="K203" i="36" s="1"/>
  <c r="A39" i="65"/>
  <c r="F58" i="65"/>
  <c r="F73" i="65" s="1"/>
  <c r="A59" i="65"/>
  <c r="F59" i="65"/>
  <c r="F60" i="65"/>
  <c r="F61" i="65"/>
  <c r="F62" i="65"/>
  <c r="F63" i="65"/>
  <c r="F64" i="65"/>
  <c r="F65" i="65"/>
  <c r="F66" i="65"/>
  <c r="F67" i="65"/>
  <c r="F68" i="65"/>
  <c r="F69" i="65"/>
  <c r="F70" i="65"/>
  <c r="F71" i="65"/>
  <c r="F72" i="65"/>
  <c r="D73" i="65"/>
  <c r="E73" i="65"/>
  <c r="A75" i="65"/>
  <c r="A37" i="65"/>
  <c r="F20" i="65"/>
  <c r="F21" i="65"/>
  <c r="F22" i="65"/>
  <c r="F35" i="65" s="1"/>
  <c r="F23" i="65"/>
  <c r="F24" i="65"/>
  <c r="F25" i="65"/>
  <c r="F26" i="65"/>
  <c r="F27" i="65"/>
  <c r="F28" i="65"/>
  <c r="F29" i="65"/>
  <c r="F30" i="65"/>
  <c r="F31" i="65"/>
  <c r="F32" i="65"/>
  <c r="F33" i="65"/>
  <c r="F34" i="65"/>
  <c r="E35" i="65"/>
  <c r="D35" i="65"/>
  <c r="F16" i="65"/>
  <c r="A1" i="65"/>
  <c r="E20" i="64"/>
  <c r="E29" i="64"/>
  <c r="E40" i="64"/>
  <c r="D29" i="64"/>
  <c r="E40" i="63"/>
  <c r="D29" i="63"/>
  <c r="C29" i="63"/>
  <c r="E20" i="62"/>
  <c r="E29" i="62" s="1"/>
  <c r="E40" i="62" s="1"/>
  <c r="D29" i="62"/>
  <c r="C29" i="62"/>
  <c r="E20" i="61"/>
  <c r="E29" i="61" s="1"/>
  <c r="E40" i="61" s="1"/>
  <c r="D29" i="61"/>
  <c r="C29" i="61"/>
  <c r="E20" i="60"/>
  <c r="E29" i="60"/>
  <c r="E40" i="60" s="1"/>
  <c r="D29" i="60"/>
  <c r="C29" i="60"/>
  <c r="E20" i="59"/>
  <c r="E29" i="59"/>
  <c r="E40" i="59" s="1"/>
  <c r="D29" i="59"/>
  <c r="C29" i="59"/>
  <c r="E20" i="58"/>
  <c r="E25" i="58"/>
  <c r="E29" i="58"/>
  <c r="E40" i="58" s="1"/>
  <c r="D29" i="58"/>
  <c r="C29" i="55"/>
  <c r="C21" i="55"/>
  <c r="E20" i="55"/>
  <c r="E29" i="55" s="1"/>
  <c r="E40" i="55" s="1"/>
  <c r="E21" i="55"/>
  <c r="D29" i="55"/>
  <c r="O88" i="44"/>
  <c r="O87" i="44"/>
  <c r="C73" i="7"/>
  <c r="E148" i="46"/>
  <c r="E145" i="46"/>
  <c r="E146" i="46"/>
  <c r="E147" i="46"/>
  <c r="E153" i="46"/>
  <c r="E167" i="46" s="1"/>
  <c r="C159" i="46"/>
  <c r="A155" i="46"/>
  <c r="D153" i="46"/>
  <c r="A125" i="46"/>
  <c r="E67" i="7"/>
  <c r="N67" i="7"/>
  <c r="E64" i="7"/>
  <c r="E65" i="7"/>
  <c r="E66" i="7"/>
  <c r="E73" i="7"/>
  <c r="E87" i="7" s="1"/>
  <c r="C79" i="7"/>
  <c r="A75" i="7"/>
  <c r="D73" i="7"/>
  <c r="N63" i="7"/>
  <c r="N64" i="7"/>
  <c r="N65" i="7"/>
  <c r="N66" i="7"/>
  <c r="A45" i="7"/>
  <c r="K216" i="50"/>
  <c r="J220" i="50"/>
  <c r="J222" i="50"/>
  <c r="I230" i="50"/>
  <c r="A226" i="50"/>
  <c r="D223" i="50"/>
  <c r="F222" i="50"/>
  <c r="F221" i="50"/>
  <c r="F220" i="50"/>
  <c r="F219" i="50"/>
  <c r="F218" i="50"/>
  <c r="F217" i="50"/>
  <c r="F216" i="50"/>
  <c r="F215" i="50"/>
  <c r="F214" i="50"/>
  <c r="F213" i="50"/>
  <c r="F212" i="50"/>
  <c r="F211" i="50"/>
  <c r="F210" i="50"/>
  <c r="F209" i="50"/>
  <c r="A198" i="50"/>
  <c r="C98" i="44"/>
  <c r="A94" i="44"/>
  <c r="A67" i="44"/>
  <c r="C109" i="41"/>
  <c r="A106" i="41"/>
  <c r="A78" i="41"/>
  <c r="F191" i="40"/>
  <c r="C172" i="40"/>
  <c r="A168" i="40"/>
  <c r="A143" i="40"/>
  <c r="C100" i="6"/>
  <c r="A96" i="6"/>
  <c r="A68" i="6"/>
  <c r="I212" i="36"/>
  <c r="A207" i="36"/>
  <c r="K196" i="36"/>
  <c r="K197" i="36"/>
  <c r="J199" i="36"/>
  <c r="J200" i="36"/>
  <c r="K200" i="36"/>
  <c r="J201" i="36"/>
  <c r="D204" i="36"/>
  <c r="F203" i="36"/>
  <c r="F202" i="36"/>
  <c r="F201" i="36"/>
  <c r="F200" i="36"/>
  <c r="F199" i="36"/>
  <c r="Q198" i="36"/>
  <c r="F198" i="36"/>
  <c r="Q197" i="36"/>
  <c r="F197" i="36"/>
  <c r="Q196" i="36"/>
  <c r="F196" i="36"/>
  <c r="Q195" i="36"/>
  <c r="F195" i="36"/>
  <c r="Q194" i="36"/>
  <c r="F194" i="36"/>
  <c r="Q193" i="36"/>
  <c r="F193" i="36"/>
  <c r="Q192" i="36"/>
  <c r="F192" i="36"/>
  <c r="Q191" i="36"/>
  <c r="F191" i="36"/>
  <c r="F190" i="36"/>
  <c r="A179" i="36"/>
  <c r="E137" i="40"/>
  <c r="E141" i="40" s="1"/>
  <c r="E120" i="40" s="1"/>
  <c r="F120" i="40" s="1"/>
  <c r="F122" i="40" s="1"/>
  <c r="E138" i="40"/>
  <c r="E139" i="40"/>
  <c r="F54" i="41"/>
  <c r="F60" i="41" s="1"/>
  <c r="F55" i="41"/>
  <c r="F56" i="41"/>
  <c r="C76" i="41"/>
  <c r="E76" i="41" s="1"/>
  <c r="E57" i="41"/>
  <c r="F57" i="41" s="1"/>
  <c r="C31" i="42"/>
  <c r="E7" i="5" s="1"/>
  <c r="F21" i="49"/>
  <c r="F22" i="49"/>
  <c r="F35" i="49" s="1"/>
  <c r="F23" i="49"/>
  <c r="F24" i="49"/>
  <c r="F25" i="49"/>
  <c r="F26" i="49"/>
  <c r="E20" i="7"/>
  <c r="E21" i="7"/>
  <c r="E22" i="7"/>
  <c r="C29" i="7"/>
  <c r="N19" i="7"/>
  <c r="N20" i="7"/>
  <c r="N21" i="7"/>
  <c r="N22" i="7"/>
  <c r="N23" i="7"/>
  <c r="AM11" i="56"/>
  <c r="F250" i="40"/>
  <c r="E103" i="46"/>
  <c r="E109" i="46" s="1"/>
  <c r="E123" i="46" s="1"/>
  <c r="E60" i="6"/>
  <c r="F54" i="44"/>
  <c r="F55" i="44"/>
  <c r="F59" i="44"/>
  <c r="C109" i="46"/>
  <c r="D35" i="49"/>
  <c r="E171" i="50"/>
  <c r="I171" i="50" s="1"/>
  <c r="K171" i="50" s="1"/>
  <c r="E172" i="50"/>
  <c r="I172" i="50" s="1"/>
  <c r="K172" i="50" s="1"/>
  <c r="E173" i="50"/>
  <c r="I173" i="50" s="1"/>
  <c r="K173" i="50" s="1"/>
  <c r="E174" i="50"/>
  <c r="I174" i="50"/>
  <c r="E175" i="50"/>
  <c r="I175" i="50"/>
  <c r="E176" i="50"/>
  <c r="I176" i="50"/>
  <c r="K176" i="50" s="1"/>
  <c r="E177" i="50"/>
  <c r="I177" i="50"/>
  <c r="K177" i="50" s="1"/>
  <c r="E178" i="50"/>
  <c r="I178" i="50" s="1"/>
  <c r="K178" i="50" s="1"/>
  <c r="E179" i="50"/>
  <c r="I179" i="50" s="1"/>
  <c r="K179" i="50" s="1"/>
  <c r="E170" i="50"/>
  <c r="E184" i="50" s="1"/>
  <c r="E180" i="50"/>
  <c r="J180" i="50" s="1"/>
  <c r="J184" i="50" s="1"/>
  <c r="I180" i="50"/>
  <c r="E181" i="50"/>
  <c r="I181" i="50"/>
  <c r="E182" i="50"/>
  <c r="I182" i="50"/>
  <c r="K182" i="50" s="1"/>
  <c r="E183" i="50"/>
  <c r="I183" i="50"/>
  <c r="E155" i="36"/>
  <c r="I155" i="36"/>
  <c r="K155" i="36" s="1"/>
  <c r="E156" i="36"/>
  <c r="I156" i="36"/>
  <c r="E157" i="36"/>
  <c r="I157" i="36"/>
  <c r="E158" i="36"/>
  <c r="I158" i="36" s="1"/>
  <c r="K158" i="36" s="1"/>
  <c r="E159" i="36"/>
  <c r="I159" i="36" s="1"/>
  <c r="K159" i="36" s="1"/>
  <c r="E160" i="36"/>
  <c r="I160" i="36"/>
  <c r="E161" i="36"/>
  <c r="I161" i="36"/>
  <c r="K161" i="36" s="1"/>
  <c r="E162" i="36"/>
  <c r="I162" i="36" s="1"/>
  <c r="K162" i="36" s="1"/>
  <c r="E154" i="36"/>
  <c r="E168" i="36" s="1"/>
  <c r="E163" i="36"/>
  <c r="I163" i="36" s="1"/>
  <c r="K163" i="36" s="1"/>
  <c r="E164" i="36"/>
  <c r="I164" i="36" s="1"/>
  <c r="K164" i="36" s="1"/>
  <c r="E165" i="36"/>
  <c r="J165" i="36" s="1"/>
  <c r="I165" i="36"/>
  <c r="E166" i="36"/>
  <c r="I166" i="36"/>
  <c r="E167" i="36"/>
  <c r="I167" i="36" s="1"/>
  <c r="E101" i="46"/>
  <c r="E102" i="46"/>
  <c r="C115" i="46"/>
  <c r="A111" i="46"/>
  <c r="D109" i="46"/>
  <c r="A81" i="46"/>
  <c r="K174" i="50"/>
  <c r="K175" i="50"/>
  <c r="J179" i="50"/>
  <c r="J181" i="50"/>
  <c r="K181" i="50"/>
  <c r="J182" i="50"/>
  <c r="J183" i="50"/>
  <c r="K183" i="50"/>
  <c r="I191" i="50"/>
  <c r="A187" i="50"/>
  <c r="D184" i="50"/>
  <c r="F183" i="50"/>
  <c r="F182" i="50"/>
  <c r="F181" i="50"/>
  <c r="F180" i="50"/>
  <c r="F179" i="50"/>
  <c r="F178" i="50"/>
  <c r="F177" i="50"/>
  <c r="F176" i="50"/>
  <c r="F175" i="50"/>
  <c r="F174" i="50"/>
  <c r="F173" i="50"/>
  <c r="F172" i="50"/>
  <c r="F171" i="50"/>
  <c r="F170" i="50"/>
  <c r="A159" i="50"/>
  <c r="C65" i="44"/>
  <c r="C32" i="44"/>
  <c r="A61" i="44"/>
  <c r="A28" i="44"/>
  <c r="A34" i="44"/>
  <c r="A1" i="44"/>
  <c r="C107" i="28"/>
  <c r="A103" i="28"/>
  <c r="A73" i="28"/>
  <c r="F141" i="40"/>
  <c r="C128" i="40"/>
  <c r="A124" i="40"/>
  <c r="A99" i="40"/>
  <c r="A37" i="49"/>
  <c r="F27" i="49"/>
  <c r="F28" i="49"/>
  <c r="F29" i="49"/>
  <c r="F30" i="49"/>
  <c r="F31" i="49"/>
  <c r="F32" i="49"/>
  <c r="F33" i="49"/>
  <c r="F34" i="49"/>
  <c r="E35" i="49"/>
  <c r="A21" i="49"/>
  <c r="A1" i="49"/>
  <c r="I176" i="36"/>
  <c r="A171" i="36"/>
  <c r="K156" i="36"/>
  <c r="K157" i="36"/>
  <c r="K160" i="36"/>
  <c r="J163" i="36"/>
  <c r="J164" i="36"/>
  <c r="J166" i="36"/>
  <c r="K166" i="36"/>
  <c r="D168" i="36"/>
  <c r="F167" i="36"/>
  <c r="F166" i="36"/>
  <c r="F165" i="36"/>
  <c r="F164" i="36"/>
  <c r="F163" i="36"/>
  <c r="Q162" i="36"/>
  <c r="F162" i="36"/>
  <c r="Q161" i="36"/>
  <c r="F161" i="36"/>
  <c r="Q160" i="36"/>
  <c r="F160" i="36"/>
  <c r="Q159" i="36"/>
  <c r="F159" i="36"/>
  <c r="Q158" i="36"/>
  <c r="F158" i="36"/>
  <c r="Q157" i="36"/>
  <c r="F157" i="36"/>
  <c r="Q156" i="36"/>
  <c r="F156" i="36"/>
  <c r="Q155" i="36"/>
  <c r="F155" i="36"/>
  <c r="F154" i="36"/>
  <c r="A143" i="36"/>
  <c r="C65" i="46"/>
  <c r="E58" i="46"/>
  <c r="E88" i="40"/>
  <c r="E97" i="40" s="1"/>
  <c r="E74" i="40" s="1"/>
  <c r="F74" i="40" s="1"/>
  <c r="F76" i="40" s="1"/>
  <c r="E89" i="40"/>
  <c r="E90" i="40"/>
  <c r="E91" i="40"/>
  <c r="E92" i="40"/>
  <c r="E94" i="40"/>
  <c r="E132" i="50"/>
  <c r="I132" i="50"/>
  <c r="K132" i="50"/>
  <c r="E133" i="50"/>
  <c r="I133" i="50"/>
  <c r="K133" i="50" s="1"/>
  <c r="E134" i="50"/>
  <c r="I134" i="50"/>
  <c r="K134" i="50" s="1"/>
  <c r="E135" i="50"/>
  <c r="I135" i="50"/>
  <c r="K135" i="50"/>
  <c r="E136" i="50"/>
  <c r="I136" i="50"/>
  <c r="K136" i="50" s="1"/>
  <c r="E137" i="50"/>
  <c r="I137" i="50"/>
  <c r="K137" i="50" s="1"/>
  <c r="E138" i="50"/>
  <c r="I138" i="50" s="1"/>
  <c r="K138" i="50" s="1"/>
  <c r="E139" i="50"/>
  <c r="I139" i="50" s="1"/>
  <c r="K139" i="50" s="1"/>
  <c r="E140" i="50"/>
  <c r="I140" i="50"/>
  <c r="J140" i="50"/>
  <c r="K140" i="50"/>
  <c r="E141" i="50"/>
  <c r="I141" i="50"/>
  <c r="K141" i="50" s="1"/>
  <c r="J141" i="50"/>
  <c r="E142" i="50"/>
  <c r="I142" i="50" s="1"/>
  <c r="E143" i="50"/>
  <c r="I143" i="50"/>
  <c r="J143" i="50"/>
  <c r="K143" i="50"/>
  <c r="E144" i="50"/>
  <c r="J144" i="50" s="1"/>
  <c r="I144" i="50"/>
  <c r="K144" i="50" s="1"/>
  <c r="A58" i="46"/>
  <c r="F97" i="40"/>
  <c r="F61" i="28"/>
  <c r="AM5" i="56"/>
  <c r="AM6" i="56"/>
  <c r="AN6" i="56" s="1"/>
  <c r="E131" i="50"/>
  <c r="I131" i="50"/>
  <c r="E120" i="36"/>
  <c r="I120" i="36"/>
  <c r="K120" i="36" s="1"/>
  <c r="E121" i="36"/>
  <c r="I121" i="36"/>
  <c r="K121" i="36" s="1"/>
  <c r="E125" i="36"/>
  <c r="I125" i="36" s="1"/>
  <c r="K125" i="36" s="1"/>
  <c r="E119" i="36"/>
  <c r="I119" i="36" s="1"/>
  <c r="E122" i="36"/>
  <c r="I122" i="36"/>
  <c r="E123" i="36"/>
  <c r="I123" i="36"/>
  <c r="E124" i="36"/>
  <c r="I124" i="36"/>
  <c r="E126" i="36"/>
  <c r="I126" i="36"/>
  <c r="K126" i="36" s="1"/>
  <c r="E118" i="36"/>
  <c r="E132" i="36" s="1"/>
  <c r="I118" i="36"/>
  <c r="K118" i="36" s="1"/>
  <c r="E127" i="36"/>
  <c r="I127" i="36" s="1"/>
  <c r="E128" i="36"/>
  <c r="I128" i="36" s="1"/>
  <c r="E129" i="36"/>
  <c r="I129" i="36"/>
  <c r="E130" i="36"/>
  <c r="I130" i="36"/>
  <c r="E131" i="36"/>
  <c r="I131" i="36"/>
  <c r="F21" i="44"/>
  <c r="F26" i="44" s="1"/>
  <c r="F22" i="44"/>
  <c r="F20" i="32"/>
  <c r="F29" i="32" s="1"/>
  <c r="E13" i="5" s="1"/>
  <c r="F65" i="28"/>
  <c r="C35" i="32"/>
  <c r="A31" i="32"/>
  <c r="F16" i="32"/>
  <c r="A1" i="32"/>
  <c r="I152" i="50"/>
  <c r="A148" i="50"/>
  <c r="E145" i="50"/>
  <c r="D145" i="50"/>
  <c r="F144" i="50"/>
  <c r="F143" i="50"/>
  <c r="F142" i="50"/>
  <c r="F141" i="50"/>
  <c r="F140" i="50"/>
  <c r="F139" i="50"/>
  <c r="F138" i="50"/>
  <c r="F137" i="50"/>
  <c r="F136" i="50"/>
  <c r="F135" i="50"/>
  <c r="F134" i="50"/>
  <c r="F133" i="50"/>
  <c r="F132" i="50"/>
  <c r="F131" i="50"/>
  <c r="A120" i="50"/>
  <c r="C35" i="7"/>
  <c r="A31" i="7"/>
  <c r="A1" i="7"/>
  <c r="C71" i="47"/>
  <c r="A67" i="47"/>
  <c r="E56" i="47"/>
  <c r="E65" i="47" s="1"/>
  <c r="D65" i="47"/>
  <c r="C65" i="47"/>
  <c r="E52" i="47"/>
  <c r="A37" i="47"/>
  <c r="A31" i="47"/>
  <c r="C71" i="46"/>
  <c r="A67" i="46"/>
  <c r="E57" i="46"/>
  <c r="E65" i="46" s="1"/>
  <c r="E79" i="46" s="1"/>
  <c r="D65" i="46"/>
  <c r="A37" i="46"/>
  <c r="C35" i="47"/>
  <c r="A1" i="47"/>
  <c r="C35" i="46"/>
  <c r="A31" i="46"/>
  <c r="A1" i="46"/>
  <c r="K93" i="50"/>
  <c r="K94" i="50"/>
  <c r="E95" i="50"/>
  <c r="J95" i="50"/>
  <c r="K95" i="50" s="1"/>
  <c r="E96" i="50"/>
  <c r="J96" i="50"/>
  <c r="K96" i="50" s="1"/>
  <c r="E97" i="50"/>
  <c r="J97" i="50" s="1"/>
  <c r="K97" i="50" s="1"/>
  <c r="E98" i="50"/>
  <c r="J98" i="50" s="1"/>
  <c r="K98" i="50" s="1"/>
  <c r="E99" i="50"/>
  <c r="J99" i="50"/>
  <c r="K99" i="50"/>
  <c r="E100" i="50"/>
  <c r="J100" i="50" s="1"/>
  <c r="K100" i="50" s="1"/>
  <c r="E101" i="50"/>
  <c r="I101" i="50" s="1"/>
  <c r="E102" i="50"/>
  <c r="I102" i="50"/>
  <c r="K102" i="50" s="1"/>
  <c r="J102" i="50"/>
  <c r="E103" i="50"/>
  <c r="I103" i="50"/>
  <c r="J103" i="50"/>
  <c r="K103" i="50"/>
  <c r="E104" i="50"/>
  <c r="I104" i="50"/>
  <c r="K104" i="50" s="1"/>
  <c r="J104" i="50"/>
  <c r="E105" i="50"/>
  <c r="I105" i="50" s="1"/>
  <c r="I113" i="50"/>
  <c r="A109" i="50"/>
  <c r="A81" i="50"/>
  <c r="C69" i="45"/>
  <c r="A65" i="45"/>
  <c r="F58" i="45"/>
  <c r="F63" i="45" s="1"/>
  <c r="F59" i="45"/>
  <c r="F60" i="45"/>
  <c r="F53" i="45"/>
  <c r="A38" i="45"/>
  <c r="C32" i="45"/>
  <c r="A28" i="45"/>
  <c r="A1" i="45"/>
  <c r="C71" i="28"/>
  <c r="C35" i="28"/>
  <c r="A67" i="28"/>
  <c r="A37" i="28"/>
  <c r="A31" i="28"/>
  <c r="A1" i="28"/>
  <c r="C65" i="41"/>
  <c r="A62" i="41"/>
  <c r="A34" i="41"/>
  <c r="C32" i="41"/>
  <c r="A29" i="41"/>
  <c r="A1" i="41"/>
  <c r="A78" i="40"/>
  <c r="A26" i="40"/>
  <c r="C82" i="40"/>
  <c r="C30" i="40"/>
  <c r="A53" i="40"/>
  <c r="E47" i="36"/>
  <c r="I47" i="36" s="1"/>
  <c r="E48" i="36"/>
  <c r="I48" i="36"/>
  <c r="K48" i="36" s="1"/>
  <c r="J48" i="36"/>
  <c r="E49" i="36"/>
  <c r="I49" i="36" s="1"/>
  <c r="E50" i="36"/>
  <c r="I50" i="36"/>
  <c r="K50" i="36" s="1"/>
  <c r="J50" i="36"/>
  <c r="E51" i="36"/>
  <c r="J51" i="36" s="1"/>
  <c r="I51" i="36"/>
  <c r="E52" i="36"/>
  <c r="I52" i="36" s="1"/>
  <c r="K52" i="36" s="1"/>
  <c r="J52" i="36"/>
  <c r="E53" i="36"/>
  <c r="I53" i="36"/>
  <c r="J53" i="36"/>
  <c r="K53" i="36"/>
  <c r="E54" i="36"/>
  <c r="I54" i="36" s="1"/>
  <c r="E55" i="36"/>
  <c r="I55" i="36"/>
  <c r="K55" i="36" s="1"/>
  <c r="J55" i="36"/>
  <c r="E56" i="36"/>
  <c r="I56" i="36" s="1"/>
  <c r="E57" i="36"/>
  <c r="I57" i="36"/>
  <c r="K57" i="36" s="1"/>
  <c r="J57" i="36"/>
  <c r="E58" i="36"/>
  <c r="J58" i="36" s="1"/>
  <c r="I58" i="36"/>
  <c r="K58" i="36" s="1"/>
  <c r="E59" i="36"/>
  <c r="I59" i="36" s="1"/>
  <c r="K59" i="36" s="1"/>
  <c r="J59" i="36"/>
  <c r="E60" i="36"/>
  <c r="I60" i="36"/>
  <c r="J60" i="36"/>
  <c r="K60" i="36"/>
  <c r="E61" i="36"/>
  <c r="D61" i="36"/>
  <c r="F60" i="36"/>
  <c r="F59" i="36"/>
  <c r="F58" i="36"/>
  <c r="F57" i="36"/>
  <c r="F56" i="36"/>
  <c r="F55" i="36"/>
  <c r="F54" i="36"/>
  <c r="F53" i="36"/>
  <c r="F52" i="36"/>
  <c r="F51" i="36"/>
  <c r="F50" i="36"/>
  <c r="F49" i="36"/>
  <c r="F48" i="36"/>
  <c r="F47" i="36"/>
  <c r="A1" i="40"/>
  <c r="A34" i="6"/>
  <c r="K122" i="36"/>
  <c r="K123" i="36"/>
  <c r="K124" i="36"/>
  <c r="C66" i="6"/>
  <c r="A62" i="6"/>
  <c r="C32" i="6"/>
  <c r="A28" i="6"/>
  <c r="A1" i="6"/>
  <c r="I140" i="36"/>
  <c r="A135" i="36"/>
  <c r="J129" i="36"/>
  <c r="K129" i="36"/>
  <c r="J130" i="36"/>
  <c r="K130" i="36"/>
  <c r="J131" i="36"/>
  <c r="K131" i="36" s="1"/>
  <c r="D132" i="36"/>
  <c r="F131" i="36"/>
  <c r="F130" i="36"/>
  <c r="F129" i="36"/>
  <c r="F128" i="36"/>
  <c r="F127" i="36"/>
  <c r="Q126" i="36"/>
  <c r="F126" i="36"/>
  <c r="Q125" i="36"/>
  <c r="F125" i="36"/>
  <c r="Q124" i="36"/>
  <c r="F124" i="36"/>
  <c r="Q123" i="36"/>
  <c r="F123" i="36"/>
  <c r="Q122" i="36"/>
  <c r="F122" i="36"/>
  <c r="Q121" i="36"/>
  <c r="F121" i="36"/>
  <c r="Q120" i="36"/>
  <c r="F120" i="36"/>
  <c r="Q119" i="36"/>
  <c r="F119" i="36"/>
  <c r="F118" i="36"/>
  <c r="A107" i="36"/>
  <c r="A71" i="36"/>
  <c r="A99" i="36"/>
  <c r="C29" i="46"/>
  <c r="E26" i="6"/>
  <c r="E21" i="46"/>
  <c r="F22" i="28"/>
  <c r="E36" i="40"/>
  <c r="E37" i="40"/>
  <c r="F43" i="40" s="1"/>
  <c r="F51" i="40" s="1"/>
  <c r="E38" i="40"/>
  <c r="E39" i="40"/>
  <c r="E40" i="40"/>
  <c r="E51" i="40" s="1"/>
  <c r="E41" i="40"/>
  <c r="E42" i="40"/>
  <c r="E43" i="40"/>
  <c r="E45" i="40"/>
  <c r="F46" i="40" s="1"/>
  <c r="E46" i="40"/>
  <c r="E48" i="40"/>
  <c r="F49" i="40" s="1"/>
  <c r="E49" i="40"/>
  <c r="P28" i="41"/>
  <c r="Q28" i="41"/>
  <c r="F21" i="45"/>
  <c r="F22" i="45"/>
  <c r="F26" i="45" s="1"/>
  <c r="F23" i="45"/>
  <c r="F21" i="41"/>
  <c r="F22" i="41"/>
  <c r="F27" i="41" s="1"/>
  <c r="F23" i="41"/>
  <c r="F24" i="41"/>
  <c r="F29" i="28"/>
  <c r="E82" i="36"/>
  <c r="I82" i="36" s="1"/>
  <c r="E91" i="36"/>
  <c r="I91" i="36"/>
  <c r="E92" i="36"/>
  <c r="I92" i="36"/>
  <c r="E93" i="36"/>
  <c r="J93" i="36" s="1"/>
  <c r="E94" i="36"/>
  <c r="I94" i="36" s="1"/>
  <c r="E95" i="36"/>
  <c r="I95" i="36"/>
  <c r="K95" i="36" s="1"/>
  <c r="E92" i="50"/>
  <c r="E106" i="50" s="1"/>
  <c r="I92" i="50"/>
  <c r="Q89" i="36"/>
  <c r="Q90" i="36"/>
  <c r="Q84" i="36"/>
  <c r="Q85" i="36"/>
  <c r="Q86" i="36"/>
  <c r="Q87" i="36"/>
  <c r="Q88" i="36"/>
  <c r="Q83" i="36"/>
  <c r="E55" i="50"/>
  <c r="I55" i="50"/>
  <c r="K55" i="50" s="1"/>
  <c r="J55" i="50"/>
  <c r="E56" i="50"/>
  <c r="I56" i="50" s="1"/>
  <c r="K56" i="50" s="1"/>
  <c r="J56" i="50"/>
  <c r="E57" i="50"/>
  <c r="I57" i="50"/>
  <c r="K57" i="50" s="1"/>
  <c r="J57" i="50"/>
  <c r="E58" i="50"/>
  <c r="I58" i="50" s="1"/>
  <c r="E59" i="50"/>
  <c r="I59" i="50"/>
  <c r="J59" i="50"/>
  <c r="K59" i="50" s="1"/>
  <c r="E60" i="50"/>
  <c r="J60" i="50" s="1"/>
  <c r="I60" i="50"/>
  <c r="K60" i="50" s="1"/>
  <c r="E61" i="50"/>
  <c r="I61" i="50" s="1"/>
  <c r="E62" i="50"/>
  <c r="I62" i="50"/>
  <c r="K62" i="50" s="1"/>
  <c r="J62" i="50"/>
  <c r="E63" i="50"/>
  <c r="I63" i="50" s="1"/>
  <c r="K63" i="50" s="1"/>
  <c r="J63" i="50"/>
  <c r="E64" i="50"/>
  <c r="I64" i="50"/>
  <c r="K64" i="50" s="1"/>
  <c r="J64" i="50"/>
  <c r="E65" i="50"/>
  <c r="I65" i="50" s="1"/>
  <c r="E52" i="50"/>
  <c r="I52" i="50" s="1"/>
  <c r="E53" i="50"/>
  <c r="J53" i="50"/>
  <c r="E54" i="50"/>
  <c r="J54" i="50"/>
  <c r="I53" i="50"/>
  <c r="I54" i="50"/>
  <c r="D66" i="50"/>
  <c r="F65" i="50"/>
  <c r="F64" i="50"/>
  <c r="F63" i="50"/>
  <c r="F62" i="50"/>
  <c r="F61" i="50"/>
  <c r="F60" i="50"/>
  <c r="F59" i="50"/>
  <c r="F58" i="50"/>
  <c r="F57" i="50"/>
  <c r="F56" i="50"/>
  <c r="F55" i="50"/>
  <c r="F54" i="50"/>
  <c r="F53" i="50"/>
  <c r="F52" i="50"/>
  <c r="D29" i="47"/>
  <c r="C29" i="47"/>
  <c r="E20" i="42"/>
  <c r="E31" i="42" s="1"/>
  <c r="E43" i="42" s="1"/>
  <c r="E12" i="50"/>
  <c r="I12" i="50" s="1"/>
  <c r="E13" i="50"/>
  <c r="J13" i="50" s="1"/>
  <c r="I13" i="50"/>
  <c r="E14" i="50"/>
  <c r="I14" i="50" s="1"/>
  <c r="E15" i="50"/>
  <c r="I15" i="50"/>
  <c r="K15" i="50" s="1"/>
  <c r="J15" i="50"/>
  <c r="E16" i="50"/>
  <c r="J16" i="50" s="1"/>
  <c r="I16" i="50"/>
  <c r="K16" i="50" s="1"/>
  <c r="E17" i="50"/>
  <c r="I17" i="50" s="1"/>
  <c r="K17" i="50" s="1"/>
  <c r="J17" i="50"/>
  <c r="E18" i="50"/>
  <c r="I18" i="50"/>
  <c r="J18" i="50"/>
  <c r="K18" i="50"/>
  <c r="E19" i="50"/>
  <c r="I19" i="50" s="1"/>
  <c r="E20" i="50"/>
  <c r="J20" i="50" s="1"/>
  <c r="I20" i="50"/>
  <c r="K20" i="50" s="1"/>
  <c r="E21" i="50"/>
  <c r="I21" i="50" s="1"/>
  <c r="E22" i="50"/>
  <c r="I22" i="50"/>
  <c r="K22" i="50" s="1"/>
  <c r="J22" i="50"/>
  <c r="E23" i="50"/>
  <c r="J23" i="50" s="1"/>
  <c r="I23" i="50"/>
  <c r="K23" i="50" s="1"/>
  <c r="E24" i="50"/>
  <c r="I24" i="50" s="1"/>
  <c r="K24" i="50" s="1"/>
  <c r="J24" i="50"/>
  <c r="E25" i="50"/>
  <c r="I25" i="50"/>
  <c r="J25" i="50"/>
  <c r="K25" i="50"/>
  <c r="E21" i="42"/>
  <c r="E22" i="42"/>
  <c r="D26" i="50"/>
  <c r="F25" i="50"/>
  <c r="F24" i="50"/>
  <c r="F23" i="50"/>
  <c r="F22" i="50"/>
  <c r="F21" i="50"/>
  <c r="F20" i="50"/>
  <c r="F19" i="50"/>
  <c r="F18" i="50"/>
  <c r="F17" i="50"/>
  <c r="F16" i="50"/>
  <c r="F15" i="50"/>
  <c r="F14" i="50"/>
  <c r="F13" i="50"/>
  <c r="F12" i="50"/>
  <c r="E12" i="36"/>
  <c r="I12" i="36"/>
  <c r="J12" i="36"/>
  <c r="K12" i="36"/>
  <c r="E13" i="36"/>
  <c r="I13" i="36" s="1"/>
  <c r="E14" i="36"/>
  <c r="J14" i="36" s="1"/>
  <c r="I14" i="36"/>
  <c r="K14" i="36" s="1"/>
  <c r="E15" i="36"/>
  <c r="I15" i="36" s="1"/>
  <c r="E16" i="36"/>
  <c r="I16" i="36"/>
  <c r="K16" i="36" s="1"/>
  <c r="J16" i="36"/>
  <c r="E17" i="36"/>
  <c r="J17" i="36" s="1"/>
  <c r="I17" i="36"/>
  <c r="K17" i="36" s="1"/>
  <c r="E18" i="36"/>
  <c r="I18" i="36" s="1"/>
  <c r="K18" i="36" s="1"/>
  <c r="J18" i="36"/>
  <c r="E19" i="36"/>
  <c r="I19" i="36"/>
  <c r="J19" i="36"/>
  <c r="K19" i="36"/>
  <c r="E20" i="36"/>
  <c r="I20" i="36" s="1"/>
  <c r="E21" i="36"/>
  <c r="J21" i="36" s="1"/>
  <c r="I21" i="36"/>
  <c r="E22" i="36"/>
  <c r="I22" i="36" s="1"/>
  <c r="E23" i="36"/>
  <c r="I23" i="36"/>
  <c r="K23" i="36" s="1"/>
  <c r="J23" i="36"/>
  <c r="E24" i="36"/>
  <c r="J24" i="36" s="1"/>
  <c r="I24" i="36"/>
  <c r="K24" i="36" s="1"/>
  <c r="E25" i="36"/>
  <c r="I25" i="36" s="1"/>
  <c r="K25" i="36" s="1"/>
  <c r="J25" i="36"/>
  <c r="D26" i="36"/>
  <c r="F25" i="36"/>
  <c r="F24" i="36"/>
  <c r="F23" i="36"/>
  <c r="F22" i="36"/>
  <c r="F21" i="36"/>
  <c r="F20" i="36"/>
  <c r="F19" i="36"/>
  <c r="F18" i="36"/>
  <c r="F17" i="36"/>
  <c r="F16" i="36"/>
  <c r="F15" i="36"/>
  <c r="F14" i="36"/>
  <c r="F13" i="36"/>
  <c r="F12" i="36"/>
  <c r="F22" i="40"/>
  <c r="F24" i="40"/>
  <c r="L10" i="54"/>
  <c r="L43" i="54" s="1"/>
  <c r="L44" i="54" s="1"/>
  <c r="L11" i="54"/>
  <c r="L12" i="54"/>
  <c r="L13" i="54"/>
  <c r="L14" i="54"/>
  <c r="L15" i="54"/>
  <c r="L16" i="54"/>
  <c r="L17" i="54"/>
  <c r="L18" i="54"/>
  <c r="L19" i="54"/>
  <c r="L20" i="54"/>
  <c r="L21" i="54"/>
  <c r="L22" i="54"/>
  <c r="L23" i="54"/>
  <c r="L24" i="54"/>
  <c r="L25" i="54"/>
  <c r="L26" i="54"/>
  <c r="L27" i="54"/>
  <c r="L28" i="54"/>
  <c r="L29" i="54"/>
  <c r="L30" i="54"/>
  <c r="L31" i="54"/>
  <c r="L32" i="54"/>
  <c r="L33" i="54"/>
  <c r="L34" i="54"/>
  <c r="L35" i="54"/>
  <c r="L36" i="54"/>
  <c r="L37" i="54"/>
  <c r="L38" i="54"/>
  <c r="L39" i="54"/>
  <c r="L40" i="54"/>
  <c r="L41" i="54"/>
  <c r="L42" i="54"/>
  <c r="K43" i="54"/>
  <c r="K44" i="54"/>
  <c r="J43" i="54"/>
  <c r="J44" i="54"/>
  <c r="F41" i="54"/>
  <c r="F43" i="54" s="1"/>
  <c r="E41" i="54"/>
  <c r="E43" i="54"/>
  <c r="L2" i="54"/>
  <c r="J2" i="54"/>
  <c r="H118" i="50"/>
  <c r="J2" i="52"/>
  <c r="G3" i="53"/>
  <c r="L2" i="52"/>
  <c r="E93" i="50"/>
  <c r="E94" i="50"/>
  <c r="G144" i="53"/>
  <c r="E69" i="52"/>
  <c r="F69" i="52"/>
  <c r="J69" i="52"/>
  <c r="J70" i="52" s="1"/>
  <c r="K69" i="52"/>
  <c r="K70" i="52" s="1"/>
  <c r="L70" i="52"/>
  <c r="D106" i="50"/>
  <c r="F105" i="50"/>
  <c r="F104" i="50"/>
  <c r="F103" i="50"/>
  <c r="F102" i="50"/>
  <c r="F101" i="50"/>
  <c r="F100" i="50"/>
  <c r="F99" i="50"/>
  <c r="F98" i="50"/>
  <c r="F97" i="50"/>
  <c r="F96" i="50"/>
  <c r="F95" i="50"/>
  <c r="F94" i="50"/>
  <c r="F93" i="50"/>
  <c r="F92" i="50"/>
  <c r="D31" i="42"/>
  <c r="F94" i="36"/>
  <c r="E83" i="36"/>
  <c r="E96" i="36" s="1"/>
  <c r="K83" i="36"/>
  <c r="F83" i="36"/>
  <c r="A1" i="5"/>
  <c r="A1" i="48"/>
  <c r="A1" i="42"/>
  <c r="A1" i="37"/>
  <c r="A1" i="39"/>
  <c r="A1" i="4"/>
  <c r="E84" i="36"/>
  <c r="E85" i="36"/>
  <c r="E86" i="36"/>
  <c r="E87" i="36"/>
  <c r="E88" i="36"/>
  <c r="E89" i="36"/>
  <c r="J89" i="36" s="1"/>
  <c r="K89" i="36" s="1"/>
  <c r="E90" i="36"/>
  <c r="J90" i="36" s="1"/>
  <c r="K90" i="36" s="1"/>
  <c r="H22" i="4"/>
  <c r="H31" i="4" s="1"/>
  <c r="H23" i="4"/>
  <c r="H25" i="4"/>
  <c r="H26" i="4"/>
  <c r="H28" i="4"/>
  <c r="H29" i="4"/>
  <c r="G19" i="39"/>
  <c r="G27" i="39" s="1"/>
  <c r="C37" i="42"/>
  <c r="D33" i="37"/>
  <c r="D33" i="39"/>
  <c r="E36" i="4"/>
  <c r="E30" i="42"/>
  <c r="E29" i="42"/>
  <c r="E20" i="47"/>
  <c r="E29" i="47"/>
  <c r="D29" i="46"/>
  <c r="E28" i="42"/>
  <c r="E24" i="42"/>
  <c r="E25" i="42"/>
  <c r="E26" i="42"/>
  <c r="E27" i="42"/>
  <c r="D29" i="7"/>
  <c r="E23" i="42"/>
  <c r="E29" i="46"/>
  <c r="A33" i="42"/>
  <c r="E16" i="42"/>
  <c r="A33" i="4"/>
  <c r="A29" i="39"/>
  <c r="A29" i="37"/>
  <c r="G15" i="39"/>
  <c r="F15" i="37"/>
  <c r="G20" i="37"/>
  <c r="G19" i="37"/>
  <c r="G22" i="4"/>
  <c r="G31" i="4" s="1"/>
  <c r="G25" i="4"/>
  <c r="G28" i="4"/>
  <c r="G27" i="37"/>
  <c r="D96" i="36"/>
  <c r="F95" i="36"/>
  <c r="F93" i="36"/>
  <c r="F92" i="36"/>
  <c r="F91" i="36"/>
  <c r="J91" i="36"/>
  <c r="F90" i="36"/>
  <c r="F89" i="36"/>
  <c r="F88" i="36"/>
  <c r="F87" i="36"/>
  <c r="J87" i="36"/>
  <c r="K87" i="36" s="1"/>
  <c r="F86" i="36"/>
  <c r="F85" i="36"/>
  <c r="J85" i="36"/>
  <c r="F84" i="36"/>
  <c r="F82" i="36"/>
  <c r="J92" i="36"/>
  <c r="K92" i="36" s="1"/>
  <c r="J95" i="36"/>
  <c r="K84" i="36"/>
  <c r="J86" i="36"/>
  <c r="K86" i="36" s="1"/>
  <c r="J88" i="36"/>
  <c r="K88" i="36"/>
  <c r="K91" i="36"/>
  <c r="G23" i="4"/>
  <c r="G29" i="4"/>
  <c r="G26" i="4"/>
  <c r="H16" i="4"/>
  <c r="K101" i="50" l="1"/>
  <c r="K219" i="50"/>
  <c r="K105" i="50"/>
  <c r="K106" i="50" s="1"/>
  <c r="J118" i="50" s="1"/>
  <c r="K61" i="50"/>
  <c r="K51" i="36"/>
  <c r="K218" i="50"/>
  <c r="K223" i="50" s="1"/>
  <c r="J235" i="50" s="1"/>
  <c r="J204" i="36"/>
  <c r="J96" i="36"/>
  <c r="I26" i="36"/>
  <c r="I66" i="50"/>
  <c r="I145" i="50"/>
  <c r="K94" i="36"/>
  <c r="K13" i="50"/>
  <c r="K82" i="36"/>
  <c r="K119" i="36"/>
  <c r="I132" i="36"/>
  <c r="K180" i="50"/>
  <c r="K194" i="36"/>
  <c r="I61" i="36"/>
  <c r="K58" i="50"/>
  <c r="K49" i="36"/>
  <c r="K167" i="36"/>
  <c r="K184" i="50"/>
  <c r="J196" i="50" s="1"/>
  <c r="I26" i="50"/>
  <c r="K128" i="36"/>
  <c r="K21" i="36"/>
  <c r="K15" i="36"/>
  <c r="I106" i="50"/>
  <c r="K165" i="36"/>
  <c r="K260" i="36"/>
  <c r="J167" i="36"/>
  <c r="J168" i="36" s="1"/>
  <c r="F152" i="41"/>
  <c r="I379" i="50"/>
  <c r="I449" i="36"/>
  <c r="B5" i="5" s="1"/>
  <c r="E29" i="7"/>
  <c r="E43" i="7" s="1"/>
  <c r="E250" i="40"/>
  <c r="E214" i="40" s="1"/>
  <c r="F214" i="40" s="1"/>
  <c r="F216" i="40" s="1"/>
  <c r="E374" i="40"/>
  <c r="E273" i="40" s="1"/>
  <c r="F273" i="40" s="1"/>
  <c r="F275" i="40" s="1"/>
  <c r="F345" i="40"/>
  <c r="J298" i="36"/>
  <c r="I298" i="36"/>
  <c r="K298" i="36" s="1"/>
  <c r="E117" i="58"/>
  <c r="E128" i="58" s="1"/>
  <c r="K456" i="50"/>
  <c r="J457" i="50"/>
  <c r="K448" i="36"/>
  <c r="J52" i="50"/>
  <c r="I192" i="36"/>
  <c r="K192" i="36" s="1"/>
  <c r="K229" i="36"/>
  <c r="AK18" i="56"/>
  <c r="AM18" i="56" s="1"/>
  <c r="AM15" i="56"/>
  <c r="AN16" i="56" s="1"/>
  <c r="F362" i="40"/>
  <c r="E520" i="40"/>
  <c r="E498" i="40" s="1"/>
  <c r="F498" i="40" s="1"/>
  <c r="F500" i="40" s="1"/>
  <c r="K408" i="36"/>
  <c r="I170" i="50"/>
  <c r="I184" i="50" s="1"/>
  <c r="F35" i="66"/>
  <c r="K238" i="36"/>
  <c r="K236" i="36"/>
  <c r="J296" i="36"/>
  <c r="J309" i="36" s="1"/>
  <c r="I296" i="36"/>
  <c r="K296" i="36" s="1"/>
  <c r="I344" i="36"/>
  <c r="E111" i="77"/>
  <c r="E122" i="77" s="1"/>
  <c r="K400" i="36"/>
  <c r="J128" i="36"/>
  <c r="J94" i="36"/>
  <c r="J22" i="36"/>
  <c r="K22" i="36" s="1"/>
  <c r="J15" i="36"/>
  <c r="J21" i="50"/>
  <c r="K21" i="50" s="1"/>
  <c r="J14" i="50"/>
  <c r="K14" i="50" s="1"/>
  <c r="J56" i="36"/>
  <c r="K56" i="36" s="1"/>
  <c r="J49" i="36"/>
  <c r="K201" i="36"/>
  <c r="I228" i="36"/>
  <c r="J228" i="36"/>
  <c r="J239" i="36" s="1"/>
  <c r="K272" i="36"/>
  <c r="K267" i="36"/>
  <c r="F331" i="40"/>
  <c r="F314" i="40"/>
  <c r="F300" i="40"/>
  <c r="F374" i="40" s="1"/>
  <c r="F104" i="17"/>
  <c r="K295" i="36"/>
  <c r="E26" i="36"/>
  <c r="J127" i="36"/>
  <c r="J132" i="36" s="1"/>
  <c r="I154" i="36"/>
  <c r="AM10" i="56"/>
  <c r="AN11" i="56" s="1"/>
  <c r="E239" i="36"/>
  <c r="I235" i="36"/>
  <c r="K235" i="36" s="1"/>
  <c r="J235" i="36"/>
  <c r="K406" i="36"/>
  <c r="K85" i="36"/>
  <c r="K338" i="50"/>
  <c r="J305" i="36"/>
  <c r="I305" i="36"/>
  <c r="K305" i="36" s="1"/>
  <c r="J257" i="50"/>
  <c r="J65" i="50"/>
  <c r="K65" i="50" s="1"/>
  <c r="J58" i="50"/>
  <c r="J105" i="50"/>
  <c r="J106" i="50" s="1"/>
  <c r="J142" i="50"/>
  <c r="J145" i="50" s="1"/>
  <c r="I226" i="36"/>
  <c r="K226" i="36" s="1"/>
  <c r="K269" i="36"/>
  <c r="K265" i="36"/>
  <c r="E26" i="50"/>
  <c r="E66" i="50"/>
  <c r="I221" i="50"/>
  <c r="K221" i="50" s="1"/>
  <c r="E262" i="50"/>
  <c r="I262" i="50"/>
  <c r="K264" i="36"/>
  <c r="F343" i="40"/>
  <c r="J303" i="36"/>
  <c r="I303" i="36"/>
  <c r="K303" i="36" s="1"/>
  <c r="K368" i="36"/>
  <c r="K418" i="50"/>
  <c r="J430" i="50" s="1"/>
  <c r="J61" i="50"/>
  <c r="J101" i="50"/>
  <c r="N69" i="7"/>
  <c r="F35" i="83"/>
  <c r="F93" i="28"/>
  <c r="F101" i="28" s="1"/>
  <c r="E99" i="28"/>
  <c r="Z473" i="41"/>
  <c r="K493" i="50"/>
  <c r="K486" i="50"/>
  <c r="I93" i="36"/>
  <c r="K93" i="36" s="1"/>
  <c r="AM13" i="56"/>
  <c r="J219" i="50"/>
  <c r="I204" i="36"/>
  <c r="K190" i="36"/>
  <c r="I186" i="40"/>
  <c r="J237" i="36"/>
  <c r="K237" i="36" s="1"/>
  <c r="I259" i="50"/>
  <c r="J259" i="50"/>
  <c r="I263" i="36"/>
  <c r="K263" i="36" s="1"/>
  <c r="K373" i="36"/>
  <c r="I299" i="50"/>
  <c r="J299" i="50"/>
  <c r="J301" i="50" s="1"/>
  <c r="I418" i="50"/>
  <c r="K411" i="36"/>
  <c r="J20" i="36"/>
  <c r="K20" i="36" s="1"/>
  <c r="J13" i="36"/>
  <c r="K13" i="36" s="1"/>
  <c r="J19" i="50"/>
  <c r="K19" i="50" s="1"/>
  <c r="J12" i="50"/>
  <c r="J26" i="50" s="1"/>
  <c r="E62" i="55"/>
  <c r="E70" i="55" s="1"/>
  <c r="E81" i="55" s="1"/>
  <c r="F35" i="76"/>
  <c r="E301" i="50"/>
  <c r="F324" i="40"/>
  <c r="K340" i="50"/>
  <c r="J352" i="50" s="1"/>
  <c r="I379" i="36"/>
  <c r="J54" i="36"/>
  <c r="K54" i="36" s="1"/>
  <c r="J47" i="36"/>
  <c r="J218" i="50"/>
  <c r="J223" i="50" s="1"/>
  <c r="F104" i="41"/>
  <c r="E274" i="36"/>
  <c r="J262" i="36"/>
  <c r="J274" i="36" s="1"/>
  <c r="F348" i="40"/>
  <c r="I340" i="50"/>
  <c r="I333" i="36"/>
  <c r="J333" i="36"/>
  <c r="K379" i="50"/>
  <c r="J391" i="50" s="1"/>
  <c r="J331" i="36"/>
  <c r="F375" i="50"/>
  <c r="AH60" i="56"/>
  <c r="J366" i="36"/>
  <c r="I339" i="50"/>
  <c r="K339" i="50" s="1"/>
  <c r="I308" i="36"/>
  <c r="K308" i="36" s="1"/>
  <c r="I301" i="36"/>
  <c r="K301" i="36" s="1"/>
  <c r="J338" i="36"/>
  <c r="K338" i="36" s="1"/>
  <c r="I331" i="36"/>
  <c r="F376" i="50"/>
  <c r="J373" i="36"/>
  <c r="I366" i="36"/>
  <c r="I453" i="50"/>
  <c r="K453" i="50" s="1"/>
  <c r="K457" i="50" s="1"/>
  <c r="J469" i="50" s="1"/>
  <c r="J411" i="36"/>
  <c r="E457" i="50"/>
  <c r="K330" i="36"/>
  <c r="K365" i="36"/>
  <c r="J444" i="36"/>
  <c r="K444" i="36" s="1"/>
  <c r="J437" i="36"/>
  <c r="I437" i="36"/>
  <c r="K437" i="36" s="1"/>
  <c r="E418" i="50"/>
  <c r="E414" i="36"/>
  <c r="J368" i="36"/>
  <c r="J402" i="36"/>
  <c r="K402" i="36" s="1"/>
  <c r="J493" i="50"/>
  <c r="J486" i="50"/>
  <c r="J496" i="50" s="1"/>
  <c r="I417" i="50"/>
  <c r="K417" i="50" s="1"/>
  <c r="I304" i="36"/>
  <c r="K304" i="36" s="1"/>
  <c r="I297" i="36"/>
  <c r="K297" i="36" s="1"/>
  <c r="J332" i="36"/>
  <c r="K332" i="36" s="1"/>
  <c r="J367" i="36"/>
  <c r="K367" i="36" s="1"/>
  <c r="J401" i="36"/>
  <c r="K401" i="36" s="1"/>
  <c r="I412" i="36"/>
  <c r="K412" i="36" s="1"/>
  <c r="K435" i="36"/>
  <c r="J408" i="36"/>
  <c r="I482" i="50"/>
  <c r="J488" i="50"/>
  <c r="K488" i="50" s="1"/>
  <c r="E309" i="36"/>
  <c r="E340" i="50"/>
  <c r="K26" i="36" l="1"/>
  <c r="K66" i="50"/>
  <c r="J78" i="50" s="1"/>
  <c r="J344" i="36"/>
  <c r="K299" i="50"/>
  <c r="K301" i="50" s="1"/>
  <c r="J313" i="50" s="1"/>
  <c r="J379" i="36"/>
  <c r="J61" i="36"/>
  <c r="K414" i="36"/>
  <c r="I223" i="50"/>
  <c r="J66" i="50"/>
  <c r="B31" i="5"/>
  <c r="B44" i="5"/>
  <c r="K47" i="36"/>
  <c r="K61" i="36" s="1"/>
  <c r="K154" i="36"/>
  <c r="K168" i="36" s="1"/>
  <c r="I168" i="36"/>
  <c r="J449" i="36"/>
  <c r="K259" i="50"/>
  <c r="J262" i="50"/>
  <c r="K309" i="36"/>
  <c r="AK23" i="56"/>
  <c r="AM23" i="56" s="1"/>
  <c r="I309" i="36"/>
  <c r="J414" i="36"/>
  <c r="K228" i="36"/>
  <c r="K239" i="36" s="1"/>
  <c r="K366" i="36"/>
  <c r="K379" i="36" s="1"/>
  <c r="K333" i="36"/>
  <c r="K344" i="36" s="1"/>
  <c r="K127" i="36"/>
  <c r="K132" i="36" s="1"/>
  <c r="K331" i="36"/>
  <c r="I274" i="36"/>
  <c r="K12" i="50"/>
  <c r="K26" i="50" s="1"/>
  <c r="J38" i="50" s="1"/>
  <c r="K96" i="36"/>
  <c r="I301" i="50"/>
  <c r="I96" i="36"/>
  <c r="K142" i="50"/>
  <c r="K145" i="50" s="1"/>
  <c r="J157" i="50" s="1"/>
  <c r="K257" i="50"/>
  <c r="K262" i="50" s="1"/>
  <c r="J274" i="50" s="1"/>
  <c r="K482" i="50"/>
  <c r="K496" i="50" s="1"/>
  <c r="J508" i="50" s="1"/>
  <c r="I496" i="50"/>
  <c r="D6" i="5" s="1"/>
  <c r="D31" i="5" s="1"/>
  <c r="B47" i="5" s="1"/>
  <c r="K204" i="36"/>
  <c r="K262" i="36"/>
  <c r="K274" i="36" s="1"/>
  <c r="J26" i="36"/>
  <c r="K449" i="36"/>
  <c r="I457" i="50"/>
  <c r="I414" i="36"/>
  <c r="I239" i="36"/>
  <c r="B49" i="5" l="1"/>
  <c r="C34" i="5"/>
  <c r="B60" i="5" l="1"/>
  <c r="B64" i="5" s="1"/>
  <c r="B50" i="5"/>
  <c r="B51" i="5" s="1"/>
  <c r="B52" i="5" l="1"/>
  <c r="B53" i="5" s="1"/>
</calcChain>
</file>

<file path=xl/sharedStrings.xml><?xml version="1.0" encoding="utf-8"?>
<sst xmlns="http://schemas.openxmlformats.org/spreadsheetml/2006/main" count="6594" uniqueCount="1178">
  <si>
    <t>Schedule C</t>
  </si>
  <si>
    <t>Item</t>
  </si>
  <si>
    <t>Description</t>
  </si>
  <si>
    <t>Unit Price</t>
  </si>
  <si>
    <t>per</t>
  </si>
  <si>
    <t>Billing Amount</t>
  </si>
  <si>
    <t>Per Lin. m</t>
  </si>
  <si>
    <t>b) Padding (Top)</t>
  </si>
  <si>
    <t>Units</t>
  </si>
  <si>
    <t>Sand Bedding/Padding</t>
  </si>
  <si>
    <r>
      <t xml:space="preserve">Sand Bedding/Padding From Borrow Pits </t>
    </r>
    <r>
      <rPr>
        <sz val="10"/>
        <rFont val="Calibri"/>
        <family val="2"/>
        <scheme val="minor"/>
      </rPr>
      <t>(Supply, load, haul, unload, place)</t>
    </r>
  </si>
  <si>
    <t>Billing Date:</t>
  </si>
  <si>
    <t>Total</t>
  </si>
  <si>
    <t>Topsoil Stripping &amp; Replacement</t>
  </si>
  <si>
    <t>Topsoil Stripping And Replacement</t>
  </si>
  <si>
    <t>a) 0 to 40 cm in depth</t>
  </si>
  <si>
    <t>b) 40 cm and greater</t>
  </si>
  <si>
    <t>Removal and restoration of topsoil over the entire Construction Right of Way</t>
  </si>
  <si>
    <t>Total:</t>
  </si>
  <si>
    <t>Date</t>
  </si>
  <si>
    <t>Units Stripped</t>
  </si>
  <si>
    <t>Units Replaced</t>
  </si>
  <si>
    <t xml:space="preserve">Total To Date </t>
  </si>
  <si>
    <t>Extra Work</t>
  </si>
  <si>
    <t>CO#</t>
  </si>
  <si>
    <t>Total Units</t>
  </si>
  <si>
    <t>Lump Sum</t>
  </si>
  <si>
    <t>Previous</t>
  </si>
  <si>
    <t>CO</t>
  </si>
  <si>
    <t>4.1</t>
  </si>
  <si>
    <t>4.1.1</t>
  </si>
  <si>
    <t>4.1.2</t>
  </si>
  <si>
    <t>4.1.3</t>
  </si>
  <si>
    <t>Removal and restoration of topsoil over trench area (blade width stripping)</t>
  </si>
  <si>
    <t xml:space="preserve">Removal and restoration of topsoil over trench and spoil side area </t>
  </si>
  <si>
    <t>%</t>
  </si>
  <si>
    <t>Total To Date</t>
  </si>
  <si>
    <t>This Period</t>
  </si>
  <si>
    <t>Amount This Period ($)</t>
  </si>
  <si>
    <t>Total Earned Previously ($)</t>
  </si>
  <si>
    <t>Amount Earned To Date ($)</t>
  </si>
  <si>
    <t xml:space="preserve">Bending </t>
  </si>
  <si>
    <t>Welding</t>
  </si>
  <si>
    <t>Backfill</t>
  </si>
  <si>
    <t>Testing</t>
  </si>
  <si>
    <t>2A-B.1</t>
  </si>
  <si>
    <t>2A-B.2</t>
  </si>
  <si>
    <t>2A-C.1</t>
  </si>
  <si>
    <t>2A-C.2</t>
  </si>
  <si>
    <t>2A-C.3</t>
  </si>
  <si>
    <t>2A-C.4</t>
  </si>
  <si>
    <t>2A-C.5</t>
  </si>
  <si>
    <t>3.1.2-2A</t>
  </si>
  <si>
    <t>3.2.2-2A</t>
  </si>
  <si>
    <t>per lin. M</t>
  </si>
  <si>
    <t>Fabricate Test &amp; Install NPS 12 Mainline Block Valve Assembly</t>
  </si>
  <si>
    <t>Fabricate Test &amp; Install NPS 12 Mainline Block Valve &amp; Check Valve Assembly</t>
  </si>
  <si>
    <t>NPS 12 HDD Crossing Installation- Irrigation Canal &amp; Reservoir</t>
  </si>
  <si>
    <t>c) Bedding and Padding Placed As One Operation</t>
  </si>
  <si>
    <t>NPS 12 HDD Crossing Installation- Secondary Hwy 875</t>
  </si>
  <si>
    <t>NPS 12 HDD Crossing Installation-                     Old Man River</t>
  </si>
  <si>
    <t>NPS 12 HDD Crossing Installation-               Bow River</t>
  </si>
  <si>
    <t>NPS 12 HDD Crossing Installation- Secondary Hwy 524</t>
  </si>
  <si>
    <t>Standby or Days of Non-Productivity</t>
  </si>
  <si>
    <t>Date:</t>
  </si>
  <si>
    <t>Reason:</t>
  </si>
  <si>
    <t>Who:</t>
  </si>
  <si>
    <t>Wet Weather- Road Use Agreements only allowed trucking during frozen/dry conditions</t>
  </si>
  <si>
    <t>Cost:</t>
  </si>
  <si>
    <t>1.0 - BASE LAY PRICE</t>
  </si>
  <si>
    <t>Contractor:</t>
  </si>
  <si>
    <t>Chief Inspector</t>
  </si>
  <si>
    <t>Project:</t>
  </si>
  <si>
    <t>WAPITI EXPANSION PIPELINE PROJECT</t>
  </si>
  <si>
    <t>Mobilization</t>
  </si>
  <si>
    <t>Grade ROW</t>
  </si>
  <si>
    <t>Excavate Pipe Trench</t>
  </si>
  <si>
    <t>Lower-In Pipe</t>
  </si>
  <si>
    <t>Tie-Ins</t>
  </si>
  <si>
    <t>Final Tie-Ins</t>
  </si>
  <si>
    <t>Cleanup/Reclamation/Seeding</t>
  </si>
  <si>
    <t>Demobilization</t>
  </si>
  <si>
    <t>Final Clean Up (one year later)</t>
  </si>
  <si>
    <t xml:space="preserve">Total For Base Lay Price:  </t>
  </si>
  <si>
    <t>1.1</t>
  </si>
  <si>
    <t>1.0 Base Lay</t>
  </si>
  <si>
    <t>Amount This Period</t>
  </si>
  <si>
    <t>3.0 INCREMENTAL LUMP SUM</t>
  </si>
  <si>
    <t>EXTRA WORK SUMMARY</t>
  </si>
  <si>
    <r>
      <t>UNIT P</t>
    </r>
    <r>
      <rPr>
        <sz val="12"/>
        <color theme="1"/>
        <rFont val="Calibri"/>
        <family val="2"/>
        <scheme val="minor"/>
      </rPr>
      <t>RICE</t>
    </r>
    <r>
      <rPr>
        <sz val="12"/>
        <color theme="1"/>
        <rFont val="Calibri"/>
        <family val="2"/>
        <scheme val="minor"/>
      </rPr>
      <t xml:space="preserve"> ITEM SUMMAR</t>
    </r>
    <r>
      <rPr>
        <sz val="12"/>
        <color theme="1"/>
        <rFont val="Calibri"/>
        <family val="2"/>
        <scheme val="minor"/>
      </rPr>
      <t>Y</t>
    </r>
  </si>
  <si>
    <t>001</t>
  </si>
  <si>
    <t>UPI SUMMARY</t>
  </si>
  <si>
    <r>
      <rPr>
        <sz val="12"/>
        <color theme="1"/>
        <rFont val="Calibri"/>
        <family val="2"/>
        <scheme val="minor"/>
      </rPr>
      <t>UNIT PRICE</t>
    </r>
    <r>
      <rPr>
        <sz val="12"/>
        <color theme="1"/>
        <rFont val="Calibri"/>
        <family val="2"/>
        <scheme val="minor"/>
      </rPr>
      <t xml:space="preserve"> SUMMARY</t>
    </r>
  </si>
  <si>
    <t>UPI</t>
  </si>
  <si>
    <t>Holdback:</t>
  </si>
  <si>
    <t>GST</t>
  </si>
  <si>
    <t>Subtotal:</t>
  </si>
  <si>
    <t>UPI CO:</t>
  </si>
  <si>
    <t>Difference:</t>
  </si>
  <si>
    <t>Total Schedule C:</t>
  </si>
  <si>
    <t>CO Total:</t>
  </si>
  <si>
    <t>UPI Summary:</t>
  </si>
  <si>
    <t>CO 001</t>
  </si>
  <si>
    <t>CO 002</t>
  </si>
  <si>
    <t>002</t>
  </si>
  <si>
    <t>Additional Right-Of-Way Stripping:  Add $12.44/m To Base Lay Price</t>
  </si>
  <si>
    <t>Total Cost Impact</t>
  </si>
  <si>
    <t>W2K-RFI-0022</t>
  </si>
  <si>
    <t>W2K-RFI-0021</t>
  </si>
  <si>
    <t>W2K-RFI-0020</t>
  </si>
  <si>
    <t>Andrew Elash</t>
  </si>
  <si>
    <t>Husky Road Use Agreement Required For Husky Roads</t>
  </si>
  <si>
    <t>Extra Work Space Required For HDD At KP 26+759</t>
  </si>
  <si>
    <t>W2K-RFI-0018</t>
  </si>
  <si>
    <t>Extend Bore At KP 22+821</t>
  </si>
  <si>
    <t>Combine Typical Drills #6 (38+390) &amp; #7 (38+606)</t>
  </si>
  <si>
    <t>W2K-RFI-0016</t>
  </si>
  <si>
    <t>Kendall O'Regan</t>
  </si>
  <si>
    <t>Project Delay Indirect Costs, Equipment Costs &amp; Foremen Retention</t>
  </si>
  <si>
    <t>Pipe &amp; Bend MTRs</t>
  </si>
  <si>
    <t>W2K-RFI-0014</t>
  </si>
  <si>
    <t>Minimum Tie Install Temperature</t>
  </si>
  <si>
    <t>W2K-RFI-0013</t>
  </si>
  <si>
    <t>Removal Of Pipe Clamps During Hot Pass</t>
  </si>
  <si>
    <t>Approved</t>
  </si>
  <si>
    <t>Welder Testing- Line Up Clamps</t>
  </si>
  <si>
    <t>W2K-RFI-0011</t>
  </si>
  <si>
    <t>Mark Ringrose</t>
  </si>
  <si>
    <t>Additional TFA For ROW Access</t>
  </si>
  <si>
    <t>W2K-RFI-0010</t>
  </si>
  <si>
    <t>Typical Construction Drawings</t>
  </si>
  <si>
    <t>W2K-RFI-0009</t>
  </si>
  <si>
    <t>Weather Conditions &amp; Winter Welding</t>
  </si>
  <si>
    <t>W2K-RFI-0008</t>
  </si>
  <si>
    <t>Complete</t>
  </si>
  <si>
    <t>CO2</t>
  </si>
  <si>
    <t>W2K-RFI-0007</t>
  </si>
  <si>
    <t>W2K-RFI-0006</t>
  </si>
  <si>
    <t>Depth of Cover at Ephemeral Draws and Intermittent Creek Crossings</t>
  </si>
  <si>
    <t>W2K-RFI-0005</t>
  </si>
  <si>
    <t>Corinthian Access Roads &amp; Pipeline Crossings- Crossing &amp; Proximity Agreements</t>
  </si>
  <si>
    <t>W2K-RFI-0004</t>
  </si>
  <si>
    <t>Road Allowance Workspace</t>
  </si>
  <si>
    <t>W2K-RFI-0003</t>
  </si>
  <si>
    <t>Harvest Crossing and Road Use Agreements</t>
  </si>
  <si>
    <t>W2K-RFI-0002</t>
  </si>
  <si>
    <t>Additional HDD Location</t>
  </si>
  <si>
    <t>W2K-RFI-0001</t>
  </si>
  <si>
    <r>
      <t xml:space="preserve">Change Order </t>
    </r>
    <r>
      <rPr>
        <sz val="10"/>
        <rFont val="Tahoma"/>
        <family val="2"/>
      </rPr>
      <t>(if applicable)</t>
    </r>
  </si>
  <si>
    <t>Change Order Request</t>
  </si>
  <si>
    <t>Cost Impact</t>
  </si>
  <si>
    <t>Status</t>
  </si>
  <si>
    <t>Reply Date Required</t>
  </si>
  <si>
    <t>Date Issued</t>
  </si>
  <si>
    <t>Originator</t>
  </si>
  <si>
    <t>RFI #</t>
  </si>
  <si>
    <t>Request for Information (RFI)</t>
  </si>
  <si>
    <t>RFI Log</t>
  </si>
  <si>
    <t>Accumulated Value</t>
  </si>
  <si>
    <t>Ongoing</t>
  </si>
  <si>
    <t>Executed</t>
  </si>
  <si>
    <t>Change Order</t>
  </si>
  <si>
    <t>Additional Two Way Radios For Inspection</t>
  </si>
  <si>
    <t>Period</t>
  </si>
  <si>
    <t>To Date</t>
  </si>
  <si>
    <t>This</t>
  </si>
  <si>
    <t>$</t>
  </si>
  <si>
    <t>Change Request</t>
  </si>
  <si>
    <t>Number</t>
  </si>
  <si>
    <t>Order</t>
  </si>
  <si>
    <t>Value</t>
  </si>
  <si>
    <t>RFI</t>
  </si>
  <si>
    <t>Work</t>
  </si>
  <si>
    <t>Change</t>
  </si>
  <si>
    <t xml:space="preserve">Date </t>
  </si>
  <si>
    <t xml:space="preserve">Forecast </t>
  </si>
  <si>
    <t xml:space="preserve">Approved </t>
  </si>
  <si>
    <t>Type</t>
  </si>
  <si>
    <t xml:space="preserve">Change </t>
  </si>
  <si>
    <t xml:space="preserve">Progress Period </t>
  </si>
  <si>
    <t>Change Order Log</t>
  </si>
  <si>
    <t>Additional Right-of-Way Stripping (Add $12.44 To Base Lay Price)</t>
  </si>
  <si>
    <t>Approved CO Value ($)</t>
  </si>
  <si>
    <t>CO To Date ($)</t>
  </si>
  <si>
    <t>If Applic.</t>
  </si>
  <si>
    <t>To</t>
  </si>
  <si>
    <t>W2K-RFI-0019R1</t>
  </si>
  <si>
    <t>Not Approved</t>
  </si>
  <si>
    <t>Sand Blasting Abrasive</t>
  </si>
  <si>
    <t>Hydro Test Pressure</t>
  </si>
  <si>
    <t>Purchase Of Two-Way Radios</t>
  </si>
  <si>
    <t>W2K-RFI-0023</t>
  </si>
  <si>
    <t>CNRL Pipeline Crossings</t>
  </si>
  <si>
    <t>Kristen Jones</t>
  </si>
  <si>
    <t>W2K-RFI-0024</t>
  </si>
  <si>
    <t>Hauling Of Stripped Topsoil</t>
  </si>
  <si>
    <t>W2K-RFI-0025</t>
  </si>
  <si>
    <t>W2K-RFI-0027</t>
  </si>
  <si>
    <t>W2K-RFI-0028</t>
  </si>
  <si>
    <t>24Hr Medic Coverage</t>
  </si>
  <si>
    <t>W2K-RFI-0029</t>
  </si>
  <si>
    <t>Approval To Use Methanol For HDD Pre-Tests</t>
  </si>
  <si>
    <t>Atco Power Pole At 8+221</t>
  </si>
  <si>
    <t>W2K-RFI-0031</t>
  </si>
  <si>
    <t>W2K-RFI-0032</t>
  </si>
  <si>
    <t>W2K-RFI-0033</t>
  </si>
  <si>
    <t>W2K-RFI-0034</t>
  </si>
  <si>
    <t>W2K-RFI-0035</t>
  </si>
  <si>
    <t>Removal Of USM &amp; Topsoil</t>
  </si>
  <si>
    <t>Overnight Hold on Welds</t>
  </si>
  <si>
    <t>Theoretical Road Crossing Depth</t>
  </si>
  <si>
    <t>SI</t>
  </si>
  <si>
    <t>W2K-RFI-0026R1</t>
  </si>
  <si>
    <t>Minimum Separation During HDD</t>
  </si>
  <si>
    <t>Atco Power Pole At 14+157</t>
  </si>
  <si>
    <t>Haul and String Pipe</t>
  </si>
  <si>
    <t>Trucking Mats To Cutbank HDD</t>
  </si>
  <si>
    <t>Haul and String Ppipe</t>
  </si>
  <si>
    <t>W2K-RFI-0036</t>
  </si>
  <si>
    <t>W2K-RFI-0037</t>
  </si>
  <si>
    <t>Proposed Ditch Line KP 52+445</t>
  </si>
  <si>
    <t>NuVista Riser</t>
  </si>
  <si>
    <t>W2K-RFI-0039</t>
  </si>
  <si>
    <t>Red One Rock Shield In Lieu of Tuff-N-Nuff</t>
  </si>
  <si>
    <t>HD Bore Live Line Separations</t>
  </si>
  <si>
    <t>Extended Bore KP 57+204</t>
  </si>
  <si>
    <t>W2K-RFI-0040</t>
  </si>
  <si>
    <t>Reviewed</t>
  </si>
  <si>
    <t>W2K-RFI-0015R3</t>
  </si>
  <si>
    <t>W2K-RFI-0041</t>
  </si>
  <si>
    <t>Direct Drilling Support (440 Rig)</t>
  </si>
  <si>
    <t>W2K-RFI-0042</t>
  </si>
  <si>
    <t>W2K-RFI-0043</t>
  </si>
  <si>
    <t>W2K-RFI-0044</t>
  </si>
  <si>
    <t>W2K-RFI-0045</t>
  </si>
  <si>
    <t>Bentonite</t>
  </si>
  <si>
    <t>Lowering In Deviation</t>
  </si>
  <si>
    <t>020</t>
  </si>
  <si>
    <t xml:space="preserve">Clearing Support </t>
  </si>
  <si>
    <t>Clearing Support: Change Request CR-0001 Proposal</t>
  </si>
  <si>
    <t>CO3</t>
  </si>
  <si>
    <t>026R1</t>
  </si>
  <si>
    <t>015R3</t>
  </si>
  <si>
    <t>Minimum Depth Of Cover For Watercourses</t>
  </si>
  <si>
    <t>Performance Vac- Mud Disposal</t>
  </si>
  <si>
    <t>W2K-RFI-0046</t>
  </si>
  <si>
    <t>W2K-RFI-0047</t>
  </si>
  <si>
    <t>W2K-RFI-0048</t>
  </si>
  <si>
    <t>W2K-RFI-0049</t>
  </si>
  <si>
    <t>Rework Due To Survey Error</t>
  </si>
  <si>
    <t>From</t>
  </si>
  <si>
    <t>hardwire previous</t>
  </si>
  <si>
    <t>W2K-RFI-015-R3 Cost Impacts</t>
  </si>
  <si>
    <t>Commercial Terms</t>
  </si>
  <si>
    <t>2.2 Rockshield</t>
  </si>
  <si>
    <t>2.2</t>
  </si>
  <si>
    <t>a) Owner supply rockshield material</t>
  </si>
  <si>
    <t>b) Contractor supply rockshield material</t>
  </si>
  <si>
    <t>Locations (KPs):</t>
  </si>
  <si>
    <t>Metres</t>
  </si>
  <si>
    <t>Amount</t>
  </si>
  <si>
    <t>Rockshield (NPS 16)</t>
  </si>
  <si>
    <t>2.2 b)</t>
  </si>
  <si>
    <t>Rockshield</t>
  </si>
  <si>
    <t>2.1 Rock Trench</t>
  </si>
  <si>
    <t>2.1</t>
  </si>
  <si>
    <t>Rock Trench</t>
  </si>
  <si>
    <t>a) by mechanical methods, when requested by Company</t>
  </si>
  <si>
    <t>b) by drill and blasting methods, when requestd by Company</t>
  </si>
  <si>
    <t xml:space="preserve">c) within the wetted perimeter of named watercourses in accordance with the Contract Documents, when requested by Company </t>
  </si>
  <si>
    <t>Cost Plus</t>
  </si>
  <si>
    <t>Current</t>
  </si>
  <si>
    <t>New</t>
  </si>
  <si>
    <t>2.29</t>
  </si>
  <si>
    <t>Rig Mats</t>
  </si>
  <si>
    <t>Oak Interlocking Mats</t>
  </si>
  <si>
    <t>Rig mats complete with metal frame (appox. 8' x 20')</t>
  </si>
  <si>
    <t>per mat</t>
  </si>
  <si>
    <t>2.29 Rig Mats</t>
  </si>
  <si>
    <t>W2K-RFI-0050</t>
  </si>
  <si>
    <t>W2K-RFI-0051</t>
  </si>
  <si>
    <t>New Weld Procedure</t>
  </si>
  <si>
    <t>Miscellaneous Extra Works</t>
  </si>
  <si>
    <t>SITE UPI Report 0552 Dec. 9:</t>
  </si>
  <si>
    <t>SITE UPI Report 0552 Dec 13:</t>
  </si>
  <si>
    <t>2.3</t>
  </si>
  <si>
    <t>2.3 Sand Bedding/Padding From Borrow Pits</t>
  </si>
  <si>
    <t xml:space="preserve">a) Bedding </t>
  </si>
  <si>
    <t>d) Hauling (The cost of hauling to the ROW)</t>
  </si>
  <si>
    <r>
      <t>m</t>
    </r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>/km</t>
    </r>
  </si>
  <si>
    <t>W2K-RFI-0052</t>
  </si>
  <si>
    <t>Extended Bore KP 67+800</t>
  </si>
  <si>
    <t>2.18 Vehicle &amp; Equipment Wash Stations</t>
  </si>
  <si>
    <t>2.18</t>
  </si>
  <si>
    <t>b) Winter Wash</t>
  </si>
  <si>
    <t>ii) Installation of wash stations (load, haul, assemble)</t>
  </si>
  <si>
    <t>iii) Removal of wash station (load, haul, take down)</t>
  </si>
  <si>
    <t xml:space="preserve">Per Day </t>
  </si>
  <si>
    <t>i) Operating the wash station (Hot Steamer)</t>
  </si>
  <si>
    <t>Per Station</t>
  </si>
  <si>
    <t>SITE UPI Report 0554 Dec 15:</t>
  </si>
  <si>
    <t>grade</t>
  </si>
  <si>
    <t>string</t>
  </si>
  <si>
    <t>bend</t>
  </si>
  <si>
    <t>weld</t>
  </si>
  <si>
    <t>ditch</t>
  </si>
  <si>
    <t>lower-in</t>
  </si>
  <si>
    <t>backfill</t>
  </si>
  <si>
    <t>tie-ins</t>
  </si>
  <si>
    <t>Nov 25-Dec 13</t>
  </si>
  <si>
    <t>24 Hour Medic Coverage</t>
  </si>
  <si>
    <t>Clearing Support</t>
  </si>
  <si>
    <t>Cost Impacts Due To Start Delay</t>
  </si>
  <si>
    <t>Sand Bedding/Padding From Borrow Pits</t>
  </si>
  <si>
    <t>Vehicle &amp; Equipment Wash Stations</t>
  </si>
  <si>
    <t>#0165</t>
  </si>
  <si>
    <t>80 m</t>
  </si>
  <si>
    <t>#0167</t>
  </si>
  <si>
    <t>54+460</t>
  </si>
  <si>
    <t>54+380</t>
  </si>
  <si>
    <t>54+200</t>
  </si>
  <si>
    <t>180 m</t>
  </si>
  <si>
    <t>2.18 b)</t>
  </si>
  <si>
    <t>2.3 a) c) d)</t>
  </si>
  <si>
    <t>2.14 Install Pipe To Extra Depth</t>
  </si>
  <si>
    <t>2.14</t>
  </si>
  <si>
    <t>Install Pipe To Extra Depth</t>
  </si>
  <si>
    <t>a) 0.30 m total extra depth</t>
  </si>
  <si>
    <t>per lin. M.</t>
  </si>
  <si>
    <t>b) 0.60 m total extra depth</t>
  </si>
  <si>
    <t>C) 0.90 m total extra depth</t>
  </si>
  <si>
    <t>d) 1.20 m total extra depth</t>
  </si>
  <si>
    <t>e) 1.50 m total extra depth</t>
  </si>
  <si>
    <t>2.14 b)</t>
  </si>
  <si>
    <t>Extended Bore KP 24+539 to 24+942</t>
  </si>
  <si>
    <t>2.1 a)</t>
  </si>
  <si>
    <t>24 Hour Medic for HDD &amp; Burning Crew</t>
  </si>
  <si>
    <t>2.27 Erosion Control Mat</t>
  </si>
  <si>
    <t xml:space="preserve"> Date:</t>
  </si>
  <si>
    <t>2.27</t>
  </si>
  <si>
    <t xml:space="preserve">Supply &amp; Install Erosion Control Mat When </t>
  </si>
  <si>
    <t>Requested By The Company</t>
  </si>
  <si>
    <r>
      <t>per m</t>
    </r>
    <r>
      <rPr>
        <vertAlign val="superscript"/>
        <sz val="10"/>
        <rFont val="Calibri"/>
        <family val="2"/>
        <scheme val="minor"/>
      </rPr>
      <t>2</t>
    </r>
  </si>
  <si>
    <t>Total Mat Days</t>
  </si>
  <si>
    <t>540 in Total</t>
  </si>
  <si>
    <t>Total Accrual:</t>
  </si>
  <si>
    <t>Gross:</t>
  </si>
  <si>
    <t>Previous Accrual:</t>
  </si>
  <si>
    <t>Difference For Week:</t>
  </si>
  <si>
    <t>Cost Estimate Holiday Support</t>
  </si>
  <si>
    <t>W2K-RFI-0012R1</t>
  </si>
  <si>
    <t>W2K-RFI-0054</t>
  </si>
  <si>
    <t>Grade Crew Delays</t>
  </si>
  <si>
    <t>W2K-RFI-0056</t>
  </si>
  <si>
    <t>Coating No-Productive Time</t>
  </si>
  <si>
    <t>Replace 8.4 mm Bore Pipe With 9.5 mm</t>
  </si>
  <si>
    <t>W2K-RFI-0057</t>
  </si>
  <si>
    <t>Access Around Beaver Dam (KP 17+772)</t>
  </si>
  <si>
    <t>W2K-RFI-0055R1</t>
  </si>
  <si>
    <t>W2K-RFI-0058</t>
  </si>
  <si>
    <t>W2K-RFI-0059</t>
  </si>
  <si>
    <t>Haul Water ROW Freezing</t>
  </si>
  <si>
    <t>Tim Lay</t>
  </si>
  <si>
    <t>Dwayne P</t>
  </si>
  <si>
    <t>LEM</t>
  </si>
  <si>
    <t>0326</t>
  </si>
  <si>
    <t>0556</t>
  </si>
  <si>
    <t>Clint</t>
  </si>
  <si>
    <t>0328</t>
  </si>
  <si>
    <t>Tim/Jerome</t>
  </si>
  <si>
    <t>0555</t>
  </si>
  <si>
    <t>No UPI from Dwayne</t>
  </si>
  <si>
    <t>0329</t>
  </si>
  <si>
    <t>Jerome</t>
  </si>
  <si>
    <t>Meridian</t>
  </si>
  <si>
    <t>SITE UPI Report# 0477</t>
  </si>
  <si>
    <t>Tyler</t>
  </si>
  <si>
    <t>Thomas</t>
  </si>
  <si>
    <t>Haul sand</t>
  </si>
  <si>
    <t>Cubes</t>
  </si>
  <si>
    <t>km one way</t>
  </si>
  <si>
    <t>Josh</t>
  </si>
  <si>
    <t>0456</t>
  </si>
  <si>
    <t>should be 54+539</t>
  </si>
  <si>
    <t>25 Hour Medic for HDD &amp; Burning Crew</t>
  </si>
  <si>
    <t>Dwayne</t>
  </si>
  <si>
    <t>off by 6m too much compared to survey</t>
  </si>
  <si>
    <t>Survey</t>
  </si>
  <si>
    <t>Need to enter the difference:</t>
  </si>
  <si>
    <t>W2K-RFI-0060</t>
  </si>
  <si>
    <t>W2K-RFI-0061</t>
  </si>
  <si>
    <t>W2K-RFI-0038R2</t>
  </si>
  <si>
    <t>0557</t>
  </si>
  <si>
    <t>0558</t>
  </si>
  <si>
    <t>W2K-RFI-0017R1</t>
  </si>
  <si>
    <t>W2K-RFI-0062</t>
  </si>
  <si>
    <t>Long Run Exploration Rep</t>
  </si>
  <si>
    <t>W2K-RFI-0063</t>
  </si>
  <si>
    <t>W2K-RFI-0064</t>
  </si>
  <si>
    <t>Additional RT Trucks</t>
  </si>
  <si>
    <t>W2K-RFI-0065</t>
  </si>
  <si>
    <t>Combine Bore 15+920 to 16+010/16+043 to 16+097</t>
  </si>
  <si>
    <t>W2K-RFI-0066</t>
  </si>
  <si>
    <t>Bore @ 69+397</t>
  </si>
  <si>
    <t>Hydrovac Truck Supply</t>
  </si>
  <si>
    <t>W2K-RFI-0067</t>
  </si>
  <si>
    <t>W2K-RFI-0068</t>
  </si>
  <si>
    <t>Addition Of 60 m On Drag Section At KP 0+000</t>
  </si>
  <si>
    <t>W2K-RFI-0069</t>
  </si>
  <si>
    <t>Nova Line Crossing At 39+400</t>
  </si>
  <si>
    <t>0465</t>
  </si>
  <si>
    <t>Harvey</t>
  </si>
  <si>
    <t>26 Hour Medic for HDD &amp; Burning Crew (Jan 1-14)</t>
  </si>
  <si>
    <t>25 Hour Medic for HDD &amp; Burning Crew (Dec 16-31)</t>
  </si>
  <si>
    <t>24 Hour Medic for HDD &amp; Burning Crew (Nov 25-Dec 15)</t>
  </si>
  <si>
    <t>survey had in the other direction 61+257.5 to 61+301.9</t>
  </si>
  <si>
    <t>Support Crew #2 &amp; #3 (30 Days)</t>
  </si>
  <si>
    <t>Support Crew #2 (6 Days)</t>
  </si>
  <si>
    <t>Dec 4- Dec 15</t>
  </si>
  <si>
    <t>Dec 16- Dec 21</t>
  </si>
  <si>
    <t>Jan 3- Jan 12</t>
  </si>
  <si>
    <t>Nov 25- Dec 15</t>
  </si>
  <si>
    <t>Support Crew (9 Days)</t>
  </si>
  <si>
    <t>Unload Pembina Owned Mats</t>
  </si>
  <si>
    <t>Digging Sumps</t>
  </si>
  <si>
    <t>Hydrovac Support</t>
  </si>
  <si>
    <t>W2K-RFI-0030R1</t>
  </si>
  <si>
    <t>W2K-RFI-0071</t>
  </si>
  <si>
    <t>W2K-RFI-0072</t>
  </si>
  <si>
    <t>W2K-RFI-0073</t>
  </si>
  <si>
    <t>Deviation From Pre Testing Drag Sections</t>
  </si>
  <si>
    <t>1176</t>
  </si>
  <si>
    <t>559</t>
  </si>
  <si>
    <t>331</t>
  </si>
  <si>
    <t>Mark</t>
  </si>
  <si>
    <t>Bedding</t>
  </si>
  <si>
    <t>W2K-RFI-0074</t>
  </si>
  <si>
    <t>Deviation From Pre Testing Drag Sections- Cleaning Pig Tech. Info</t>
  </si>
  <si>
    <t>W2K-RFI-0075</t>
  </si>
  <si>
    <t>Tracked HydroVac Truck Supply</t>
  </si>
  <si>
    <t>W2K-RFI-0076</t>
  </si>
  <si>
    <t>W2K-RFI-0077</t>
  </si>
  <si>
    <t>Hot Bend @ 10+711</t>
  </si>
  <si>
    <t>Husky Crossing At 28+221</t>
  </si>
  <si>
    <t>km 1 way</t>
  </si>
  <si>
    <t>24 Hour Medic for HDD &amp; Burning Crew (Dec 16-31)</t>
  </si>
  <si>
    <t>24 Hour Medic for HDD &amp; Burning Crew (Jan 1-14)</t>
  </si>
  <si>
    <t>24 Hour Medic for HDD &amp; Burning Crew (Jan 14-24)</t>
  </si>
  <si>
    <t>560</t>
  </si>
  <si>
    <t>W2K-RFI-0070R1</t>
  </si>
  <si>
    <t>W2K-RFI-0078</t>
  </si>
  <si>
    <t>W2K-RFI-0080</t>
  </si>
  <si>
    <t>Combine Bores 34+139 &amp; 34+228</t>
  </si>
  <si>
    <t>Extend Bore 35+273 To 35+327</t>
  </si>
  <si>
    <t>Extend HDD 35+668 To 35+886</t>
  </si>
  <si>
    <t>Open Cut To Trenchless Crossings</t>
  </si>
  <si>
    <t>Additional Tie-In Support</t>
  </si>
  <si>
    <t>W2K-RFI-0082</t>
  </si>
  <si>
    <t>Hydrotest Water Source</t>
  </si>
  <si>
    <t>HDD Support Crews</t>
  </si>
  <si>
    <t>December:</t>
  </si>
  <si>
    <t>January:</t>
  </si>
  <si>
    <t>To Date:</t>
  </si>
  <si>
    <t>Billing:</t>
  </si>
  <si>
    <t>Sump Pit Excavation- Test Holes</t>
  </si>
  <si>
    <t>W2K-RFI-0083</t>
  </si>
  <si>
    <t>Additional Grade Through Crossings</t>
  </si>
  <si>
    <t>561</t>
  </si>
  <si>
    <t>Doug</t>
  </si>
  <si>
    <t>0466</t>
  </si>
  <si>
    <t>Digging Test Holes</t>
  </si>
  <si>
    <t>032</t>
  </si>
  <si>
    <t>034</t>
  </si>
  <si>
    <t>042</t>
  </si>
  <si>
    <t>046</t>
  </si>
  <si>
    <t>048</t>
  </si>
  <si>
    <t>050</t>
  </si>
  <si>
    <t>Miscellaneous Additional Costs</t>
  </si>
  <si>
    <t>Damage To Irrigation Pipe</t>
  </si>
  <si>
    <t>Jan 14- Jan 21</t>
  </si>
  <si>
    <t>Support Crew (6 Days)</t>
  </si>
  <si>
    <t>Delayed Start Due To Weather- Cost Impacts</t>
  </si>
  <si>
    <t>CO4</t>
  </si>
  <si>
    <t>CO5</t>
  </si>
  <si>
    <t>CO9</t>
  </si>
  <si>
    <t>CO10</t>
  </si>
  <si>
    <t>CO12</t>
  </si>
  <si>
    <t>CO13</t>
  </si>
  <si>
    <t>CO14</t>
  </si>
  <si>
    <t>19.41/mat</t>
  </si>
  <si>
    <t>CO 012</t>
  </si>
  <si>
    <t>CO 015</t>
  </si>
  <si>
    <t>Digging Sumps For Mud Containment</t>
  </si>
  <si>
    <t>Digging Test Holes For Sump Suitability</t>
  </si>
  <si>
    <t>N/A</t>
  </si>
  <si>
    <t>007</t>
  </si>
  <si>
    <t>W2K-RFI-0084</t>
  </si>
  <si>
    <t>W2K-RFI-0085</t>
  </si>
  <si>
    <t>W2K-RFI-0086</t>
  </si>
  <si>
    <t>Safety Stand Down Jan 18th</t>
  </si>
  <si>
    <t>Consultant For Long Run Crossing</t>
  </si>
  <si>
    <t>1177</t>
  </si>
  <si>
    <t>Shawn</t>
  </si>
  <si>
    <t>044</t>
  </si>
  <si>
    <t>059</t>
  </si>
  <si>
    <t>Haul Water For ROW Freezing</t>
  </si>
  <si>
    <t>062</t>
  </si>
  <si>
    <t>067</t>
  </si>
  <si>
    <t>CO20</t>
  </si>
  <si>
    <t>CO19</t>
  </si>
  <si>
    <t>CO18</t>
  </si>
  <si>
    <t>CO17</t>
  </si>
  <si>
    <t>Water Haul- ROW Freezing</t>
  </si>
  <si>
    <t>Haul Sand</t>
  </si>
  <si>
    <t>0334</t>
  </si>
  <si>
    <t>0562</t>
  </si>
  <si>
    <t>2.22 Cut Out And Replace Welds</t>
  </si>
  <si>
    <t>2.22</t>
  </si>
  <si>
    <t xml:space="preserve">To cut out and replace welds rings, including </t>
  </si>
  <si>
    <t>re-bevelling of two (2) pipe ends at request of</t>
  </si>
  <si>
    <t>Company</t>
  </si>
  <si>
    <t>per weld</t>
  </si>
  <si>
    <t>2.31</t>
  </si>
  <si>
    <t>2.31 Move Around</t>
  </si>
  <si>
    <t>a) Within 10 km of ROW</t>
  </si>
  <si>
    <t>b) 10 to -25 km of ROW</t>
  </si>
  <si>
    <t>Move Around</t>
  </si>
  <si>
    <t>Crew</t>
  </si>
  <si>
    <t>Move Around- Bending</t>
  </si>
  <si>
    <t>2.3 a) b) c) d)</t>
  </si>
  <si>
    <t>CO21</t>
  </si>
  <si>
    <t>CO22</t>
  </si>
  <si>
    <t>Installation &amp; Trucking Of Mats For HDD Pad</t>
  </si>
  <si>
    <t xml:space="preserve">Total is 540 mats @ $153.64 per mat: </t>
  </si>
  <si>
    <t>50% For Installation; Remaining 50% Upon Removal</t>
  </si>
  <si>
    <t>Rework Due To Survey Error (Estimate Revised)</t>
  </si>
  <si>
    <t>Paragon Soil Test Holes &amp; Sandblast Defective Repairs</t>
  </si>
  <si>
    <t>Ticket 0226</t>
  </si>
  <si>
    <t>Paragon Test Holes  Ticket 0437</t>
  </si>
  <si>
    <t>Tickets 0153, 0401, 0426, 0430, 0431, 0432</t>
  </si>
  <si>
    <t>Tickets 0157, 0168, 0169</t>
  </si>
  <si>
    <t>Energy Fluid Service:  Invoice #2015-0032</t>
  </si>
  <si>
    <t>CO 017</t>
  </si>
  <si>
    <t>Offload  Company Supplied Mats</t>
  </si>
  <si>
    <t>259 Mats @ $19.41/mat To Dec 19, 2015</t>
  </si>
  <si>
    <t>24 Additional Shifts @ $3,694.48</t>
  </si>
  <si>
    <t>12 Days: Jan 10 to Jan 21, 2016</t>
  </si>
  <si>
    <t>CO 019</t>
  </si>
  <si>
    <t>Paragon Soils Test Holes &amp; Repair Factory Holidays</t>
  </si>
  <si>
    <t>W2K-RFI-0088</t>
  </si>
  <si>
    <t>0335</t>
  </si>
  <si>
    <t>0336</t>
  </si>
  <si>
    <t>0564</t>
  </si>
  <si>
    <t>0704</t>
  </si>
  <si>
    <t>missing Shawn's signature</t>
  </si>
  <si>
    <t>0705</t>
  </si>
  <si>
    <t>0706</t>
  </si>
  <si>
    <t>0337</t>
  </si>
  <si>
    <t>February:</t>
  </si>
  <si>
    <r>
      <rPr>
        <sz val="12"/>
        <color theme="1"/>
        <rFont val="Calibri"/>
        <family val="2"/>
        <scheme val="minor"/>
      </rPr>
      <t xml:space="preserve">Dec, </t>
    </r>
    <r>
      <rPr>
        <sz val="12"/>
        <color theme="1"/>
        <rFont val="Calibri"/>
        <family val="2"/>
        <scheme val="minor"/>
      </rPr>
      <t xml:space="preserve">Jan &amp; </t>
    </r>
    <r>
      <rPr>
        <sz val="12"/>
        <color theme="1"/>
        <rFont val="Calibri"/>
        <family val="2"/>
        <scheme val="minor"/>
      </rPr>
      <t>Feb</t>
    </r>
    <r>
      <rPr>
        <sz val="12"/>
        <color theme="1"/>
        <rFont val="Calibri"/>
        <family val="2"/>
        <scheme val="minor"/>
      </rPr>
      <t xml:space="preserve"> To Date:</t>
    </r>
  </si>
  <si>
    <r>
      <rPr>
        <sz val="12"/>
        <color theme="1"/>
        <rFont val="Calibri"/>
        <family val="2"/>
        <scheme val="minor"/>
      </rPr>
      <t>Feb 15</t>
    </r>
    <r>
      <rPr>
        <sz val="12"/>
        <color theme="1"/>
        <rFont val="Calibri"/>
        <family val="2"/>
        <scheme val="minor"/>
      </rPr>
      <t>:</t>
    </r>
  </si>
  <si>
    <t>Safety Stand Down</t>
  </si>
  <si>
    <t>Sandblast Defective Repairs Ticket 0176</t>
  </si>
  <si>
    <t>Clean Up</t>
  </si>
  <si>
    <t>0529</t>
  </si>
  <si>
    <t>085</t>
  </si>
  <si>
    <t>084</t>
  </si>
  <si>
    <t>Additional Hydrovac Support</t>
  </si>
  <si>
    <t>071 &amp; 072</t>
  </si>
  <si>
    <t>Additional Tie-In Support And HDD Support Crews</t>
  </si>
  <si>
    <t>CO23</t>
  </si>
  <si>
    <t>070R1</t>
  </si>
  <si>
    <t>CO24</t>
  </si>
  <si>
    <t>W2K-RFI-0081R1</t>
  </si>
  <si>
    <t>W2K-RFI-0079R1</t>
  </si>
  <si>
    <t>W2K-RFI-0087R1</t>
  </si>
  <si>
    <t>RFI Complete</t>
  </si>
  <si>
    <t>Partly Approved</t>
  </si>
  <si>
    <t>Drag Section At KP 63+700 To Be Tested In Two Sections</t>
  </si>
  <si>
    <t>W2K-RFI-0089</t>
  </si>
  <si>
    <t>Drag Section At KP 12+500 To Be Tested In Two Sections</t>
  </si>
  <si>
    <t>KP 26+027</t>
  </si>
  <si>
    <t>UPI Report</t>
  </si>
  <si>
    <t>Lorne</t>
  </si>
  <si>
    <t>0563</t>
  </si>
  <si>
    <t>KP 54+510</t>
  </si>
  <si>
    <t>1152</t>
  </si>
  <si>
    <t>Cliff</t>
  </si>
  <si>
    <t>Dennis</t>
  </si>
  <si>
    <t>0565</t>
  </si>
  <si>
    <t>0566</t>
  </si>
  <si>
    <t>0338</t>
  </si>
  <si>
    <t>2 loads</t>
  </si>
  <si>
    <t>Pulled out on the 6th.</t>
  </si>
  <si>
    <t>50% For Removal</t>
  </si>
  <si>
    <t>CO 024</t>
  </si>
  <si>
    <t>1) Base Lay Total:</t>
  </si>
  <si>
    <t>2) UPI Total:</t>
  </si>
  <si>
    <t>3) Incremental LS Total:</t>
  </si>
  <si>
    <t>4) Extra Work Total:</t>
  </si>
  <si>
    <t>0567</t>
  </si>
  <si>
    <t>0339</t>
  </si>
  <si>
    <t>W2K-RFI-0090</t>
  </si>
  <si>
    <t>Drag Sections At KP 30+115 &amp; 10+608- Add Tested Pipe To Section</t>
  </si>
  <si>
    <t>W2K-RFI-0091</t>
  </si>
  <si>
    <t>Water Trucks To Support HDD Rigs</t>
  </si>
  <si>
    <t>0568</t>
  </si>
  <si>
    <t>0340</t>
  </si>
  <si>
    <t>0140</t>
  </si>
  <si>
    <t>W2K-RFI-0092</t>
  </si>
  <si>
    <t>Backfill Sumps Along ROW</t>
  </si>
  <si>
    <t>2.3 d)</t>
  </si>
  <si>
    <t>Cut Out And Replace Welds</t>
  </si>
  <si>
    <t>Tickets 0677, 0678</t>
  </si>
  <si>
    <t>Badger Hydrovac Mud Disposal To Secure</t>
  </si>
  <si>
    <t>25 Hour Medic for HDD &amp; Burning Crew (Jan 30-Feb 4)</t>
  </si>
  <si>
    <t>0128- Pull Out Badger Hydrovac</t>
  </si>
  <si>
    <t>TKT00160522- Badger Water Haul- No TDL Available</t>
  </si>
  <si>
    <t>TKT00226429- Badger Water Haul- No TDL Available</t>
  </si>
  <si>
    <t>TKT00160521- Badger Water Haul- No TDL Available</t>
  </si>
  <si>
    <t>0181-Repair Coating After Buffing Due To Defect</t>
  </si>
  <si>
    <t>Replied</t>
  </si>
  <si>
    <t xml:space="preserve">Note: Balance of work ($2,965.60) to be issued in </t>
  </si>
  <si>
    <t>another Change Order</t>
  </si>
  <si>
    <t>W2K-RFI-0093</t>
  </si>
  <si>
    <t>W2K-RFI-0094</t>
  </si>
  <si>
    <t>Stumping &amp; Grubbing Support</t>
  </si>
  <si>
    <t>Tickets 0679, 0680, 0681, 0682, 0683, 0684, 0685,</t>
  </si>
  <si>
    <t>0686, 0688</t>
  </si>
  <si>
    <t>VOID</t>
  </si>
  <si>
    <t>W2K-RFI-0095</t>
  </si>
  <si>
    <t>Move Around Bear Den At KP 48+800</t>
  </si>
  <si>
    <t>CO29</t>
  </si>
  <si>
    <t>Digging Sumps- Tickets 0157, 0168, 0169</t>
  </si>
  <si>
    <t xml:space="preserve">Digging Sumps- Tickets 0679, 0680, 0681, 0682, </t>
  </si>
  <si>
    <t>0683, 0684, 0685,0686, 0688</t>
  </si>
  <si>
    <t>0569</t>
  </si>
  <si>
    <t>1178</t>
  </si>
  <si>
    <t>0341</t>
  </si>
  <si>
    <t>0342</t>
  </si>
  <si>
    <t>0570</t>
  </si>
  <si>
    <t>0571</t>
  </si>
  <si>
    <t>0572</t>
  </si>
  <si>
    <t>0343</t>
  </si>
  <si>
    <t>Padding</t>
  </si>
  <si>
    <t>0141</t>
  </si>
  <si>
    <t>0531</t>
  </si>
  <si>
    <t>W2K-RFI-0096</t>
  </si>
  <si>
    <t>Clean Up Crew Move Around HDD Drills</t>
  </si>
  <si>
    <t>Jeremy Manning</t>
  </si>
  <si>
    <t>W2K-RFI-0097</t>
  </si>
  <si>
    <t>Drag Section At KP 30+551 To Be Tested In Two Sections</t>
  </si>
  <si>
    <t>Stumping &amp; Grubbing Not Completed By Clearing Contractor</t>
  </si>
  <si>
    <t xml:space="preserve"> </t>
  </si>
  <si>
    <t>Installation/Removal &amp; Trucking Of Access Mats To The Cutbank River (Addit. To C010)</t>
  </si>
  <si>
    <t>Additional Force Account Equipment Rates</t>
  </si>
  <si>
    <t>094</t>
  </si>
  <si>
    <t>093</t>
  </si>
  <si>
    <t>092</t>
  </si>
  <si>
    <t>Mix And Backfill HDD Mud Sump Pits</t>
  </si>
  <si>
    <t>W2K-RFI-0098</t>
  </si>
  <si>
    <t>Drag Section At KP 26+759 And 48+756 Tested In Two Sections</t>
  </si>
  <si>
    <t>W2K-RFI-0099</t>
  </si>
  <si>
    <t>Cross Above Harvest Line At Road 23, KP 51+264</t>
  </si>
  <si>
    <t>W2K-RFI-0100</t>
  </si>
  <si>
    <t>Two Section Hydro Tests For HDDs</t>
  </si>
  <si>
    <t>W2K-RFI-0101</t>
  </si>
  <si>
    <t>Tow Equipment To Access Drilling Rigs</t>
  </si>
  <si>
    <t>W2K-RFI-0102</t>
  </si>
  <si>
    <t>Bore Extension- KP 42+647 To 42+737</t>
  </si>
  <si>
    <t>0142</t>
  </si>
  <si>
    <t>1179</t>
  </si>
  <si>
    <t>0575</t>
  </si>
  <si>
    <t>0573</t>
  </si>
  <si>
    <t>1301</t>
  </si>
  <si>
    <t>48+800-Bending- Move Around Bear Den</t>
  </si>
  <si>
    <t>56+109- Bending Part crew move around so within 10 km of ROW used</t>
  </si>
  <si>
    <t>KP 51+500 to 61+800 area</t>
  </si>
  <si>
    <t>Accepted/Not Accepted</t>
  </si>
  <si>
    <t>0344</t>
  </si>
  <si>
    <t>Responded</t>
  </si>
  <si>
    <t>CO30</t>
  </si>
  <si>
    <t>CO33</t>
  </si>
  <si>
    <t>Offload Company Supplied Mats- NTL 6826</t>
  </si>
  <si>
    <t>29 Mats @ $19.41/mat</t>
  </si>
  <si>
    <t xml:space="preserve">19 Mats @ $19.41/mat </t>
  </si>
  <si>
    <t>Haul Water For ROW Freezing (No TDLs In Place)</t>
  </si>
  <si>
    <t>48+800-Welding- Move Around Bear Den</t>
  </si>
  <si>
    <t>48+800-Coating- Move Around Bear Den</t>
  </si>
  <si>
    <t>48+800-Ditching- Move Around Bear Den</t>
  </si>
  <si>
    <t>48+800-Lower-In- Move Around Bear Den</t>
  </si>
  <si>
    <t>1303</t>
  </si>
  <si>
    <t>1304</t>
  </si>
  <si>
    <t>0281</t>
  </si>
  <si>
    <t>48+800-Grade- Move Around Bear Den</t>
  </si>
  <si>
    <t>0763</t>
  </si>
  <si>
    <t>KP 46+890- TICKET 1302</t>
  </si>
  <si>
    <t>0229/0229</t>
  </si>
  <si>
    <t>0765</t>
  </si>
  <si>
    <t>0766</t>
  </si>
  <si>
    <t>48+800-Backfill- Move Around Bear Den</t>
  </si>
  <si>
    <t>Tie-ins</t>
  </si>
  <si>
    <t>Initial clean up</t>
  </si>
  <si>
    <t>final Clean up</t>
  </si>
  <si>
    <t>4 crew- 9,000</t>
  </si>
  <si>
    <t>test</t>
  </si>
  <si>
    <t>0143</t>
  </si>
  <si>
    <t>1177/1179</t>
  </si>
  <si>
    <t>W2K-RFI-0104</t>
  </si>
  <si>
    <t>KP 24+539 Daylighting Support</t>
  </si>
  <si>
    <t>1305</t>
  </si>
  <si>
    <t>Move Around- Welding</t>
  </si>
  <si>
    <t>Move Around- Coating</t>
  </si>
  <si>
    <t>W2K-RFI-0106</t>
  </si>
  <si>
    <t>W2K-RFI-0107</t>
  </si>
  <si>
    <t>Fill Void In Bore At KP 42+709 With Foam</t>
  </si>
  <si>
    <t>Remove Merchantable Timber When Mills Were Closed</t>
  </si>
  <si>
    <t>24Hr Medic Coverage (Additional To C004)</t>
  </si>
  <si>
    <t>Digging Sumps- Tickets 0687, 0689, 0699, 1426</t>
  </si>
  <si>
    <t>Stumping &amp; Grubbing Not Completed By Clearing</t>
  </si>
  <si>
    <t>Tickets 0601, 0602</t>
  </si>
  <si>
    <t>CO 027</t>
  </si>
  <si>
    <t>CO 030</t>
  </si>
  <si>
    <t>CO 033</t>
  </si>
  <si>
    <t>CO 038</t>
  </si>
  <si>
    <t>CO 039</t>
  </si>
  <si>
    <t>24 Hr Medic Coverage Additional To C004</t>
  </si>
  <si>
    <t>(Feb 5-Feb 29)</t>
  </si>
  <si>
    <t>Install/Remove/Truck Access Mats- Addit. To C010</t>
  </si>
  <si>
    <t>Note: This is balance of work ($2,965.60) from</t>
  </si>
  <si>
    <t>Change Order C010</t>
  </si>
  <si>
    <t>Mix &amp; Backfill HDD Mud Sump Pits</t>
  </si>
  <si>
    <t>Tickets 0436, 0437, 0438, 0439</t>
  </si>
  <si>
    <t>Badger Hydrovac Mud Disposal To Secure 0618</t>
  </si>
  <si>
    <t>TKT00210800</t>
  </si>
  <si>
    <t>Existing Piping Removal At Bald Mountain Station</t>
  </si>
  <si>
    <t>Tickets 0753 to 0760</t>
  </si>
  <si>
    <t>W2K-RFI-0053R2</t>
  </si>
  <si>
    <t>Total: 307 Mats To Date</t>
  </si>
  <si>
    <t>Joint Length Impact</t>
  </si>
  <si>
    <t xml:space="preserve">overlap with Feb 29 </t>
  </si>
  <si>
    <t>18.5 m overlap taken off as previously surveyed and billed on Feb 15</t>
  </si>
  <si>
    <t>a)</t>
  </si>
  <si>
    <t>d)</t>
  </si>
  <si>
    <t>b)</t>
  </si>
  <si>
    <t>Padding (Top)</t>
  </si>
  <si>
    <t>2.3 a)</t>
  </si>
  <si>
    <t>2.3 b)</t>
  </si>
  <si>
    <t>Sand Bedding From Borrow Pits</t>
  </si>
  <si>
    <t>Sand Padding (Top) From Borrow Pits</t>
  </si>
  <si>
    <t>Sand Hauling From Borrow Pits</t>
  </si>
  <si>
    <t>Move Around (Bear Den At KP 48+800)</t>
  </si>
  <si>
    <t>(Bending, Welding, Coating)</t>
  </si>
  <si>
    <t>CO???</t>
  </si>
  <si>
    <t>W2K-RFI-0108</t>
  </si>
  <si>
    <t>PVC Pipe For Temperature Probes</t>
  </si>
  <si>
    <t>0144</t>
  </si>
  <si>
    <t>Dwayne/Thomas</t>
  </si>
  <si>
    <t>0345</t>
  </si>
  <si>
    <t>1306</t>
  </si>
  <si>
    <t>Clint has to 39+769 but there is overlap with Feb 29 billing</t>
  </si>
  <si>
    <t>No UPI from Clint</t>
  </si>
  <si>
    <t>0346</t>
  </si>
  <si>
    <t>0347</t>
  </si>
  <si>
    <t>1307</t>
  </si>
  <si>
    <t>1180</t>
  </si>
  <si>
    <t>0348</t>
  </si>
  <si>
    <t>1181</t>
  </si>
  <si>
    <t>1309</t>
  </si>
  <si>
    <t>1310</t>
  </si>
  <si>
    <t>0537</t>
  </si>
  <si>
    <t>3 m overlap with above</t>
  </si>
  <si>
    <t>4 m overlap with above</t>
  </si>
  <si>
    <t>Darwin Wiebe</t>
  </si>
  <si>
    <t>70 km</t>
  </si>
  <si>
    <t>0716</t>
  </si>
  <si>
    <t>0444</t>
  </si>
  <si>
    <t>0349</t>
  </si>
  <si>
    <t>Move Around- Lower-In</t>
  </si>
  <si>
    <t>Move Around- Backfill</t>
  </si>
  <si>
    <t>Move Around- Trenching</t>
  </si>
  <si>
    <t>paid Feb 29</t>
  </si>
  <si>
    <t>Previous Billings To Date W/ COs:</t>
  </si>
  <si>
    <t>Move Around- Grading</t>
  </si>
  <si>
    <t>W2K-RFI-0105R1</t>
  </si>
  <si>
    <t xml:space="preserve">Remove Merchatable Timber </t>
  </si>
  <si>
    <t>1701747 Alberta Ltd Invoice: #242</t>
  </si>
  <si>
    <t>W2K-RFI-0109</t>
  </si>
  <si>
    <t>1326</t>
  </si>
  <si>
    <t>1182</t>
  </si>
  <si>
    <t>W2K-RFI-0110</t>
  </si>
  <si>
    <t>Clean Up Environmental Concerns</t>
  </si>
  <si>
    <t>1327</t>
  </si>
  <si>
    <t>Ron</t>
  </si>
  <si>
    <t>(Mar 1-15)</t>
  </si>
  <si>
    <t>W2K-RFI-0111</t>
  </si>
  <si>
    <t>Miscellaneous Stand By</t>
  </si>
  <si>
    <t>W2K-RFI-0112</t>
  </si>
  <si>
    <t>Bore Extension- KP 38+390 To 38+731</t>
  </si>
  <si>
    <t>0145</t>
  </si>
  <si>
    <t>091</t>
  </si>
  <si>
    <t>CO36</t>
  </si>
  <si>
    <t>CO37</t>
  </si>
  <si>
    <t>110</t>
  </si>
  <si>
    <t>W2K-RFI-0113</t>
  </si>
  <si>
    <t>Bear Den HDD Extra Work</t>
  </si>
  <si>
    <t>W2K-RFI-0114</t>
  </si>
  <si>
    <t>X Ray Auditor Callbacks</t>
  </si>
  <si>
    <t>CO39</t>
  </si>
  <si>
    <t>114</t>
  </si>
  <si>
    <t>X-Ray Auditor Call Backs</t>
  </si>
  <si>
    <t>1183</t>
  </si>
  <si>
    <t>8 m missed</t>
  </si>
  <si>
    <t>1.1 m overlap with below</t>
  </si>
  <si>
    <t>1.1 m overlap with above</t>
  </si>
  <si>
    <t>3 m overlap with below</t>
  </si>
  <si>
    <t>3 m of overlap with above</t>
  </si>
  <si>
    <t>3.4m of overlap with above</t>
  </si>
  <si>
    <t>3.9 m overlap with below</t>
  </si>
  <si>
    <t>4 m overlap with below</t>
  </si>
  <si>
    <t>14.5 m extra due to overlap; 8.6 m missed= 5.9 m extra on this billing</t>
  </si>
  <si>
    <t>(Part of Grade, Trenching, Lower-In &amp; Backfill)</t>
  </si>
  <si>
    <t xml:space="preserve">(Ticket 0176 was $483.30 over the CO so I put it in </t>
  </si>
  <si>
    <t>the Miscellaneous CO15)</t>
  </si>
  <si>
    <t xml:space="preserve">(Ticket 0176 was $483.30 over the C014 limit so it </t>
  </si>
  <si>
    <t>will be placed in C015)</t>
  </si>
  <si>
    <t>Invoices 1362, 1363, 1366, 1367</t>
  </si>
  <si>
    <t>Avid Resource Management Jan 11-14</t>
  </si>
  <si>
    <t>Water Trucks (Feb 16-23)</t>
  </si>
  <si>
    <t>Tickets: 0178, 0332, 0179, 0180, 0278</t>
  </si>
  <si>
    <t>Rejected</t>
  </si>
  <si>
    <t>Accepted</t>
  </si>
  <si>
    <t>1328</t>
  </si>
  <si>
    <t>2.7 m overlap with below</t>
  </si>
  <si>
    <t>2.7 m overlap with above</t>
  </si>
  <si>
    <t>survey has 47233.2</t>
  </si>
  <si>
    <t>UPI may be wrong</t>
  </si>
  <si>
    <t>Badger Ticket: TKT00232464 plus 5% mark up</t>
  </si>
  <si>
    <t>Badger Ticket: TKT00233225 plus 5% mark up</t>
  </si>
  <si>
    <t>1329</t>
  </si>
  <si>
    <t>HDD Clean-Up Impact</t>
  </si>
  <si>
    <t>W2K-RFI-0103R1</t>
  </si>
  <si>
    <t>Move Backs Due To Improper Agreements/ CNRL/NuVista Change In Crossing Type</t>
  </si>
  <si>
    <t>X-Ray Auditor Call Back</t>
  </si>
  <si>
    <t>Cutbank Mats</t>
  </si>
  <si>
    <t>Ron/Clint</t>
  </si>
  <si>
    <t>1184</t>
  </si>
  <si>
    <t>Terry</t>
  </si>
  <si>
    <t>W2K-RFI-0115</t>
  </si>
  <si>
    <t>W2K-RFI-0116</t>
  </si>
  <si>
    <t>Hydrotest Medium Change</t>
  </si>
  <si>
    <t>no Lem/UPI</t>
  </si>
  <si>
    <t>paid Mar 15</t>
  </si>
  <si>
    <t>Access Mats For Drill ShooFly 24+722</t>
  </si>
  <si>
    <t>1330</t>
  </si>
  <si>
    <t>W2K-RFI-0117</t>
  </si>
  <si>
    <t>Indirect Support For Extension</t>
  </si>
  <si>
    <t>Additional Tie-In Support &amp; HDD Crews</t>
  </si>
  <si>
    <t>Additional Tie-In Support: W2K-RFI-071</t>
  </si>
  <si>
    <t>W2K-RFI-0118</t>
  </si>
  <si>
    <t>Sump Light Towers</t>
  </si>
  <si>
    <t>March 31 Payment (25% of $763,439.04)</t>
  </si>
  <si>
    <t>April 15 Payment (50% of $763,439.04)</t>
  </si>
  <si>
    <t>April 31 Payment (25% of $763,439.04)</t>
  </si>
  <si>
    <t>March 31 Payment (100% of $1,201,072.32)</t>
  </si>
  <si>
    <t xml:space="preserve">HDD Support Crews To March 31: W2K-RFI-072 </t>
  </si>
  <si>
    <t>W2K-RFI-0119</t>
  </si>
  <si>
    <t>Access Road Repair</t>
  </si>
  <si>
    <t>testing</t>
  </si>
  <si>
    <t>Ticket 1439</t>
  </si>
  <si>
    <t>Move Around- Tie-Ins</t>
  </si>
  <si>
    <t>W2K-RFI-0120</t>
  </si>
  <si>
    <t>Extension of HDD Support</t>
  </si>
  <si>
    <t>W2K-RFI-0121</t>
  </si>
  <si>
    <t>Purchase Of ROW Seed</t>
  </si>
  <si>
    <t>111</t>
  </si>
  <si>
    <t>Delays Due To Clearing, Reps &amp; Miscellaneous Causes</t>
  </si>
  <si>
    <t>Access Mats For CNRL 24+804</t>
  </si>
  <si>
    <t xml:space="preserve">Previous: </t>
  </si>
  <si>
    <t xml:space="preserve">Grand Total Mats: </t>
  </si>
  <si>
    <t>CO40</t>
  </si>
  <si>
    <t>CO41</t>
  </si>
  <si>
    <t>121</t>
  </si>
  <si>
    <t>Purchase Of Seed Mix</t>
  </si>
  <si>
    <t>1237 &amp; 1238:</t>
  </si>
  <si>
    <t>2980,0982,0984,0986:</t>
  </si>
  <si>
    <t>CNRL</t>
  </si>
  <si>
    <t>30+551 Frac</t>
  </si>
  <si>
    <t>KP 30+551 Frac</t>
  </si>
  <si>
    <t xml:space="preserve">Rockshield </t>
  </si>
  <si>
    <t>(Mar 16-31)</t>
  </si>
  <si>
    <t>1332</t>
  </si>
  <si>
    <t>1333</t>
  </si>
  <si>
    <t>John Hummel</t>
  </si>
  <si>
    <t>KP 30+551 IMR Clean Up</t>
  </si>
  <si>
    <t>placed in C015)</t>
  </si>
  <si>
    <t>Digging Test Holes- 0697</t>
  </si>
  <si>
    <t>(Would have put C009 over by $2,004.41 so it will be</t>
  </si>
  <si>
    <t xml:space="preserve">      </t>
  </si>
  <si>
    <t>KP</t>
  </si>
  <si>
    <t>Tonnes</t>
  </si>
  <si>
    <t>Inspector</t>
  </si>
  <si>
    <t>&amp; 66+514</t>
  </si>
  <si>
    <t>Tri Drive &amp; Tandem</t>
  </si>
  <si>
    <t>141994</t>
  </si>
  <si>
    <t>Sureway</t>
  </si>
  <si>
    <t>Kenelson</t>
  </si>
  <si>
    <t>0705- Jersey Developments</t>
  </si>
  <si>
    <t>141933</t>
  </si>
  <si>
    <t>LEM/Ticket/Company</t>
  </si>
  <si>
    <t>Jersey Developments</t>
  </si>
  <si>
    <t>141701</t>
  </si>
  <si>
    <t>141702</t>
  </si>
  <si>
    <t>Jersey Developments unit 400</t>
  </si>
  <si>
    <t>KP    To</t>
  </si>
  <si>
    <t>Digging Sumps Additional To C011</t>
  </si>
  <si>
    <t>Daylighting CNRL Pipelines At KP 24+804</t>
  </si>
  <si>
    <t>Hydrovac Support Additional to C023</t>
  </si>
  <si>
    <t>Delays Due To Clearing, Reps &amp; Misc. Causes</t>
  </si>
  <si>
    <t>Delays Due to Clearing, Reps &amp; Misc. Causes</t>
  </si>
  <si>
    <t>Tickets: 0604, 0617, 0606, 0330, 0613, 0707, 0708</t>
  </si>
  <si>
    <t>0710, 0712</t>
  </si>
  <si>
    <t>Tickets: 2010062, 0634, 0635, 0636, 0637, 0638</t>
  </si>
  <si>
    <t>CO 040</t>
  </si>
  <si>
    <t>Hydrovac Support Additional To C023</t>
  </si>
  <si>
    <t>Tickets: 0807, 0808, 1242, 0809, 0810, 0772, 0771</t>
  </si>
  <si>
    <t>Purchase of Seed Mix</t>
  </si>
  <si>
    <t>Invoice: Foster's Seed &amp; Feed #230164</t>
  </si>
  <si>
    <t>Tickets: 1440, 1441, 1442</t>
  </si>
  <si>
    <t>Tickets: 0436, 0437, 0438, 0439</t>
  </si>
  <si>
    <t>Tickets: 0446, 0449, 0450, 1455, 1456, 1458, 1457,</t>
  </si>
  <si>
    <t>1459, 1462, 0150, 1463, 1026, 1464, 1443, 1027,</t>
  </si>
  <si>
    <t>1444, 1445</t>
  </si>
  <si>
    <t>C044</t>
  </si>
  <si>
    <t>2 loads sand to Rd 9 (22+846 for KP 24+750-24+943 sight holes</t>
  </si>
  <si>
    <t>W2K-RFI-0122</t>
  </si>
  <si>
    <t>Electronic Inspection Tool Support</t>
  </si>
  <si>
    <t>1335</t>
  </si>
  <si>
    <t>Partially Approved</t>
  </si>
  <si>
    <t>HDD Rig Foot Print 39+239</t>
  </si>
  <si>
    <t>W2K-RFI-0123</t>
  </si>
  <si>
    <t>HD Bore Tie-Ins</t>
  </si>
  <si>
    <t>If Negative then CO is Over</t>
  </si>
  <si>
    <t>Pending</t>
  </si>
  <si>
    <t>Difference</t>
  </si>
  <si>
    <t>W2K-RFI-0124</t>
  </si>
  <si>
    <t>HDD Tie-In Impact</t>
  </si>
  <si>
    <t>1 load sand</t>
  </si>
  <si>
    <t>2.11 Clean Washed Gravel</t>
  </si>
  <si>
    <t>2.11</t>
  </si>
  <si>
    <t>Clean Washed Gravel</t>
  </si>
  <si>
    <t>To supply load and place well graded, clean, washed gravel with particle size between 25 mm and 50 mm from contractor sourced borrow pits and pre-approved by the company, as requested by Company.</t>
  </si>
  <si>
    <t>Haul (The cost of hauling to the ROW.  Pits and haul distance approved by the Company)</t>
  </si>
  <si>
    <t>Per</t>
  </si>
  <si>
    <t>W2K-RFI-0125</t>
  </si>
  <si>
    <t>Test Lead Extension</t>
  </si>
  <si>
    <t>Ticket: 1468, 1469</t>
  </si>
  <si>
    <t>W2K-RFI-0126</t>
  </si>
  <si>
    <t>Typical HDD Hydrotesting</t>
  </si>
  <si>
    <t>4 loads sand</t>
  </si>
  <si>
    <t>1609</t>
  </si>
  <si>
    <t>Bedding &amp; Padding</t>
  </si>
  <si>
    <t>Need CO</t>
  </si>
  <si>
    <t>CO11 &amp; CO43</t>
  </si>
  <si>
    <t>118</t>
  </si>
  <si>
    <t>Light Towers For HDD Sumps</t>
  </si>
  <si>
    <t>075 &amp; 104</t>
  </si>
  <si>
    <t>CO47</t>
  </si>
  <si>
    <t>CO46</t>
  </si>
  <si>
    <t>1454</t>
  </si>
  <si>
    <t>1313</t>
  </si>
  <si>
    <t>(Mar 1-8)</t>
  </si>
  <si>
    <t>1447, 1467, 0957, 1450</t>
  </si>
  <si>
    <t xml:space="preserve">Tickets: 1031, 0539, 1446, 0953, 0540, 0541, 0954,  </t>
  </si>
  <si>
    <t>Tickets: 0770, 0769</t>
  </si>
  <si>
    <t>Tickets: 0768, 0220, 0219</t>
  </si>
  <si>
    <t>Badger Hydrovac Expose For Secure TKT00228896</t>
  </si>
  <si>
    <t>Conoco Rep Request Invoice #16-0089</t>
  </si>
  <si>
    <t>Remove Ribbons From Cutbank- 1470</t>
  </si>
  <si>
    <t>some rockshield missing</t>
  </si>
  <si>
    <t>missed on last billing</t>
  </si>
  <si>
    <t>W2K-RFI-0127</t>
  </si>
  <si>
    <t>All Conditions Equipment Usage</t>
  </si>
  <si>
    <t>W2K-RFI-0128</t>
  </si>
  <si>
    <t>W2K-RFI-0129</t>
  </si>
  <si>
    <t>Access Matting Swap/Replacement</t>
  </si>
  <si>
    <t>Second Season Clean Up Clarifications</t>
  </si>
  <si>
    <t>W2K-RFI-0130</t>
  </si>
  <si>
    <t>W2K-RFI-0131</t>
  </si>
  <si>
    <t>Line Rep Delays</t>
  </si>
  <si>
    <t>Doug Clark</t>
  </si>
  <si>
    <t xml:space="preserve">Ticket: </t>
  </si>
  <si>
    <t>(Mar ?-?)</t>
  </si>
  <si>
    <t>Invoice: Foster's Seed &amp; Feed #230295</t>
  </si>
  <si>
    <t xml:space="preserve">Total: </t>
  </si>
  <si>
    <t>??</t>
  </si>
  <si>
    <t>Final Tie ins</t>
  </si>
  <si>
    <t>W2K-RFI-0132</t>
  </si>
  <si>
    <t>Road Ban Cost Impact</t>
  </si>
  <si>
    <t>April 30 Payment (25% of $763,439.04)</t>
  </si>
  <si>
    <t>Hydrovac Support For Cathodic Protection- 0129</t>
  </si>
  <si>
    <t>TCR Vac For Bore Support- 0715</t>
  </si>
  <si>
    <t>Inspect Mainline- 1311</t>
  </si>
  <si>
    <t>NuVista Road Maintenance- 1931</t>
  </si>
  <si>
    <t>Install Nipple For Bleed At Kakwa Station- 1851</t>
  </si>
  <si>
    <t>2.3 c), d)</t>
  </si>
  <si>
    <t>Sand Bedding, Padding and Hauling</t>
  </si>
  <si>
    <t>Extra Depth Ditch</t>
  </si>
  <si>
    <t>Move Arounds</t>
  </si>
  <si>
    <t>Consultant For Long Run Exploration Crossing Additional To C019</t>
  </si>
  <si>
    <t>Mix And Backfill HDD Mud Sump Pits Additional To C033</t>
  </si>
  <si>
    <t>Consultant For Long Run Crossing Additional To C019</t>
  </si>
  <si>
    <t>Invoices 1371, 1372, 1373, 1374</t>
  </si>
  <si>
    <t>Avid Resource Management Ltd.  Feb 15-19</t>
  </si>
  <si>
    <t>Tickets: 0964, 0965, 0969, 0970, 0973</t>
  </si>
  <si>
    <t>W2K-RFI-0133</t>
  </si>
  <si>
    <t>Integrity Dig Ups</t>
  </si>
  <si>
    <t>Volume doubled as per Pembina Integrity request</t>
  </si>
  <si>
    <t>PO added 3 cents On CO 6.</t>
  </si>
  <si>
    <t>Mix &amp; Backfill HDD Mud Sump Pits Additional To C033</t>
  </si>
  <si>
    <t>W2K-RFI-0134</t>
  </si>
  <si>
    <t>Caliper Pig Contractor Change</t>
  </si>
  <si>
    <t>back up is good</t>
  </si>
  <si>
    <t>Lochlan Checking Jarrett</t>
  </si>
  <si>
    <t>No Response From SITE</t>
  </si>
  <si>
    <t>No Response</t>
  </si>
  <si>
    <t>Misc. CO</t>
  </si>
  <si>
    <t>Tim</t>
  </si>
  <si>
    <t>20 loads</t>
  </si>
  <si>
    <t>W2K-RFI-0135</t>
  </si>
  <si>
    <t>Inspection Tool Measurement Discrepancies</t>
  </si>
  <si>
    <t>TBD</t>
  </si>
  <si>
    <t>W2K-RFI-0136</t>
  </si>
  <si>
    <t>Access Matting Dig-ups</t>
  </si>
  <si>
    <t xml:space="preserve">Tim </t>
  </si>
  <si>
    <t>2 tri-drives</t>
  </si>
  <si>
    <t>None</t>
  </si>
  <si>
    <t>Checker</t>
  </si>
  <si>
    <t>39+300</t>
  </si>
  <si>
    <t>Jason</t>
  </si>
  <si>
    <t>no back up</t>
  </si>
  <si>
    <t>Padding b)</t>
  </si>
  <si>
    <t>Bedding &amp; Padding c)</t>
  </si>
  <si>
    <t>Bedding a)</t>
  </si>
  <si>
    <t>113</t>
  </si>
  <si>
    <t>Additional Work Associated With Bear Den At KP 48+800</t>
  </si>
  <si>
    <t xml:space="preserve"> CO total should be 3 cents more</t>
  </si>
  <si>
    <t>C052</t>
  </si>
  <si>
    <t>CO 052</t>
  </si>
  <si>
    <t>CO 053</t>
  </si>
  <si>
    <t>CO 054</t>
  </si>
  <si>
    <t>CO 055</t>
  </si>
  <si>
    <t>Additional Work Associated With The Bear Den</t>
  </si>
  <si>
    <t>Inadvertent Mud Release Clean Up In Addition To C038</t>
  </si>
  <si>
    <t>IMR Clean Up In Addition To C038</t>
  </si>
  <si>
    <t>119</t>
  </si>
  <si>
    <t>Access Road Repairs &amp; Maintenance</t>
  </si>
  <si>
    <t>Access Road Repairs:</t>
  </si>
  <si>
    <t>Deep Basin Contracting Ltd. MGMISC020</t>
  </si>
  <si>
    <t>Supply/Deliver 1.5" Gravel To Rd 5: (MK 194, MK198)</t>
  </si>
  <si>
    <t>C055</t>
  </si>
  <si>
    <t>C054</t>
  </si>
  <si>
    <t>127</t>
  </si>
  <si>
    <t>All Conditions Equipment Use During Spring Break Up</t>
  </si>
  <si>
    <t>CO 056</t>
  </si>
  <si>
    <t>CO 057</t>
  </si>
  <si>
    <t>C057</t>
  </si>
  <si>
    <t>KP 39+600 Mud Clean Up</t>
  </si>
  <si>
    <t>Test Leads: Tickets 1645, 0709</t>
  </si>
  <si>
    <t>Test Leads: Tickets 1331, 1648</t>
  </si>
  <si>
    <t>Test Leads: Tickets 1473, 1649</t>
  </si>
  <si>
    <t>2.35 Crossings Under Existing Buried Pipelines</t>
  </si>
  <si>
    <t>2.35</t>
  </si>
  <si>
    <t>Crossings Under Existing Buried Pipelines</t>
  </si>
  <si>
    <t>Crossing</t>
  </si>
  <si>
    <t>Add per crossing</t>
  </si>
  <si>
    <t>changed as previous was wrong</t>
  </si>
  <si>
    <t>101</t>
  </si>
  <si>
    <t>134</t>
  </si>
  <si>
    <t>C058</t>
  </si>
  <si>
    <t>Expansion Pipeline Project</t>
  </si>
  <si>
    <t>Energy Services</t>
  </si>
  <si>
    <t>Contractor</t>
  </si>
  <si>
    <t>SI Log</t>
  </si>
  <si>
    <t>Construction Manager</t>
  </si>
  <si>
    <t xml:space="preserve"> PIPELINE PROJECT</t>
  </si>
  <si>
    <t>PIPELINE PROJECT</t>
  </si>
  <si>
    <t xml:space="preserve">HDD and Brored Crossing Lump Sum Prices for 12" Oil Line Segment </t>
  </si>
  <si>
    <t>Fabricated Assembly Lump Sum Prices For 12" Oil Line Segment</t>
  </si>
  <si>
    <t>C01</t>
  </si>
  <si>
    <t>C03</t>
  </si>
  <si>
    <t>C04</t>
  </si>
  <si>
    <t>RFI-015-R3 Cost Impacts</t>
  </si>
  <si>
    <t>CO6</t>
  </si>
  <si>
    <t>CO7</t>
  </si>
  <si>
    <t>Installation &amp; Removal Of Access Mats At River 56+109</t>
  </si>
  <si>
    <t>CO11</t>
  </si>
  <si>
    <t>C012</t>
  </si>
  <si>
    <t>CO-13</t>
  </si>
  <si>
    <t>C015</t>
  </si>
  <si>
    <t>CO16</t>
  </si>
  <si>
    <t>Handling Fee/Mark Up @ 5%:</t>
  </si>
  <si>
    <t>Unloading Mats- $19.41 Per Mat</t>
  </si>
  <si>
    <t>Drilling Support- Extended Schedule At River</t>
  </si>
  <si>
    <t xml:space="preserve"> Inadvertant Mud Release Clean Up</t>
  </si>
  <si>
    <t>Inadvertant Mud Release Clean Up</t>
  </si>
  <si>
    <t>0580- IMR Clean Up</t>
  </si>
  <si>
    <t>0276- IMR Clean Up</t>
  </si>
  <si>
    <t>0277- IMR Clean Up</t>
  </si>
  <si>
    <t>CO-24</t>
  </si>
  <si>
    <t>CO26</t>
  </si>
  <si>
    <t>CO027</t>
  </si>
  <si>
    <t>Existing Piping Removal At Station</t>
  </si>
  <si>
    <t>CO028</t>
  </si>
  <si>
    <t xml:space="preserve">CO# </t>
  </si>
  <si>
    <t>CO029</t>
  </si>
  <si>
    <t>CO030</t>
  </si>
  <si>
    <t>CO031</t>
  </si>
  <si>
    <t>CO033</t>
  </si>
  <si>
    <t>CO034</t>
  </si>
  <si>
    <t>CO035</t>
  </si>
  <si>
    <t>CO036</t>
  </si>
  <si>
    <t>CO037</t>
  </si>
  <si>
    <t>CO038</t>
  </si>
  <si>
    <t>Other Drill IMR Clean Up</t>
  </si>
  <si>
    <t xml:space="preserve"> River &amp; KP 64+445 IMR Clean Up</t>
  </si>
  <si>
    <t xml:space="preserve"> River IMR Clean Up</t>
  </si>
  <si>
    <t>River &amp; KP 64+445 IMR Clean Up</t>
  </si>
  <si>
    <t>River IMR Clean Up</t>
  </si>
  <si>
    <t>CO039</t>
  </si>
  <si>
    <t>C0040</t>
  </si>
  <si>
    <t>CO040</t>
  </si>
  <si>
    <t>CO041</t>
  </si>
  <si>
    <t>CO042</t>
  </si>
  <si>
    <t>CO043</t>
  </si>
  <si>
    <t>CO044</t>
  </si>
  <si>
    <t>CO045</t>
  </si>
  <si>
    <t>CO046</t>
  </si>
  <si>
    <t>CO047</t>
  </si>
  <si>
    <t>CO048</t>
  </si>
  <si>
    <t>Drilling Support- Extended Schedule AtRiver Additional To C020</t>
  </si>
  <si>
    <t>Drilling Support At River</t>
  </si>
  <si>
    <t>CO-048</t>
  </si>
  <si>
    <t>Drilling Support- Extended Schedule At River Additional To C020</t>
  </si>
  <si>
    <t>CO049</t>
  </si>
  <si>
    <t>CO050</t>
  </si>
  <si>
    <t>CO051</t>
  </si>
  <si>
    <t>CO052</t>
  </si>
  <si>
    <t>CO053</t>
  </si>
  <si>
    <t>CO054</t>
  </si>
  <si>
    <t>CO055</t>
  </si>
  <si>
    <t>CO056</t>
  </si>
  <si>
    <t>CO057</t>
  </si>
  <si>
    <t>CO058</t>
  </si>
  <si>
    <t>Slashing</t>
  </si>
  <si>
    <t>Indirect Support Costs</t>
  </si>
  <si>
    <t>Slashing- 8 hrs Standby</t>
  </si>
  <si>
    <t>UPIs For Progress Payment Jan 31 2016</t>
  </si>
  <si>
    <t>UPIs For Progress Payments Dec 15 &amp; Dec 31 2015</t>
  </si>
  <si>
    <t>UPIs For Progress Payment Jan 15 2016</t>
  </si>
  <si>
    <t>Installation/Removal &amp; Trucking Of Access Mats To The River</t>
  </si>
  <si>
    <t>Unloading Mats</t>
  </si>
  <si>
    <t>IMR Clean Up</t>
  </si>
  <si>
    <t>UPIs For Progress Payment Feb 15 2016</t>
  </si>
  <si>
    <t>UPIs For Progress Payment Feb 29 2016</t>
  </si>
  <si>
    <t>UPIs For Progress Payment Mar 15 2016</t>
  </si>
  <si>
    <t>UPIs For Progress Payment Mar 31 2016</t>
  </si>
  <si>
    <t>UPIs For Progress Payment Apr 15 2016</t>
  </si>
  <si>
    <t>UPIs For Progress Payment Apr 30 2016</t>
  </si>
  <si>
    <t>UPIs For Progress Payment May 15 2016</t>
  </si>
  <si>
    <t>Slashing Standby</t>
  </si>
  <si>
    <t>River Pull Back (Over Bend Radius)</t>
  </si>
  <si>
    <t>Crossing Agreement SE-11-68-8 W6M</t>
  </si>
  <si>
    <t>Remob to HDD</t>
  </si>
  <si>
    <t>Crossing Agreement- Station (Conoco Phillips)</t>
  </si>
  <si>
    <t>River Additional Rig Support</t>
  </si>
  <si>
    <t>Clean Up Release</t>
  </si>
  <si>
    <t>Additional Drill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</si>
</sst>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&quot;$&quot;#,##0.00;\-&quot;$&quot;#,##0.00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&quot;$&quot;#,##0.00"/>
    <numFmt numFmtId="169" formatCode="[$-409]mmmm\ d\,\ yyyy;@"/>
    <numFmt numFmtId="170" formatCode="[$-409]dd\-mmm\-yy;@"/>
    <numFmt numFmtId="171" formatCode="0.0"/>
    <numFmt numFmtId="172" formatCode="[$-409]d\-mmm\-yy;@"/>
    <numFmt numFmtId="173" formatCode="[$-409]d/mmm/yy;@"/>
    <numFmt numFmtId="174" formatCode="0\+000"/>
    <numFmt numFmtId="175" formatCode="0\+000.00"/>
    <numFmt numFmtId="176" formatCode="0.0000000"/>
  </numFmts>
  <fonts count="5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color rgb="FF9C6500"/>
      <name val="Calibri"/>
      <family val="2"/>
      <scheme val="minor"/>
    </font>
    <font>
      <sz val="12"/>
      <name val="Tahoma"/>
      <family val="2"/>
    </font>
    <font>
      <b/>
      <sz val="12"/>
      <name val="Tahoma"/>
      <family val="2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1476">
    <xf numFmtId="0" fontId="0" fillId="0" borderId="0"/>
    <xf numFmtId="166" fontId="11" fillId="0" borderId="0" applyFont="0" applyFill="0" applyBorder="0" applyAlignment="0" applyProtection="0"/>
    <xf numFmtId="0" fontId="11" fillId="0" borderId="0"/>
    <xf numFmtId="169" fontId="11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0" borderId="0"/>
    <xf numFmtId="0" fontId="38" fillId="6" borderId="0" applyNumberFormat="0" applyBorder="0" applyAlignment="0" applyProtection="0"/>
    <xf numFmtId="44" fontId="3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19">
    <xf numFmtId="0" fontId="0" fillId="0" borderId="0" xfId="0"/>
    <xf numFmtId="0" fontId="17" fillId="0" borderId="0" xfId="0" applyFont="1"/>
    <xf numFmtId="0" fontId="0" fillId="0" borderId="0" xfId="0" applyAlignment="1">
      <alignment horizontal="right"/>
    </xf>
    <xf numFmtId="15" fontId="0" fillId="0" borderId="0" xfId="0" applyNumberForma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4" fillId="0" borderId="0" xfId="0" applyFont="1"/>
    <xf numFmtId="2" fontId="12" fillId="0" borderId="0" xfId="0" applyNumberFormat="1" applyFont="1" applyAlignment="1">
      <alignment horizontal="left"/>
    </xf>
    <xf numFmtId="2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15" fillId="2" borderId="5" xfId="0" applyNumberFormat="1" applyFont="1" applyFill="1" applyBorder="1" applyAlignment="1">
      <alignment horizontal="left" vertical="top"/>
    </xf>
    <xf numFmtId="0" fontId="16" fillId="2" borderId="5" xfId="0" applyFont="1" applyFill="1" applyBorder="1" applyAlignment="1">
      <alignment horizontal="center" vertical="top" wrapText="1" shrinkToFit="1"/>
    </xf>
    <xf numFmtId="168" fontId="14" fillId="2" borderId="5" xfId="0" applyNumberFormat="1" applyFont="1" applyFill="1" applyBorder="1"/>
    <xf numFmtId="0" fontId="14" fillId="2" borderId="5" xfId="0" applyFont="1" applyFill="1" applyBorder="1" applyAlignment="1">
      <alignment horizontal="center"/>
    </xf>
    <xf numFmtId="168" fontId="18" fillId="2" borderId="6" xfId="0" applyNumberFormat="1" applyFont="1" applyFill="1" applyBorder="1"/>
    <xf numFmtId="49" fontId="13" fillId="2" borderId="6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horizontal="center" wrapText="1" shrinkToFit="1"/>
    </xf>
    <xf numFmtId="44" fontId="16" fillId="2" borderId="6" xfId="1" applyNumberFormat="1" applyFont="1" applyFill="1" applyBorder="1" applyAlignment="1"/>
    <xf numFmtId="0" fontId="16" fillId="2" borderId="6" xfId="0" applyFont="1" applyFill="1" applyBorder="1" applyAlignment="1">
      <alignment horizontal="left" wrapText="1"/>
    </xf>
    <xf numFmtId="0" fontId="0" fillId="2" borderId="6" xfId="0" applyFill="1" applyBorder="1"/>
    <xf numFmtId="168" fontId="12" fillId="2" borderId="6" xfId="0" applyNumberFormat="1" applyFont="1" applyFill="1" applyBorder="1"/>
    <xf numFmtId="0" fontId="0" fillId="2" borderId="7" xfId="0" applyFill="1" applyBorder="1"/>
    <xf numFmtId="168" fontId="12" fillId="2" borderId="7" xfId="0" applyNumberFormat="1" applyFont="1" applyFill="1" applyBorder="1"/>
    <xf numFmtId="0" fontId="0" fillId="2" borderId="1" xfId="0" applyFill="1" applyBorder="1" applyAlignment="1">
      <alignment horizontal="center"/>
    </xf>
    <xf numFmtId="168" fontId="12" fillId="2" borderId="1" xfId="0" applyNumberFormat="1" applyFont="1" applyFill="1" applyBorder="1"/>
    <xf numFmtId="0" fontId="0" fillId="3" borderId="3" xfId="0" applyFill="1" applyBorder="1" applyAlignment="1">
      <alignment horizontal="center" wrapText="1"/>
    </xf>
    <xf numFmtId="0" fontId="15" fillId="2" borderId="5" xfId="0" applyFont="1" applyFill="1" applyBorder="1" applyAlignment="1">
      <alignment horizontal="left" wrapText="1"/>
    </xf>
    <xf numFmtId="0" fontId="16" fillId="2" borderId="5" xfId="0" quotePrefix="1" applyFont="1" applyFill="1" applyBorder="1" applyAlignment="1">
      <alignment horizontal="left" vertical="top" wrapText="1" shrinkToFit="1"/>
    </xf>
    <xf numFmtId="0" fontId="14" fillId="2" borderId="5" xfId="0" applyFont="1" applyFill="1" applyBorder="1"/>
    <xf numFmtId="168" fontId="0" fillId="2" borderId="5" xfId="0" applyNumberFormat="1" applyFill="1" applyBorder="1"/>
    <xf numFmtId="49" fontId="15" fillId="2" borderId="9" xfId="0" applyNumberFormat="1" applyFont="1" applyFill="1" applyBorder="1" applyAlignment="1">
      <alignment horizontal="left"/>
    </xf>
    <xf numFmtId="0" fontId="16" fillId="2" borderId="8" xfId="0" quotePrefix="1" applyFont="1" applyFill="1" applyBorder="1" applyAlignment="1">
      <alignment horizontal="left" vertical="top" wrapText="1" shrinkToFit="1"/>
    </xf>
    <xf numFmtId="0" fontId="16" fillId="2" borderId="6" xfId="1" applyNumberFormat="1" applyFont="1" applyFill="1" applyBorder="1" applyAlignment="1"/>
    <xf numFmtId="0" fontId="14" fillId="2" borderId="6" xfId="0" applyFont="1" applyFill="1" applyBorder="1"/>
    <xf numFmtId="49" fontId="15" fillId="2" borderId="10" xfId="0" applyNumberFormat="1" applyFont="1" applyFill="1" applyBorder="1" applyAlignment="1">
      <alignment horizontal="left"/>
    </xf>
    <xf numFmtId="3" fontId="16" fillId="2" borderId="6" xfId="0" applyNumberFormat="1" applyFont="1" applyFill="1" applyBorder="1" applyAlignment="1">
      <alignment horizontal="left" wrapText="1" shrinkToFit="1"/>
    </xf>
    <xf numFmtId="44" fontId="16" fillId="2" borderId="6" xfId="1" applyNumberFormat="1" applyFont="1" applyFill="1" applyBorder="1" applyAlignment="1">
      <alignment horizontal="center"/>
    </xf>
    <xf numFmtId="0" fontId="16" fillId="2" borderId="6" xfId="1" applyNumberFormat="1" applyFont="1" applyFill="1" applyBorder="1" applyAlignment="1">
      <alignment horizontal="center"/>
    </xf>
    <xf numFmtId="49" fontId="16" fillId="2" borderId="8" xfId="0" applyNumberFormat="1" applyFont="1" applyFill="1" applyBorder="1" applyAlignment="1">
      <alignment horizontal="left"/>
    </xf>
    <xf numFmtId="0" fontId="16" fillId="2" borderId="6" xfId="0" applyFont="1" applyFill="1" applyBorder="1"/>
    <xf numFmtId="49" fontId="15" fillId="2" borderId="8" xfId="0" applyNumberFormat="1" applyFont="1" applyFill="1" applyBorder="1" applyAlignment="1">
      <alignment horizontal="left"/>
    </xf>
    <xf numFmtId="0" fontId="0" fillId="2" borderId="11" xfId="0" applyFill="1" applyBorder="1"/>
    <xf numFmtId="49" fontId="15" fillId="2" borderId="5" xfId="0" applyNumberFormat="1" applyFont="1" applyFill="1" applyBorder="1" applyAlignment="1">
      <alignment horizontal="left"/>
    </xf>
    <xf numFmtId="0" fontId="14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9" fontId="21" fillId="0" borderId="0" xfId="0" applyNumberFormat="1" applyFont="1" applyAlignment="1">
      <alignment horizontal="left"/>
    </xf>
    <xf numFmtId="0" fontId="22" fillId="3" borderId="2" xfId="0" applyFont="1" applyFill="1" applyBorder="1"/>
    <xf numFmtId="0" fontId="23" fillId="3" borderId="3" xfId="0" applyFont="1" applyFill="1" applyBorder="1" applyAlignment="1">
      <alignment wrapText="1"/>
    </xf>
    <xf numFmtId="3" fontId="23" fillId="3" borderId="3" xfId="0" applyNumberFormat="1" applyFont="1" applyFill="1" applyBorder="1" applyAlignment="1">
      <alignment horizontal="center" wrapText="1" shrinkToFit="1"/>
    </xf>
    <xf numFmtId="3" fontId="23" fillId="3" borderId="3" xfId="0" applyNumberFormat="1" applyFont="1" applyFill="1" applyBorder="1" applyAlignment="1">
      <alignment horizontal="center" shrinkToFit="1"/>
    </xf>
    <xf numFmtId="44" fontId="24" fillId="4" borderId="3" xfId="1" applyNumberFormat="1" applyFont="1" applyFill="1" applyBorder="1" applyAlignment="1"/>
    <xf numFmtId="0" fontId="25" fillId="3" borderId="3" xfId="0" applyFont="1" applyFill="1" applyBorder="1" applyAlignment="1">
      <alignment horizont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2" fillId="0" borderId="0" xfId="0" applyFont="1"/>
    <xf numFmtId="49" fontId="24" fillId="2" borderId="14" xfId="0" applyNumberFormat="1" applyFont="1" applyFill="1" applyBorder="1" applyAlignment="1">
      <alignment horizontal="left"/>
    </xf>
    <xf numFmtId="0" fontId="23" fillId="2" borderId="12" xfId="0" applyFont="1" applyFill="1" applyBorder="1" applyAlignment="1">
      <alignment wrapText="1"/>
    </xf>
    <xf numFmtId="0" fontId="23" fillId="2" borderId="12" xfId="0" applyFont="1" applyFill="1" applyBorder="1" applyAlignment="1">
      <alignment horizontal="center" wrapText="1" shrinkToFit="1"/>
    </xf>
    <xf numFmtId="9" fontId="23" fillId="2" borderId="12" xfId="0" quotePrefix="1" applyNumberFormat="1" applyFont="1" applyFill="1" applyBorder="1" applyAlignment="1">
      <alignment horizontal="center" shrinkToFit="1"/>
    </xf>
    <xf numFmtId="44" fontId="23" fillId="2" borderId="12" xfId="1" applyNumberFormat="1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/>
    </xf>
    <xf numFmtId="49" fontId="24" fillId="2" borderId="16" xfId="0" applyNumberFormat="1" applyFont="1" applyFill="1" applyBorder="1" applyAlignment="1">
      <alignment horizontal="left"/>
    </xf>
    <xf numFmtId="0" fontId="23" fillId="2" borderId="0" xfId="0" applyFont="1" applyFill="1" applyAlignment="1">
      <alignment horizontal="left" wrapText="1"/>
    </xf>
    <xf numFmtId="0" fontId="23" fillId="2" borderId="0" xfId="0" quotePrefix="1" applyFont="1" applyFill="1" applyAlignment="1">
      <alignment horizontal="center" wrapText="1" shrinkToFit="1"/>
    </xf>
    <xf numFmtId="9" fontId="23" fillId="2" borderId="0" xfId="0" quotePrefix="1" applyNumberFormat="1" applyFont="1" applyFill="1" applyAlignment="1">
      <alignment horizontal="center" shrinkToFit="1"/>
    </xf>
    <xf numFmtId="44" fontId="23" fillId="2" borderId="0" xfId="1" applyNumberFormat="1" applyFont="1" applyFill="1" applyBorder="1" applyAlignment="1">
      <alignment horizontal="center"/>
    </xf>
    <xf numFmtId="3" fontId="23" fillId="0" borderId="0" xfId="0" applyNumberFormat="1" applyFont="1" applyAlignment="1">
      <alignment horizontal="center"/>
    </xf>
    <xf numFmtId="0" fontId="23" fillId="2" borderId="0" xfId="0" applyFont="1" applyFill="1" applyAlignment="1">
      <alignment horizontal="center" wrapText="1" shrinkToFit="1"/>
    </xf>
    <xf numFmtId="49" fontId="24" fillId="3" borderId="18" xfId="0" applyNumberFormat="1" applyFont="1" applyFill="1" applyBorder="1" applyAlignment="1">
      <alignment horizontal="left"/>
    </xf>
    <xf numFmtId="0" fontId="23" fillId="3" borderId="13" xfId="0" applyFont="1" applyFill="1" applyBorder="1" applyAlignment="1">
      <alignment wrapText="1"/>
    </xf>
    <xf numFmtId="0" fontId="23" fillId="3" borderId="13" xfId="0" applyFont="1" applyFill="1" applyBorder="1" applyAlignment="1">
      <alignment wrapText="1" shrinkToFit="1"/>
    </xf>
    <xf numFmtId="9" fontId="24" fillId="3" borderId="19" xfId="0" applyNumberFormat="1" applyFont="1" applyFill="1" applyBorder="1" applyAlignment="1">
      <alignment horizontal="center" shrinkToFit="1"/>
    </xf>
    <xf numFmtId="44" fontId="24" fillId="3" borderId="19" xfId="1" applyNumberFormat="1" applyFont="1" applyFill="1" applyBorder="1" applyAlignment="1">
      <alignment horizontal="center"/>
    </xf>
    <xf numFmtId="3" fontId="23" fillId="3" borderId="13" xfId="0" applyNumberFormat="1" applyFont="1" applyFill="1" applyBorder="1"/>
    <xf numFmtId="3" fontId="24" fillId="3" borderId="13" xfId="0" applyNumberFormat="1" applyFont="1" applyFill="1" applyBorder="1" applyAlignment="1">
      <alignment horizontal="right"/>
    </xf>
    <xf numFmtId="49" fontId="13" fillId="0" borderId="0" xfId="0" applyNumberFormat="1" applyFont="1" applyAlignment="1">
      <alignment horizontal="left"/>
    </xf>
    <xf numFmtId="0" fontId="26" fillId="0" borderId="0" xfId="0" applyFont="1" applyAlignment="1">
      <alignment wrapText="1"/>
    </xf>
    <xf numFmtId="0" fontId="26" fillId="0" borderId="0" xfId="0" applyFont="1" applyAlignment="1">
      <alignment wrapText="1" shrinkToFit="1"/>
    </xf>
    <xf numFmtId="9" fontId="13" fillId="0" borderId="0" xfId="0" applyNumberFormat="1" applyFont="1" applyAlignment="1">
      <alignment horizontal="center" shrinkToFit="1"/>
    </xf>
    <xf numFmtId="44" fontId="13" fillId="0" borderId="0" xfId="1" applyNumberFormat="1" applyFont="1" applyFill="1" applyBorder="1" applyAlignment="1">
      <alignment horizontal="center"/>
    </xf>
    <xf numFmtId="3" fontId="26" fillId="0" borderId="0" xfId="0" applyNumberFormat="1" applyFont="1"/>
    <xf numFmtId="3" fontId="13" fillId="0" borderId="0" xfId="0" applyNumberFormat="1" applyFont="1" applyAlignment="1">
      <alignment horizontal="right"/>
    </xf>
    <xf numFmtId="9" fontId="19" fillId="0" borderId="0" xfId="0" applyNumberFormat="1" applyFont="1" applyAlignment="1">
      <alignment horizontal="center" shrinkToFit="1"/>
    </xf>
    <xf numFmtId="44" fontId="19" fillId="0" borderId="0" xfId="1" applyNumberFormat="1" applyFont="1" applyFill="1" applyBorder="1" applyAlignment="1">
      <alignment horizontal="center"/>
    </xf>
    <xf numFmtId="3" fontId="20" fillId="0" borderId="0" xfId="0" applyNumberFormat="1" applyFont="1"/>
    <xf numFmtId="3" fontId="19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center" shrinkToFit="1"/>
    </xf>
    <xf numFmtId="44" fontId="20" fillId="0" borderId="0" xfId="1" applyNumberFormat="1" applyFont="1" applyFill="1" applyAlignment="1">
      <alignment horizontal="right"/>
    </xf>
    <xf numFmtId="3" fontId="20" fillId="0" borderId="0" xfId="0" applyNumberFormat="1" applyFont="1" applyAlignment="1">
      <alignment horizontal="center"/>
    </xf>
    <xf numFmtId="3" fontId="23" fillId="0" borderId="0" xfId="0" applyNumberFormat="1" applyFont="1"/>
    <xf numFmtId="3" fontId="24" fillId="0" borderId="0" xfId="0" applyNumberFormat="1" applyFont="1" applyAlignment="1">
      <alignment horizontal="right"/>
    </xf>
    <xf numFmtId="168" fontId="24" fillId="0" borderId="0" xfId="0" applyNumberFormat="1" applyFont="1"/>
    <xf numFmtId="168" fontId="27" fillId="0" borderId="0" xfId="0" applyNumberFormat="1" applyFont="1"/>
    <xf numFmtId="0" fontId="12" fillId="2" borderId="6" xfId="0" applyFont="1" applyFill="1" applyBorder="1" applyAlignment="1">
      <alignment horizontal="left"/>
    </xf>
    <xf numFmtId="0" fontId="12" fillId="2" borderId="6" xfId="0" applyFont="1" applyFill="1" applyBorder="1"/>
    <xf numFmtId="4" fontId="0" fillId="2" borderId="6" xfId="0" applyNumberFormat="1" applyFill="1" applyBorder="1" applyAlignment="1">
      <alignment horizontal="right"/>
    </xf>
    <xf numFmtId="168" fontId="0" fillId="2" borderId="6" xfId="0" applyNumberFormat="1" applyFill="1" applyBorder="1" applyAlignment="1">
      <alignment horizontal="right"/>
    </xf>
    <xf numFmtId="168" fontId="18" fillId="2" borderId="8" xfId="0" applyNumberFormat="1" applyFont="1" applyFill="1" applyBorder="1"/>
    <xf numFmtId="0" fontId="15" fillId="2" borderId="8" xfId="0" applyFont="1" applyFill="1" applyBorder="1" applyAlignment="1">
      <alignment horizontal="left" wrapText="1"/>
    </xf>
    <xf numFmtId="0" fontId="28" fillId="2" borderId="8" xfId="0" applyFont="1" applyFill="1" applyBorder="1" applyAlignment="1">
      <alignment horizontal="center" wrapText="1" shrinkToFit="1"/>
    </xf>
    <xf numFmtId="164" fontId="28" fillId="2" borderId="8" xfId="1" applyNumberFormat="1" applyFont="1" applyFill="1" applyBorder="1" applyAlignment="1">
      <alignment horizontal="right"/>
    </xf>
    <xf numFmtId="2" fontId="14" fillId="2" borderId="8" xfId="0" applyNumberFormat="1" applyFont="1" applyFill="1" applyBorder="1"/>
    <xf numFmtId="49" fontId="15" fillId="2" borderId="8" xfId="0" applyNumberFormat="1" applyFont="1" applyFill="1" applyBorder="1" applyAlignment="1">
      <alignment horizontal="left" vertical="top"/>
    </xf>
    <xf numFmtId="0" fontId="15" fillId="2" borderId="8" xfId="0" applyFont="1" applyFill="1" applyBorder="1" applyAlignment="1">
      <alignment horizontal="left" vertical="top" wrapText="1"/>
    </xf>
    <xf numFmtId="0" fontId="28" fillId="2" borderId="8" xfId="0" applyFont="1" applyFill="1" applyBorder="1" applyAlignment="1">
      <alignment horizontal="center" vertical="center" wrapText="1" shrinkToFit="1"/>
    </xf>
    <xf numFmtId="164" fontId="0" fillId="2" borderId="8" xfId="0" applyNumberFormat="1" applyFill="1" applyBorder="1" applyAlignment="1">
      <alignment horizontal="right"/>
    </xf>
    <xf numFmtId="0" fontId="14" fillId="2" borderId="8" xfId="0" applyFont="1" applyFill="1" applyBorder="1"/>
    <xf numFmtId="0" fontId="15" fillId="2" borderId="6" xfId="0" applyFont="1" applyFill="1" applyBorder="1" applyAlignment="1">
      <alignment horizontal="left" wrapText="1"/>
    </xf>
    <xf numFmtId="0" fontId="28" fillId="2" borderId="6" xfId="0" applyFont="1" applyFill="1" applyBorder="1" applyAlignment="1">
      <alignment horizontal="center" wrapText="1" shrinkToFit="1"/>
    </xf>
    <xf numFmtId="164" fontId="28" fillId="2" borderId="6" xfId="1" applyNumberFormat="1" applyFont="1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15" fillId="2" borderId="5" xfId="0" applyFont="1" applyFill="1" applyBorder="1" applyAlignment="1">
      <alignment horizontal="left" vertical="top" wrapText="1"/>
    </xf>
    <xf numFmtId="171" fontId="14" fillId="2" borderId="5" xfId="0" applyNumberFormat="1" applyFont="1" applyFill="1" applyBorder="1" applyAlignment="1">
      <alignment horizontal="center"/>
    </xf>
    <xf numFmtId="0" fontId="16" fillId="2" borderId="5" xfId="0" applyFont="1" applyFill="1" applyBorder="1" applyAlignment="1">
      <alignment horizontal="left" vertical="top" wrapText="1" shrinkToFit="1"/>
    </xf>
    <xf numFmtId="0" fontId="12" fillId="2" borderId="6" xfId="0" applyFont="1" applyFill="1" applyBorder="1" applyAlignment="1">
      <alignment wrapText="1"/>
    </xf>
    <xf numFmtId="168" fontId="28" fillId="2" borderId="8" xfId="1" applyNumberFormat="1" applyFont="1" applyFill="1" applyBorder="1" applyAlignment="1">
      <alignment horizontal="right"/>
    </xf>
    <xf numFmtId="168" fontId="0" fillId="2" borderId="8" xfId="0" applyNumberFormat="1" applyFill="1" applyBorder="1" applyAlignment="1">
      <alignment horizontal="right"/>
    </xf>
    <xf numFmtId="168" fontId="28" fillId="2" borderId="6" xfId="1" applyNumberFormat="1" applyFont="1" applyFill="1" applyBorder="1" applyAlignment="1">
      <alignment horizontal="right"/>
    </xf>
    <xf numFmtId="168" fontId="0" fillId="2" borderId="7" xfId="0" applyNumberFormat="1" applyFill="1" applyBorder="1" applyAlignment="1">
      <alignment horizontal="right"/>
    </xf>
    <xf numFmtId="0" fontId="0" fillId="2" borderId="7" xfId="0" applyFill="1" applyBorder="1" applyAlignment="1">
      <alignment wrapText="1"/>
    </xf>
    <xf numFmtId="170" fontId="16" fillId="2" borderId="5" xfId="0" applyNumberFormat="1" applyFont="1" applyFill="1" applyBorder="1" applyAlignment="1">
      <alignment horizontal="left" vertical="top"/>
    </xf>
    <xf numFmtId="0" fontId="16" fillId="2" borderId="5" xfId="0" applyFont="1" applyFill="1" applyBorder="1" applyAlignment="1">
      <alignment horizontal="left" vertical="top" wrapText="1"/>
    </xf>
    <xf numFmtId="170" fontId="16" fillId="2" borderId="6" xfId="0" applyNumberFormat="1" applyFont="1" applyFill="1" applyBorder="1" applyAlignment="1">
      <alignment horizontal="left"/>
    </xf>
    <xf numFmtId="168" fontId="14" fillId="2" borderId="6" xfId="0" applyNumberFormat="1" applyFont="1" applyFill="1" applyBorder="1"/>
    <xf numFmtId="168" fontId="16" fillId="2" borderId="6" xfId="1" applyNumberFormat="1" applyFont="1" applyFill="1" applyBorder="1" applyAlignment="1"/>
    <xf numFmtId="170" fontId="14" fillId="2" borderId="6" xfId="0" applyNumberFormat="1" applyFont="1" applyFill="1" applyBorder="1"/>
    <xf numFmtId="170" fontId="14" fillId="2" borderId="7" xfId="0" applyNumberFormat="1" applyFont="1" applyFill="1" applyBorder="1"/>
    <xf numFmtId="0" fontId="14" fillId="2" borderId="7" xfId="0" applyFont="1" applyFill="1" applyBorder="1"/>
    <xf numFmtId="168" fontId="14" fillId="2" borderId="7" xfId="0" applyNumberFormat="1" applyFont="1" applyFill="1" applyBorder="1"/>
    <xf numFmtId="168" fontId="18" fillId="2" borderId="1" xfId="0" applyNumberFormat="1" applyFont="1" applyFill="1" applyBorder="1"/>
    <xf numFmtId="49" fontId="15" fillId="2" borderId="5" xfId="0" applyNumberFormat="1" applyFont="1" applyFill="1" applyBorder="1" applyAlignment="1">
      <alignment horizontal="center" vertical="center"/>
    </xf>
    <xf numFmtId="168" fontId="0" fillId="2" borderId="7" xfId="0" applyNumberFormat="1" applyFill="1" applyBorder="1"/>
    <xf numFmtId="0" fontId="16" fillId="2" borderId="7" xfId="0" applyFont="1" applyFill="1" applyBorder="1" applyAlignment="1">
      <alignment horizontal="center" wrapText="1" shrinkToFit="1"/>
    </xf>
    <xf numFmtId="44" fontId="16" fillId="2" borderId="7" xfId="1" applyNumberFormat="1" applyFont="1" applyFill="1" applyBorder="1" applyAlignment="1"/>
    <xf numFmtId="1" fontId="14" fillId="2" borderId="8" xfId="0" applyNumberFormat="1" applyFont="1" applyFill="1" applyBorder="1" applyAlignment="1">
      <alignment horizontal="center"/>
    </xf>
    <xf numFmtId="168" fontId="14" fillId="2" borderId="22" xfId="0" applyNumberFormat="1" applyFont="1" applyFill="1" applyBorder="1"/>
    <xf numFmtId="168" fontId="14" fillId="2" borderId="8" xfId="0" applyNumberFormat="1" applyFont="1" applyFill="1" applyBorder="1"/>
    <xf numFmtId="168" fontId="18" fillId="2" borderId="1" xfId="0" applyNumberFormat="1" applyFont="1" applyFill="1" applyBorder="1" applyAlignment="1">
      <alignment horizontal="right"/>
    </xf>
    <xf numFmtId="1" fontId="0" fillId="2" borderId="6" xfId="0" applyNumberFormat="1" applyFill="1" applyBorder="1" applyAlignment="1">
      <alignment horizontal="center"/>
    </xf>
    <xf numFmtId="1" fontId="28" fillId="2" borderId="8" xfId="1" applyNumberFormat="1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164" fontId="28" fillId="2" borderId="6" xfId="1" applyNumberFormat="1" applyFont="1" applyFill="1" applyBorder="1" applyAlignment="1">
      <alignment horizontal="center"/>
    </xf>
    <xf numFmtId="0" fontId="14" fillId="2" borderId="9" xfId="0" applyFont="1" applyFill="1" applyBorder="1"/>
    <xf numFmtId="168" fontId="14" fillId="2" borderId="9" xfId="0" applyNumberFormat="1" applyFont="1" applyFill="1" applyBorder="1"/>
    <xf numFmtId="168" fontId="14" fillId="2" borderId="10" xfId="0" applyNumberFormat="1" applyFont="1" applyFill="1" applyBorder="1"/>
    <xf numFmtId="170" fontId="14" fillId="2" borderId="6" xfId="0" applyNumberFormat="1" applyFont="1" applyFill="1" applyBorder="1" applyAlignment="1">
      <alignment horizontal="left"/>
    </xf>
    <xf numFmtId="170" fontId="14" fillId="2" borderId="9" xfId="0" applyNumberFormat="1" applyFont="1" applyFill="1" applyBorder="1" applyAlignment="1">
      <alignment horizontal="left"/>
    </xf>
    <xf numFmtId="171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right"/>
    </xf>
    <xf numFmtId="170" fontId="14" fillId="2" borderId="7" xfId="0" applyNumberFormat="1" applyFont="1" applyFill="1" applyBorder="1" applyAlignment="1">
      <alignment horizontal="left"/>
    </xf>
    <xf numFmtId="16" fontId="0" fillId="0" borderId="0" xfId="0" applyNumberFormat="1"/>
    <xf numFmtId="0" fontId="30" fillId="0" borderId="0" xfId="0" applyFont="1"/>
    <xf numFmtId="0" fontId="23" fillId="2" borderId="0" xfId="0" applyFont="1" applyFill="1" applyAlignment="1">
      <alignment wrapText="1"/>
    </xf>
    <xf numFmtId="0" fontId="10" fillId="0" borderId="0" xfId="0" applyFont="1"/>
    <xf numFmtId="0" fontId="33" fillId="0" borderId="0" xfId="0" applyFont="1"/>
    <xf numFmtId="0" fontId="0" fillId="3" borderId="4" xfId="0" applyFill="1" applyBorder="1" applyAlignment="1">
      <alignment horizontal="center" wrapText="1"/>
    </xf>
    <xf numFmtId="49" fontId="12" fillId="0" borderId="0" xfId="0" applyNumberFormat="1" applyFont="1" applyAlignment="1">
      <alignment horizontal="left"/>
    </xf>
    <xf numFmtId="0" fontId="9" fillId="0" borderId="0" xfId="0" applyFont="1"/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12" fillId="0" borderId="0" xfId="0" applyNumberFormat="1" applyFont="1" applyAlignment="1">
      <alignment horizontal="center"/>
    </xf>
    <xf numFmtId="167" fontId="12" fillId="0" borderId="0" xfId="0" applyNumberFormat="1" applyFont="1"/>
    <xf numFmtId="167" fontId="12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7" fontId="23" fillId="5" borderId="12" xfId="0" applyNumberFormat="1" applyFont="1" applyFill="1" applyBorder="1"/>
    <xf numFmtId="167" fontId="23" fillId="0" borderId="12" xfId="0" applyNumberFormat="1" applyFont="1" applyBorder="1"/>
    <xf numFmtId="167" fontId="23" fillId="0" borderId="15" xfId="0" applyNumberFormat="1" applyFont="1" applyBorder="1"/>
    <xf numFmtId="167" fontId="23" fillId="5" borderId="0" xfId="0" applyNumberFormat="1" applyFont="1" applyFill="1"/>
    <xf numFmtId="167" fontId="23" fillId="0" borderId="0" xfId="0" applyNumberFormat="1" applyFont="1"/>
    <xf numFmtId="167" fontId="23" fillId="0" borderId="17" xfId="0" applyNumberFormat="1" applyFont="1" applyBorder="1"/>
    <xf numFmtId="167" fontId="24" fillId="3" borderId="19" xfId="0" applyNumberFormat="1" applyFont="1" applyFill="1" applyBorder="1"/>
    <xf numFmtId="167" fontId="24" fillId="3" borderId="20" xfId="0" applyNumberFormat="1" applyFont="1" applyFill="1" applyBorder="1"/>
    <xf numFmtId="167" fontId="13" fillId="0" borderId="0" xfId="0" applyNumberFormat="1" applyFont="1"/>
    <xf numFmtId="167" fontId="19" fillId="0" borderId="0" xfId="0" applyNumberFormat="1" applyFont="1"/>
    <xf numFmtId="167" fontId="14" fillId="2" borderId="5" xfId="0" applyNumberFormat="1" applyFont="1" applyFill="1" applyBorder="1"/>
    <xf numFmtId="167" fontId="14" fillId="2" borderId="22" xfId="0" applyNumberFormat="1" applyFont="1" applyFill="1" applyBorder="1"/>
    <xf numFmtId="167" fontId="14" fillId="2" borderId="6" xfId="0" applyNumberFormat="1" applyFont="1" applyFill="1" applyBorder="1"/>
    <xf numFmtId="167" fontId="14" fillId="2" borderId="8" xfId="0" applyNumberFormat="1" applyFont="1" applyFill="1" applyBorder="1"/>
    <xf numFmtId="167" fontId="14" fillId="2" borderId="9" xfId="0" applyNumberFormat="1" applyFont="1" applyFill="1" applyBorder="1"/>
    <xf numFmtId="167" fontId="14" fillId="2" borderId="10" xfId="0" applyNumberFormat="1" applyFont="1" applyFill="1" applyBorder="1"/>
    <xf numFmtId="167" fontId="14" fillId="2" borderId="7" xfId="0" applyNumberFormat="1" applyFont="1" applyFill="1" applyBorder="1"/>
    <xf numFmtId="167" fontId="18" fillId="2" borderId="1" xfId="0" applyNumberFormat="1" applyFont="1" applyFill="1" applyBorder="1" applyAlignment="1">
      <alignment horizontal="right"/>
    </xf>
    <xf numFmtId="167" fontId="18" fillId="2" borderId="1" xfId="0" applyNumberFormat="1" applyFont="1" applyFill="1" applyBorder="1"/>
    <xf numFmtId="167" fontId="0" fillId="2" borderId="5" xfId="0" applyNumberFormat="1" applyFill="1" applyBorder="1"/>
    <xf numFmtId="167" fontId="18" fillId="2" borderId="6" xfId="0" applyNumberFormat="1" applyFont="1" applyFill="1" applyBorder="1"/>
    <xf numFmtId="167" fontId="12" fillId="2" borderId="7" xfId="0" applyNumberFormat="1" applyFont="1" applyFill="1" applyBorder="1"/>
    <xf numFmtId="167" fontId="12" fillId="2" borderId="1" xfId="0" applyNumberFormat="1" applyFont="1" applyFill="1" applyBorder="1"/>
    <xf numFmtId="49" fontId="12" fillId="0" borderId="0" xfId="0" applyNumberFormat="1" applyFont="1"/>
    <xf numFmtId="0" fontId="34" fillId="0" borderId="0" xfId="0" applyFont="1"/>
    <xf numFmtId="0" fontId="16" fillId="0" borderId="0" xfId="86" applyFont="1"/>
    <xf numFmtId="0" fontId="16" fillId="0" borderId="0" xfId="86" applyFont="1" applyAlignment="1">
      <alignment horizontal="center"/>
    </xf>
    <xf numFmtId="0" fontId="36" fillId="0" borderId="0" xfId="86" applyFont="1"/>
    <xf numFmtId="4" fontId="37" fillId="0" borderId="0" xfId="86" applyNumberFormat="1" applyFont="1"/>
    <xf numFmtId="0" fontId="37" fillId="0" borderId="0" xfId="86" applyFont="1"/>
    <xf numFmtId="0" fontId="36" fillId="0" borderId="0" xfId="86" applyFont="1" applyAlignment="1">
      <alignment horizontal="center"/>
    </xf>
    <xf numFmtId="0" fontId="36" fillId="0" borderId="23" xfId="86" applyFont="1" applyBorder="1" applyAlignment="1">
      <alignment horizontal="center"/>
    </xf>
    <xf numFmtId="0" fontId="36" fillId="0" borderId="24" xfId="86" applyFont="1" applyBorder="1" applyAlignment="1">
      <alignment horizontal="center"/>
    </xf>
    <xf numFmtId="4" fontId="36" fillId="0" borderId="24" xfId="86" applyNumberFormat="1" applyFont="1" applyBorder="1" applyAlignment="1">
      <alignment horizontal="center"/>
    </xf>
    <xf numFmtId="4" fontId="36" fillId="0" borderId="24" xfId="86" applyNumberFormat="1" applyFont="1" applyBorder="1"/>
    <xf numFmtId="0" fontId="36" fillId="0" borderId="24" xfId="86" applyFont="1" applyBorder="1" applyAlignment="1">
      <alignment wrapText="1"/>
    </xf>
    <xf numFmtId="15" fontId="36" fillId="0" borderId="24" xfId="86" applyNumberFormat="1" applyFont="1" applyBorder="1" applyAlignment="1">
      <alignment horizontal="center"/>
    </xf>
    <xf numFmtId="0" fontId="36" fillId="0" borderId="24" xfId="86" applyFont="1" applyBorder="1"/>
    <xf numFmtId="0" fontId="36" fillId="0" borderId="25" xfId="86" applyFont="1" applyBorder="1"/>
    <xf numFmtId="0" fontId="36" fillId="0" borderId="26" xfId="86" applyFont="1" applyBorder="1" applyAlignment="1">
      <alignment horizontal="center"/>
    </xf>
    <xf numFmtId="0" fontId="36" fillId="0" borderId="27" xfId="86" applyFont="1" applyBorder="1" applyAlignment="1">
      <alignment horizontal="center"/>
    </xf>
    <xf numFmtId="4" fontId="36" fillId="0" borderId="27" xfId="86" applyNumberFormat="1" applyFont="1" applyBorder="1" applyAlignment="1">
      <alignment horizontal="center"/>
    </xf>
    <xf numFmtId="4" fontId="36" fillId="0" borderId="27" xfId="86" applyNumberFormat="1" applyFont="1" applyBorder="1"/>
    <xf numFmtId="15" fontId="36" fillId="0" borderId="27" xfId="86" applyNumberFormat="1" applyFont="1" applyBorder="1" applyAlignment="1">
      <alignment horizontal="center"/>
    </xf>
    <xf numFmtId="0" fontId="36" fillId="0" borderId="27" xfId="86" applyFont="1" applyBorder="1"/>
    <xf numFmtId="0" fontId="36" fillId="0" borderId="28" xfId="86" applyFont="1" applyBorder="1" applyAlignment="1">
      <alignment horizontal="center"/>
    </xf>
    <xf numFmtId="4" fontId="36" fillId="0" borderId="28" xfId="86" applyNumberFormat="1" applyFont="1" applyBorder="1" applyAlignment="1">
      <alignment horizontal="center"/>
    </xf>
    <xf numFmtId="4" fontId="36" fillId="0" borderId="28" xfId="86" applyNumberFormat="1" applyFont="1" applyBorder="1"/>
    <xf numFmtId="0" fontId="36" fillId="0" borderId="28" xfId="86" applyFont="1" applyBorder="1" applyAlignment="1">
      <alignment horizontal="center" wrapText="1"/>
    </xf>
    <xf numFmtId="15" fontId="36" fillId="0" borderId="28" xfId="86" applyNumberFormat="1" applyFont="1" applyBorder="1" applyAlignment="1">
      <alignment horizontal="center"/>
    </xf>
    <xf numFmtId="0" fontId="36" fillId="0" borderId="28" xfId="86" applyFont="1" applyBorder="1"/>
    <xf numFmtId="0" fontId="36" fillId="0" borderId="29" xfId="86" applyFont="1" applyBorder="1"/>
    <xf numFmtId="15" fontId="36" fillId="0" borderId="30" xfId="86" applyNumberFormat="1" applyFont="1" applyBorder="1" applyAlignment="1">
      <alignment horizontal="center"/>
    </xf>
    <xf numFmtId="0" fontId="36" fillId="0" borderId="30" xfId="86" applyFont="1" applyBorder="1"/>
    <xf numFmtId="0" fontId="36" fillId="0" borderId="28" xfId="87" applyFont="1" applyFill="1" applyBorder="1" applyAlignment="1">
      <alignment horizontal="left" wrapText="1"/>
    </xf>
    <xf numFmtId="0" fontId="36" fillId="0" borderId="31" xfId="86" applyFont="1" applyBorder="1" applyAlignment="1">
      <alignment horizontal="center"/>
    </xf>
    <xf numFmtId="0" fontId="36" fillId="0" borderId="32" xfId="86" applyFont="1" applyBorder="1" applyAlignment="1">
      <alignment horizontal="center"/>
    </xf>
    <xf numFmtId="4" fontId="36" fillId="0" borderId="32" xfId="86" applyNumberFormat="1" applyFont="1" applyBorder="1" applyAlignment="1">
      <alignment horizontal="center"/>
    </xf>
    <xf numFmtId="4" fontId="36" fillId="0" borderId="32" xfId="86" applyNumberFormat="1" applyFont="1" applyBorder="1"/>
    <xf numFmtId="0" fontId="36" fillId="0" borderId="32" xfId="86" applyFont="1" applyBorder="1" applyAlignment="1">
      <alignment horizontal="center" wrapText="1"/>
    </xf>
    <xf numFmtId="15" fontId="36" fillId="0" borderId="32" xfId="86" applyNumberFormat="1" applyFont="1" applyBorder="1" applyAlignment="1">
      <alignment horizontal="center"/>
    </xf>
    <xf numFmtId="15" fontId="36" fillId="0" borderId="33" xfId="86" applyNumberFormat="1" applyFont="1" applyBorder="1" applyAlignment="1">
      <alignment horizontal="center"/>
    </xf>
    <xf numFmtId="0" fontId="36" fillId="0" borderId="0" xfId="86" applyFont="1" applyAlignment="1">
      <alignment horizontal="justify"/>
    </xf>
    <xf numFmtId="0" fontId="36" fillId="0" borderId="34" xfId="86" applyFont="1" applyBorder="1"/>
    <xf numFmtId="0" fontId="37" fillId="7" borderId="35" xfId="86" applyFont="1" applyFill="1" applyBorder="1" applyAlignment="1">
      <alignment horizontal="center" vertical="center" wrapText="1"/>
    </xf>
    <xf numFmtId="0" fontId="37" fillId="7" borderId="36" xfId="86" applyFont="1" applyFill="1" applyBorder="1" applyAlignment="1">
      <alignment horizontal="center" vertical="center" wrapText="1"/>
    </xf>
    <xf numFmtId="0" fontId="37" fillId="7" borderId="37" xfId="86" applyFont="1" applyFill="1" applyBorder="1" applyAlignment="1">
      <alignment horizontal="center" vertical="center" wrapText="1"/>
    </xf>
    <xf numFmtId="0" fontId="37" fillId="7" borderId="38" xfId="86" applyFont="1" applyFill="1" applyBorder="1" applyAlignment="1">
      <alignment horizontal="center" vertical="center" wrapText="1"/>
    </xf>
    <xf numFmtId="0" fontId="39" fillId="0" borderId="0" xfId="86" applyFont="1"/>
    <xf numFmtId="15" fontId="36" fillId="0" borderId="0" xfId="86" applyNumberFormat="1" applyFont="1"/>
    <xf numFmtId="0" fontId="37" fillId="0" borderId="0" xfId="86" applyFont="1" applyAlignment="1">
      <alignment horizontal="right"/>
    </xf>
    <xf numFmtId="0" fontId="35" fillId="0" borderId="0" xfId="86"/>
    <xf numFmtId="0" fontId="35" fillId="0" borderId="0" xfId="86" applyAlignment="1">
      <alignment horizontal="center"/>
    </xf>
    <xf numFmtId="44" fontId="35" fillId="0" borderId="0" xfId="86" applyNumberFormat="1"/>
    <xf numFmtId="0" fontId="20" fillId="0" borderId="0" xfId="86" applyFont="1" applyAlignment="1">
      <alignment horizontal="right"/>
    </xf>
    <xf numFmtId="44" fontId="37" fillId="0" borderId="39" xfId="86" applyNumberFormat="1" applyFont="1" applyBorder="1"/>
    <xf numFmtId="44" fontId="37" fillId="0" borderId="40" xfId="86" applyNumberFormat="1" applyFont="1" applyBorder="1"/>
    <xf numFmtId="44" fontId="37" fillId="0" borderId="41" xfId="86" applyNumberFormat="1" applyFont="1" applyBorder="1"/>
    <xf numFmtId="0" fontId="37" fillId="0" borderId="42" xfId="86" applyFont="1" applyBorder="1" applyAlignment="1">
      <alignment horizontal="right" indent="1"/>
    </xf>
    <xf numFmtId="0" fontId="36" fillId="0" borderId="42" xfId="86" applyFont="1" applyBorder="1" applyAlignment="1">
      <alignment horizontal="center"/>
    </xf>
    <xf numFmtId="0" fontId="36" fillId="0" borderId="43" xfId="86" applyFont="1" applyBorder="1" applyAlignment="1">
      <alignment horizontal="center"/>
    </xf>
    <xf numFmtId="0" fontId="36" fillId="0" borderId="43" xfId="86" applyFont="1" applyBorder="1"/>
    <xf numFmtId="0" fontId="36" fillId="0" borderId="44" xfId="86" applyFont="1" applyBorder="1"/>
    <xf numFmtId="0" fontId="36" fillId="0" borderId="45" xfId="86" applyFont="1" applyBorder="1"/>
    <xf numFmtId="0" fontId="29" fillId="0" borderId="0" xfId="86" applyFont="1"/>
    <xf numFmtId="0" fontId="37" fillId="0" borderId="48" xfId="86" applyFont="1" applyBorder="1" applyAlignment="1">
      <alignment horizontal="center"/>
    </xf>
    <xf numFmtId="0" fontId="29" fillId="0" borderId="47" xfId="86" applyFont="1" applyBorder="1"/>
    <xf numFmtId="44" fontId="37" fillId="0" borderId="49" xfId="88" applyFont="1" applyBorder="1"/>
    <xf numFmtId="44" fontId="37" fillId="0" borderId="32" xfId="86" applyNumberFormat="1" applyFont="1" applyBorder="1"/>
    <xf numFmtId="166" fontId="37" fillId="0" borderId="50" xfId="86" applyNumberFormat="1" applyFont="1" applyBorder="1"/>
    <xf numFmtId="0" fontId="37" fillId="0" borderId="51" xfId="86" applyFont="1" applyBorder="1" applyAlignment="1">
      <alignment horizontal="right" indent="1"/>
    </xf>
    <xf numFmtId="0" fontId="37" fillId="0" borderId="51" xfId="86" applyFont="1" applyBorder="1" applyAlignment="1">
      <alignment horizontal="center"/>
    </xf>
    <xf numFmtId="0" fontId="37" fillId="0" borderId="32" xfId="86" applyFont="1" applyBorder="1" applyAlignment="1">
      <alignment horizontal="center"/>
    </xf>
    <xf numFmtId="44" fontId="37" fillId="0" borderId="32" xfId="88" applyFont="1" applyFill="1" applyBorder="1"/>
    <xf numFmtId="0" fontId="37" fillId="0" borderId="50" xfId="86" applyFont="1" applyBorder="1" applyAlignment="1">
      <alignment horizontal="center"/>
    </xf>
    <xf numFmtId="0" fontId="35" fillId="0" borderId="47" xfId="86" applyBorder="1"/>
    <xf numFmtId="44" fontId="36" fillId="0" borderId="54" xfId="88" applyFont="1" applyBorder="1"/>
    <xf numFmtId="44" fontId="36" fillId="0" borderId="28" xfId="88" applyFont="1" applyBorder="1"/>
    <xf numFmtId="44" fontId="36" fillId="0" borderId="45" xfId="88" applyFont="1" applyBorder="1"/>
    <xf numFmtId="0" fontId="36" fillId="0" borderId="55" xfId="86" applyFont="1" applyBorder="1" applyAlignment="1">
      <alignment horizontal="center"/>
    </xf>
    <xf numFmtId="172" fontId="36" fillId="0" borderId="27" xfId="86" applyNumberFormat="1" applyFont="1" applyBorder="1" applyAlignment="1">
      <alignment horizontal="center"/>
    </xf>
    <xf numFmtId="44" fontId="36" fillId="0" borderId="28" xfId="88" applyFont="1" applyFill="1" applyBorder="1"/>
    <xf numFmtId="0" fontId="36" fillId="0" borderId="56" xfId="86" applyFont="1" applyBorder="1" applyAlignment="1">
      <alignment horizontal="center"/>
    </xf>
    <xf numFmtId="0" fontId="36" fillId="0" borderId="57" xfId="86" applyFont="1" applyBorder="1" applyAlignment="1">
      <alignment horizontal="center"/>
    </xf>
    <xf numFmtId="44" fontId="36" fillId="0" borderId="58" xfId="88" applyFont="1" applyBorder="1"/>
    <xf numFmtId="44" fontId="36" fillId="0" borderId="59" xfId="88" applyFont="1" applyBorder="1"/>
    <xf numFmtId="44" fontId="36" fillId="0" borderId="59" xfId="88" applyFont="1" applyFill="1" applyBorder="1"/>
    <xf numFmtId="0" fontId="36" fillId="0" borderId="60" xfId="86" applyFont="1" applyBorder="1" applyAlignment="1">
      <alignment horizontal="center"/>
    </xf>
    <xf numFmtId="172" fontId="36" fillId="0" borderId="28" xfId="86" applyNumberFormat="1" applyFont="1" applyBorder="1" applyAlignment="1">
      <alignment horizontal="center"/>
    </xf>
    <xf numFmtId="0" fontId="36" fillId="0" borderId="28" xfId="86" applyFont="1" applyBorder="1" applyAlignment="1">
      <alignment wrapText="1"/>
    </xf>
    <xf numFmtId="0" fontId="36" fillId="0" borderId="28" xfId="86" applyFont="1" applyBorder="1" applyAlignment="1">
      <alignment horizontal="left" wrapText="1"/>
    </xf>
    <xf numFmtId="14" fontId="36" fillId="0" borderId="28" xfId="86" applyNumberFormat="1" applyFont="1" applyBorder="1" applyAlignment="1">
      <alignment horizontal="center" wrapText="1"/>
    </xf>
    <xf numFmtId="0" fontId="36" fillId="0" borderId="61" xfId="86" applyFont="1" applyBorder="1" applyAlignment="1">
      <alignment horizontal="center"/>
    </xf>
    <xf numFmtId="0" fontId="36" fillId="0" borderId="28" xfId="87" applyFont="1" applyFill="1" applyBorder="1" applyAlignment="1">
      <alignment horizontal="center"/>
    </xf>
    <xf numFmtId="0" fontId="36" fillId="0" borderId="61" xfId="87" applyFont="1" applyFill="1" applyBorder="1" applyAlignment="1">
      <alignment horizontal="center"/>
    </xf>
    <xf numFmtId="44" fontId="36" fillId="0" borderId="62" xfId="88" applyFont="1" applyBorder="1"/>
    <xf numFmtId="44" fontId="36" fillId="0" borderId="32" xfId="88" applyFont="1" applyBorder="1"/>
    <xf numFmtId="172" fontId="36" fillId="0" borderId="32" xfId="86" applyNumberFormat="1" applyFont="1" applyBorder="1" applyAlignment="1">
      <alignment horizontal="center"/>
    </xf>
    <xf numFmtId="0" fontId="36" fillId="0" borderId="50" xfId="86" applyFont="1" applyBorder="1" applyAlignment="1">
      <alignment horizontal="center"/>
    </xf>
    <xf numFmtId="0" fontId="36" fillId="7" borderId="63" xfId="86" applyFont="1" applyFill="1" applyBorder="1"/>
    <xf numFmtId="0" fontId="36" fillId="7" borderId="64" xfId="86" applyFont="1" applyFill="1" applyBorder="1"/>
    <xf numFmtId="0" fontId="36" fillId="0" borderId="63" xfId="86" applyFont="1" applyBorder="1"/>
    <xf numFmtId="0" fontId="36" fillId="0" borderId="63" xfId="86" applyFont="1" applyBorder="1" applyAlignment="1">
      <alignment horizontal="center"/>
    </xf>
    <xf numFmtId="0" fontId="36" fillId="0" borderId="64" xfId="86" applyFont="1" applyBorder="1" applyAlignment="1">
      <alignment horizontal="center"/>
    </xf>
    <xf numFmtId="0" fontId="36" fillId="0" borderId="64" xfId="86" applyFont="1" applyBorder="1"/>
    <xf numFmtId="0" fontId="36" fillId="0" borderId="65" xfId="86" applyFont="1" applyBorder="1"/>
    <xf numFmtId="0" fontId="37" fillId="7" borderId="46" xfId="86" applyFont="1" applyFill="1" applyBorder="1" applyAlignment="1">
      <alignment horizontal="center"/>
    </xf>
    <xf numFmtId="0" fontId="37" fillId="7" borderId="66" xfId="86" applyFont="1" applyFill="1" applyBorder="1" applyAlignment="1">
      <alignment horizontal="center"/>
    </xf>
    <xf numFmtId="0" fontId="36" fillId="0" borderId="46" xfId="86" applyFont="1" applyBorder="1"/>
    <xf numFmtId="0" fontId="36" fillId="0" borderId="46" xfId="86" applyFont="1" applyBorder="1" applyAlignment="1">
      <alignment horizontal="center"/>
    </xf>
    <xf numFmtId="0" fontId="36" fillId="0" borderId="66" xfId="86" applyFont="1" applyBorder="1" applyAlignment="1">
      <alignment horizontal="center"/>
    </xf>
    <xf numFmtId="0" fontId="36" fillId="0" borderId="66" xfId="86" applyFont="1" applyBorder="1"/>
    <xf numFmtId="0" fontId="36" fillId="0" borderId="66" xfId="86" applyFont="1" applyBorder="1" applyAlignment="1">
      <alignment horizontal="left"/>
    </xf>
    <xf numFmtId="0" fontId="37" fillId="0" borderId="66" xfId="86" applyFont="1" applyBorder="1" applyAlignment="1">
      <alignment horizontal="center"/>
    </xf>
    <xf numFmtId="0" fontId="37" fillId="7" borderId="67" xfId="86" applyFont="1" applyFill="1" applyBorder="1" applyAlignment="1">
      <alignment horizontal="center"/>
    </xf>
    <xf numFmtId="0" fontId="37" fillId="7" borderId="68" xfId="86" applyFont="1" applyFill="1" applyBorder="1" applyAlignment="1">
      <alignment horizontal="center"/>
    </xf>
    <xf numFmtId="0" fontId="37" fillId="0" borderId="46" xfId="86" applyFont="1" applyBorder="1" applyAlignment="1">
      <alignment horizontal="center"/>
    </xf>
    <xf numFmtId="0" fontId="37" fillId="7" borderId="63" xfId="86" applyFont="1" applyFill="1" applyBorder="1" applyAlignment="1">
      <alignment horizontal="centerContinuous"/>
    </xf>
    <xf numFmtId="0" fontId="37" fillId="7" borderId="69" xfId="86" applyFont="1" applyFill="1" applyBorder="1" applyAlignment="1">
      <alignment horizontal="centerContinuous"/>
    </xf>
    <xf numFmtId="0" fontId="37" fillId="7" borderId="46" xfId="86" applyFont="1" applyFill="1" applyBorder="1" applyAlignment="1">
      <alignment horizontal="centerContinuous"/>
    </xf>
    <xf numFmtId="0" fontId="37" fillId="7" borderId="0" xfId="86" applyFont="1" applyFill="1" applyAlignment="1">
      <alignment horizontal="centerContinuous"/>
    </xf>
    <xf numFmtId="0" fontId="36" fillId="7" borderId="67" xfId="86" applyFont="1" applyFill="1" applyBorder="1"/>
    <xf numFmtId="0" fontId="36" fillId="7" borderId="21" xfId="86" applyFont="1" applyFill="1" applyBorder="1"/>
    <xf numFmtId="0" fontId="36" fillId="0" borderId="67" xfId="86" applyFont="1" applyBorder="1"/>
    <xf numFmtId="0" fontId="36" fillId="0" borderId="67" xfId="86" applyFont="1" applyBorder="1" applyAlignment="1">
      <alignment horizontal="center"/>
    </xf>
    <xf numFmtId="0" fontId="36" fillId="0" borderId="68" xfId="86" applyFont="1" applyBorder="1"/>
    <xf numFmtId="0" fontId="36" fillId="0" borderId="70" xfId="86" applyFont="1" applyBorder="1"/>
    <xf numFmtId="9" fontId="24" fillId="0" borderId="0" xfId="0" applyNumberFormat="1" applyFont="1" applyAlignment="1">
      <alignment horizontal="center" shrinkToFit="1"/>
    </xf>
    <xf numFmtId="44" fontId="24" fillId="0" borderId="0" xfId="1" applyNumberFormat="1" applyFont="1" applyFill="1" applyBorder="1" applyAlignment="1">
      <alignment horizontal="center"/>
    </xf>
    <xf numFmtId="165" fontId="23" fillId="0" borderId="12" xfId="0" applyNumberFormat="1" applyFont="1" applyBorder="1" applyAlignment="1">
      <alignment horizontal="center"/>
    </xf>
    <xf numFmtId="165" fontId="23" fillId="0" borderId="0" xfId="0" applyNumberFormat="1" applyFont="1" applyAlignment="1">
      <alignment horizontal="center"/>
    </xf>
    <xf numFmtId="167" fontId="22" fillId="0" borderId="2" xfId="0" applyNumberFormat="1" applyFont="1" applyBorder="1"/>
    <xf numFmtId="0" fontId="22" fillId="2" borderId="1" xfId="0" applyFont="1" applyFill="1" applyBorder="1" applyAlignment="1">
      <alignment horizontal="center"/>
    </xf>
    <xf numFmtId="173" fontId="12" fillId="0" borderId="0" xfId="0" applyNumberFormat="1" applyFont="1"/>
    <xf numFmtId="15" fontId="36" fillId="4" borderId="0" xfId="86" applyNumberFormat="1" applyFont="1" applyFill="1"/>
    <xf numFmtId="0" fontId="35" fillId="5" borderId="0" xfId="86" applyFill="1" applyAlignment="1">
      <alignment horizontal="center"/>
    </xf>
    <xf numFmtId="15" fontId="36" fillId="4" borderId="0" xfId="86" applyNumberFormat="1" applyFont="1" applyFill="1" applyAlignment="1">
      <alignment horizontal="left"/>
    </xf>
    <xf numFmtId="0" fontId="36" fillId="0" borderId="27" xfId="86" applyFont="1" applyBorder="1" applyAlignment="1">
      <alignment horizontal="center" wrapText="1"/>
    </xf>
    <xf numFmtId="167" fontId="30" fillId="0" borderId="0" xfId="0" applyNumberFormat="1" applyFont="1"/>
    <xf numFmtId="0" fontId="36" fillId="0" borderId="48" xfId="86" applyFont="1" applyBorder="1"/>
    <xf numFmtId="0" fontId="36" fillId="0" borderId="59" xfId="86" applyFont="1" applyBorder="1" applyAlignment="1">
      <alignment horizontal="center"/>
    </xf>
    <xf numFmtId="0" fontId="36" fillId="0" borderId="13" xfId="86" applyFont="1" applyBorder="1"/>
    <xf numFmtId="0" fontId="0" fillId="8" borderId="0" xfId="0" applyFill="1"/>
    <xf numFmtId="168" fontId="22" fillId="0" borderId="1" xfId="0" applyNumberFormat="1" applyFont="1" applyBorder="1"/>
    <xf numFmtId="49" fontId="37" fillId="0" borderId="0" xfId="86" applyNumberFormat="1" applyFont="1"/>
    <xf numFmtId="49" fontId="36" fillId="0" borderId="0" xfId="86" applyNumberFormat="1" applyFont="1"/>
    <xf numFmtId="49" fontId="36" fillId="0" borderId="70" xfId="86" applyNumberFormat="1" applyFont="1" applyBorder="1"/>
    <xf numFmtId="49" fontId="37" fillId="0" borderId="48" xfId="86" applyNumberFormat="1" applyFont="1" applyBorder="1" applyAlignment="1">
      <alignment horizontal="center"/>
    </xf>
    <xf numFmtId="49" fontId="36" fillId="0" borderId="65" xfId="86" applyNumberFormat="1" applyFont="1" applyBorder="1"/>
    <xf numFmtId="49" fontId="36" fillId="0" borderId="32" xfId="86" applyNumberFormat="1" applyFont="1" applyBorder="1" applyAlignment="1">
      <alignment horizontal="center"/>
    </xf>
    <xf numFmtId="49" fontId="36" fillId="0" borderId="28" xfId="86" applyNumberFormat="1" applyFont="1" applyBorder="1" applyAlignment="1">
      <alignment horizontal="center"/>
    </xf>
    <xf numFmtId="49" fontId="36" fillId="0" borderId="28" xfId="87" applyNumberFormat="1" applyFont="1" applyFill="1" applyBorder="1" applyAlignment="1">
      <alignment horizontal="center"/>
    </xf>
    <xf numFmtId="49" fontId="36" fillId="0" borderId="56" xfId="86" applyNumberFormat="1" applyFont="1" applyBorder="1" applyAlignment="1">
      <alignment horizontal="center"/>
    </xf>
    <xf numFmtId="49" fontId="37" fillId="0" borderId="51" xfId="86" applyNumberFormat="1" applyFont="1" applyBorder="1" applyAlignment="1">
      <alignment horizontal="center"/>
    </xf>
    <xf numFmtId="49" fontId="36" fillId="0" borderId="44" xfId="86" applyNumberFormat="1" applyFont="1" applyBorder="1"/>
    <xf numFmtId="49" fontId="35" fillId="0" borderId="0" xfId="86" applyNumberFormat="1"/>
    <xf numFmtId="49" fontId="20" fillId="0" borderId="0" xfId="86" applyNumberFormat="1" applyFont="1" applyAlignment="1">
      <alignment horizontal="right"/>
    </xf>
    <xf numFmtId="0" fontId="18" fillId="2" borderId="1" xfId="0" applyFont="1" applyFill="1" applyBorder="1" applyAlignment="1">
      <alignment horizontal="right"/>
    </xf>
    <xf numFmtId="168" fontId="27" fillId="0" borderId="0" xfId="0" applyNumberFormat="1" applyFont="1" applyAlignment="1">
      <alignment horizontal="center"/>
    </xf>
    <xf numFmtId="174" fontId="0" fillId="0" borderId="0" xfId="0" applyNumberFormat="1"/>
    <xf numFmtId="17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5" fontId="0" fillId="0" borderId="0" xfId="0" applyNumberFormat="1"/>
    <xf numFmtId="49" fontId="15" fillId="2" borderId="5" xfId="0" applyNumberFormat="1" applyFont="1" applyFill="1" applyBorder="1" applyAlignment="1">
      <alignment horizontal="center"/>
    </xf>
    <xf numFmtId="49" fontId="15" fillId="2" borderId="5" xfId="0" applyNumberFormat="1" applyFont="1" applyFill="1" applyBorder="1" applyAlignment="1">
      <alignment horizontal="center" vertical="top"/>
    </xf>
    <xf numFmtId="3" fontId="0" fillId="0" borderId="0" xfId="0" applyNumberFormat="1"/>
    <xf numFmtId="49" fontId="16" fillId="2" borderId="5" xfId="0" applyNumberFormat="1" applyFont="1" applyFill="1" applyBorder="1" applyAlignment="1">
      <alignment horizontal="left" vertical="top"/>
    </xf>
    <xf numFmtId="49" fontId="16" fillId="2" borderId="6" xfId="0" applyNumberFormat="1" applyFont="1" applyFill="1" applyBorder="1" applyAlignment="1">
      <alignment horizontal="left"/>
    </xf>
    <xf numFmtId="49" fontId="14" fillId="2" borderId="6" xfId="0" applyNumberFormat="1" applyFont="1" applyFill="1" applyBorder="1" applyAlignment="1">
      <alignment horizontal="left"/>
    </xf>
    <xf numFmtId="49" fontId="14" fillId="2" borderId="9" xfId="0" applyNumberFormat="1" applyFont="1" applyFill="1" applyBorder="1" applyAlignment="1">
      <alignment horizontal="left"/>
    </xf>
    <xf numFmtId="49" fontId="14" fillId="2" borderId="7" xfId="0" applyNumberFormat="1" applyFont="1" applyFill="1" applyBorder="1" applyAlignment="1">
      <alignment horizontal="left"/>
    </xf>
    <xf numFmtId="0" fontId="0" fillId="5" borderId="0" xfId="0" applyFill="1"/>
    <xf numFmtId="0" fontId="15" fillId="2" borderId="0" xfId="0" applyFont="1" applyFill="1" applyAlignment="1">
      <alignment horizontal="left" wrapText="1"/>
    </xf>
    <xf numFmtId="0" fontId="26" fillId="2" borderId="6" xfId="0" applyFont="1" applyFill="1" applyBorder="1" applyAlignment="1">
      <alignment wrapText="1"/>
    </xf>
    <xf numFmtId="0" fontId="8" fillId="0" borderId="0" xfId="301"/>
    <xf numFmtId="0" fontId="34" fillId="0" borderId="0" xfId="301" applyFont="1"/>
    <xf numFmtId="16" fontId="8" fillId="0" borderId="0" xfId="301" applyNumberFormat="1"/>
    <xf numFmtId="2" fontId="0" fillId="5" borderId="0" xfId="0" applyNumberFormat="1" applyFill="1"/>
    <xf numFmtId="16" fontId="0" fillId="0" borderId="0" xfId="0" applyNumberFormat="1" applyAlignment="1">
      <alignment horizontal="right"/>
    </xf>
    <xf numFmtId="49" fontId="0" fillId="0" borderId="0" xfId="0" applyNumberFormat="1"/>
    <xf numFmtId="0" fontId="7" fillId="0" borderId="0" xfId="301" applyFont="1"/>
    <xf numFmtId="49" fontId="0" fillId="0" borderId="0" xfId="0" applyNumberFormat="1" applyAlignment="1">
      <alignment horizontal="center"/>
    </xf>
    <xf numFmtId="0" fontId="22" fillId="2" borderId="2" xfId="0" applyFont="1" applyFill="1" applyBorder="1" applyAlignment="1">
      <alignment horizontal="center"/>
    </xf>
    <xf numFmtId="167" fontId="30" fillId="8" borderId="0" xfId="0" applyNumberFormat="1" applyFont="1" applyFill="1"/>
    <xf numFmtId="167" fontId="12" fillId="9" borderId="0" xfId="0" applyNumberFormat="1" applyFont="1" applyFill="1"/>
    <xf numFmtId="0" fontId="12" fillId="8" borderId="0" xfId="0" applyFont="1" applyFill="1"/>
    <xf numFmtId="0" fontId="12" fillId="9" borderId="0" xfId="0" applyFont="1" applyFill="1"/>
    <xf numFmtId="16" fontId="0" fillId="5" borderId="0" xfId="0" applyNumberFormat="1" applyFill="1" applyAlignment="1">
      <alignment horizontal="right"/>
    </xf>
    <xf numFmtId="175" fontId="0" fillId="5" borderId="0" xfId="0" applyNumberFormat="1" applyFill="1"/>
    <xf numFmtId="49" fontId="0" fillId="5" borderId="0" xfId="0" applyNumberFormat="1" applyFill="1"/>
    <xf numFmtId="16" fontId="0" fillId="5" borderId="0" xfId="0" applyNumberFormat="1" applyFill="1"/>
    <xf numFmtId="0" fontId="44" fillId="5" borderId="0" xfId="301" applyFont="1" applyFill="1"/>
    <xf numFmtId="0" fontId="43" fillId="5" borderId="0" xfId="301" applyFont="1" applyFill="1"/>
    <xf numFmtId="167" fontId="22" fillId="0" borderId="1" xfId="0" applyNumberFormat="1" applyFont="1" applyBorder="1"/>
    <xf numFmtId="0" fontId="0" fillId="10" borderId="0" xfId="0" applyFill="1"/>
    <xf numFmtId="167" fontId="0" fillId="10" borderId="0" xfId="0" applyNumberFormat="1" applyFill="1"/>
    <xf numFmtId="175" fontId="45" fillId="5" borderId="0" xfId="0" applyNumberFormat="1" applyFont="1" applyFill="1"/>
    <xf numFmtId="167" fontId="0" fillId="11" borderId="0" xfId="0" applyNumberFormat="1" applyFill="1"/>
    <xf numFmtId="0" fontId="0" fillId="11" borderId="0" xfId="0" applyFill="1"/>
    <xf numFmtId="0" fontId="6" fillId="0" borderId="0" xfId="301" applyFont="1"/>
    <xf numFmtId="0" fontId="36" fillId="0" borderId="75" xfId="86" applyFont="1" applyBorder="1"/>
    <xf numFmtId="0" fontId="36" fillId="0" borderId="76" xfId="86" applyFont="1" applyBorder="1" applyAlignment="1">
      <alignment horizontal="center"/>
    </xf>
    <xf numFmtId="0" fontId="5" fillId="0" borderId="0" xfId="301" applyFont="1"/>
    <xf numFmtId="167" fontId="42" fillId="8" borderId="0" xfId="0" applyNumberFormat="1" applyFont="1" applyFill="1"/>
    <xf numFmtId="0" fontId="22" fillId="2" borderId="2" xfId="0" applyFont="1" applyFill="1" applyBorder="1"/>
    <xf numFmtId="0" fontId="22" fillId="2" borderId="1" xfId="0" applyFont="1" applyFill="1" applyBorder="1"/>
    <xf numFmtId="2" fontId="14" fillId="2" borderId="6" xfId="0" applyNumberFormat="1" applyFont="1" applyFill="1" applyBorder="1"/>
    <xf numFmtId="0" fontId="4" fillId="0" borderId="0" xfId="301" applyFont="1"/>
    <xf numFmtId="0" fontId="4" fillId="0" borderId="0" xfId="301" applyFont="1" applyAlignment="1">
      <alignment horizontal="right"/>
    </xf>
    <xf numFmtId="2" fontId="0" fillId="8" borderId="0" xfId="0" applyNumberFormat="1" applyFill="1"/>
    <xf numFmtId="0" fontId="18" fillId="2" borderId="6" xfId="0" applyFont="1" applyFill="1" applyBorder="1"/>
    <xf numFmtId="0" fontId="36" fillId="8" borderId="27" xfId="86" applyFont="1" applyFill="1" applyBorder="1" applyAlignment="1">
      <alignment horizontal="center"/>
    </xf>
    <xf numFmtId="0" fontId="36" fillId="0" borderId="27" xfId="86" applyFont="1" applyBorder="1" applyAlignment="1">
      <alignment wrapText="1"/>
    </xf>
    <xf numFmtId="166" fontId="35" fillId="0" borderId="0" xfId="86" applyNumberFormat="1"/>
    <xf numFmtId="175" fontId="0" fillId="8" borderId="0" xfId="0" applyNumberFormat="1" applyFill="1"/>
    <xf numFmtId="0" fontId="36" fillId="8" borderId="27" xfId="86" applyFont="1" applyFill="1" applyBorder="1" applyAlignment="1">
      <alignment horizontal="center" wrapText="1"/>
    </xf>
    <xf numFmtId="175" fontId="0" fillId="9" borderId="0" xfId="0" applyNumberFormat="1" applyFill="1"/>
    <xf numFmtId="2" fontId="0" fillId="9" borderId="0" xfId="0" applyNumberFormat="1" applyFill="1"/>
    <xf numFmtId="0" fontId="0" fillId="9" borderId="0" xfId="0" applyFill="1"/>
    <xf numFmtId="49" fontId="0" fillId="9" borderId="0" xfId="0" applyNumberFormat="1" applyFill="1"/>
    <xf numFmtId="49" fontId="0" fillId="8" borderId="0" xfId="0" applyNumberFormat="1" applyFill="1"/>
    <xf numFmtId="49" fontId="0" fillId="5" borderId="0" xfId="0" applyNumberFormat="1" applyFill="1" applyAlignment="1">
      <alignment horizontal="center"/>
    </xf>
    <xf numFmtId="0" fontId="16" fillId="2" borderId="9" xfId="0" applyFont="1" applyFill="1" applyBorder="1" applyAlignment="1">
      <alignment horizontal="left" wrapText="1"/>
    </xf>
    <xf numFmtId="0" fontId="16" fillId="2" borderId="9" xfId="0" applyFont="1" applyFill="1" applyBorder="1" applyAlignment="1">
      <alignment horizontal="center" wrapText="1" shrinkToFit="1"/>
    </xf>
    <xf numFmtId="44" fontId="16" fillId="2" borderId="9" xfId="1" applyNumberFormat="1" applyFont="1" applyFill="1" applyBorder="1" applyAlignment="1"/>
    <xf numFmtId="0" fontId="16" fillId="2" borderId="8" xfId="0" applyFont="1" applyFill="1" applyBorder="1" applyAlignment="1">
      <alignment horizontal="left" vertical="top" wrapText="1" shrinkToFit="1"/>
    </xf>
    <xf numFmtId="0" fontId="15" fillId="2" borderId="6" xfId="0" applyFont="1" applyFill="1" applyBorder="1" applyAlignment="1">
      <alignment horizontal="left" vertical="top" wrapText="1"/>
    </xf>
    <xf numFmtId="0" fontId="16" fillId="2" borderId="6" xfId="0" applyFont="1" applyFill="1" applyBorder="1" applyAlignment="1">
      <alignment horizontal="left" vertical="top" wrapText="1" shrinkToFit="1"/>
    </xf>
    <xf numFmtId="0" fontId="16" fillId="2" borderId="7" xfId="0" applyFont="1" applyFill="1" applyBorder="1" applyAlignment="1">
      <alignment horizontal="left" wrapText="1"/>
    </xf>
    <xf numFmtId="0" fontId="36" fillId="8" borderId="76" xfId="86" applyFont="1" applyFill="1" applyBorder="1" applyAlignment="1">
      <alignment horizontal="center"/>
    </xf>
    <xf numFmtId="16" fontId="0" fillId="8" borderId="0" xfId="0" applyNumberFormat="1" applyFill="1" applyAlignment="1">
      <alignment horizontal="right"/>
    </xf>
    <xf numFmtId="175" fontId="0" fillId="10" borderId="0" xfId="0" applyNumberFormat="1" applyFill="1"/>
    <xf numFmtId="175" fontId="0" fillId="12" borderId="0" xfId="0" applyNumberFormat="1" applyFill="1"/>
    <xf numFmtId="0" fontId="0" fillId="12" borderId="0" xfId="0" applyFill="1"/>
    <xf numFmtId="175" fontId="0" fillId="13" borderId="0" xfId="0" applyNumberFormat="1" applyFill="1"/>
    <xf numFmtId="175" fontId="0" fillId="14" borderId="0" xfId="0" applyNumberFormat="1" applyFill="1"/>
    <xf numFmtId="49" fontId="13" fillId="2" borderId="9" xfId="0" applyNumberFormat="1" applyFont="1" applyFill="1" applyBorder="1" applyAlignment="1">
      <alignment horizontal="left"/>
    </xf>
    <xf numFmtId="49" fontId="15" fillId="2" borderId="6" xfId="0" applyNumberFormat="1" applyFont="1" applyFill="1" applyBorder="1" applyAlignment="1">
      <alignment horizontal="left" vertical="top"/>
    </xf>
    <xf numFmtId="4" fontId="36" fillId="9" borderId="27" xfId="86" applyNumberFormat="1" applyFont="1" applyFill="1" applyBorder="1"/>
    <xf numFmtId="44" fontId="36" fillId="7" borderId="58" xfId="88" applyFont="1" applyFill="1" applyBorder="1"/>
    <xf numFmtId="44" fontId="36" fillId="7" borderId="59" xfId="88" applyFont="1" applyFill="1" applyBorder="1"/>
    <xf numFmtId="44" fontId="36" fillId="7" borderId="28" xfId="88" applyFont="1" applyFill="1" applyBorder="1"/>
    <xf numFmtId="0" fontId="36" fillId="7" borderId="60" xfId="86" applyFont="1" applyFill="1" applyBorder="1" applyAlignment="1">
      <alignment horizontal="center"/>
    </xf>
    <xf numFmtId="0" fontId="0" fillId="15" borderId="0" xfId="0" applyFill="1"/>
    <xf numFmtId="175" fontId="0" fillId="15" borderId="0" xfId="0" applyNumberFormat="1" applyFill="1"/>
    <xf numFmtId="0" fontId="0" fillId="14" borderId="0" xfId="0" applyFill="1"/>
    <xf numFmtId="0" fontId="0" fillId="13" borderId="0" xfId="0" applyFill="1"/>
    <xf numFmtId="174" fontId="12" fillId="0" borderId="0" xfId="0" applyNumberFormat="1" applyFont="1"/>
    <xf numFmtId="2" fontId="12" fillId="0" borderId="0" xfId="0" applyNumberFormat="1" applyFont="1"/>
    <xf numFmtId="2" fontId="42" fillId="0" borderId="0" xfId="0" applyNumberFormat="1" applyFont="1"/>
    <xf numFmtId="0" fontId="12" fillId="5" borderId="0" xfId="0" applyFont="1" applyFill="1"/>
    <xf numFmtId="0" fontId="12" fillId="0" borderId="0" xfId="0" applyFont="1" applyAlignment="1">
      <alignment horizontal="center"/>
    </xf>
    <xf numFmtId="176" fontId="14" fillId="2" borderId="6" xfId="0" applyNumberFormat="1" applyFont="1" applyFill="1" applyBorder="1" applyAlignment="1">
      <alignment horizontal="center"/>
    </xf>
    <xf numFmtId="175" fontId="0" fillId="16" borderId="0" xfId="0" applyNumberFormat="1" applyFill="1"/>
    <xf numFmtId="0" fontId="3" fillId="0" borderId="0" xfId="301" applyFont="1"/>
    <xf numFmtId="0" fontId="36" fillId="7" borderId="55" xfId="86" applyFont="1" applyFill="1" applyBorder="1" applyAlignment="1">
      <alignment horizontal="center"/>
    </xf>
    <xf numFmtId="0" fontId="46" fillId="2" borderId="6" xfId="0" applyFont="1" applyFill="1" applyBorder="1" applyAlignment="1">
      <alignment horizontal="left" wrapText="1"/>
    </xf>
    <xf numFmtId="0" fontId="2" fillId="0" borderId="0" xfId="301" applyFont="1"/>
    <xf numFmtId="0" fontId="34" fillId="5" borderId="0" xfId="301" applyFont="1" applyFill="1"/>
    <xf numFmtId="0" fontId="8" fillId="5" borderId="0" xfId="301" applyFill="1"/>
    <xf numFmtId="0" fontId="34" fillId="5" borderId="0" xfId="301" applyFont="1" applyFill="1" applyAlignment="1">
      <alignment horizontal="right"/>
    </xf>
    <xf numFmtId="167" fontId="0" fillId="5" borderId="0" xfId="0" applyNumberFormat="1" applyFill="1"/>
    <xf numFmtId="0" fontId="0" fillId="3" borderId="0" xfId="0" applyFill="1" applyAlignment="1">
      <alignment horizontal="center"/>
    </xf>
    <xf numFmtId="0" fontId="0" fillId="3" borderId="0" xfId="0" applyFill="1"/>
    <xf numFmtId="49" fontId="0" fillId="0" borderId="0" xfId="0" applyNumberFormat="1" applyAlignment="1">
      <alignment horizontal="left"/>
    </xf>
    <xf numFmtId="0" fontId="47" fillId="0" borderId="0" xfId="0" applyFont="1" applyAlignment="1">
      <alignment wrapText="1"/>
    </xf>
    <xf numFmtId="0" fontId="12" fillId="0" borderId="0" xfId="0" applyFont="1" applyAlignment="1">
      <alignment horizontal="right"/>
    </xf>
    <xf numFmtId="3" fontId="16" fillId="2" borderId="6" xfId="0" applyNumberFormat="1" applyFont="1" applyFill="1" applyBorder="1" applyAlignment="1">
      <alignment horizontal="left" wrapText="1"/>
    </xf>
    <xf numFmtId="0" fontId="16" fillId="2" borderId="6" xfId="0" applyFont="1" applyFill="1" applyBorder="1" applyAlignment="1">
      <alignment horizontal="left" vertical="top" wrapText="1"/>
    </xf>
    <xf numFmtId="0" fontId="12" fillId="9" borderId="0" xfId="0" applyFont="1" applyFill="1" applyAlignment="1">
      <alignment horizontal="center"/>
    </xf>
    <xf numFmtId="166" fontId="35" fillId="0" borderId="47" xfId="86" applyNumberFormat="1" applyBorder="1"/>
    <xf numFmtId="166" fontId="35" fillId="8" borderId="47" xfId="86" applyNumberFormat="1" applyFill="1" applyBorder="1"/>
    <xf numFmtId="0" fontId="36" fillId="14" borderId="27" xfId="86" applyFont="1" applyFill="1" applyBorder="1" applyAlignment="1">
      <alignment horizontal="center"/>
    </xf>
    <xf numFmtId="0" fontId="48" fillId="2" borderId="6" xfId="0" applyFont="1" applyFill="1" applyBorder="1"/>
    <xf numFmtId="167" fontId="0" fillId="16" borderId="0" xfId="0" applyNumberFormat="1" applyFill="1"/>
    <xf numFmtId="44" fontId="36" fillId="0" borderId="58" xfId="88" applyFont="1" applyFill="1" applyBorder="1"/>
    <xf numFmtId="170" fontId="14" fillId="2" borderId="9" xfId="0" applyNumberFormat="1" applyFont="1" applyFill="1" applyBorder="1"/>
    <xf numFmtId="167" fontId="28" fillId="8" borderId="0" xfId="0" applyNumberFormat="1" applyFont="1" applyFill="1"/>
    <xf numFmtId="167" fontId="28" fillId="0" borderId="0" xfId="0" applyNumberFormat="1" applyFont="1"/>
    <xf numFmtId="44" fontId="35" fillId="5" borderId="0" xfId="86" applyNumberFormat="1" applyFill="1"/>
    <xf numFmtId="0" fontId="36" fillId="9" borderId="29" xfId="86" applyFont="1" applyFill="1" applyBorder="1"/>
    <xf numFmtId="0" fontId="36" fillId="5" borderId="26" xfId="86" applyFont="1" applyFill="1" applyBorder="1" applyAlignment="1">
      <alignment horizontal="center"/>
    </xf>
    <xf numFmtId="4" fontId="36" fillId="0" borderId="27" xfId="86" applyNumberFormat="1" applyFont="1" applyBorder="1" applyAlignment="1">
      <alignment horizontal="left"/>
    </xf>
    <xf numFmtId="0" fontId="36" fillId="5" borderId="27" xfId="86" applyFont="1" applyFill="1" applyBorder="1" applyAlignment="1">
      <alignment horizontal="center"/>
    </xf>
    <xf numFmtId="0" fontId="47" fillId="5" borderId="0" xfId="0" applyFont="1" applyFill="1" applyAlignment="1">
      <alignment wrapText="1"/>
    </xf>
    <xf numFmtId="174" fontId="0" fillId="5" borderId="0" xfId="0" applyNumberFormat="1" applyFill="1"/>
    <xf numFmtId="49" fontId="0" fillId="5" borderId="0" xfId="0" applyNumberFormat="1" applyFill="1" applyAlignment="1">
      <alignment horizontal="left"/>
    </xf>
    <xf numFmtId="16" fontId="28" fillId="5" borderId="0" xfId="0" applyNumberFormat="1" applyFont="1" applyFill="1"/>
    <xf numFmtId="0" fontId="28" fillId="5" borderId="0" xfId="0" applyFont="1" applyFill="1"/>
    <xf numFmtId="174" fontId="28" fillId="5" borderId="0" xfId="0" applyNumberFormat="1" applyFont="1" applyFill="1"/>
    <xf numFmtId="174" fontId="28" fillId="5" borderId="0" xfId="0" applyNumberFormat="1" applyFont="1" applyFill="1" applyAlignment="1">
      <alignment horizontal="right"/>
    </xf>
    <xf numFmtId="0" fontId="28" fillId="8" borderId="0" xfId="0" applyFont="1" applyFill="1"/>
    <xf numFmtId="0" fontId="0" fillId="5" borderId="0" xfId="0" applyFill="1" applyAlignment="1">
      <alignment wrapText="1"/>
    </xf>
    <xf numFmtId="0" fontId="28" fillId="0" borderId="0" xfId="0" applyFont="1"/>
    <xf numFmtId="49" fontId="28" fillId="0" borderId="0" xfId="0" applyNumberFormat="1" applyFont="1" applyAlignment="1">
      <alignment horizontal="left"/>
    </xf>
    <xf numFmtId="0" fontId="12" fillId="10" borderId="0" xfId="0" applyFont="1" applyFill="1"/>
    <xf numFmtId="167" fontId="23" fillId="8" borderId="0" xfId="0" applyNumberFormat="1" applyFont="1" applyFill="1"/>
    <xf numFmtId="0" fontId="49" fillId="5" borderId="0" xfId="0" applyFont="1" applyFill="1"/>
    <xf numFmtId="167" fontId="28" fillId="5" borderId="0" xfId="0" applyNumberFormat="1" applyFont="1" applyFill="1"/>
    <xf numFmtId="15" fontId="0" fillId="0" borderId="0" xfId="0" applyNumberFormat="1" applyAlignment="1">
      <alignment horizontal="center"/>
    </xf>
    <xf numFmtId="3" fontId="24" fillId="0" borderId="13" xfId="0" applyNumberFormat="1" applyFont="1" applyBorder="1" applyAlignment="1">
      <alignment horizontal="center"/>
    </xf>
    <xf numFmtId="168" fontId="27" fillId="0" borderId="0" xfId="0" applyNumberFormat="1" applyFont="1" applyAlignment="1">
      <alignment horizontal="center"/>
    </xf>
    <xf numFmtId="0" fontId="0" fillId="2" borderId="7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7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168" fontId="27" fillId="0" borderId="12" xfId="0" applyNumberFormat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6" fillId="2" borderId="71" xfId="0" applyFont="1" applyFill="1" applyBorder="1" applyAlignment="1">
      <alignment horizontal="center" wrapText="1" shrinkToFit="1"/>
    </xf>
    <xf numFmtId="0" fontId="16" fillId="2" borderId="72" xfId="0" applyFont="1" applyFill="1" applyBorder="1" applyAlignment="1">
      <alignment horizontal="center" wrapText="1" shrinkToFit="1"/>
    </xf>
    <xf numFmtId="0" fontId="16" fillId="2" borderId="73" xfId="0" applyFont="1" applyFill="1" applyBorder="1" applyAlignment="1">
      <alignment horizontal="center" wrapText="1" shrinkToFit="1"/>
    </xf>
    <xf numFmtId="0" fontId="16" fillId="2" borderId="26" xfId="0" applyFont="1" applyFill="1" applyBorder="1" applyAlignment="1">
      <alignment horizontal="center" wrapText="1" shrinkToFit="1"/>
    </xf>
    <xf numFmtId="0" fontId="0" fillId="5" borderId="0" xfId="0" applyFill="1" applyAlignment="1">
      <alignment horizontal="center" wrapText="1"/>
    </xf>
    <xf numFmtId="168" fontId="14" fillId="2" borderId="71" xfId="0" applyNumberFormat="1" applyFont="1" applyFill="1" applyBorder="1" applyAlignment="1">
      <alignment horizontal="center"/>
    </xf>
    <xf numFmtId="168" fontId="14" fillId="2" borderId="72" xfId="0" applyNumberFormat="1" applyFont="1" applyFill="1" applyBorder="1" applyAlignment="1">
      <alignment horizontal="center"/>
    </xf>
    <xf numFmtId="44" fontId="16" fillId="2" borderId="73" xfId="1" applyNumberFormat="1" applyFont="1" applyFill="1" applyBorder="1" applyAlignment="1">
      <alignment horizontal="center"/>
    </xf>
    <xf numFmtId="44" fontId="16" fillId="2" borderId="26" xfId="1" applyNumberFormat="1" applyFont="1" applyFill="1" applyBorder="1" applyAlignment="1">
      <alignment horizontal="center"/>
    </xf>
    <xf numFmtId="44" fontId="16" fillId="2" borderId="74" xfId="1" applyNumberFormat="1" applyFont="1" applyFill="1" applyBorder="1" applyAlignment="1">
      <alignment horizontal="center"/>
    </xf>
    <xf numFmtId="44" fontId="16" fillId="2" borderId="23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7" fillId="0" borderId="0" xfId="86" applyFont="1" applyAlignment="1">
      <alignment horizontal="center"/>
    </xf>
    <xf numFmtId="0" fontId="40" fillId="0" borderId="0" xfId="86" applyFont="1" applyAlignment="1">
      <alignment horizontal="center" vertical="center"/>
    </xf>
    <xf numFmtId="0" fontId="37" fillId="0" borderId="53" xfId="86" applyFont="1" applyBorder="1" applyAlignment="1">
      <alignment horizontal="center"/>
    </xf>
    <xf numFmtId="0" fontId="37" fillId="0" borderId="52" xfId="86" applyFont="1" applyBorder="1" applyAlignment="1">
      <alignment horizontal="center"/>
    </xf>
    <xf numFmtId="167" fontId="22" fillId="0" borderId="2" xfId="0" applyNumberFormat="1" applyFont="1" applyBorder="1" applyAlignment="1">
      <alignment horizontal="center"/>
    </xf>
    <xf numFmtId="167" fontId="22" fillId="0" borderId="4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3" fontId="24" fillId="0" borderId="0" xfId="0" applyNumberFormat="1" applyFont="1" applyAlignment="1">
      <alignment horizontal="center"/>
    </xf>
    <xf numFmtId="49" fontId="50" fillId="0" borderId="0" xfId="0" applyNumberFormat="1" applyFont="1"/>
  </cellXfs>
  <cellStyles count="1476">
    <cellStyle name="Currency" xfId="1" builtinId="4"/>
    <cellStyle name="Currency 2" xfId="88" xr:uid="{00000000-0005-0000-0000-000001000000}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Neutral 2" xfId="87" xr:uid="{00000000-0005-0000-0000-0000BE050000}"/>
    <cellStyle name="Normal" xfId="0" builtinId="0"/>
    <cellStyle name="Normal 2" xfId="2" xr:uid="{00000000-0005-0000-0000-0000C0050000}"/>
    <cellStyle name="Normal 3" xfId="3" xr:uid="{00000000-0005-0000-0000-0000C1050000}"/>
    <cellStyle name="Normal 4" xfId="86" xr:uid="{00000000-0005-0000-0000-0000C2050000}"/>
    <cellStyle name="Normal 5" xfId="301" xr:uid="{00000000-0005-0000-0000-0000C3050000}"/>
  </cellStyles>
  <dxfs count="0"/>
  <tableStyles count="0" defaultTableStyle="TableStyleMedium9" defaultPivotStyle="PivotStyleLight16"/>
  <colors>
    <mruColors>
      <color rgb="FFB3CDF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opLeftCell="A10" workbookViewId="0">
      <selection activeCell="G12" sqref="G12"/>
    </sheetView>
  </sheetViews>
  <sheetFormatPr baseColWidth="10" defaultColWidth="8.83203125" defaultRowHeight="15" x14ac:dyDescent="0.2"/>
  <cols>
    <col min="1" max="1" width="20.5" customWidth="1"/>
    <col min="2" max="2" width="17.33203125" style="162" customWidth="1"/>
    <col min="3" max="3" width="12.5" style="163" customWidth="1"/>
    <col min="4" max="4" width="13.5" style="162" customWidth="1"/>
    <col min="5" max="5" width="20.83203125" customWidth="1"/>
    <col min="6" max="6" width="13.6640625" style="162" customWidth="1"/>
    <col min="7" max="7" width="34.33203125" customWidth="1"/>
  </cols>
  <sheetData>
    <row r="1" spans="1:7" x14ac:dyDescent="0.2">
      <c r="A1" s="5" t="str">
        <f>G11</f>
        <v>PIPELINE PROJECT</v>
      </c>
    </row>
    <row r="3" spans="1:7" x14ac:dyDescent="0.2">
      <c r="A3" s="5" t="s">
        <v>99</v>
      </c>
      <c r="C3" s="164" t="s">
        <v>28</v>
      </c>
      <c r="D3" s="165" t="s">
        <v>23</v>
      </c>
      <c r="F3" s="166" t="s">
        <v>185</v>
      </c>
      <c r="G3" s="321">
        <v>42505</v>
      </c>
    </row>
    <row r="4" spans="1:7" x14ac:dyDescent="0.2">
      <c r="F4" s="166" t="s">
        <v>250</v>
      </c>
      <c r="G4" s="321">
        <v>42491</v>
      </c>
    </row>
    <row r="5" spans="1:7" x14ac:dyDescent="0.2">
      <c r="A5" s="2" t="s">
        <v>85</v>
      </c>
      <c r="B5" s="449">
        <f>'1.0 BaseLay'!I449</f>
        <v>205093.55311607459</v>
      </c>
      <c r="C5" s="163" t="s">
        <v>101</v>
      </c>
      <c r="D5" s="162">
        <f>B45</f>
        <v>125158.18</v>
      </c>
    </row>
    <row r="6" spans="1:7" x14ac:dyDescent="0.2">
      <c r="A6">
        <v>2.1</v>
      </c>
      <c r="B6" s="449">
        <f>'2.1'!E230</f>
        <v>3271.42</v>
      </c>
      <c r="C6" s="163" t="s">
        <v>102</v>
      </c>
      <c r="D6" s="449">
        <f>'CO001'!I496</f>
        <v>4394.6202404852302</v>
      </c>
    </row>
    <row r="7" spans="1:7" x14ac:dyDescent="0.2">
      <c r="A7">
        <v>2.2000000000000002</v>
      </c>
      <c r="C7" s="163" t="s">
        <v>103</v>
      </c>
      <c r="E7" s="391">
        <f>'CO002'!C31</f>
        <v>50000</v>
      </c>
    </row>
    <row r="8" spans="1:7" x14ac:dyDescent="0.2">
      <c r="A8">
        <v>2.2999999999999998</v>
      </c>
      <c r="B8" s="486">
        <f>'2.3'!F425</f>
        <v>66806.759999999995</v>
      </c>
      <c r="C8" s="163" t="s">
        <v>490</v>
      </c>
    </row>
    <row r="9" spans="1:7" x14ac:dyDescent="0.2">
      <c r="A9">
        <v>2.11</v>
      </c>
      <c r="B9" s="466"/>
      <c r="C9" s="163" t="s">
        <v>491</v>
      </c>
      <c r="D9" s="449">
        <f>'CO015'!C272</f>
        <v>2238.7599999999998</v>
      </c>
      <c r="F9" s="167" t="s">
        <v>70</v>
      </c>
      <c r="G9" t="s">
        <v>1082</v>
      </c>
    </row>
    <row r="10" spans="1:7" x14ac:dyDescent="0.2">
      <c r="A10">
        <v>2.14</v>
      </c>
      <c r="B10" s="466"/>
      <c r="C10" s="163" t="s">
        <v>542</v>
      </c>
      <c r="F10" s="167" t="s">
        <v>71</v>
      </c>
      <c r="G10" t="s">
        <v>1084</v>
      </c>
    </row>
    <row r="11" spans="1:7" x14ac:dyDescent="0.2">
      <c r="A11">
        <v>2.1800000000000002</v>
      </c>
      <c r="B11" s="466"/>
      <c r="C11" s="163" t="s">
        <v>547</v>
      </c>
      <c r="F11" s="167" t="s">
        <v>72</v>
      </c>
      <c r="G11" t="s">
        <v>1086</v>
      </c>
    </row>
    <row r="12" spans="1:7" x14ac:dyDescent="0.2">
      <c r="A12">
        <v>2.2200000000000002</v>
      </c>
      <c r="B12" s="466"/>
      <c r="C12" s="163" t="s">
        <v>595</v>
      </c>
    </row>
    <row r="13" spans="1:7" x14ac:dyDescent="0.2">
      <c r="A13">
        <v>2.27</v>
      </c>
      <c r="C13" s="163" t="s">
        <v>721</v>
      </c>
      <c r="E13" s="465">
        <f>'2.27'!F29</f>
        <v>2751.84</v>
      </c>
    </row>
    <row r="14" spans="1:7" x14ac:dyDescent="0.2">
      <c r="A14">
        <v>2.29</v>
      </c>
      <c r="B14" s="466"/>
      <c r="C14" s="163" t="s">
        <v>722</v>
      </c>
      <c r="F14"/>
    </row>
    <row r="15" spans="1:7" x14ac:dyDescent="0.2">
      <c r="A15">
        <v>2.31</v>
      </c>
      <c r="B15" s="466"/>
      <c r="C15" s="163" t="s">
        <v>723</v>
      </c>
    </row>
    <row r="16" spans="1:7" x14ac:dyDescent="0.2">
      <c r="A16">
        <v>2.35</v>
      </c>
      <c r="B16" s="486">
        <f>'2.35'!F32</f>
        <v>55080</v>
      </c>
      <c r="C16" s="163" t="s">
        <v>724</v>
      </c>
      <c r="D16" s="449">
        <f>'CO038'!C152</f>
        <v>1480.14</v>
      </c>
    </row>
    <row r="17" spans="1:6" x14ac:dyDescent="0.2">
      <c r="A17" s="2" t="s">
        <v>52</v>
      </c>
      <c r="C17" s="163" t="s">
        <v>725</v>
      </c>
    </row>
    <row r="18" spans="1:6" x14ac:dyDescent="0.2">
      <c r="A18" s="2" t="s">
        <v>53</v>
      </c>
      <c r="C18" s="163" t="s">
        <v>923</v>
      </c>
    </row>
    <row r="19" spans="1:6" x14ac:dyDescent="0.2">
      <c r="A19" s="2"/>
      <c r="C19" s="163" t="s">
        <v>1048</v>
      </c>
      <c r="D19" s="449">
        <f>'CO052'!C29</f>
        <v>325639.92</v>
      </c>
    </row>
    <row r="20" spans="1:6" x14ac:dyDescent="0.2">
      <c r="A20" s="2"/>
      <c r="C20" s="163" t="s">
        <v>1049</v>
      </c>
      <c r="D20" s="449">
        <f>'CO053'!C29</f>
        <v>13198.84</v>
      </c>
    </row>
    <row r="21" spans="1:6" x14ac:dyDescent="0.2">
      <c r="A21" s="2"/>
      <c r="C21" s="163" t="s">
        <v>1050</v>
      </c>
      <c r="D21" s="449">
        <f>'CO054'!C29</f>
        <v>5195.45</v>
      </c>
    </row>
    <row r="22" spans="1:6" x14ac:dyDescent="0.2">
      <c r="A22" s="2"/>
      <c r="C22" s="163" t="s">
        <v>1051</v>
      </c>
      <c r="D22" s="449">
        <f>'CO055'!C29</f>
        <v>69770.039999999994</v>
      </c>
      <c r="F22" s="162" t="s">
        <v>898</v>
      </c>
    </row>
    <row r="23" spans="1:6" x14ac:dyDescent="0.2">
      <c r="A23" s="2"/>
      <c r="C23" s="163" t="s">
        <v>1064</v>
      </c>
    </row>
    <row r="24" spans="1:6" x14ac:dyDescent="0.2">
      <c r="A24" s="2"/>
      <c r="C24" s="163" t="s">
        <v>1065</v>
      </c>
    </row>
    <row r="25" spans="1:6" x14ac:dyDescent="0.2">
      <c r="A25" s="2"/>
    </row>
    <row r="26" spans="1:6" x14ac:dyDescent="0.2">
      <c r="A26" s="2"/>
    </row>
    <row r="27" spans="1:6" x14ac:dyDescent="0.2">
      <c r="A27" s="2"/>
    </row>
    <row r="28" spans="1:6" x14ac:dyDescent="0.2">
      <c r="A28" s="8"/>
      <c r="E28" s="391">
        <v>2770000</v>
      </c>
    </row>
    <row r="31" spans="1:6" x14ac:dyDescent="0.2">
      <c r="A31" s="5" t="s">
        <v>12</v>
      </c>
      <c r="B31" s="162">
        <f>SUM(B5:B30)</f>
        <v>330251.73311607458</v>
      </c>
      <c r="C31" s="164" t="s">
        <v>100</v>
      </c>
      <c r="D31" s="162">
        <f>SUM(D6:D30)</f>
        <v>421917.7702404852</v>
      </c>
    </row>
    <row r="34" spans="1:6" x14ac:dyDescent="0.2">
      <c r="B34" s="165" t="s">
        <v>96</v>
      </c>
      <c r="C34" s="164">
        <f>B31+D31</f>
        <v>752169.50335655978</v>
      </c>
    </row>
    <row r="42" spans="1:6" x14ac:dyDescent="0.2">
      <c r="F42" s="162" t="s">
        <v>98</v>
      </c>
    </row>
    <row r="43" spans="1:6" x14ac:dyDescent="0.2">
      <c r="C43" s="164"/>
    </row>
    <row r="44" spans="1:6" x14ac:dyDescent="0.2">
      <c r="A44" t="s">
        <v>596</v>
      </c>
      <c r="B44" s="162">
        <f>B5</f>
        <v>205093.55311607459</v>
      </c>
      <c r="C44" s="164"/>
      <c r="D44" s="165"/>
      <c r="F44" s="162">
        <f>B45-D45</f>
        <v>0</v>
      </c>
    </row>
    <row r="45" spans="1:6" x14ac:dyDescent="0.2">
      <c r="A45" t="s">
        <v>597</v>
      </c>
      <c r="B45" s="162">
        <f>SUM(B6:B17)</f>
        <v>125158.18</v>
      </c>
      <c r="C45" s="163" t="s">
        <v>97</v>
      </c>
      <c r="D45" s="165">
        <f>D5</f>
        <v>125158.18</v>
      </c>
    </row>
    <row r="46" spans="1:6" x14ac:dyDescent="0.2">
      <c r="A46" t="s">
        <v>598</v>
      </c>
      <c r="B46" s="162">
        <f>SUM(B17:B18)</f>
        <v>0</v>
      </c>
    </row>
    <row r="47" spans="1:6" x14ac:dyDescent="0.2">
      <c r="A47" t="s">
        <v>599</v>
      </c>
      <c r="B47" s="162">
        <f>D31</f>
        <v>421917.7702404852</v>
      </c>
    </row>
    <row r="49" spans="1:2" x14ac:dyDescent="0.2">
      <c r="A49" t="s">
        <v>346</v>
      </c>
      <c r="B49" s="165">
        <f>SUM(B44:B48)</f>
        <v>752169.50335655978</v>
      </c>
    </row>
    <row r="50" spans="1:2" x14ac:dyDescent="0.2">
      <c r="A50" t="s">
        <v>94</v>
      </c>
      <c r="B50" s="162">
        <f>B49*0.1</f>
        <v>75216.950335655987</v>
      </c>
    </row>
    <row r="51" spans="1:2" x14ac:dyDescent="0.2">
      <c r="A51" t="s">
        <v>96</v>
      </c>
      <c r="B51" s="162">
        <f>B49-B50</f>
        <v>676952.55302090384</v>
      </c>
    </row>
    <row r="52" spans="1:2" x14ac:dyDescent="0.2">
      <c r="A52" t="s">
        <v>95</v>
      </c>
      <c r="B52" s="162">
        <f>B51*0.05</f>
        <v>33847.627651045193</v>
      </c>
    </row>
    <row r="53" spans="1:2" ht="17" x14ac:dyDescent="0.2">
      <c r="A53" t="s">
        <v>18</v>
      </c>
      <c r="B53" s="326">
        <f>SUM(B51:B52)</f>
        <v>710800.18067194906</v>
      </c>
    </row>
    <row r="58" spans="1:2" x14ac:dyDescent="0.2">
      <c r="A58" s="382" t="s">
        <v>782</v>
      </c>
      <c r="B58" s="383">
        <v>44853184.409999996</v>
      </c>
    </row>
    <row r="60" spans="1:2" ht="17" x14ac:dyDescent="0.2">
      <c r="A60" s="373" t="s">
        <v>345</v>
      </c>
      <c r="B60" s="371">
        <f>B58+B49</f>
        <v>45605353.913356557</v>
      </c>
    </row>
    <row r="62" spans="1:2" x14ac:dyDescent="0.2">
      <c r="A62" s="386" t="s">
        <v>347</v>
      </c>
      <c r="B62" s="385">
        <v>47877000</v>
      </c>
    </row>
    <row r="64" spans="1:2" x14ac:dyDescent="0.2">
      <c r="A64" s="374" t="s">
        <v>348</v>
      </c>
      <c r="B64" s="372">
        <f>B60-B62</f>
        <v>-2271646.0866434425</v>
      </c>
    </row>
  </sheetData>
  <phoneticPr fontId="26" type="noConversion"/>
  <pageMargins left="0.7" right="0.7" top="0.75" bottom="0.75" header="0.3" footer="0.3"/>
  <pageSetup scale="74" orientation="portrait" verticalDpi="12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FFCC"/>
  </sheetPr>
  <dimension ref="A1:S458"/>
  <sheetViews>
    <sheetView topLeftCell="A434" workbookViewId="0">
      <selection activeCell="L153" sqref="L153:M164"/>
    </sheetView>
  </sheetViews>
  <sheetFormatPr baseColWidth="10" defaultColWidth="8.83203125" defaultRowHeight="15" x14ac:dyDescent="0.2"/>
  <cols>
    <col min="1" max="1" width="6.1640625" customWidth="1"/>
    <col min="2" max="2" width="24.5" customWidth="1"/>
    <col min="5" max="5" width="11.33203125" bestFit="1" customWidth="1"/>
    <col min="6" max="8" width="9.33203125" bestFit="1" customWidth="1"/>
    <col min="9" max="9" width="11.1640625" customWidth="1"/>
    <col min="10" max="10" width="14" customWidth="1"/>
    <col min="11" max="11" width="11.83203125" customWidth="1"/>
  </cols>
  <sheetData>
    <row r="1" spans="1:11" x14ac:dyDescent="0.2">
      <c r="A1" s="5" t="s">
        <v>1086</v>
      </c>
    </row>
    <row r="8" spans="1:11" ht="17" x14ac:dyDescent="0.2">
      <c r="A8" s="158" t="s">
        <v>0</v>
      </c>
    </row>
    <row r="9" spans="1:11" ht="17" x14ac:dyDescent="0.2">
      <c r="A9" s="49" t="s">
        <v>69</v>
      </c>
    </row>
    <row r="10" spans="1:11" ht="16.5" customHeight="1" x14ac:dyDescent="0.2">
      <c r="A10" s="49"/>
      <c r="I10" s="2" t="s">
        <v>11</v>
      </c>
      <c r="J10" s="487">
        <v>42323</v>
      </c>
      <c r="K10" s="487"/>
    </row>
    <row r="11" spans="1:11" s="58" customFormat="1" ht="23.25" customHeight="1" x14ac:dyDescent="0.15">
      <c r="A11" s="50"/>
      <c r="B11" s="51"/>
      <c r="C11" s="52">
        <v>69435</v>
      </c>
      <c r="D11" s="53" t="s">
        <v>35</v>
      </c>
      <c r="E11" s="54">
        <v>580.70545646999994</v>
      </c>
      <c r="F11" s="55" t="s">
        <v>36</v>
      </c>
      <c r="G11" s="55" t="s">
        <v>27</v>
      </c>
      <c r="H11" s="55" t="s">
        <v>37</v>
      </c>
      <c r="I11" s="56" t="s">
        <v>38</v>
      </c>
      <c r="J11" s="56" t="s">
        <v>39</v>
      </c>
      <c r="K11" s="57" t="s">
        <v>40</v>
      </c>
    </row>
    <row r="12" spans="1:11" ht="13.5" customHeight="1" x14ac:dyDescent="0.2">
      <c r="A12" s="59" t="s">
        <v>84</v>
      </c>
      <c r="B12" s="60" t="s">
        <v>74</v>
      </c>
      <c r="C12" s="61" t="s">
        <v>6</v>
      </c>
      <c r="D12" s="62">
        <v>0.02</v>
      </c>
      <c r="E12" s="63">
        <f>$E$11*D12</f>
        <v>11.614109129399999</v>
      </c>
      <c r="F12" s="64">
        <f t="shared" ref="F12:F25" si="0">G12+H12</f>
        <v>34718</v>
      </c>
      <c r="G12" s="64"/>
      <c r="H12" s="64">
        <v>34718</v>
      </c>
      <c r="I12" s="168">
        <f>H12*E12</f>
        <v>403218.64075450919</v>
      </c>
      <c r="J12" s="169">
        <f t="shared" ref="J12:J25" si="1">G12*E12</f>
        <v>0</v>
      </c>
      <c r="K12" s="170">
        <f t="shared" ref="K12:K25" si="2">SUM(I12:J12)</f>
        <v>403218.64075450919</v>
      </c>
    </row>
    <row r="13" spans="1:11" ht="13.5" customHeight="1" x14ac:dyDescent="0.2">
      <c r="A13" s="65"/>
      <c r="B13" s="156" t="s">
        <v>75</v>
      </c>
      <c r="C13" s="71" t="s">
        <v>6</v>
      </c>
      <c r="D13" s="68">
        <v>0.08</v>
      </c>
      <c r="E13" s="69">
        <f>$E$11*D13</f>
        <v>46.456436517599997</v>
      </c>
      <c r="F13" s="70">
        <f t="shared" si="0"/>
        <v>0</v>
      </c>
      <c r="G13" s="70"/>
      <c r="H13" s="70"/>
      <c r="I13" s="171">
        <f>H13*E13</f>
        <v>0</v>
      </c>
      <c r="J13" s="172">
        <f t="shared" si="1"/>
        <v>0</v>
      </c>
      <c r="K13" s="173">
        <f t="shared" si="2"/>
        <v>0</v>
      </c>
    </row>
    <row r="14" spans="1:11" ht="13.5" customHeight="1" x14ac:dyDescent="0.2">
      <c r="A14" s="65"/>
      <c r="B14" s="66" t="s">
        <v>217</v>
      </c>
      <c r="C14" s="67" t="s">
        <v>6</v>
      </c>
      <c r="D14" s="68">
        <v>7.0000000000000007E-2</v>
      </c>
      <c r="E14" s="69">
        <f>$E$11*D14</f>
        <v>40.649381952900001</v>
      </c>
      <c r="F14" s="70">
        <f t="shared" si="0"/>
        <v>0</v>
      </c>
      <c r="G14" s="70"/>
      <c r="H14" s="70"/>
      <c r="I14" s="171">
        <f t="shared" ref="I14:I25" si="3">H14*E14</f>
        <v>0</v>
      </c>
      <c r="J14" s="172">
        <f t="shared" si="1"/>
        <v>0</v>
      </c>
      <c r="K14" s="173">
        <f t="shared" si="2"/>
        <v>0</v>
      </c>
    </row>
    <row r="15" spans="1:11" ht="13.5" customHeight="1" x14ac:dyDescent="0.2">
      <c r="A15" s="65"/>
      <c r="B15" s="66" t="s">
        <v>41</v>
      </c>
      <c r="C15" s="67" t="s">
        <v>6</v>
      </c>
      <c r="D15" s="68">
        <v>7.0000000000000007E-2</v>
      </c>
      <c r="E15" s="69">
        <f t="shared" ref="E15:E25" si="4">$E$11*D15</f>
        <v>40.649381952900001</v>
      </c>
      <c r="F15" s="70">
        <f t="shared" si="0"/>
        <v>0</v>
      </c>
      <c r="G15" s="70"/>
      <c r="H15" s="70"/>
      <c r="I15" s="171">
        <f t="shared" si="3"/>
        <v>0</v>
      </c>
      <c r="J15" s="172">
        <f t="shared" si="1"/>
        <v>0</v>
      </c>
      <c r="K15" s="173">
        <f t="shared" si="2"/>
        <v>0</v>
      </c>
    </row>
    <row r="16" spans="1:11" ht="13.5" customHeight="1" x14ac:dyDescent="0.2">
      <c r="A16" s="65"/>
      <c r="B16" s="66" t="s">
        <v>42</v>
      </c>
      <c r="C16" s="67" t="s">
        <v>6</v>
      </c>
      <c r="D16" s="68">
        <v>0.17</v>
      </c>
      <c r="E16" s="69">
        <f t="shared" si="4"/>
        <v>98.719927599900004</v>
      </c>
      <c r="F16" s="70">
        <f t="shared" si="0"/>
        <v>0</v>
      </c>
      <c r="G16" s="70"/>
      <c r="H16" s="70"/>
      <c r="I16" s="171">
        <f t="shared" si="3"/>
        <v>0</v>
      </c>
      <c r="J16" s="172">
        <f t="shared" si="1"/>
        <v>0</v>
      </c>
      <c r="K16" s="173">
        <f t="shared" si="2"/>
        <v>0</v>
      </c>
    </row>
    <row r="17" spans="1:11" ht="13.5" customHeight="1" x14ac:dyDescent="0.2">
      <c r="A17" s="65"/>
      <c r="B17" s="66" t="s">
        <v>76</v>
      </c>
      <c r="C17" s="67" t="s">
        <v>6</v>
      </c>
      <c r="D17" s="68">
        <v>0.08</v>
      </c>
      <c r="E17" s="69">
        <f t="shared" si="4"/>
        <v>46.456436517599997</v>
      </c>
      <c r="F17" s="70">
        <f t="shared" si="0"/>
        <v>0</v>
      </c>
      <c r="G17" s="70"/>
      <c r="H17" s="70"/>
      <c r="I17" s="171">
        <f t="shared" si="3"/>
        <v>0</v>
      </c>
      <c r="J17" s="172">
        <f t="shared" si="1"/>
        <v>0</v>
      </c>
      <c r="K17" s="173">
        <f t="shared" si="2"/>
        <v>0</v>
      </c>
    </row>
    <row r="18" spans="1:11" ht="13.5" customHeight="1" x14ac:dyDescent="0.2">
      <c r="A18" s="65"/>
      <c r="B18" s="66" t="s">
        <v>77</v>
      </c>
      <c r="C18" s="67" t="s">
        <v>6</v>
      </c>
      <c r="D18" s="68">
        <v>7.0000000000000007E-2</v>
      </c>
      <c r="E18" s="69">
        <f t="shared" si="4"/>
        <v>40.649381952900001</v>
      </c>
      <c r="F18" s="70">
        <f t="shared" si="0"/>
        <v>0</v>
      </c>
      <c r="G18" s="70"/>
      <c r="H18" s="70"/>
      <c r="I18" s="171">
        <f t="shared" si="3"/>
        <v>0</v>
      </c>
      <c r="J18" s="172">
        <f t="shared" si="1"/>
        <v>0</v>
      </c>
      <c r="K18" s="173">
        <f t="shared" si="2"/>
        <v>0</v>
      </c>
    </row>
    <row r="19" spans="1:11" ht="13.5" customHeight="1" x14ac:dyDescent="0.2">
      <c r="A19" s="65"/>
      <c r="B19" s="66" t="s">
        <v>43</v>
      </c>
      <c r="C19" s="67" t="s">
        <v>6</v>
      </c>
      <c r="D19" s="68">
        <v>0.08</v>
      </c>
      <c r="E19" s="69">
        <f t="shared" si="4"/>
        <v>46.456436517599997</v>
      </c>
      <c r="F19" s="70">
        <f t="shared" si="0"/>
        <v>0</v>
      </c>
      <c r="G19" s="70"/>
      <c r="H19" s="70"/>
      <c r="I19" s="171">
        <f>H19*E19</f>
        <v>0</v>
      </c>
      <c r="J19" s="172">
        <f>G19*E19</f>
        <v>0</v>
      </c>
      <c r="K19" s="173">
        <f>SUM(I19:J19)</f>
        <v>0</v>
      </c>
    </row>
    <row r="20" spans="1:11" ht="13.5" customHeight="1" x14ac:dyDescent="0.2">
      <c r="A20" s="65"/>
      <c r="B20" s="66" t="s">
        <v>78</v>
      </c>
      <c r="C20" s="67" t="s">
        <v>6</v>
      </c>
      <c r="D20" s="68">
        <v>7.0000000000000007E-2</v>
      </c>
      <c r="E20" s="69">
        <f t="shared" si="4"/>
        <v>40.649381952900001</v>
      </c>
      <c r="F20" s="70">
        <f t="shared" si="0"/>
        <v>0</v>
      </c>
      <c r="G20" s="70"/>
      <c r="H20" s="70"/>
      <c r="I20" s="171">
        <f t="shared" si="3"/>
        <v>0</v>
      </c>
      <c r="J20" s="172">
        <f t="shared" si="1"/>
        <v>0</v>
      </c>
      <c r="K20" s="173">
        <f t="shared" si="2"/>
        <v>0</v>
      </c>
    </row>
    <row r="21" spans="1:11" ht="13.5" customHeight="1" x14ac:dyDescent="0.2">
      <c r="A21" s="65"/>
      <c r="B21" s="66" t="s">
        <v>44</v>
      </c>
      <c r="C21" s="67" t="s">
        <v>6</v>
      </c>
      <c r="D21" s="68">
        <v>7.0000000000000007E-2</v>
      </c>
      <c r="E21" s="69">
        <f t="shared" si="4"/>
        <v>40.649381952900001</v>
      </c>
      <c r="F21" s="70">
        <f t="shared" si="0"/>
        <v>0</v>
      </c>
      <c r="G21" s="70"/>
      <c r="H21" s="70"/>
      <c r="I21" s="171">
        <f t="shared" si="3"/>
        <v>0</v>
      </c>
      <c r="J21" s="172">
        <f t="shared" si="1"/>
        <v>0</v>
      </c>
      <c r="K21" s="173">
        <f t="shared" si="2"/>
        <v>0</v>
      </c>
    </row>
    <row r="22" spans="1:11" ht="13.5" customHeight="1" x14ac:dyDescent="0.2">
      <c r="A22" s="65"/>
      <c r="B22" s="66" t="s">
        <v>79</v>
      </c>
      <c r="C22" s="67" t="s">
        <v>6</v>
      </c>
      <c r="D22" s="68">
        <v>0.05</v>
      </c>
      <c r="E22" s="69">
        <f t="shared" si="4"/>
        <v>29.035272823499998</v>
      </c>
      <c r="F22" s="70">
        <f t="shared" si="0"/>
        <v>0</v>
      </c>
      <c r="G22" s="70"/>
      <c r="H22" s="70"/>
      <c r="I22" s="171">
        <f t="shared" si="3"/>
        <v>0</v>
      </c>
      <c r="J22" s="172">
        <f t="shared" si="1"/>
        <v>0</v>
      </c>
      <c r="K22" s="173">
        <f t="shared" si="2"/>
        <v>0</v>
      </c>
    </row>
    <row r="23" spans="1:11" ht="13.5" customHeight="1" x14ac:dyDescent="0.2">
      <c r="A23" s="65"/>
      <c r="B23" s="66" t="s">
        <v>80</v>
      </c>
      <c r="C23" s="71" t="s">
        <v>6</v>
      </c>
      <c r="D23" s="68">
        <v>0.09</v>
      </c>
      <c r="E23" s="69">
        <f t="shared" si="4"/>
        <v>52.263491082299993</v>
      </c>
      <c r="F23" s="70">
        <f t="shared" si="0"/>
        <v>0</v>
      </c>
      <c r="G23" s="70"/>
      <c r="H23" s="70"/>
      <c r="I23" s="171">
        <f t="shared" si="3"/>
        <v>0</v>
      </c>
      <c r="J23" s="172">
        <f t="shared" si="1"/>
        <v>0</v>
      </c>
      <c r="K23" s="173">
        <f t="shared" si="2"/>
        <v>0</v>
      </c>
    </row>
    <row r="24" spans="1:11" ht="13.5" customHeight="1" x14ac:dyDescent="0.2">
      <c r="A24" s="65"/>
      <c r="B24" s="156" t="s">
        <v>81</v>
      </c>
      <c r="C24" s="71" t="s">
        <v>6</v>
      </c>
      <c r="D24" s="68">
        <v>0.02</v>
      </c>
      <c r="E24" s="69">
        <f>$E$11*D24</f>
        <v>11.614109129399999</v>
      </c>
      <c r="F24" s="70">
        <f t="shared" si="0"/>
        <v>0</v>
      </c>
      <c r="G24" s="70"/>
      <c r="H24" s="70"/>
      <c r="I24" s="171">
        <f>H24*E24</f>
        <v>0</v>
      </c>
      <c r="J24" s="172">
        <f t="shared" si="1"/>
        <v>0</v>
      </c>
      <c r="K24" s="173">
        <f t="shared" si="2"/>
        <v>0</v>
      </c>
    </row>
    <row r="25" spans="1:11" ht="13.5" customHeight="1" thickBot="1" x14ac:dyDescent="0.25">
      <c r="A25" s="65"/>
      <c r="B25" s="66" t="s">
        <v>82</v>
      </c>
      <c r="C25" s="71" t="s">
        <v>6</v>
      </c>
      <c r="D25" s="68">
        <v>0.06</v>
      </c>
      <c r="E25" s="69">
        <f t="shared" si="4"/>
        <v>34.842327388199998</v>
      </c>
      <c r="F25" s="70">
        <f t="shared" si="0"/>
        <v>0</v>
      </c>
      <c r="G25" s="70"/>
      <c r="H25" s="70"/>
      <c r="I25" s="171">
        <f t="shared" si="3"/>
        <v>0</v>
      </c>
      <c r="J25" s="172">
        <f t="shared" si="1"/>
        <v>0</v>
      </c>
      <c r="K25" s="173">
        <f t="shared" si="2"/>
        <v>0</v>
      </c>
    </row>
    <row r="26" spans="1:11" ht="13.5" customHeight="1" x14ac:dyDescent="0.2">
      <c r="A26" s="72"/>
      <c r="B26" s="73"/>
      <c r="C26" s="74"/>
      <c r="D26" s="75">
        <f>SUM(D12:D25)</f>
        <v>1</v>
      </c>
      <c r="E26" s="76">
        <f>SUM(E12:E25)</f>
        <v>580.70545647000006</v>
      </c>
      <c r="F26" s="77"/>
      <c r="G26" s="77"/>
      <c r="H26" s="78" t="s">
        <v>83</v>
      </c>
      <c r="I26" s="174">
        <f>SUM(I12:I25)</f>
        <v>403218.64075450919</v>
      </c>
      <c r="J26" s="174">
        <f>SUM(J12:J25)</f>
        <v>0</v>
      </c>
      <c r="K26" s="175">
        <f>SUM(K12:K25)</f>
        <v>403218.64075450919</v>
      </c>
    </row>
    <row r="27" spans="1:11" ht="9.75" customHeight="1" x14ac:dyDescent="0.2">
      <c r="A27" s="79"/>
      <c r="B27" s="80"/>
      <c r="C27" s="81"/>
      <c r="D27" s="82"/>
      <c r="E27" s="83"/>
      <c r="F27" s="84"/>
      <c r="G27" s="84"/>
      <c r="H27" s="85"/>
      <c r="I27" s="176"/>
      <c r="J27" s="176"/>
      <c r="K27" s="176"/>
    </row>
    <row r="28" spans="1:11" ht="11.25" customHeight="1" x14ac:dyDescent="0.2">
      <c r="D28" s="86"/>
      <c r="E28" s="87"/>
      <c r="F28" s="88"/>
      <c r="G28" s="88"/>
      <c r="H28" s="89"/>
      <c r="I28" s="177"/>
      <c r="J28" s="177"/>
      <c r="K28" s="177"/>
    </row>
    <row r="29" spans="1:11" ht="13.5" customHeight="1" x14ac:dyDescent="0.2">
      <c r="A29" s="4" t="s">
        <v>1082</v>
      </c>
      <c r="D29" s="90"/>
      <c r="E29" s="91"/>
      <c r="F29" s="92"/>
      <c r="G29" s="88"/>
      <c r="H29" s="89"/>
      <c r="I29" s="177"/>
      <c r="J29" s="177"/>
      <c r="K29" s="177"/>
    </row>
    <row r="30" spans="1:11" ht="13.5" customHeight="1" x14ac:dyDescent="0.2">
      <c r="A30" s="79"/>
      <c r="B30" s="80"/>
      <c r="C30" s="81"/>
      <c r="D30" s="82"/>
      <c r="E30" s="83"/>
      <c r="F30" s="93"/>
      <c r="G30" s="93"/>
      <c r="H30" s="94"/>
      <c r="I30" s="95"/>
      <c r="J30" s="95"/>
      <c r="K30" s="95"/>
    </row>
    <row r="31" spans="1:11" ht="13.5" customHeight="1" x14ac:dyDescent="0.2">
      <c r="A31" s="79"/>
      <c r="B31" s="80"/>
      <c r="C31" s="81"/>
      <c r="D31" s="82"/>
      <c r="E31" s="83"/>
      <c r="F31" s="93"/>
      <c r="G31" s="93"/>
      <c r="H31" s="94"/>
      <c r="I31" s="95"/>
      <c r="J31" s="95"/>
      <c r="K31" s="95"/>
    </row>
    <row r="32" spans="1:11" ht="13.5" customHeight="1" x14ac:dyDescent="0.2">
      <c r="A32" s="79"/>
      <c r="C32" s="81"/>
      <c r="D32" s="82"/>
      <c r="E32" s="83"/>
      <c r="F32" s="93"/>
      <c r="G32" s="93"/>
      <c r="I32" s="95"/>
      <c r="J32" s="95"/>
      <c r="K32" s="95"/>
    </row>
    <row r="33" spans="1:11" x14ac:dyDescent="0.2">
      <c r="A33" s="79"/>
      <c r="B33" s="80"/>
      <c r="C33" s="81"/>
      <c r="D33" s="82"/>
      <c r="E33" s="83"/>
      <c r="F33" s="93"/>
      <c r="G33" s="93"/>
      <c r="I33" s="488"/>
      <c r="J33" s="488"/>
      <c r="K33" s="488"/>
    </row>
    <row r="34" spans="1:11" x14ac:dyDescent="0.2">
      <c r="A34" s="79"/>
      <c r="B34" s="80"/>
      <c r="C34" s="81"/>
      <c r="D34" s="82"/>
      <c r="E34" s="83"/>
      <c r="F34" s="93"/>
      <c r="G34" s="93"/>
      <c r="H34" s="94"/>
      <c r="I34" s="489" t="s">
        <v>71</v>
      </c>
      <c r="J34" s="489"/>
      <c r="K34" s="489"/>
    </row>
    <row r="35" spans="1:11" x14ac:dyDescent="0.2">
      <c r="I35" s="96"/>
      <c r="J35" s="96"/>
      <c r="K35" s="95"/>
    </row>
    <row r="36" spans="1:11" x14ac:dyDescent="0.2">
      <c r="A36" s="5" t="s">
        <v>1085</v>
      </c>
    </row>
    <row r="43" spans="1:11" ht="17" x14ac:dyDescent="0.2">
      <c r="A43" s="158" t="s">
        <v>0</v>
      </c>
    </row>
    <row r="44" spans="1:11" ht="17" x14ac:dyDescent="0.2">
      <c r="A44" s="49" t="s">
        <v>69</v>
      </c>
    </row>
    <row r="45" spans="1:11" ht="16.5" customHeight="1" x14ac:dyDescent="0.2">
      <c r="A45" s="49"/>
      <c r="I45" s="2" t="s">
        <v>11</v>
      </c>
      <c r="J45" s="487">
        <v>42338</v>
      </c>
      <c r="K45" s="487"/>
    </row>
    <row r="46" spans="1:11" s="58" customFormat="1" ht="23.25" customHeight="1" x14ac:dyDescent="0.15">
      <c r="A46" s="50"/>
      <c r="B46" s="51"/>
      <c r="C46" s="52">
        <v>69435</v>
      </c>
      <c r="D46" s="53" t="s">
        <v>35</v>
      </c>
      <c r="E46" s="54">
        <v>580.70545646999994</v>
      </c>
      <c r="F46" s="55" t="s">
        <v>36</v>
      </c>
      <c r="G46" s="55" t="s">
        <v>27</v>
      </c>
      <c r="H46" s="55" t="s">
        <v>37</v>
      </c>
      <c r="I46" s="56" t="s">
        <v>38</v>
      </c>
      <c r="J46" s="56" t="s">
        <v>39</v>
      </c>
      <c r="K46" s="57" t="s">
        <v>40</v>
      </c>
    </row>
    <row r="47" spans="1:11" ht="13.5" customHeight="1" x14ac:dyDescent="0.2">
      <c r="A47" s="59" t="s">
        <v>84</v>
      </c>
      <c r="B47" s="60" t="s">
        <v>74</v>
      </c>
      <c r="C47" s="61" t="s">
        <v>6</v>
      </c>
      <c r="D47" s="62">
        <v>0.02</v>
      </c>
      <c r="E47" s="63">
        <f>$E$11*D47</f>
        <v>11.614109129399999</v>
      </c>
      <c r="F47" s="64">
        <f t="shared" ref="F47:F60" si="5">G47+H47</f>
        <v>69435</v>
      </c>
      <c r="G47" s="64">
        <v>34718</v>
      </c>
      <c r="H47" s="64">
        <v>34717</v>
      </c>
      <c r="I47" s="168">
        <f>H47*E47</f>
        <v>403207.02664537978</v>
      </c>
      <c r="J47" s="169">
        <f t="shared" ref="J47:J53" si="6">G47*E47</f>
        <v>403218.64075450919</v>
      </c>
      <c r="K47" s="170">
        <f t="shared" ref="K47:K53" si="7">SUM(I47:J47)</f>
        <v>806425.66739988897</v>
      </c>
    </row>
    <row r="48" spans="1:11" ht="13.5" customHeight="1" x14ac:dyDescent="0.2">
      <c r="A48" s="65"/>
      <c r="B48" s="156" t="s">
        <v>75</v>
      </c>
      <c r="C48" s="71" t="s">
        <v>6</v>
      </c>
      <c r="D48" s="68">
        <v>0.08</v>
      </c>
      <c r="E48" s="69">
        <f>$E$11*D48</f>
        <v>46.456436517599997</v>
      </c>
      <c r="F48" s="70">
        <f t="shared" si="5"/>
        <v>5300</v>
      </c>
      <c r="G48" s="70"/>
      <c r="H48" s="70">
        <v>5300</v>
      </c>
      <c r="I48" s="171">
        <f>H48*E48</f>
        <v>246219.11354327999</v>
      </c>
      <c r="J48" s="172">
        <f t="shared" si="6"/>
        <v>0</v>
      </c>
      <c r="K48" s="173">
        <f t="shared" si="7"/>
        <v>246219.11354327999</v>
      </c>
    </row>
    <row r="49" spans="1:11" ht="13.5" customHeight="1" x14ac:dyDescent="0.2">
      <c r="A49" s="65"/>
      <c r="B49" s="66" t="s">
        <v>217</v>
      </c>
      <c r="C49" s="67" t="s">
        <v>6</v>
      </c>
      <c r="D49" s="68">
        <v>7.0000000000000007E-2</v>
      </c>
      <c r="E49" s="69">
        <f>$E$11*D49</f>
        <v>40.649381952900001</v>
      </c>
      <c r="F49" s="70">
        <f t="shared" si="5"/>
        <v>400</v>
      </c>
      <c r="G49" s="70"/>
      <c r="H49" s="70">
        <v>400</v>
      </c>
      <c r="I49" s="171">
        <f t="shared" ref="I49:I53" si="8">H49*E49</f>
        <v>16259.752781160001</v>
      </c>
      <c r="J49" s="172">
        <f t="shared" si="6"/>
        <v>0</v>
      </c>
      <c r="K49" s="173">
        <f t="shared" si="7"/>
        <v>16259.752781160001</v>
      </c>
    </row>
    <row r="50" spans="1:11" ht="13.5" customHeight="1" x14ac:dyDescent="0.2">
      <c r="A50" s="65"/>
      <c r="B50" s="66" t="s">
        <v>41</v>
      </c>
      <c r="C50" s="67" t="s">
        <v>6</v>
      </c>
      <c r="D50" s="68">
        <v>7.0000000000000007E-2</v>
      </c>
      <c r="E50" s="69">
        <f t="shared" ref="E50:E58" si="9">$E$11*D50</f>
        <v>40.649381952900001</v>
      </c>
      <c r="F50" s="70">
        <f t="shared" si="5"/>
        <v>0</v>
      </c>
      <c r="G50" s="70"/>
      <c r="H50" s="70"/>
      <c r="I50" s="171">
        <f t="shared" si="8"/>
        <v>0</v>
      </c>
      <c r="J50" s="172">
        <f t="shared" si="6"/>
        <v>0</v>
      </c>
      <c r="K50" s="173">
        <f t="shared" si="7"/>
        <v>0</v>
      </c>
    </row>
    <row r="51" spans="1:11" ht="13.5" customHeight="1" x14ac:dyDescent="0.2">
      <c r="A51" s="65"/>
      <c r="B51" s="66" t="s">
        <v>42</v>
      </c>
      <c r="C51" s="67" t="s">
        <v>6</v>
      </c>
      <c r="D51" s="68">
        <v>0.17</v>
      </c>
      <c r="E51" s="69">
        <f t="shared" si="9"/>
        <v>98.719927599900004</v>
      </c>
      <c r="F51" s="70">
        <f t="shared" si="5"/>
        <v>0</v>
      </c>
      <c r="G51" s="70"/>
      <c r="H51" s="70"/>
      <c r="I51" s="171">
        <f t="shared" si="8"/>
        <v>0</v>
      </c>
      <c r="J51" s="172">
        <f t="shared" si="6"/>
        <v>0</v>
      </c>
      <c r="K51" s="173">
        <f t="shared" si="7"/>
        <v>0</v>
      </c>
    </row>
    <row r="52" spans="1:11" ht="13.5" customHeight="1" x14ac:dyDescent="0.2">
      <c r="A52" s="65"/>
      <c r="B52" s="66" t="s">
        <v>76</v>
      </c>
      <c r="C52" s="67" t="s">
        <v>6</v>
      </c>
      <c r="D52" s="68">
        <v>0.08</v>
      </c>
      <c r="E52" s="69">
        <f t="shared" si="9"/>
        <v>46.456436517599997</v>
      </c>
      <c r="F52" s="70">
        <f t="shared" si="5"/>
        <v>0</v>
      </c>
      <c r="G52" s="70"/>
      <c r="H52" s="70"/>
      <c r="I52" s="171">
        <f t="shared" si="8"/>
        <v>0</v>
      </c>
      <c r="J52" s="172">
        <f t="shared" si="6"/>
        <v>0</v>
      </c>
      <c r="K52" s="173">
        <f t="shared" si="7"/>
        <v>0</v>
      </c>
    </row>
    <row r="53" spans="1:11" ht="13.5" customHeight="1" x14ac:dyDescent="0.2">
      <c r="A53" s="65"/>
      <c r="B53" s="66" t="s">
        <v>77</v>
      </c>
      <c r="C53" s="67" t="s">
        <v>6</v>
      </c>
      <c r="D53" s="68">
        <v>7.0000000000000007E-2</v>
      </c>
      <c r="E53" s="69">
        <f t="shared" si="9"/>
        <v>40.649381952900001</v>
      </c>
      <c r="F53" s="70">
        <f t="shared" si="5"/>
        <v>0</v>
      </c>
      <c r="G53" s="70"/>
      <c r="H53" s="70"/>
      <c r="I53" s="171">
        <f t="shared" si="8"/>
        <v>0</v>
      </c>
      <c r="J53" s="172">
        <f t="shared" si="6"/>
        <v>0</v>
      </c>
      <c r="K53" s="173">
        <f t="shared" si="7"/>
        <v>0</v>
      </c>
    </row>
    <row r="54" spans="1:11" ht="13.5" customHeight="1" x14ac:dyDescent="0.2">
      <c r="A54" s="65"/>
      <c r="B54" s="66" t="s">
        <v>43</v>
      </c>
      <c r="C54" s="67" t="s">
        <v>6</v>
      </c>
      <c r="D54" s="68">
        <v>0.08</v>
      </c>
      <c r="E54" s="69">
        <f t="shared" si="9"/>
        <v>46.456436517599997</v>
      </c>
      <c r="F54" s="70">
        <f t="shared" si="5"/>
        <v>0</v>
      </c>
      <c r="G54" s="70"/>
      <c r="H54" s="70"/>
      <c r="I54" s="171">
        <f>H54*E54</f>
        <v>0</v>
      </c>
      <c r="J54" s="172">
        <f>G54*E54</f>
        <v>0</v>
      </c>
      <c r="K54" s="173">
        <f>SUM(I54:J54)</f>
        <v>0</v>
      </c>
    </row>
    <row r="55" spans="1:11" ht="13.5" customHeight="1" x14ac:dyDescent="0.2">
      <c r="A55" s="65"/>
      <c r="B55" s="66" t="s">
        <v>78</v>
      </c>
      <c r="C55" s="67" t="s">
        <v>6</v>
      </c>
      <c r="D55" s="68">
        <v>7.0000000000000007E-2</v>
      </c>
      <c r="E55" s="69">
        <f t="shared" si="9"/>
        <v>40.649381952900001</v>
      </c>
      <c r="F55" s="70">
        <f t="shared" si="5"/>
        <v>0</v>
      </c>
      <c r="G55" s="70"/>
      <c r="H55" s="70"/>
      <c r="I55" s="171">
        <f t="shared" ref="I55:I58" si="10">H55*E55</f>
        <v>0</v>
      </c>
      <c r="J55" s="172">
        <f t="shared" ref="J55:J60" si="11">G55*E55</f>
        <v>0</v>
      </c>
      <c r="K55" s="173">
        <f t="shared" ref="K55:K60" si="12">SUM(I55:J55)</f>
        <v>0</v>
      </c>
    </row>
    <row r="56" spans="1:11" ht="13.5" customHeight="1" x14ac:dyDescent="0.2">
      <c r="A56" s="65"/>
      <c r="B56" s="66" t="s">
        <v>44</v>
      </c>
      <c r="C56" s="67" t="s">
        <v>6</v>
      </c>
      <c r="D56" s="68">
        <v>7.0000000000000007E-2</v>
      </c>
      <c r="E56" s="69">
        <f t="shared" si="9"/>
        <v>40.649381952900001</v>
      </c>
      <c r="F56" s="70">
        <f t="shared" si="5"/>
        <v>0</v>
      </c>
      <c r="G56" s="70"/>
      <c r="H56" s="70"/>
      <c r="I56" s="171">
        <f t="shared" si="10"/>
        <v>0</v>
      </c>
      <c r="J56" s="172">
        <f t="shared" si="11"/>
        <v>0</v>
      </c>
      <c r="K56" s="173">
        <f t="shared" si="12"/>
        <v>0</v>
      </c>
    </row>
    <row r="57" spans="1:11" ht="13.5" customHeight="1" x14ac:dyDescent="0.2">
      <c r="A57" s="65"/>
      <c r="B57" s="66" t="s">
        <v>79</v>
      </c>
      <c r="C57" s="67" t="s">
        <v>6</v>
      </c>
      <c r="D57" s="68">
        <v>0.05</v>
      </c>
      <c r="E57" s="69">
        <f t="shared" si="9"/>
        <v>29.035272823499998</v>
      </c>
      <c r="F57" s="70">
        <f t="shared" si="5"/>
        <v>0</v>
      </c>
      <c r="G57" s="70"/>
      <c r="H57" s="70"/>
      <c r="I57" s="171">
        <f t="shared" si="10"/>
        <v>0</v>
      </c>
      <c r="J57" s="172">
        <f t="shared" si="11"/>
        <v>0</v>
      </c>
      <c r="K57" s="173">
        <f t="shared" si="12"/>
        <v>0</v>
      </c>
    </row>
    <row r="58" spans="1:11" ht="13.5" customHeight="1" x14ac:dyDescent="0.2">
      <c r="A58" s="65"/>
      <c r="B58" s="66" t="s">
        <v>80</v>
      </c>
      <c r="C58" s="71" t="s">
        <v>6</v>
      </c>
      <c r="D58" s="68">
        <v>0.09</v>
      </c>
      <c r="E58" s="69">
        <f t="shared" si="9"/>
        <v>52.263491082299993</v>
      </c>
      <c r="F58" s="70">
        <f t="shared" si="5"/>
        <v>0</v>
      </c>
      <c r="G58" s="70"/>
      <c r="H58" s="70"/>
      <c r="I58" s="171">
        <f t="shared" si="10"/>
        <v>0</v>
      </c>
      <c r="J58" s="172">
        <f t="shared" si="11"/>
        <v>0</v>
      </c>
      <c r="K58" s="173">
        <f t="shared" si="12"/>
        <v>0</v>
      </c>
    </row>
    <row r="59" spans="1:11" ht="13.5" customHeight="1" x14ac:dyDescent="0.2">
      <c r="A59" s="65"/>
      <c r="B59" s="156" t="s">
        <v>81</v>
      </c>
      <c r="C59" s="71" t="s">
        <v>6</v>
      </c>
      <c r="D59" s="68">
        <v>0.02</v>
      </c>
      <c r="E59" s="69">
        <f>$E$11*D59</f>
        <v>11.614109129399999</v>
      </c>
      <c r="F59" s="70">
        <f t="shared" si="5"/>
        <v>0</v>
      </c>
      <c r="G59" s="70"/>
      <c r="H59" s="70"/>
      <c r="I59" s="171">
        <f>H59*E59</f>
        <v>0</v>
      </c>
      <c r="J59" s="172">
        <f t="shared" si="11"/>
        <v>0</v>
      </c>
      <c r="K59" s="173">
        <f t="shared" si="12"/>
        <v>0</v>
      </c>
    </row>
    <row r="60" spans="1:11" ht="13.5" customHeight="1" thickBot="1" x14ac:dyDescent="0.25">
      <c r="A60" s="65"/>
      <c r="B60" s="66" t="s">
        <v>82</v>
      </c>
      <c r="C60" s="71" t="s">
        <v>6</v>
      </c>
      <c r="D60" s="68">
        <v>0.06</v>
      </c>
      <c r="E60" s="69">
        <f t="shared" ref="E60" si="13">$E$11*D60</f>
        <v>34.842327388199998</v>
      </c>
      <c r="F60" s="70">
        <f t="shared" si="5"/>
        <v>0</v>
      </c>
      <c r="G60" s="70"/>
      <c r="H60" s="70"/>
      <c r="I60" s="171">
        <f t="shared" ref="I60" si="14">H60*E60</f>
        <v>0</v>
      </c>
      <c r="J60" s="172">
        <f t="shared" si="11"/>
        <v>0</v>
      </c>
      <c r="K60" s="173">
        <f t="shared" si="12"/>
        <v>0</v>
      </c>
    </row>
    <row r="61" spans="1:11" ht="13.5" customHeight="1" x14ac:dyDescent="0.2">
      <c r="A61" s="72"/>
      <c r="B61" s="73"/>
      <c r="C61" s="74"/>
      <c r="D61" s="75">
        <f>SUM(D47:D60)</f>
        <v>1</v>
      </c>
      <c r="E61" s="76">
        <f>SUM(E47:E60)</f>
        <v>580.70545647000006</v>
      </c>
      <c r="F61" s="77"/>
      <c r="G61" s="77"/>
      <c r="H61" s="78" t="s">
        <v>83</v>
      </c>
      <c r="I61" s="174">
        <f>SUM(I47:I60)</f>
        <v>665685.89296981972</v>
      </c>
      <c r="J61" s="174">
        <f>SUM(J47:J60)</f>
        <v>403218.64075450919</v>
      </c>
      <c r="K61" s="175">
        <f>SUM(K47:K60)</f>
        <v>1068904.533724329</v>
      </c>
    </row>
    <row r="62" spans="1:11" ht="9.75" customHeight="1" x14ac:dyDescent="0.2">
      <c r="A62" s="79"/>
      <c r="B62" s="80"/>
      <c r="C62" s="81"/>
      <c r="D62" s="82"/>
      <c r="E62" s="83"/>
      <c r="F62" s="84"/>
      <c r="G62" s="84"/>
      <c r="H62" s="85"/>
      <c r="I62" s="176"/>
      <c r="J62" s="176"/>
      <c r="K62" s="176"/>
    </row>
    <row r="63" spans="1:11" ht="11.25" customHeight="1" x14ac:dyDescent="0.2">
      <c r="D63" s="86"/>
      <c r="E63" s="87"/>
      <c r="F63" s="88"/>
      <c r="G63" s="88"/>
      <c r="H63" s="89"/>
      <c r="I63" s="177"/>
      <c r="J63" s="177"/>
      <c r="K63" s="177"/>
    </row>
    <row r="64" spans="1:11" ht="13.5" customHeight="1" x14ac:dyDescent="0.2">
      <c r="A64" s="4" t="s">
        <v>1082</v>
      </c>
      <c r="D64" s="90"/>
      <c r="E64" s="91"/>
      <c r="F64" s="92"/>
      <c r="G64" s="88"/>
      <c r="H64" s="89"/>
      <c r="I64" s="177"/>
      <c r="J64" s="177"/>
      <c r="K64" s="177"/>
    </row>
    <row r="65" spans="1:11" ht="13.5" customHeight="1" x14ac:dyDescent="0.2">
      <c r="A65" s="79"/>
      <c r="B65" s="80"/>
      <c r="C65" s="81"/>
      <c r="D65" s="82"/>
      <c r="E65" s="83"/>
      <c r="F65" s="93"/>
      <c r="G65" s="93"/>
      <c r="H65" s="94"/>
      <c r="I65" s="95"/>
      <c r="J65" s="95"/>
      <c r="K65" s="95"/>
    </row>
    <row r="66" spans="1:11" ht="13.5" customHeight="1" x14ac:dyDescent="0.2">
      <c r="A66" s="79"/>
      <c r="B66" s="80"/>
      <c r="C66" s="81"/>
      <c r="D66" s="82"/>
      <c r="E66" s="83"/>
      <c r="F66" s="93"/>
      <c r="G66" s="93"/>
      <c r="H66" s="94"/>
      <c r="I66" s="95"/>
      <c r="J66" s="95"/>
      <c r="K66" s="95"/>
    </row>
    <row r="67" spans="1:11" ht="13.5" customHeight="1" x14ac:dyDescent="0.2">
      <c r="A67" s="79"/>
      <c r="C67" s="81"/>
      <c r="D67" s="82"/>
      <c r="E67" s="83"/>
      <c r="F67" s="93"/>
      <c r="G67" s="93"/>
      <c r="I67" s="95"/>
      <c r="J67" s="95"/>
      <c r="K67" s="95"/>
    </row>
    <row r="68" spans="1:11" x14ac:dyDescent="0.2">
      <c r="A68" s="79"/>
      <c r="B68" s="80"/>
      <c r="C68" s="81"/>
      <c r="D68" s="82"/>
      <c r="E68" s="83"/>
      <c r="F68" s="93"/>
      <c r="G68" s="93"/>
      <c r="I68" s="488"/>
      <c r="J68" s="488"/>
      <c r="K68" s="488"/>
    </row>
    <row r="69" spans="1:11" x14ac:dyDescent="0.2">
      <c r="A69" s="79"/>
      <c r="B69" s="80"/>
      <c r="C69" s="81"/>
      <c r="D69" s="82"/>
      <c r="E69" s="83"/>
      <c r="F69" s="93"/>
      <c r="G69" s="93"/>
      <c r="H69" s="94"/>
      <c r="I69" s="489" t="s">
        <v>71</v>
      </c>
      <c r="J69" s="489"/>
      <c r="K69" s="489"/>
    </row>
    <row r="70" spans="1:11" x14ac:dyDescent="0.2">
      <c r="I70" s="96"/>
      <c r="J70" s="96"/>
      <c r="K70" s="95"/>
    </row>
    <row r="71" spans="1:11" x14ac:dyDescent="0.2">
      <c r="A71" s="5" t="str">
        <f>Summary!$G$11</f>
        <v>PIPELINE PROJECT</v>
      </c>
    </row>
    <row r="78" spans="1:11" ht="17" x14ac:dyDescent="0.2">
      <c r="A78" s="158" t="s">
        <v>0</v>
      </c>
    </row>
    <row r="79" spans="1:11" ht="17" x14ac:dyDescent="0.2">
      <c r="A79" s="49" t="s">
        <v>69</v>
      </c>
    </row>
    <row r="80" spans="1:11" ht="16.5" customHeight="1" x14ac:dyDescent="0.2">
      <c r="A80" s="49"/>
      <c r="I80" s="2" t="s">
        <v>11</v>
      </c>
      <c r="J80" s="487">
        <v>42353</v>
      </c>
      <c r="K80" s="487"/>
    </row>
    <row r="81" spans="1:17" s="58" customFormat="1" ht="23.25" customHeight="1" x14ac:dyDescent="0.15">
      <c r="A81" s="50"/>
      <c r="B81" s="51"/>
      <c r="C81" s="52">
        <v>69435</v>
      </c>
      <c r="D81" s="53" t="s">
        <v>35</v>
      </c>
      <c r="E81" s="54">
        <v>580.70545646999994</v>
      </c>
      <c r="F81" s="55" t="s">
        <v>36</v>
      </c>
      <c r="G81" s="55" t="s">
        <v>27</v>
      </c>
      <c r="H81" s="55" t="s">
        <v>37</v>
      </c>
      <c r="I81" s="56" t="s">
        <v>38</v>
      </c>
      <c r="J81" s="56" t="s">
        <v>39</v>
      </c>
      <c r="K81" s="57" t="s">
        <v>40</v>
      </c>
      <c r="P81" s="58" t="s">
        <v>271</v>
      </c>
      <c r="Q81" s="58" t="s">
        <v>272</v>
      </c>
    </row>
    <row r="82" spans="1:17" ht="13.5" customHeight="1" x14ac:dyDescent="0.2">
      <c r="A82" s="59" t="s">
        <v>84</v>
      </c>
      <c r="B82" s="60" t="s">
        <v>74</v>
      </c>
      <c r="C82" s="61" t="s">
        <v>6</v>
      </c>
      <c r="D82" s="62">
        <v>0.02</v>
      </c>
      <c r="E82" s="63">
        <f>$E$81*D82</f>
        <v>11.614109129399999</v>
      </c>
      <c r="F82" s="64">
        <f t="shared" ref="F82:F95" si="15">G82+H82</f>
        <v>69435</v>
      </c>
      <c r="G82" s="64">
        <v>69435</v>
      </c>
      <c r="H82" s="70"/>
      <c r="I82" s="168">
        <f>H82*E82</f>
        <v>0</v>
      </c>
      <c r="J82" s="169">
        <v>806425.67</v>
      </c>
      <c r="K82" s="173">
        <f t="shared" ref="K82:K83" si="16">SUM(I82:J82)</f>
        <v>806425.67</v>
      </c>
      <c r="L82" s="330" t="s">
        <v>251</v>
      </c>
      <c r="M82" s="330"/>
    </row>
    <row r="83" spans="1:17" ht="13.5" customHeight="1" x14ac:dyDescent="0.2">
      <c r="A83" s="65"/>
      <c r="B83" s="156" t="s">
        <v>75</v>
      </c>
      <c r="C83" s="71" t="s">
        <v>6</v>
      </c>
      <c r="D83" s="68">
        <v>0.08</v>
      </c>
      <c r="E83" s="69">
        <f>$E$81*D83</f>
        <v>46.456436517599997</v>
      </c>
      <c r="F83" s="70">
        <f t="shared" ref="F83" si="17">G83+H83</f>
        <v>25100</v>
      </c>
      <c r="G83" s="70">
        <v>5300</v>
      </c>
      <c r="H83" s="70">
        <v>19800</v>
      </c>
      <c r="I83" s="171">
        <v>919837.44</v>
      </c>
      <c r="J83" s="172">
        <v>246219.11</v>
      </c>
      <c r="K83" s="173">
        <f t="shared" si="16"/>
        <v>1166056.5499999998</v>
      </c>
      <c r="L83" s="330" t="s">
        <v>251</v>
      </c>
      <c r="M83" s="330"/>
      <c r="O83" t="s">
        <v>301</v>
      </c>
      <c r="P83">
        <v>25100</v>
      </c>
      <c r="Q83" s="353">
        <f>P83-G83</f>
        <v>19800</v>
      </c>
    </row>
    <row r="84" spans="1:17" ht="13.5" customHeight="1" x14ac:dyDescent="0.2">
      <c r="A84" s="65"/>
      <c r="B84" s="66" t="s">
        <v>215</v>
      </c>
      <c r="C84" s="67" t="s">
        <v>6</v>
      </c>
      <c r="D84" s="68">
        <v>7.0000000000000007E-2</v>
      </c>
      <c r="E84" s="69">
        <f>$E$81*D84</f>
        <v>40.649381952900001</v>
      </c>
      <c r="F84" s="70">
        <f t="shared" si="15"/>
        <v>16100</v>
      </c>
      <c r="G84" s="70">
        <v>400</v>
      </c>
      <c r="H84" s="70">
        <v>15700</v>
      </c>
      <c r="I84" s="171">
        <v>638195.30000000005</v>
      </c>
      <c r="J84" s="172">
        <v>16259.75</v>
      </c>
      <c r="K84" s="173">
        <f t="shared" ref="K84:K95" si="18">SUM(I84:J84)</f>
        <v>654455.05000000005</v>
      </c>
      <c r="L84" s="330" t="s">
        <v>251</v>
      </c>
      <c r="M84" s="330"/>
      <c r="O84" t="s">
        <v>302</v>
      </c>
      <c r="P84">
        <v>16100</v>
      </c>
      <c r="Q84" s="353">
        <f t="shared" ref="Q84:Q90" si="19">P84-G84</f>
        <v>15700</v>
      </c>
    </row>
    <row r="85" spans="1:17" ht="13.5" customHeight="1" x14ac:dyDescent="0.2">
      <c r="A85" s="65"/>
      <c r="B85" s="66" t="s">
        <v>41</v>
      </c>
      <c r="C85" s="67" t="s">
        <v>6</v>
      </c>
      <c r="D85" s="68">
        <v>7.0000000000000007E-2</v>
      </c>
      <c r="E85" s="69">
        <f t="shared" ref="E85:E95" si="20">$E$81*D85</f>
        <v>40.649381952900001</v>
      </c>
      <c r="F85" s="70">
        <f t="shared" si="15"/>
        <v>12000</v>
      </c>
      <c r="G85" s="70"/>
      <c r="H85" s="70">
        <v>12000</v>
      </c>
      <c r="I85" s="171">
        <v>487792.58</v>
      </c>
      <c r="J85" s="172">
        <f t="shared" ref="J85:J95" si="21">G85*E85</f>
        <v>0</v>
      </c>
      <c r="K85" s="173">
        <f t="shared" si="18"/>
        <v>487792.58</v>
      </c>
      <c r="L85" s="330" t="s">
        <v>251</v>
      </c>
      <c r="M85" s="330"/>
      <c r="O85" t="s">
        <v>303</v>
      </c>
      <c r="P85">
        <v>12000</v>
      </c>
      <c r="Q85" s="353">
        <f t="shared" si="19"/>
        <v>12000</v>
      </c>
    </row>
    <row r="86" spans="1:17" ht="13.5" customHeight="1" x14ac:dyDescent="0.2">
      <c r="A86" s="65"/>
      <c r="B86" s="66" t="s">
        <v>42</v>
      </c>
      <c r="C86" s="67" t="s">
        <v>6</v>
      </c>
      <c r="D86" s="68">
        <v>0.17</v>
      </c>
      <c r="E86" s="69">
        <f t="shared" si="20"/>
        <v>98.719927599900004</v>
      </c>
      <c r="F86" s="70">
        <f t="shared" si="15"/>
        <v>9500</v>
      </c>
      <c r="G86" s="70"/>
      <c r="H86" s="70">
        <v>9500</v>
      </c>
      <c r="I86" s="171">
        <v>937839.31</v>
      </c>
      <c r="J86" s="172">
        <f t="shared" si="21"/>
        <v>0</v>
      </c>
      <c r="K86" s="173">
        <f t="shared" si="18"/>
        <v>937839.31</v>
      </c>
      <c r="L86" s="330" t="s">
        <v>251</v>
      </c>
      <c r="M86" s="330"/>
      <c r="O86" t="s">
        <v>304</v>
      </c>
      <c r="P86">
        <v>9500</v>
      </c>
      <c r="Q86" s="353">
        <f t="shared" si="19"/>
        <v>9500</v>
      </c>
    </row>
    <row r="87" spans="1:17" ht="13.5" customHeight="1" x14ac:dyDescent="0.2">
      <c r="A87" s="65"/>
      <c r="B87" s="66" t="s">
        <v>76</v>
      </c>
      <c r="C87" s="67" t="s">
        <v>6</v>
      </c>
      <c r="D87" s="68">
        <v>0.08</v>
      </c>
      <c r="E87" s="69">
        <f t="shared" si="20"/>
        <v>46.456436517599997</v>
      </c>
      <c r="F87" s="70">
        <f t="shared" si="15"/>
        <v>3700</v>
      </c>
      <c r="G87" s="70"/>
      <c r="H87" s="70">
        <v>3700</v>
      </c>
      <c r="I87" s="171">
        <v>171888.82</v>
      </c>
      <c r="J87" s="172">
        <f t="shared" si="21"/>
        <v>0</v>
      </c>
      <c r="K87" s="173">
        <f t="shared" si="18"/>
        <v>171888.82</v>
      </c>
      <c r="L87" s="330" t="s">
        <v>251</v>
      </c>
      <c r="M87" s="330"/>
      <c r="O87" t="s">
        <v>305</v>
      </c>
      <c r="P87">
        <v>3700</v>
      </c>
      <c r="Q87" s="353">
        <f t="shared" si="19"/>
        <v>3700</v>
      </c>
    </row>
    <row r="88" spans="1:17" ht="13.5" customHeight="1" x14ac:dyDescent="0.2">
      <c r="A88" s="65"/>
      <c r="B88" s="66" t="s">
        <v>77</v>
      </c>
      <c r="C88" s="67" t="s">
        <v>6</v>
      </c>
      <c r="D88" s="68">
        <v>7.0000000000000007E-2</v>
      </c>
      <c r="E88" s="69">
        <f t="shared" si="20"/>
        <v>40.649381952900001</v>
      </c>
      <c r="F88" s="70">
        <f t="shared" si="15"/>
        <v>3700</v>
      </c>
      <c r="G88" s="70"/>
      <c r="H88" s="70">
        <v>3700</v>
      </c>
      <c r="I88" s="171">
        <v>150402.71</v>
      </c>
      <c r="J88" s="172">
        <f t="shared" si="21"/>
        <v>0</v>
      </c>
      <c r="K88" s="173">
        <f t="shared" si="18"/>
        <v>150402.71</v>
      </c>
      <c r="L88" s="330" t="s">
        <v>251</v>
      </c>
      <c r="M88" s="330"/>
      <c r="O88" t="s">
        <v>306</v>
      </c>
      <c r="P88">
        <v>3700</v>
      </c>
      <c r="Q88" s="353">
        <f t="shared" si="19"/>
        <v>3700</v>
      </c>
    </row>
    <row r="89" spans="1:17" ht="13.5" customHeight="1" x14ac:dyDescent="0.2">
      <c r="A89" s="65"/>
      <c r="B89" s="66" t="s">
        <v>43</v>
      </c>
      <c r="C89" s="67" t="s">
        <v>6</v>
      </c>
      <c r="D89" s="68">
        <v>0.08</v>
      </c>
      <c r="E89" s="69">
        <f t="shared" si="20"/>
        <v>46.456436517599997</v>
      </c>
      <c r="F89" s="70">
        <f t="shared" si="15"/>
        <v>2800</v>
      </c>
      <c r="G89" s="70"/>
      <c r="H89" s="70">
        <v>2800</v>
      </c>
      <c r="I89" s="171">
        <v>130078.02</v>
      </c>
      <c r="J89" s="172">
        <f>G89*E89</f>
        <v>0</v>
      </c>
      <c r="K89" s="173">
        <f>SUM(I89:J89)</f>
        <v>130078.02</v>
      </c>
      <c r="L89" s="330" t="s">
        <v>251</v>
      </c>
      <c r="M89" s="330"/>
      <c r="O89" t="s">
        <v>307</v>
      </c>
      <c r="P89">
        <v>2800</v>
      </c>
      <c r="Q89" s="353">
        <f t="shared" si="19"/>
        <v>2800</v>
      </c>
    </row>
    <row r="90" spans="1:17" ht="13.5" customHeight="1" x14ac:dyDescent="0.2">
      <c r="A90" s="65"/>
      <c r="B90" s="66" t="s">
        <v>78</v>
      </c>
      <c r="C90" s="67" t="s">
        <v>6</v>
      </c>
      <c r="D90" s="68">
        <v>7.0000000000000007E-2</v>
      </c>
      <c r="E90" s="69">
        <f t="shared" si="20"/>
        <v>40.649381952900001</v>
      </c>
      <c r="F90" s="70">
        <f t="shared" si="15"/>
        <v>1500</v>
      </c>
      <c r="G90" s="70"/>
      <c r="H90" s="70">
        <v>1500</v>
      </c>
      <c r="I90" s="171">
        <v>60974.07</v>
      </c>
      <c r="J90" s="172">
        <f t="shared" si="21"/>
        <v>0</v>
      </c>
      <c r="K90" s="173">
        <f t="shared" si="18"/>
        <v>60974.07</v>
      </c>
      <c r="L90" s="330" t="s">
        <v>251</v>
      </c>
      <c r="M90" s="330"/>
      <c r="O90" t="s">
        <v>308</v>
      </c>
      <c r="P90">
        <v>1500</v>
      </c>
      <c r="Q90" s="353">
        <f t="shared" si="19"/>
        <v>1500</v>
      </c>
    </row>
    <row r="91" spans="1:17" ht="13.5" customHeight="1" x14ac:dyDescent="0.2">
      <c r="A91" s="65"/>
      <c r="B91" s="66" t="s">
        <v>44</v>
      </c>
      <c r="C91" s="67" t="s">
        <v>6</v>
      </c>
      <c r="D91" s="68">
        <v>7.0000000000000007E-2</v>
      </c>
      <c r="E91" s="69">
        <f t="shared" si="20"/>
        <v>40.649381952900001</v>
      </c>
      <c r="F91" s="70">
        <f t="shared" si="15"/>
        <v>0</v>
      </c>
      <c r="G91" s="70"/>
      <c r="H91" s="70"/>
      <c r="I91" s="171">
        <f t="shared" ref="I91:I95" si="22">H91*E91</f>
        <v>0</v>
      </c>
      <c r="J91" s="172">
        <f t="shared" si="21"/>
        <v>0</v>
      </c>
      <c r="K91" s="173">
        <f t="shared" si="18"/>
        <v>0</v>
      </c>
    </row>
    <row r="92" spans="1:17" ht="13.5" customHeight="1" x14ac:dyDescent="0.2">
      <c r="A92" s="65"/>
      <c r="B92" s="66" t="s">
        <v>79</v>
      </c>
      <c r="C92" s="67" t="s">
        <v>6</v>
      </c>
      <c r="D92" s="68">
        <v>0.05</v>
      </c>
      <c r="E92" s="69">
        <f t="shared" si="20"/>
        <v>29.035272823499998</v>
      </c>
      <c r="F92" s="70">
        <f t="shared" si="15"/>
        <v>0</v>
      </c>
      <c r="G92" s="70"/>
      <c r="H92" s="70"/>
      <c r="I92" s="171">
        <f t="shared" si="22"/>
        <v>0</v>
      </c>
      <c r="J92" s="172">
        <f t="shared" si="21"/>
        <v>0</v>
      </c>
      <c r="K92" s="173">
        <f t="shared" si="18"/>
        <v>0</v>
      </c>
    </row>
    <row r="93" spans="1:17" ht="13.5" customHeight="1" x14ac:dyDescent="0.2">
      <c r="A93" s="65"/>
      <c r="B93" s="66" t="s">
        <v>80</v>
      </c>
      <c r="C93" s="71" t="s">
        <v>6</v>
      </c>
      <c r="D93" s="68">
        <v>0.09</v>
      </c>
      <c r="E93" s="69">
        <f t="shared" si="20"/>
        <v>52.263491082299993</v>
      </c>
      <c r="F93" s="70">
        <f t="shared" si="15"/>
        <v>0</v>
      </c>
      <c r="G93" s="70"/>
      <c r="H93" s="70"/>
      <c r="I93" s="171">
        <f t="shared" si="22"/>
        <v>0</v>
      </c>
      <c r="J93" s="172">
        <f t="shared" si="21"/>
        <v>0</v>
      </c>
      <c r="K93" s="173">
        <f t="shared" si="18"/>
        <v>0</v>
      </c>
    </row>
    <row r="94" spans="1:17" ht="13.5" customHeight="1" x14ac:dyDescent="0.2">
      <c r="A94" s="65"/>
      <c r="B94" s="156" t="s">
        <v>81</v>
      </c>
      <c r="C94" s="71" t="s">
        <v>6</v>
      </c>
      <c r="D94" s="68">
        <v>0.02</v>
      </c>
      <c r="E94" s="69">
        <f>$E$81*D94</f>
        <v>11.614109129399999</v>
      </c>
      <c r="F94" s="70">
        <f t="shared" si="15"/>
        <v>0</v>
      </c>
      <c r="G94" s="70"/>
      <c r="H94" s="70"/>
      <c r="I94" s="171">
        <f>H94*E94</f>
        <v>0</v>
      </c>
      <c r="J94" s="172">
        <f t="shared" si="21"/>
        <v>0</v>
      </c>
      <c r="K94" s="173">
        <f t="shared" si="18"/>
        <v>0</v>
      </c>
    </row>
    <row r="95" spans="1:17" ht="13.5" customHeight="1" thickBot="1" x14ac:dyDescent="0.25">
      <c r="A95" s="65"/>
      <c r="B95" s="66" t="s">
        <v>82</v>
      </c>
      <c r="C95" s="71" t="s">
        <v>6</v>
      </c>
      <c r="D95" s="68">
        <v>0.06</v>
      </c>
      <c r="E95" s="69">
        <f t="shared" si="20"/>
        <v>34.842327388199998</v>
      </c>
      <c r="F95" s="70">
        <f t="shared" si="15"/>
        <v>0</v>
      </c>
      <c r="G95" s="70"/>
      <c r="H95" s="70"/>
      <c r="I95" s="171">
        <f t="shared" si="22"/>
        <v>0</v>
      </c>
      <c r="J95" s="172">
        <f t="shared" si="21"/>
        <v>0</v>
      </c>
      <c r="K95" s="173">
        <f t="shared" si="18"/>
        <v>0</v>
      </c>
    </row>
    <row r="96" spans="1:17" ht="13.5" customHeight="1" x14ac:dyDescent="0.2">
      <c r="A96" s="72"/>
      <c r="B96" s="73"/>
      <c r="C96" s="74"/>
      <c r="D96" s="75">
        <f>SUM(D82:D95)</f>
        <v>1</v>
      </c>
      <c r="E96" s="76">
        <f>SUM(E82:E95)</f>
        <v>580.70545647000006</v>
      </c>
      <c r="F96" s="77"/>
      <c r="G96" s="77"/>
      <c r="H96" s="78" t="s">
        <v>83</v>
      </c>
      <c r="I96" s="174">
        <f>SUM(I82:I95)</f>
        <v>3497008.2499999995</v>
      </c>
      <c r="J96" s="174">
        <f>SUM(J82:J95)</f>
        <v>1068904.53</v>
      </c>
      <c r="K96" s="175">
        <f>SUM(K82:K95)</f>
        <v>4565912.7799999993</v>
      </c>
    </row>
    <row r="97" spans="1:11" ht="9.75" customHeight="1" x14ac:dyDescent="0.2">
      <c r="A97" s="79"/>
      <c r="B97" s="80"/>
      <c r="C97" s="81"/>
      <c r="D97" s="82"/>
      <c r="E97" s="83"/>
      <c r="F97" s="84"/>
      <c r="G97" s="84"/>
      <c r="H97" s="85"/>
      <c r="I97" s="176"/>
      <c r="J97" s="176"/>
      <c r="K97" s="176"/>
    </row>
    <row r="98" spans="1:11" ht="11.25" customHeight="1" x14ac:dyDescent="0.2">
      <c r="D98" s="86"/>
      <c r="E98" s="87"/>
      <c r="F98" s="88"/>
      <c r="G98" s="88"/>
      <c r="H98" s="89"/>
      <c r="I98" s="177"/>
      <c r="J98" s="177"/>
      <c r="K98" s="177"/>
    </row>
    <row r="99" spans="1:11" ht="13.5" customHeight="1" x14ac:dyDescent="0.2">
      <c r="A99" s="4" t="str">
        <f>Summary!$G$9</f>
        <v>Contractor</v>
      </c>
      <c r="D99" s="90"/>
      <c r="E99" s="91"/>
      <c r="F99" s="92"/>
      <c r="G99" s="88"/>
      <c r="H99" s="89"/>
      <c r="I99" s="177"/>
      <c r="J99" s="177"/>
      <c r="K99" s="177"/>
    </row>
    <row r="100" spans="1:11" ht="13.5" customHeight="1" x14ac:dyDescent="0.2">
      <c r="A100" s="79"/>
      <c r="B100" s="80"/>
      <c r="C100" s="81"/>
      <c r="D100" s="82"/>
      <c r="E100" s="83"/>
      <c r="F100" s="93"/>
      <c r="G100" s="93"/>
      <c r="H100" s="94"/>
      <c r="I100" s="95"/>
      <c r="J100" s="95"/>
      <c r="K100" s="95"/>
    </row>
    <row r="101" spans="1:11" ht="13.5" customHeight="1" x14ac:dyDescent="0.2">
      <c r="A101" s="79"/>
      <c r="B101" s="80"/>
      <c r="C101" s="81"/>
      <c r="D101" s="82"/>
      <c r="E101" s="83"/>
      <c r="F101" s="93"/>
      <c r="G101" s="93"/>
      <c r="H101" s="94"/>
      <c r="I101" s="95"/>
      <c r="J101" s="95"/>
      <c r="K101" s="95"/>
    </row>
    <row r="102" spans="1:11" ht="13.5" customHeight="1" x14ac:dyDescent="0.2">
      <c r="A102" s="79"/>
      <c r="C102" s="81"/>
      <c r="D102" s="82"/>
      <c r="E102" s="83"/>
      <c r="F102" s="93"/>
      <c r="G102" s="93"/>
      <c r="I102" s="95"/>
      <c r="J102" s="95"/>
      <c r="K102" s="95"/>
    </row>
    <row r="103" spans="1:11" x14ac:dyDescent="0.2">
      <c r="A103" s="79"/>
      <c r="B103" s="80"/>
      <c r="C103" s="81"/>
      <c r="D103" s="82"/>
      <c r="E103" s="83"/>
      <c r="F103" s="93"/>
      <c r="G103" s="93"/>
      <c r="I103" s="488"/>
      <c r="J103" s="488"/>
      <c r="K103" s="488"/>
    </row>
    <row r="104" spans="1:11" x14ac:dyDescent="0.2">
      <c r="A104" s="79"/>
      <c r="B104" s="80"/>
      <c r="C104" s="81"/>
      <c r="D104" s="82"/>
      <c r="E104" s="83"/>
      <c r="F104" s="93"/>
      <c r="G104" s="93"/>
      <c r="H104" s="94"/>
      <c r="I104" s="489" t="str">
        <f>Summary!$G$10</f>
        <v>Construction Manager</v>
      </c>
      <c r="J104" s="489"/>
      <c r="K104" s="489"/>
    </row>
    <row r="105" spans="1:11" x14ac:dyDescent="0.2">
      <c r="I105" s="96"/>
      <c r="J105" s="96"/>
      <c r="K105" s="95"/>
    </row>
    <row r="106" spans="1:11" x14ac:dyDescent="0.2">
      <c r="I106" s="96"/>
      <c r="J106" s="96"/>
      <c r="K106" s="95"/>
    </row>
    <row r="107" spans="1:11" x14ac:dyDescent="0.2">
      <c r="A107" s="5" t="str">
        <f>Summary!$G$11</f>
        <v>PIPELINE PROJECT</v>
      </c>
    </row>
    <row r="114" spans="1:17" ht="17" x14ac:dyDescent="0.2">
      <c r="A114" s="158" t="s">
        <v>0</v>
      </c>
    </row>
    <row r="115" spans="1:17" ht="17" x14ac:dyDescent="0.2">
      <c r="A115" s="49" t="s">
        <v>69</v>
      </c>
    </row>
    <row r="116" spans="1:17" ht="16.5" customHeight="1" x14ac:dyDescent="0.2">
      <c r="A116" s="49"/>
      <c r="I116" s="2" t="s">
        <v>11</v>
      </c>
      <c r="J116" s="487">
        <v>42369</v>
      </c>
      <c r="K116" s="487"/>
    </row>
    <row r="117" spans="1:17" s="58" customFormat="1" ht="23.25" customHeight="1" x14ac:dyDescent="0.2">
      <c r="A117" s="50"/>
      <c r="B117" s="51"/>
      <c r="C117" s="52">
        <v>69435</v>
      </c>
      <c r="D117" s="53" t="s">
        <v>35</v>
      </c>
      <c r="E117" s="54">
        <v>580.70545646999994</v>
      </c>
      <c r="F117" s="55" t="s">
        <v>36</v>
      </c>
      <c r="G117" s="55" t="s">
        <v>27</v>
      </c>
      <c r="H117" s="55" t="s">
        <v>37</v>
      </c>
      <c r="I117" s="56" t="s">
        <v>38</v>
      </c>
      <c r="J117" s="56" t="s">
        <v>39</v>
      </c>
      <c r="K117" s="57" t="s">
        <v>40</v>
      </c>
      <c r="L117"/>
      <c r="M117"/>
      <c r="P117" s="58" t="s">
        <v>271</v>
      </c>
      <c r="Q117" s="58" t="s">
        <v>272</v>
      </c>
    </row>
    <row r="118" spans="1:17" ht="13.5" customHeight="1" x14ac:dyDescent="0.2">
      <c r="A118" s="59" t="s">
        <v>84</v>
      </c>
      <c r="B118" s="60" t="s">
        <v>74</v>
      </c>
      <c r="C118" s="61" t="s">
        <v>6</v>
      </c>
      <c r="D118" s="62">
        <v>0.02</v>
      </c>
      <c r="E118" s="63">
        <f>$E$81*D118</f>
        <v>11.614109129399999</v>
      </c>
      <c r="F118" s="64">
        <f t="shared" ref="F118:F131" si="23">G118+H118</f>
        <v>69435</v>
      </c>
      <c r="G118" s="64">
        <v>69435</v>
      </c>
      <c r="H118" s="70"/>
      <c r="I118" s="168">
        <f>H118*E118</f>
        <v>0</v>
      </c>
      <c r="J118" s="169">
        <v>806425.67</v>
      </c>
      <c r="K118" s="173">
        <f t="shared" ref="K118:K124" si="24">SUM(I118:J118)</f>
        <v>806425.67</v>
      </c>
    </row>
    <row r="119" spans="1:17" ht="13.5" customHeight="1" x14ac:dyDescent="0.2">
      <c r="A119" s="65"/>
      <c r="B119" s="156" t="s">
        <v>75</v>
      </c>
      <c r="C119" s="71" t="s">
        <v>6</v>
      </c>
      <c r="D119" s="68">
        <v>0.08</v>
      </c>
      <c r="E119" s="69">
        <f>$E$81*D119</f>
        <v>46.456436517599997</v>
      </c>
      <c r="F119" s="70">
        <f t="shared" si="23"/>
        <v>32600</v>
      </c>
      <c r="G119" s="70">
        <v>25100</v>
      </c>
      <c r="H119" s="70">
        <v>7500</v>
      </c>
      <c r="I119" s="171">
        <f t="shared" ref="I119:I126" si="25">H119*E119</f>
        <v>348423.27388199995</v>
      </c>
      <c r="J119" s="172">
        <v>1166056.5499999998</v>
      </c>
      <c r="K119" s="173">
        <f t="shared" si="24"/>
        <v>1514479.8238819998</v>
      </c>
      <c r="O119" t="s">
        <v>301</v>
      </c>
      <c r="P119">
        <v>32600</v>
      </c>
      <c r="Q119" s="353">
        <f>P119-G119</f>
        <v>7500</v>
      </c>
    </row>
    <row r="120" spans="1:17" ht="13.5" customHeight="1" x14ac:dyDescent="0.2">
      <c r="A120" s="65"/>
      <c r="B120" s="66" t="s">
        <v>215</v>
      </c>
      <c r="C120" s="67" t="s">
        <v>6</v>
      </c>
      <c r="D120" s="68">
        <v>7.0000000000000007E-2</v>
      </c>
      <c r="E120" s="69">
        <f>$E$81*D120</f>
        <v>40.649381952900001</v>
      </c>
      <c r="F120" s="70">
        <f t="shared" si="23"/>
        <v>24400</v>
      </c>
      <c r="G120" s="70">
        <v>16100</v>
      </c>
      <c r="H120" s="70">
        <v>8300</v>
      </c>
      <c r="I120" s="171">
        <f t="shared" si="25"/>
        <v>337389.87020906998</v>
      </c>
      <c r="J120" s="172">
        <v>654455.05000000005</v>
      </c>
      <c r="K120" s="173">
        <f t="shared" si="24"/>
        <v>991844.92020906997</v>
      </c>
      <c r="O120" t="s">
        <v>302</v>
      </c>
      <c r="P120">
        <v>24400</v>
      </c>
      <c r="Q120" s="353">
        <f t="shared" ref="Q120:Q126" si="26">P120-G120</f>
        <v>8300</v>
      </c>
    </row>
    <row r="121" spans="1:17" ht="13.5" customHeight="1" x14ac:dyDescent="0.2">
      <c r="A121" s="65"/>
      <c r="B121" s="66" t="s">
        <v>41</v>
      </c>
      <c r="C121" s="67" t="s">
        <v>6</v>
      </c>
      <c r="D121" s="68">
        <v>7.0000000000000007E-2</v>
      </c>
      <c r="E121" s="69">
        <f t="shared" ref="E121:E129" si="27">$E$81*D121</f>
        <v>40.649381952900001</v>
      </c>
      <c r="F121" s="70">
        <f t="shared" si="23"/>
        <v>16100</v>
      </c>
      <c r="G121" s="70">
        <v>12000</v>
      </c>
      <c r="H121" s="70">
        <v>4100</v>
      </c>
      <c r="I121" s="171">
        <f t="shared" si="25"/>
        <v>166662.46600689</v>
      </c>
      <c r="J121" s="172">
        <v>487792.58</v>
      </c>
      <c r="K121" s="173">
        <f t="shared" si="24"/>
        <v>654455.04600689001</v>
      </c>
      <c r="O121" t="s">
        <v>303</v>
      </c>
      <c r="P121">
        <v>16100</v>
      </c>
      <c r="Q121" s="353">
        <f t="shared" si="26"/>
        <v>4100</v>
      </c>
    </row>
    <row r="122" spans="1:17" ht="13.5" customHeight="1" x14ac:dyDescent="0.2">
      <c r="A122" s="65"/>
      <c r="B122" s="66" t="s">
        <v>42</v>
      </c>
      <c r="C122" s="67" t="s">
        <v>6</v>
      </c>
      <c r="D122" s="68">
        <v>0.17</v>
      </c>
      <c r="E122" s="69">
        <f t="shared" si="27"/>
        <v>98.719927599900004</v>
      </c>
      <c r="F122" s="70">
        <f t="shared" si="23"/>
        <v>12800</v>
      </c>
      <c r="G122" s="70">
        <v>9500</v>
      </c>
      <c r="H122" s="70">
        <v>3300</v>
      </c>
      <c r="I122" s="171">
        <f t="shared" si="25"/>
        <v>325775.76107966999</v>
      </c>
      <c r="J122" s="172">
        <v>937839.31</v>
      </c>
      <c r="K122" s="173">
        <f t="shared" si="24"/>
        <v>1263615.07107967</v>
      </c>
      <c r="O122" t="s">
        <v>304</v>
      </c>
      <c r="P122">
        <v>12800</v>
      </c>
      <c r="Q122" s="353">
        <f t="shared" si="26"/>
        <v>3300</v>
      </c>
    </row>
    <row r="123" spans="1:17" ht="13.5" customHeight="1" x14ac:dyDescent="0.2">
      <c r="A123" s="65"/>
      <c r="B123" s="66" t="s">
        <v>76</v>
      </c>
      <c r="C123" s="67" t="s">
        <v>6</v>
      </c>
      <c r="D123" s="68">
        <v>0.08</v>
      </c>
      <c r="E123" s="69">
        <f t="shared" si="27"/>
        <v>46.456436517599997</v>
      </c>
      <c r="F123" s="70">
        <f t="shared" si="23"/>
        <v>6900</v>
      </c>
      <c r="G123" s="70">
        <v>3700</v>
      </c>
      <c r="H123" s="70">
        <v>3200</v>
      </c>
      <c r="I123" s="171">
        <f t="shared" si="25"/>
        <v>148660.59685631999</v>
      </c>
      <c r="J123" s="172">
        <v>171888.82</v>
      </c>
      <c r="K123" s="173">
        <f t="shared" si="24"/>
        <v>320549.41685631999</v>
      </c>
      <c r="O123" t="s">
        <v>305</v>
      </c>
      <c r="P123">
        <v>6900</v>
      </c>
      <c r="Q123" s="353">
        <f t="shared" si="26"/>
        <v>3200</v>
      </c>
    </row>
    <row r="124" spans="1:17" ht="13.5" customHeight="1" x14ac:dyDescent="0.2">
      <c r="A124" s="65"/>
      <c r="B124" s="66" t="s">
        <v>77</v>
      </c>
      <c r="C124" s="67" t="s">
        <v>6</v>
      </c>
      <c r="D124" s="68">
        <v>7.0000000000000007E-2</v>
      </c>
      <c r="E124" s="69">
        <f t="shared" si="27"/>
        <v>40.649381952900001</v>
      </c>
      <c r="F124" s="70">
        <f t="shared" si="23"/>
        <v>6900</v>
      </c>
      <c r="G124" s="70">
        <v>3700</v>
      </c>
      <c r="H124" s="70">
        <v>3200</v>
      </c>
      <c r="I124" s="171">
        <f t="shared" si="25"/>
        <v>130078.02224928001</v>
      </c>
      <c r="J124" s="172">
        <v>150402.71</v>
      </c>
      <c r="K124" s="173">
        <f t="shared" si="24"/>
        <v>280480.73224927997</v>
      </c>
      <c r="O124" t="s">
        <v>306</v>
      </c>
      <c r="P124">
        <v>6900</v>
      </c>
      <c r="Q124" s="353">
        <f t="shared" si="26"/>
        <v>3200</v>
      </c>
    </row>
    <row r="125" spans="1:17" ht="13.5" customHeight="1" x14ac:dyDescent="0.2">
      <c r="A125" s="65"/>
      <c r="B125" s="66" t="s">
        <v>43</v>
      </c>
      <c r="C125" s="67" t="s">
        <v>6</v>
      </c>
      <c r="D125" s="68">
        <v>0.08</v>
      </c>
      <c r="E125" s="69">
        <f t="shared" si="27"/>
        <v>46.456436517599997</v>
      </c>
      <c r="F125" s="70">
        <f t="shared" si="23"/>
        <v>6900</v>
      </c>
      <c r="G125" s="70">
        <v>2800</v>
      </c>
      <c r="H125" s="70">
        <v>4100</v>
      </c>
      <c r="I125" s="171">
        <f t="shared" si="25"/>
        <v>190471.38972215998</v>
      </c>
      <c r="J125" s="172">
        <v>130078.02</v>
      </c>
      <c r="K125" s="173">
        <f>SUM(I125:J125)</f>
        <v>320549.40972215997</v>
      </c>
      <c r="O125" t="s">
        <v>307</v>
      </c>
      <c r="P125">
        <v>6900</v>
      </c>
      <c r="Q125" s="353">
        <f t="shared" si="26"/>
        <v>4100</v>
      </c>
    </row>
    <row r="126" spans="1:17" ht="13.5" customHeight="1" x14ac:dyDescent="0.2">
      <c r="A126" s="65"/>
      <c r="B126" s="66" t="s">
        <v>78</v>
      </c>
      <c r="C126" s="67" t="s">
        <v>6</v>
      </c>
      <c r="D126" s="68">
        <v>7.0000000000000007E-2</v>
      </c>
      <c r="E126" s="69">
        <f t="shared" si="27"/>
        <v>40.649381952900001</v>
      </c>
      <c r="F126" s="70">
        <f t="shared" si="23"/>
        <v>3700</v>
      </c>
      <c r="G126" s="70">
        <v>1500</v>
      </c>
      <c r="H126" s="70">
        <v>2200</v>
      </c>
      <c r="I126" s="171">
        <f t="shared" si="25"/>
        <v>89428.640296380006</v>
      </c>
      <c r="J126" s="172">
        <v>60974.07</v>
      </c>
      <c r="K126" s="173">
        <f t="shared" ref="K126:K131" si="28">SUM(I126:J126)</f>
        <v>150402.71029638001</v>
      </c>
      <c r="O126" t="s">
        <v>308</v>
      </c>
      <c r="P126">
        <v>3700</v>
      </c>
      <c r="Q126" s="353">
        <f t="shared" si="26"/>
        <v>2200</v>
      </c>
    </row>
    <row r="127" spans="1:17" ht="13.5" customHeight="1" x14ac:dyDescent="0.2">
      <c r="A127" s="65"/>
      <c r="B127" s="66" t="s">
        <v>44</v>
      </c>
      <c r="C127" s="67" t="s">
        <v>6</v>
      </c>
      <c r="D127" s="68">
        <v>7.0000000000000007E-2</v>
      </c>
      <c r="E127" s="69">
        <f t="shared" si="27"/>
        <v>40.649381952900001</v>
      </c>
      <c r="F127" s="70">
        <f t="shared" si="23"/>
        <v>0</v>
      </c>
      <c r="G127" s="70"/>
      <c r="H127" s="70"/>
      <c r="I127" s="171">
        <f t="shared" ref="I127:I129" si="29">H127*E127</f>
        <v>0</v>
      </c>
      <c r="J127" s="172">
        <f t="shared" ref="J127:J131" si="30">G127*E127</f>
        <v>0</v>
      </c>
      <c r="K127" s="173">
        <f t="shared" si="28"/>
        <v>0</v>
      </c>
    </row>
    <row r="128" spans="1:17" ht="13.5" customHeight="1" x14ac:dyDescent="0.2">
      <c r="A128" s="65"/>
      <c r="B128" s="66" t="s">
        <v>79</v>
      </c>
      <c r="C128" s="67" t="s">
        <v>6</v>
      </c>
      <c r="D128" s="68">
        <v>0.05</v>
      </c>
      <c r="E128" s="69">
        <f t="shared" si="27"/>
        <v>29.035272823499998</v>
      </c>
      <c r="F128" s="70">
        <f t="shared" si="23"/>
        <v>0</v>
      </c>
      <c r="G128" s="70"/>
      <c r="H128" s="70"/>
      <c r="I128" s="171">
        <f t="shared" si="29"/>
        <v>0</v>
      </c>
      <c r="J128" s="172">
        <f t="shared" si="30"/>
        <v>0</v>
      </c>
      <c r="K128" s="173">
        <f t="shared" si="28"/>
        <v>0</v>
      </c>
    </row>
    <row r="129" spans="1:11" ht="13.5" customHeight="1" x14ac:dyDescent="0.2">
      <c r="A129" s="65"/>
      <c r="B129" s="66" t="s">
        <v>80</v>
      </c>
      <c r="C129" s="71" t="s">
        <v>6</v>
      </c>
      <c r="D129" s="68">
        <v>0.09</v>
      </c>
      <c r="E129" s="69">
        <f t="shared" si="27"/>
        <v>52.263491082299993</v>
      </c>
      <c r="F129" s="70">
        <f t="shared" si="23"/>
        <v>0</v>
      </c>
      <c r="G129" s="70"/>
      <c r="H129" s="70"/>
      <c r="I129" s="171">
        <f t="shared" si="29"/>
        <v>0</v>
      </c>
      <c r="J129" s="172">
        <f t="shared" si="30"/>
        <v>0</v>
      </c>
      <c r="K129" s="173">
        <f t="shared" si="28"/>
        <v>0</v>
      </c>
    </row>
    <row r="130" spans="1:11" ht="13.5" customHeight="1" x14ac:dyDescent="0.2">
      <c r="A130" s="65"/>
      <c r="B130" s="156" t="s">
        <v>81</v>
      </c>
      <c r="C130" s="71" t="s">
        <v>6</v>
      </c>
      <c r="D130" s="68">
        <v>0.02</v>
      </c>
      <c r="E130" s="69">
        <f>$E$81*D130</f>
        <v>11.614109129399999</v>
      </c>
      <c r="F130" s="70">
        <f t="shared" si="23"/>
        <v>0</v>
      </c>
      <c r="G130" s="70"/>
      <c r="H130" s="70"/>
      <c r="I130" s="171">
        <f>H130*E130</f>
        <v>0</v>
      </c>
      <c r="J130" s="172">
        <f t="shared" si="30"/>
        <v>0</v>
      </c>
      <c r="K130" s="173">
        <f t="shared" si="28"/>
        <v>0</v>
      </c>
    </row>
    <row r="131" spans="1:11" ht="13.5" customHeight="1" thickBot="1" x14ac:dyDescent="0.25">
      <c r="A131" s="65"/>
      <c r="B131" s="66" t="s">
        <v>82</v>
      </c>
      <c r="C131" s="71" t="s">
        <v>6</v>
      </c>
      <c r="D131" s="68">
        <v>0.06</v>
      </c>
      <c r="E131" s="69">
        <f t="shared" ref="E131" si="31">$E$81*D131</f>
        <v>34.842327388199998</v>
      </c>
      <c r="F131" s="70">
        <f t="shared" si="23"/>
        <v>0</v>
      </c>
      <c r="G131" s="70"/>
      <c r="H131" s="70"/>
      <c r="I131" s="171">
        <f t="shared" ref="I131" si="32">H131*E131</f>
        <v>0</v>
      </c>
      <c r="J131" s="172">
        <f t="shared" si="30"/>
        <v>0</v>
      </c>
      <c r="K131" s="173">
        <f t="shared" si="28"/>
        <v>0</v>
      </c>
    </row>
    <row r="132" spans="1:11" ht="13.5" customHeight="1" x14ac:dyDescent="0.2">
      <c r="A132" s="72"/>
      <c r="B132" s="73"/>
      <c r="C132" s="74"/>
      <c r="D132" s="75">
        <f>SUM(D118:D131)</f>
        <v>1</v>
      </c>
      <c r="E132" s="76">
        <f>SUM(E118:E131)</f>
        <v>580.70545647000006</v>
      </c>
      <c r="F132" s="77"/>
      <c r="G132" s="77"/>
      <c r="H132" s="78" t="s">
        <v>83</v>
      </c>
      <c r="I132" s="174">
        <f>SUM(I118:I131)</f>
        <v>1736890.02030177</v>
      </c>
      <c r="J132" s="174">
        <f>SUM(J118:J131)</f>
        <v>4565912.7799999993</v>
      </c>
      <c r="K132" s="175">
        <f>SUM(K118:K131)</f>
        <v>6302802.8003017697</v>
      </c>
    </row>
    <row r="133" spans="1:11" ht="9.75" customHeight="1" x14ac:dyDescent="0.2">
      <c r="A133" s="79"/>
      <c r="B133" s="80"/>
      <c r="C133" s="81"/>
      <c r="D133" s="82"/>
      <c r="E133" s="83"/>
      <c r="F133" s="84"/>
      <c r="G133" s="84"/>
      <c r="H133" s="85"/>
      <c r="I133" s="176"/>
      <c r="J133" s="176"/>
      <c r="K133" s="176"/>
    </row>
    <row r="134" spans="1:11" ht="11.25" customHeight="1" x14ac:dyDescent="0.2">
      <c r="D134" s="86"/>
      <c r="E134" s="87"/>
      <c r="F134" s="88"/>
      <c r="G134" s="88"/>
      <c r="H134" s="89"/>
      <c r="I134" s="177"/>
      <c r="J134" s="177"/>
      <c r="K134" s="177"/>
    </row>
    <row r="135" spans="1:11" ht="13.5" customHeight="1" x14ac:dyDescent="0.2">
      <c r="A135" s="4" t="str">
        <f>Summary!$G$9</f>
        <v>Contractor</v>
      </c>
      <c r="D135" s="90"/>
      <c r="E135" s="91"/>
      <c r="F135" s="92"/>
      <c r="G135" s="88"/>
      <c r="H135" s="89"/>
      <c r="I135" s="177"/>
      <c r="J135" s="177"/>
      <c r="K135" s="177"/>
    </row>
    <row r="136" spans="1:11" ht="13.5" customHeight="1" x14ac:dyDescent="0.2">
      <c r="A136" s="79"/>
      <c r="B136" s="80"/>
      <c r="C136" s="81"/>
      <c r="D136" s="82"/>
      <c r="E136" s="83"/>
      <c r="F136" s="93"/>
      <c r="G136" s="93"/>
      <c r="H136" s="94"/>
      <c r="I136" s="95"/>
      <c r="J136" s="95"/>
      <c r="K136" s="95"/>
    </row>
    <row r="137" spans="1:11" ht="13.5" customHeight="1" x14ac:dyDescent="0.2">
      <c r="A137" s="79"/>
      <c r="B137" s="80"/>
      <c r="C137" s="81"/>
      <c r="D137" s="82"/>
      <c r="E137" s="83"/>
      <c r="F137" s="93"/>
      <c r="G137" s="93"/>
      <c r="H137" s="94"/>
      <c r="I137" s="95"/>
      <c r="J137" s="95"/>
      <c r="K137" s="95"/>
    </row>
    <row r="138" spans="1:11" ht="13.5" customHeight="1" x14ac:dyDescent="0.2">
      <c r="A138" s="79"/>
      <c r="C138" s="81"/>
      <c r="D138" s="82"/>
      <c r="E138" s="83"/>
      <c r="F138" s="93"/>
      <c r="G138" s="93"/>
      <c r="I138" s="95"/>
      <c r="J138" s="95"/>
      <c r="K138" s="95"/>
    </row>
    <row r="139" spans="1:11" x14ac:dyDescent="0.2">
      <c r="A139" s="79"/>
      <c r="B139" s="80"/>
      <c r="C139" s="81"/>
      <c r="D139" s="82"/>
      <c r="E139" s="83"/>
      <c r="F139" s="93"/>
      <c r="G139" s="93"/>
      <c r="I139" s="488"/>
      <c r="J139" s="488"/>
      <c r="K139" s="488"/>
    </row>
    <row r="140" spans="1:11" x14ac:dyDescent="0.2">
      <c r="A140" s="79"/>
      <c r="B140" s="80"/>
      <c r="C140" s="81"/>
      <c r="D140" s="82"/>
      <c r="E140" s="83"/>
      <c r="F140" s="93"/>
      <c r="G140" s="93"/>
      <c r="H140" s="94"/>
      <c r="I140" s="489" t="str">
        <f>Summary!$G$10</f>
        <v>Construction Manager</v>
      </c>
      <c r="J140" s="489"/>
      <c r="K140" s="489"/>
    </row>
    <row r="141" spans="1:11" x14ac:dyDescent="0.2">
      <c r="I141" s="96"/>
      <c r="J141" s="96"/>
      <c r="K141" s="95"/>
    </row>
    <row r="143" spans="1:11" x14ac:dyDescent="0.2">
      <c r="A143" s="5" t="str">
        <f>Summary!$G$11</f>
        <v>PIPELINE PROJECT</v>
      </c>
    </row>
    <row r="150" spans="1:17" ht="17" x14ac:dyDescent="0.2">
      <c r="A150" s="158" t="s">
        <v>0</v>
      </c>
    </row>
    <row r="151" spans="1:17" ht="17" x14ac:dyDescent="0.2">
      <c r="A151" s="49" t="s">
        <v>69</v>
      </c>
    </row>
    <row r="152" spans="1:17" ht="16.5" customHeight="1" x14ac:dyDescent="0.2">
      <c r="A152" s="49"/>
      <c r="I152" s="2" t="s">
        <v>11</v>
      </c>
      <c r="J152" s="487">
        <v>42384</v>
      </c>
      <c r="K152" s="487"/>
    </row>
    <row r="153" spans="1:17" s="58" customFormat="1" ht="23.25" customHeight="1" x14ac:dyDescent="0.15">
      <c r="A153" s="50"/>
      <c r="B153" s="51"/>
      <c r="C153" s="52">
        <v>69435</v>
      </c>
      <c r="D153" s="53" t="s">
        <v>35</v>
      </c>
      <c r="E153" s="54">
        <v>580.70545646999994</v>
      </c>
      <c r="F153" s="55" t="s">
        <v>36</v>
      </c>
      <c r="G153" s="55" t="s">
        <v>27</v>
      </c>
      <c r="H153" s="55" t="s">
        <v>37</v>
      </c>
      <c r="I153" s="56" t="s">
        <v>38</v>
      </c>
      <c r="J153" s="56" t="s">
        <v>39</v>
      </c>
      <c r="K153" s="57" t="s">
        <v>40</v>
      </c>
      <c r="P153" s="58" t="s">
        <v>271</v>
      </c>
      <c r="Q153" s="58" t="s">
        <v>272</v>
      </c>
    </row>
    <row r="154" spans="1:17" ht="13.5" customHeight="1" x14ac:dyDescent="0.2">
      <c r="A154" s="59" t="s">
        <v>84</v>
      </c>
      <c r="B154" s="60" t="s">
        <v>74</v>
      </c>
      <c r="C154" s="61" t="s">
        <v>6</v>
      </c>
      <c r="D154" s="62">
        <v>0.02</v>
      </c>
      <c r="E154" s="63">
        <f>$E$81*D154</f>
        <v>11.614109129399999</v>
      </c>
      <c r="F154" s="64">
        <f t="shared" ref="F154:F167" si="33">G154+H154</f>
        <v>69435</v>
      </c>
      <c r="G154" s="64">
        <v>69435</v>
      </c>
      <c r="H154" s="70"/>
      <c r="I154" s="168">
        <f>H154*E154</f>
        <v>0</v>
      </c>
      <c r="J154" s="169">
        <v>806425.67</v>
      </c>
      <c r="K154" s="173">
        <f t="shared" ref="K154:K160" si="34">SUM(I154:J154)</f>
        <v>806425.67</v>
      </c>
      <c r="L154" s="58"/>
      <c r="M154" s="58"/>
    </row>
    <row r="155" spans="1:17" ht="13.5" customHeight="1" x14ac:dyDescent="0.2">
      <c r="A155" s="65"/>
      <c r="B155" s="156" t="s">
        <v>75</v>
      </c>
      <c r="C155" s="71" t="s">
        <v>6</v>
      </c>
      <c r="D155" s="68">
        <v>0.08</v>
      </c>
      <c r="E155" s="69">
        <f>$E$81*D155</f>
        <v>46.456436517599997</v>
      </c>
      <c r="F155" s="70">
        <f t="shared" si="33"/>
        <v>48600</v>
      </c>
      <c r="G155" s="70">
        <v>32600</v>
      </c>
      <c r="H155" s="70">
        <v>16000</v>
      </c>
      <c r="I155" s="171">
        <f t="shared" ref="I155:I165" si="35">H155*E155</f>
        <v>743302.98428159999</v>
      </c>
      <c r="J155" s="172">
        <v>1514479.82</v>
      </c>
      <c r="K155" s="173">
        <f t="shared" si="34"/>
        <v>2257782.8042815998</v>
      </c>
      <c r="L155" s="58"/>
      <c r="M155" s="58"/>
      <c r="O155" t="s">
        <v>301</v>
      </c>
      <c r="P155">
        <v>48600</v>
      </c>
      <c r="Q155" s="353">
        <f>P155-G155</f>
        <v>16000</v>
      </c>
    </row>
    <row r="156" spans="1:17" ht="13.5" customHeight="1" x14ac:dyDescent="0.2">
      <c r="A156" s="65"/>
      <c r="B156" s="66" t="s">
        <v>215</v>
      </c>
      <c r="C156" s="67" t="s">
        <v>6</v>
      </c>
      <c r="D156" s="68">
        <v>7.0000000000000007E-2</v>
      </c>
      <c r="E156" s="69">
        <f>$E$81*D156</f>
        <v>40.649381952900001</v>
      </c>
      <c r="F156" s="70">
        <f t="shared" si="33"/>
        <v>40800</v>
      </c>
      <c r="G156" s="70">
        <v>24400</v>
      </c>
      <c r="H156" s="70">
        <v>16400</v>
      </c>
      <c r="I156" s="171">
        <f t="shared" si="35"/>
        <v>666649.86402755999</v>
      </c>
      <c r="J156" s="172">
        <v>991844.92</v>
      </c>
      <c r="K156" s="173">
        <f t="shared" si="34"/>
        <v>1658494.7840275601</v>
      </c>
      <c r="L156" s="58"/>
      <c r="M156" s="58"/>
      <c r="O156" t="s">
        <v>302</v>
      </c>
      <c r="P156">
        <v>40800</v>
      </c>
      <c r="Q156" s="353">
        <f t="shared" ref="Q156:Q162" si="36">P156-G156</f>
        <v>16400</v>
      </c>
    </row>
    <row r="157" spans="1:17" ht="13.5" customHeight="1" x14ac:dyDescent="0.2">
      <c r="A157" s="65"/>
      <c r="B157" s="66" t="s">
        <v>41</v>
      </c>
      <c r="C157" s="67" t="s">
        <v>6</v>
      </c>
      <c r="D157" s="68">
        <v>7.0000000000000007E-2</v>
      </c>
      <c r="E157" s="69">
        <f t="shared" ref="E157:E165" si="37">$E$81*D157</f>
        <v>40.649381952900001</v>
      </c>
      <c r="F157" s="70">
        <f t="shared" si="33"/>
        <v>32200</v>
      </c>
      <c r="G157" s="70">
        <v>16100</v>
      </c>
      <c r="H157" s="70">
        <v>16100</v>
      </c>
      <c r="I157" s="171">
        <f t="shared" si="35"/>
        <v>654455.04944168997</v>
      </c>
      <c r="J157" s="172">
        <v>654455.05000000005</v>
      </c>
      <c r="K157" s="173">
        <f t="shared" si="34"/>
        <v>1308910.0994416899</v>
      </c>
      <c r="L157" s="58"/>
      <c r="M157" s="58"/>
      <c r="O157" t="s">
        <v>303</v>
      </c>
      <c r="P157">
        <v>32200</v>
      </c>
      <c r="Q157" s="353">
        <f t="shared" si="36"/>
        <v>16100</v>
      </c>
    </row>
    <row r="158" spans="1:17" ht="13.5" customHeight="1" x14ac:dyDescent="0.2">
      <c r="A158" s="65"/>
      <c r="B158" s="66" t="s">
        <v>42</v>
      </c>
      <c r="C158" s="67" t="s">
        <v>6</v>
      </c>
      <c r="D158" s="68">
        <v>0.17</v>
      </c>
      <c r="E158" s="69">
        <f t="shared" si="37"/>
        <v>98.719927599900004</v>
      </c>
      <c r="F158" s="70">
        <f t="shared" si="33"/>
        <v>29100</v>
      </c>
      <c r="G158" s="70">
        <v>12800</v>
      </c>
      <c r="H158" s="70">
        <v>16300</v>
      </c>
      <c r="I158" s="171">
        <f t="shared" si="35"/>
        <v>1609134.81987837</v>
      </c>
      <c r="J158" s="172">
        <v>1263615.07</v>
      </c>
      <c r="K158" s="173">
        <f t="shared" si="34"/>
        <v>2872749.8898783699</v>
      </c>
      <c r="L158" s="58"/>
      <c r="M158" s="58"/>
      <c r="O158" t="s">
        <v>304</v>
      </c>
      <c r="P158">
        <v>29100</v>
      </c>
      <c r="Q158" s="353">
        <f t="shared" si="36"/>
        <v>16300</v>
      </c>
    </row>
    <row r="159" spans="1:17" ht="13.5" customHeight="1" x14ac:dyDescent="0.2">
      <c r="A159" s="65"/>
      <c r="B159" s="66" t="s">
        <v>76</v>
      </c>
      <c r="C159" s="67" t="s">
        <v>6</v>
      </c>
      <c r="D159" s="68">
        <v>0.08</v>
      </c>
      <c r="E159" s="69">
        <f t="shared" si="37"/>
        <v>46.456436517599997</v>
      </c>
      <c r="F159" s="70">
        <f t="shared" si="33"/>
        <v>21200</v>
      </c>
      <c r="G159" s="70">
        <v>6900</v>
      </c>
      <c r="H159" s="70">
        <v>14300</v>
      </c>
      <c r="I159" s="171">
        <f t="shared" si="35"/>
        <v>664327.0422016799</v>
      </c>
      <c r="J159" s="172">
        <v>320549.42</v>
      </c>
      <c r="K159" s="173">
        <f t="shared" si="34"/>
        <v>984876.46220167982</v>
      </c>
      <c r="L159" s="58"/>
      <c r="M159" s="58"/>
      <c r="O159" t="s">
        <v>305</v>
      </c>
      <c r="P159">
        <v>21200</v>
      </c>
      <c r="Q159" s="353">
        <f t="shared" si="36"/>
        <v>14300</v>
      </c>
    </row>
    <row r="160" spans="1:17" ht="13.5" customHeight="1" x14ac:dyDescent="0.2">
      <c r="A160" s="65"/>
      <c r="B160" s="66" t="s">
        <v>77</v>
      </c>
      <c r="C160" s="67" t="s">
        <v>6</v>
      </c>
      <c r="D160" s="68">
        <v>7.0000000000000007E-2</v>
      </c>
      <c r="E160" s="69">
        <f t="shared" si="37"/>
        <v>40.649381952900001</v>
      </c>
      <c r="F160" s="70">
        <f t="shared" si="33"/>
        <v>20400</v>
      </c>
      <c r="G160" s="70">
        <v>6900</v>
      </c>
      <c r="H160" s="70">
        <v>13500</v>
      </c>
      <c r="I160" s="171">
        <f t="shared" si="35"/>
        <v>548766.65636415</v>
      </c>
      <c r="J160" s="172">
        <v>280480.73</v>
      </c>
      <c r="K160" s="173">
        <f t="shared" si="34"/>
        <v>829247.38636414998</v>
      </c>
      <c r="L160" s="58"/>
      <c r="M160" s="58"/>
      <c r="O160" t="s">
        <v>306</v>
      </c>
      <c r="P160">
        <v>20400</v>
      </c>
      <c r="Q160" s="353">
        <f t="shared" si="36"/>
        <v>13500</v>
      </c>
    </row>
    <row r="161" spans="1:17" ht="13.5" customHeight="1" x14ac:dyDescent="0.2">
      <c r="A161" s="65"/>
      <c r="B161" s="66" t="s">
        <v>43</v>
      </c>
      <c r="C161" s="67" t="s">
        <v>6</v>
      </c>
      <c r="D161" s="68">
        <v>0.08</v>
      </c>
      <c r="E161" s="69">
        <f t="shared" si="37"/>
        <v>46.456436517599997</v>
      </c>
      <c r="F161" s="70">
        <f t="shared" si="33"/>
        <v>20200</v>
      </c>
      <c r="G161" s="70">
        <v>6900</v>
      </c>
      <c r="H161" s="70">
        <v>13300</v>
      </c>
      <c r="I161" s="171">
        <f t="shared" si="35"/>
        <v>617870.60568407993</v>
      </c>
      <c r="J161" s="172">
        <v>320549.40999999997</v>
      </c>
      <c r="K161" s="173">
        <f>SUM(I161:J161)</f>
        <v>938420.01568407984</v>
      </c>
      <c r="L161" s="58"/>
      <c r="M161" s="58"/>
      <c r="O161" t="s">
        <v>307</v>
      </c>
      <c r="P161">
        <v>20200</v>
      </c>
      <c r="Q161" s="353">
        <f t="shared" si="36"/>
        <v>13300</v>
      </c>
    </row>
    <row r="162" spans="1:17" ht="13.5" customHeight="1" x14ac:dyDescent="0.2">
      <c r="A162" s="65"/>
      <c r="B162" s="66" t="s">
        <v>78</v>
      </c>
      <c r="C162" s="67" t="s">
        <v>6</v>
      </c>
      <c r="D162" s="68">
        <v>7.0000000000000007E-2</v>
      </c>
      <c r="E162" s="69">
        <f t="shared" si="37"/>
        <v>40.649381952900001</v>
      </c>
      <c r="F162" s="70">
        <f t="shared" si="33"/>
        <v>7600</v>
      </c>
      <c r="G162" s="70">
        <v>3700</v>
      </c>
      <c r="H162" s="70">
        <v>3900</v>
      </c>
      <c r="I162" s="171">
        <f t="shared" si="35"/>
        <v>158532.58961631</v>
      </c>
      <c r="J162" s="172">
        <v>150402.71</v>
      </c>
      <c r="K162" s="173">
        <f t="shared" ref="K162:K167" si="38">SUM(I162:J162)</f>
        <v>308935.29961630999</v>
      </c>
      <c r="L162" s="58"/>
      <c r="M162" s="58"/>
      <c r="O162" t="s">
        <v>308</v>
      </c>
      <c r="P162">
        <v>7600</v>
      </c>
      <c r="Q162" s="353">
        <f t="shared" si="36"/>
        <v>3900</v>
      </c>
    </row>
    <row r="163" spans="1:17" ht="13.5" customHeight="1" x14ac:dyDescent="0.2">
      <c r="A163" s="65"/>
      <c r="B163" s="66" t="s">
        <v>44</v>
      </c>
      <c r="C163" s="67" t="s">
        <v>6</v>
      </c>
      <c r="D163" s="68">
        <v>7.0000000000000007E-2</v>
      </c>
      <c r="E163" s="69">
        <f t="shared" si="37"/>
        <v>40.649381952900001</v>
      </c>
      <c r="F163" s="70">
        <f t="shared" si="33"/>
        <v>0</v>
      </c>
      <c r="G163" s="70"/>
      <c r="H163" s="70"/>
      <c r="I163" s="171">
        <f t="shared" si="35"/>
        <v>0</v>
      </c>
      <c r="J163" s="172">
        <f t="shared" ref="J163:J167" si="39">G163*E163</f>
        <v>0</v>
      </c>
      <c r="K163" s="173">
        <f t="shared" si="38"/>
        <v>0</v>
      </c>
      <c r="L163" s="58"/>
      <c r="M163" s="58"/>
    </row>
    <row r="164" spans="1:17" ht="13.5" customHeight="1" x14ac:dyDescent="0.2">
      <c r="A164" s="65"/>
      <c r="B164" s="66" t="s">
        <v>79</v>
      </c>
      <c r="C164" s="67" t="s">
        <v>6</v>
      </c>
      <c r="D164" s="68">
        <v>0.05</v>
      </c>
      <c r="E164" s="69">
        <f t="shared" si="37"/>
        <v>29.035272823499998</v>
      </c>
      <c r="F164" s="70">
        <f t="shared" si="33"/>
        <v>0</v>
      </c>
      <c r="G164" s="70"/>
      <c r="H164" s="70"/>
      <c r="I164" s="171">
        <f t="shared" si="35"/>
        <v>0</v>
      </c>
      <c r="J164" s="172">
        <f t="shared" si="39"/>
        <v>0</v>
      </c>
      <c r="K164" s="173">
        <f t="shared" si="38"/>
        <v>0</v>
      </c>
      <c r="L164" s="58"/>
      <c r="M164" s="58"/>
    </row>
    <row r="165" spans="1:17" ht="13.5" customHeight="1" x14ac:dyDescent="0.2">
      <c r="A165" s="65"/>
      <c r="B165" s="66" t="s">
        <v>80</v>
      </c>
      <c r="C165" s="71" t="s">
        <v>6</v>
      </c>
      <c r="D165" s="68">
        <v>0.09</v>
      </c>
      <c r="E165" s="69">
        <f t="shared" si="37"/>
        <v>52.263491082299993</v>
      </c>
      <c r="F165" s="70">
        <f t="shared" si="33"/>
        <v>0</v>
      </c>
      <c r="G165" s="70"/>
      <c r="H165" s="70"/>
      <c r="I165" s="171">
        <f t="shared" si="35"/>
        <v>0</v>
      </c>
      <c r="J165" s="172">
        <f t="shared" si="39"/>
        <v>0</v>
      </c>
      <c r="K165" s="173">
        <f t="shared" si="38"/>
        <v>0</v>
      </c>
    </row>
    <row r="166" spans="1:17" ht="13.5" customHeight="1" x14ac:dyDescent="0.2">
      <c r="A166" s="65"/>
      <c r="B166" s="156" t="s">
        <v>81</v>
      </c>
      <c r="C166" s="71" t="s">
        <v>6</v>
      </c>
      <c r="D166" s="68">
        <v>0.02</v>
      </c>
      <c r="E166" s="69">
        <f>$E$81*D166</f>
        <v>11.614109129399999</v>
      </c>
      <c r="F166" s="70">
        <f t="shared" si="33"/>
        <v>0</v>
      </c>
      <c r="G166" s="70"/>
      <c r="H166" s="70"/>
      <c r="I166" s="171">
        <f>H166*E166</f>
        <v>0</v>
      </c>
      <c r="J166" s="172">
        <f t="shared" si="39"/>
        <v>0</v>
      </c>
      <c r="K166" s="173">
        <f t="shared" si="38"/>
        <v>0</v>
      </c>
    </row>
    <row r="167" spans="1:17" ht="13.5" customHeight="1" thickBot="1" x14ac:dyDescent="0.25">
      <c r="A167" s="65"/>
      <c r="B167" s="66" t="s">
        <v>82</v>
      </c>
      <c r="C167" s="71" t="s">
        <v>6</v>
      </c>
      <c r="D167" s="68">
        <v>0.06</v>
      </c>
      <c r="E167" s="69">
        <f t="shared" ref="E167" si="40">$E$81*D167</f>
        <v>34.842327388199998</v>
      </c>
      <c r="F167" s="70">
        <f t="shared" si="33"/>
        <v>0</v>
      </c>
      <c r="G167" s="70"/>
      <c r="H167" s="70"/>
      <c r="I167" s="171">
        <f t="shared" ref="I167" si="41">H167*E167</f>
        <v>0</v>
      </c>
      <c r="J167" s="172">
        <f t="shared" si="39"/>
        <v>0</v>
      </c>
      <c r="K167" s="173">
        <f t="shared" si="38"/>
        <v>0</v>
      </c>
    </row>
    <row r="168" spans="1:17" ht="13.5" customHeight="1" x14ac:dyDescent="0.2">
      <c r="A168" s="72"/>
      <c r="B168" s="73"/>
      <c r="C168" s="74"/>
      <c r="D168" s="75">
        <f>SUM(D154:D167)</f>
        <v>1</v>
      </c>
      <c r="E168" s="76">
        <f>SUM(E154:E167)</f>
        <v>580.70545647000006</v>
      </c>
      <c r="F168" s="77"/>
      <c r="G168" s="77"/>
      <c r="H168" s="78" t="s">
        <v>83</v>
      </c>
      <c r="I168" s="174">
        <f>SUM(I154:I167)</f>
        <v>5663039.6114954399</v>
      </c>
      <c r="J168" s="174">
        <f>SUM(J154:J167)</f>
        <v>6302802.7999999998</v>
      </c>
      <c r="K168" s="175">
        <f>SUM(K154:K167)</f>
        <v>11965842.41149544</v>
      </c>
    </row>
    <row r="169" spans="1:17" ht="9.75" customHeight="1" x14ac:dyDescent="0.2">
      <c r="A169" s="79"/>
      <c r="B169" s="80"/>
      <c r="C169" s="81"/>
      <c r="D169" s="82"/>
      <c r="E169" s="83"/>
      <c r="F169" s="84"/>
      <c r="G169" s="84"/>
      <c r="H169" s="85"/>
      <c r="I169" s="176"/>
      <c r="J169" s="176"/>
      <c r="K169" s="176"/>
    </row>
    <row r="170" spans="1:17" ht="11.25" customHeight="1" x14ac:dyDescent="0.2">
      <c r="D170" s="86"/>
      <c r="E170" s="87"/>
      <c r="F170" s="88"/>
      <c r="G170" s="88"/>
      <c r="H170" s="89"/>
      <c r="I170" s="177"/>
      <c r="J170" s="177"/>
      <c r="K170" s="177"/>
    </row>
    <row r="171" spans="1:17" ht="13.5" customHeight="1" x14ac:dyDescent="0.2">
      <c r="A171" s="4" t="str">
        <f>Summary!$G$9</f>
        <v>Contractor</v>
      </c>
      <c r="D171" s="90"/>
      <c r="E171" s="91"/>
      <c r="F171" s="92"/>
      <c r="G171" s="88"/>
      <c r="H171" s="89"/>
      <c r="I171" s="177"/>
      <c r="J171" s="177"/>
      <c r="K171" s="177"/>
    </row>
    <row r="172" spans="1:17" ht="13.5" customHeight="1" x14ac:dyDescent="0.2">
      <c r="A172" s="79"/>
      <c r="B172" s="80"/>
      <c r="C172" s="81"/>
      <c r="D172" s="82"/>
      <c r="E172" s="83"/>
      <c r="F172" s="93"/>
      <c r="G172" s="93"/>
      <c r="H172" s="94"/>
      <c r="I172" s="95"/>
      <c r="J172" s="95"/>
      <c r="K172" s="95"/>
    </row>
    <row r="173" spans="1:17" ht="13.5" customHeight="1" x14ac:dyDescent="0.2">
      <c r="A173" s="79"/>
      <c r="B173" s="80"/>
      <c r="C173" s="81"/>
      <c r="D173" s="82"/>
      <c r="E173" s="83"/>
      <c r="F173" s="93"/>
      <c r="G173" s="93"/>
      <c r="H173" s="94"/>
      <c r="I173" s="95"/>
      <c r="J173" s="95"/>
      <c r="K173" s="95"/>
    </row>
    <row r="174" spans="1:17" ht="13.5" customHeight="1" x14ac:dyDescent="0.2">
      <c r="A174" s="79"/>
      <c r="C174" s="81"/>
      <c r="D174" s="82"/>
      <c r="E174" s="83"/>
      <c r="F174" s="93"/>
      <c r="G174" s="93"/>
      <c r="I174" s="95"/>
      <c r="J174" s="95"/>
      <c r="K174" s="95"/>
    </row>
    <row r="175" spans="1:17" x14ac:dyDescent="0.2">
      <c r="A175" s="79"/>
      <c r="B175" s="80"/>
      <c r="C175" s="81"/>
      <c r="D175" s="82"/>
      <c r="E175" s="83"/>
      <c r="F175" s="93"/>
      <c r="G175" s="93"/>
      <c r="I175" s="488"/>
      <c r="J175" s="488"/>
      <c r="K175" s="488"/>
    </row>
    <row r="176" spans="1:17" x14ac:dyDescent="0.2">
      <c r="A176" s="79"/>
      <c r="B176" s="80"/>
      <c r="C176" s="81"/>
      <c r="D176" s="82"/>
      <c r="E176" s="83"/>
      <c r="F176" s="93"/>
      <c r="G176" s="93"/>
      <c r="H176" s="94"/>
      <c r="I176" s="489" t="str">
        <f>Summary!$G$10</f>
        <v>Construction Manager</v>
      </c>
      <c r="J176" s="489"/>
      <c r="K176" s="489"/>
    </row>
    <row r="177" spans="1:17" x14ac:dyDescent="0.2">
      <c r="I177" s="96"/>
      <c r="J177" s="96"/>
      <c r="K177" s="95"/>
    </row>
    <row r="179" spans="1:17" x14ac:dyDescent="0.2">
      <c r="A179" s="5" t="str">
        <f>Summary!$G$11</f>
        <v>PIPELINE PROJECT</v>
      </c>
    </row>
    <row r="186" spans="1:17" ht="17" x14ac:dyDescent="0.2">
      <c r="A186" s="158" t="s">
        <v>0</v>
      </c>
    </row>
    <row r="187" spans="1:17" ht="17" x14ac:dyDescent="0.2">
      <c r="A187" s="49" t="s">
        <v>69</v>
      </c>
    </row>
    <row r="188" spans="1:17" ht="16.5" customHeight="1" x14ac:dyDescent="0.2">
      <c r="A188" s="49"/>
      <c r="I188" s="2" t="s">
        <v>11</v>
      </c>
      <c r="J188" s="487">
        <v>42400</v>
      </c>
      <c r="K188" s="487"/>
    </row>
    <row r="189" spans="1:17" s="58" customFormat="1" ht="23.25" customHeight="1" x14ac:dyDescent="0.15">
      <c r="A189" s="50"/>
      <c r="B189" s="51"/>
      <c r="C189" s="52">
        <v>69435</v>
      </c>
      <c r="D189" s="53" t="s">
        <v>35</v>
      </c>
      <c r="E189" s="54">
        <v>580.70545646999994</v>
      </c>
      <c r="F189" s="55" t="s">
        <v>36</v>
      </c>
      <c r="G189" s="55" t="s">
        <v>27</v>
      </c>
      <c r="H189" s="55" t="s">
        <v>37</v>
      </c>
      <c r="I189" s="56" t="s">
        <v>38</v>
      </c>
      <c r="J189" s="56" t="s">
        <v>39</v>
      </c>
      <c r="K189" s="57" t="s">
        <v>40</v>
      </c>
      <c r="P189" s="58" t="s">
        <v>271</v>
      </c>
      <c r="Q189" s="58" t="s">
        <v>272</v>
      </c>
    </row>
    <row r="190" spans="1:17" ht="13.5" customHeight="1" x14ac:dyDescent="0.2">
      <c r="A190" s="59" t="s">
        <v>84</v>
      </c>
      <c r="B190" s="60" t="s">
        <v>74</v>
      </c>
      <c r="C190" s="61" t="s">
        <v>6</v>
      </c>
      <c r="D190" s="62">
        <v>0.02</v>
      </c>
      <c r="E190" s="63">
        <f>$E$81*D190</f>
        <v>11.614109129399999</v>
      </c>
      <c r="F190" s="64">
        <f t="shared" ref="F190:F203" si="42">G190+H190</f>
        <v>69435</v>
      </c>
      <c r="G190" s="64">
        <v>69435</v>
      </c>
      <c r="H190" s="70"/>
      <c r="I190" s="168">
        <f>H190*E190</f>
        <v>0</v>
      </c>
      <c r="J190" s="172">
        <f t="shared" ref="J190:J198" si="43">G190*E190</f>
        <v>806425.66739988897</v>
      </c>
      <c r="K190" s="173">
        <f t="shared" ref="K190:K196" si="44">SUM(I190:J190)</f>
        <v>806425.66739988897</v>
      </c>
      <c r="L190" s="58"/>
      <c r="M190" s="58"/>
    </row>
    <row r="191" spans="1:17" ht="13.5" customHeight="1" x14ac:dyDescent="0.2">
      <c r="A191" s="65"/>
      <c r="B191" s="156" t="s">
        <v>75</v>
      </c>
      <c r="C191" s="71" t="s">
        <v>6</v>
      </c>
      <c r="D191" s="68">
        <v>0.08</v>
      </c>
      <c r="E191" s="69">
        <f>$E$81*D191</f>
        <v>46.456436517599997</v>
      </c>
      <c r="F191" s="70">
        <f t="shared" si="42"/>
        <v>59700</v>
      </c>
      <c r="G191" s="70">
        <v>48600</v>
      </c>
      <c r="H191" s="70">
        <v>11100</v>
      </c>
      <c r="I191" s="171">
        <f t="shared" ref="I191:I201" si="45">H191*E191</f>
        <v>515666.44534535997</v>
      </c>
      <c r="J191" s="172">
        <f t="shared" si="43"/>
        <v>2257782.8147553597</v>
      </c>
      <c r="K191" s="173">
        <f t="shared" si="44"/>
        <v>2773449.2601007195</v>
      </c>
      <c r="L191" s="58"/>
      <c r="M191" s="58"/>
      <c r="O191" t="s">
        <v>301</v>
      </c>
      <c r="P191">
        <v>59700</v>
      </c>
      <c r="Q191" s="353">
        <f>P191-G191</f>
        <v>11100</v>
      </c>
    </row>
    <row r="192" spans="1:17" ht="13.5" customHeight="1" x14ac:dyDescent="0.2">
      <c r="A192" s="65"/>
      <c r="B192" s="66" t="s">
        <v>215</v>
      </c>
      <c r="C192" s="67" t="s">
        <v>6</v>
      </c>
      <c r="D192" s="68">
        <v>7.0000000000000007E-2</v>
      </c>
      <c r="E192" s="69">
        <f>$E$81*D192</f>
        <v>40.649381952900001</v>
      </c>
      <c r="F192" s="70">
        <f t="shared" si="42"/>
        <v>51600</v>
      </c>
      <c r="G192" s="70">
        <v>40800</v>
      </c>
      <c r="H192" s="70">
        <v>10800</v>
      </c>
      <c r="I192" s="171">
        <f t="shared" si="45"/>
        <v>439013.32509132003</v>
      </c>
      <c r="J192" s="172">
        <f t="shared" si="43"/>
        <v>1658494.78367832</v>
      </c>
      <c r="K192" s="173">
        <f t="shared" si="44"/>
        <v>2097508.1087696399</v>
      </c>
      <c r="L192" s="58"/>
      <c r="M192" s="58"/>
      <c r="O192" t="s">
        <v>302</v>
      </c>
      <c r="P192">
        <v>51600</v>
      </c>
      <c r="Q192" s="353">
        <f t="shared" ref="Q192:Q198" si="46">P192-G192</f>
        <v>10800</v>
      </c>
    </row>
    <row r="193" spans="1:17" ht="13.5" customHeight="1" x14ac:dyDescent="0.2">
      <c r="A193" s="65"/>
      <c r="B193" s="66" t="s">
        <v>41</v>
      </c>
      <c r="C193" s="67" t="s">
        <v>6</v>
      </c>
      <c r="D193" s="68">
        <v>7.0000000000000007E-2</v>
      </c>
      <c r="E193" s="69">
        <f t="shared" ref="E193:E201" si="47">$E$81*D193</f>
        <v>40.649381952900001</v>
      </c>
      <c r="F193" s="70">
        <f t="shared" si="42"/>
        <v>47600</v>
      </c>
      <c r="G193" s="70">
        <v>32200</v>
      </c>
      <c r="H193" s="70">
        <v>15400</v>
      </c>
      <c r="I193" s="171">
        <f t="shared" si="45"/>
        <v>626000.48207466002</v>
      </c>
      <c r="J193" s="172">
        <f t="shared" si="43"/>
        <v>1308910.0988833799</v>
      </c>
      <c r="K193" s="173">
        <f t="shared" si="44"/>
        <v>1934910.58095804</v>
      </c>
      <c r="L193" s="58"/>
      <c r="M193" s="58"/>
      <c r="O193" t="s">
        <v>303</v>
      </c>
      <c r="P193">
        <v>47600</v>
      </c>
      <c r="Q193" s="353">
        <f t="shared" si="46"/>
        <v>15400</v>
      </c>
    </row>
    <row r="194" spans="1:17" ht="13.5" customHeight="1" x14ac:dyDescent="0.2">
      <c r="A194" s="65"/>
      <c r="B194" s="66" t="s">
        <v>42</v>
      </c>
      <c r="C194" s="67" t="s">
        <v>6</v>
      </c>
      <c r="D194" s="68">
        <v>0.17</v>
      </c>
      <c r="E194" s="69">
        <f t="shared" si="47"/>
        <v>98.719927599900004</v>
      </c>
      <c r="F194" s="70">
        <f t="shared" si="42"/>
        <v>41900</v>
      </c>
      <c r="G194" s="70">
        <v>29100</v>
      </c>
      <c r="H194" s="70">
        <v>12800</v>
      </c>
      <c r="I194" s="171">
        <f t="shared" si="45"/>
        <v>1263615.07327872</v>
      </c>
      <c r="J194" s="172">
        <f t="shared" si="43"/>
        <v>2872749.8931570901</v>
      </c>
      <c r="K194" s="173">
        <f t="shared" si="44"/>
        <v>4136364.9664358101</v>
      </c>
      <c r="L194" s="58"/>
      <c r="M194" s="58"/>
      <c r="O194" t="s">
        <v>304</v>
      </c>
      <c r="P194">
        <v>41900</v>
      </c>
      <c r="Q194" s="353">
        <f t="shared" si="46"/>
        <v>12800</v>
      </c>
    </row>
    <row r="195" spans="1:17" ht="13.5" customHeight="1" x14ac:dyDescent="0.2">
      <c r="A195" s="65"/>
      <c r="B195" s="66" t="s">
        <v>76</v>
      </c>
      <c r="C195" s="67" t="s">
        <v>6</v>
      </c>
      <c r="D195" s="68">
        <v>0.08</v>
      </c>
      <c r="E195" s="69">
        <f t="shared" si="47"/>
        <v>46.456436517599997</v>
      </c>
      <c r="F195" s="70">
        <f t="shared" si="42"/>
        <v>36000</v>
      </c>
      <c r="G195" s="70">
        <v>21200</v>
      </c>
      <c r="H195" s="70">
        <v>14800</v>
      </c>
      <c r="I195" s="171">
        <f t="shared" si="45"/>
        <v>687555.26046048</v>
      </c>
      <c r="J195" s="172">
        <f t="shared" si="43"/>
        <v>984876.45417311997</v>
      </c>
      <c r="K195" s="173">
        <f t="shared" si="44"/>
        <v>1672431.7146335999</v>
      </c>
      <c r="L195" s="58"/>
      <c r="M195" s="58"/>
      <c r="O195" t="s">
        <v>305</v>
      </c>
      <c r="P195">
        <v>36000</v>
      </c>
      <c r="Q195" s="353">
        <f t="shared" si="46"/>
        <v>14800</v>
      </c>
    </row>
    <row r="196" spans="1:17" ht="13.5" customHeight="1" x14ac:dyDescent="0.2">
      <c r="A196" s="65"/>
      <c r="B196" s="66" t="s">
        <v>77</v>
      </c>
      <c r="C196" s="67" t="s">
        <v>6</v>
      </c>
      <c r="D196" s="68">
        <v>7.0000000000000007E-2</v>
      </c>
      <c r="E196" s="69">
        <f t="shared" si="47"/>
        <v>40.649381952900001</v>
      </c>
      <c r="F196" s="70">
        <f t="shared" si="42"/>
        <v>36000</v>
      </c>
      <c r="G196" s="70">
        <v>20400</v>
      </c>
      <c r="H196" s="70">
        <v>15600</v>
      </c>
      <c r="I196" s="171">
        <f t="shared" si="45"/>
        <v>634130.35846523999</v>
      </c>
      <c r="J196" s="172">
        <f t="shared" si="43"/>
        <v>829247.39183916</v>
      </c>
      <c r="K196" s="173">
        <f t="shared" si="44"/>
        <v>1463377.7503044</v>
      </c>
      <c r="L196" s="58"/>
      <c r="M196" s="58"/>
      <c r="O196" t="s">
        <v>306</v>
      </c>
      <c r="P196">
        <v>36000</v>
      </c>
      <c r="Q196" s="353">
        <f t="shared" si="46"/>
        <v>15600</v>
      </c>
    </row>
    <row r="197" spans="1:17" ht="13.5" customHeight="1" x14ac:dyDescent="0.2">
      <c r="A197" s="65"/>
      <c r="B197" s="66" t="s">
        <v>43</v>
      </c>
      <c r="C197" s="67" t="s">
        <v>6</v>
      </c>
      <c r="D197" s="68">
        <v>0.08</v>
      </c>
      <c r="E197" s="69">
        <f t="shared" si="47"/>
        <v>46.456436517599997</v>
      </c>
      <c r="F197" s="70">
        <f t="shared" si="42"/>
        <v>35900</v>
      </c>
      <c r="G197" s="70">
        <v>20200</v>
      </c>
      <c r="H197" s="70">
        <v>15700</v>
      </c>
      <c r="I197" s="171">
        <f t="shared" si="45"/>
        <v>729366.0533263199</v>
      </c>
      <c r="J197" s="172">
        <f t="shared" si="43"/>
        <v>938420.01765551989</v>
      </c>
      <c r="K197" s="173">
        <f>SUM(I197:J197)</f>
        <v>1667786.0709818397</v>
      </c>
      <c r="L197" s="58"/>
      <c r="M197" s="58"/>
      <c r="O197" t="s">
        <v>307</v>
      </c>
      <c r="P197">
        <v>35900</v>
      </c>
      <c r="Q197" s="353">
        <f t="shared" si="46"/>
        <v>15700</v>
      </c>
    </row>
    <row r="198" spans="1:17" ht="13.5" customHeight="1" x14ac:dyDescent="0.2">
      <c r="A198" s="65"/>
      <c r="B198" s="66" t="s">
        <v>78</v>
      </c>
      <c r="C198" s="67" t="s">
        <v>6</v>
      </c>
      <c r="D198" s="68">
        <v>7.0000000000000007E-2</v>
      </c>
      <c r="E198" s="69">
        <f t="shared" si="47"/>
        <v>40.649381952900001</v>
      </c>
      <c r="F198" s="70">
        <f t="shared" si="42"/>
        <v>14600</v>
      </c>
      <c r="G198" s="70">
        <v>7600</v>
      </c>
      <c r="H198" s="70">
        <v>7000</v>
      </c>
      <c r="I198" s="171">
        <f t="shared" si="45"/>
        <v>284545.67367029999</v>
      </c>
      <c r="J198" s="172">
        <f t="shared" si="43"/>
        <v>308935.30284204002</v>
      </c>
      <c r="K198" s="173">
        <f t="shared" ref="K198:K203" si="48">SUM(I198:J198)</f>
        <v>593480.97651234001</v>
      </c>
      <c r="L198" s="58"/>
      <c r="M198" s="58"/>
      <c r="O198" t="s">
        <v>308</v>
      </c>
      <c r="P198">
        <v>14600</v>
      </c>
      <c r="Q198" s="353">
        <f t="shared" si="46"/>
        <v>7000</v>
      </c>
    </row>
    <row r="199" spans="1:17" ht="13.5" customHeight="1" x14ac:dyDescent="0.2">
      <c r="A199" s="65"/>
      <c r="B199" s="66" t="s">
        <v>44</v>
      </c>
      <c r="C199" s="67" t="s">
        <v>6</v>
      </c>
      <c r="D199" s="68">
        <v>7.0000000000000007E-2</v>
      </c>
      <c r="E199" s="69">
        <f t="shared" si="47"/>
        <v>40.649381952900001</v>
      </c>
      <c r="F199" s="70">
        <f t="shared" si="42"/>
        <v>0</v>
      </c>
      <c r="G199" s="70"/>
      <c r="H199" s="70"/>
      <c r="I199" s="171">
        <f t="shared" si="45"/>
        <v>0</v>
      </c>
      <c r="J199" s="172">
        <f t="shared" ref="J199:J203" si="49">G199*E199</f>
        <v>0</v>
      </c>
      <c r="K199" s="173">
        <f t="shared" si="48"/>
        <v>0</v>
      </c>
    </row>
    <row r="200" spans="1:17" ht="13.5" customHeight="1" x14ac:dyDescent="0.2">
      <c r="A200" s="65"/>
      <c r="B200" s="66" t="s">
        <v>79</v>
      </c>
      <c r="C200" s="67" t="s">
        <v>6</v>
      </c>
      <c r="D200" s="68">
        <v>0.05</v>
      </c>
      <c r="E200" s="69">
        <f t="shared" si="47"/>
        <v>29.035272823499998</v>
      </c>
      <c r="F200" s="70">
        <f t="shared" si="42"/>
        <v>0</v>
      </c>
      <c r="G200" s="70"/>
      <c r="H200" s="70"/>
      <c r="I200" s="171">
        <f t="shared" si="45"/>
        <v>0</v>
      </c>
      <c r="J200" s="172">
        <f t="shared" si="49"/>
        <v>0</v>
      </c>
      <c r="K200" s="173">
        <f t="shared" si="48"/>
        <v>0</v>
      </c>
    </row>
    <row r="201" spans="1:17" ht="13.5" customHeight="1" x14ac:dyDescent="0.2">
      <c r="A201" s="65"/>
      <c r="B201" s="66" t="s">
        <v>80</v>
      </c>
      <c r="C201" s="71" t="s">
        <v>6</v>
      </c>
      <c r="D201" s="68">
        <v>0.09</v>
      </c>
      <c r="E201" s="69">
        <f t="shared" si="47"/>
        <v>52.263491082299993</v>
      </c>
      <c r="F201" s="70">
        <f t="shared" si="42"/>
        <v>0</v>
      </c>
      <c r="G201" s="70"/>
      <c r="H201" s="70"/>
      <c r="I201" s="171">
        <f t="shared" si="45"/>
        <v>0</v>
      </c>
      <c r="J201" s="172">
        <f t="shared" si="49"/>
        <v>0</v>
      </c>
      <c r="K201" s="173">
        <f t="shared" si="48"/>
        <v>0</v>
      </c>
    </row>
    <row r="202" spans="1:17" ht="13.5" customHeight="1" x14ac:dyDescent="0.2">
      <c r="A202" s="65"/>
      <c r="B202" s="156" t="s">
        <v>81</v>
      </c>
      <c r="C202" s="71" t="s">
        <v>6</v>
      </c>
      <c r="D202" s="68">
        <v>0.02</v>
      </c>
      <c r="E202" s="69">
        <f>$E$81*D202</f>
        <v>11.614109129399999</v>
      </c>
      <c r="F202" s="70">
        <f t="shared" si="42"/>
        <v>0</v>
      </c>
      <c r="G202" s="70"/>
      <c r="H202" s="70"/>
      <c r="I202" s="171">
        <f>H202*E202</f>
        <v>0</v>
      </c>
      <c r="J202" s="172">
        <f t="shared" si="49"/>
        <v>0</v>
      </c>
      <c r="K202" s="173">
        <f t="shared" si="48"/>
        <v>0</v>
      </c>
    </row>
    <row r="203" spans="1:17" ht="13.5" customHeight="1" thickBot="1" x14ac:dyDescent="0.25">
      <c r="A203" s="65"/>
      <c r="B203" s="66" t="s">
        <v>82</v>
      </c>
      <c r="C203" s="71" t="s">
        <v>6</v>
      </c>
      <c r="D203" s="68">
        <v>0.06</v>
      </c>
      <c r="E203" s="69">
        <f t="shared" ref="E203" si="50">$E$81*D203</f>
        <v>34.842327388199998</v>
      </c>
      <c r="F203" s="70">
        <f t="shared" si="42"/>
        <v>0</v>
      </c>
      <c r="G203" s="70"/>
      <c r="H203" s="70"/>
      <c r="I203" s="171">
        <f t="shared" ref="I203" si="51">H203*E203</f>
        <v>0</v>
      </c>
      <c r="J203" s="172">
        <f t="shared" si="49"/>
        <v>0</v>
      </c>
      <c r="K203" s="173">
        <f t="shared" si="48"/>
        <v>0</v>
      </c>
    </row>
    <row r="204" spans="1:17" ht="13.5" customHeight="1" x14ac:dyDescent="0.2">
      <c r="A204" s="72"/>
      <c r="B204" s="73"/>
      <c r="C204" s="74"/>
      <c r="D204" s="75">
        <f>SUM(D190:D203)</f>
        <v>1</v>
      </c>
      <c r="E204" s="76">
        <f>SUM(E190:E203)</f>
        <v>580.70545647000006</v>
      </c>
      <c r="F204" s="77"/>
      <c r="G204" s="77"/>
      <c r="H204" s="78" t="s">
        <v>83</v>
      </c>
      <c r="I204" s="174">
        <f>SUM(I190:I203)</f>
        <v>5179892.6717123995</v>
      </c>
      <c r="J204" s="174">
        <f>SUM(J190:J203)</f>
        <v>11965842.424383877</v>
      </c>
      <c r="K204" s="175">
        <f>SUM(K190:K203)</f>
        <v>17145735.096096281</v>
      </c>
    </row>
    <row r="205" spans="1:17" ht="9.75" customHeight="1" x14ac:dyDescent="0.2">
      <c r="A205" s="79"/>
      <c r="B205" s="80"/>
      <c r="C205" s="81"/>
      <c r="D205" s="82"/>
      <c r="E205" s="83"/>
      <c r="F205" s="84"/>
      <c r="G205" s="84"/>
      <c r="H205" s="85"/>
      <c r="I205" s="176"/>
      <c r="J205" s="176"/>
      <c r="K205" s="176"/>
    </row>
    <row r="206" spans="1:17" ht="11.25" customHeight="1" x14ac:dyDescent="0.2">
      <c r="D206" s="86"/>
      <c r="E206" s="87"/>
      <c r="F206" s="88"/>
      <c r="G206" s="88"/>
      <c r="H206" s="89"/>
      <c r="I206" s="177"/>
      <c r="J206" s="177"/>
      <c r="K206" s="177"/>
    </row>
    <row r="207" spans="1:17" ht="13.5" customHeight="1" x14ac:dyDescent="0.2">
      <c r="A207" s="4" t="str">
        <f>Summary!$G$9</f>
        <v>Contractor</v>
      </c>
      <c r="D207" s="90"/>
      <c r="E207" s="91"/>
      <c r="F207" s="92"/>
      <c r="G207" s="88"/>
      <c r="H207" s="89"/>
      <c r="I207" s="177"/>
      <c r="J207" s="177"/>
      <c r="K207" s="177"/>
    </row>
    <row r="208" spans="1:17" ht="13.5" customHeight="1" x14ac:dyDescent="0.2">
      <c r="A208" s="79"/>
      <c r="B208" s="80"/>
      <c r="C208" s="81"/>
      <c r="D208" s="82"/>
      <c r="E208" s="83"/>
      <c r="F208" s="93"/>
      <c r="G208" s="93"/>
      <c r="H208" s="94"/>
      <c r="I208" s="95"/>
      <c r="J208" s="95"/>
      <c r="K208" s="95"/>
    </row>
    <row r="209" spans="1:17" ht="13.5" customHeight="1" x14ac:dyDescent="0.2">
      <c r="A209" s="79"/>
      <c r="B209" s="80"/>
      <c r="C209" s="81"/>
      <c r="D209" s="82"/>
      <c r="E209" s="83"/>
      <c r="F209" s="93"/>
      <c r="G209" s="93"/>
      <c r="H209" s="94"/>
      <c r="I209" s="95"/>
      <c r="J209" s="95"/>
      <c r="K209" s="95"/>
    </row>
    <row r="210" spans="1:17" ht="13.5" customHeight="1" x14ac:dyDescent="0.2">
      <c r="A210" s="79"/>
      <c r="C210" s="81"/>
      <c r="D210" s="82"/>
      <c r="E210" s="83"/>
      <c r="F210" s="93"/>
      <c r="G210" s="93"/>
      <c r="I210" s="95"/>
      <c r="J210" s="95"/>
      <c r="K210" s="95"/>
    </row>
    <row r="211" spans="1:17" x14ac:dyDescent="0.2">
      <c r="A211" s="79"/>
      <c r="B211" s="80"/>
      <c r="C211" s="81"/>
      <c r="D211" s="82"/>
      <c r="E211" s="83"/>
      <c r="F211" s="93"/>
      <c r="G211" s="93"/>
      <c r="I211" s="488"/>
      <c r="J211" s="488"/>
      <c r="K211" s="488"/>
    </row>
    <row r="212" spans="1:17" x14ac:dyDescent="0.2">
      <c r="A212" s="79"/>
      <c r="B212" s="80"/>
      <c r="C212" s="81"/>
      <c r="D212" s="82"/>
      <c r="E212" s="83"/>
      <c r="F212" s="93"/>
      <c r="G212" s="93"/>
      <c r="H212" s="94"/>
      <c r="I212" s="489" t="str">
        <f>Summary!$G$10</f>
        <v>Construction Manager</v>
      </c>
      <c r="J212" s="489"/>
      <c r="K212" s="489"/>
    </row>
    <row r="213" spans="1:17" x14ac:dyDescent="0.2">
      <c r="I213" s="96"/>
      <c r="J213" s="96"/>
      <c r="K213" s="95"/>
    </row>
    <row r="214" spans="1:17" x14ac:dyDescent="0.2">
      <c r="A214" s="5" t="str">
        <f>Summary!$G$11</f>
        <v>PIPELINE PROJECT</v>
      </c>
    </row>
    <row r="221" spans="1:17" ht="17" x14ac:dyDescent="0.2">
      <c r="A221" s="158" t="s">
        <v>0</v>
      </c>
    </row>
    <row r="222" spans="1:17" ht="17" x14ac:dyDescent="0.2">
      <c r="A222" s="49" t="s">
        <v>69</v>
      </c>
    </row>
    <row r="223" spans="1:17" ht="16.5" customHeight="1" x14ac:dyDescent="0.2">
      <c r="A223" s="49"/>
      <c r="I223" s="2" t="s">
        <v>11</v>
      </c>
      <c r="J223" s="487">
        <v>42415</v>
      </c>
      <c r="K223" s="487"/>
    </row>
    <row r="224" spans="1:17" s="58" customFormat="1" ht="23.25" customHeight="1" x14ac:dyDescent="0.15">
      <c r="A224" s="50"/>
      <c r="B224" s="51"/>
      <c r="C224" s="52">
        <v>69435</v>
      </c>
      <c r="D224" s="53" t="s">
        <v>35</v>
      </c>
      <c r="E224" s="54">
        <v>580.70545646999994</v>
      </c>
      <c r="F224" s="55" t="s">
        <v>36</v>
      </c>
      <c r="G224" s="55" t="s">
        <v>27</v>
      </c>
      <c r="H224" s="55" t="s">
        <v>37</v>
      </c>
      <c r="I224" s="56" t="s">
        <v>38</v>
      </c>
      <c r="J224" s="56" t="s">
        <v>39</v>
      </c>
      <c r="K224" s="57" t="s">
        <v>40</v>
      </c>
      <c r="P224" s="58" t="s">
        <v>271</v>
      </c>
      <c r="Q224" s="58" t="s">
        <v>272</v>
      </c>
    </row>
    <row r="225" spans="1:19" ht="13.5" customHeight="1" x14ac:dyDescent="0.2">
      <c r="A225" s="59" t="s">
        <v>84</v>
      </c>
      <c r="B225" s="60" t="s">
        <v>74</v>
      </c>
      <c r="C225" s="61" t="s">
        <v>6</v>
      </c>
      <c r="D225" s="62">
        <v>0.02</v>
      </c>
      <c r="E225" s="63">
        <f>$E$81*D225</f>
        <v>11.614109129399999</v>
      </c>
      <c r="F225" s="64">
        <f t="shared" ref="F225:F238" si="52">G225+H225</f>
        <v>69435</v>
      </c>
      <c r="G225" s="64">
        <v>69435</v>
      </c>
      <c r="H225" s="70"/>
      <c r="I225" s="171">
        <f t="shared" ref="I225:I236" si="53">H225*E225</f>
        <v>0</v>
      </c>
      <c r="J225" s="172">
        <f t="shared" ref="J225:J238" si="54">G225*E225</f>
        <v>806425.66739988897</v>
      </c>
      <c r="K225" s="173">
        <f t="shared" ref="K225:K231" si="55">SUM(I225:J225)</f>
        <v>806425.66739988897</v>
      </c>
      <c r="L225" s="58"/>
      <c r="M225" s="58"/>
    </row>
    <row r="226" spans="1:19" ht="13.5" customHeight="1" x14ac:dyDescent="0.2">
      <c r="A226" s="65"/>
      <c r="B226" s="156" t="s">
        <v>75</v>
      </c>
      <c r="C226" s="71" t="s">
        <v>6</v>
      </c>
      <c r="D226" s="68">
        <v>0.08</v>
      </c>
      <c r="E226" s="69">
        <f>$E$81*D226</f>
        <v>46.456436517599997</v>
      </c>
      <c r="F226" s="70">
        <f t="shared" si="52"/>
        <v>69435</v>
      </c>
      <c r="G226" s="70">
        <v>59700</v>
      </c>
      <c r="H226" s="70">
        <v>9735</v>
      </c>
      <c r="I226" s="171">
        <f t="shared" si="53"/>
        <v>452253.40949883597</v>
      </c>
      <c r="J226" s="172">
        <f t="shared" si="54"/>
        <v>2773449.26010072</v>
      </c>
      <c r="K226" s="173">
        <f t="shared" si="55"/>
        <v>3225702.6695995559</v>
      </c>
      <c r="L226" s="58"/>
      <c r="M226" s="58"/>
      <c r="O226" t="s">
        <v>301</v>
      </c>
      <c r="P226">
        <v>69435</v>
      </c>
      <c r="Q226" s="353">
        <f>P226-G226</f>
        <v>9735</v>
      </c>
      <c r="S226" s="353">
        <f>F226-P226</f>
        <v>0</v>
      </c>
    </row>
    <row r="227" spans="1:19" ht="13.5" customHeight="1" x14ac:dyDescent="0.2">
      <c r="A227" s="65"/>
      <c r="B227" s="66" t="s">
        <v>215</v>
      </c>
      <c r="C227" s="67" t="s">
        <v>6</v>
      </c>
      <c r="D227" s="68">
        <v>7.0000000000000007E-2</v>
      </c>
      <c r="E227" s="69">
        <f>$E$81*D227</f>
        <v>40.649381952900001</v>
      </c>
      <c r="F227" s="70">
        <f t="shared" si="52"/>
        <v>64400</v>
      </c>
      <c r="G227" s="70">
        <v>51600</v>
      </c>
      <c r="H227" s="70">
        <v>12800</v>
      </c>
      <c r="I227" s="171">
        <f t="shared" si="53"/>
        <v>520312.08899712004</v>
      </c>
      <c r="J227" s="172">
        <f t="shared" si="54"/>
        <v>2097508.1087696399</v>
      </c>
      <c r="K227" s="173">
        <f t="shared" si="55"/>
        <v>2617820.1977667599</v>
      </c>
      <c r="L227" s="58"/>
      <c r="M227" s="58"/>
      <c r="O227" t="s">
        <v>302</v>
      </c>
      <c r="P227">
        <v>64400</v>
      </c>
      <c r="Q227" s="353">
        <f t="shared" ref="Q227:Q236" si="56">P227-G227</f>
        <v>12800</v>
      </c>
      <c r="S227" s="353">
        <f t="shared" ref="S227:S237" si="57">F227-P227</f>
        <v>0</v>
      </c>
    </row>
    <row r="228" spans="1:19" ht="13.5" customHeight="1" x14ac:dyDescent="0.2">
      <c r="A228" s="65"/>
      <c r="B228" s="66" t="s">
        <v>41</v>
      </c>
      <c r="C228" s="67" t="s">
        <v>6</v>
      </c>
      <c r="D228" s="68">
        <v>7.0000000000000007E-2</v>
      </c>
      <c r="E228" s="69">
        <f t="shared" ref="E228:E236" si="58">$E$81*D228</f>
        <v>40.649381952900001</v>
      </c>
      <c r="F228" s="70">
        <f t="shared" si="52"/>
        <v>58600</v>
      </c>
      <c r="G228" s="70">
        <v>47600</v>
      </c>
      <c r="H228" s="70">
        <v>11000</v>
      </c>
      <c r="I228" s="171">
        <f t="shared" si="53"/>
        <v>447143.2014819</v>
      </c>
      <c r="J228" s="172">
        <f t="shared" si="54"/>
        <v>1934910.58095804</v>
      </c>
      <c r="K228" s="173">
        <f t="shared" si="55"/>
        <v>2382053.7824399401</v>
      </c>
      <c r="L228" s="58"/>
      <c r="M228" s="58"/>
      <c r="O228" t="s">
        <v>303</v>
      </c>
      <c r="P228">
        <v>58600</v>
      </c>
      <c r="Q228" s="353">
        <f t="shared" si="56"/>
        <v>11000</v>
      </c>
      <c r="S228" s="353">
        <f t="shared" si="57"/>
        <v>0</v>
      </c>
    </row>
    <row r="229" spans="1:19" ht="13.5" customHeight="1" x14ac:dyDescent="0.2">
      <c r="A229" s="65"/>
      <c r="B229" s="66" t="s">
        <v>42</v>
      </c>
      <c r="C229" s="67" t="s">
        <v>6</v>
      </c>
      <c r="D229" s="68">
        <v>0.17</v>
      </c>
      <c r="E229" s="69">
        <f t="shared" si="58"/>
        <v>98.719927599900004</v>
      </c>
      <c r="F229" s="70">
        <f t="shared" si="52"/>
        <v>55900</v>
      </c>
      <c r="G229" s="70">
        <v>41900</v>
      </c>
      <c r="H229" s="70">
        <v>14000</v>
      </c>
      <c r="I229" s="171">
        <f t="shared" si="53"/>
        <v>1382078.9863986</v>
      </c>
      <c r="J229" s="172">
        <f t="shared" si="54"/>
        <v>4136364.9664358101</v>
      </c>
      <c r="K229" s="173">
        <f t="shared" si="55"/>
        <v>5518443.9528344106</v>
      </c>
      <c r="L229" s="58"/>
      <c r="M229" s="58"/>
      <c r="O229" t="s">
        <v>304</v>
      </c>
      <c r="P229">
        <v>55900</v>
      </c>
      <c r="Q229" s="353">
        <f t="shared" si="56"/>
        <v>14000</v>
      </c>
      <c r="S229" s="353">
        <f t="shared" si="57"/>
        <v>0</v>
      </c>
    </row>
    <row r="230" spans="1:19" ht="13.5" customHeight="1" x14ac:dyDescent="0.2">
      <c r="A230" s="65"/>
      <c r="B230" s="66" t="s">
        <v>76</v>
      </c>
      <c r="C230" s="67" t="s">
        <v>6</v>
      </c>
      <c r="D230" s="68">
        <v>0.08</v>
      </c>
      <c r="E230" s="69">
        <f t="shared" si="58"/>
        <v>46.456436517599997</v>
      </c>
      <c r="F230" s="70">
        <f t="shared" si="52"/>
        <v>51800</v>
      </c>
      <c r="G230" s="70">
        <v>36000</v>
      </c>
      <c r="H230" s="70">
        <v>15800</v>
      </c>
      <c r="I230" s="171">
        <f t="shared" si="53"/>
        <v>734011.69697807997</v>
      </c>
      <c r="J230" s="172">
        <f t="shared" si="54"/>
        <v>1672431.7146335999</v>
      </c>
      <c r="K230" s="173">
        <f t="shared" si="55"/>
        <v>2406443.4116116799</v>
      </c>
      <c r="L230" s="58"/>
      <c r="M230" s="58"/>
      <c r="O230" t="s">
        <v>305</v>
      </c>
      <c r="P230">
        <v>51800</v>
      </c>
      <c r="Q230" s="353">
        <f t="shared" si="56"/>
        <v>15800</v>
      </c>
      <c r="S230" s="353">
        <f t="shared" si="57"/>
        <v>0</v>
      </c>
    </row>
    <row r="231" spans="1:19" ht="13.5" customHeight="1" x14ac:dyDescent="0.2">
      <c r="A231" s="65"/>
      <c r="B231" s="66" t="s">
        <v>77</v>
      </c>
      <c r="C231" s="67" t="s">
        <v>6</v>
      </c>
      <c r="D231" s="68">
        <v>7.0000000000000007E-2</v>
      </c>
      <c r="E231" s="69">
        <f t="shared" si="58"/>
        <v>40.649381952900001</v>
      </c>
      <c r="F231" s="70">
        <f t="shared" si="52"/>
        <v>51800</v>
      </c>
      <c r="G231" s="70">
        <v>36000</v>
      </c>
      <c r="H231" s="70">
        <v>15800</v>
      </c>
      <c r="I231" s="171">
        <f t="shared" si="53"/>
        <v>642260.23485581996</v>
      </c>
      <c r="J231" s="172">
        <f t="shared" si="54"/>
        <v>1463377.7503044</v>
      </c>
      <c r="K231" s="173">
        <f t="shared" si="55"/>
        <v>2105637.9851602199</v>
      </c>
      <c r="L231" s="58"/>
      <c r="M231" s="58"/>
      <c r="O231" t="s">
        <v>306</v>
      </c>
      <c r="P231">
        <v>51800</v>
      </c>
      <c r="Q231" s="353">
        <f t="shared" si="56"/>
        <v>15800</v>
      </c>
      <c r="S231" s="353">
        <f t="shared" si="57"/>
        <v>0</v>
      </c>
    </row>
    <row r="232" spans="1:19" ht="13.5" customHeight="1" x14ac:dyDescent="0.2">
      <c r="A232" s="65"/>
      <c r="B232" s="66" t="s">
        <v>43</v>
      </c>
      <c r="C232" s="67" t="s">
        <v>6</v>
      </c>
      <c r="D232" s="68">
        <v>0.08</v>
      </c>
      <c r="E232" s="69">
        <f t="shared" si="58"/>
        <v>46.456436517599997</v>
      </c>
      <c r="F232" s="70">
        <f t="shared" si="52"/>
        <v>51800</v>
      </c>
      <c r="G232" s="70">
        <v>35900</v>
      </c>
      <c r="H232" s="70">
        <v>15900</v>
      </c>
      <c r="I232" s="171">
        <f t="shared" si="53"/>
        <v>738657.34062983992</v>
      </c>
      <c r="J232" s="172">
        <f t="shared" si="54"/>
        <v>1667786.0709818399</v>
      </c>
      <c r="K232" s="173">
        <f>SUM(I232:J232)</f>
        <v>2406443.4116116799</v>
      </c>
      <c r="L232" s="58"/>
      <c r="M232" s="58"/>
      <c r="O232" t="s">
        <v>307</v>
      </c>
      <c r="P232">
        <v>51800</v>
      </c>
      <c r="Q232" s="353">
        <f t="shared" si="56"/>
        <v>15900</v>
      </c>
      <c r="S232" s="353">
        <f t="shared" si="57"/>
        <v>0</v>
      </c>
    </row>
    <row r="233" spans="1:19" ht="13.5" customHeight="1" x14ac:dyDescent="0.2">
      <c r="A233" s="65"/>
      <c r="B233" s="66" t="s">
        <v>78</v>
      </c>
      <c r="C233" s="67" t="s">
        <v>6</v>
      </c>
      <c r="D233" s="68">
        <v>7.0000000000000007E-2</v>
      </c>
      <c r="E233" s="69">
        <f t="shared" si="58"/>
        <v>40.649381952900001</v>
      </c>
      <c r="F233" s="70">
        <f t="shared" si="52"/>
        <v>31800</v>
      </c>
      <c r="G233" s="70">
        <v>14600</v>
      </c>
      <c r="H233" s="70">
        <v>17200</v>
      </c>
      <c r="I233" s="171">
        <f t="shared" si="53"/>
        <v>699169.36958987999</v>
      </c>
      <c r="J233" s="172">
        <f t="shared" si="54"/>
        <v>593480.97651234001</v>
      </c>
      <c r="K233" s="173">
        <f t="shared" ref="K233:K238" si="59">SUM(I233:J233)</f>
        <v>1292650.34610222</v>
      </c>
      <c r="L233" s="58"/>
      <c r="M233" s="58"/>
      <c r="O233" t="s">
        <v>308</v>
      </c>
      <c r="P233">
        <v>31800</v>
      </c>
      <c r="Q233" s="353">
        <f t="shared" si="56"/>
        <v>17200</v>
      </c>
      <c r="S233" s="353">
        <f t="shared" si="57"/>
        <v>0</v>
      </c>
    </row>
    <row r="234" spans="1:19" ht="13.5" customHeight="1" x14ac:dyDescent="0.2">
      <c r="A234" s="65"/>
      <c r="B234" s="66" t="s">
        <v>44</v>
      </c>
      <c r="C234" s="67" t="s">
        <v>6</v>
      </c>
      <c r="D234" s="68">
        <v>7.0000000000000007E-2</v>
      </c>
      <c r="E234" s="69">
        <f t="shared" si="58"/>
        <v>40.649381952900001</v>
      </c>
      <c r="F234" s="70">
        <f t="shared" si="52"/>
        <v>0</v>
      </c>
      <c r="G234" s="70"/>
      <c r="H234" s="70"/>
      <c r="I234" s="171">
        <f t="shared" si="53"/>
        <v>0</v>
      </c>
      <c r="J234" s="172">
        <f t="shared" si="54"/>
        <v>0</v>
      </c>
      <c r="K234" s="173">
        <f t="shared" si="59"/>
        <v>0</v>
      </c>
      <c r="L234" s="58"/>
      <c r="Q234" s="353">
        <f t="shared" si="56"/>
        <v>0</v>
      </c>
      <c r="S234" s="353">
        <f t="shared" si="57"/>
        <v>0</v>
      </c>
    </row>
    <row r="235" spans="1:19" ht="13.5" customHeight="1" x14ac:dyDescent="0.2">
      <c r="A235" s="65"/>
      <c r="B235" s="66" t="s">
        <v>79</v>
      </c>
      <c r="C235" s="67" t="s">
        <v>6</v>
      </c>
      <c r="D235" s="68">
        <v>0.05</v>
      </c>
      <c r="E235" s="69">
        <f t="shared" si="58"/>
        <v>29.035272823499998</v>
      </c>
      <c r="F235" s="70">
        <f t="shared" si="52"/>
        <v>0</v>
      </c>
      <c r="G235" s="70"/>
      <c r="H235" s="70"/>
      <c r="I235" s="171">
        <f t="shared" si="53"/>
        <v>0</v>
      </c>
      <c r="J235" s="172">
        <f t="shared" si="54"/>
        <v>0</v>
      </c>
      <c r="K235" s="173">
        <f t="shared" si="59"/>
        <v>0</v>
      </c>
      <c r="L235" s="58"/>
      <c r="Q235" s="353">
        <f t="shared" si="56"/>
        <v>0</v>
      </c>
      <c r="S235" s="353">
        <f t="shared" si="57"/>
        <v>0</v>
      </c>
    </row>
    <row r="236" spans="1:19" ht="13.5" customHeight="1" x14ac:dyDescent="0.2">
      <c r="A236" s="65"/>
      <c r="B236" s="66" t="s">
        <v>80</v>
      </c>
      <c r="C236" s="71" t="s">
        <v>6</v>
      </c>
      <c r="D236" s="68">
        <v>0.09</v>
      </c>
      <c r="E236" s="69">
        <f t="shared" si="58"/>
        <v>52.263491082299993</v>
      </c>
      <c r="F236" s="70">
        <f t="shared" si="52"/>
        <v>2500</v>
      </c>
      <c r="G236" s="70"/>
      <c r="H236" s="70">
        <v>2500</v>
      </c>
      <c r="I236" s="171">
        <f t="shared" si="53"/>
        <v>130658.72770574999</v>
      </c>
      <c r="J236" s="172">
        <f t="shared" si="54"/>
        <v>0</v>
      </c>
      <c r="K236" s="173">
        <f t="shared" si="59"/>
        <v>130658.72770574999</v>
      </c>
      <c r="L236" s="58"/>
      <c r="O236" t="s">
        <v>563</v>
      </c>
      <c r="P236">
        <v>2500</v>
      </c>
      <c r="Q236" s="353">
        <f t="shared" si="56"/>
        <v>2500</v>
      </c>
      <c r="S236" s="353">
        <f t="shared" si="57"/>
        <v>0</v>
      </c>
    </row>
    <row r="237" spans="1:19" ht="13.5" customHeight="1" x14ac:dyDescent="0.2">
      <c r="A237" s="65"/>
      <c r="B237" s="156" t="s">
        <v>81</v>
      </c>
      <c r="C237" s="71" t="s">
        <v>6</v>
      </c>
      <c r="D237" s="68">
        <v>0.02</v>
      </c>
      <c r="E237" s="69">
        <f>$E$81*D237</f>
        <v>11.614109129399999</v>
      </c>
      <c r="F237" s="70">
        <f t="shared" si="52"/>
        <v>0</v>
      </c>
      <c r="G237" s="70"/>
      <c r="H237" s="70"/>
      <c r="I237" s="171">
        <f>H237*E237</f>
        <v>0</v>
      </c>
      <c r="J237" s="172">
        <f t="shared" si="54"/>
        <v>0</v>
      </c>
      <c r="K237" s="173">
        <f t="shared" si="59"/>
        <v>0</v>
      </c>
      <c r="S237" s="353">
        <f t="shared" si="57"/>
        <v>0</v>
      </c>
    </row>
    <row r="238" spans="1:19" ht="13.5" customHeight="1" thickBot="1" x14ac:dyDescent="0.25">
      <c r="A238" s="65"/>
      <c r="B238" s="66" t="s">
        <v>82</v>
      </c>
      <c r="C238" s="71" t="s">
        <v>6</v>
      </c>
      <c r="D238" s="68">
        <v>0.06</v>
      </c>
      <c r="E238" s="69">
        <f t="shared" ref="E238" si="60">$E$81*D238</f>
        <v>34.842327388199998</v>
      </c>
      <c r="F238" s="70">
        <f t="shared" si="52"/>
        <v>0</v>
      </c>
      <c r="G238" s="70"/>
      <c r="H238" s="70"/>
      <c r="I238" s="171">
        <f t="shared" ref="I238" si="61">H238*E238</f>
        <v>0</v>
      </c>
      <c r="J238" s="172">
        <f t="shared" si="54"/>
        <v>0</v>
      </c>
      <c r="K238" s="173">
        <f t="shared" si="59"/>
        <v>0</v>
      </c>
    </row>
    <row r="239" spans="1:19" ht="13.5" customHeight="1" x14ac:dyDescent="0.2">
      <c r="A239" s="72"/>
      <c r="B239" s="73"/>
      <c r="C239" s="74"/>
      <c r="D239" s="75">
        <f>SUM(D225:D238)</f>
        <v>1</v>
      </c>
      <c r="E239" s="76">
        <f>SUM(E225:E238)</f>
        <v>580.70545647000006</v>
      </c>
      <c r="F239" s="77"/>
      <c r="G239" s="77"/>
      <c r="H239" s="78" t="s">
        <v>83</v>
      </c>
      <c r="I239" s="174">
        <f>SUM(I225:I238)</f>
        <v>5746545.0561358258</v>
      </c>
      <c r="J239" s="174">
        <f>SUM(J225:J238)</f>
        <v>17145735.096096281</v>
      </c>
      <c r="K239" s="175">
        <f>SUM(K225:K238)</f>
        <v>22892280.152232103</v>
      </c>
    </row>
    <row r="240" spans="1:19" ht="9.75" customHeight="1" x14ac:dyDescent="0.2">
      <c r="A240" s="79"/>
      <c r="B240" s="80"/>
      <c r="C240" s="81"/>
      <c r="D240" s="82"/>
      <c r="E240" s="83"/>
      <c r="F240" s="84"/>
      <c r="G240" s="84"/>
      <c r="H240" s="85"/>
      <c r="I240" s="176"/>
      <c r="J240" s="176"/>
      <c r="K240" s="176"/>
    </row>
    <row r="241" spans="1:11" ht="11.25" customHeight="1" x14ac:dyDescent="0.2">
      <c r="D241" s="86"/>
      <c r="E241" s="87"/>
      <c r="F241" s="88"/>
      <c r="G241" s="88"/>
      <c r="H241" s="89"/>
      <c r="I241" s="177"/>
      <c r="J241" s="177"/>
      <c r="K241" s="177"/>
    </row>
    <row r="242" spans="1:11" ht="13.5" customHeight="1" x14ac:dyDescent="0.2">
      <c r="A242" s="4" t="str">
        <f>Summary!$G$9</f>
        <v>Contractor</v>
      </c>
      <c r="D242" s="90"/>
      <c r="E242" s="91"/>
      <c r="F242" s="92"/>
      <c r="G242" s="88"/>
      <c r="H242" s="89"/>
      <c r="I242" s="177"/>
      <c r="J242" s="177"/>
      <c r="K242" s="177"/>
    </row>
    <row r="243" spans="1:11" ht="13.5" customHeight="1" x14ac:dyDescent="0.2">
      <c r="A243" s="79"/>
      <c r="B243" s="80"/>
      <c r="C243" s="81"/>
      <c r="D243" s="82"/>
      <c r="E243" s="83"/>
      <c r="F243" s="93"/>
      <c r="G243" s="93"/>
      <c r="H243" s="94"/>
      <c r="I243" s="95"/>
      <c r="J243" s="95"/>
      <c r="K243" s="95"/>
    </row>
    <row r="244" spans="1:11" ht="13.5" customHeight="1" x14ac:dyDescent="0.2">
      <c r="A244" s="79"/>
      <c r="B244" s="80"/>
      <c r="C244" s="81"/>
      <c r="D244" s="82"/>
      <c r="E244" s="83"/>
      <c r="F244" s="93"/>
      <c r="G244" s="93"/>
      <c r="H244" s="94"/>
      <c r="I244" s="95"/>
      <c r="J244" s="95"/>
      <c r="K244" s="95"/>
    </row>
    <row r="245" spans="1:11" ht="13.5" customHeight="1" x14ac:dyDescent="0.2">
      <c r="A245" s="79"/>
      <c r="C245" s="81"/>
      <c r="D245" s="82"/>
      <c r="E245" s="83"/>
      <c r="F245" s="93"/>
      <c r="G245" s="93"/>
      <c r="I245" s="95"/>
      <c r="J245" s="95"/>
      <c r="K245" s="95"/>
    </row>
    <row r="246" spans="1:11" x14ac:dyDescent="0.2">
      <c r="A246" s="79"/>
      <c r="B246" s="80"/>
      <c r="C246" s="81"/>
      <c r="D246" s="82"/>
      <c r="E246" s="83"/>
      <c r="F246" s="93"/>
      <c r="G246" s="93"/>
      <c r="I246" s="488"/>
      <c r="J246" s="488"/>
      <c r="K246" s="488"/>
    </row>
    <row r="247" spans="1:11" x14ac:dyDescent="0.2">
      <c r="A247" s="79"/>
      <c r="B247" s="80"/>
      <c r="C247" s="81"/>
      <c r="D247" s="82"/>
      <c r="E247" s="83"/>
      <c r="F247" s="93"/>
      <c r="G247" s="93"/>
      <c r="H247" s="94"/>
      <c r="I247" s="489" t="str">
        <f>Summary!$G$10</f>
        <v>Construction Manager</v>
      </c>
      <c r="J247" s="489"/>
      <c r="K247" s="489"/>
    </row>
    <row r="248" spans="1:11" x14ac:dyDescent="0.2">
      <c r="I248" s="96"/>
      <c r="J248" s="96"/>
      <c r="K248" s="95"/>
    </row>
    <row r="249" spans="1:11" x14ac:dyDescent="0.2">
      <c r="A249" s="5" t="str">
        <f>Summary!$G$11</f>
        <v>PIPELINE PROJECT</v>
      </c>
    </row>
    <row r="256" spans="1:11" ht="17" x14ac:dyDescent="0.2">
      <c r="A256" s="158" t="s">
        <v>0</v>
      </c>
    </row>
    <row r="257" spans="1:19" ht="17" x14ac:dyDescent="0.2">
      <c r="A257" s="49" t="s">
        <v>69</v>
      </c>
    </row>
    <row r="258" spans="1:19" ht="16.5" customHeight="1" x14ac:dyDescent="0.2">
      <c r="A258" s="49"/>
      <c r="I258" s="2" t="s">
        <v>11</v>
      </c>
      <c r="J258" s="487">
        <v>42429</v>
      </c>
      <c r="K258" s="487"/>
    </row>
    <row r="259" spans="1:19" s="58" customFormat="1" ht="23.25" customHeight="1" x14ac:dyDescent="0.15">
      <c r="A259" s="50"/>
      <c r="B259" s="51"/>
      <c r="C259" s="52">
        <v>69435</v>
      </c>
      <c r="D259" s="53" t="s">
        <v>35</v>
      </c>
      <c r="E259" s="54">
        <v>580.70545646999994</v>
      </c>
      <c r="F259" s="55" t="s">
        <v>36</v>
      </c>
      <c r="G259" s="55" t="s">
        <v>27</v>
      </c>
      <c r="H259" s="55" t="s">
        <v>37</v>
      </c>
      <c r="I259" s="56" t="s">
        <v>38</v>
      </c>
      <c r="J259" s="56" t="s">
        <v>39</v>
      </c>
      <c r="K259" s="57" t="s">
        <v>40</v>
      </c>
      <c r="P259" s="58" t="s">
        <v>271</v>
      </c>
      <c r="Q259" s="58" t="s">
        <v>272</v>
      </c>
    </row>
    <row r="260" spans="1:19" ht="13.5" customHeight="1" x14ac:dyDescent="0.2">
      <c r="A260" s="59" t="s">
        <v>84</v>
      </c>
      <c r="B260" s="60" t="s">
        <v>74</v>
      </c>
      <c r="C260" s="61" t="s">
        <v>6</v>
      </c>
      <c r="D260" s="62">
        <v>0.02</v>
      </c>
      <c r="E260" s="63">
        <f>$E$81*D260</f>
        <v>11.614109129399999</v>
      </c>
      <c r="F260" s="64">
        <f t="shared" ref="F260:F273" si="62">G260+H260</f>
        <v>69435</v>
      </c>
      <c r="G260" s="64">
        <v>69435</v>
      </c>
      <c r="H260" s="70"/>
      <c r="I260" s="171">
        <f t="shared" ref="I260:I271" si="63">H260*E260</f>
        <v>0</v>
      </c>
      <c r="J260" s="172">
        <f t="shared" ref="J260:J273" si="64">G260*E260</f>
        <v>806425.66739988897</v>
      </c>
      <c r="K260" s="173">
        <f t="shared" ref="K260:K266" si="65">SUM(I260:J260)</f>
        <v>806425.66739988897</v>
      </c>
      <c r="L260" s="58"/>
      <c r="M260" s="58"/>
    </row>
    <row r="261" spans="1:19" ht="13.5" customHeight="1" x14ac:dyDescent="0.2">
      <c r="A261" s="65"/>
      <c r="B261" s="156" t="s">
        <v>75</v>
      </c>
      <c r="C261" s="71" t="s">
        <v>6</v>
      </c>
      <c r="D261" s="68">
        <v>0.08</v>
      </c>
      <c r="E261" s="69">
        <f>$E$81*D261</f>
        <v>46.456436517599997</v>
      </c>
      <c r="F261" s="70">
        <f t="shared" si="62"/>
        <v>69435</v>
      </c>
      <c r="G261" s="70">
        <v>69435</v>
      </c>
      <c r="H261" s="70"/>
      <c r="I261" s="171">
        <f t="shared" si="63"/>
        <v>0</v>
      </c>
      <c r="J261" s="172">
        <f t="shared" si="64"/>
        <v>3225702.6695995559</v>
      </c>
      <c r="K261" s="173">
        <f t="shared" si="65"/>
        <v>3225702.6695995559</v>
      </c>
      <c r="L261" s="58"/>
      <c r="M261" s="58"/>
    </row>
    <row r="262" spans="1:19" ht="13.5" customHeight="1" x14ac:dyDescent="0.2">
      <c r="A262" s="65"/>
      <c r="B262" s="66" t="s">
        <v>215</v>
      </c>
      <c r="C262" s="67" t="s">
        <v>6</v>
      </c>
      <c r="D262" s="68">
        <v>7.0000000000000007E-2</v>
      </c>
      <c r="E262" s="69">
        <f>$E$81*D262</f>
        <v>40.649381952900001</v>
      </c>
      <c r="F262" s="70">
        <f t="shared" si="62"/>
        <v>69435</v>
      </c>
      <c r="G262" s="70">
        <v>64400</v>
      </c>
      <c r="H262" s="70">
        <v>5035</v>
      </c>
      <c r="I262" s="171">
        <f t="shared" si="63"/>
        <v>204669.63813285151</v>
      </c>
      <c r="J262" s="172">
        <f t="shared" si="64"/>
        <v>2617820.1977667599</v>
      </c>
      <c r="K262" s="173">
        <f t="shared" si="65"/>
        <v>2822489.8358996115</v>
      </c>
      <c r="L262" s="58"/>
      <c r="M262" s="58"/>
    </row>
    <row r="263" spans="1:19" ht="13.5" customHeight="1" x14ac:dyDescent="0.2">
      <c r="A263" s="65"/>
      <c r="B263" s="66" t="s">
        <v>41</v>
      </c>
      <c r="C263" s="67" t="s">
        <v>6</v>
      </c>
      <c r="D263" s="68">
        <v>7.0000000000000007E-2</v>
      </c>
      <c r="E263" s="69">
        <f t="shared" ref="E263:E271" si="66">$E$81*D263</f>
        <v>40.649381952900001</v>
      </c>
      <c r="F263" s="70">
        <f t="shared" si="62"/>
        <v>69435</v>
      </c>
      <c r="G263" s="70">
        <v>58600</v>
      </c>
      <c r="H263" s="70">
        <v>10835</v>
      </c>
      <c r="I263" s="171">
        <f t="shared" si="63"/>
        <v>440436.0534596715</v>
      </c>
      <c r="J263" s="172">
        <f t="shared" si="64"/>
        <v>2382053.7824399401</v>
      </c>
      <c r="K263" s="173">
        <f t="shared" si="65"/>
        <v>2822489.8358996115</v>
      </c>
      <c r="L263" s="58"/>
      <c r="M263" s="58"/>
      <c r="O263" t="s">
        <v>303</v>
      </c>
      <c r="P263">
        <v>69435</v>
      </c>
      <c r="Q263" s="353">
        <f>P263-G263</f>
        <v>10835</v>
      </c>
      <c r="S263" s="353">
        <f>F263-P263</f>
        <v>0</v>
      </c>
    </row>
    <row r="264" spans="1:19" ht="13.5" customHeight="1" x14ac:dyDescent="0.2">
      <c r="A264" s="65"/>
      <c r="B264" s="66" t="s">
        <v>42</v>
      </c>
      <c r="C264" s="67" t="s">
        <v>6</v>
      </c>
      <c r="D264" s="68">
        <v>0.17</v>
      </c>
      <c r="E264" s="69">
        <f t="shared" si="66"/>
        <v>98.719927599900004</v>
      </c>
      <c r="F264" s="70">
        <f t="shared" si="62"/>
        <v>69435</v>
      </c>
      <c r="G264" s="70">
        <v>55900</v>
      </c>
      <c r="H264" s="70">
        <v>13535</v>
      </c>
      <c r="I264" s="171">
        <f t="shared" si="63"/>
        <v>1336174.2200646466</v>
      </c>
      <c r="J264" s="172">
        <f t="shared" si="64"/>
        <v>5518443.9528344106</v>
      </c>
      <c r="K264" s="173">
        <f t="shared" si="65"/>
        <v>6854618.1728990572</v>
      </c>
      <c r="L264" s="58"/>
      <c r="M264" s="58"/>
      <c r="O264" t="s">
        <v>304</v>
      </c>
      <c r="P264">
        <v>69435</v>
      </c>
      <c r="Q264" s="353">
        <f t="shared" ref="Q264:Q271" si="67">P264-G264</f>
        <v>13535</v>
      </c>
      <c r="S264" s="353">
        <f t="shared" ref="S264:S272" si="68">F264-P264</f>
        <v>0</v>
      </c>
    </row>
    <row r="265" spans="1:19" ht="13.5" customHeight="1" x14ac:dyDescent="0.2">
      <c r="A265" s="65"/>
      <c r="B265" s="66" t="s">
        <v>76</v>
      </c>
      <c r="C265" s="67" t="s">
        <v>6</v>
      </c>
      <c r="D265" s="68">
        <v>0.08</v>
      </c>
      <c r="E265" s="69">
        <f t="shared" si="66"/>
        <v>46.456436517599997</v>
      </c>
      <c r="F265" s="70">
        <f t="shared" si="62"/>
        <v>67400</v>
      </c>
      <c r="G265" s="70">
        <v>51800</v>
      </c>
      <c r="H265" s="70">
        <v>15600</v>
      </c>
      <c r="I265" s="171">
        <f t="shared" si="63"/>
        <v>724720.40967455995</v>
      </c>
      <c r="J265" s="172">
        <f t="shared" si="64"/>
        <v>2406443.4116116799</v>
      </c>
      <c r="K265" s="173">
        <f t="shared" si="65"/>
        <v>3131163.8212862397</v>
      </c>
      <c r="L265" s="58"/>
      <c r="M265" s="58"/>
      <c r="O265" t="s">
        <v>305</v>
      </c>
      <c r="P265">
        <v>67400</v>
      </c>
      <c r="Q265" s="353">
        <f t="shared" si="67"/>
        <v>15600</v>
      </c>
      <c r="S265" s="353">
        <f>F265-P265</f>
        <v>0</v>
      </c>
    </row>
    <row r="266" spans="1:19" ht="13.5" customHeight="1" x14ac:dyDescent="0.2">
      <c r="A266" s="65"/>
      <c r="B266" s="66" t="s">
        <v>77</v>
      </c>
      <c r="C266" s="67" t="s">
        <v>6</v>
      </c>
      <c r="D266" s="68">
        <v>7.0000000000000007E-2</v>
      </c>
      <c r="E266" s="69">
        <f t="shared" si="66"/>
        <v>40.649381952900001</v>
      </c>
      <c r="F266" s="70">
        <f t="shared" si="62"/>
        <v>66900</v>
      </c>
      <c r="G266" s="70">
        <v>51800</v>
      </c>
      <c r="H266" s="70">
        <v>15100</v>
      </c>
      <c r="I266" s="171">
        <f t="shared" si="63"/>
        <v>613805.66748879</v>
      </c>
      <c r="J266" s="172">
        <f t="shared" si="64"/>
        <v>2105637.9851602199</v>
      </c>
      <c r="K266" s="173">
        <f t="shared" si="65"/>
        <v>2719443.6526490101</v>
      </c>
      <c r="L266" s="58"/>
      <c r="M266" s="58"/>
      <c r="O266" t="s">
        <v>306</v>
      </c>
      <c r="P266">
        <v>66900</v>
      </c>
      <c r="Q266" s="353">
        <f t="shared" si="67"/>
        <v>15100</v>
      </c>
      <c r="S266" s="353">
        <f t="shared" si="68"/>
        <v>0</v>
      </c>
    </row>
    <row r="267" spans="1:19" ht="13.5" customHeight="1" x14ac:dyDescent="0.2">
      <c r="A267" s="65"/>
      <c r="B267" s="66" t="s">
        <v>43</v>
      </c>
      <c r="C267" s="67" t="s">
        <v>6</v>
      </c>
      <c r="D267" s="68">
        <v>0.08</v>
      </c>
      <c r="E267" s="69">
        <f t="shared" si="66"/>
        <v>46.456436517599997</v>
      </c>
      <c r="F267" s="70">
        <f t="shared" si="62"/>
        <v>66500</v>
      </c>
      <c r="G267" s="70">
        <v>51800</v>
      </c>
      <c r="H267" s="70">
        <v>14700</v>
      </c>
      <c r="I267" s="171">
        <f t="shared" si="63"/>
        <v>682909.61680871993</v>
      </c>
      <c r="J267" s="172">
        <f t="shared" si="64"/>
        <v>2406443.4116116799</v>
      </c>
      <c r="K267" s="173">
        <f>SUM(I267:J267)</f>
        <v>3089353.0284203999</v>
      </c>
      <c r="L267" s="58"/>
      <c r="M267" s="58"/>
      <c r="O267" t="s">
        <v>307</v>
      </c>
      <c r="P267">
        <v>66500</v>
      </c>
      <c r="Q267" s="353">
        <f t="shared" si="67"/>
        <v>14700</v>
      </c>
      <c r="S267" s="353">
        <f t="shared" si="68"/>
        <v>0</v>
      </c>
    </row>
    <row r="268" spans="1:19" ht="13.5" customHeight="1" x14ac:dyDescent="0.2">
      <c r="A268" s="65"/>
      <c r="B268" s="66" t="s">
        <v>78</v>
      </c>
      <c r="C268" s="67" t="s">
        <v>6</v>
      </c>
      <c r="D268" s="68">
        <v>7.0000000000000007E-2</v>
      </c>
      <c r="E268" s="69">
        <f t="shared" si="66"/>
        <v>40.649381952900001</v>
      </c>
      <c r="F268" s="70">
        <f t="shared" si="62"/>
        <v>37700</v>
      </c>
      <c r="G268" s="70">
        <v>31800</v>
      </c>
      <c r="H268" s="70">
        <v>5900</v>
      </c>
      <c r="I268" s="171">
        <f t="shared" si="63"/>
        <v>239831.35352211</v>
      </c>
      <c r="J268" s="172">
        <f t="shared" si="64"/>
        <v>1292650.34610222</v>
      </c>
      <c r="K268" s="173">
        <f t="shared" ref="K268:K273" si="69">SUM(I268:J268)</f>
        <v>1532481.69962433</v>
      </c>
      <c r="L268" s="58"/>
      <c r="M268" s="58"/>
      <c r="O268" t="s">
        <v>308</v>
      </c>
      <c r="P268">
        <v>37700</v>
      </c>
      <c r="Q268" s="353">
        <f t="shared" si="67"/>
        <v>5900</v>
      </c>
      <c r="S268" s="353">
        <f t="shared" si="68"/>
        <v>0</v>
      </c>
    </row>
    <row r="269" spans="1:19" ht="13.5" customHeight="1" x14ac:dyDescent="0.2">
      <c r="A269" s="65"/>
      <c r="B269" s="66" t="s">
        <v>44</v>
      </c>
      <c r="C269" s="67" t="s">
        <v>6</v>
      </c>
      <c r="D269" s="68">
        <v>7.0000000000000007E-2</v>
      </c>
      <c r="E269" s="69">
        <f t="shared" si="66"/>
        <v>40.649381952900001</v>
      </c>
      <c r="F269" s="70">
        <f t="shared" si="62"/>
        <v>0</v>
      </c>
      <c r="G269" s="70">
        <v>0</v>
      </c>
      <c r="H269" s="70"/>
      <c r="I269" s="171">
        <f t="shared" si="63"/>
        <v>0</v>
      </c>
      <c r="J269" s="172">
        <f t="shared" si="64"/>
        <v>0</v>
      </c>
      <c r="K269" s="173">
        <f t="shared" si="69"/>
        <v>0</v>
      </c>
      <c r="L269" s="58"/>
      <c r="Q269" s="353">
        <f t="shared" si="67"/>
        <v>0</v>
      </c>
      <c r="S269" s="353">
        <f t="shared" si="68"/>
        <v>0</v>
      </c>
    </row>
    <row r="270" spans="1:19" ht="13.5" customHeight="1" x14ac:dyDescent="0.2">
      <c r="A270" s="65"/>
      <c r="B270" s="66" t="s">
        <v>79</v>
      </c>
      <c r="C270" s="67" t="s">
        <v>6</v>
      </c>
      <c r="D270" s="68">
        <v>0.05</v>
      </c>
      <c r="E270" s="69">
        <f t="shared" si="66"/>
        <v>29.035272823499998</v>
      </c>
      <c r="F270" s="70">
        <f t="shared" si="62"/>
        <v>0</v>
      </c>
      <c r="G270" s="70">
        <v>0</v>
      </c>
      <c r="H270" s="70"/>
      <c r="I270" s="171">
        <f t="shared" si="63"/>
        <v>0</v>
      </c>
      <c r="J270" s="172">
        <f t="shared" si="64"/>
        <v>0</v>
      </c>
      <c r="K270" s="173">
        <f t="shared" si="69"/>
        <v>0</v>
      </c>
      <c r="L270" s="58"/>
      <c r="Q270" s="353">
        <f t="shared" si="67"/>
        <v>0</v>
      </c>
      <c r="S270" s="353">
        <f t="shared" si="68"/>
        <v>0</v>
      </c>
    </row>
    <row r="271" spans="1:19" ht="13.5" customHeight="1" x14ac:dyDescent="0.2">
      <c r="A271" s="65"/>
      <c r="B271" s="66" t="s">
        <v>80</v>
      </c>
      <c r="C271" s="71" t="s">
        <v>6</v>
      </c>
      <c r="D271" s="68">
        <v>0.09</v>
      </c>
      <c r="E271" s="69">
        <f t="shared" si="66"/>
        <v>52.263491082299993</v>
      </c>
      <c r="F271" s="70">
        <f t="shared" si="62"/>
        <v>10700</v>
      </c>
      <c r="G271" s="70">
        <v>2500</v>
      </c>
      <c r="H271" s="70">
        <v>8200</v>
      </c>
      <c r="I271" s="171">
        <f t="shared" si="63"/>
        <v>428560.62687485997</v>
      </c>
      <c r="J271" s="172">
        <f t="shared" si="64"/>
        <v>130658.72770574999</v>
      </c>
      <c r="K271" s="173">
        <f t="shared" si="69"/>
        <v>559219.35458060994</v>
      </c>
      <c r="L271" s="58"/>
      <c r="O271" t="s">
        <v>563</v>
      </c>
      <c r="P271">
        <v>10700</v>
      </c>
      <c r="Q271" s="353">
        <f t="shared" si="67"/>
        <v>8200</v>
      </c>
      <c r="S271" s="353">
        <f t="shared" si="68"/>
        <v>0</v>
      </c>
    </row>
    <row r="272" spans="1:19" ht="13.5" customHeight="1" x14ac:dyDescent="0.2">
      <c r="A272" s="65"/>
      <c r="B272" s="156" t="s">
        <v>81</v>
      </c>
      <c r="C272" s="71" t="s">
        <v>6</v>
      </c>
      <c r="D272" s="68">
        <v>0.02</v>
      </c>
      <c r="E272" s="69">
        <f>$E$81*D272</f>
        <v>11.614109129399999</v>
      </c>
      <c r="F272" s="70">
        <f t="shared" si="62"/>
        <v>0</v>
      </c>
      <c r="G272" s="70"/>
      <c r="H272" s="70"/>
      <c r="I272" s="171">
        <f>H272*E272</f>
        <v>0</v>
      </c>
      <c r="J272" s="172">
        <f t="shared" si="64"/>
        <v>0</v>
      </c>
      <c r="K272" s="173">
        <f t="shared" si="69"/>
        <v>0</v>
      </c>
      <c r="S272" s="353">
        <f t="shared" si="68"/>
        <v>0</v>
      </c>
    </row>
    <row r="273" spans="1:11" ht="13.5" customHeight="1" thickBot="1" x14ac:dyDescent="0.25">
      <c r="A273" s="65"/>
      <c r="B273" s="66" t="s">
        <v>82</v>
      </c>
      <c r="C273" s="71" t="s">
        <v>6</v>
      </c>
      <c r="D273" s="68">
        <v>0.06</v>
      </c>
      <c r="E273" s="69">
        <f t="shared" ref="E273" si="70">$E$81*D273</f>
        <v>34.842327388199998</v>
      </c>
      <c r="F273" s="70">
        <f t="shared" si="62"/>
        <v>0</v>
      </c>
      <c r="G273" s="70"/>
      <c r="H273" s="70"/>
      <c r="I273" s="171">
        <f t="shared" ref="I273" si="71">H273*E273</f>
        <v>0</v>
      </c>
      <c r="J273" s="172">
        <f t="shared" si="64"/>
        <v>0</v>
      </c>
      <c r="K273" s="173">
        <f t="shared" si="69"/>
        <v>0</v>
      </c>
    </row>
    <row r="274" spans="1:11" ht="13.5" customHeight="1" x14ac:dyDescent="0.2">
      <c r="A274" s="72"/>
      <c r="B274" s="73"/>
      <c r="C274" s="74"/>
      <c r="D274" s="75">
        <f>SUM(D260:D273)</f>
        <v>1</v>
      </c>
      <c r="E274" s="76">
        <f>SUM(E260:E273)</f>
        <v>580.70545647000006</v>
      </c>
      <c r="F274" s="77"/>
      <c r="G274" s="77"/>
      <c r="H274" s="78" t="s">
        <v>83</v>
      </c>
      <c r="I274" s="174">
        <f>SUM(I260:I273)</f>
        <v>4671107.5860262094</v>
      </c>
      <c r="J274" s="174">
        <f>SUM(J260:J273)</f>
        <v>22892280.152232103</v>
      </c>
      <c r="K274" s="175">
        <f>SUM(K260:K273)</f>
        <v>27563387.738258317</v>
      </c>
    </row>
    <row r="275" spans="1:11" ht="9.75" customHeight="1" x14ac:dyDescent="0.2">
      <c r="A275" s="79"/>
      <c r="B275" s="80"/>
      <c r="C275" s="81"/>
      <c r="D275" s="82"/>
      <c r="E275" s="83"/>
      <c r="F275" s="84"/>
      <c r="G275" s="84"/>
      <c r="H275" s="85"/>
      <c r="I275" s="176"/>
      <c r="J275" s="176"/>
      <c r="K275" s="176"/>
    </row>
    <row r="276" spans="1:11" ht="11.25" customHeight="1" x14ac:dyDescent="0.2">
      <c r="D276" s="86"/>
      <c r="E276" s="87"/>
      <c r="F276" s="88"/>
      <c r="G276" s="88"/>
      <c r="H276" s="89"/>
      <c r="I276" s="177"/>
      <c r="J276" s="177"/>
      <c r="K276" s="177"/>
    </row>
    <row r="277" spans="1:11" ht="13.5" customHeight="1" x14ac:dyDescent="0.2">
      <c r="A277" s="4" t="str">
        <f>Summary!$G$9</f>
        <v>Contractor</v>
      </c>
      <c r="D277" s="90"/>
      <c r="E277" s="91"/>
      <c r="F277" s="92"/>
      <c r="G277" s="88"/>
      <c r="H277" s="89"/>
      <c r="I277" s="177"/>
      <c r="J277" s="177"/>
      <c r="K277" s="177"/>
    </row>
    <row r="278" spans="1:11" ht="13.5" customHeight="1" x14ac:dyDescent="0.2">
      <c r="A278" s="79"/>
      <c r="B278" s="80"/>
      <c r="C278" s="81"/>
      <c r="D278" s="82"/>
      <c r="E278" s="83"/>
      <c r="F278" s="93"/>
      <c r="G278" s="93"/>
      <c r="H278" s="94"/>
      <c r="I278" s="95"/>
      <c r="J278" s="95"/>
      <c r="K278" s="95"/>
    </row>
    <row r="279" spans="1:11" ht="13.5" customHeight="1" x14ac:dyDescent="0.2">
      <c r="A279" s="79"/>
      <c r="B279" s="80"/>
      <c r="C279" s="81"/>
      <c r="D279" s="82"/>
      <c r="E279" s="83"/>
      <c r="F279" s="93"/>
      <c r="G279" s="93"/>
      <c r="H279" s="94"/>
      <c r="I279" s="95"/>
      <c r="J279" s="95"/>
      <c r="K279" s="95"/>
    </row>
    <row r="280" spans="1:11" ht="13.5" customHeight="1" x14ac:dyDescent="0.2">
      <c r="A280" s="79"/>
      <c r="C280" s="81"/>
      <c r="D280" s="82"/>
      <c r="E280" s="83"/>
      <c r="F280" s="93"/>
      <c r="G280" s="93"/>
      <c r="I280" s="95"/>
      <c r="J280" s="95"/>
      <c r="K280" s="95"/>
    </row>
    <row r="281" spans="1:11" x14ac:dyDescent="0.2">
      <c r="A281" s="79"/>
      <c r="B281" s="80"/>
      <c r="C281" s="81"/>
      <c r="D281" s="82"/>
      <c r="E281" s="83"/>
      <c r="F281" s="93"/>
      <c r="G281" s="93"/>
      <c r="I281" s="488"/>
      <c r="J281" s="488"/>
      <c r="K281" s="488"/>
    </row>
    <row r="282" spans="1:11" x14ac:dyDescent="0.2">
      <c r="A282" s="79"/>
      <c r="B282" s="80"/>
      <c r="C282" s="81"/>
      <c r="D282" s="82"/>
      <c r="E282" s="83"/>
      <c r="F282" s="93"/>
      <c r="G282" s="93"/>
      <c r="H282" s="94"/>
      <c r="I282" s="489" t="str">
        <f>Summary!$G$10</f>
        <v>Construction Manager</v>
      </c>
      <c r="J282" s="489"/>
      <c r="K282" s="489"/>
    </row>
    <row r="283" spans="1:11" x14ac:dyDescent="0.2">
      <c r="I283" s="96"/>
      <c r="J283" s="96"/>
      <c r="K283" s="95"/>
    </row>
    <row r="284" spans="1:11" x14ac:dyDescent="0.2">
      <c r="A284" s="5" t="str">
        <f>Summary!$G$11</f>
        <v>PIPELINE PROJECT</v>
      </c>
    </row>
    <row r="291" spans="1:19" ht="17" x14ac:dyDescent="0.2">
      <c r="A291" s="158" t="s">
        <v>0</v>
      </c>
    </row>
    <row r="292" spans="1:19" ht="17" x14ac:dyDescent="0.2">
      <c r="A292" s="49" t="s">
        <v>69</v>
      </c>
    </row>
    <row r="293" spans="1:19" ht="16.5" customHeight="1" x14ac:dyDescent="0.2">
      <c r="A293" s="49"/>
      <c r="I293" s="2" t="s">
        <v>11</v>
      </c>
      <c r="J293" s="487">
        <v>42444</v>
      </c>
      <c r="K293" s="487"/>
    </row>
    <row r="294" spans="1:19" s="58" customFormat="1" ht="23.25" customHeight="1" x14ac:dyDescent="0.15">
      <c r="A294" s="50"/>
      <c r="B294" s="51"/>
      <c r="C294" s="52">
        <v>69435</v>
      </c>
      <c r="D294" s="53" t="s">
        <v>35</v>
      </c>
      <c r="E294" s="54">
        <v>580.70545646999994</v>
      </c>
      <c r="F294" s="55" t="s">
        <v>36</v>
      </c>
      <c r="G294" s="55" t="s">
        <v>27</v>
      </c>
      <c r="H294" s="55" t="s">
        <v>37</v>
      </c>
      <c r="I294" s="56" t="s">
        <v>38</v>
      </c>
      <c r="J294" s="56" t="s">
        <v>39</v>
      </c>
      <c r="K294" s="57" t="s">
        <v>40</v>
      </c>
      <c r="P294" s="58" t="s">
        <v>271</v>
      </c>
      <c r="Q294" s="58" t="s">
        <v>272</v>
      </c>
    </row>
    <row r="295" spans="1:19" ht="13.5" customHeight="1" x14ac:dyDescent="0.2">
      <c r="A295" s="59" t="s">
        <v>84</v>
      </c>
      <c r="B295" s="60" t="s">
        <v>74</v>
      </c>
      <c r="C295" s="61" t="s">
        <v>6</v>
      </c>
      <c r="D295" s="62">
        <v>0.02</v>
      </c>
      <c r="E295" s="63">
        <f>$E$81*D295</f>
        <v>11.614109129399999</v>
      </c>
      <c r="F295" s="64">
        <f t="shared" ref="F295:F308" si="72">G295+H295</f>
        <v>69435</v>
      </c>
      <c r="G295" s="64">
        <v>69435</v>
      </c>
      <c r="H295" s="70"/>
      <c r="I295" s="171">
        <f t="shared" ref="I295:I306" si="73">H295*E295</f>
        <v>0</v>
      </c>
      <c r="J295" s="172">
        <f t="shared" ref="J295:J308" si="74">G295*E295</f>
        <v>806425.66739988897</v>
      </c>
      <c r="K295" s="173">
        <f t="shared" ref="K295:K301" si="75">SUM(I295:J295)</f>
        <v>806425.66739988897</v>
      </c>
      <c r="L295" s="58"/>
      <c r="M295" s="58"/>
    </row>
    <row r="296" spans="1:19" ht="13.5" customHeight="1" x14ac:dyDescent="0.2">
      <c r="A296" s="65"/>
      <c r="B296" s="156" t="s">
        <v>75</v>
      </c>
      <c r="C296" s="71" t="s">
        <v>6</v>
      </c>
      <c r="D296" s="68">
        <v>0.08</v>
      </c>
      <c r="E296" s="69">
        <f>$E$81*D296</f>
        <v>46.456436517599997</v>
      </c>
      <c r="F296" s="70">
        <f t="shared" si="72"/>
        <v>69435</v>
      </c>
      <c r="G296" s="70">
        <v>69435</v>
      </c>
      <c r="H296" s="70"/>
      <c r="I296" s="171">
        <f t="shared" si="73"/>
        <v>0</v>
      </c>
      <c r="J296" s="172">
        <f t="shared" si="74"/>
        <v>3225702.6695995559</v>
      </c>
      <c r="K296" s="173">
        <f t="shared" si="75"/>
        <v>3225702.6695995559</v>
      </c>
      <c r="L296" s="58"/>
      <c r="M296" s="58"/>
    </row>
    <row r="297" spans="1:19" ht="13.5" customHeight="1" x14ac:dyDescent="0.2">
      <c r="A297" s="65"/>
      <c r="B297" s="66" t="s">
        <v>215</v>
      </c>
      <c r="C297" s="67" t="s">
        <v>6</v>
      </c>
      <c r="D297" s="68">
        <v>7.0000000000000007E-2</v>
      </c>
      <c r="E297" s="69">
        <f>$E$81*D297</f>
        <v>40.649381952900001</v>
      </c>
      <c r="F297" s="70">
        <f t="shared" si="72"/>
        <v>69435</v>
      </c>
      <c r="G297" s="70">
        <v>69435</v>
      </c>
      <c r="H297" s="70"/>
      <c r="I297" s="171">
        <f t="shared" si="73"/>
        <v>0</v>
      </c>
      <c r="J297" s="172">
        <f t="shared" si="74"/>
        <v>2822489.8358996115</v>
      </c>
      <c r="K297" s="173">
        <f t="shared" si="75"/>
        <v>2822489.8358996115</v>
      </c>
      <c r="L297" s="58"/>
      <c r="M297" s="58"/>
    </row>
    <row r="298" spans="1:19" ht="13.5" customHeight="1" x14ac:dyDescent="0.2">
      <c r="A298" s="65"/>
      <c r="B298" s="66" t="s">
        <v>41</v>
      </c>
      <c r="C298" s="67" t="s">
        <v>6</v>
      </c>
      <c r="D298" s="68">
        <v>7.0000000000000007E-2</v>
      </c>
      <c r="E298" s="69">
        <f t="shared" ref="E298:E306" si="76">$E$81*D298</f>
        <v>40.649381952900001</v>
      </c>
      <c r="F298" s="70">
        <f t="shared" si="72"/>
        <v>69435</v>
      </c>
      <c r="G298" s="70">
        <v>69435</v>
      </c>
      <c r="H298" s="70"/>
      <c r="I298" s="171">
        <f t="shared" si="73"/>
        <v>0</v>
      </c>
      <c r="J298" s="172">
        <f t="shared" si="74"/>
        <v>2822489.8358996115</v>
      </c>
      <c r="K298" s="173">
        <f t="shared" si="75"/>
        <v>2822489.8358996115</v>
      </c>
      <c r="L298" s="58"/>
      <c r="M298" s="58"/>
      <c r="O298" t="s">
        <v>303</v>
      </c>
      <c r="P298">
        <v>69435</v>
      </c>
      <c r="Q298" s="353">
        <f>P298-G298</f>
        <v>0</v>
      </c>
      <c r="S298" s="353">
        <f>F298-P298</f>
        <v>0</v>
      </c>
    </row>
    <row r="299" spans="1:19" ht="13.5" customHeight="1" x14ac:dyDescent="0.2">
      <c r="A299" s="65"/>
      <c r="B299" s="66" t="s">
        <v>42</v>
      </c>
      <c r="C299" s="67" t="s">
        <v>6</v>
      </c>
      <c r="D299" s="68">
        <v>0.17</v>
      </c>
      <c r="E299" s="69">
        <f t="shared" si="76"/>
        <v>98.719927599900004</v>
      </c>
      <c r="F299" s="70">
        <f t="shared" si="72"/>
        <v>69435</v>
      </c>
      <c r="G299" s="70">
        <v>69435</v>
      </c>
      <c r="H299" s="70"/>
      <c r="I299" s="171">
        <f t="shared" si="73"/>
        <v>0</v>
      </c>
      <c r="J299" s="172">
        <f t="shared" si="74"/>
        <v>6854618.1728990572</v>
      </c>
      <c r="K299" s="173">
        <f t="shared" si="75"/>
        <v>6854618.1728990572</v>
      </c>
      <c r="L299" s="58"/>
      <c r="M299" s="58"/>
      <c r="O299" t="s">
        <v>304</v>
      </c>
      <c r="P299">
        <v>69435</v>
      </c>
      <c r="Q299" s="353">
        <f t="shared" ref="Q299:Q306" si="77">P299-G299</f>
        <v>0</v>
      </c>
      <c r="S299" s="353">
        <f t="shared" ref="S299" si="78">F299-P299</f>
        <v>0</v>
      </c>
    </row>
    <row r="300" spans="1:19" ht="13.5" customHeight="1" x14ac:dyDescent="0.2">
      <c r="A300" s="65"/>
      <c r="B300" s="66" t="s">
        <v>76</v>
      </c>
      <c r="C300" s="67" t="s">
        <v>6</v>
      </c>
      <c r="D300" s="68">
        <v>0.08</v>
      </c>
      <c r="E300" s="69">
        <f t="shared" si="76"/>
        <v>46.456436517599997</v>
      </c>
      <c r="F300" s="70">
        <f t="shared" si="72"/>
        <v>69435</v>
      </c>
      <c r="G300" s="70">
        <v>67400</v>
      </c>
      <c r="H300" s="70">
        <v>2035</v>
      </c>
      <c r="I300" s="171">
        <f t="shared" si="73"/>
        <v>94538.84831331599</v>
      </c>
      <c r="J300" s="172">
        <f t="shared" si="74"/>
        <v>3131163.8212862397</v>
      </c>
      <c r="K300" s="173">
        <f t="shared" si="75"/>
        <v>3225702.6695995554</v>
      </c>
      <c r="L300" s="58"/>
      <c r="M300" s="58"/>
      <c r="O300" t="s">
        <v>305</v>
      </c>
      <c r="P300">
        <v>69435</v>
      </c>
      <c r="Q300" s="353">
        <f t="shared" si="77"/>
        <v>2035</v>
      </c>
      <c r="S300" s="353">
        <f>F300-P300</f>
        <v>0</v>
      </c>
    </row>
    <row r="301" spans="1:19" ht="13.5" customHeight="1" x14ac:dyDescent="0.2">
      <c r="A301" s="65"/>
      <c r="B301" s="66" t="s">
        <v>77</v>
      </c>
      <c r="C301" s="67" t="s">
        <v>6</v>
      </c>
      <c r="D301" s="68">
        <v>7.0000000000000007E-2</v>
      </c>
      <c r="E301" s="69">
        <f t="shared" si="76"/>
        <v>40.649381952900001</v>
      </c>
      <c r="F301" s="70">
        <f t="shared" si="72"/>
        <v>69435</v>
      </c>
      <c r="G301" s="70">
        <v>66900</v>
      </c>
      <c r="H301" s="70">
        <v>2535</v>
      </c>
      <c r="I301" s="171">
        <f t="shared" si="73"/>
        <v>103046.18325060151</v>
      </c>
      <c r="J301" s="172">
        <f t="shared" si="74"/>
        <v>2719443.6526490101</v>
      </c>
      <c r="K301" s="173">
        <f t="shared" si="75"/>
        <v>2822489.8358996115</v>
      </c>
      <c r="L301" s="58"/>
      <c r="M301" s="58"/>
      <c r="O301" t="s">
        <v>306</v>
      </c>
      <c r="P301">
        <v>69435</v>
      </c>
      <c r="Q301" s="353">
        <f t="shared" si="77"/>
        <v>2535</v>
      </c>
      <c r="S301" s="353">
        <f t="shared" ref="S301:S307" si="79">F301-P301</f>
        <v>0</v>
      </c>
    </row>
    <row r="302" spans="1:19" ht="13.5" customHeight="1" x14ac:dyDescent="0.2">
      <c r="A302" s="65"/>
      <c r="B302" s="66" t="s">
        <v>43</v>
      </c>
      <c r="C302" s="67" t="s">
        <v>6</v>
      </c>
      <c r="D302" s="68">
        <v>0.08</v>
      </c>
      <c r="E302" s="69">
        <f t="shared" si="76"/>
        <v>46.456436517599997</v>
      </c>
      <c r="F302" s="70">
        <f t="shared" si="72"/>
        <v>69435</v>
      </c>
      <c r="G302" s="70">
        <v>66500</v>
      </c>
      <c r="H302" s="70">
        <v>2935</v>
      </c>
      <c r="I302" s="171">
        <f t="shared" si="73"/>
        <v>136349.64117915599</v>
      </c>
      <c r="J302" s="172">
        <f t="shared" si="74"/>
        <v>3089353.0284203999</v>
      </c>
      <c r="K302" s="173">
        <f>SUM(I302:J302)</f>
        <v>3225702.6695995559</v>
      </c>
      <c r="L302" s="58"/>
      <c r="M302" s="58"/>
      <c r="O302" t="s">
        <v>307</v>
      </c>
      <c r="P302">
        <v>69435</v>
      </c>
      <c r="Q302" s="353">
        <f t="shared" si="77"/>
        <v>2935</v>
      </c>
      <c r="S302" s="353">
        <f t="shared" si="79"/>
        <v>0</v>
      </c>
    </row>
    <row r="303" spans="1:19" ht="13.5" customHeight="1" x14ac:dyDescent="0.2">
      <c r="A303" s="65"/>
      <c r="B303" s="66" t="s">
        <v>78</v>
      </c>
      <c r="C303" s="67" t="s">
        <v>6</v>
      </c>
      <c r="D303" s="68">
        <v>7.0000000000000007E-2</v>
      </c>
      <c r="E303" s="69">
        <f t="shared" si="76"/>
        <v>40.649381952900001</v>
      </c>
      <c r="F303" s="70">
        <f t="shared" si="72"/>
        <v>48200</v>
      </c>
      <c r="G303" s="70">
        <v>37700</v>
      </c>
      <c r="H303" s="70">
        <v>10500</v>
      </c>
      <c r="I303" s="171">
        <f t="shared" si="73"/>
        <v>426818.51050545002</v>
      </c>
      <c r="J303" s="172">
        <f t="shared" si="74"/>
        <v>1532481.69962433</v>
      </c>
      <c r="K303" s="173">
        <f t="shared" ref="K303:K308" si="80">SUM(I303:J303)</f>
        <v>1959300.21012978</v>
      </c>
      <c r="L303" s="58"/>
      <c r="M303" s="58"/>
      <c r="O303" t="s">
        <v>308</v>
      </c>
      <c r="P303">
        <v>48200</v>
      </c>
      <c r="Q303" s="353">
        <f t="shared" si="77"/>
        <v>10500</v>
      </c>
      <c r="S303" s="353">
        <f t="shared" si="79"/>
        <v>0</v>
      </c>
    </row>
    <row r="304" spans="1:19" ht="13.5" customHeight="1" x14ac:dyDescent="0.2">
      <c r="A304" s="65"/>
      <c r="B304" s="66" t="s">
        <v>44</v>
      </c>
      <c r="C304" s="67" t="s">
        <v>6</v>
      </c>
      <c r="D304" s="68">
        <v>7.0000000000000007E-2</v>
      </c>
      <c r="E304" s="69">
        <f t="shared" si="76"/>
        <v>40.649381952900001</v>
      </c>
      <c r="F304" s="70">
        <f t="shared" si="72"/>
        <v>0</v>
      </c>
      <c r="G304" s="70">
        <v>0</v>
      </c>
      <c r="H304" s="70"/>
      <c r="I304" s="171">
        <f t="shared" si="73"/>
        <v>0</v>
      </c>
      <c r="J304" s="172">
        <f t="shared" si="74"/>
        <v>0</v>
      </c>
      <c r="K304" s="173">
        <f t="shared" si="80"/>
        <v>0</v>
      </c>
      <c r="L304" s="58"/>
      <c r="Q304" s="353">
        <f t="shared" si="77"/>
        <v>0</v>
      </c>
      <c r="S304" s="353">
        <f t="shared" si="79"/>
        <v>0</v>
      </c>
    </row>
    <row r="305" spans="1:19" ht="13.5" customHeight="1" x14ac:dyDescent="0.2">
      <c r="A305" s="65"/>
      <c r="B305" s="66" t="s">
        <v>79</v>
      </c>
      <c r="C305" s="67" t="s">
        <v>6</v>
      </c>
      <c r="D305" s="68">
        <v>0.05</v>
      </c>
      <c r="E305" s="69">
        <f t="shared" si="76"/>
        <v>29.035272823499998</v>
      </c>
      <c r="F305" s="70">
        <f t="shared" si="72"/>
        <v>0</v>
      </c>
      <c r="G305" s="70">
        <v>0</v>
      </c>
      <c r="H305" s="70"/>
      <c r="I305" s="171">
        <f t="shared" si="73"/>
        <v>0</v>
      </c>
      <c r="J305" s="172">
        <f t="shared" si="74"/>
        <v>0</v>
      </c>
      <c r="K305" s="173">
        <f t="shared" si="80"/>
        <v>0</v>
      </c>
      <c r="L305" s="58"/>
      <c r="Q305" s="353">
        <f t="shared" si="77"/>
        <v>0</v>
      </c>
      <c r="S305" s="353">
        <f t="shared" si="79"/>
        <v>0</v>
      </c>
    </row>
    <row r="306" spans="1:19" ht="13.5" customHeight="1" x14ac:dyDescent="0.2">
      <c r="A306" s="65"/>
      <c r="B306" s="66" t="s">
        <v>80</v>
      </c>
      <c r="C306" s="71" t="s">
        <v>6</v>
      </c>
      <c r="D306" s="68">
        <v>0.09</v>
      </c>
      <c r="E306" s="69">
        <f t="shared" si="76"/>
        <v>52.263491082299993</v>
      </c>
      <c r="F306" s="70">
        <f t="shared" si="72"/>
        <v>17000</v>
      </c>
      <c r="G306" s="70">
        <v>10700</v>
      </c>
      <c r="H306" s="70">
        <v>6300</v>
      </c>
      <c r="I306" s="171">
        <f t="shared" si="73"/>
        <v>329259.99381848995</v>
      </c>
      <c r="J306" s="172">
        <f t="shared" si="74"/>
        <v>559219.35458060994</v>
      </c>
      <c r="K306" s="173">
        <f t="shared" si="80"/>
        <v>888479.34839909989</v>
      </c>
      <c r="L306" s="58"/>
      <c r="O306" t="s">
        <v>563</v>
      </c>
      <c r="P306">
        <v>17000</v>
      </c>
      <c r="Q306" s="353">
        <f t="shared" si="77"/>
        <v>6300</v>
      </c>
      <c r="S306" s="353">
        <f t="shared" si="79"/>
        <v>0</v>
      </c>
    </row>
    <row r="307" spans="1:19" ht="13.5" customHeight="1" x14ac:dyDescent="0.2">
      <c r="A307" s="65"/>
      <c r="B307" s="156" t="s">
        <v>81</v>
      </c>
      <c r="C307" s="71" t="s">
        <v>6</v>
      </c>
      <c r="D307" s="68">
        <v>0.02</v>
      </c>
      <c r="E307" s="69">
        <f>$E$81*D307</f>
        <v>11.614109129399999</v>
      </c>
      <c r="F307" s="70">
        <f t="shared" si="72"/>
        <v>0</v>
      </c>
      <c r="G307" s="70"/>
      <c r="H307" s="70"/>
      <c r="I307" s="171">
        <f>H307*E307</f>
        <v>0</v>
      </c>
      <c r="J307" s="172">
        <f t="shared" si="74"/>
        <v>0</v>
      </c>
      <c r="K307" s="173">
        <f t="shared" si="80"/>
        <v>0</v>
      </c>
      <c r="S307" s="353">
        <f t="shared" si="79"/>
        <v>0</v>
      </c>
    </row>
    <row r="308" spans="1:19" ht="13.5" customHeight="1" thickBot="1" x14ac:dyDescent="0.25">
      <c r="A308" s="65"/>
      <c r="B308" s="66" t="s">
        <v>82</v>
      </c>
      <c r="C308" s="71" t="s">
        <v>6</v>
      </c>
      <c r="D308" s="68">
        <v>0.06</v>
      </c>
      <c r="E308" s="69">
        <f t="shared" ref="E308" si="81">$E$81*D308</f>
        <v>34.842327388199998</v>
      </c>
      <c r="F308" s="70">
        <f t="shared" si="72"/>
        <v>0</v>
      </c>
      <c r="G308" s="70"/>
      <c r="H308" s="70"/>
      <c r="I308" s="171">
        <f t="shared" ref="I308" si="82">H308*E308</f>
        <v>0</v>
      </c>
      <c r="J308" s="172">
        <f t="shared" si="74"/>
        <v>0</v>
      </c>
      <c r="K308" s="173">
        <f t="shared" si="80"/>
        <v>0</v>
      </c>
    </row>
    <row r="309" spans="1:19" ht="13.5" customHeight="1" x14ac:dyDescent="0.2">
      <c r="A309" s="72"/>
      <c r="B309" s="73"/>
      <c r="C309" s="74"/>
      <c r="D309" s="75">
        <f>SUM(D295:D308)</f>
        <v>1</v>
      </c>
      <c r="E309" s="76">
        <f>SUM(E295:E308)</f>
        <v>580.70545647000006</v>
      </c>
      <c r="F309" s="77"/>
      <c r="G309" s="77"/>
      <c r="H309" s="78" t="s">
        <v>83</v>
      </c>
      <c r="I309" s="174">
        <f>SUM(I295:I308)</f>
        <v>1090013.1770670135</v>
      </c>
      <c r="J309" s="174">
        <f>SUM(J295:J308)</f>
        <v>27563387.738258317</v>
      </c>
      <c r="K309" s="175">
        <f>SUM(K295:K308)</f>
        <v>28653400.915325325</v>
      </c>
    </row>
    <row r="310" spans="1:19" ht="9.75" customHeight="1" x14ac:dyDescent="0.2">
      <c r="A310" s="79"/>
      <c r="B310" s="80"/>
      <c r="C310" s="81"/>
      <c r="D310" s="82"/>
      <c r="E310" s="83"/>
      <c r="F310" s="84"/>
      <c r="G310" s="84"/>
      <c r="H310" s="85"/>
      <c r="I310" s="176"/>
      <c r="J310" s="176"/>
      <c r="K310" s="176"/>
    </row>
    <row r="311" spans="1:19" ht="11.25" customHeight="1" x14ac:dyDescent="0.2">
      <c r="D311" s="86"/>
      <c r="E311" s="87"/>
      <c r="F311" s="88"/>
      <c r="G311" s="88"/>
      <c r="H311" s="89"/>
      <c r="I311" s="177"/>
      <c r="J311" s="177"/>
      <c r="K311" s="177"/>
    </row>
    <row r="312" spans="1:19" ht="13.5" customHeight="1" x14ac:dyDescent="0.2">
      <c r="A312" s="4" t="str">
        <f>Summary!$G$9</f>
        <v>Contractor</v>
      </c>
      <c r="D312" s="90"/>
      <c r="E312" s="91"/>
      <c r="F312" s="92"/>
      <c r="G312" s="88"/>
      <c r="H312" s="89"/>
      <c r="I312" s="177"/>
      <c r="J312" s="177"/>
      <c r="K312" s="177"/>
    </row>
    <row r="313" spans="1:19" ht="13.5" customHeight="1" x14ac:dyDescent="0.2">
      <c r="A313" s="79"/>
      <c r="B313" s="80"/>
      <c r="C313" s="81"/>
      <c r="D313" s="82"/>
      <c r="E313" s="83"/>
      <c r="F313" s="93"/>
      <c r="G313" s="93"/>
      <c r="H313" s="94"/>
      <c r="I313" s="95"/>
      <c r="J313" s="95"/>
      <c r="K313" s="95"/>
    </row>
    <row r="314" spans="1:19" ht="13.5" customHeight="1" x14ac:dyDescent="0.2">
      <c r="A314" s="79"/>
      <c r="B314" s="80"/>
      <c r="C314" s="81"/>
      <c r="D314" s="82"/>
      <c r="E314" s="83"/>
      <c r="F314" s="93"/>
      <c r="G314" s="93"/>
      <c r="H314" s="94"/>
      <c r="I314" s="95"/>
      <c r="J314" s="95"/>
      <c r="K314" s="95"/>
    </row>
    <row r="315" spans="1:19" ht="13.5" customHeight="1" x14ac:dyDescent="0.2">
      <c r="A315" s="79"/>
      <c r="C315" s="81"/>
      <c r="D315" s="82"/>
      <c r="E315" s="83"/>
      <c r="F315" s="93"/>
      <c r="G315" s="93"/>
      <c r="I315" s="95"/>
      <c r="J315" s="95"/>
      <c r="K315" s="95"/>
    </row>
    <row r="316" spans="1:19" x14ac:dyDescent="0.2">
      <c r="A316" s="79"/>
      <c r="B316" s="80"/>
      <c r="C316" s="81"/>
      <c r="D316" s="82"/>
      <c r="E316" s="83"/>
      <c r="F316" s="93"/>
      <c r="G316" s="93"/>
      <c r="I316" s="488"/>
      <c r="J316" s="488"/>
      <c r="K316" s="488"/>
    </row>
    <row r="317" spans="1:19" x14ac:dyDescent="0.2">
      <c r="A317" s="79"/>
      <c r="B317" s="80"/>
      <c r="C317" s="81"/>
      <c r="D317" s="82"/>
      <c r="E317" s="83"/>
      <c r="F317" s="93"/>
      <c r="G317" s="93"/>
      <c r="H317" s="94"/>
      <c r="I317" s="489" t="str">
        <f>Summary!$G$10</f>
        <v>Construction Manager</v>
      </c>
      <c r="J317" s="489"/>
      <c r="K317" s="489"/>
    </row>
    <row r="318" spans="1:19" x14ac:dyDescent="0.2">
      <c r="I318" s="96"/>
      <c r="J318" s="96"/>
      <c r="K318" s="95"/>
    </row>
    <row r="319" spans="1:19" x14ac:dyDescent="0.2">
      <c r="A319" s="5" t="str">
        <f>Summary!$G$11</f>
        <v>PIPELINE PROJECT</v>
      </c>
    </row>
    <row r="326" spans="1:19" ht="17" x14ac:dyDescent="0.2">
      <c r="A326" s="158" t="s">
        <v>0</v>
      </c>
    </row>
    <row r="327" spans="1:19" ht="17" x14ac:dyDescent="0.2">
      <c r="A327" s="49" t="s">
        <v>69</v>
      </c>
    </row>
    <row r="328" spans="1:19" ht="16.5" customHeight="1" x14ac:dyDescent="0.2">
      <c r="A328" s="49"/>
      <c r="I328" s="2" t="s">
        <v>11</v>
      </c>
      <c r="J328" s="487">
        <v>42460</v>
      </c>
      <c r="K328" s="487"/>
    </row>
    <row r="329" spans="1:19" s="58" customFormat="1" ht="23.25" customHeight="1" x14ac:dyDescent="0.15">
      <c r="A329" s="50"/>
      <c r="B329" s="51"/>
      <c r="C329" s="52">
        <v>69435</v>
      </c>
      <c r="D329" s="53" t="s">
        <v>35</v>
      </c>
      <c r="E329" s="54">
        <v>580.70545646999994</v>
      </c>
      <c r="F329" s="55" t="s">
        <v>36</v>
      </c>
      <c r="G329" s="55" t="s">
        <v>27</v>
      </c>
      <c r="H329" s="55" t="s">
        <v>37</v>
      </c>
      <c r="I329" s="56" t="s">
        <v>38</v>
      </c>
      <c r="J329" s="56" t="s">
        <v>39</v>
      </c>
      <c r="K329" s="57" t="s">
        <v>40</v>
      </c>
      <c r="P329" s="58" t="s">
        <v>271</v>
      </c>
      <c r="Q329" s="58" t="s">
        <v>272</v>
      </c>
    </row>
    <row r="330" spans="1:19" ht="13.5" customHeight="1" x14ac:dyDescent="0.2">
      <c r="A330" s="59" t="s">
        <v>84</v>
      </c>
      <c r="B330" s="60" t="s">
        <v>74</v>
      </c>
      <c r="C330" s="61" t="s">
        <v>6</v>
      </c>
      <c r="D330" s="62">
        <v>0.02</v>
      </c>
      <c r="E330" s="63">
        <f>$E$81*D330</f>
        <v>11.614109129399999</v>
      </c>
      <c r="F330" s="64">
        <f t="shared" ref="F330:F343" si="83">G330+H330</f>
        <v>69435</v>
      </c>
      <c r="G330" s="64">
        <v>69435</v>
      </c>
      <c r="H330" s="70"/>
      <c r="I330" s="171">
        <f t="shared" ref="I330:I341" si="84">H330*E330</f>
        <v>0</v>
      </c>
      <c r="J330" s="172">
        <f t="shared" ref="J330:J343" si="85">G330*E330</f>
        <v>806425.66739988897</v>
      </c>
      <c r="K330" s="173">
        <f t="shared" ref="K330:K336" si="86">SUM(I330:J330)</f>
        <v>806425.66739988897</v>
      </c>
      <c r="L330" s="58"/>
      <c r="M330" s="58"/>
    </row>
    <row r="331" spans="1:19" ht="13.5" customHeight="1" x14ac:dyDescent="0.2">
      <c r="A331" s="65"/>
      <c r="B331" s="156" t="s">
        <v>75</v>
      </c>
      <c r="C331" s="71" t="s">
        <v>6</v>
      </c>
      <c r="D331" s="68">
        <v>0.08</v>
      </c>
      <c r="E331" s="69">
        <f>$E$81*D331</f>
        <v>46.456436517599997</v>
      </c>
      <c r="F331" s="70">
        <f t="shared" si="83"/>
        <v>69435</v>
      </c>
      <c r="G331" s="70">
        <v>69435</v>
      </c>
      <c r="H331" s="70"/>
      <c r="I331" s="171">
        <f t="shared" si="84"/>
        <v>0</v>
      </c>
      <c r="J331" s="172">
        <f t="shared" si="85"/>
        <v>3225702.6695995559</v>
      </c>
      <c r="K331" s="173">
        <f t="shared" si="86"/>
        <v>3225702.6695995559</v>
      </c>
      <c r="L331" s="58"/>
      <c r="M331" s="58"/>
    </row>
    <row r="332" spans="1:19" ht="13.5" customHeight="1" x14ac:dyDescent="0.2">
      <c r="A332" s="65"/>
      <c r="B332" s="66" t="s">
        <v>215</v>
      </c>
      <c r="C332" s="67" t="s">
        <v>6</v>
      </c>
      <c r="D332" s="68">
        <v>7.0000000000000007E-2</v>
      </c>
      <c r="E332" s="69">
        <f>$E$81*D332</f>
        <v>40.649381952900001</v>
      </c>
      <c r="F332" s="70">
        <f t="shared" si="83"/>
        <v>69435</v>
      </c>
      <c r="G332" s="70">
        <v>69435</v>
      </c>
      <c r="H332" s="70"/>
      <c r="I332" s="171">
        <f t="shared" si="84"/>
        <v>0</v>
      </c>
      <c r="J332" s="172">
        <f t="shared" si="85"/>
        <v>2822489.8358996115</v>
      </c>
      <c r="K332" s="173">
        <f t="shared" si="86"/>
        <v>2822489.8358996115</v>
      </c>
      <c r="L332" s="58"/>
      <c r="M332" s="58"/>
    </row>
    <row r="333" spans="1:19" ht="13.5" customHeight="1" x14ac:dyDescent="0.2">
      <c r="A333" s="65"/>
      <c r="B333" s="66" t="s">
        <v>41</v>
      </c>
      <c r="C333" s="67" t="s">
        <v>6</v>
      </c>
      <c r="D333" s="68">
        <v>7.0000000000000007E-2</v>
      </c>
      <c r="E333" s="69">
        <f t="shared" ref="E333:E341" si="87">$E$81*D333</f>
        <v>40.649381952900001</v>
      </c>
      <c r="F333" s="70">
        <f t="shared" si="83"/>
        <v>69435</v>
      </c>
      <c r="G333" s="70">
        <v>69435</v>
      </c>
      <c r="H333" s="70"/>
      <c r="I333" s="171">
        <f t="shared" si="84"/>
        <v>0</v>
      </c>
      <c r="J333" s="172">
        <f t="shared" si="85"/>
        <v>2822489.8358996115</v>
      </c>
      <c r="K333" s="173">
        <f t="shared" si="86"/>
        <v>2822489.8358996115</v>
      </c>
      <c r="L333" s="58"/>
      <c r="M333" s="58"/>
      <c r="O333" t="s">
        <v>303</v>
      </c>
      <c r="P333">
        <v>69435</v>
      </c>
      <c r="Q333" s="353">
        <f>P333-G333</f>
        <v>0</v>
      </c>
      <c r="S333" s="353">
        <f>F333-P333</f>
        <v>0</v>
      </c>
    </row>
    <row r="334" spans="1:19" ht="13.5" customHeight="1" x14ac:dyDescent="0.2">
      <c r="A334" s="65"/>
      <c r="B334" s="66" t="s">
        <v>42</v>
      </c>
      <c r="C334" s="67" t="s">
        <v>6</v>
      </c>
      <c r="D334" s="68">
        <v>0.17</v>
      </c>
      <c r="E334" s="69">
        <f t="shared" si="87"/>
        <v>98.719927599900004</v>
      </c>
      <c r="F334" s="70">
        <f t="shared" si="83"/>
        <v>69435</v>
      </c>
      <c r="G334" s="70">
        <v>69435</v>
      </c>
      <c r="H334" s="70"/>
      <c r="I334" s="171">
        <f t="shared" si="84"/>
        <v>0</v>
      </c>
      <c r="J334" s="172">
        <f t="shared" si="85"/>
        <v>6854618.1728990572</v>
      </c>
      <c r="K334" s="173">
        <f t="shared" si="86"/>
        <v>6854618.1728990572</v>
      </c>
      <c r="L334" s="58"/>
      <c r="M334" s="58"/>
      <c r="O334" t="s">
        <v>304</v>
      </c>
      <c r="P334">
        <v>69435</v>
      </c>
      <c r="Q334" s="353">
        <f t="shared" ref="Q334:Q341" si="88">P334-G334</f>
        <v>0</v>
      </c>
      <c r="S334" s="353">
        <f t="shared" ref="S334" si="89">F334-P334</f>
        <v>0</v>
      </c>
    </row>
    <row r="335" spans="1:19" ht="13.5" customHeight="1" x14ac:dyDescent="0.2">
      <c r="A335" s="65"/>
      <c r="B335" s="66" t="s">
        <v>76</v>
      </c>
      <c r="C335" s="67" t="s">
        <v>6</v>
      </c>
      <c r="D335" s="68">
        <v>0.08</v>
      </c>
      <c r="E335" s="69">
        <f t="shared" si="87"/>
        <v>46.456436517599997</v>
      </c>
      <c r="F335" s="70">
        <f t="shared" si="83"/>
        <v>69435</v>
      </c>
      <c r="G335" s="70">
        <v>69435</v>
      </c>
      <c r="H335" s="70"/>
      <c r="I335" s="171">
        <f t="shared" si="84"/>
        <v>0</v>
      </c>
      <c r="J335" s="172">
        <f t="shared" si="85"/>
        <v>3225702.6695995559</v>
      </c>
      <c r="K335" s="173">
        <f t="shared" si="86"/>
        <v>3225702.6695995559</v>
      </c>
      <c r="L335" s="58"/>
      <c r="M335" s="58"/>
      <c r="O335" t="s">
        <v>305</v>
      </c>
      <c r="P335">
        <v>69435</v>
      </c>
      <c r="Q335" s="353">
        <f t="shared" si="88"/>
        <v>0</v>
      </c>
      <c r="S335" s="353">
        <f>F335-P335</f>
        <v>0</v>
      </c>
    </row>
    <row r="336" spans="1:19" ht="13.5" customHeight="1" x14ac:dyDescent="0.2">
      <c r="A336" s="65"/>
      <c r="B336" s="66" t="s">
        <v>77</v>
      </c>
      <c r="C336" s="67" t="s">
        <v>6</v>
      </c>
      <c r="D336" s="68">
        <v>7.0000000000000007E-2</v>
      </c>
      <c r="E336" s="69">
        <f t="shared" si="87"/>
        <v>40.649381952900001</v>
      </c>
      <c r="F336" s="70">
        <f t="shared" si="83"/>
        <v>69435</v>
      </c>
      <c r="G336" s="70">
        <v>69435</v>
      </c>
      <c r="H336" s="70"/>
      <c r="I336" s="171">
        <f t="shared" si="84"/>
        <v>0</v>
      </c>
      <c r="J336" s="172">
        <f t="shared" si="85"/>
        <v>2822489.8358996115</v>
      </c>
      <c r="K336" s="173">
        <f t="shared" si="86"/>
        <v>2822489.8358996115</v>
      </c>
      <c r="L336" s="58"/>
      <c r="M336" s="58"/>
      <c r="O336" t="s">
        <v>306</v>
      </c>
      <c r="P336">
        <v>69435</v>
      </c>
      <c r="Q336" s="353">
        <f t="shared" si="88"/>
        <v>0</v>
      </c>
      <c r="S336" s="353">
        <f t="shared" ref="S336:S342" si="90">F336-P336</f>
        <v>0</v>
      </c>
    </row>
    <row r="337" spans="1:19" ht="13.5" customHeight="1" x14ac:dyDescent="0.2">
      <c r="A337" s="65"/>
      <c r="B337" s="66" t="s">
        <v>43</v>
      </c>
      <c r="C337" s="67" t="s">
        <v>6</v>
      </c>
      <c r="D337" s="68">
        <v>0.08</v>
      </c>
      <c r="E337" s="69">
        <f t="shared" si="87"/>
        <v>46.456436517599997</v>
      </c>
      <c r="F337" s="70">
        <f t="shared" si="83"/>
        <v>69435</v>
      </c>
      <c r="G337" s="70">
        <v>69435</v>
      </c>
      <c r="H337" s="70"/>
      <c r="I337" s="171">
        <f t="shared" si="84"/>
        <v>0</v>
      </c>
      <c r="J337" s="172">
        <f t="shared" si="85"/>
        <v>3225702.6695995559</v>
      </c>
      <c r="K337" s="173">
        <f>SUM(I337:J337)</f>
        <v>3225702.6695995559</v>
      </c>
      <c r="L337" s="58"/>
      <c r="M337" s="58"/>
      <c r="O337" t="s">
        <v>307</v>
      </c>
      <c r="P337">
        <v>69435</v>
      </c>
      <c r="Q337" s="353">
        <f t="shared" si="88"/>
        <v>0</v>
      </c>
      <c r="S337" s="353">
        <f t="shared" si="90"/>
        <v>0</v>
      </c>
    </row>
    <row r="338" spans="1:19" ht="13.5" customHeight="1" x14ac:dyDescent="0.2">
      <c r="A338" s="65"/>
      <c r="B338" s="66" t="s">
        <v>78</v>
      </c>
      <c r="C338" s="67" t="s">
        <v>6</v>
      </c>
      <c r="D338" s="68">
        <v>7.0000000000000007E-2</v>
      </c>
      <c r="E338" s="69">
        <f t="shared" si="87"/>
        <v>40.649381952900001</v>
      </c>
      <c r="F338" s="70">
        <f t="shared" si="83"/>
        <v>65700</v>
      </c>
      <c r="G338" s="70">
        <v>48200</v>
      </c>
      <c r="H338" s="70">
        <v>17500</v>
      </c>
      <c r="I338" s="171">
        <f t="shared" si="84"/>
        <v>711364.18417575001</v>
      </c>
      <c r="J338" s="172">
        <f t="shared" si="85"/>
        <v>1959300.21012978</v>
      </c>
      <c r="K338" s="173">
        <f t="shared" ref="K338:K343" si="91">SUM(I338:J338)</f>
        <v>2670664.39430553</v>
      </c>
      <c r="L338" s="58"/>
      <c r="M338" s="58"/>
      <c r="O338" t="s">
        <v>308</v>
      </c>
      <c r="P338">
        <v>65700</v>
      </c>
      <c r="Q338" s="353">
        <f t="shared" si="88"/>
        <v>17500</v>
      </c>
      <c r="S338" s="353">
        <f t="shared" si="90"/>
        <v>0</v>
      </c>
    </row>
    <row r="339" spans="1:19" ht="13.5" customHeight="1" x14ac:dyDescent="0.2">
      <c r="A339" s="65"/>
      <c r="B339" s="66" t="s">
        <v>44</v>
      </c>
      <c r="C339" s="67" t="s">
        <v>6</v>
      </c>
      <c r="D339" s="68">
        <v>7.0000000000000007E-2</v>
      </c>
      <c r="E339" s="69">
        <f t="shared" si="87"/>
        <v>40.649381952900001</v>
      </c>
      <c r="F339" s="70">
        <f t="shared" si="83"/>
        <v>18100</v>
      </c>
      <c r="G339" s="70">
        <v>0</v>
      </c>
      <c r="H339" s="70">
        <v>18100</v>
      </c>
      <c r="I339" s="171">
        <f t="shared" si="84"/>
        <v>735753.81334749004</v>
      </c>
      <c r="J339" s="172">
        <f t="shared" si="85"/>
        <v>0</v>
      </c>
      <c r="K339" s="173">
        <f t="shared" si="91"/>
        <v>735753.81334749004</v>
      </c>
      <c r="L339" s="58"/>
      <c r="O339" t="s">
        <v>868</v>
      </c>
      <c r="P339">
        <v>18100</v>
      </c>
      <c r="Q339" s="353">
        <f t="shared" si="88"/>
        <v>18100</v>
      </c>
      <c r="S339" s="353">
        <f t="shared" si="90"/>
        <v>0</v>
      </c>
    </row>
    <row r="340" spans="1:19" ht="13.5" customHeight="1" x14ac:dyDescent="0.2">
      <c r="A340" s="65"/>
      <c r="B340" s="66" t="s">
        <v>79</v>
      </c>
      <c r="C340" s="67" t="s">
        <v>6</v>
      </c>
      <c r="D340" s="68">
        <v>0.05</v>
      </c>
      <c r="E340" s="69">
        <f t="shared" si="87"/>
        <v>29.035272823499998</v>
      </c>
      <c r="F340" s="70">
        <f t="shared" si="83"/>
        <v>0</v>
      </c>
      <c r="G340" s="70">
        <v>0</v>
      </c>
      <c r="H340" s="70"/>
      <c r="I340" s="171">
        <f t="shared" si="84"/>
        <v>0</v>
      </c>
      <c r="J340" s="172">
        <f t="shared" si="85"/>
        <v>0</v>
      </c>
      <c r="K340" s="173">
        <f t="shared" si="91"/>
        <v>0</v>
      </c>
      <c r="L340" s="58"/>
      <c r="Q340" s="353">
        <f t="shared" si="88"/>
        <v>0</v>
      </c>
      <c r="S340" s="353">
        <f t="shared" si="90"/>
        <v>0</v>
      </c>
    </row>
    <row r="341" spans="1:19" ht="13.5" customHeight="1" x14ac:dyDescent="0.2">
      <c r="A341" s="65"/>
      <c r="B341" s="66" t="s">
        <v>80</v>
      </c>
      <c r="C341" s="71" t="s">
        <v>6</v>
      </c>
      <c r="D341" s="68">
        <v>0.09</v>
      </c>
      <c r="E341" s="69">
        <f t="shared" si="87"/>
        <v>52.263491082299993</v>
      </c>
      <c r="F341" s="70">
        <f t="shared" si="83"/>
        <v>28600</v>
      </c>
      <c r="G341" s="70">
        <v>17000</v>
      </c>
      <c r="H341" s="70">
        <v>11600</v>
      </c>
      <c r="I341" s="171">
        <f t="shared" si="84"/>
        <v>606256.49655467994</v>
      </c>
      <c r="J341" s="172">
        <f t="shared" si="85"/>
        <v>888479.34839909989</v>
      </c>
      <c r="K341" s="173">
        <f t="shared" si="91"/>
        <v>1494735.8449537798</v>
      </c>
      <c r="L341" s="58"/>
      <c r="O341" t="s">
        <v>563</v>
      </c>
      <c r="P341">
        <v>28600</v>
      </c>
      <c r="Q341" s="353">
        <f t="shared" si="88"/>
        <v>11600</v>
      </c>
      <c r="S341" s="353">
        <f t="shared" si="90"/>
        <v>0</v>
      </c>
    </row>
    <row r="342" spans="1:19" ht="13.5" customHeight="1" x14ac:dyDescent="0.2">
      <c r="A342" s="65"/>
      <c r="B342" s="156" t="s">
        <v>81</v>
      </c>
      <c r="C342" s="71" t="s">
        <v>6</v>
      </c>
      <c r="D342" s="68">
        <v>0.02</v>
      </c>
      <c r="E342" s="69">
        <f>$E$81*D342</f>
        <v>11.614109129399999</v>
      </c>
      <c r="F342" s="70">
        <f t="shared" si="83"/>
        <v>0</v>
      </c>
      <c r="G342" s="70">
        <v>0</v>
      </c>
      <c r="H342" s="70"/>
      <c r="I342" s="171">
        <f>H342*E342</f>
        <v>0</v>
      </c>
      <c r="J342" s="172">
        <f t="shared" si="85"/>
        <v>0</v>
      </c>
      <c r="K342" s="173">
        <f t="shared" si="91"/>
        <v>0</v>
      </c>
      <c r="S342" s="353">
        <f t="shared" si="90"/>
        <v>0</v>
      </c>
    </row>
    <row r="343" spans="1:19" ht="13.5" customHeight="1" thickBot="1" x14ac:dyDescent="0.25">
      <c r="A343" s="65"/>
      <c r="B343" s="66" t="s">
        <v>82</v>
      </c>
      <c r="C343" s="71" t="s">
        <v>6</v>
      </c>
      <c r="D343" s="68">
        <v>0.06</v>
      </c>
      <c r="E343" s="69">
        <f t="shared" ref="E343" si="92">$E$81*D343</f>
        <v>34.842327388199998</v>
      </c>
      <c r="F343" s="70">
        <f t="shared" si="83"/>
        <v>0</v>
      </c>
      <c r="G343" s="70">
        <v>0</v>
      </c>
      <c r="H343" s="70"/>
      <c r="I343" s="171">
        <f t="shared" ref="I343" si="93">H343*E343</f>
        <v>0</v>
      </c>
      <c r="J343" s="172">
        <f t="shared" si="85"/>
        <v>0</v>
      </c>
      <c r="K343" s="173">
        <f t="shared" si="91"/>
        <v>0</v>
      </c>
    </row>
    <row r="344" spans="1:19" ht="13.5" customHeight="1" x14ac:dyDescent="0.2">
      <c r="A344" s="72"/>
      <c r="B344" s="73"/>
      <c r="C344" s="74"/>
      <c r="D344" s="75">
        <f>SUM(D330:D343)</f>
        <v>1</v>
      </c>
      <c r="E344" s="76">
        <f>SUM(E330:E343)</f>
        <v>580.70545647000006</v>
      </c>
      <c r="F344" s="77"/>
      <c r="G344" s="77"/>
      <c r="H344" s="78" t="s">
        <v>83</v>
      </c>
      <c r="I344" s="174">
        <f>SUM(I330:I343)</f>
        <v>2053374.49407792</v>
      </c>
      <c r="J344" s="174">
        <f>SUM(J330:J343)</f>
        <v>28653400.915325325</v>
      </c>
      <c r="K344" s="175">
        <f>SUM(K330:K343)</f>
        <v>30706775.409403246</v>
      </c>
    </row>
    <row r="345" spans="1:19" ht="9.75" customHeight="1" x14ac:dyDescent="0.2">
      <c r="A345" s="79"/>
      <c r="B345" s="80"/>
      <c r="C345" s="81"/>
      <c r="D345" s="82"/>
      <c r="E345" s="83"/>
      <c r="F345" s="84"/>
      <c r="G345" s="84"/>
      <c r="H345" s="85"/>
      <c r="I345" s="176"/>
      <c r="J345" s="176"/>
      <c r="K345" s="176"/>
    </row>
    <row r="346" spans="1:19" ht="11.25" customHeight="1" x14ac:dyDescent="0.2">
      <c r="D346" s="86"/>
      <c r="E346" s="87"/>
      <c r="F346" s="88"/>
      <c r="G346" s="88"/>
      <c r="H346" s="89"/>
      <c r="I346" s="177"/>
      <c r="J346" s="177"/>
      <c r="K346" s="177"/>
    </row>
    <row r="347" spans="1:19" ht="13.5" customHeight="1" x14ac:dyDescent="0.2">
      <c r="A347" s="4" t="str">
        <f>Summary!$G$9</f>
        <v>Contractor</v>
      </c>
      <c r="D347" s="90"/>
      <c r="E347" s="91"/>
      <c r="F347" s="92"/>
      <c r="G347" s="88"/>
      <c r="H347" s="89"/>
      <c r="I347" s="177"/>
      <c r="J347" s="177"/>
      <c r="K347" s="177"/>
    </row>
    <row r="348" spans="1:19" ht="13.5" customHeight="1" x14ac:dyDescent="0.2">
      <c r="A348" s="79"/>
      <c r="B348" s="80"/>
      <c r="C348" s="81"/>
      <c r="D348" s="82"/>
      <c r="E348" s="83"/>
      <c r="F348" s="93"/>
      <c r="G348" s="93"/>
      <c r="H348" s="94"/>
      <c r="I348" s="95"/>
      <c r="J348" s="95"/>
      <c r="K348" s="95"/>
    </row>
    <row r="349" spans="1:19" ht="13.5" customHeight="1" x14ac:dyDescent="0.2">
      <c r="A349" s="79"/>
      <c r="B349" s="80"/>
      <c r="C349" s="81"/>
      <c r="D349" s="82"/>
      <c r="E349" s="83"/>
      <c r="F349" s="93"/>
      <c r="G349" s="93"/>
      <c r="H349" s="94"/>
      <c r="I349" s="95"/>
      <c r="J349" s="95"/>
      <c r="K349" s="95"/>
    </row>
    <row r="350" spans="1:19" ht="13.5" customHeight="1" x14ac:dyDescent="0.2">
      <c r="A350" s="79"/>
      <c r="C350" s="81"/>
      <c r="D350" s="82"/>
      <c r="E350" s="83"/>
      <c r="F350" s="93"/>
      <c r="G350" s="93"/>
      <c r="I350" s="95"/>
      <c r="J350" s="95"/>
      <c r="K350" s="95"/>
    </row>
    <row r="351" spans="1:19" x14ac:dyDescent="0.2">
      <c r="A351" s="79"/>
      <c r="B351" s="80"/>
      <c r="C351" s="81"/>
      <c r="D351" s="82"/>
      <c r="E351" s="83"/>
      <c r="F351" s="93"/>
      <c r="G351" s="93"/>
      <c r="I351" s="488"/>
      <c r="J351" s="488"/>
      <c r="K351" s="488"/>
    </row>
    <row r="352" spans="1:19" x14ac:dyDescent="0.2">
      <c r="A352" s="79"/>
      <c r="B352" s="80"/>
      <c r="C352" s="81"/>
      <c r="D352" s="82"/>
      <c r="E352" s="83"/>
      <c r="F352" s="93"/>
      <c r="G352" s="93"/>
      <c r="H352" s="94"/>
      <c r="I352" s="489" t="str">
        <f>Summary!$G$10</f>
        <v>Construction Manager</v>
      </c>
      <c r="J352" s="489"/>
      <c r="K352" s="489"/>
    </row>
    <row r="353" spans="1:19" x14ac:dyDescent="0.2">
      <c r="I353" s="96"/>
      <c r="J353" s="96"/>
      <c r="K353" s="95"/>
    </row>
    <row r="354" spans="1:19" x14ac:dyDescent="0.2">
      <c r="A354" s="5" t="str">
        <f>Summary!$G$11</f>
        <v>PIPELINE PROJECT</v>
      </c>
    </row>
    <row r="361" spans="1:19" ht="17" x14ac:dyDescent="0.2">
      <c r="A361" s="158" t="s">
        <v>0</v>
      </c>
    </row>
    <row r="362" spans="1:19" ht="17" x14ac:dyDescent="0.2">
      <c r="A362" s="49" t="s">
        <v>69</v>
      </c>
    </row>
    <row r="363" spans="1:19" ht="16.5" customHeight="1" x14ac:dyDescent="0.2">
      <c r="A363" s="49"/>
      <c r="I363" s="2" t="s">
        <v>11</v>
      </c>
      <c r="J363" s="487">
        <v>42475</v>
      </c>
      <c r="K363" s="487"/>
    </row>
    <row r="364" spans="1:19" s="58" customFormat="1" ht="23.25" customHeight="1" x14ac:dyDescent="0.15">
      <c r="A364" s="50"/>
      <c r="B364" s="51"/>
      <c r="C364" s="52">
        <v>69435</v>
      </c>
      <c r="D364" s="53" t="s">
        <v>35</v>
      </c>
      <c r="E364" s="54">
        <v>580.70545646999994</v>
      </c>
      <c r="F364" s="55" t="s">
        <v>36</v>
      </c>
      <c r="G364" s="55" t="s">
        <v>27</v>
      </c>
      <c r="H364" s="55" t="s">
        <v>37</v>
      </c>
      <c r="I364" s="56" t="s">
        <v>38</v>
      </c>
      <c r="J364" s="56" t="s">
        <v>39</v>
      </c>
      <c r="K364" s="57" t="s">
        <v>40</v>
      </c>
      <c r="P364" s="58" t="s">
        <v>271</v>
      </c>
      <c r="Q364" s="58" t="s">
        <v>272</v>
      </c>
    </row>
    <row r="365" spans="1:19" ht="13.5" customHeight="1" x14ac:dyDescent="0.2">
      <c r="A365" s="59" t="s">
        <v>84</v>
      </c>
      <c r="B365" s="60" t="s">
        <v>74</v>
      </c>
      <c r="C365" s="61" t="s">
        <v>6</v>
      </c>
      <c r="D365" s="62">
        <v>0.02</v>
      </c>
      <c r="E365" s="63">
        <f>$E$81*D365</f>
        <v>11.614109129399999</v>
      </c>
      <c r="F365" s="64">
        <f t="shared" ref="F365:F378" si="94">G365+H365</f>
        <v>69435</v>
      </c>
      <c r="G365" s="64">
        <v>69435</v>
      </c>
      <c r="H365" s="70"/>
      <c r="I365" s="171">
        <f t="shared" ref="I365:I376" si="95">H365*E365</f>
        <v>0</v>
      </c>
      <c r="J365" s="172">
        <f t="shared" ref="J365:J378" si="96">G365*E365</f>
        <v>806425.66739988897</v>
      </c>
      <c r="K365" s="173">
        <f t="shared" ref="K365:K371" si="97">SUM(I365:J365)</f>
        <v>806425.66739988897</v>
      </c>
      <c r="L365" s="58"/>
      <c r="M365" s="58"/>
    </row>
    <row r="366" spans="1:19" ht="13.5" customHeight="1" x14ac:dyDescent="0.2">
      <c r="A366" s="65"/>
      <c r="B366" s="156" t="s">
        <v>75</v>
      </c>
      <c r="C366" s="71" t="s">
        <v>6</v>
      </c>
      <c r="D366" s="68">
        <v>0.08</v>
      </c>
      <c r="E366" s="69">
        <f>$E$81*D366</f>
        <v>46.456436517599997</v>
      </c>
      <c r="F366" s="70">
        <f t="shared" si="94"/>
        <v>69435</v>
      </c>
      <c r="G366" s="70">
        <v>69435</v>
      </c>
      <c r="H366" s="70"/>
      <c r="I366" s="171">
        <f t="shared" si="95"/>
        <v>0</v>
      </c>
      <c r="J366" s="172">
        <f t="shared" si="96"/>
        <v>3225702.6695995559</v>
      </c>
      <c r="K366" s="173">
        <f t="shared" si="97"/>
        <v>3225702.6695995559</v>
      </c>
      <c r="L366" s="58"/>
      <c r="M366" s="58"/>
    </row>
    <row r="367" spans="1:19" ht="13.5" customHeight="1" x14ac:dyDescent="0.2">
      <c r="A367" s="65"/>
      <c r="B367" s="66" t="s">
        <v>215</v>
      </c>
      <c r="C367" s="67" t="s">
        <v>6</v>
      </c>
      <c r="D367" s="68">
        <v>7.0000000000000007E-2</v>
      </c>
      <c r="E367" s="69">
        <f>$E$81*D367</f>
        <v>40.649381952900001</v>
      </c>
      <c r="F367" s="70">
        <f t="shared" si="94"/>
        <v>69435</v>
      </c>
      <c r="G367" s="70">
        <v>69435</v>
      </c>
      <c r="H367" s="70"/>
      <c r="I367" s="171">
        <f t="shared" si="95"/>
        <v>0</v>
      </c>
      <c r="J367" s="172">
        <f t="shared" si="96"/>
        <v>2822489.8358996115</v>
      </c>
      <c r="K367" s="173">
        <f t="shared" si="97"/>
        <v>2822489.8358996115</v>
      </c>
      <c r="L367" s="58"/>
      <c r="M367" s="58"/>
    </row>
    <row r="368" spans="1:19" ht="13.5" customHeight="1" x14ac:dyDescent="0.2">
      <c r="A368" s="65"/>
      <c r="B368" s="66" t="s">
        <v>41</v>
      </c>
      <c r="C368" s="67" t="s">
        <v>6</v>
      </c>
      <c r="D368" s="68">
        <v>7.0000000000000007E-2</v>
      </c>
      <c r="E368" s="69">
        <f t="shared" ref="E368:E376" si="98">$E$81*D368</f>
        <v>40.649381952900001</v>
      </c>
      <c r="F368" s="70">
        <f t="shared" si="94"/>
        <v>69435</v>
      </c>
      <c r="G368" s="70">
        <v>69435</v>
      </c>
      <c r="H368" s="70"/>
      <c r="I368" s="171">
        <f t="shared" si="95"/>
        <v>0</v>
      </c>
      <c r="J368" s="172">
        <f t="shared" si="96"/>
        <v>2822489.8358996115</v>
      </c>
      <c r="K368" s="173">
        <f t="shared" si="97"/>
        <v>2822489.8358996115</v>
      </c>
      <c r="L368" s="58"/>
      <c r="M368" s="58"/>
      <c r="O368" t="s">
        <v>303</v>
      </c>
      <c r="P368">
        <v>69435</v>
      </c>
      <c r="Q368" s="353">
        <f>P368-G368</f>
        <v>0</v>
      </c>
      <c r="S368" s="353">
        <f>F368-P368</f>
        <v>0</v>
      </c>
    </row>
    <row r="369" spans="1:19" ht="13.5" customHeight="1" x14ac:dyDescent="0.2">
      <c r="A369" s="65"/>
      <c r="B369" s="66" t="s">
        <v>42</v>
      </c>
      <c r="C369" s="67" t="s">
        <v>6</v>
      </c>
      <c r="D369" s="68">
        <v>0.17</v>
      </c>
      <c r="E369" s="69">
        <f t="shared" si="98"/>
        <v>98.719927599900004</v>
      </c>
      <c r="F369" s="70">
        <f t="shared" si="94"/>
        <v>69435</v>
      </c>
      <c r="G369" s="70">
        <v>69435</v>
      </c>
      <c r="H369" s="70"/>
      <c r="I369" s="171">
        <f t="shared" si="95"/>
        <v>0</v>
      </c>
      <c r="J369" s="172">
        <f t="shared" si="96"/>
        <v>6854618.1728990572</v>
      </c>
      <c r="K369" s="173">
        <f t="shared" si="97"/>
        <v>6854618.1728990572</v>
      </c>
      <c r="L369" s="58"/>
      <c r="M369" s="58"/>
      <c r="O369" t="s">
        <v>304</v>
      </c>
      <c r="P369">
        <v>69435</v>
      </c>
      <c r="Q369" s="353">
        <f t="shared" ref="Q369:Q376" si="99">P369-G369</f>
        <v>0</v>
      </c>
      <c r="S369" s="353">
        <f t="shared" ref="S369" si="100">F369-P369</f>
        <v>0</v>
      </c>
    </row>
    <row r="370" spans="1:19" ht="13.5" customHeight="1" x14ac:dyDescent="0.2">
      <c r="A370" s="65"/>
      <c r="B370" s="66" t="s">
        <v>76</v>
      </c>
      <c r="C370" s="67" t="s">
        <v>6</v>
      </c>
      <c r="D370" s="68">
        <v>0.08</v>
      </c>
      <c r="E370" s="69">
        <f t="shared" si="98"/>
        <v>46.456436517599997</v>
      </c>
      <c r="F370" s="70">
        <f t="shared" si="94"/>
        <v>69435</v>
      </c>
      <c r="G370" s="70">
        <v>69435</v>
      </c>
      <c r="H370" s="70"/>
      <c r="I370" s="171">
        <f t="shared" si="95"/>
        <v>0</v>
      </c>
      <c r="J370" s="172">
        <f t="shared" si="96"/>
        <v>3225702.6695995559</v>
      </c>
      <c r="K370" s="173">
        <f t="shared" si="97"/>
        <v>3225702.6695995559</v>
      </c>
      <c r="L370" s="58"/>
      <c r="M370" s="58"/>
      <c r="O370" t="s">
        <v>305</v>
      </c>
      <c r="P370">
        <v>69435</v>
      </c>
      <c r="Q370" s="353">
        <f t="shared" si="99"/>
        <v>0</v>
      </c>
      <c r="S370" s="353">
        <f>F370-P370</f>
        <v>0</v>
      </c>
    </row>
    <row r="371" spans="1:19" ht="13.5" customHeight="1" x14ac:dyDescent="0.2">
      <c r="A371" s="65"/>
      <c r="B371" s="66" t="s">
        <v>77</v>
      </c>
      <c r="C371" s="67" t="s">
        <v>6</v>
      </c>
      <c r="D371" s="68">
        <v>7.0000000000000007E-2</v>
      </c>
      <c r="E371" s="69">
        <f t="shared" si="98"/>
        <v>40.649381952900001</v>
      </c>
      <c r="F371" s="70">
        <f t="shared" si="94"/>
        <v>69435</v>
      </c>
      <c r="G371" s="70">
        <v>69435</v>
      </c>
      <c r="H371" s="70"/>
      <c r="I371" s="171">
        <f t="shared" si="95"/>
        <v>0</v>
      </c>
      <c r="J371" s="172">
        <f t="shared" si="96"/>
        <v>2822489.8358996115</v>
      </c>
      <c r="K371" s="173">
        <f t="shared" si="97"/>
        <v>2822489.8358996115</v>
      </c>
      <c r="L371" s="58"/>
      <c r="M371" s="58"/>
      <c r="O371" t="s">
        <v>306</v>
      </c>
      <c r="P371">
        <v>69435</v>
      </c>
      <c r="Q371" s="353">
        <f t="shared" si="99"/>
        <v>0</v>
      </c>
      <c r="S371" s="353">
        <f t="shared" ref="S371:S377" si="101">F371-P371</f>
        <v>0</v>
      </c>
    </row>
    <row r="372" spans="1:19" ht="13.5" customHeight="1" x14ac:dyDescent="0.2">
      <c r="A372" s="65"/>
      <c r="B372" s="66" t="s">
        <v>43</v>
      </c>
      <c r="C372" s="67" t="s">
        <v>6</v>
      </c>
      <c r="D372" s="68">
        <v>0.08</v>
      </c>
      <c r="E372" s="69">
        <f t="shared" si="98"/>
        <v>46.456436517599997</v>
      </c>
      <c r="F372" s="70">
        <f t="shared" si="94"/>
        <v>69435</v>
      </c>
      <c r="G372" s="70">
        <v>69435</v>
      </c>
      <c r="H372" s="70"/>
      <c r="I372" s="171">
        <f t="shared" si="95"/>
        <v>0</v>
      </c>
      <c r="J372" s="172">
        <f t="shared" si="96"/>
        <v>3225702.6695995559</v>
      </c>
      <c r="K372" s="173">
        <f>SUM(I372:J372)</f>
        <v>3225702.6695995559</v>
      </c>
      <c r="L372" s="58"/>
      <c r="M372" s="58"/>
      <c r="O372" t="s">
        <v>307</v>
      </c>
      <c r="P372">
        <v>69435</v>
      </c>
      <c r="Q372" s="353">
        <f t="shared" si="99"/>
        <v>0</v>
      </c>
      <c r="S372" s="353">
        <f t="shared" si="101"/>
        <v>0</v>
      </c>
    </row>
    <row r="373" spans="1:19" ht="13.5" customHeight="1" x14ac:dyDescent="0.2">
      <c r="A373" s="65"/>
      <c r="B373" s="66" t="s">
        <v>78</v>
      </c>
      <c r="C373" s="67" t="s">
        <v>6</v>
      </c>
      <c r="D373" s="68">
        <v>7.0000000000000007E-2</v>
      </c>
      <c r="E373" s="69">
        <f t="shared" si="98"/>
        <v>40.649381952900001</v>
      </c>
      <c r="F373" s="70">
        <f t="shared" si="94"/>
        <v>69335</v>
      </c>
      <c r="G373" s="70">
        <v>65700</v>
      </c>
      <c r="H373" s="70">
        <v>3635</v>
      </c>
      <c r="I373" s="171">
        <f t="shared" si="95"/>
        <v>147760.50339879151</v>
      </c>
      <c r="J373" s="172">
        <f t="shared" si="96"/>
        <v>2670664.39430553</v>
      </c>
      <c r="K373" s="173">
        <f t="shared" ref="K373:K378" si="102">SUM(I373:J373)</f>
        <v>2818424.8977043214</v>
      </c>
      <c r="L373" s="58"/>
      <c r="M373" s="58"/>
      <c r="O373" t="s">
        <v>308</v>
      </c>
      <c r="P373">
        <v>69335</v>
      </c>
      <c r="Q373" s="353">
        <f t="shared" si="99"/>
        <v>3635</v>
      </c>
      <c r="S373" s="353">
        <f t="shared" si="101"/>
        <v>0</v>
      </c>
    </row>
    <row r="374" spans="1:19" ht="13.5" customHeight="1" x14ac:dyDescent="0.2">
      <c r="A374" s="65"/>
      <c r="B374" s="66" t="s">
        <v>44</v>
      </c>
      <c r="C374" s="67" t="s">
        <v>6</v>
      </c>
      <c r="D374" s="68">
        <v>7.0000000000000007E-2</v>
      </c>
      <c r="E374" s="69">
        <f t="shared" si="98"/>
        <v>40.649381952900001</v>
      </c>
      <c r="F374" s="70">
        <f t="shared" si="94"/>
        <v>41000</v>
      </c>
      <c r="G374" s="70">
        <v>18100</v>
      </c>
      <c r="H374" s="70">
        <v>22900</v>
      </c>
      <c r="I374" s="171">
        <f t="shared" si="95"/>
        <v>930870.84672141005</v>
      </c>
      <c r="J374" s="172">
        <f t="shared" si="96"/>
        <v>735753.81334749004</v>
      </c>
      <c r="K374" s="173">
        <f t="shared" si="102"/>
        <v>1666624.6600689001</v>
      </c>
      <c r="L374" s="58"/>
      <c r="O374" t="s">
        <v>868</v>
      </c>
      <c r="P374">
        <v>41000</v>
      </c>
      <c r="Q374" s="353">
        <f t="shared" si="99"/>
        <v>22900</v>
      </c>
      <c r="S374" s="353">
        <f t="shared" si="101"/>
        <v>0</v>
      </c>
    </row>
    <row r="375" spans="1:19" ht="13.5" customHeight="1" x14ac:dyDescent="0.2">
      <c r="A375" s="65"/>
      <c r="B375" s="66" t="s">
        <v>79</v>
      </c>
      <c r="C375" s="67" t="s">
        <v>6</v>
      </c>
      <c r="D375" s="68">
        <v>0.05</v>
      </c>
      <c r="E375" s="69">
        <f t="shared" si="98"/>
        <v>29.035272823499998</v>
      </c>
      <c r="F375" s="70">
        <f t="shared" si="94"/>
        <v>0</v>
      </c>
      <c r="G375" s="70">
        <v>0</v>
      </c>
      <c r="H375" s="70"/>
      <c r="I375" s="171">
        <f t="shared" si="95"/>
        <v>0</v>
      </c>
      <c r="J375" s="172">
        <f t="shared" si="96"/>
        <v>0</v>
      </c>
      <c r="K375" s="173">
        <f t="shared" si="102"/>
        <v>0</v>
      </c>
      <c r="L375" s="58"/>
      <c r="Q375" s="353">
        <f t="shared" si="99"/>
        <v>0</v>
      </c>
      <c r="S375" s="353">
        <f t="shared" si="101"/>
        <v>0</v>
      </c>
    </row>
    <row r="376" spans="1:19" ht="13.5" customHeight="1" x14ac:dyDescent="0.2">
      <c r="A376" s="65"/>
      <c r="B376" s="66" t="s">
        <v>80</v>
      </c>
      <c r="C376" s="71" t="s">
        <v>6</v>
      </c>
      <c r="D376" s="68">
        <v>0.09</v>
      </c>
      <c r="E376" s="69">
        <f t="shared" si="98"/>
        <v>52.263491082299993</v>
      </c>
      <c r="F376" s="70">
        <f t="shared" si="94"/>
        <v>47900</v>
      </c>
      <c r="G376" s="70">
        <v>28600</v>
      </c>
      <c r="H376" s="70">
        <v>19300</v>
      </c>
      <c r="I376" s="171">
        <f t="shared" si="95"/>
        <v>1008685.3778883899</v>
      </c>
      <c r="J376" s="172">
        <f t="shared" si="96"/>
        <v>1494735.8449537798</v>
      </c>
      <c r="K376" s="173">
        <f t="shared" si="102"/>
        <v>2503421.2228421699</v>
      </c>
      <c r="L376" s="58"/>
      <c r="O376" t="s">
        <v>563</v>
      </c>
      <c r="P376">
        <v>47900</v>
      </c>
      <c r="Q376" s="353">
        <f t="shared" si="99"/>
        <v>19300</v>
      </c>
      <c r="S376" s="353">
        <f t="shared" si="101"/>
        <v>0</v>
      </c>
    </row>
    <row r="377" spans="1:19" ht="13.5" customHeight="1" x14ac:dyDescent="0.2">
      <c r="A377" s="65"/>
      <c r="B377" s="156" t="s">
        <v>81</v>
      </c>
      <c r="C377" s="71" t="s">
        <v>6</v>
      </c>
      <c r="D377" s="68">
        <v>0.02</v>
      </c>
      <c r="E377" s="69">
        <f>$E$81*D377</f>
        <v>11.614109129399999</v>
      </c>
      <c r="F377" s="70">
        <f t="shared" si="94"/>
        <v>0</v>
      </c>
      <c r="G377" s="70">
        <v>0</v>
      </c>
      <c r="H377" s="70"/>
      <c r="I377" s="171">
        <f>H377*E377</f>
        <v>0</v>
      </c>
      <c r="J377" s="172">
        <f t="shared" si="96"/>
        <v>0</v>
      </c>
      <c r="K377" s="173">
        <f t="shared" si="102"/>
        <v>0</v>
      </c>
      <c r="S377" s="353">
        <f t="shared" si="101"/>
        <v>0</v>
      </c>
    </row>
    <row r="378" spans="1:19" ht="13.5" customHeight="1" thickBot="1" x14ac:dyDescent="0.25">
      <c r="A378" s="65"/>
      <c r="B378" s="66" t="s">
        <v>82</v>
      </c>
      <c r="C378" s="71" t="s">
        <v>6</v>
      </c>
      <c r="D378" s="68">
        <v>0.06</v>
      </c>
      <c r="E378" s="69">
        <f t="shared" ref="E378" si="103">$E$81*D378</f>
        <v>34.842327388199998</v>
      </c>
      <c r="F378" s="70">
        <f t="shared" si="94"/>
        <v>0</v>
      </c>
      <c r="G378" s="70">
        <v>0</v>
      </c>
      <c r="H378" s="70"/>
      <c r="I378" s="171">
        <f t="shared" ref="I378" si="104">H378*E378</f>
        <v>0</v>
      </c>
      <c r="J378" s="172">
        <f t="shared" si="96"/>
        <v>0</v>
      </c>
      <c r="K378" s="173">
        <f t="shared" si="102"/>
        <v>0</v>
      </c>
    </row>
    <row r="379" spans="1:19" ht="13.5" customHeight="1" x14ac:dyDescent="0.2">
      <c r="A379" s="72"/>
      <c r="B379" s="73"/>
      <c r="C379" s="74"/>
      <c r="D379" s="75">
        <f>SUM(D365:D378)</f>
        <v>1</v>
      </c>
      <c r="E379" s="76">
        <f>SUM(E365:E378)</f>
        <v>580.70545647000006</v>
      </c>
      <c r="F379" s="77"/>
      <c r="G379" s="77"/>
      <c r="H379" s="78" t="s">
        <v>83</v>
      </c>
      <c r="I379" s="174">
        <f>SUM(I365:I378)</f>
        <v>2087316.7280085913</v>
      </c>
      <c r="J379" s="174">
        <f>SUM(J365:J378)</f>
        <v>30706775.409403246</v>
      </c>
      <c r="K379" s="175">
        <f>SUM(K365:K378)</f>
        <v>32794092.13741184</v>
      </c>
    </row>
    <row r="380" spans="1:19" ht="9.75" customHeight="1" x14ac:dyDescent="0.2">
      <c r="A380" s="79"/>
      <c r="B380" s="80"/>
      <c r="C380" s="81"/>
      <c r="D380" s="82"/>
      <c r="E380" s="83"/>
      <c r="F380" s="84"/>
      <c r="G380" s="84"/>
      <c r="H380" s="85"/>
      <c r="I380" s="176"/>
      <c r="J380" s="176"/>
      <c r="K380" s="176"/>
    </row>
    <row r="381" spans="1:19" ht="11.25" customHeight="1" x14ac:dyDescent="0.2">
      <c r="D381" s="86"/>
      <c r="E381" s="87"/>
      <c r="F381" s="88"/>
      <c r="G381" s="88"/>
      <c r="H381" s="89"/>
      <c r="I381" s="177"/>
      <c r="J381" s="177"/>
      <c r="K381" s="177"/>
    </row>
    <row r="382" spans="1:19" ht="13.5" customHeight="1" x14ac:dyDescent="0.2">
      <c r="A382" s="4" t="str">
        <f>Summary!$G$9</f>
        <v>Contractor</v>
      </c>
      <c r="D382" s="90"/>
      <c r="E382" s="91"/>
      <c r="F382" s="92"/>
      <c r="G382" s="88"/>
      <c r="H382" s="89"/>
      <c r="I382" s="177"/>
      <c r="J382" s="177"/>
      <c r="K382" s="177"/>
    </row>
    <row r="383" spans="1:19" ht="13.5" customHeight="1" x14ac:dyDescent="0.2">
      <c r="A383" s="79"/>
      <c r="B383" s="80"/>
      <c r="C383" s="81"/>
      <c r="D383" s="82"/>
      <c r="E383" s="83"/>
      <c r="F383" s="93"/>
      <c r="G383" s="93"/>
      <c r="H383" s="94"/>
      <c r="I383" s="95"/>
      <c r="J383" s="95"/>
      <c r="K383" s="95"/>
    </row>
    <row r="384" spans="1:19" ht="13.5" customHeight="1" x14ac:dyDescent="0.2">
      <c r="A384" s="79"/>
      <c r="B384" s="80"/>
      <c r="C384" s="81"/>
      <c r="D384" s="82"/>
      <c r="E384" s="83"/>
      <c r="F384" s="93"/>
      <c r="G384" s="93"/>
      <c r="H384" s="94"/>
      <c r="I384" s="95"/>
      <c r="J384" s="95"/>
      <c r="K384" s="95"/>
    </row>
    <row r="385" spans="1:17" ht="13.5" customHeight="1" x14ac:dyDescent="0.2">
      <c r="A385" s="79"/>
      <c r="C385" s="81"/>
      <c r="D385" s="82"/>
      <c r="E385" s="83"/>
      <c r="F385" s="93"/>
      <c r="G385" s="93"/>
      <c r="I385" s="95"/>
      <c r="J385" s="95"/>
      <c r="K385" s="95"/>
    </row>
    <row r="386" spans="1:17" x14ac:dyDescent="0.2">
      <c r="A386" s="79"/>
      <c r="B386" s="80"/>
      <c r="C386" s="81"/>
      <c r="D386" s="82"/>
      <c r="E386" s="83"/>
      <c r="F386" s="93"/>
      <c r="G386" s="93"/>
      <c r="I386" s="488"/>
      <c r="J386" s="488"/>
      <c r="K386" s="488"/>
    </row>
    <row r="387" spans="1:17" x14ac:dyDescent="0.2">
      <c r="A387" s="79"/>
      <c r="B387" s="80"/>
      <c r="C387" s="81"/>
      <c r="D387" s="82"/>
      <c r="E387" s="83"/>
      <c r="F387" s="93"/>
      <c r="G387" s="93"/>
      <c r="H387" s="94"/>
      <c r="I387" s="489" t="str">
        <f>Summary!$G$10</f>
        <v>Construction Manager</v>
      </c>
      <c r="J387" s="489"/>
      <c r="K387" s="489"/>
    </row>
    <row r="388" spans="1:17" x14ac:dyDescent="0.2">
      <c r="I388" s="96"/>
      <c r="J388" s="96"/>
      <c r="K388" s="95"/>
    </row>
    <row r="389" spans="1:17" x14ac:dyDescent="0.2">
      <c r="A389" s="5" t="str">
        <f>Summary!$G$11</f>
        <v>PIPELINE PROJECT</v>
      </c>
    </row>
    <row r="396" spans="1:17" ht="17" x14ac:dyDescent="0.2">
      <c r="A396" s="158" t="s">
        <v>0</v>
      </c>
    </row>
    <row r="397" spans="1:17" ht="17" x14ac:dyDescent="0.2">
      <c r="A397" s="49" t="s">
        <v>69</v>
      </c>
    </row>
    <row r="398" spans="1:17" ht="16.5" customHeight="1" x14ac:dyDescent="0.2">
      <c r="A398" s="49"/>
      <c r="I398" s="2" t="s">
        <v>11</v>
      </c>
      <c r="J398" s="487">
        <v>42490</v>
      </c>
      <c r="K398" s="487"/>
    </row>
    <row r="399" spans="1:17" s="58" customFormat="1" ht="23.25" customHeight="1" x14ac:dyDescent="0.15">
      <c r="A399" s="50"/>
      <c r="B399" s="51"/>
      <c r="C399" s="52">
        <v>69435</v>
      </c>
      <c r="D399" s="53" t="s">
        <v>35</v>
      </c>
      <c r="E399" s="54">
        <v>580.70545646999994</v>
      </c>
      <c r="F399" s="55" t="s">
        <v>36</v>
      </c>
      <c r="G399" s="55" t="s">
        <v>27</v>
      </c>
      <c r="H399" s="55" t="s">
        <v>37</v>
      </c>
      <c r="I399" s="56" t="s">
        <v>38</v>
      </c>
      <c r="J399" s="56" t="s">
        <v>39</v>
      </c>
      <c r="K399" s="57" t="s">
        <v>40</v>
      </c>
      <c r="P399" s="58" t="s">
        <v>271</v>
      </c>
      <c r="Q399" s="58" t="s">
        <v>272</v>
      </c>
    </row>
    <row r="400" spans="1:17" ht="13.5" customHeight="1" x14ac:dyDescent="0.2">
      <c r="A400" s="59" t="s">
        <v>84</v>
      </c>
      <c r="B400" s="60" t="s">
        <v>74</v>
      </c>
      <c r="C400" s="61" t="s">
        <v>6</v>
      </c>
      <c r="D400" s="62">
        <v>0.02</v>
      </c>
      <c r="E400" s="63">
        <f>$E$81*D400</f>
        <v>11.614109129399999</v>
      </c>
      <c r="F400" s="64">
        <f t="shared" ref="F400:F413" si="105">G400+H400</f>
        <v>69435</v>
      </c>
      <c r="G400" s="64">
        <v>69435</v>
      </c>
      <c r="H400" s="70"/>
      <c r="I400" s="171">
        <f t="shared" ref="I400:I411" si="106">H400*E400</f>
        <v>0</v>
      </c>
      <c r="J400" s="172">
        <f t="shared" ref="J400:J413" si="107">G400*E400</f>
        <v>806425.66739988897</v>
      </c>
      <c r="K400" s="173">
        <f t="shared" ref="K400:K406" si="108">SUM(I400:J400)</f>
        <v>806425.66739988897</v>
      </c>
      <c r="L400" s="58"/>
      <c r="M400" s="58"/>
    </row>
    <row r="401" spans="1:19" ht="13.5" customHeight="1" x14ac:dyDescent="0.2">
      <c r="A401" s="65"/>
      <c r="B401" s="156" t="s">
        <v>75</v>
      </c>
      <c r="C401" s="71" t="s">
        <v>6</v>
      </c>
      <c r="D401" s="68">
        <v>0.08</v>
      </c>
      <c r="E401" s="69">
        <f>$E$81*D401</f>
        <v>46.456436517599997</v>
      </c>
      <c r="F401" s="70">
        <f t="shared" si="105"/>
        <v>69435</v>
      </c>
      <c r="G401" s="70">
        <v>69435</v>
      </c>
      <c r="H401" s="70"/>
      <c r="I401" s="171">
        <f t="shared" si="106"/>
        <v>0</v>
      </c>
      <c r="J401" s="172">
        <f t="shared" si="107"/>
        <v>3225702.6695995559</v>
      </c>
      <c r="K401" s="173">
        <f t="shared" si="108"/>
        <v>3225702.6695995559</v>
      </c>
      <c r="L401" s="58"/>
      <c r="M401" s="58"/>
    </row>
    <row r="402" spans="1:19" ht="13.5" customHeight="1" x14ac:dyDescent="0.2">
      <c r="A402" s="65"/>
      <c r="B402" s="66" t="s">
        <v>215</v>
      </c>
      <c r="C402" s="67" t="s">
        <v>6</v>
      </c>
      <c r="D402" s="68">
        <v>7.0000000000000007E-2</v>
      </c>
      <c r="E402" s="69">
        <f>$E$81*D402</f>
        <v>40.649381952900001</v>
      </c>
      <c r="F402" s="70">
        <f t="shared" si="105"/>
        <v>69435</v>
      </c>
      <c r="G402" s="70">
        <v>69435</v>
      </c>
      <c r="H402" s="70"/>
      <c r="I402" s="171">
        <f t="shared" si="106"/>
        <v>0</v>
      </c>
      <c r="J402" s="172">
        <f t="shared" si="107"/>
        <v>2822489.8358996115</v>
      </c>
      <c r="K402" s="173">
        <f t="shared" si="108"/>
        <v>2822489.8358996115</v>
      </c>
      <c r="L402" s="58"/>
      <c r="M402" s="58"/>
    </row>
    <row r="403" spans="1:19" ht="13.5" customHeight="1" x14ac:dyDescent="0.2">
      <c r="A403" s="65"/>
      <c r="B403" s="66" t="s">
        <v>41</v>
      </c>
      <c r="C403" s="67" t="s">
        <v>6</v>
      </c>
      <c r="D403" s="68">
        <v>7.0000000000000007E-2</v>
      </c>
      <c r="E403" s="69">
        <f t="shared" ref="E403:E411" si="109">$E$81*D403</f>
        <v>40.649381952900001</v>
      </c>
      <c r="F403" s="70">
        <f t="shared" si="105"/>
        <v>69435</v>
      </c>
      <c r="G403" s="70">
        <v>69435</v>
      </c>
      <c r="H403" s="70"/>
      <c r="I403" s="171">
        <f t="shared" si="106"/>
        <v>0</v>
      </c>
      <c r="J403" s="172">
        <f t="shared" si="107"/>
        <v>2822489.8358996115</v>
      </c>
      <c r="K403" s="173">
        <f t="shared" si="108"/>
        <v>2822489.8358996115</v>
      </c>
      <c r="L403" s="58"/>
      <c r="M403" s="58"/>
      <c r="O403" t="s">
        <v>303</v>
      </c>
      <c r="P403">
        <v>69435</v>
      </c>
      <c r="Q403" s="353">
        <f>P403-G403</f>
        <v>0</v>
      </c>
      <c r="S403" s="353">
        <f>F403-P403</f>
        <v>0</v>
      </c>
    </row>
    <row r="404" spans="1:19" ht="13.5" customHeight="1" x14ac:dyDescent="0.2">
      <c r="A404" s="65"/>
      <c r="B404" s="66" t="s">
        <v>42</v>
      </c>
      <c r="C404" s="67" t="s">
        <v>6</v>
      </c>
      <c r="D404" s="68">
        <v>0.17</v>
      </c>
      <c r="E404" s="69">
        <f t="shared" si="109"/>
        <v>98.719927599900004</v>
      </c>
      <c r="F404" s="70">
        <f t="shared" si="105"/>
        <v>69435</v>
      </c>
      <c r="G404" s="70">
        <v>69435</v>
      </c>
      <c r="H404" s="70"/>
      <c r="I404" s="171">
        <f t="shared" si="106"/>
        <v>0</v>
      </c>
      <c r="J404" s="172">
        <f t="shared" si="107"/>
        <v>6854618.1728990572</v>
      </c>
      <c r="K404" s="173">
        <f t="shared" si="108"/>
        <v>6854618.1728990572</v>
      </c>
      <c r="L404" s="58"/>
      <c r="M404" s="58"/>
      <c r="O404" t="s">
        <v>304</v>
      </c>
      <c r="P404">
        <v>69435</v>
      </c>
      <c r="Q404" s="353">
        <f t="shared" ref="Q404:Q411" si="110">P404-G404</f>
        <v>0</v>
      </c>
      <c r="S404" s="353">
        <f t="shared" ref="S404" si="111">F404-P404</f>
        <v>0</v>
      </c>
    </row>
    <row r="405" spans="1:19" ht="13.5" customHeight="1" x14ac:dyDescent="0.2">
      <c r="A405" s="65"/>
      <c r="B405" s="66" t="s">
        <v>76</v>
      </c>
      <c r="C405" s="67" t="s">
        <v>6</v>
      </c>
      <c r="D405" s="68">
        <v>0.08</v>
      </c>
      <c r="E405" s="69">
        <f t="shared" si="109"/>
        <v>46.456436517599997</v>
      </c>
      <c r="F405" s="70">
        <f t="shared" si="105"/>
        <v>69435</v>
      </c>
      <c r="G405" s="70">
        <v>69435</v>
      </c>
      <c r="H405" s="70"/>
      <c r="I405" s="171">
        <f t="shared" si="106"/>
        <v>0</v>
      </c>
      <c r="J405" s="172">
        <f t="shared" si="107"/>
        <v>3225702.6695995559</v>
      </c>
      <c r="K405" s="173">
        <f t="shared" si="108"/>
        <v>3225702.6695995559</v>
      </c>
      <c r="L405" s="58"/>
      <c r="M405" s="58"/>
      <c r="O405" t="s">
        <v>305</v>
      </c>
      <c r="P405">
        <v>69435</v>
      </c>
      <c r="Q405" s="353">
        <f t="shared" si="110"/>
        <v>0</v>
      </c>
      <c r="S405" s="353">
        <f>F405-P405</f>
        <v>0</v>
      </c>
    </row>
    <row r="406" spans="1:19" ht="13.5" customHeight="1" x14ac:dyDescent="0.2">
      <c r="A406" s="65"/>
      <c r="B406" s="66" t="s">
        <v>77</v>
      </c>
      <c r="C406" s="67" t="s">
        <v>6</v>
      </c>
      <c r="D406" s="68">
        <v>7.0000000000000007E-2</v>
      </c>
      <c r="E406" s="69">
        <f t="shared" si="109"/>
        <v>40.649381952900001</v>
      </c>
      <c r="F406" s="70">
        <f t="shared" si="105"/>
        <v>69435</v>
      </c>
      <c r="G406" s="70">
        <v>69435</v>
      </c>
      <c r="H406" s="70"/>
      <c r="I406" s="171">
        <f t="shared" si="106"/>
        <v>0</v>
      </c>
      <c r="J406" s="172">
        <f t="shared" si="107"/>
        <v>2822489.8358996115</v>
      </c>
      <c r="K406" s="173">
        <f t="shared" si="108"/>
        <v>2822489.8358996115</v>
      </c>
      <c r="L406" s="58"/>
      <c r="M406" s="58"/>
      <c r="O406" t="s">
        <v>306</v>
      </c>
      <c r="P406">
        <v>69435</v>
      </c>
      <c r="Q406" s="353">
        <f t="shared" si="110"/>
        <v>0</v>
      </c>
      <c r="S406" s="353">
        <f t="shared" ref="S406:S412" si="112">F406-P406</f>
        <v>0</v>
      </c>
    </row>
    <row r="407" spans="1:19" ht="13.5" customHeight="1" x14ac:dyDescent="0.2">
      <c r="A407" s="65"/>
      <c r="B407" s="66" t="s">
        <v>43</v>
      </c>
      <c r="C407" s="67" t="s">
        <v>6</v>
      </c>
      <c r="D407" s="68">
        <v>0.08</v>
      </c>
      <c r="E407" s="69">
        <f t="shared" si="109"/>
        <v>46.456436517599997</v>
      </c>
      <c r="F407" s="70">
        <f t="shared" si="105"/>
        <v>69435</v>
      </c>
      <c r="G407" s="70">
        <v>69435</v>
      </c>
      <c r="H407" s="70"/>
      <c r="I407" s="171">
        <f t="shared" si="106"/>
        <v>0</v>
      </c>
      <c r="J407" s="172">
        <f t="shared" si="107"/>
        <v>3225702.6695995559</v>
      </c>
      <c r="K407" s="173">
        <f>SUM(I407:J407)</f>
        <v>3225702.6695995559</v>
      </c>
      <c r="L407" s="58"/>
      <c r="M407" s="58"/>
      <c r="O407" t="s">
        <v>307</v>
      </c>
      <c r="P407">
        <v>69435</v>
      </c>
      <c r="Q407" s="353">
        <f t="shared" si="110"/>
        <v>0</v>
      </c>
      <c r="S407" s="353">
        <f t="shared" si="112"/>
        <v>0</v>
      </c>
    </row>
    <row r="408" spans="1:19" ht="13.5" customHeight="1" x14ac:dyDescent="0.2">
      <c r="A408" s="65"/>
      <c r="B408" s="66" t="s">
        <v>78</v>
      </c>
      <c r="C408" s="67" t="s">
        <v>6</v>
      </c>
      <c r="D408" s="68">
        <v>7.0000000000000007E-2</v>
      </c>
      <c r="E408" s="69">
        <f t="shared" si="109"/>
        <v>40.649381952900001</v>
      </c>
      <c r="F408" s="70">
        <f t="shared" si="105"/>
        <v>69435</v>
      </c>
      <c r="G408" s="70">
        <v>69335</v>
      </c>
      <c r="H408" s="70">
        <v>100</v>
      </c>
      <c r="I408" s="171">
        <f t="shared" si="106"/>
        <v>4064.9381952900003</v>
      </c>
      <c r="J408" s="172">
        <f t="shared" si="107"/>
        <v>2818424.8977043214</v>
      </c>
      <c r="K408" s="173">
        <f t="shared" ref="K408:K413" si="113">SUM(I408:J408)</f>
        <v>2822489.8358996115</v>
      </c>
      <c r="L408" s="58"/>
      <c r="M408" s="58"/>
      <c r="O408" t="s">
        <v>308</v>
      </c>
      <c r="P408">
        <v>69435</v>
      </c>
      <c r="Q408" s="353">
        <f t="shared" si="110"/>
        <v>100</v>
      </c>
      <c r="S408" s="353">
        <f t="shared" si="112"/>
        <v>0</v>
      </c>
    </row>
    <row r="409" spans="1:19" ht="13.5" customHeight="1" x14ac:dyDescent="0.2">
      <c r="A409" s="65"/>
      <c r="B409" s="66" t="s">
        <v>44</v>
      </c>
      <c r="C409" s="67" t="s">
        <v>6</v>
      </c>
      <c r="D409" s="68">
        <v>7.0000000000000007E-2</v>
      </c>
      <c r="E409" s="69">
        <f t="shared" si="109"/>
        <v>40.649381952900001</v>
      </c>
      <c r="F409" s="70">
        <f t="shared" si="105"/>
        <v>69435</v>
      </c>
      <c r="G409" s="70">
        <v>41000</v>
      </c>
      <c r="H409" s="70">
        <v>28435</v>
      </c>
      <c r="I409" s="171">
        <f t="shared" si="106"/>
        <v>1155865.1758307116</v>
      </c>
      <c r="J409" s="172">
        <f t="shared" si="107"/>
        <v>1666624.6600689001</v>
      </c>
      <c r="K409" s="173">
        <f t="shared" si="113"/>
        <v>2822489.8358996119</v>
      </c>
      <c r="L409" s="58"/>
      <c r="O409" t="s">
        <v>868</v>
      </c>
      <c r="P409">
        <v>69435</v>
      </c>
      <c r="Q409" s="353">
        <f t="shared" si="110"/>
        <v>28435</v>
      </c>
      <c r="S409" s="353">
        <f t="shared" si="112"/>
        <v>0</v>
      </c>
    </row>
    <row r="410" spans="1:19" ht="13.5" customHeight="1" x14ac:dyDescent="0.2">
      <c r="A410" s="65"/>
      <c r="B410" s="66" t="s">
        <v>79</v>
      </c>
      <c r="C410" s="67" t="s">
        <v>6</v>
      </c>
      <c r="D410" s="68">
        <v>0.05</v>
      </c>
      <c r="E410" s="69">
        <f t="shared" si="109"/>
        <v>29.035272823499998</v>
      </c>
      <c r="F410" s="70">
        <f t="shared" si="105"/>
        <v>69435</v>
      </c>
      <c r="G410" s="70">
        <v>0</v>
      </c>
      <c r="H410" s="70">
        <v>69435</v>
      </c>
      <c r="I410" s="171">
        <f t="shared" si="106"/>
        <v>2016064.1684997224</v>
      </c>
      <c r="J410" s="172">
        <f t="shared" si="107"/>
        <v>0</v>
      </c>
      <c r="K410" s="173">
        <f t="shared" si="113"/>
        <v>2016064.1684997224</v>
      </c>
      <c r="L410" s="58"/>
      <c r="O410" t="s">
        <v>996</v>
      </c>
      <c r="P410">
        <v>69435</v>
      </c>
      <c r="Q410" s="353">
        <f t="shared" si="110"/>
        <v>69435</v>
      </c>
      <c r="S410" s="353">
        <f t="shared" si="112"/>
        <v>0</v>
      </c>
    </row>
    <row r="411" spans="1:19" ht="13.5" customHeight="1" x14ac:dyDescent="0.2">
      <c r="A411" s="65"/>
      <c r="B411" s="66" t="s">
        <v>80</v>
      </c>
      <c r="C411" s="71" t="s">
        <v>6</v>
      </c>
      <c r="D411" s="68">
        <v>0.09</v>
      </c>
      <c r="E411" s="69">
        <f t="shared" si="109"/>
        <v>52.263491082299993</v>
      </c>
      <c r="F411" s="70">
        <f t="shared" si="105"/>
        <v>58300</v>
      </c>
      <c r="G411" s="70">
        <v>47900</v>
      </c>
      <c r="H411" s="70">
        <v>10400</v>
      </c>
      <c r="I411" s="171">
        <f t="shared" si="106"/>
        <v>543540.30725591991</v>
      </c>
      <c r="J411" s="172">
        <f t="shared" si="107"/>
        <v>2503421.2228421695</v>
      </c>
      <c r="K411" s="173">
        <f t="shared" si="113"/>
        <v>3046961.5300980895</v>
      </c>
      <c r="L411" s="58"/>
      <c r="O411" t="s">
        <v>563</v>
      </c>
      <c r="P411">
        <v>58300</v>
      </c>
      <c r="Q411" s="353">
        <f t="shared" si="110"/>
        <v>10400</v>
      </c>
      <c r="S411" s="353">
        <f t="shared" si="112"/>
        <v>0</v>
      </c>
    </row>
    <row r="412" spans="1:19" ht="13.5" customHeight="1" x14ac:dyDescent="0.2">
      <c r="A412" s="65"/>
      <c r="B412" s="156" t="s">
        <v>81</v>
      </c>
      <c r="C412" s="71" t="s">
        <v>6</v>
      </c>
      <c r="D412" s="68">
        <v>0.02</v>
      </c>
      <c r="E412" s="69">
        <f>$E$81*D412</f>
        <v>11.614109129399999</v>
      </c>
      <c r="F412" s="70">
        <f t="shared" si="105"/>
        <v>34418</v>
      </c>
      <c r="G412" s="70">
        <v>0</v>
      </c>
      <c r="H412" s="70">
        <v>34418</v>
      </c>
      <c r="I412" s="171">
        <f>H412*E412</f>
        <v>399734.40801568917</v>
      </c>
      <c r="J412" s="172">
        <f t="shared" si="107"/>
        <v>0</v>
      </c>
      <c r="K412" s="173">
        <f t="shared" si="113"/>
        <v>399734.40801568917</v>
      </c>
      <c r="S412" s="353">
        <f t="shared" si="112"/>
        <v>34418</v>
      </c>
    </row>
    <row r="413" spans="1:19" ht="13.5" customHeight="1" thickBot="1" x14ac:dyDescent="0.25">
      <c r="A413" s="65"/>
      <c r="B413" s="66" t="s">
        <v>82</v>
      </c>
      <c r="C413" s="71" t="s">
        <v>6</v>
      </c>
      <c r="D413" s="68">
        <v>0.06</v>
      </c>
      <c r="E413" s="69">
        <f t="shared" ref="E413" si="114">$E$81*D413</f>
        <v>34.842327388199998</v>
      </c>
      <c r="F413" s="70">
        <f t="shared" si="105"/>
        <v>0</v>
      </c>
      <c r="G413" s="70">
        <v>0</v>
      </c>
      <c r="H413" s="70"/>
      <c r="I413" s="171">
        <f t="shared" ref="I413" si="115">H413*E413</f>
        <v>0</v>
      </c>
      <c r="J413" s="172">
        <f t="shared" si="107"/>
        <v>0</v>
      </c>
      <c r="K413" s="173">
        <f t="shared" si="113"/>
        <v>0</v>
      </c>
    </row>
    <row r="414" spans="1:19" ht="13.5" customHeight="1" x14ac:dyDescent="0.2">
      <c r="A414" s="72"/>
      <c r="B414" s="73"/>
      <c r="C414" s="74"/>
      <c r="D414" s="75">
        <f>SUM(D400:D413)</f>
        <v>1</v>
      </c>
      <c r="E414" s="76">
        <f>SUM(E400:E413)</f>
        <v>580.70545647000006</v>
      </c>
      <c r="F414" s="77"/>
      <c r="G414" s="77"/>
      <c r="H414" s="78" t="s">
        <v>83</v>
      </c>
      <c r="I414" s="174">
        <f>SUM(I400:I413)</f>
        <v>4119268.9977973332</v>
      </c>
      <c r="J414" s="174">
        <f>SUM(J400:J413)</f>
        <v>32794092.137411837</v>
      </c>
      <c r="K414" s="175">
        <f>SUM(K400:K413)</f>
        <v>36913361.135209173</v>
      </c>
    </row>
    <row r="415" spans="1:19" ht="9.75" customHeight="1" x14ac:dyDescent="0.2">
      <c r="A415" s="79"/>
      <c r="B415" s="80"/>
      <c r="C415" s="81"/>
      <c r="D415" s="82"/>
      <c r="E415" s="83"/>
      <c r="F415" s="84"/>
      <c r="G415" s="84"/>
      <c r="H415" s="85"/>
      <c r="I415" s="176"/>
      <c r="J415" s="176"/>
      <c r="K415" s="176"/>
    </row>
    <row r="416" spans="1:19" ht="11.25" customHeight="1" x14ac:dyDescent="0.2">
      <c r="D416" s="86"/>
      <c r="E416" s="87"/>
      <c r="F416" s="88"/>
      <c r="G416" s="88"/>
      <c r="H416" s="89"/>
      <c r="I416" s="177"/>
      <c r="J416" s="177"/>
      <c r="K416" s="177"/>
    </row>
    <row r="417" spans="1:11" ht="13.5" customHeight="1" x14ac:dyDescent="0.2">
      <c r="A417" s="4" t="str">
        <f>Summary!$G$9</f>
        <v>Contractor</v>
      </c>
      <c r="D417" s="90"/>
      <c r="E417" s="91"/>
      <c r="F417" s="92"/>
      <c r="G417" s="88"/>
      <c r="H417" s="89"/>
      <c r="I417" s="177"/>
      <c r="J417" s="177"/>
      <c r="K417" s="177"/>
    </row>
    <row r="418" spans="1:11" ht="13.5" customHeight="1" x14ac:dyDescent="0.2">
      <c r="A418" s="79"/>
      <c r="B418" s="80"/>
      <c r="C418" s="81"/>
      <c r="D418" s="82"/>
      <c r="E418" s="83"/>
      <c r="F418" s="93"/>
      <c r="G418" s="93"/>
      <c r="H418" s="94"/>
      <c r="I418" s="95"/>
      <c r="J418" s="95"/>
      <c r="K418" s="95"/>
    </row>
    <row r="419" spans="1:11" ht="13.5" customHeight="1" x14ac:dyDescent="0.2">
      <c r="A419" s="79"/>
      <c r="B419" s="80"/>
      <c r="C419" s="81"/>
      <c r="D419" s="82"/>
      <c r="E419" s="83"/>
      <c r="F419" s="93"/>
      <c r="G419" s="93"/>
      <c r="H419" s="94"/>
      <c r="I419" s="95"/>
      <c r="J419" s="95"/>
      <c r="K419" s="95"/>
    </row>
    <row r="420" spans="1:11" ht="13.5" customHeight="1" x14ac:dyDescent="0.2">
      <c r="A420" s="79"/>
      <c r="C420" s="81"/>
      <c r="D420" s="82"/>
      <c r="E420" s="83"/>
      <c r="F420" s="93"/>
      <c r="G420" s="93"/>
      <c r="I420" s="95"/>
      <c r="J420" s="95"/>
      <c r="K420" s="95"/>
    </row>
    <row r="421" spans="1:11" x14ac:dyDescent="0.2">
      <c r="A421" s="79"/>
      <c r="B421" s="80"/>
      <c r="C421" s="81"/>
      <c r="D421" s="82"/>
      <c r="E421" s="83"/>
      <c r="F421" s="93"/>
      <c r="G421" s="93"/>
      <c r="I421" s="488"/>
      <c r="J421" s="488"/>
      <c r="K421" s="488"/>
    </row>
    <row r="422" spans="1:11" x14ac:dyDescent="0.2">
      <c r="A422" s="79"/>
      <c r="B422" s="80"/>
      <c r="C422" s="81"/>
      <c r="D422" s="82"/>
      <c r="E422" s="83"/>
      <c r="F422" s="93"/>
      <c r="G422" s="93"/>
      <c r="H422" s="94"/>
      <c r="I422" s="489" t="str">
        <f>Summary!$G$10</f>
        <v>Construction Manager</v>
      </c>
      <c r="J422" s="489"/>
      <c r="K422" s="489"/>
    </row>
    <row r="423" spans="1:11" x14ac:dyDescent="0.2">
      <c r="I423" s="96"/>
      <c r="J423" s="96"/>
      <c r="K423" s="95"/>
    </row>
    <row r="424" spans="1:11" x14ac:dyDescent="0.2">
      <c r="A424" s="5" t="str">
        <f>Summary!$G$11</f>
        <v>PIPELINE PROJECT</v>
      </c>
    </row>
    <row r="431" spans="1:11" ht="17" x14ac:dyDescent="0.2">
      <c r="A431" s="158" t="s">
        <v>0</v>
      </c>
    </row>
    <row r="432" spans="1:11" ht="17" x14ac:dyDescent="0.2">
      <c r="A432" s="49" t="s">
        <v>69</v>
      </c>
    </row>
    <row r="433" spans="1:19" ht="16.5" customHeight="1" x14ac:dyDescent="0.2">
      <c r="A433" s="49"/>
      <c r="I433" s="2" t="s">
        <v>11</v>
      </c>
      <c r="J433" s="487">
        <f>Summary!$G$3</f>
        <v>42505</v>
      </c>
      <c r="K433" s="487"/>
    </row>
    <row r="434" spans="1:19" s="58" customFormat="1" ht="23.25" customHeight="1" x14ac:dyDescent="0.15">
      <c r="A434" s="50"/>
      <c r="B434" s="51"/>
      <c r="C434" s="52">
        <v>69435</v>
      </c>
      <c r="D434" s="53" t="s">
        <v>35</v>
      </c>
      <c r="E434" s="54">
        <v>580.70545646999994</v>
      </c>
      <c r="F434" s="55" t="s">
        <v>36</v>
      </c>
      <c r="G434" s="55" t="s">
        <v>27</v>
      </c>
      <c r="H434" s="55" t="s">
        <v>37</v>
      </c>
      <c r="I434" s="56" t="s">
        <v>38</v>
      </c>
      <c r="J434" s="56" t="s">
        <v>39</v>
      </c>
      <c r="K434" s="57" t="s">
        <v>40</v>
      </c>
      <c r="P434" s="58" t="s">
        <v>271</v>
      </c>
      <c r="Q434" s="58" t="s">
        <v>272</v>
      </c>
    </row>
    <row r="435" spans="1:19" ht="13.5" customHeight="1" x14ac:dyDescent="0.2">
      <c r="A435" s="59" t="s">
        <v>84</v>
      </c>
      <c r="B435" s="60" t="s">
        <v>74</v>
      </c>
      <c r="C435" s="61" t="s">
        <v>6</v>
      </c>
      <c r="D435" s="62">
        <v>0.02</v>
      </c>
      <c r="E435" s="63">
        <f>$E$81*D435</f>
        <v>11.614109129399999</v>
      </c>
      <c r="F435" s="64">
        <f t="shared" ref="F435:F448" si="116">G435+H435</f>
        <v>69435</v>
      </c>
      <c r="G435" s="64">
        <v>69435</v>
      </c>
      <c r="H435" s="70"/>
      <c r="I435" s="171">
        <f t="shared" ref="I435:I446" si="117">H435*E435</f>
        <v>0</v>
      </c>
      <c r="J435" s="172">
        <f t="shared" ref="J435:J448" si="118">G435*E435</f>
        <v>806425.66739988897</v>
      </c>
      <c r="K435" s="173">
        <f t="shared" ref="K435:K441" si="119">SUM(I435:J435)</f>
        <v>806425.66739988897</v>
      </c>
      <c r="L435" s="58"/>
      <c r="M435" s="58"/>
    </row>
    <row r="436" spans="1:19" ht="13.5" customHeight="1" x14ac:dyDescent="0.2">
      <c r="A436" s="65"/>
      <c r="B436" s="156" t="s">
        <v>75</v>
      </c>
      <c r="C436" s="71" t="s">
        <v>6</v>
      </c>
      <c r="D436" s="68">
        <v>0.08</v>
      </c>
      <c r="E436" s="69">
        <f>$E$81*D436</f>
        <v>46.456436517599997</v>
      </c>
      <c r="F436" s="70">
        <f t="shared" si="116"/>
        <v>69435</v>
      </c>
      <c r="G436" s="70">
        <v>69435</v>
      </c>
      <c r="H436" s="70"/>
      <c r="I436" s="171">
        <f t="shared" si="117"/>
        <v>0</v>
      </c>
      <c r="J436" s="172">
        <f t="shared" si="118"/>
        <v>3225702.6695995559</v>
      </c>
      <c r="K436" s="173">
        <f t="shared" si="119"/>
        <v>3225702.6695995559</v>
      </c>
      <c r="L436" s="58"/>
      <c r="M436" s="58"/>
    </row>
    <row r="437" spans="1:19" ht="13.5" customHeight="1" x14ac:dyDescent="0.2">
      <c r="A437" s="65"/>
      <c r="B437" s="66" t="s">
        <v>215</v>
      </c>
      <c r="C437" s="67" t="s">
        <v>6</v>
      </c>
      <c r="D437" s="68">
        <v>7.0000000000000007E-2</v>
      </c>
      <c r="E437" s="69">
        <f>$E$81*D437</f>
        <v>40.649381952900001</v>
      </c>
      <c r="F437" s="70">
        <f t="shared" si="116"/>
        <v>69435</v>
      </c>
      <c r="G437" s="70">
        <v>69435</v>
      </c>
      <c r="H437" s="70"/>
      <c r="I437" s="171">
        <f t="shared" si="117"/>
        <v>0</v>
      </c>
      <c r="J437" s="172">
        <f t="shared" si="118"/>
        <v>2822489.8358996115</v>
      </c>
      <c r="K437" s="173">
        <f t="shared" si="119"/>
        <v>2822489.8358996115</v>
      </c>
      <c r="L437" s="58"/>
      <c r="M437" s="58"/>
    </row>
    <row r="438" spans="1:19" ht="13.5" customHeight="1" x14ac:dyDescent="0.2">
      <c r="A438" s="65"/>
      <c r="B438" s="66" t="s">
        <v>41</v>
      </c>
      <c r="C438" s="67" t="s">
        <v>6</v>
      </c>
      <c r="D438" s="68">
        <v>7.0000000000000007E-2</v>
      </c>
      <c r="E438" s="69">
        <f t="shared" ref="E438:E446" si="120">$E$81*D438</f>
        <v>40.649381952900001</v>
      </c>
      <c r="F438" s="70">
        <f t="shared" si="116"/>
        <v>69435</v>
      </c>
      <c r="G438" s="70">
        <v>69435</v>
      </c>
      <c r="H438" s="70"/>
      <c r="I438" s="171">
        <f t="shared" si="117"/>
        <v>0</v>
      </c>
      <c r="J438" s="172">
        <f t="shared" si="118"/>
        <v>2822489.8358996115</v>
      </c>
      <c r="K438" s="173">
        <f t="shared" si="119"/>
        <v>2822489.8358996115</v>
      </c>
      <c r="L438" s="58"/>
      <c r="M438" s="58"/>
      <c r="O438" t="s">
        <v>303</v>
      </c>
      <c r="P438">
        <v>69435</v>
      </c>
      <c r="Q438" s="353">
        <f>P438-G438</f>
        <v>0</v>
      </c>
      <c r="S438" s="353">
        <f>F438-P438</f>
        <v>0</v>
      </c>
    </row>
    <row r="439" spans="1:19" ht="13.5" customHeight="1" x14ac:dyDescent="0.2">
      <c r="A439" s="65"/>
      <c r="B439" s="66" t="s">
        <v>42</v>
      </c>
      <c r="C439" s="67" t="s">
        <v>6</v>
      </c>
      <c r="D439" s="68">
        <v>0.17</v>
      </c>
      <c r="E439" s="69">
        <f t="shared" si="120"/>
        <v>98.719927599900004</v>
      </c>
      <c r="F439" s="70">
        <f t="shared" si="116"/>
        <v>69435</v>
      </c>
      <c r="G439" s="70">
        <v>69435</v>
      </c>
      <c r="H439" s="70"/>
      <c r="I439" s="171">
        <f t="shared" si="117"/>
        <v>0</v>
      </c>
      <c r="J439" s="172">
        <f t="shared" si="118"/>
        <v>6854618.1728990572</v>
      </c>
      <c r="K439" s="173">
        <f t="shared" si="119"/>
        <v>6854618.1728990572</v>
      </c>
      <c r="L439" s="58"/>
      <c r="M439" s="58"/>
      <c r="O439" t="s">
        <v>304</v>
      </c>
      <c r="P439">
        <v>69435</v>
      </c>
      <c r="Q439" s="353">
        <f t="shared" ref="Q439:Q446" si="121">P439-G439</f>
        <v>0</v>
      </c>
      <c r="S439" s="353">
        <f t="shared" ref="S439" si="122">F439-P439</f>
        <v>0</v>
      </c>
    </row>
    <row r="440" spans="1:19" ht="13.5" customHeight="1" x14ac:dyDescent="0.2">
      <c r="A440" s="65"/>
      <c r="B440" s="66" t="s">
        <v>76</v>
      </c>
      <c r="C440" s="67" t="s">
        <v>6</v>
      </c>
      <c r="D440" s="68">
        <v>0.08</v>
      </c>
      <c r="E440" s="69">
        <f t="shared" si="120"/>
        <v>46.456436517599997</v>
      </c>
      <c r="F440" s="70">
        <f t="shared" si="116"/>
        <v>69435</v>
      </c>
      <c r="G440" s="70">
        <v>69435</v>
      </c>
      <c r="H440" s="70"/>
      <c r="I440" s="171">
        <f t="shared" si="117"/>
        <v>0</v>
      </c>
      <c r="J440" s="172">
        <f t="shared" si="118"/>
        <v>3225702.6695995559</v>
      </c>
      <c r="K440" s="173">
        <f t="shared" si="119"/>
        <v>3225702.6695995559</v>
      </c>
      <c r="L440" s="58"/>
      <c r="M440" s="58"/>
      <c r="O440" t="s">
        <v>305</v>
      </c>
      <c r="P440">
        <v>69435</v>
      </c>
      <c r="Q440" s="353">
        <f t="shared" si="121"/>
        <v>0</v>
      </c>
      <c r="S440" s="353">
        <f>F440-P440</f>
        <v>0</v>
      </c>
    </row>
    <row r="441" spans="1:19" ht="13.5" customHeight="1" x14ac:dyDescent="0.2">
      <c r="A441" s="65"/>
      <c r="B441" s="66" t="s">
        <v>77</v>
      </c>
      <c r="C441" s="67" t="s">
        <v>6</v>
      </c>
      <c r="D441" s="68">
        <v>7.0000000000000007E-2</v>
      </c>
      <c r="E441" s="69">
        <f t="shared" si="120"/>
        <v>40.649381952900001</v>
      </c>
      <c r="F441" s="70">
        <f t="shared" si="116"/>
        <v>69435</v>
      </c>
      <c r="G441" s="70">
        <v>69435</v>
      </c>
      <c r="H441" s="70"/>
      <c r="I441" s="171">
        <f t="shared" si="117"/>
        <v>0</v>
      </c>
      <c r="J441" s="172">
        <f t="shared" si="118"/>
        <v>2822489.8358996115</v>
      </c>
      <c r="K441" s="173">
        <f t="shared" si="119"/>
        <v>2822489.8358996115</v>
      </c>
      <c r="L441" s="58"/>
      <c r="M441" s="58"/>
      <c r="O441" t="s">
        <v>306</v>
      </c>
      <c r="P441">
        <v>69435</v>
      </c>
      <c r="Q441" s="353">
        <f t="shared" si="121"/>
        <v>0</v>
      </c>
      <c r="S441" s="353">
        <f t="shared" ref="S441:S447" si="123">F441-P441</f>
        <v>0</v>
      </c>
    </row>
    <row r="442" spans="1:19" ht="13.5" customHeight="1" x14ac:dyDescent="0.2">
      <c r="A442" s="65"/>
      <c r="B442" s="66" t="s">
        <v>43</v>
      </c>
      <c r="C442" s="67" t="s">
        <v>6</v>
      </c>
      <c r="D442" s="68">
        <v>0.08</v>
      </c>
      <c r="E442" s="69">
        <f t="shared" si="120"/>
        <v>46.456436517599997</v>
      </c>
      <c r="F442" s="70">
        <f t="shared" si="116"/>
        <v>69435</v>
      </c>
      <c r="G442" s="70">
        <v>69435</v>
      </c>
      <c r="H442" s="70"/>
      <c r="I442" s="171">
        <f t="shared" si="117"/>
        <v>0</v>
      </c>
      <c r="J442" s="172">
        <f t="shared" si="118"/>
        <v>3225702.6695995559</v>
      </c>
      <c r="K442" s="173">
        <f>SUM(I442:J442)</f>
        <v>3225702.6695995559</v>
      </c>
      <c r="L442" s="58"/>
      <c r="M442" s="58"/>
      <c r="O442" t="s">
        <v>307</v>
      </c>
      <c r="P442">
        <v>69435</v>
      </c>
      <c r="Q442" s="353">
        <f t="shared" si="121"/>
        <v>0</v>
      </c>
      <c r="S442" s="353">
        <f t="shared" si="123"/>
        <v>0</v>
      </c>
    </row>
    <row r="443" spans="1:19" ht="13.5" customHeight="1" x14ac:dyDescent="0.2">
      <c r="A443" s="65"/>
      <c r="B443" s="66" t="s">
        <v>78</v>
      </c>
      <c r="C443" s="67" t="s">
        <v>6</v>
      </c>
      <c r="D443" s="68">
        <v>7.0000000000000007E-2</v>
      </c>
      <c r="E443" s="69">
        <f t="shared" si="120"/>
        <v>40.649381952900001</v>
      </c>
      <c r="F443" s="70">
        <f t="shared" si="116"/>
        <v>69435</v>
      </c>
      <c r="G443" s="70">
        <v>69435</v>
      </c>
      <c r="H443" s="70"/>
      <c r="I443" s="171">
        <f t="shared" si="117"/>
        <v>0</v>
      </c>
      <c r="J443" s="172">
        <f t="shared" si="118"/>
        <v>2822489.8358996115</v>
      </c>
      <c r="K443" s="173">
        <f t="shared" ref="K443:K448" si="124">SUM(I443:J443)</f>
        <v>2822489.8358996115</v>
      </c>
      <c r="L443" s="58"/>
      <c r="M443" s="58"/>
      <c r="O443" t="s">
        <v>308</v>
      </c>
      <c r="P443">
        <v>69435</v>
      </c>
      <c r="Q443" s="353">
        <f t="shared" si="121"/>
        <v>0</v>
      </c>
      <c r="S443" s="353">
        <f t="shared" si="123"/>
        <v>0</v>
      </c>
    </row>
    <row r="444" spans="1:19" ht="13.5" customHeight="1" x14ac:dyDescent="0.2">
      <c r="A444" s="65"/>
      <c r="B444" s="66" t="s">
        <v>44</v>
      </c>
      <c r="C444" s="67" t="s">
        <v>6</v>
      </c>
      <c r="D444" s="68">
        <v>7.0000000000000007E-2</v>
      </c>
      <c r="E444" s="69">
        <f t="shared" si="120"/>
        <v>40.649381952900001</v>
      </c>
      <c r="F444" s="70">
        <f t="shared" si="116"/>
        <v>69435</v>
      </c>
      <c r="G444" s="70">
        <v>69435</v>
      </c>
      <c r="H444" s="70"/>
      <c r="I444" s="171">
        <f t="shared" si="117"/>
        <v>0</v>
      </c>
      <c r="J444" s="172">
        <f t="shared" si="118"/>
        <v>2822489.8358996115</v>
      </c>
      <c r="K444" s="173">
        <f t="shared" si="124"/>
        <v>2822489.8358996115</v>
      </c>
      <c r="L444" s="58"/>
      <c r="O444" t="s">
        <v>868</v>
      </c>
      <c r="P444">
        <v>69435</v>
      </c>
      <c r="Q444" s="353">
        <f t="shared" si="121"/>
        <v>0</v>
      </c>
      <c r="S444" s="353">
        <f t="shared" si="123"/>
        <v>0</v>
      </c>
    </row>
    <row r="445" spans="1:19" ht="13.5" customHeight="1" x14ac:dyDescent="0.2">
      <c r="A445" s="65"/>
      <c r="B445" s="66" t="s">
        <v>79</v>
      </c>
      <c r="C445" s="67" t="s">
        <v>6</v>
      </c>
      <c r="D445" s="68">
        <v>0.05</v>
      </c>
      <c r="E445" s="69">
        <f t="shared" si="120"/>
        <v>29.035272823499998</v>
      </c>
      <c r="F445" s="70">
        <f t="shared" si="116"/>
        <v>69435</v>
      </c>
      <c r="G445" s="70">
        <v>69435</v>
      </c>
      <c r="H445" s="70"/>
      <c r="I445" s="171">
        <f t="shared" si="117"/>
        <v>0</v>
      </c>
      <c r="J445" s="172">
        <f t="shared" si="118"/>
        <v>2016064.1684997224</v>
      </c>
      <c r="K445" s="173">
        <f t="shared" si="124"/>
        <v>2016064.1684997224</v>
      </c>
      <c r="L445" s="58"/>
      <c r="O445" t="s">
        <v>996</v>
      </c>
      <c r="P445">
        <v>69435</v>
      </c>
      <c r="Q445" s="353">
        <f t="shared" si="121"/>
        <v>0</v>
      </c>
      <c r="S445" s="353">
        <f t="shared" si="123"/>
        <v>0</v>
      </c>
    </row>
    <row r="446" spans="1:19" ht="13.5" customHeight="1" x14ac:dyDescent="0.2">
      <c r="A446" s="65"/>
      <c r="B446" s="66" t="s">
        <v>80</v>
      </c>
      <c r="C446" s="71" t="s">
        <v>6</v>
      </c>
      <c r="D446" s="68">
        <v>0.09</v>
      </c>
      <c r="E446" s="69">
        <f t="shared" si="120"/>
        <v>52.263491082299993</v>
      </c>
      <c r="F446" s="70">
        <f t="shared" si="116"/>
        <v>58300</v>
      </c>
      <c r="G446" s="70">
        <v>58300</v>
      </c>
      <c r="H446" s="70"/>
      <c r="I446" s="171">
        <f t="shared" si="117"/>
        <v>0</v>
      </c>
      <c r="J446" s="172">
        <f t="shared" si="118"/>
        <v>3046961.5300980895</v>
      </c>
      <c r="K446" s="173">
        <f t="shared" si="124"/>
        <v>3046961.5300980895</v>
      </c>
      <c r="L446" s="58"/>
      <c r="O446" t="s">
        <v>563</v>
      </c>
      <c r="P446">
        <v>58300</v>
      </c>
      <c r="Q446" s="353">
        <f t="shared" si="121"/>
        <v>0</v>
      </c>
      <c r="S446" s="353">
        <f t="shared" si="123"/>
        <v>0</v>
      </c>
    </row>
    <row r="447" spans="1:19" ht="13.5" customHeight="1" x14ac:dyDescent="0.2">
      <c r="A447" s="65"/>
      <c r="B447" s="156" t="s">
        <v>81</v>
      </c>
      <c r="C447" s="71" t="s">
        <v>6</v>
      </c>
      <c r="D447" s="68">
        <v>0.02</v>
      </c>
      <c r="E447" s="69">
        <f>$E$81*D447</f>
        <v>11.614109129399999</v>
      </c>
      <c r="F447" s="70">
        <f t="shared" si="116"/>
        <v>52077</v>
      </c>
      <c r="G447" s="70">
        <v>34418</v>
      </c>
      <c r="H447" s="70">
        <v>17659</v>
      </c>
      <c r="I447" s="171">
        <f>H447*E447</f>
        <v>205093.55311607459</v>
      </c>
      <c r="J447" s="172">
        <f t="shared" si="118"/>
        <v>399734.40801568917</v>
      </c>
      <c r="K447" s="173">
        <f t="shared" si="124"/>
        <v>604827.96113176376</v>
      </c>
      <c r="S447" s="353">
        <f t="shared" si="123"/>
        <v>52077</v>
      </c>
    </row>
    <row r="448" spans="1:19" ht="13.5" customHeight="1" thickBot="1" x14ac:dyDescent="0.25">
      <c r="A448" s="65"/>
      <c r="B448" s="66" t="s">
        <v>82</v>
      </c>
      <c r="C448" s="71" t="s">
        <v>6</v>
      </c>
      <c r="D448" s="68">
        <v>0.06</v>
      </c>
      <c r="E448" s="69">
        <f t="shared" ref="E448" si="125">$E$81*D448</f>
        <v>34.842327388199998</v>
      </c>
      <c r="F448" s="70">
        <f t="shared" si="116"/>
        <v>0</v>
      </c>
      <c r="G448" s="70">
        <v>0</v>
      </c>
      <c r="H448" s="70"/>
      <c r="I448" s="171">
        <f t="shared" ref="I448" si="126">H448*E448</f>
        <v>0</v>
      </c>
      <c r="J448" s="172">
        <f t="shared" si="118"/>
        <v>0</v>
      </c>
      <c r="K448" s="173">
        <f t="shared" si="124"/>
        <v>0</v>
      </c>
    </row>
    <row r="449" spans="1:11" ht="13.5" customHeight="1" x14ac:dyDescent="0.2">
      <c r="A449" s="72"/>
      <c r="B449" s="73"/>
      <c r="C449" s="74"/>
      <c r="D449" s="75">
        <f>SUM(D435:D448)</f>
        <v>1</v>
      </c>
      <c r="E449" s="76">
        <f>SUM(E435:E448)</f>
        <v>580.70545647000006</v>
      </c>
      <c r="F449" s="77"/>
      <c r="G449" s="77"/>
      <c r="H449" s="78" t="s">
        <v>83</v>
      </c>
      <c r="I449" s="174">
        <f>SUM(I435:I448)</f>
        <v>205093.55311607459</v>
      </c>
      <c r="J449" s="174">
        <f>SUM(J435:J448)</f>
        <v>36913361.135209173</v>
      </c>
      <c r="K449" s="175">
        <f>SUM(K435:K448)</f>
        <v>37118454.688325249</v>
      </c>
    </row>
    <row r="450" spans="1:11" ht="9.75" customHeight="1" x14ac:dyDescent="0.2">
      <c r="A450" s="79"/>
      <c r="B450" s="80"/>
      <c r="C450" s="81"/>
      <c r="D450" s="82"/>
      <c r="E450" s="83"/>
      <c r="F450" s="84"/>
      <c r="G450" s="84"/>
      <c r="H450" s="85"/>
      <c r="I450" s="176"/>
      <c r="J450" s="176"/>
      <c r="K450" s="176"/>
    </row>
    <row r="451" spans="1:11" ht="11.25" customHeight="1" x14ac:dyDescent="0.2">
      <c r="D451" s="86"/>
      <c r="E451" s="87"/>
      <c r="F451" s="88"/>
      <c r="G451" s="88"/>
      <c r="H451" s="89"/>
      <c r="I451" s="177"/>
      <c r="J451" s="177"/>
      <c r="K451" s="177"/>
    </row>
    <row r="452" spans="1:11" ht="13.5" customHeight="1" x14ac:dyDescent="0.2">
      <c r="A452" s="4" t="str">
        <f>Summary!$G$9</f>
        <v>Contractor</v>
      </c>
      <c r="D452" s="90"/>
      <c r="E452" s="91"/>
      <c r="F452" s="92"/>
      <c r="G452" s="88"/>
      <c r="H452" s="89"/>
      <c r="I452" s="177"/>
      <c r="J452" s="177"/>
      <c r="K452" s="177"/>
    </row>
    <row r="453" spans="1:11" ht="13.5" customHeight="1" x14ac:dyDescent="0.2">
      <c r="A453" s="79"/>
      <c r="B453" s="80"/>
      <c r="C453" s="81"/>
      <c r="D453" s="82"/>
      <c r="E453" s="83"/>
      <c r="F453" s="93"/>
      <c r="G453" s="93"/>
      <c r="H453" s="94"/>
      <c r="I453" s="95"/>
      <c r="J453" s="95"/>
      <c r="K453" s="95"/>
    </row>
    <row r="454" spans="1:11" ht="13.5" customHeight="1" x14ac:dyDescent="0.2">
      <c r="A454" s="79"/>
      <c r="B454" s="80"/>
      <c r="C454" s="81"/>
      <c r="D454" s="82"/>
      <c r="E454" s="83"/>
      <c r="F454" s="93"/>
      <c r="G454" s="93"/>
      <c r="H454" s="94"/>
      <c r="I454" s="95"/>
      <c r="J454" s="95"/>
      <c r="K454" s="95"/>
    </row>
    <row r="455" spans="1:11" ht="13.5" customHeight="1" x14ac:dyDescent="0.2">
      <c r="A455" s="79"/>
      <c r="C455" s="81"/>
      <c r="D455" s="82"/>
      <c r="E455" s="83"/>
      <c r="F455" s="93"/>
      <c r="G455" s="93"/>
      <c r="I455" s="95"/>
      <c r="J455" s="95"/>
      <c r="K455" s="95"/>
    </row>
    <row r="456" spans="1:11" x14ac:dyDescent="0.2">
      <c r="A456" s="79"/>
      <c r="B456" s="80"/>
      <c r="C456" s="81"/>
      <c r="D456" s="82"/>
      <c r="E456" s="83"/>
      <c r="F456" s="93"/>
      <c r="G456" s="93"/>
      <c r="I456" s="488"/>
      <c r="J456" s="488"/>
      <c r="K456" s="488"/>
    </row>
    <row r="457" spans="1:11" x14ac:dyDescent="0.2">
      <c r="A457" s="79"/>
      <c r="B457" s="80"/>
      <c r="C457" s="81"/>
      <c r="D457" s="82"/>
      <c r="E457" s="83"/>
      <c r="F457" s="93"/>
      <c r="G457" s="93"/>
      <c r="H457" s="94"/>
      <c r="I457" s="489" t="str">
        <f>Summary!$G$10</f>
        <v>Construction Manager</v>
      </c>
      <c r="J457" s="489"/>
      <c r="K457" s="489"/>
    </row>
    <row r="458" spans="1:11" x14ac:dyDescent="0.2">
      <c r="I458" s="96"/>
      <c r="J458" s="96"/>
      <c r="K458" s="95"/>
    </row>
  </sheetData>
  <mergeCells count="39">
    <mergeCell ref="J433:K433"/>
    <mergeCell ref="I456:K456"/>
    <mergeCell ref="I457:K457"/>
    <mergeCell ref="J398:K398"/>
    <mergeCell ref="I421:K421"/>
    <mergeCell ref="I422:K422"/>
    <mergeCell ref="J363:K363"/>
    <mergeCell ref="I386:K386"/>
    <mergeCell ref="I387:K387"/>
    <mergeCell ref="J10:K10"/>
    <mergeCell ref="I33:K33"/>
    <mergeCell ref="I34:K34"/>
    <mergeCell ref="J116:K116"/>
    <mergeCell ref="I139:K139"/>
    <mergeCell ref="J188:K188"/>
    <mergeCell ref="I211:K211"/>
    <mergeCell ref="I212:K212"/>
    <mergeCell ref="J152:K152"/>
    <mergeCell ref="I175:K175"/>
    <mergeCell ref="I176:K176"/>
    <mergeCell ref="I140:K140"/>
    <mergeCell ref="J45:K45"/>
    <mergeCell ref="I68:K68"/>
    <mergeCell ref="I69:K69"/>
    <mergeCell ref="J80:K80"/>
    <mergeCell ref="I103:K103"/>
    <mergeCell ref="I104:K104"/>
    <mergeCell ref="J328:K328"/>
    <mergeCell ref="I351:K351"/>
    <mergeCell ref="I352:K352"/>
    <mergeCell ref="J223:K223"/>
    <mergeCell ref="I246:K246"/>
    <mergeCell ref="I247:K247"/>
    <mergeCell ref="J293:K293"/>
    <mergeCell ref="I316:K316"/>
    <mergeCell ref="I317:K317"/>
    <mergeCell ref="J258:K258"/>
    <mergeCell ref="I281:K281"/>
    <mergeCell ref="I282:K282"/>
  </mergeCells>
  <phoneticPr fontId="26" type="noConversion"/>
  <pageMargins left="0.70866141732283472" right="0.70866141732283472" top="0.74803149606299213" bottom="0.74803149606299213" header="0.31496062992125984" footer="0.31496062992125984"/>
  <pageSetup scale="94" orientation="landscape" verticalDpi="1200"/>
  <rowBreaks count="8" manualBreakCount="8">
    <brk id="70" max="16383" man="1"/>
    <brk id="142" max="16383" man="1"/>
    <brk id="213" max="16383" man="1"/>
    <brk id="248" max="16383" man="1"/>
    <brk id="283" max="16383" man="1"/>
    <brk id="318" max="16383" man="1"/>
    <brk id="353" max="16383" man="1"/>
    <brk id="458" max="16383" man="1"/>
  </row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FFCC"/>
  </sheetPr>
  <dimension ref="A1:E236"/>
  <sheetViews>
    <sheetView topLeftCell="A218" zoomScale="125" zoomScaleNormal="125" zoomScalePageLayoutView="125" workbookViewId="0">
      <selection activeCell="I219" sqref="I219"/>
    </sheetView>
  </sheetViews>
  <sheetFormatPr baseColWidth="10" defaultColWidth="8.83203125" defaultRowHeight="15" x14ac:dyDescent="0.2"/>
  <cols>
    <col min="1" max="1" width="10" customWidth="1"/>
    <col min="2" max="2" width="49.33203125" customWidth="1"/>
    <col min="3" max="3" width="5.6640625" customWidth="1"/>
    <col min="5" max="5" width="14.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57" t="s">
        <v>89</v>
      </c>
    </row>
    <row r="14" spans="1:5" x14ac:dyDescent="0.2">
      <c r="A14" s="5"/>
    </row>
    <row r="16" spans="1:5" x14ac:dyDescent="0.2">
      <c r="A16" t="s">
        <v>0</v>
      </c>
      <c r="B16" t="s">
        <v>253</v>
      </c>
      <c r="D16" s="2" t="s">
        <v>64</v>
      </c>
      <c r="E16" s="3">
        <v>42353</v>
      </c>
    </row>
    <row r="17" spans="1:5" x14ac:dyDescent="0.2">
      <c r="A17" t="s">
        <v>1</v>
      </c>
      <c r="B17" s="4" t="s">
        <v>264</v>
      </c>
    </row>
    <row r="19" spans="1:5" x14ac:dyDescent="0.2">
      <c r="A19" s="9" t="s">
        <v>2</v>
      </c>
      <c r="B19" s="10"/>
      <c r="C19" s="495" t="s">
        <v>4</v>
      </c>
      <c r="D19" s="495"/>
      <c r="E19" s="12" t="s">
        <v>260</v>
      </c>
    </row>
    <row r="20" spans="1:5" x14ac:dyDescent="0.2">
      <c r="A20" s="351" t="s">
        <v>265</v>
      </c>
      <c r="B20" s="29" t="s">
        <v>266</v>
      </c>
      <c r="C20" s="496"/>
      <c r="D20" s="497"/>
      <c r="E20" s="17"/>
    </row>
    <row r="21" spans="1:5" x14ac:dyDescent="0.2">
      <c r="A21" s="18"/>
      <c r="B21" s="21" t="s">
        <v>267</v>
      </c>
      <c r="C21" s="498" t="s">
        <v>270</v>
      </c>
      <c r="D21" s="499"/>
      <c r="E21" s="17">
        <v>36802.67</v>
      </c>
    </row>
    <row r="22" spans="1:5" x14ac:dyDescent="0.2">
      <c r="A22" s="18"/>
      <c r="B22" s="21" t="s">
        <v>268</v>
      </c>
      <c r="C22" s="498" t="s">
        <v>270</v>
      </c>
      <c r="D22" s="499"/>
      <c r="E22" s="17"/>
    </row>
    <row r="23" spans="1:5" ht="26" customHeight="1" x14ac:dyDescent="0.2">
      <c r="A23" s="18"/>
      <c r="B23" s="21" t="s">
        <v>269</v>
      </c>
      <c r="C23" s="498" t="s">
        <v>270</v>
      </c>
      <c r="D23" s="499"/>
      <c r="E23" s="17"/>
    </row>
    <row r="24" spans="1:5" x14ac:dyDescent="0.2">
      <c r="A24" s="22"/>
      <c r="B24" s="22"/>
      <c r="C24" s="490"/>
      <c r="D24" s="491"/>
      <c r="E24" s="23"/>
    </row>
    <row r="25" spans="1:5" x14ac:dyDescent="0.2">
      <c r="A25" s="24"/>
      <c r="B25" s="24"/>
      <c r="C25" s="492"/>
      <c r="D25" s="493"/>
      <c r="E25" s="25"/>
    </row>
    <row r="26" spans="1:5" x14ac:dyDescent="0.2">
      <c r="D26" s="26" t="s">
        <v>12</v>
      </c>
      <c r="E26" s="27">
        <f>SUM(E20:E25)</f>
        <v>36802.67</v>
      </c>
    </row>
    <row r="28" spans="1:5" x14ac:dyDescent="0.2">
      <c r="A28" t="str">
        <f>Summary!$G$9</f>
        <v>Contractor</v>
      </c>
    </row>
    <row r="32" spans="1:5" x14ac:dyDescent="0.2">
      <c r="C32" s="494" t="str">
        <f>Summary!$G$10</f>
        <v>Construction Manager</v>
      </c>
      <c r="D32" s="494"/>
      <c r="E32" s="494"/>
    </row>
    <row r="34" spans="1:1" x14ac:dyDescent="0.2">
      <c r="A34" s="5" t="str">
        <f>Summary!$G$11</f>
        <v>PIPELINE PROJECT</v>
      </c>
    </row>
    <row r="35" spans="1:1" x14ac:dyDescent="0.2">
      <c r="A35" s="5"/>
    </row>
    <row r="36" spans="1:1" x14ac:dyDescent="0.2">
      <c r="A36" s="5"/>
    </row>
    <row r="37" spans="1:1" x14ac:dyDescent="0.2">
      <c r="A37" s="5"/>
    </row>
    <row r="38" spans="1:1" x14ac:dyDescent="0.2">
      <c r="A38" s="5"/>
    </row>
    <row r="47" spans="1:1" ht="16" x14ac:dyDescent="0.2">
      <c r="A47" s="157" t="s">
        <v>89</v>
      </c>
    </row>
    <row r="48" spans="1:1" x14ac:dyDescent="0.2">
      <c r="A48" s="5"/>
    </row>
    <row r="50" spans="1:5" x14ac:dyDescent="0.2">
      <c r="A50" t="s">
        <v>0</v>
      </c>
      <c r="B50" t="s">
        <v>253</v>
      </c>
      <c r="D50" s="2" t="s">
        <v>64</v>
      </c>
      <c r="E50" s="3">
        <v>42384</v>
      </c>
    </row>
    <row r="51" spans="1:5" x14ac:dyDescent="0.2">
      <c r="A51" t="s">
        <v>1</v>
      </c>
      <c r="B51" s="4" t="s">
        <v>264</v>
      </c>
    </row>
    <row r="53" spans="1:5" x14ac:dyDescent="0.2">
      <c r="A53" s="9" t="s">
        <v>2</v>
      </c>
      <c r="B53" s="10"/>
      <c r="C53" s="495" t="s">
        <v>4</v>
      </c>
      <c r="D53" s="495"/>
      <c r="E53" s="12" t="s">
        <v>260</v>
      </c>
    </row>
    <row r="54" spans="1:5" x14ac:dyDescent="0.2">
      <c r="A54" s="351" t="s">
        <v>265</v>
      </c>
      <c r="B54" s="29" t="s">
        <v>266</v>
      </c>
      <c r="C54" s="496"/>
      <c r="D54" s="497"/>
      <c r="E54" s="17"/>
    </row>
    <row r="55" spans="1:5" x14ac:dyDescent="0.2">
      <c r="A55" s="18"/>
      <c r="B55" s="21" t="s">
        <v>267</v>
      </c>
      <c r="C55" s="498" t="s">
        <v>270</v>
      </c>
      <c r="D55" s="499"/>
      <c r="E55" s="17">
        <v>19134.689999999999</v>
      </c>
    </row>
    <row r="56" spans="1:5" x14ac:dyDescent="0.2">
      <c r="A56" s="18"/>
      <c r="B56" s="21" t="s">
        <v>268</v>
      </c>
      <c r="C56" s="498" t="s">
        <v>270</v>
      </c>
      <c r="D56" s="499"/>
      <c r="E56" s="17"/>
    </row>
    <row r="57" spans="1:5" ht="26" customHeight="1" x14ac:dyDescent="0.2">
      <c r="A57" s="18"/>
      <c r="B57" s="21" t="s">
        <v>269</v>
      </c>
      <c r="C57" s="498" t="s">
        <v>270</v>
      </c>
      <c r="D57" s="499"/>
      <c r="E57" s="17"/>
    </row>
    <row r="58" spans="1:5" x14ac:dyDescent="0.2">
      <c r="A58" s="22"/>
      <c r="B58" s="22"/>
      <c r="C58" s="490"/>
      <c r="D58" s="491"/>
      <c r="E58" s="23"/>
    </row>
    <row r="59" spans="1:5" x14ac:dyDescent="0.2">
      <c r="A59" s="24"/>
      <c r="B59" s="24"/>
      <c r="C59" s="492"/>
      <c r="D59" s="493"/>
      <c r="E59" s="25"/>
    </row>
    <row r="60" spans="1:5" x14ac:dyDescent="0.2">
      <c r="D60" s="26" t="s">
        <v>12</v>
      </c>
      <c r="E60" s="27">
        <f>SUM(E54:E59)</f>
        <v>19134.689999999999</v>
      </c>
    </row>
    <row r="62" spans="1:5" x14ac:dyDescent="0.2">
      <c r="A62" t="str">
        <f>Summary!$G$9</f>
        <v>Contractor</v>
      </c>
    </row>
    <row r="66" spans="1:5" x14ac:dyDescent="0.2">
      <c r="C66" s="494" t="str">
        <f>Summary!$G$10</f>
        <v>Construction Manager</v>
      </c>
      <c r="D66" s="494"/>
      <c r="E66" s="494"/>
    </row>
    <row r="68" spans="1:5" x14ac:dyDescent="0.2">
      <c r="A68" s="5" t="str">
        <f>Summary!$G$11</f>
        <v>PIPELINE PROJECT</v>
      </c>
    </row>
    <row r="69" spans="1:5" x14ac:dyDescent="0.2">
      <c r="A69" s="5"/>
    </row>
    <row r="70" spans="1:5" x14ac:dyDescent="0.2">
      <c r="A70" s="5"/>
    </row>
    <row r="71" spans="1:5" x14ac:dyDescent="0.2">
      <c r="A71" s="5"/>
    </row>
    <row r="72" spans="1:5" x14ac:dyDescent="0.2">
      <c r="A72" s="5"/>
    </row>
    <row r="81" spans="1:5" ht="16" x14ac:dyDescent="0.2">
      <c r="A81" s="157" t="s">
        <v>89</v>
      </c>
    </row>
    <row r="82" spans="1:5" x14ac:dyDescent="0.2">
      <c r="A82" s="5"/>
    </row>
    <row r="84" spans="1:5" x14ac:dyDescent="0.2">
      <c r="A84" t="s">
        <v>0</v>
      </c>
      <c r="B84" t="s">
        <v>253</v>
      </c>
      <c r="D84" s="2" t="s">
        <v>64</v>
      </c>
      <c r="E84" s="3">
        <v>42400</v>
      </c>
    </row>
    <row r="85" spans="1:5" x14ac:dyDescent="0.2">
      <c r="A85" t="s">
        <v>1</v>
      </c>
      <c r="B85" s="4" t="s">
        <v>264</v>
      </c>
    </row>
    <row r="87" spans="1:5" x14ac:dyDescent="0.2">
      <c r="A87" s="9" t="s">
        <v>2</v>
      </c>
      <c r="B87" s="10"/>
      <c r="C87" s="495" t="s">
        <v>4</v>
      </c>
      <c r="D87" s="495"/>
      <c r="E87" s="12" t="s">
        <v>260</v>
      </c>
    </row>
    <row r="88" spans="1:5" x14ac:dyDescent="0.2">
      <c r="A88" s="351" t="s">
        <v>265</v>
      </c>
      <c r="B88" s="29" t="s">
        <v>266</v>
      </c>
      <c r="C88" s="496"/>
      <c r="D88" s="497"/>
      <c r="E88" s="17"/>
    </row>
    <row r="89" spans="1:5" x14ac:dyDescent="0.2">
      <c r="A89" s="18"/>
      <c r="B89" s="21" t="s">
        <v>267</v>
      </c>
      <c r="C89" s="498" t="s">
        <v>270</v>
      </c>
      <c r="D89" s="499"/>
      <c r="E89" s="17">
        <v>1914.8</v>
      </c>
    </row>
    <row r="90" spans="1:5" x14ac:dyDescent="0.2">
      <c r="A90" s="18"/>
      <c r="B90" s="21" t="s">
        <v>268</v>
      </c>
      <c r="C90" s="498" t="s">
        <v>270</v>
      </c>
      <c r="D90" s="499"/>
      <c r="E90" s="17"/>
    </row>
    <row r="91" spans="1:5" ht="26" customHeight="1" x14ac:dyDescent="0.2">
      <c r="A91" s="18"/>
      <c r="B91" s="21" t="s">
        <v>269</v>
      </c>
      <c r="C91" s="498" t="s">
        <v>270</v>
      </c>
      <c r="D91" s="499"/>
      <c r="E91" s="17"/>
    </row>
    <row r="92" spans="1:5" x14ac:dyDescent="0.2">
      <c r="A92" s="22"/>
      <c r="B92" s="22"/>
      <c r="C92" s="490"/>
      <c r="D92" s="491"/>
      <c r="E92" s="23"/>
    </row>
    <row r="93" spans="1:5" x14ac:dyDescent="0.2">
      <c r="A93" s="24"/>
      <c r="B93" s="24"/>
      <c r="C93" s="492"/>
      <c r="D93" s="493"/>
      <c r="E93" s="25"/>
    </row>
    <row r="94" spans="1:5" x14ac:dyDescent="0.2">
      <c r="D94" s="26" t="s">
        <v>12</v>
      </c>
      <c r="E94" s="27">
        <f>SUM(E88:E93)</f>
        <v>1914.8</v>
      </c>
    </row>
    <row r="96" spans="1:5" x14ac:dyDescent="0.2">
      <c r="A96" t="str">
        <f>Summary!$G$9</f>
        <v>Contractor</v>
      </c>
    </row>
    <row r="100" spans="1:5" x14ac:dyDescent="0.2">
      <c r="C100" s="494" t="str">
        <f>Summary!$G$10</f>
        <v>Construction Manager</v>
      </c>
      <c r="D100" s="494"/>
      <c r="E100" s="494"/>
    </row>
    <row r="102" spans="1:5" x14ac:dyDescent="0.2">
      <c r="A102" s="5" t="str">
        <f>Summary!$G$11</f>
        <v>PIPELINE PROJECT</v>
      </c>
    </row>
    <row r="103" spans="1:5" x14ac:dyDescent="0.2">
      <c r="A103" s="5"/>
    </row>
    <row r="104" spans="1:5" x14ac:dyDescent="0.2">
      <c r="A104" s="5"/>
    </row>
    <row r="105" spans="1:5" x14ac:dyDescent="0.2">
      <c r="A105" s="5"/>
    </row>
    <row r="106" spans="1:5" x14ac:dyDescent="0.2">
      <c r="A106" s="5"/>
    </row>
    <row r="115" spans="1:5" ht="16" x14ac:dyDescent="0.2">
      <c r="A115" s="157" t="s">
        <v>89</v>
      </c>
    </row>
    <row r="116" spans="1:5" x14ac:dyDescent="0.2">
      <c r="A116" s="5"/>
    </row>
    <row r="118" spans="1:5" x14ac:dyDescent="0.2">
      <c r="A118" t="s">
        <v>0</v>
      </c>
      <c r="B118" t="s">
        <v>253</v>
      </c>
      <c r="D118" s="2" t="s">
        <v>64</v>
      </c>
      <c r="E118" s="3">
        <v>42415</v>
      </c>
    </row>
    <row r="119" spans="1:5" x14ac:dyDescent="0.2">
      <c r="A119" t="s">
        <v>1</v>
      </c>
      <c r="B119" s="4" t="s">
        <v>264</v>
      </c>
    </row>
    <row r="121" spans="1:5" x14ac:dyDescent="0.2">
      <c r="A121" s="9" t="s">
        <v>2</v>
      </c>
      <c r="B121" s="10"/>
      <c r="C121" s="495" t="s">
        <v>4</v>
      </c>
      <c r="D121" s="495"/>
      <c r="E121" s="12" t="s">
        <v>260</v>
      </c>
    </row>
    <row r="122" spans="1:5" x14ac:dyDescent="0.2">
      <c r="A122" s="351" t="s">
        <v>265</v>
      </c>
      <c r="B122" s="29" t="s">
        <v>266</v>
      </c>
      <c r="C122" s="496"/>
      <c r="D122" s="497"/>
      <c r="E122" s="17"/>
    </row>
    <row r="123" spans="1:5" x14ac:dyDescent="0.2">
      <c r="A123" s="18"/>
      <c r="B123" s="21" t="s">
        <v>267</v>
      </c>
      <c r="C123" s="498" t="s">
        <v>270</v>
      </c>
      <c r="D123" s="499"/>
      <c r="E123" s="17">
        <v>4031.8</v>
      </c>
    </row>
    <row r="124" spans="1:5" x14ac:dyDescent="0.2">
      <c r="A124" s="18"/>
      <c r="B124" s="21" t="s">
        <v>268</v>
      </c>
      <c r="C124" s="498" t="s">
        <v>270</v>
      </c>
      <c r="D124" s="499"/>
      <c r="E124" s="17"/>
    </row>
    <row r="125" spans="1:5" ht="26" customHeight="1" x14ac:dyDescent="0.2">
      <c r="A125" s="18"/>
      <c r="B125" s="21" t="s">
        <v>269</v>
      </c>
      <c r="C125" s="498" t="s">
        <v>270</v>
      </c>
      <c r="D125" s="499"/>
      <c r="E125" s="17"/>
    </row>
    <row r="126" spans="1:5" x14ac:dyDescent="0.2">
      <c r="A126" s="22"/>
      <c r="B126" s="22"/>
      <c r="C126" s="490"/>
      <c r="D126" s="491"/>
      <c r="E126" s="23"/>
    </row>
    <row r="127" spans="1:5" x14ac:dyDescent="0.2">
      <c r="A127" s="24"/>
      <c r="B127" s="24"/>
      <c r="C127" s="492"/>
      <c r="D127" s="493"/>
      <c r="E127" s="25"/>
    </row>
    <row r="128" spans="1:5" x14ac:dyDescent="0.2">
      <c r="D128" s="26" t="s">
        <v>12</v>
      </c>
      <c r="E128" s="27">
        <f>SUM(E122:E127)</f>
        <v>4031.8</v>
      </c>
    </row>
    <row r="130" spans="1:5" x14ac:dyDescent="0.2">
      <c r="A130" t="str">
        <f>Summary!$G$9</f>
        <v>Contractor</v>
      </c>
    </row>
    <row r="134" spans="1:5" x14ac:dyDescent="0.2">
      <c r="C134" s="494" t="str">
        <f>Summary!$G$10</f>
        <v>Construction Manager</v>
      </c>
      <c r="D134" s="494"/>
      <c r="E134" s="494"/>
    </row>
    <row r="136" spans="1:5" x14ac:dyDescent="0.2">
      <c r="A136" s="5" t="str">
        <f>Summary!$G$11</f>
        <v>PIPELINE PROJECT</v>
      </c>
    </row>
    <row r="137" spans="1:5" x14ac:dyDescent="0.2">
      <c r="A137" s="5"/>
    </row>
    <row r="138" spans="1:5" x14ac:dyDescent="0.2">
      <c r="A138" s="5"/>
    </row>
    <row r="139" spans="1:5" x14ac:dyDescent="0.2">
      <c r="A139" s="5"/>
    </row>
    <row r="140" spans="1:5" x14ac:dyDescent="0.2">
      <c r="A140" s="5"/>
    </row>
    <row r="149" spans="1:5" ht="16" x14ac:dyDescent="0.2">
      <c r="A149" s="157" t="s">
        <v>89</v>
      </c>
    </row>
    <row r="150" spans="1:5" x14ac:dyDescent="0.2">
      <c r="A150" s="5"/>
    </row>
    <row r="152" spans="1:5" x14ac:dyDescent="0.2">
      <c r="A152" t="s">
        <v>0</v>
      </c>
      <c r="B152" t="s">
        <v>253</v>
      </c>
      <c r="D152" s="2" t="s">
        <v>64</v>
      </c>
      <c r="E152" s="3">
        <v>42429</v>
      </c>
    </row>
    <row r="153" spans="1:5" x14ac:dyDescent="0.2">
      <c r="A153" t="s">
        <v>1</v>
      </c>
      <c r="B153" s="4" t="s">
        <v>264</v>
      </c>
    </row>
    <row r="155" spans="1:5" x14ac:dyDescent="0.2">
      <c r="A155" s="9" t="s">
        <v>2</v>
      </c>
      <c r="B155" s="10"/>
      <c r="C155" s="495" t="s">
        <v>4</v>
      </c>
      <c r="D155" s="495"/>
      <c r="E155" s="12" t="s">
        <v>260</v>
      </c>
    </row>
    <row r="156" spans="1:5" x14ac:dyDescent="0.2">
      <c r="A156" s="351" t="s">
        <v>265</v>
      </c>
      <c r="B156" s="29" t="s">
        <v>266</v>
      </c>
      <c r="C156" s="496"/>
      <c r="D156" s="497"/>
      <c r="E156" s="17"/>
    </row>
    <row r="157" spans="1:5" x14ac:dyDescent="0.2">
      <c r="A157" s="18"/>
      <c r="B157" s="21" t="s">
        <v>267</v>
      </c>
      <c r="C157" s="498" t="s">
        <v>270</v>
      </c>
      <c r="D157" s="499"/>
      <c r="E157" s="17">
        <v>35207.68</v>
      </c>
    </row>
    <row r="158" spans="1:5" x14ac:dyDescent="0.2">
      <c r="A158" s="18"/>
      <c r="B158" s="21" t="s">
        <v>268</v>
      </c>
      <c r="C158" s="498" t="s">
        <v>270</v>
      </c>
      <c r="D158" s="499"/>
      <c r="E158" s="17"/>
    </row>
    <row r="159" spans="1:5" ht="26" customHeight="1" x14ac:dyDescent="0.2">
      <c r="A159" s="18"/>
      <c r="B159" s="21" t="s">
        <v>269</v>
      </c>
      <c r="C159" s="498" t="s">
        <v>270</v>
      </c>
      <c r="D159" s="499"/>
      <c r="E159" s="17"/>
    </row>
    <row r="160" spans="1:5" x14ac:dyDescent="0.2">
      <c r="A160" s="22"/>
      <c r="B160" s="22"/>
      <c r="C160" s="490"/>
      <c r="D160" s="491"/>
      <c r="E160" s="23"/>
    </row>
    <row r="161" spans="1:5" x14ac:dyDescent="0.2">
      <c r="A161" s="24"/>
      <c r="B161" s="24"/>
      <c r="C161" s="492"/>
      <c r="D161" s="493"/>
      <c r="E161" s="25"/>
    </row>
    <row r="162" spans="1:5" x14ac:dyDescent="0.2">
      <c r="D162" s="26" t="s">
        <v>12</v>
      </c>
      <c r="E162" s="27">
        <f>SUM(E156:E161)</f>
        <v>35207.68</v>
      </c>
    </row>
    <row r="164" spans="1:5" x14ac:dyDescent="0.2">
      <c r="A164" t="str">
        <f>Summary!$G$9</f>
        <v>Contractor</v>
      </c>
    </row>
    <row r="168" spans="1:5" x14ac:dyDescent="0.2">
      <c r="C168" s="494" t="str">
        <f>Summary!$G$10</f>
        <v>Construction Manager</v>
      </c>
      <c r="D168" s="494"/>
      <c r="E168" s="494"/>
    </row>
    <row r="170" spans="1:5" x14ac:dyDescent="0.2">
      <c r="A170" s="5" t="str">
        <f>Summary!$G$11</f>
        <v>PIPELINE PROJECT</v>
      </c>
    </row>
    <row r="171" spans="1:5" x14ac:dyDescent="0.2">
      <c r="A171" s="5"/>
    </row>
    <row r="172" spans="1:5" x14ac:dyDescent="0.2">
      <c r="A172" s="5"/>
    </row>
    <row r="173" spans="1:5" x14ac:dyDescent="0.2">
      <c r="A173" s="5"/>
    </row>
    <row r="174" spans="1:5" x14ac:dyDescent="0.2">
      <c r="A174" s="5"/>
    </row>
    <row r="183" spans="1:5" ht="16" x14ac:dyDescent="0.2">
      <c r="A183" s="157" t="s">
        <v>89</v>
      </c>
    </row>
    <row r="184" spans="1:5" x14ac:dyDescent="0.2">
      <c r="A184" s="5"/>
    </row>
    <row r="186" spans="1:5" x14ac:dyDescent="0.2">
      <c r="A186" t="s">
        <v>0</v>
      </c>
      <c r="B186" t="s">
        <v>253</v>
      </c>
      <c r="D186" s="2" t="s">
        <v>64</v>
      </c>
      <c r="E186" s="3">
        <v>42444</v>
      </c>
    </row>
    <row r="187" spans="1:5" x14ac:dyDescent="0.2">
      <c r="A187" t="s">
        <v>1</v>
      </c>
      <c r="B187" s="4" t="s">
        <v>264</v>
      </c>
    </row>
    <row r="189" spans="1:5" x14ac:dyDescent="0.2">
      <c r="A189" s="9" t="s">
        <v>2</v>
      </c>
      <c r="B189" s="10"/>
      <c r="C189" s="495" t="s">
        <v>4</v>
      </c>
      <c r="D189" s="495"/>
      <c r="E189" s="12" t="s">
        <v>260</v>
      </c>
    </row>
    <row r="190" spans="1:5" x14ac:dyDescent="0.2">
      <c r="A190" s="351" t="s">
        <v>265</v>
      </c>
      <c r="B190" s="29" t="s">
        <v>266</v>
      </c>
      <c r="C190" s="496"/>
      <c r="D190" s="497"/>
      <c r="E190" s="17"/>
    </row>
    <row r="191" spans="1:5" x14ac:dyDescent="0.2">
      <c r="A191" s="18"/>
      <c r="B191" s="21" t="s">
        <v>267</v>
      </c>
      <c r="C191" s="498" t="s">
        <v>270</v>
      </c>
      <c r="D191" s="499"/>
      <c r="E191" s="17">
        <v>3361.32</v>
      </c>
    </row>
    <row r="192" spans="1:5" x14ac:dyDescent="0.2">
      <c r="A192" s="18"/>
      <c r="B192" s="21" t="s">
        <v>268</v>
      </c>
      <c r="C192" s="498" t="s">
        <v>270</v>
      </c>
      <c r="D192" s="499"/>
      <c r="E192" s="17"/>
    </row>
    <row r="193" spans="1:5" ht="26" customHeight="1" x14ac:dyDescent="0.2">
      <c r="A193" s="18"/>
      <c r="B193" s="21" t="s">
        <v>269</v>
      </c>
      <c r="C193" s="498" t="s">
        <v>270</v>
      </c>
      <c r="D193" s="499"/>
      <c r="E193" s="17"/>
    </row>
    <row r="194" spans="1:5" x14ac:dyDescent="0.2">
      <c r="A194" s="22"/>
      <c r="B194" s="22"/>
      <c r="C194" s="490"/>
      <c r="D194" s="491"/>
      <c r="E194" s="23"/>
    </row>
    <row r="195" spans="1:5" x14ac:dyDescent="0.2">
      <c r="A195" s="24"/>
      <c r="B195" s="24"/>
      <c r="C195" s="492"/>
      <c r="D195" s="493"/>
      <c r="E195" s="25"/>
    </row>
    <row r="196" spans="1:5" x14ac:dyDescent="0.2">
      <c r="D196" s="26" t="s">
        <v>12</v>
      </c>
      <c r="E196" s="27">
        <f>SUM(E190:E195)</f>
        <v>3361.32</v>
      </c>
    </row>
    <row r="198" spans="1:5" x14ac:dyDescent="0.2">
      <c r="A198" t="str">
        <f>Summary!$G$9</f>
        <v>Contractor</v>
      </c>
    </row>
    <row r="202" spans="1:5" x14ac:dyDescent="0.2">
      <c r="C202" s="494" t="str">
        <f>Summary!$G$10</f>
        <v>Construction Manager</v>
      </c>
      <c r="D202" s="494"/>
      <c r="E202" s="494"/>
    </row>
    <row r="204" spans="1:5" x14ac:dyDescent="0.2">
      <c r="A204" s="5" t="str">
        <f>Summary!$G$11</f>
        <v>PIPELINE PROJECT</v>
      </c>
    </row>
    <row r="205" spans="1:5" x14ac:dyDescent="0.2">
      <c r="A205" s="5"/>
    </row>
    <row r="206" spans="1:5" x14ac:dyDescent="0.2">
      <c r="A206" s="5"/>
    </row>
    <row r="207" spans="1:5" x14ac:dyDescent="0.2">
      <c r="A207" s="5"/>
    </row>
    <row r="208" spans="1:5" x14ac:dyDescent="0.2">
      <c r="A208" s="5"/>
    </row>
    <row r="217" spans="1:5" ht="16" x14ac:dyDescent="0.2">
      <c r="A217" s="157" t="s">
        <v>89</v>
      </c>
    </row>
    <row r="218" spans="1:5" x14ac:dyDescent="0.2">
      <c r="A218" s="5"/>
    </row>
    <row r="220" spans="1:5" x14ac:dyDescent="0.2">
      <c r="A220" t="s">
        <v>0</v>
      </c>
      <c r="B220" t="s">
        <v>253</v>
      </c>
      <c r="D220" s="2" t="s">
        <v>64</v>
      </c>
      <c r="E220" s="3">
        <f>Summary!$G$3</f>
        <v>42505</v>
      </c>
    </row>
    <row r="221" spans="1:5" x14ac:dyDescent="0.2">
      <c r="A221" t="s">
        <v>1</v>
      </c>
      <c r="B221" s="4" t="s">
        <v>264</v>
      </c>
    </row>
    <row r="223" spans="1:5" x14ac:dyDescent="0.2">
      <c r="A223" s="9" t="s">
        <v>2</v>
      </c>
      <c r="B223" s="10"/>
      <c r="C223" s="495" t="s">
        <v>4</v>
      </c>
      <c r="D223" s="495"/>
      <c r="E223" s="12" t="s">
        <v>260</v>
      </c>
    </row>
    <row r="224" spans="1:5" x14ac:dyDescent="0.2">
      <c r="A224" s="351" t="s">
        <v>265</v>
      </c>
      <c r="B224" s="29" t="s">
        <v>266</v>
      </c>
      <c r="C224" s="496"/>
      <c r="D224" s="497"/>
      <c r="E224" s="17"/>
    </row>
    <row r="225" spans="1:5" x14ac:dyDescent="0.2">
      <c r="A225" s="18"/>
      <c r="B225" s="21" t="s">
        <v>267</v>
      </c>
      <c r="C225" s="498" t="s">
        <v>270</v>
      </c>
      <c r="D225" s="499"/>
      <c r="E225" s="17">
        <v>3271.42</v>
      </c>
    </row>
    <row r="226" spans="1:5" x14ac:dyDescent="0.2">
      <c r="A226" s="18"/>
      <c r="B226" s="21" t="s">
        <v>268</v>
      </c>
      <c r="C226" s="498" t="s">
        <v>270</v>
      </c>
      <c r="D226" s="499"/>
      <c r="E226" s="17"/>
    </row>
    <row r="227" spans="1:5" ht="26" customHeight="1" x14ac:dyDescent="0.2">
      <c r="A227" s="18"/>
      <c r="B227" s="21" t="s">
        <v>269</v>
      </c>
      <c r="C227" s="498" t="s">
        <v>270</v>
      </c>
      <c r="D227" s="499"/>
      <c r="E227" s="17"/>
    </row>
    <row r="228" spans="1:5" x14ac:dyDescent="0.2">
      <c r="A228" s="22"/>
      <c r="B228" s="22"/>
      <c r="C228" s="490"/>
      <c r="D228" s="491"/>
      <c r="E228" s="23"/>
    </row>
    <row r="229" spans="1:5" x14ac:dyDescent="0.2">
      <c r="A229" s="24"/>
      <c r="B229" s="24"/>
      <c r="C229" s="492"/>
      <c r="D229" s="493"/>
      <c r="E229" s="25"/>
    </row>
    <row r="230" spans="1:5" x14ac:dyDescent="0.2">
      <c r="D230" s="26" t="s">
        <v>12</v>
      </c>
      <c r="E230" s="27">
        <f>SUM(E224:E229)</f>
        <v>3271.42</v>
      </c>
    </row>
    <row r="232" spans="1:5" x14ac:dyDescent="0.2">
      <c r="A232" t="str">
        <f>Summary!$G$9</f>
        <v>Contractor</v>
      </c>
    </row>
    <row r="236" spans="1:5" x14ac:dyDescent="0.2">
      <c r="C236" s="494" t="str">
        <f>Summary!$G$10</f>
        <v>Construction Manager</v>
      </c>
      <c r="D236" s="494"/>
      <c r="E236" s="494"/>
    </row>
  </sheetData>
  <mergeCells count="56">
    <mergeCell ref="C194:D194"/>
    <mergeCell ref="C195:D195"/>
    <mergeCell ref="C202:E202"/>
    <mergeCell ref="C189:D189"/>
    <mergeCell ref="C190:D190"/>
    <mergeCell ref="C191:D191"/>
    <mergeCell ref="C192:D192"/>
    <mergeCell ref="C193:D193"/>
    <mergeCell ref="C160:D160"/>
    <mergeCell ref="C161:D161"/>
    <mergeCell ref="C168:E168"/>
    <mergeCell ref="C155:D155"/>
    <mergeCell ref="C156:D156"/>
    <mergeCell ref="C157:D157"/>
    <mergeCell ref="C158:D158"/>
    <mergeCell ref="C159:D159"/>
    <mergeCell ref="C92:D92"/>
    <mergeCell ref="C93:D93"/>
    <mergeCell ref="C100:E100"/>
    <mergeCell ref="C87:D87"/>
    <mergeCell ref="C88:D88"/>
    <mergeCell ref="C89:D89"/>
    <mergeCell ref="C90:D90"/>
    <mergeCell ref="C91:D91"/>
    <mergeCell ref="C32:E32"/>
    <mergeCell ref="C19:D19"/>
    <mergeCell ref="C20:D20"/>
    <mergeCell ref="C21:D21"/>
    <mergeCell ref="C22:D22"/>
    <mergeCell ref="C23:D23"/>
    <mergeCell ref="C24:D24"/>
    <mergeCell ref="C25:D25"/>
    <mergeCell ref="C58:D58"/>
    <mergeCell ref="C59:D59"/>
    <mergeCell ref="C66:E66"/>
    <mergeCell ref="C53:D53"/>
    <mergeCell ref="C54:D54"/>
    <mergeCell ref="C55:D55"/>
    <mergeCell ref="C56:D56"/>
    <mergeCell ref="C57:D57"/>
    <mergeCell ref="C126:D126"/>
    <mergeCell ref="C127:D127"/>
    <mergeCell ref="C134:E134"/>
    <mergeCell ref="C121:D121"/>
    <mergeCell ref="C122:D122"/>
    <mergeCell ref="C123:D123"/>
    <mergeCell ref="C124:D124"/>
    <mergeCell ref="C125:D125"/>
    <mergeCell ref="C228:D228"/>
    <mergeCell ref="C229:D229"/>
    <mergeCell ref="C236:E236"/>
    <mergeCell ref="C223:D223"/>
    <mergeCell ref="C224:D224"/>
    <mergeCell ref="C225:D225"/>
    <mergeCell ref="C226:D226"/>
    <mergeCell ref="C227:D227"/>
  </mergeCells>
  <phoneticPr fontId="26" type="noConversion"/>
  <pageMargins left="1.8811023622047243" right="0.70000000000000007" top="0.75000000000000011" bottom="0.75000000000000011" header="0.30000000000000004" footer="0.30000000000000004"/>
  <pageSetup scale="96" orientation="landscape" verticalDpi="1200"/>
  <rowBreaks count="6" manualBreakCount="6">
    <brk id="33" max="16383" man="1"/>
    <brk id="67" max="16383" man="1"/>
    <brk id="101" max="16383" man="1"/>
    <brk id="134" max="16383" man="1"/>
    <brk id="169" max="16383" man="1"/>
    <brk id="237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631"/>
  <sheetViews>
    <sheetView topLeftCell="A611" zoomScale="125" zoomScaleNormal="125" zoomScalePageLayoutView="125" workbookViewId="0">
      <selection activeCell="F198" sqref="F198"/>
    </sheetView>
  </sheetViews>
  <sheetFormatPr baseColWidth="10" defaultColWidth="8.83203125" defaultRowHeight="15" x14ac:dyDescent="0.2"/>
  <cols>
    <col min="1" max="1" width="10" customWidth="1"/>
    <col min="2" max="2" width="33.1640625" customWidth="1"/>
    <col min="3" max="3" width="9.5" customWidth="1"/>
    <col min="4" max="4" width="9.1640625" customWidth="1"/>
    <col min="5" max="5" width="8" customWidth="1"/>
    <col min="6" max="6" width="14.33203125" customWidth="1"/>
    <col min="7" max="7" width="9.33203125" customWidth="1"/>
  </cols>
  <sheetData>
    <row r="1" spans="1:6" x14ac:dyDescent="0.2">
      <c r="A1" s="5" t="str">
        <f>Summary!$G$11</f>
        <v>PIPELINE PROJECT</v>
      </c>
    </row>
    <row r="13" spans="1:6" ht="16" x14ac:dyDescent="0.2">
      <c r="A13" s="157" t="s">
        <v>89</v>
      </c>
    </row>
    <row r="14" spans="1:6" x14ac:dyDescent="0.2">
      <c r="A14" s="5"/>
    </row>
    <row r="16" spans="1:6" x14ac:dyDescent="0.2">
      <c r="A16" t="s">
        <v>0</v>
      </c>
      <c r="E16" s="2" t="s">
        <v>64</v>
      </c>
      <c r="F16" s="3">
        <v>42353</v>
      </c>
    </row>
    <row r="17" spans="1:6" x14ac:dyDescent="0.2">
      <c r="A17" t="s">
        <v>1</v>
      </c>
      <c r="B17" s="160" t="s">
        <v>254</v>
      </c>
    </row>
    <row r="19" spans="1:6" x14ac:dyDescent="0.2">
      <c r="A19" s="9" t="s">
        <v>2</v>
      </c>
      <c r="B19" s="10"/>
      <c r="C19" s="11" t="s">
        <v>4</v>
      </c>
      <c r="D19" s="11" t="s">
        <v>3</v>
      </c>
      <c r="E19" s="11" t="s">
        <v>8</v>
      </c>
      <c r="F19" s="12" t="s">
        <v>260</v>
      </c>
    </row>
    <row r="20" spans="1:6" ht="14.5" customHeight="1" x14ac:dyDescent="0.2">
      <c r="A20" s="352" t="s">
        <v>255</v>
      </c>
      <c r="B20" s="115" t="s">
        <v>261</v>
      </c>
      <c r="C20" s="14"/>
      <c r="D20" s="15"/>
      <c r="E20" s="116"/>
      <c r="F20" s="188"/>
    </row>
    <row r="21" spans="1:6" x14ac:dyDescent="0.2">
      <c r="A21" s="18"/>
      <c r="B21" s="21" t="s">
        <v>256</v>
      </c>
      <c r="C21" s="19" t="s">
        <v>54</v>
      </c>
      <c r="D21" s="20">
        <v>51.48</v>
      </c>
      <c r="E21" s="36"/>
      <c r="F21" s="188"/>
    </row>
    <row r="22" spans="1:6" x14ac:dyDescent="0.2">
      <c r="A22" s="18"/>
      <c r="B22" s="21" t="s">
        <v>257</v>
      </c>
      <c r="C22" s="19" t="s">
        <v>54</v>
      </c>
      <c r="D22" s="20">
        <v>71.48</v>
      </c>
      <c r="E22" s="36">
        <v>318.98</v>
      </c>
      <c r="F22" s="188">
        <f>E22*D22</f>
        <v>22800.690400000003</v>
      </c>
    </row>
    <row r="23" spans="1:6" x14ac:dyDescent="0.2">
      <c r="A23" s="24"/>
      <c r="B23" s="24"/>
      <c r="C23" s="136"/>
      <c r="D23" s="137"/>
      <c r="E23" s="22"/>
      <c r="F23" s="188"/>
    </row>
    <row r="24" spans="1:6" x14ac:dyDescent="0.2">
      <c r="E24" s="26" t="s">
        <v>12</v>
      </c>
      <c r="F24" s="190">
        <f>SUM(F20:F23)</f>
        <v>22800.690400000003</v>
      </c>
    </row>
    <row r="26" spans="1:6" x14ac:dyDescent="0.2">
      <c r="A26" t="str">
        <f>Summary!$G$9</f>
        <v>Contractor</v>
      </c>
    </row>
    <row r="30" spans="1:6" x14ac:dyDescent="0.2">
      <c r="C30" s="494" t="str">
        <f>Summary!$G$10</f>
        <v>Construction Manager</v>
      </c>
      <c r="D30" s="494"/>
      <c r="E30" s="494"/>
      <c r="F30" s="494"/>
    </row>
    <row r="31" spans="1:6" x14ac:dyDescent="0.2">
      <c r="C31" s="346"/>
      <c r="D31" s="346"/>
      <c r="E31" s="346"/>
      <c r="F31" s="346"/>
    </row>
    <row r="32" spans="1:6" x14ac:dyDescent="0.2">
      <c r="C32" s="346"/>
      <c r="D32" s="346"/>
      <c r="E32" s="346"/>
      <c r="F32" s="346"/>
    </row>
    <row r="33" spans="2:6" x14ac:dyDescent="0.2">
      <c r="C33" s="346"/>
      <c r="D33" s="346"/>
      <c r="E33" s="346"/>
      <c r="F33" s="346"/>
    </row>
    <row r="35" spans="2:6" x14ac:dyDescent="0.2">
      <c r="B35" s="2" t="s">
        <v>258</v>
      </c>
      <c r="C35" s="348" t="s">
        <v>250</v>
      </c>
      <c r="D35" s="348" t="s">
        <v>185</v>
      </c>
      <c r="E35" s="349" t="s">
        <v>259</v>
      </c>
    </row>
    <row r="36" spans="2:6" x14ac:dyDescent="0.2">
      <c r="B36" s="2" t="s">
        <v>283</v>
      </c>
      <c r="C36" s="350">
        <v>51804</v>
      </c>
      <c r="D36" s="350">
        <v>51835</v>
      </c>
      <c r="E36" s="359">
        <f>ABS(C36-D36)</f>
        <v>31</v>
      </c>
    </row>
    <row r="37" spans="2:6" x14ac:dyDescent="0.2">
      <c r="B37" s="2"/>
      <c r="C37" s="350">
        <v>51967.5</v>
      </c>
      <c r="D37" s="350">
        <v>51978</v>
      </c>
      <c r="E37" s="359">
        <f t="shared" ref="E37:E46" si="0">ABS(C37-D37)</f>
        <v>10.5</v>
      </c>
    </row>
    <row r="38" spans="2:6" x14ac:dyDescent="0.2">
      <c r="C38" s="350">
        <v>52144.4</v>
      </c>
      <c r="D38" s="350">
        <v>52154.7</v>
      </c>
      <c r="E38" s="359">
        <f t="shared" si="0"/>
        <v>10.299999999995634</v>
      </c>
    </row>
    <row r="39" spans="2:6" x14ac:dyDescent="0.2">
      <c r="C39" s="350">
        <v>52233.1</v>
      </c>
      <c r="D39" s="350">
        <v>52269.3</v>
      </c>
      <c r="E39" s="359">
        <f t="shared" si="0"/>
        <v>36.200000000004366</v>
      </c>
    </row>
    <row r="40" spans="2:6" x14ac:dyDescent="0.2">
      <c r="C40" s="350">
        <v>52269.3</v>
      </c>
      <c r="D40" s="350">
        <v>52280</v>
      </c>
      <c r="E40" s="359">
        <f t="shared" si="0"/>
        <v>10.69999999999709</v>
      </c>
    </row>
    <row r="41" spans="2:6" x14ac:dyDescent="0.2">
      <c r="C41" s="350">
        <v>52307</v>
      </c>
      <c r="D41" s="350">
        <v>52338.2</v>
      </c>
      <c r="E41" s="359">
        <f t="shared" si="0"/>
        <v>31.19999999999709</v>
      </c>
    </row>
    <row r="42" spans="2:6" x14ac:dyDescent="0.2">
      <c r="C42" s="350">
        <v>52746.9</v>
      </c>
      <c r="D42" s="350">
        <v>52756.3</v>
      </c>
      <c r="E42" s="359">
        <f t="shared" si="0"/>
        <v>9.4000000000014552</v>
      </c>
    </row>
    <row r="43" spans="2:6" x14ac:dyDescent="0.2">
      <c r="C43" s="350">
        <v>52904.6</v>
      </c>
      <c r="D43" s="350">
        <v>52923</v>
      </c>
      <c r="E43" s="359">
        <f t="shared" si="0"/>
        <v>18.400000000001455</v>
      </c>
      <c r="F43">
        <f>SUM(E36:E43)</f>
        <v>157.69999999999709</v>
      </c>
    </row>
    <row r="44" spans="2:6" x14ac:dyDescent="0.2">
      <c r="C44" s="350"/>
      <c r="D44" s="350"/>
    </row>
    <row r="45" spans="2:6" x14ac:dyDescent="0.2">
      <c r="B45" s="2" t="s">
        <v>284</v>
      </c>
      <c r="C45" s="350">
        <v>53113</v>
      </c>
      <c r="D45" s="350">
        <v>53166</v>
      </c>
      <c r="E45" s="359">
        <f t="shared" si="0"/>
        <v>53</v>
      </c>
    </row>
    <row r="46" spans="2:6" x14ac:dyDescent="0.2">
      <c r="C46" s="350">
        <v>52545</v>
      </c>
      <c r="D46" s="350">
        <v>52617</v>
      </c>
      <c r="E46" s="359">
        <f t="shared" si="0"/>
        <v>72</v>
      </c>
      <c r="F46">
        <f>SUM(E45:E46)</f>
        <v>125</v>
      </c>
    </row>
    <row r="47" spans="2:6" x14ac:dyDescent="0.2">
      <c r="C47" s="350"/>
      <c r="D47" s="350"/>
    </row>
    <row r="48" spans="2:6" x14ac:dyDescent="0.2">
      <c r="B48" s="2" t="s">
        <v>300</v>
      </c>
      <c r="C48" s="350">
        <v>54697.62</v>
      </c>
      <c r="D48" s="350">
        <v>54724.37</v>
      </c>
      <c r="E48">
        <f t="shared" ref="E48:E49" si="1">ABS(C48-D48)</f>
        <v>26.75</v>
      </c>
    </row>
    <row r="49" spans="1:6" x14ac:dyDescent="0.2">
      <c r="C49" s="350">
        <v>54229.8</v>
      </c>
      <c r="D49" s="350">
        <v>54239.33</v>
      </c>
      <c r="E49" s="359">
        <f t="shared" si="1"/>
        <v>9.5299999999988358</v>
      </c>
      <c r="F49">
        <f>SUM(E48:E49)</f>
        <v>36.279999999998836</v>
      </c>
    </row>
    <row r="50" spans="1:6" x14ac:dyDescent="0.2">
      <c r="C50" s="350"/>
      <c r="D50" s="350"/>
    </row>
    <row r="51" spans="1:6" x14ac:dyDescent="0.2">
      <c r="C51" s="347"/>
      <c r="D51" s="347" t="s">
        <v>18</v>
      </c>
      <c r="E51">
        <f>SUM(E35:E50)</f>
        <v>318.97999999999593</v>
      </c>
      <c r="F51">
        <f>SUM(F43:F50)</f>
        <v>318.97999999999593</v>
      </c>
    </row>
    <row r="52" spans="1:6" x14ac:dyDescent="0.2">
      <c r="C52" s="347"/>
      <c r="D52" s="347"/>
    </row>
    <row r="53" spans="1:6" x14ac:dyDescent="0.2">
      <c r="A53" s="5" t="str">
        <f>Summary!$G$11</f>
        <v>PIPELINE PROJECT</v>
      </c>
    </row>
    <row r="65" spans="1:6" ht="16" x14ac:dyDescent="0.2">
      <c r="A65" s="157" t="s">
        <v>89</v>
      </c>
    </row>
    <row r="66" spans="1:6" x14ac:dyDescent="0.2">
      <c r="A66" s="5"/>
    </row>
    <row r="68" spans="1:6" x14ac:dyDescent="0.2">
      <c r="A68" t="s">
        <v>0</v>
      </c>
      <c r="E68" s="2" t="s">
        <v>64</v>
      </c>
      <c r="F68" s="3">
        <v>42369</v>
      </c>
    </row>
    <row r="69" spans="1:6" x14ac:dyDescent="0.2">
      <c r="A69" t="s">
        <v>1</v>
      </c>
      <c r="B69" s="160" t="s">
        <v>254</v>
      </c>
    </row>
    <row r="71" spans="1:6" x14ac:dyDescent="0.2">
      <c r="A71" s="9" t="s">
        <v>2</v>
      </c>
      <c r="B71" s="10"/>
      <c r="C71" s="11" t="s">
        <v>4</v>
      </c>
      <c r="D71" s="11" t="s">
        <v>3</v>
      </c>
      <c r="E71" s="11" t="s">
        <v>8</v>
      </c>
      <c r="F71" s="12" t="s">
        <v>260</v>
      </c>
    </row>
    <row r="72" spans="1:6" ht="14.5" customHeight="1" x14ac:dyDescent="0.2">
      <c r="A72" s="352" t="s">
        <v>255</v>
      </c>
      <c r="B72" s="115" t="s">
        <v>261</v>
      </c>
      <c r="C72" s="14"/>
      <c r="D72" s="15"/>
      <c r="E72" s="116"/>
      <c r="F72" s="188"/>
    </row>
    <row r="73" spans="1:6" x14ac:dyDescent="0.2">
      <c r="A73" s="18"/>
      <c r="B73" s="21" t="s">
        <v>256</v>
      </c>
      <c r="C73" s="19" t="s">
        <v>54</v>
      </c>
      <c r="D73" s="20">
        <v>51.48</v>
      </c>
      <c r="E73" s="36"/>
      <c r="F73" s="188"/>
    </row>
    <row r="74" spans="1:6" x14ac:dyDescent="0.2">
      <c r="A74" s="18"/>
      <c r="B74" s="21" t="s">
        <v>257</v>
      </c>
      <c r="C74" s="19" t="s">
        <v>54</v>
      </c>
      <c r="D74" s="20">
        <v>71.48</v>
      </c>
      <c r="E74" s="36">
        <f>E97</f>
        <v>292.60999999999331</v>
      </c>
      <c r="F74" s="188">
        <f>E74*D74</f>
        <v>20915.762799999524</v>
      </c>
    </row>
    <row r="75" spans="1:6" x14ac:dyDescent="0.2">
      <c r="A75" s="24"/>
      <c r="B75" s="24"/>
      <c r="C75" s="136"/>
      <c r="D75" s="137"/>
      <c r="E75" s="22"/>
      <c r="F75" s="188"/>
    </row>
    <row r="76" spans="1:6" x14ac:dyDescent="0.2">
      <c r="E76" s="26" t="s">
        <v>12</v>
      </c>
      <c r="F76" s="190">
        <f>SUM(F72:F75)</f>
        <v>20915.762799999524</v>
      </c>
    </row>
    <row r="78" spans="1:6" x14ac:dyDescent="0.2">
      <c r="A78" t="str">
        <f>Summary!$G$9</f>
        <v>Contractor</v>
      </c>
    </row>
    <row r="82" spans="2:10" x14ac:dyDescent="0.2">
      <c r="C82" s="494" t="str">
        <f>Summary!$G$10</f>
        <v>Construction Manager</v>
      </c>
      <c r="D82" s="494"/>
      <c r="E82" s="494"/>
      <c r="F82" s="494"/>
    </row>
    <row r="83" spans="2:10" x14ac:dyDescent="0.2">
      <c r="C83" s="346"/>
      <c r="D83" s="346"/>
      <c r="E83" s="346"/>
      <c r="F83" s="346"/>
    </row>
    <row r="84" spans="2:10" x14ac:dyDescent="0.2">
      <c r="C84" s="346"/>
      <c r="D84" s="346"/>
      <c r="E84" s="346"/>
      <c r="F84" s="346"/>
    </row>
    <row r="85" spans="2:10" x14ac:dyDescent="0.2">
      <c r="C85" s="346"/>
      <c r="D85" s="346"/>
      <c r="E85" s="346"/>
      <c r="F85" s="346"/>
    </row>
    <row r="87" spans="2:10" x14ac:dyDescent="0.2">
      <c r="B87" s="2" t="s">
        <v>258</v>
      </c>
      <c r="C87" s="348" t="s">
        <v>250</v>
      </c>
      <c r="D87" s="348" t="s">
        <v>185</v>
      </c>
      <c r="E87" s="349" t="s">
        <v>259</v>
      </c>
      <c r="H87" t="s">
        <v>364</v>
      </c>
    </row>
    <row r="88" spans="2:10" x14ac:dyDescent="0.2">
      <c r="B88" s="375">
        <v>42723</v>
      </c>
      <c r="C88" s="376">
        <v>54463</v>
      </c>
      <c r="D88" s="376">
        <v>54538</v>
      </c>
      <c r="E88" s="365">
        <f>ABS(C88-D88)</f>
        <v>75</v>
      </c>
      <c r="F88" s="359">
        <v>75</v>
      </c>
      <c r="G88" s="359" t="s">
        <v>362</v>
      </c>
      <c r="H88" s="377" t="s">
        <v>365</v>
      </c>
      <c r="J88" t="s">
        <v>383</v>
      </c>
    </row>
    <row r="89" spans="2:10" x14ac:dyDescent="0.2">
      <c r="B89" s="378">
        <v>42722</v>
      </c>
      <c r="C89" s="376">
        <v>57556</v>
      </c>
      <c r="D89" s="376">
        <v>57574.84</v>
      </c>
      <c r="E89" s="365">
        <f t="shared" ref="E89:E91" si="2">ABS(C89-D89)</f>
        <v>18.839999999996508</v>
      </c>
      <c r="F89" s="359">
        <v>18.84</v>
      </c>
      <c r="G89" s="359" t="s">
        <v>363</v>
      </c>
      <c r="H89" s="377" t="s">
        <v>370</v>
      </c>
    </row>
    <row r="90" spans="2:10" x14ac:dyDescent="0.2">
      <c r="B90" s="378">
        <v>42722</v>
      </c>
      <c r="C90" s="376">
        <v>57595.16</v>
      </c>
      <c r="D90" s="376">
        <v>57604.41</v>
      </c>
      <c r="E90" s="365">
        <f t="shared" si="2"/>
        <v>9.25</v>
      </c>
      <c r="F90" s="359">
        <v>9.25</v>
      </c>
      <c r="G90" s="359" t="s">
        <v>363</v>
      </c>
      <c r="H90" s="377" t="s">
        <v>370</v>
      </c>
    </row>
    <row r="91" spans="2:10" x14ac:dyDescent="0.2">
      <c r="B91" s="378">
        <v>42722</v>
      </c>
      <c r="C91" s="376">
        <v>57622.16</v>
      </c>
      <c r="D91" s="376">
        <v>57631.44</v>
      </c>
      <c r="E91" s="365">
        <f t="shared" si="2"/>
        <v>9.2799999999988358</v>
      </c>
      <c r="F91" s="359">
        <v>9.2799999999999994</v>
      </c>
      <c r="G91" s="359" t="s">
        <v>363</v>
      </c>
      <c r="H91" s="377" t="s">
        <v>370</v>
      </c>
    </row>
    <row r="92" spans="2:10" x14ac:dyDescent="0.2">
      <c r="B92" s="378">
        <v>42724</v>
      </c>
      <c r="C92" s="376">
        <v>65267</v>
      </c>
      <c r="D92" s="376">
        <v>65411</v>
      </c>
      <c r="E92" s="365">
        <f>ABS(C92-D92)</f>
        <v>144</v>
      </c>
      <c r="F92" s="359">
        <v>144</v>
      </c>
      <c r="G92" s="359" t="s">
        <v>363</v>
      </c>
      <c r="H92" s="377" t="s">
        <v>370</v>
      </c>
    </row>
    <row r="93" spans="2:10" x14ac:dyDescent="0.2">
      <c r="B93" s="154"/>
      <c r="C93" s="350"/>
      <c r="D93" s="350"/>
      <c r="E93" s="8"/>
      <c r="F93" s="8"/>
      <c r="H93" s="367"/>
    </row>
    <row r="94" spans="2:10" x14ac:dyDescent="0.2">
      <c r="B94" s="375">
        <v>42723</v>
      </c>
      <c r="C94" s="376">
        <v>60007.19</v>
      </c>
      <c r="D94" s="376">
        <v>60043.43</v>
      </c>
      <c r="E94" s="365">
        <f>ABS(C94-D94)</f>
        <v>36.239999999997963</v>
      </c>
      <c r="F94" s="359">
        <v>36.24</v>
      </c>
      <c r="G94" s="359" t="s">
        <v>363</v>
      </c>
      <c r="H94" s="377" t="s">
        <v>366</v>
      </c>
    </row>
    <row r="95" spans="2:10" x14ac:dyDescent="0.2">
      <c r="B95" s="366"/>
      <c r="C95" s="350"/>
      <c r="D95" s="350"/>
      <c r="E95" s="8"/>
      <c r="H95" s="367"/>
    </row>
    <row r="96" spans="2:10" x14ac:dyDescent="0.2">
      <c r="C96" s="350"/>
      <c r="D96" s="350"/>
      <c r="E96" s="8"/>
      <c r="H96" s="367"/>
    </row>
    <row r="97" spans="1:6" x14ac:dyDescent="0.2">
      <c r="C97" s="347"/>
      <c r="D97" s="347" t="s">
        <v>18</v>
      </c>
      <c r="E97">
        <f>SUM(E87:E96)</f>
        <v>292.60999999999331</v>
      </c>
      <c r="F97">
        <f>SUM(F88:F96)</f>
        <v>292.61</v>
      </c>
    </row>
    <row r="98" spans="1:6" x14ac:dyDescent="0.2">
      <c r="C98" s="347"/>
      <c r="D98" s="347"/>
    </row>
    <row r="99" spans="1:6" x14ac:dyDescent="0.2">
      <c r="A99" s="5" t="str">
        <f>Summary!$G$11</f>
        <v>PIPELINE PROJECT</v>
      </c>
    </row>
    <row r="111" spans="1:6" ht="16" x14ac:dyDescent="0.2">
      <c r="A111" s="157" t="s">
        <v>89</v>
      </c>
    </row>
    <row r="112" spans="1:6" x14ac:dyDescent="0.2">
      <c r="A112" s="5"/>
    </row>
    <row r="114" spans="1:6" x14ac:dyDescent="0.2">
      <c r="A114" t="s">
        <v>0</v>
      </c>
      <c r="E114" s="2" t="s">
        <v>64</v>
      </c>
      <c r="F114" s="3">
        <v>42384</v>
      </c>
    </row>
    <row r="115" spans="1:6" x14ac:dyDescent="0.2">
      <c r="A115" t="s">
        <v>1</v>
      </c>
      <c r="B115" s="160" t="s">
        <v>254</v>
      </c>
    </row>
    <row r="117" spans="1:6" x14ac:dyDescent="0.2">
      <c r="A117" s="9" t="s">
        <v>2</v>
      </c>
      <c r="B117" s="10"/>
      <c r="C117" s="11" t="s">
        <v>4</v>
      </c>
      <c r="D117" s="11" t="s">
        <v>3</v>
      </c>
      <c r="E117" s="11" t="s">
        <v>8</v>
      </c>
      <c r="F117" s="12" t="s">
        <v>260</v>
      </c>
    </row>
    <row r="118" spans="1:6" ht="14.5" customHeight="1" x14ac:dyDescent="0.2">
      <c r="A118" s="352" t="s">
        <v>255</v>
      </c>
      <c r="B118" s="115" t="s">
        <v>261</v>
      </c>
      <c r="C118" s="14"/>
      <c r="D118" s="15"/>
      <c r="E118" s="116"/>
      <c r="F118" s="188"/>
    </row>
    <row r="119" spans="1:6" x14ac:dyDescent="0.2">
      <c r="A119" s="18"/>
      <c r="B119" s="21" t="s">
        <v>256</v>
      </c>
      <c r="C119" s="19" t="s">
        <v>54</v>
      </c>
      <c r="D119" s="20">
        <v>51.48</v>
      </c>
      <c r="E119" s="36"/>
      <c r="F119" s="188"/>
    </row>
    <row r="120" spans="1:6" x14ac:dyDescent="0.2">
      <c r="A120" s="18"/>
      <c r="B120" s="21" t="s">
        <v>257</v>
      </c>
      <c r="C120" s="19" t="s">
        <v>54</v>
      </c>
      <c r="D120" s="20">
        <v>71.48</v>
      </c>
      <c r="E120" s="36">
        <f>E141</f>
        <v>298.70000000000289</v>
      </c>
      <c r="F120" s="188">
        <f>E120*D120</f>
        <v>21351.076000000208</v>
      </c>
    </row>
    <row r="121" spans="1:6" x14ac:dyDescent="0.2">
      <c r="A121" s="24"/>
      <c r="B121" s="24"/>
      <c r="C121" s="136"/>
      <c r="D121" s="137"/>
      <c r="E121" s="22"/>
      <c r="F121" s="188"/>
    </row>
    <row r="122" spans="1:6" x14ac:dyDescent="0.2">
      <c r="E122" s="26" t="s">
        <v>12</v>
      </c>
      <c r="F122" s="190">
        <f>SUM(F118:F121)</f>
        <v>21351.076000000208</v>
      </c>
    </row>
    <row r="124" spans="1:6" x14ac:dyDescent="0.2">
      <c r="A124" t="str">
        <f>Summary!$G$9</f>
        <v>Contractor</v>
      </c>
    </row>
    <row r="128" spans="1:6" x14ac:dyDescent="0.2">
      <c r="C128" s="494" t="str">
        <f>Summary!$G$10</f>
        <v>Construction Manager</v>
      </c>
      <c r="D128" s="494"/>
      <c r="E128" s="494"/>
      <c r="F128" s="494"/>
    </row>
    <row r="129" spans="1:9" x14ac:dyDescent="0.2">
      <c r="C129" s="346"/>
      <c r="D129" s="346"/>
      <c r="E129" s="346"/>
      <c r="F129" s="346"/>
    </row>
    <row r="130" spans="1:9" x14ac:dyDescent="0.2">
      <c r="C130" s="346"/>
      <c r="D130" s="346"/>
      <c r="E130" s="346"/>
      <c r="F130" s="346"/>
    </row>
    <row r="131" spans="1:9" x14ac:dyDescent="0.2">
      <c r="C131" s="346"/>
      <c r="D131" s="346"/>
      <c r="E131" s="346"/>
      <c r="F131" s="346"/>
    </row>
    <row r="133" spans="1:9" x14ac:dyDescent="0.2">
      <c r="B133" s="2" t="s">
        <v>258</v>
      </c>
      <c r="C133" s="348" t="s">
        <v>250</v>
      </c>
      <c r="D133" s="348" t="s">
        <v>185</v>
      </c>
      <c r="E133" s="349" t="s">
        <v>259</v>
      </c>
      <c r="F133" s="349" t="s">
        <v>387</v>
      </c>
      <c r="H133" t="s">
        <v>364</v>
      </c>
    </row>
    <row r="134" spans="1:9" x14ac:dyDescent="0.2">
      <c r="B134" s="366"/>
      <c r="C134" s="350"/>
      <c r="D134" s="350"/>
      <c r="E134" s="8"/>
      <c r="H134" s="367"/>
    </row>
    <row r="135" spans="1:9" x14ac:dyDescent="0.2">
      <c r="B135" s="154">
        <v>42376</v>
      </c>
      <c r="C135" s="376">
        <v>60496</v>
      </c>
      <c r="D135" s="376">
        <v>60536</v>
      </c>
      <c r="E135" s="8">
        <v>39</v>
      </c>
      <c r="F135">
        <v>33.4</v>
      </c>
      <c r="G135" t="s">
        <v>369</v>
      </c>
      <c r="H135" s="367" t="s">
        <v>368</v>
      </c>
      <c r="I135" t="s">
        <v>386</v>
      </c>
    </row>
    <row r="136" spans="1:9" x14ac:dyDescent="0.2">
      <c r="B136" s="154">
        <v>42377</v>
      </c>
      <c r="C136" s="384">
        <v>61258</v>
      </c>
      <c r="D136" s="384">
        <v>61213</v>
      </c>
      <c r="E136" s="8">
        <v>44.4</v>
      </c>
      <c r="F136">
        <v>44.4</v>
      </c>
      <c r="G136" t="s">
        <v>373</v>
      </c>
      <c r="H136" s="367" t="s">
        <v>372</v>
      </c>
      <c r="I136" t="s">
        <v>415</v>
      </c>
    </row>
    <row r="137" spans="1:9" x14ac:dyDescent="0.2">
      <c r="B137" s="154">
        <v>42380</v>
      </c>
      <c r="C137" s="376">
        <v>67299</v>
      </c>
      <c r="D137" s="376">
        <v>67471</v>
      </c>
      <c r="E137" s="8">
        <f>ABS(C137-D137)</f>
        <v>172</v>
      </c>
      <c r="F137">
        <v>172.3</v>
      </c>
      <c r="G137" t="s">
        <v>385</v>
      </c>
      <c r="H137" s="367" t="s">
        <v>392</v>
      </c>
    </row>
    <row r="138" spans="1:9" x14ac:dyDescent="0.2">
      <c r="B138" s="154">
        <v>42381</v>
      </c>
      <c r="C138" s="376">
        <v>67562.7</v>
      </c>
      <c r="D138" s="376">
        <v>67606</v>
      </c>
      <c r="E138" s="8">
        <f t="shared" ref="E138:E139" si="3">ABS(C138-D138)</f>
        <v>43.30000000000291</v>
      </c>
      <c r="F138">
        <v>44</v>
      </c>
      <c r="G138" t="s">
        <v>385</v>
      </c>
      <c r="H138" s="367" t="s">
        <v>393</v>
      </c>
    </row>
    <row r="139" spans="1:9" x14ac:dyDescent="0.2">
      <c r="B139" s="366"/>
      <c r="C139" s="350"/>
      <c r="D139" s="350"/>
      <c r="E139" s="8">
        <f t="shared" si="3"/>
        <v>0</v>
      </c>
      <c r="H139" s="367"/>
    </row>
    <row r="140" spans="1:9" x14ac:dyDescent="0.2">
      <c r="C140" s="350"/>
      <c r="D140" s="350"/>
      <c r="E140" s="8"/>
      <c r="H140" s="367"/>
    </row>
    <row r="141" spans="1:9" x14ac:dyDescent="0.2">
      <c r="C141" s="347"/>
      <c r="D141" s="347" t="s">
        <v>18</v>
      </c>
      <c r="E141">
        <f>SUM(E133:E140)</f>
        <v>298.70000000000289</v>
      </c>
      <c r="F141">
        <f>SUM(F134:F140)</f>
        <v>294.10000000000002</v>
      </c>
    </row>
    <row r="142" spans="1:9" x14ac:dyDescent="0.2">
      <c r="C142" s="347"/>
      <c r="D142" s="347"/>
    </row>
    <row r="143" spans="1:9" x14ac:dyDescent="0.2">
      <c r="A143" s="5" t="str">
        <f>Summary!$G$11</f>
        <v>PIPELINE PROJECT</v>
      </c>
    </row>
    <row r="155" spans="1:6" ht="16" x14ac:dyDescent="0.2">
      <c r="A155" s="157" t="s">
        <v>89</v>
      </c>
    </row>
    <row r="156" spans="1:6" x14ac:dyDescent="0.2">
      <c r="A156" s="5"/>
    </row>
    <row r="158" spans="1:6" x14ac:dyDescent="0.2">
      <c r="A158" t="s">
        <v>0</v>
      </c>
      <c r="E158" s="2" t="s">
        <v>64</v>
      </c>
      <c r="F158" s="3">
        <v>42400</v>
      </c>
    </row>
    <row r="159" spans="1:6" x14ac:dyDescent="0.2">
      <c r="A159" t="s">
        <v>1</v>
      </c>
      <c r="B159" s="160" t="s">
        <v>254</v>
      </c>
    </row>
    <row r="161" spans="1:6" x14ac:dyDescent="0.2">
      <c r="A161" s="9" t="s">
        <v>2</v>
      </c>
      <c r="B161" s="10"/>
      <c r="C161" s="11" t="s">
        <v>4</v>
      </c>
      <c r="D161" s="11" t="s">
        <v>3</v>
      </c>
      <c r="E161" s="11" t="s">
        <v>8</v>
      </c>
      <c r="F161" s="12" t="s">
        <v>260</v>
      </c>
    </row>
    <row r="162" spans="1:6" ht="14.5" customHeight="1" x14ac:dyDescent="0.2">
      <c r="A162" s="352" t="s">
        <v>255</v>
      </c>
      <c r="B162" s="115" t="s">
        <v>261</v>
      </c>
      <c r="C162" s="14"/>
      <c r="D162" s="15"/>
      <c r="E162" s="116"/>
      <c r="F162" s="188"/>
    </row>
    <row r="163" spans="1:6" x14ac:dyDescent="0.2">
      <c r="A163" s="18"/>
      <c r="B163" s="21" t="s">
        <v>256</v>
      </c>
      <c r="C163" s="19" t="s">
        <v>54</v>
      </c>
      <c r="D163" s="20">
        <v>51.48</v>
      </c>
      <c r="E163" s="36"/>
      <c r="F163" s="188"/>
    </row>
    <row r="164" spans="1:6" x14ac:dyDescent="0.2">
      <c r="A164" s="18"/>
      <c r="B164" s="21" t="s">
        <v>257</v>
      </c>
      <c r="C164" s="19" t="s">
        <v>54</v>
      </c>
      <c r="D164" s="20">
        <v>71.48</v>
      </c>
      <c r="E164" s="36">
        <f>E191</f>
        <v>319.20000000000181</v>
      </c>
      <c r="F164" s="188">
        <f>E164*D164</f>
        <v>22816.416000000132</v>
      </c>
    </row>
    <row r="165" spans="1:6" x14ac:dyDescent="0.2">
      <c r="A165" s="24"/>
      <c r="B165" s="24"/>
      <c r="C165" s="136"/>
      <c r="D165" s="137"/>
      <c r="E165" s="22"/>
      <c r="F165" s="188"/>
    </row>
    <row r="166" spans="1:6" x14ac:dyDescent="0.2">
      <c r="E166" s="26" t="s">
        <v>12</v>
      </c>
      <c r="F166" s="190">
        <f>SUM(F162:F165)</f>
        <v>22816.416000000132</v>
      </c>
    </row>
    <row r="168" spans="1:6" x14ac:dyDescent="0.2">
      <c r="A168" t="str">
        <f>Summary!$G$9</f>
        <v>Contractor</v>
      </c>
    </row>
    <row r="172" spans="1:6" x14ac:dyDescent="0.2">
      <c r="C172" s="494" t="str">
        <f>Summary!$G$10</f>
        <v>Construction Manager</v>
      </c>
      <c r="D172" s="494"/>
      <c r="E172" s="494"/>
      <c r="F172" s="494"/>
    </row>
    <row r="173" spans="1:6" x14ac:dyDescent="0.2">
      <c r="C173" s="346"/>
      <c r="D173" s="346"/>
      <c r="E173" s="346"/>
      <c r="F173" s="346"/>
    </row>
    <row r="174" spans="1:6" x14ac:dyDescent="0.2">
      <c r="C174" s="346"/>
      <c r="D174" s="346"/>
      <c r="E174" s="346"/>
      <c r="F174" s="346"/>
    </row>
    <row r="175" spans="1:6" x14ac:dyDescent="0.2">
      <c r="C175" s="346"/>
      <c r="D175" s="346"/>
      <c r="E175" s="346"/>
      <c r="F175" s="346"/>
    </row>
    <row r="177" spans="2:9" x14ac:dyDescent="0.2">
      <c r="B177" s="2" t="s">
        <v>258</v>
      </c>
      <c r="C177" s="348" t="s">
        <v>250</v>
      </c>
      <c r="D177" s="348" t="s">
        <v>185</v>
      </c>
      <c r="E177" s="349" t="s">
        <v>259</v>
      </c>
      <c r="F177" s="349" t="s">
        <v>387</v>
      </c>
      <c r="H177" t="s">
        <v>364</v>
      </c>
    </row>
    <row r="178" spans="2:9" x14ac:dyDescent="0.2">
      <c r="B178" s="366"/>
      <c r="C178" s="350"/>
      <c r="D178" s="350"/>
      <c r="E178" s="8"/>
      <c r="H178" s="367"/>
    </row>
    <row r="179" spans="2:9" x14ac:dyDescent="0.2">
      <c r="B179" s="154">
        <v>42388</v>
      </c>
      <c r="C179" s="350">
        <v>6564</v>
      </c>
      <c r="D179" s="350">
        <v>6600</v>
      </c>
      <c r="E179" s="365">
        <v>35</v>
      </c>
      <c r="F179" s="8">
        <v>35.4</v>
      </c>
      <c r="G179" t="s">
        <v>385</v>
      </c>
      <c r="H179" s="367" t="s">
        <v>432</v>
      </c>
    </row>
    <row r="180" spans="2:9" x14ac:dyDescent="0.2">
      <c r="B180" s="366"/>
      <c r="C180" s="350">
        <v>6749</v>
      </c>
      <c r="D180" s="350">
        <v>6802</v>
      </c>
      <c r="E180" s="365">
        <v>53.7</v>
      </c>
      <c r="F180">
        <v>53.7</v>
      </c>
      <c r="G180" t="s">
        <v>385</v>
      </c>
      <c r="H180" s="367" t="s">
        <v>432</v>
      </c>
      <c r="I180" s="8">
        <f>E180+E179</f>
        <v>88.7</v>
      </c>
    </row>
    <row r="181" spans="2:9" x14ac:dyDescent="0.2">
      <c r="B181" s="154">
        <v>42388</v>
      </c>
      <c r="C181" s="350">
        <v>64946</v>
      </c>
      <c r="D181" s="350">
        <v>64964</v>
      </c>
      <c r="E181" s="365">
        <v>17</v>
      </c>
      <c r="F181">
        <v>18</v>
      </c>
      <c r="G181" t="s">
        <v>367</v>
      </c>
      <c r="H181" s="367" t="s">
        <v>431</v>
      </c>
    </row>
    <row r="182" spans="2:9" x14ac:dyDescent="0.2">
      <c r="B182" s="366">
        <v>42389</v>
      </c>
      <c r="C182" s="350">
        <v>67477</v>
      </c>
      <c r="D182" s="350">
        <v>67519</v>
      </c>
      <c r="E182" s="365">
        <f>ABS(C182-D182)</f>
        <v>42</v>
      </c>
      <c r="F182">
        <v>42.6</v>
      </c>
      <c r="G182" t="s">
        <v>373</v>
      </c>
      <c r="H182" s="367" t="s">
        <v>433</v>
      </c>
    </row>
    <row r="183" spans="2:9" x14ac:dyDescent="0.2">
      <c r="B183" s="366">
        <v>42390</v>
      </c>
      <c r="C183" s="350">
        <v>10848</v>
      </c>
      <c r="D183" s="350">
        <v>10902.4</v>
      </c>
      <c r="E183" s="365">
        <f t="shared" ref="E183:E186" si="4">ABS(C183-D183)</f>
        <v>54.399999999999636</v>
      </c>
      <c r="F183" s="8">
        <v>54.399999999999636</v>
      </c>
      <c r="G183" t="s">
        <v>385</v>
      </c>
      <c r="H183" s="367" t="s">
        <v>448</v>
      </c>
    </row>
    <row r="184" spans="2:9" x14ac:dyDescent="0.2">
      <c r="B184" s="366"/>
      <c r="C184" s="350">
        <v>11031</v>
      </c>
      <c r="D184" s="350">
        <v>11040.3</v>
      </c>
      <c r="E184" s="365">
        <f t="shared" si="4"/>
        <v>9.2999999999992724</v>
      </c>
      <c r="F184" s="8">
        <v>9.2999999999992724</v>
      </c>
      <c r="G184" t="s">
        <v>385</v>
      </c>
      <c r="H184" s="367" t="s">
        <v>448</v>
      </c>
    </row>
    <row r="185" spans="2:9" x14ac:dyDescent="0.2">
      <c r="B185" s="366"/>
      <c r="C185" s="350">
        <v>11132.4</v>
      </c>
      <c r="D185" s="350">
        <v>11141.7</v>
      </c>
      <c r="E185" s="365">
        <f t="shared" si="4"/>
        <v>9.3000000000010914</v>
      </c>
      <c r="F185" s="8">
        <v>9.3000000000010914</v>
      </c>
      <c r="G185" t="s">
        <v>385</v>
      </c>
      <c r="H185" s="367" t="s">
        <v>448</v>
      </c>
    </row>
    <row r="186" spans="2:9" x14ac:dyDescent="0.2">
      <c r="B186" s="366"/>
      <c r="C186" s="350">
        <v>11687.8</v>
      </c>
      <c r="D186" s="350">
        <v>11731.9</v>
      </c>
      <c r="E186" s="365">
        <f t="shared" si="4"/>
        <v>44.100000000000364</v>
      </c>
      <c r="F186" s="8">
        <v>44.100000000000364</v>
      </c>
      <c r="G186" t="s">
        <v>385</v>
      </c>
      <c r="H186" s="367" t="s">
        <v>448</v>
      </c>
      <c r="I186" s="8">
        <f>SUM(E183:E186)</f>
        <v>117.10000000000036</v>
      </c>
    </row>
    <row r="187" spans="2:9" x14ac:dyDescent="0.2">
      <c r="B187" s="366">
        <v>42397</v>
      </c>
      <c r="C187" s="350">
        <v>16901.599999999999</v>
      </c>
      <c r="D187" s="350">
        <v>16929</v>
      </c>
      <c r="E187" s="365">
        <f t="shared" ref="E187:E189" si="5">ABS(C187-D187)</f>
        <v>27.400000000001455</v>
      </c>
      <c r="F187">
        <v>27.5</v>
      </c>
      <c r="G187" t="s">
        <v>385</v>
      </c>
      <c r="H187" s="367" t="s">
        <v>467</v>
      </c>
    </row>
    <row r="188" spans="2:9" x14ac:dyDescent="0.2">
      <c r="B188" s="366">
        <v>42398</v>
      </c>
      <c r="C188" s="350">
        <v>14747</v>
      </c>
      <c r="D188" s="350">
        <v>14774</v>
      </c>
      <c r="E188" s="8">
        <f>ABS(C188-D188)</f>
        <v>27</v>
      </c>
      <c r="F188">
        <v>27.1</v>
      </c>
      <c r="G188" t="s">
        <v>367</v>
      </c>
      <c r="H188" s="367" t="s">
        <v>501</v>
      </c>
    </row>
    <row r="189" spans="2:9" x14ac:dyDescent="0.2">
      <c r="B189" s="366"/>
      <c r="C189" s="350"/>
      <c r="D189" s="350"/>
      <c r="E189" s="8">
        <f t="shared" si="5"/>
        <v>0</v>
      </c>
      <c r="H189" s="367"/>
    </row>
    <row r="190" spans="2:9" x14ac:dyDescent="0.2">
      <c r="C190" s="350"/>
      <c r="D190" s="350"/>
      <c r="E190" s="8"/>
      <c r="H190" s="367"/>
    </row>
    <row r="191" spans="2:9" x14ac:dyDescent="0.2">
      <c r="C191" s="347"/>
      <c r="D191" s="347" t="s">
        <v>18</v>
      </c>
      <c r="E191">
        <f>SUM(E177:E190)</f>
        <v>319.20000000000181</v>
      </c>
      <c r="F191">
        <f>SUM(F178:F190)</f>
        <v>321.40000000000038</v>
      </c>
    </row>
    <row r="192" spans="2:9" x14ac:dyDescent="0.2">
      <c r="C192" s="347"/>
      <c r="D192" s="347"/>
    </row>
    <row r="193" spans="1:6" x14ac:dyDescent="0.2">
      <c r="A193" s="5" t="str">
        <f>Summary!$G$11</f>
        <v>PIPELINE PROJECT</v>
      </c>
    </row>
    <row r="205" spans="1:6" ht="16" x14ac:dyDescent="0.2">
      <c r="A205" s="157" t="s">
        <v>89</v>
      </c>
    </row>
    <row r="206" spans="1:6" x14ac:dyDescent="0.2">
      <c r="A206" s="5"/>
    </row>
    <row r="208" spans="1:6" x14ac:dyDescent="0.2">
      <c r="A208" t="s">
        <v>0</v>
      </c>
      <c r="E208" s="2" t="s">
        <v>64</v>
      </c>
      <c r="F208" s="3">
        <v>42415</v>
      </c>
    </row>
    <row r="209" spans="1:6" x14ac:dyDescent="0.2">
      <c r="A209" t="s">
        <v>1</v>
      </c>
      <c r="B209" s="160" t="s">
        <v>254</v>
      </c>
    </row>
    <row r="211" spans="1:6" x14ac:dyDescent="0.2">
      <c r="A211" s="9" t="s">
        <v>2</v>
      </c>
      <c r="B211" s="10"/>
      <c r="C211" s="11" t="s">
        <v>4</v>
      </c>
      <c r="D211" s="11" t="s">
        <v>3</v>
      </c>
      <c r="E211" s="11" t="s">
        <v>8</v>
      </c>
      <c r="F211" s="12" t="s">
        <v>260</v>
      </c>
    </row>
    <row r="212" spans="1:6" ht="14.5" customHeight="1" x14ac:dyDescent="0.2">
      <c r="A212" s="352" t="s">
        <v>255</v>
      </c>
      <c r="B212" s="115" t="s">
        <v>261</v>
      </c>
      <c r="C212" s="14"/>
      <c r="D212" s="15"/>
      <c r="E212" s="116"/>
      <c r="F212" s="188"/>
    </row>
    <row r="213" spans="1:6" x14ac:dyDescent="0.2">
      <c r="A213" s="18"/>
      <c r="B213" s="21" t="s">
        <v>256</v>
      </c>
      <c r="C213" s="19" t="s">
        <v>54</v>
      </c>
      <c r="D213" s="20">
        <v>51.48</v>
      </c>
      <c r="E213" s="36"/>
      <c r="F213" s="188"/>
    </row>
    <row r="214" spans="1:6" x14ac:dyDescent="0.2">
      <c r="A214" s="18"/>
      <c r="B214" s="21" t="s">
        <v>257</v>
      </c>
      <c r="C214" s="19" t="s">
        <v>54</v>
      </c>
      <c r="D214" s="20">
        <v>71.48</v>
      </c>
      <c r="E214" s="394">
        <f>E250</f>
        <v>1117.7000000000057</v>
      </c>
      <c r="F214" s="188">
        <f>E214*D214</f>
        <v>79893.196000000418</v>
      </c>
    </row>
    <row r="215" spans="1:6" x14ac:dyDescent="0.2">
      <c r="A215" s="24"/>
      <c r="B215" s="24"/>
      <c r="C215" s="136"/>
      <c r="D215" s="137"/>
      <c r="E215" s="22"/>
      <c r="F215" s="188"/>
    </row>
    <row r="216" spans="1:6" x14ac:dyDescent="0.2">
      <c r="E216" s="26" t="s">
        <v>12</v>
      </c>
      <c r="F216" s="190">
        <f>SUM(F212:F215)</f>
        <v>79893.196000000418</v>
      </c>
    </row>
    <row r="218" spans="1:6" x14ac:dyDescent="0.2">
      <c r="A218" t="str">
        <f>Summary!$G$9</f>
        <v>Contractor</v>
      </c>
    </row>
    <row r="222" spans="1:6" x14ac:dyDescent="0.2">
      <c r="C222" s="494" t="str">
        <f>Summary!$G$10</f>
        <v>Construction Manager</v>
      </c>
      <c r="D222" s="494"/>
      <c r="E222" s="494"/>
      <c r="F222" s="494"/>
    </row>
    <row r="223" spans="1:6" x14ac:dyDescent="0.2">
      <c r="C223" s="346"/>
      <c r="D223" s="346"/>
      <c r="E223" s="346"/>
      <c r="F223" s="346"/>
    </row>
    <row r="224" spans="1:6" x14ac:dyDescent="0.2">
      <c r="C224" s="346"/>
      <c r="D224" s="346"/>
      <c r="E224" s="346"/>
      <c r="F224" s="346"/>
    </row>
    <row r="225" spans="2:8" x14ac:dyDescent="0.2">
      <c r="C225" s="346"/>
      <c r="D225" s="346"/>
      <c r="E225" s="346"/>
      <c r="F225" s="346"/>
    </row>
    <row r="227" spans="2:8" x14ac:dyDescent="0.2">
      <c r="C227" s="347"/>
      <c r="D227" s="347"/>
    </row>
    <row r="228" spans="2:8" x14ac:dyDescent="0.2">
      <c r="B228" s="366"/>
      <c r="C228" s="350"/>
      <c r="D228" s="350"/>
      <c r="E228" s="8"/>
      <c r="H228" s="367"/>
    </row>
    <row r="229" spans="2:8" x14ac:dyDescent="0.2">
      <c r="B229" s="154"/>
      <c r="C229" s="350"/>
      <c r="D229" s="350"/>
      <c r="E229" s="8"/>
      <c r="H229" s="367"/>
    </row>
    <row r="230" spans="2:8" x14ac:dyDescent="0.2">
      <c r="B230" s="2" t="s">
        <v>258</v>
      </c>
      <c r="C230" s="348" t="s">
        <v>250</v>
      </c>
      <c r="D230" s="348" t="s">
        <v>185</v>
      </c>
      <c r="E230" s="349" t="s">
        <v>259</v>
      </c>
      <c r="F230" s="349" t="s">
        <v>387</v>
      </c>
      <c r="H230" t="s">
        <v>364</v>
      </c>
    </row>
    <row r="231" spans="2:8" x14ac:dyDescent="0.2">
      <c r="B231" s="366"/>
      <c r="C231" s="350"/>
      <c r="D231" s="350"/>
      <c r="E231" s="8"/>
      <c r="H231" s="367"/>
    </row>
    <row r="232" spans="2:8" x14ac:dyDescent="0.2">
      <c r="B232" s="366">
        <v>42402</v>
      </c>
      <c r="C232" s="350">
        <v>22241.3</v>
      </c>
      <c r="D232" s="350">
        <v>22303.86</v>
      </c>
      <c r="E232" s="397">
        <v>62.6</v>
      </c>
      <c r="F232" s="8">
        <v>62.6</v>
      </c>
      <c r="G232" t="s">
        <v>385</v>
      </c>
      <c r="H232" s="367" t="s">
        <v>515</v>
      </c>
    </row>
    <row r="233" spans="2:8" x14ac:dyDescent="0.2">
      <c r="B233" s="366">
        <v>42403</v>
      </c>
      <c r="C233" s="350">
        <v>6425</v>
      </c>
      <c r="D233" s="350">
        <v>6507</v>
      </c>
      <c r="E233" s="397">
        <v>83</v>
      </c>
      <c r="F233">
        <v>82.1</v>
      </c>
      <c r="G233" t="s">
        <v>373</v>
      </c>
      <c r="H233" s="367" t="s">
        <v>550</v>
      </c>
    </row>
    <row r="234" spans="2:8" x14ac:dyDescent="0.2">
      <c r="B234" s="366">
        <v>42404</v>
      </c>
      <c r="C234" s="350">
        <v>8232</v>
      </c>
      <c r="D234" s="350">
        <v>8290</v>
      </c>
      <c r="E234" s="8">
        <v>59</v>
      </c>
      <c r="F234">
        <v>57.8</v>
      </c>
      <c r="G234" t="s">
        <v>373</v>
      </c>
      <c r="H234" s="367" t="s">
        <v>551</v>
      </c>
    </row>
    <row r="235" spans="2:8" x14ac:dyDescent="0.2">
      <c r="B235" s="366">
        <v>42405</v>
      </c>
      <c r="C235" s="350">
        <v>56706</v>
      </c>
      <c r="D235" s="350">
        <v>56861</v>
      </c>
      <c r="E235" s="8">
        <f t="shared" ref="E235:E248" si="6">ABS(C235-D235)</f>
        <v>155</v>
      </c>
      <c r="F235">
        <v>155</v>
      </c>
      <c r="G235" t="s">
        <v>385</v>
      </c>
      <c r="H235" s="367" t="s">
        <v>552</v>
      </c>
    </row>
    <row r="236" spans="2:8" x14ac:dyDescent="0.2">
      <c r="B236" s="366"/>
      <c r="C236" s="350">
        <v>56890</v>
      </c>
      <c r="D236" s="350">
        <v>57083</v>
      </c>
      <c r="E236" s="8">
        <f t="shared" si="6"/>
        <v>193</v>
      </c>
      <c r="F236">
        <v>193</v>
      </c>
      <c r="G236" t="s">
        <v>385</v>
      </c>
      <c r="H236" s="367" t="s">
        <v>552</v>
      </c>
    </row>
    <row r="237" spans="2:8" x14ac:dyDescent="0.2">
      <c r="B237" s="366">
        <v>42407</v>
      </c>
      <c r="C237" s="350">
        <v>56661</v>
      </c>
      <c r="D237" s="350">
        <v>56706</v>
      </c>
      <c r="E237" s="8">
        <f t="shared" si="6"/>
        <v>45</v>
      </c>
      <c r="F237">
        <v>45</v>
      </c>
      <c r="G237" t="s">
        <v>385</v>
      </c>
      <c r="H237" s="367" t="s">
        <v>564</v>
      </c>
    </row>
    <row r="238" spans="2:8" x14ac:dyDescent="0.2">
      <c r="B238" s="366">
        <v>42411</v>
      </c>
      <c r="C238" s="350">
        <v>27856</v>
      </c>
      <c r="D238" s="350">
        <v>27883</v>
      </c>
      <c r="E238" s="8">
        <f t="shared" si="6"/>
        <v>27</v>
      </c>
      <c r="F238">
        <v>27</v>
      </c>
      <c r="G238" t="s">
        <v>385</v>
      </c>
      <c r="H238" s="367" t="s">
        <v>589</v>
      </c>
    </row>
    <row r="239" spans="2:8" x14ac:dyDescent="0.2">
      <c r="B239" s="366">
        <v>42411</v>
      </c>
      <c r="C239" s="350">
        <v>32016</v>
      </c>
      <c r="D239" s="350">
        <v>32052</v>
      </c>
      <c r="E239" s="397">
        <v>54</v>
      </c>
      <c r="F239">
        <v>36.4</v>
      </c>
      <c r="G239" t="s">
        <v>385</v>
      </c>
      <c r="H239" s="367" t="s">
        <v>590</v>
      </c>
    </row>
    <row r="240" spans="2:8" x14ac:dyDescent="0.2">
      <c r="B240" s="366">
        <v>42411</v>
      </c>
      <c r="C240" s="350">
        <v>32080</v>
      </c>
      <c r="D240" s="350">
        <v>32098</v>
      </c>
      <c r="E240" s="397"/>
      <c r="F240">
        <v>18.3</v>
      </c>
      <c r="G240" t="s">
        <v>385</v>
      </c>
      <c r="H240" s="367" t="s">
        <v>590</v>
      </c>
    </row>
    <row r="241" spans="1:9" x14ac:dyDescent="0.2">
      <c r="B241" s="366">
        <v>42412</v>
      </c>
      <c r="C241" s="350">
        <v>32311</v>
      </c>
      <c r="D241" s="350">
        <v>32544.3</v>
      </c>
      <c r="E241" s="8">
        <f t="shared" si="6"/>
        <v>233.29999999999927</v>
      </c>
      <c r="F241">
        <v>233.3</v>
      </c>
      <c r="G241" t="s">
        <v>385</v>
      </c>
      <c r="H241" s="367" t="s">
        <v>600</v>
      </c>
    </row>
    <row r="242" spans="1:9" x14ac:dyDescent="0.2">
      <c r="B242" s="366">
        <v>42412</v>
      </c>
      <c r="C242" s="350">
        <v>32572</v>
      </c>
      <c r="D242" s="350">
        <v>32607.7</v>
      </c>
      <c r="E242" s="8">
        <f t="shared" si="6"/>
        <v>35.700000000000728</v>
      </c>
      <c r="F242">
        <v>35.5</v>
      </c>
      <c r="G242" t="s">
        <v>385</v>
      </c>
      <c r="H242" s="367" t="s">
        <v>600</v>
      </c>
    </row>
    <row r="243" spans="1:9" x14ac:dyDescent="0.2">
      <c r="B243" s="366">
        <v>42412</v>
      </c>
      <c r="C243" s="402">
        <v>32765.5</v>
      </c>
      <c r="D243" s="402">
        <v>32784</v>
      </c>
      <c r="E243" s="397">
        <f t="shared" si="6"/>
        <v>18.5</v>
      </c>
      <c r="F243" s="330">
        <v>18.5</v>
      </c>
      <c r="G243" s="330" t="s">
        <v>385</v>
      </c>
      <c r="H243" s="408" t="s">
        <v>600</v>
      </c>
      <c r="I243" s="330" t="s">
        <v>740</v>
      </c>
    </row>
    <row r="244" spans="1:9" x14ac:dyDescent="0.2">
      <c r="B244" s="366">
        <v>42412</v>
      </c>
      <c r="C244" s="350">
        <v>32899</v>
      </c>
      <c r="D244" s="350">
        <v>32961.300000000003</v>
      </c>
      <c r="E244" s="8">
        <f t="shared" si="6"/>
        <v>62.30000000000291</v>
      </c>
      <c r="F244">
        <v>62.3</v>
      </c>
      <c r="G244" t="s">
        <v>385</v>
      </c>
      <c r="H244" s="367" t="s">
        <v>600</v>
      </c>
    </row>
    <row r="245" spans="1:9" x14ac:dyDescent="0.2">
      <c r="B245" s="366">
        <v>42412</v>
      </c>
      <c r="C245" s="350">
        <v>32991</v>
      </c>
      <c r="D245" s="350">
        <v>33018</v>
      </c>
      <c r="E245" s="8">
        <f t="shared" si="6"/>
        <v>27</v>
      </c>
      <c r="F245">
        <v>27</v>
      </c>
      <c r="G245" t="s">
        <v>385</v>
      </c>
      <c r="H245" s="367" t="s">
        <v>600</v>
      </c>
    </row>
    <row r="246" spans="1:9" x14ac:dyDescent="0.2">
      <c r="B246" s="366">
        <v>42412</v>
      </c>
      <c r="C246" s="350">
        <v>33030</v>
      </c>
      <c r="D246" s="350">
        <v>33056.800000000003</v>
      </c>
      <c r="E246" s="8">
        <f t="shared" si="6"/>
        <v>26.80000000000291</v>
      </c>
      <c r="F246">
        <v>26.8</v>
      </c>
      <c r="G246" t="s">
        <v>385</v>
      </c>
      <c r="H246" s="367" t="s">
        <v>600</v>
      </c>
    </row>
    <row r="247" spans="1:9" x14ac:dyDescent="0.2">
      <c r="B247" s="366">
        <v>42412</v>
      </c>
      <c r="C247" s="350">
        <v>33056.800000000003</v>
      </c>
      <c r="D247" s="350">
        <v>33092.300000000003</v>
      </c>
      <c r="E247" s="8">
        <f t="shared" si="6"/>
        <v>35.5</v>
      </c>
      <c r="F247">
        <v>35.5</v>
      </c>
      <c r="G247" t="s">
        <v>385</v>
      </c>
      <c r="H247" s="367" t="s">
        <v>600</v>
      </c>
    </row>
    <row r="248" spans="1:9" x14ac:dyDescent="0.2">
      <c r="B248" s="366"/>
      <c r="C248" s="350"/>
      <c r="D248" s="350"/>
      <c r="E248" s="8">
        <f t="shared" si="6"/>
        <v>0</v>
      </c>
      <c r="F248" s="8"/>
      <c r="H248" s="367"/>
    </row>
    <row r="249" spans="1:9" x14ac:dyDescent="0.2">
      <c r="C249" s="350"/>
      <c r="D249" s="350"/>
      <c r="E249" s="8"/>
      <c r="H249" s="367"/>
    </row>
    <row r="250" spans="1:9" x14ac:dyDescent="0.2">
      <c r="C250" s="347"/>
      <c r="D250" s="347" t="s">
        <v>18</v>
      </c>
      <c r="E250">
        <f>SUM(E230:E249)</f>
        <v>1117.7000000000057</v>
      </c>
      <c r="F250">
        <f>SUM(F231:F249)</f>
        <v>1116.0999999999999</v>
      </c>
    </row>
    <row r="251" spans="1:9" x14ac:dyDescent="0.2">
      <c r="C251" s="347"/>
      <c r="D251" s="347"/>
    </row>
    <row r="252" spans="1:9" x14ac:dyDescent="0.2">
      <c r="A252" s="5" t="str">
        <f>Summary!$G$11</f>
        <v>PIPELINE PROJECT</v>
      </c>
    </row>
    <row r="264" spans="1:6" ht="16" x14ac:dyDescent="0.2">
      <c r="A264" s="157" t="s">
        <v>89</v>
      </c>
    </row>
    <row r="265" spans="1:6" x14ac:dyDescent="0.2">
      <c r="A265" s="5"/>
    </row>
    <row r="267" spans="1:6" x14ac:dyDescent="0.2">
      <c r="A267" t="s">
        <v>0</v>
      </c>
      <c r="E267" s="2" t="s">
        <v>64</v>
      </c>
      <c r="F267" s="3">
        <v>42429</v>
      </c>
    </row>
    <row r="268" spans="1:6" x14ac:dyDescent="0.2">
      <c r="A268" t="s">
        <v>1</v>
      </c>
      <c r="B268" s="160" t="s">
        <v>254</v>
      </c>
    </row>
    <row r="270" spans="1:6" x14ac:dyDescent="0.2">
      <c r="A270" s="9" t="s">
        <v>2</v>
      </c>
      <c r="B270" s="10"/>
      <c r="C270" s="11" t="s">
        <v>4</v>
      </c>
      <c r="D270" s="11" t="s">
        <v>3</v>
      </c>
      <c r="E270" s="11" t="s">
        <v>8</v>
      </c>
      <c r="F270" s="12" t="s">
        <v>260</v>
      </c>
    </row>
    <row r="271" spans="1:6" ht="14.5" customHeight="1" x14ac:dyDescent="0.2">
      <c r="A271" s="352" t="s">
        <v>255</v>
      </c>
      <c r="B271" s="115" t="s">
        <v>261</v>
      </c>
      <c r="C271" s="14"/>
      <c r="D271" s="15"/>
      <c r="E271" s="116"/>
      <c r="F271" s="188"/>
    </row>
    <row r="272" spans="1:6" x14ac:dyDescent="0.2">
      <c r="A272" s="18"/>
      <c r="B272" s="21" t="s">
        <v>256</v>
      </c>
      <c r="C272" s="19" t="s">
        <v>54</v>
      </c>
      <c r="D272" s="20">
        <v>51.48</v>
      </c>
      <c r="E272" s="36"/>
      <c r="F272" s="188"/>
    </row>
    <row r="273" spans="1:9" x14ac:dyDescent="0.2">
      <c r="A273" s="18"/>
      <c r="B273" s="21" t="s">
        <v>257</v>
      </c>
      <c r="C273" s="19" t="s">
        <v>54</v>
      </c>
      <c r="D273" s="20">
        <v>71.48</v>
      </c>
      <c r="E273" s="394">
        <f>E374</f>
        <v>6436.2000000000317</v>
      </c>
      <c r="F273" s="188">
        <f>E273*D273</f>
        <v>460059.57600000227</v>
      </c>
    </row>
    <row r="274" spans="1:9" x14ac:dyDescent="0.2">
      <c r="A274" s="24"/>
      <c r="B274" s="24"/>
      <c r="C274" s="136"/>
      <c r="D274" s="137"/>
      <c r="E274" s="22"/>
      <c r="F274" s="188"/>
    </row>
    <row r="275" spans="1:9" x14ac:dyDescent="0.2">
      <c r="E275" s="26" t="s">
        <v>12</v>
      </c>
      <c r="F275" s="190">
        <f>SUM(F271:F274)</f>
        <v>460059.57600000227</v>
      </c>
    </row>
    <row r="277" spans="1:9" x14ac:dyDescent="0.2">
      <c r="A277" t="str">
        <f>Summary!$G$9</f>
        <v>Contractor</v>
      </c>
    </row>
    <row r="281" spans="1:9" x14ac:dyDescent="0.2">
      <c r="C281" s="494" t="str">
        <f>Summary!$G$10</f>
        <v>Construction Manager</v>
      </c>
      <c r="D281" s="494"/>
      <c r="E281" s="494"/>
      <c r="F281" s="494"/>
    </row>
    <row r="282" spans="1:9" x14ac:dyDescent="0.2">
      <c r="C282" s="346"/>
      <c r="D282" s="346"/>
      <c r="E282" s="346"/>
      <c r="F282" s="346"/>
    </row>
    <row r="283" spans="1:9" x14ac:dyDescent="0.2">
      <c r="C283" s="346"/>
      <c r="D283" s="346"/>
      <c r="E283" s="346"/>
      <c r="F283" s="346"/>
    </row>
    <row r="284" spans="1:9" x14ac:dyDescent="0.2">
      <c r="C284" s="346"/>
      <c r="D284" s="346"/>
      <c r="E284" s="346"/>
      <c r="F284" s="346"/>
    </row>
    <row r="286" spans="1:9" x14ac:dyDescent="0.2">
      <c r="C286" s="347"/>
      <c r="D286" s="347"/>
    </row>
    <row r="287" spans="1:9" x14ac:dyDescent="0.2">
      <c r="B287" s="366"/>
      <c r="C287" s="350"/>
      <c r="D287" s="350"/>
      <c r="E287" s="8"/>
      <c r="H287" s="367"/>
    </row>
    <row r="288" spans="1:9" x14ac:dyDescent="0.2">
      <c r="B288" s="154"/>
      <c r="C288" s="350"/>
      <c r="D288" s="350"/>
      <c r="E288" s="8"/>
      <c r="F288" s="8"/>
      <c r="I288" s="367"/>
    </row>
    <row r="289" spans="2:9" x14ac:dyDescent="0.2">
      <c r="B289" s="2" t="s">
        <v>258</v>
      </c>
      <c r="C289" s="348" t="s">
        <v>250</v>
      </c>
      <c r="D289" s="348" t="s">
        <v>185</v>
      </c>
      <c r="E289" s="349" t="s">
        <v>259</v>
      </c>
      <c r="F289" s="349"/>
      <c r="G289" s="349" t="s">
        <v>387</v>
      </c>
      <c r="I289" t="s">
        <v>364</v>
      </c>
    </row>
    <row r="290" spans="2:9" x14ac:dyDescent="0.2">
      <c r="B290" s="366"/>
      <c r="C290" s="350"/>
      <c r="D290" s="350"/>
      <c r="E290" s="8"/>
      <c r="F290" s="8"/>
      <c r="I290" s="367"/>
    </row>
    <row r="291" spans="2:9" x14ac:dyDescent="0.2">
      <c r="B291" s="366">
        <v>42413</v>
      </c>
      <c r="C291" s="350">
        <v>25942</v>
      </c>
      <c r="D291" s="350">
        <v>25979</v>
      </c>
      <c r="E291" s="8">
        <f>ABS(C291-D291)</f>
        <v>37</v>
      </c>
      <c r="F291" s="8"/>
      <c r="G291">
        <v>37</v>
      </c>
      <c r="H291" t="s">
        <v>373</v>
      </c>
      <c r="I291" s="367" t="s">
        <v>601</v>
      </c>
    </row>
    <row r="292" spans="2:9" x14ac:dyDescent="0.2">
      <c r="B292" s="366">
        <v>42414</v>
      </c>
      <c r="C292" s="350">
        <v>25900</v>
      </c>
      <c r="D292" s="350">
        <v>25920</v>
      </c>
      <c r="E292" s="8">
        <f>ABS(C292-D292)</f>
        <v>20</v>
      </c>
      <c r="F292" s="8">
        <f>SUM(E291:E292)</f>
        <v>57</v>
      </c>
      <c r="G292">
        <v>20</v>
      </c>
      <c r="H292" t="s">
        <v>373</v>
      </c>
      <c r="I292" s="367" t="s">
        <v>601</v>
      </c>
    </row>
    <row r="293" spans="2:9" x14ac:dyDescent="0.2">
      <c r="B293" s="366">
        <v>42413</v>
      </c>
      <c r="C293" s="350">
        <v>33142</v>
      </c>
      <c r="D293" s="350">
        <v>33334</v>
      </c>
      <c r="E293" s="8">
        <f t="shared" ref="E293:E299" si="7">ABS(C293-D293)</f>
        <v>192</v>
      </c>
      <c r="F293" s="8"/>
      <c r="G293">
        <v>192</v>
      </c>
      <c r="H293" t="s">
        <v>385</v>
      </c>
      <c r="I293" s="367" t="s">
        <v>606</v>
      </c>
    </row>
    <row r="294" spans="2:9" x14ac:dyDescent="0.2">
      <c r="B294" s="366"/>
      <c r="C294" s="350">
        <v>33460</v>
      </c>
      <c r="D294" s="350">
        <v>33696</v>
      </c>
      <c r="E294" s="8">
        <f t="shared" si="7"/>
        <v>236</v>
      </c>
      <c r="F294" s="8"/>
      <c r="G294">
        <v>236</v>
      </c>
      <c r="H294" t="s">
        <v>385</v>
      </c>
      <c r="I294" s="367" t="s">
        <v>606</v>
      </c>
    </row>
    <row r="295" spans="2:9" x14ac:dyDescent="0.2">
      <c r="B295" s="366"/>
      <c r="C295" s="350">
        <v>33110</v>
      </c>
      <c r="D295" s="350">
        <v>33133.800000000003</v>
      </c>
      <c r="E295" s="8">
        <f t="shared" si="7"/>
        <v>23.80000000000291</v>
      </c>
      <c r="F295" s="8">
        <f>SUM(E293:E295)</f>
        <v>451.80000000000291</v>
      </c>
      <c r="G295">
        <v>23.8</v>
      </c>
      <c r="H295" t="s">
        <v>385</v>
      </c>
      <c r="I295" s="367" t="s">
        <v>606</v>
      </c>
    </row>
    <row r="296" spans="2:9" x14ac:dyDescent="0.2">
      <c r="B296" s="366">
        <v>42416</v>
      </c>
      <c r="C296" s="350">
        <v>25762</v>
      </c>
      <c r="D296" s="350">
        <v>25853</v>
      </c>
      <c r="E296" s="8">
        <f t="shared" si="7"/>
        <v>91</v>
      </c>
      <c r="F296" s="8">
        <f>E296</f>
        <v>91</v>
      </c>
      <c r="G296">
        <v>91</v>
      </c>
      <c r="H296" t="s">
        <v>373</v>
      </c>
      <c r="I296" s="367" t="s">
        <v>607</v>
      </c>
    </row>
    <row r="297" spans="2:9" x14ac:dyDescent="0.2">
      <c r="B297" s="366">
        <v>42416</v>
      </c>
      <c r="C297" s="350">
        <v>32963.9</v>
      </c>
      <c r="D297" s="350">
        <v>32994.400000000001</v>
      </c>
      <c r="E297" s="8">
        <f t="shared" si="7"/>
        <v>30.5</v>
      </c>
      <c r="F297" s="8"/>
      <c r="G297">
        <v>30.5</v>
      </c>
      <c r="H297" t="s">
        <v>377</v>
      </c>
      <c r="I297" s="367" t="s">
        <v>608</v>
      </c>
    </row>
    <row r="298" spans="2:9" x14ac:dyDescent="0.2">
      <c r="B298" s="366"/>
      <c r="C298" s="350">
        <v>33093.199999999997</v>
      </c>
      <c r="D298" s="350">
        <v>33110.800000000003</v>
      </c>
      <c r="E298" s="8">
        <f t="shared" si="7"/>
        <v>17.600000000005821</v>
      </c>
      <c r="F298" s="8"/>
      <c r="G298">
        <v>17.600000000000001</v>
      </c>
      <c r="H298" t="s">
        <v>377</v>
      </c>
      <c r="I298" s="367" t="s">
        <v>608</v>
      </c>
    </row>
    <row r="299" spans="2:9" x14ac:dyDescent="0.2">
      <c r="B299" s="366"/>
      <c r="C299" s="350">
        <v>33136.800000000003</v>
      </c>
      <c r="D299" s="350">
        <v>33147.300000000003</v>
      </c>
      <c r="E299" s="8">
        <f t="shared" si="7"/>
        <v>10.5</v>
      </c>
      <c r="F299" s="8"/>
      <c r="G299">
        <v>10.5</v>
      </c>
      <c r="H299" t="s">
        <v>377</v>
      </c>
      <c r="I299" s="367" t="s">
        <v>608</v>
      </c>
    </row>
    <row r="300" spans="2:9" x14ac:dyDescent="0.2">
      <c r="B300" s="366"/>
      <c r="C300" s="350">
        <v>33018</v>
      </c>
      <c r="D300" s="350">
        <v>33030</v>
      </c>
      <c r="E300" s="8">
        <f t="shared" ref="E300:E371" si="8">ABS(C300-D300)</f>
        <v>12</v>
      </c>
      <c r="F300" s="8">
        <f>SUM(E297:E300)</f>
        <v>70.600000000005821</v>
      </c>
      <c r="G300">
        <v>12</v>
      </c>
      <c r="H300" t="s">
        <v>377</v>
      </c>
      <c r="I300" s="367" t="s">
        <v>608</v>
      </c>
    </row>
    <row r="301" spans="2:9" x14ac:dyDescent="0.2">
      <c r="B301" s="366">
        <v>42417</v>
      </c>
      <c r="C301" s="350">
        <v>25683</v>
      </c>
      <c r="D301" s="350">
        <v>25710</v>
      </c>
      <c r="E301" s="8">
        <f>ABS(C301-D301)</f>
        <v>27</v>
      </c>
      <c r="F301" s="8"/>
      <c r="G301">
        <v>26.9</v>
      </c>
      <c r="H301" t="s">
        <v>373</v>
      </c>
      <c r="I301" s="367" t="s">
        <v>638</v>
      </c>
    </row>
    <row r="302" spans="2:9" x14ac:dyDescent="0.2">
      <c r="B302" s="366"/>
      <c r="C302" s="350">
        <v>25720</v>
      </c>
      <c r="D302" s="350">
        <v>25746</v>
      </c>
      <c r="E302" s="8">
        <f>ABS(C302-D302)</f>
        <v>26</v>
      </c>
      <c r="F302" s="8">
        <f>SUM(E301:E302)</f>
        <v>53</v>
      </c>
      <c r="G302">
        <v>26.3</v>
      </c>
      <c r="H302" t="s">
        <v>373</v>
      </c>
      <c r="I302" s="367" t="s">
        <v>638</v>
      </c>
    </row>
    <row r="303" spans="2:9" x14ac:dyDescent="0.2">
      <c r="B303" s="366">
        <v>42417</v>
      </c>
      <c r="C303" s="350">
        <v>29220</v>
      </c>
      <c r="D303" s="350">
        <v>29237.7</v>
      </c>
      <c r="E303" s="397">
        <v>17</v>
      </c>
      <c r="G303" s="330">
        <v>17.7</v>
      </c>
      <c r="H303" t="s">
        <v>367</v>
      </c>
      <c r="I303" s="367" t="s">
        <v>637</v>
      </c>
    </row>
    <row r="304" spans="2:9" x14ac:dyDescent="0.2">
      <c r="B304" s="366"/>
      <c r="C304" s="350">
        <v>29309</v>
      </c>
      <c r="D304" s="350">
        <v>29380</v>
      </c>
      <c r="E304" s="8">
        <f>ABS(C304-D304)</f>
        <v>71</v>
      </c>
      <c r="F304" s="8">
        <f>SUM(E303:E304)</f>
        <v>88</v>
      </c>
      <c r="G304">
        <v>71</v>
      </c>
      <c r="H304" t="s">
        <v>367</v>
      </c>
      <c r="I304" s="367" t="s">
        <v>637</v>
      </c>
    </row>
    <row r="305" spans="2:9" x14ac:dyDescent="0.2">
      <c r="B305" s="366">
        <v>42417</v>
      </c>
      <c r="C305" s="350">
        <v>34328</v>
      </c>
      <c r="D305" s="350">
        <v>34399.9</v>
      </c>
      <c r="E305" s="8">
        <f t="shared" si="8"/>
        <v>71.900000000001455</v>
      </c>
      <c r="F305" s="8"/>
      <c r="G305">
        <v>71.900000000000006</v>
      </c>
      <c r="H305" t="s">
        <v>385</v>
      </c>
      <c r="I305" s="367" t="s">
        <v>636</v>
      </c>
    </row>
    <row r="306" spans="2:9" x14ac:dyDescent="0.2">
      <c r="B306" s="366"/>
      <c r="C306" s="350">
        <v>34469.5</v>
      </c>
      <c r="D306" s="350">
        <v>34657.1</v>
      </c>
      <c r="E306" s="397">
        <f t="shared" si="8"/>
        <v>187.59999999999854</v>
      </c>
      <c r="F306" s="397"/>
      <c r="G306" s="330">
        <v>187.6</v>
      </c>
      <c r="H306" t="s">
        <v>385</v>
      </c>
      <c r="I306" s="367" t="s">
        <v>636</v>
      </c>
    </row>
    <row r="307" spans="2:9" x14ac:dyDescent="0.2">
      <c r="B307" s="366"/>
      <c r="C307" s="350">
        <v>34821.800000000003</v>
      </c>
      <c r="D307" s="350">
        <v>34830.9</v>
      </c>
      <c r="E307" s="8">
        <f t="shared" si="8"/>
        <v>9.0999999999985448</v>
      </c>
      <c r="F307" s="8"/>
      <c r="G307">
        <v>9.1</v>
      </c>
      <c r="H307" t="s">
        <v>385</v>
      </c>
      <c r="I307" s="367" t="s">
        <v>636</v>
      </c>
    </row>
    <row r="308" spans="2:9" x14ac:dyDescent="0.2">
      <c r="B308" s="366"/>
      <c r="C308" s="350">
        <v>34830.9</v>
      </c>
      <c r="D308" s="350">
        <v>34876.400000000001</v>
      </c>
      <c r="E308" s="8">
        <f t="shared" si="8"/>
        <v>45.5</v>
      </c>
      <c r="F308" s="8"/>
      <c r="G308">
        <v>45.5</v>
      </c>
      <c r="H308" t="s">
        <v>385</v>
      </c>
      <c r="I308" s="367" t="s">
        <v>636</v>
      </c>
    </row>
    <row r="309" spans="2:9" x14ac:dyDescent="0.2">
      <c r="B309" s="366"/>
      <c r="C309" s="350">
        <v>34933.800000000003</v>
      </c>
      <c r="D309" s="350">
        <v>34996.9</v>
      </c>
      <c r="E309" s="8">
        <f t="shared" si="8"/>
        <v>63.099999999998545</v>
      </c>
      <c r="F309" s="8"/>
      <c r="G309">
        <v>63.1</v>
      </c>
      <c r="H309" t="s">
        <v>385</v>
      </c>
      <c r="I309" s="367" t="s">
        <v>636</v>
      </c>
    </row>
    <row r="310" spans="2:9" x14ac:dyDescent="0.2">
      <c r="B310" s="366"/>
      <c r="C310" s="350">
        <v>34996.9</v>
      </c>
      <c r="D310" s="350">
        <v>35005.9</v>
      </c>
      <c r="E310" s="8">
        <f t="shared" si="8"/>
        <v>9</v>
      </c>
      <c r="F310" s="397">
        <f>SUM(E305:E310)</f>
        <v>386.19999999999709</v>
      </c>
      <c r="G310">
        <v>9</v>
      </c>
      <c r="H310" t="s">
        <v>385</v>
      </c>
      <c r="I310" s="367" t="s">
        <v>636</v>
      </c>
    </row>
    <row r="311" spans="2:9" x14ac:dyDescent="0.2">
      <c r="B311" s="366">
        <v>42417</v>
      </c>
      <c r="C311" s="350">
        <v>25488</v>
      </c>
      <c r="D311" s="350">
        <v>25513</v>
      </c>
      <c r="E311" s="8">
        <f t="shared" si="8"/>
        <v>25</v>
      </c>
      <c r="F311" s="8">
        <v>25</v>
      </c>
      <c r="G311">
        <v>26.3</v>
      </c>
      <c r="H311" t="s">
        <v>373</v>
      </c>
      <c r="I311" s="367" t="s">
        <v>639</v>
      </c>
    </row>
    <row r="312" spans="2:9" x14ac:dyDescent="0.2">
      <c r="B312" s="366">
        <v>42418</v>
      </c>
      <c r="C312" s="350">
        <v>35475.4</v>
      </c>
      <c r="D312" s="350">
        <v>35520.6</v>
      </c>
      <c r="E312" s="8">
        <f t="shared" si="8"/>
        <v>45.19999999999709</v>
      </c>
      <c r="F312" s="8"/>
      <c r="G312">
        <v>45.2</v>
      </c>
      <c r="H312" t="s">
        <v>385</v>
      </c>
      <c r="I312" s="367" t="s">
        <v>640</v>
      </c>
    </row>
    <row r="313" spans="2:9" x14ac:dyDescent="0.2">
      <c r="B313" s="366"/>
      <c r="C313" s="350">
        <v>36312.1</v>
      </c>
      <c r="D313" s="350">
        <v>36472.699999999997</v>
      </c>
      <c r="E313" s="8">
        <f t="shared" si="8"/>
        <v>160.59999999999854</v>
      </c>
      <c r="F313" s="8"/>
      <c r="G313">
        <v>160.6</v>
      </c>
      <c r="H313" t="s">
        <v>385</v>
      </c>
      <c r="I313" s="367" t="s">
        <v>640</v>
      </c>
    </row>
    <row r="314" spans="2:9" x14ac:dyDescent="0.2">
      <c r="B314" s="366"/>
      <c r="C314" s="350">
        <v>36101</v>
      </c>
      <c r="D314" s="350">
        <v>36172.800000000003</v>
      </c>
      <c r="E314" s="8">
        <f t="shared" si="8"/>
        <v>71.80000000000291</v>
      </c>
      <c r="F314" s="8">
        <f>SUM(E312:E314)</f>
        <v>277.59999999999854</v>
      </c>
      <c r="G314">
        <v>71.8</v>
      </c>
      <c r="H314" t="s">
        <v>385</v>
      </c>
      <c r="I314" s="367" t="s">
        <v>640</v>
      </c>
    </row>
    <row r="315" spans="2:9" x14ac:dyDescent="0.2">
      <c r="B315" s="366">
        <v>42419</v>
      </c>
      <c r="C315" s="350">
        <v>36670.5</v>
      </c>
      <c r="D315" s="350">
        <v>36965.800000000003</v>
      </c>
      <c r="E315" s="8">
        <f>ABS(C315-D315)</f>
        <v>295.30000000000291</v>
      </c>
      <c r="F315" s="8"/>
      <c r="G315">
        <v>295.3</v>
      </c>
      <c r="H315" t="s">
        <v>385</v>
      </c>
      <c r="I315" s="367" t="s">
        <v>641</v>
      </c>
    </row>
    <row r="316" spans="2:9" x14ac:dyDescent="0.2">
      <c r="B316" s="366"/>
      <c r="C316" s="350">
        <v>37213.9</v>
      </c>
      <c r="D316" s="350">
        <v>37356.800000000003</v>
      </c>
      <c r="E316" s="8">
        <f>ABS(C316-D316)</f>
        <v>142.90000000000146</v>
      </c>
      <c r="F316" s="8"/>
      <c r="G316">
        <v>142.9</v>
      </c>
      <c r="H316" t="s">
        <v>385</v>
      </c>
      <c r="I316" s="367" t="s">
        <v>641</v>
      </c>
    </row>
    <row r="317" spans="2:9" x14ac:dyDescent="0.2">
      <c r="B317" s="366"/>
      <c r="C317" s="350">
        <v>37062.6</v>
      </c>
      <c r="D317" s="350">
        <v>37133.9</v>
      </c>
      <c r="E317" s="8">
        <f>ABS(C317-D317)</f>
        <v>71.30000000000291</v>
      </c>
      <c r="F317" s="8">
        <f>SUM(E315:E317)</f>
        <v>509.50000000000728</v>
      </c>
      <c r="G317">
        <v>71.3</v>
      </c>
      <c r="H317" t="s">
        <v>385</v>
      </c>
      <c r="I317" s="367" t="s">
        <v>641</v>
      </c>
    </row>
    <row r="318" spans="2:9" x14ac:dyDescent="0.2">
      <c r="B318" s="366">
        <v>42420</v>
      </c>
      <c r="C318" s="350">
        <v>37491.800000000003</v>
      </c>
      <c r="D318" s="350">
        <v>37634.5</v>
      </c>
      <c r="E318" s="8">
        <f t="shared" si="8"/>
        <v>142.69999999999709</v>
      </c>
      <c r="F318" s="8"/>
      <c r="G318">
        <v>142.69999999999999</v>
      </c>
      <c r="H318" t="s">
        <v>385</v>
      </c>
      <c r="I318" s="367" t="s">
        <v>642</v>
      </c>
    </row>
    <row r="319" spans="2:9" x14ac:dyDescent="0.2">
      <c r="B319" s="366"/>
      <c r="C319" s="350">
        <v>37802.199999999997</v>
      </c>
      <c r="D319" s="350">
        <v>37965</v>
      </c>
      <c r="E319" s="8">
        <f t="shared" si="8"/>
        <v>162.80000000000291</v>
      </c>
      <c r="F319" s="8"/>
      <c r="G319">
        <v>162.80000000000001</v>
      </c>
      <c r="H319" t="s">
        <v>385</v>
      </c>
      <c r="I319" s="367" t="s">
        <v>642</v>
      </c>
    </row>
    <row r="320" spans="2:9" x14ac:dyDescent="0.2">
      <c r="B320" s="366"/>
      <c r="C320" s="350">
        <v>37965</v>
      </c>
      <c r="D320" s="350">
        <v>38055</v>
      </c>
      <c r="E320" s="8">
        <f t="shared" si="8"/>
        <v>90</v>
      </c>
      <c r="F320" s="8"/>
      <c r="G320">
        <v>90</v>
      </c>
      <c r="H320" t="s">
        <v>385</v>
      </c>
      <c r="I320" s="367" t="s">
        <v>642</v>
      </c>
    </row>
    <row r="321" spans="2:10" x14ac:dyDescent="0.2">
      <c r="B321" s="366"/>
      <c r="C321" s="350">
        <v>38130.699999999997</v>
      </c>
      <c r="D321" s="350">
        <v>38185</v>
      </c>
      <c r="E321" s="8">
        <f t="shared" si="8"/>
        <v>54.30000000000291</v>
      </c>
      <c r="F321" s="8"/>
      <c r="G321">
        <v>54.3</v>
      </c>
      <c r="H321" t="s">
        <v>385</v>
      </c>
      <c r="I321" s="367" t="s">
        <v>642</v>
      </c>
    </row>
    <row r="322" spans="2:10" x14ac:dyDescent="0.2">
      <c r="B322" s="366"/>
      <c r="C322" s="350">
        <v>38225.599999999999</v>
      </c>
      <c r="D322" s="350">
        <v>38351.599999999999</v>
      </c>
      <c r="E322" s="8">
        <f t="shared" si="8"/>
        <v>126</v>
      </c>
      <c r="F322" s="8"/>
      <c r="G322">
        <v>126</v>
      </c>
      <c r="H322" t="s">
        <v>385</v>
      </c>
      <c r="I322" s="367" t="s">
        <v>642</v>
      </c>
    </row>
    <row r="323" spans="2:10" x14ac:dyDescent="0.2">
      <c r="B323" s="366"/>
      <c r="C323" s="350">
        <v>38770.6</v>
      </c>
      <c r="D323" s="350">
        <v>38842.800000000003</v>
      </c>
      <c r="E323" s="8">
        <f t="shared" si="8"/>
        <v>72.200000000004366</v>
      </c>
      <c r="F323" s="8"/>
      <c r="G323">
        <v>72.2</v>
      </c>
      <c r="H323" t="s">
        <v>385</v>
      </c>
      <c r="I323" s="367" t="s">
        <v>642</v>
      </c>
    </row>
    <row r="324" spans="2:10" x14ac:dyDescent="0.2">
      <c r="B324" s="366"/>
      <c r="C324" s="350">
        <v>38921.4</v>
      </c>
      <c r="D324" s="350">
        <v>38984.300000000003</v>
      </c>
      <c r="E324" s="8">
        <f t="shared" si="8"/>
        <v>62.900000000001455</v>
      </c>
      <c r="F324" s="8">
        <f>SUM(E318:E324)</f>
        <v>710.90000000000873</v>
      </c>
      <c r="G324">
        <v>62.9</v>
      </c>
      <c r="H324" t="s">
        <v>385</v>
      </c>
      <c r="I324" s="367" t="s">
        <v>642</v>
      </c>
    </row>
    <row r="325" spans="2:10" x14ac:dyDescent="0.2">
      <c r="B325" s="366">
        <v>42420</v>
      </c>
      <c r="C325" s="350">
        <v>25606</v>
      </c>
      <c r="D325" s="350">
        <v>25633</v>
      </c>
      <c r="E325" s="8">
        <f>ABS(C325-D325)</f>
        <v>27</v>
      </c>
      <c r="F325" s="8">
        <f>E325</f>
        <v>27</v>
      </c>
      <c r="G325">
        <v>26.5</v>
      </c>
      <c r="H325" t="s">
        <v>373</v>
      </c>
      <c r="I325" s="367" t="s">
        <v>643</v>
      </c>
    </row>
    <row r="326" spans="2:10" x14ac:dyDescent="0.2">
      <c r="B326" s="366">
        <v>42421</v>
      </c>
      <c r="C326" s="350">
        <v>39043.599999999999</v>
      </c>
      <c r="D326" s="350">
        <v>39099.800000000003</v>
      </c>
      <c r="E326" s="8">
        <f t="shared" si="8"/>
        <v>56.200000000004366</v>
      </c>
      <c r="F326" s="8"/>
      <c r="G326">
        <v>56.2</v>
      </c>
      <c r="H326" t="s">
        <v>385</v>
      </c>
      <c r="I326" s="367" t="s">
        <v>672</v>
      </c>
    </row>
    <row r="327" spans="2:10" x14ac:dyDescent="0.2">
      <c r="B327" s="366"/>
      <c r="C327" s="350">
        <v>39102.1</v>
      </c>
      <c r="D327" s="350">
        <v>39182.9</v>
      </c>
      <c r="E327" s="8">
        <f t="shared" si="8"/>
        <v>80.80000000000291</v>
      </c>
      <c r="F327" s="8"/>
      <c r="G327">
        <v>80.8</v>
      </c>
      <c r="H327" t="s">
        <v>385</v>
      </c>
      <c r="I327" s="367" t="s">
        <v>672</v>
      </c>
    </row>
    <row r="328" spans="2:10" x14ac:dyDescent="0.2">
      <c r="B328" s="366"/>
      <c r="C328" s="350">
        <v>39588.6</v>
      </c>
      <c r="D328" s="350">
        <v>39633.599999999999</v>
      </c>
      <c r="E328" s="8">
        <f t="shared" si="8"/>
        <v>45</v>
      </c>
      <c r="F328" s="8"/>
      <c r="G328">
        <v>45</v>
      </c>
      <c r="H328" t="s">
        <v>385</v>
      </c>
      <c r="I328" s="367" t="s">
        <v>672</v>
      </c>
    </row>
    <row r="329" spans="2:10" x14ac:dyDescent="0.2">
      <c r="B329" s="366"/>
      <c r="C329" s="432">
        <v>39741.9</v>
      </c>
      <c r="D329" s="350">
        <v>39804.9</v>
      </c>
      <c r="E329" s="8">
        <f t="shared" si="8"/>
        <v>63</v>
      </c>
      <c r="F329" s="8"/>
      <c r="G329">
        <v>63</v>
      </c>
      <c r="H329" t="s">
        <v>385</v>
      </c>
      <c r="I329" s="367" t="s">
        <v>672</v>
      </c>
      <c r="J329" s="431" t="s">
        <v>813</v>
      </c>
    </row>
    <row r="330" spans="2:10" x14ac:dyDescent="0.2">
      <c r="B330" s="366"/>
      <c r="C330" s="350">
        <v>39882.5</v>
      </c>
      <c r="D330" s="419">
        <v>39900.5</v>
      </c>
      <c r="E330" s="8">
        <f t="shared" si="8"/>
        <v>18</v>
      </c>
      <c r="F330" s="8"/>
      <c r="G330">
        <v>18</v>
      </c>
      <c r="H330" t="s">
        <v>385</v>
      </c>
      <c r="I330" s="367" t="s">
        <v>672</v>
      </c>
      <c r="J330" s="382" t="s">
        <v>815</v>
      </c>
    </row>
    <row r="331" spans="2:10" x14ac:dyDescent="0.2">
      <c r="B331" s="366"/>
      <c r="C331" s="350">
        <v>40079.5</v>
      </c>
      <c r="D331" s="350">
        <v>40115.5</v>
      </c>
      <c r="E331" s="8">
        <f t="shared" si="8"/>
        <v>36</v>
      </c>
      <c r="F331" s="8">
        <f>SUM(E326:E331)</f>
        <v>299.00000000000728</v>
      </c>
      <c r="G331">
        <v>36</v>
      </c>
      <c r="H331" t="s">
        <v>385</v>
      </c>
      <c r="I331" s="367" t="s">
        <v>672</v>
      </c>
    </row>
    <row r="332" spans="2:10" x14ac:dyDescent="0.2">
      <c r="B332" s="366">
        <v>42422</v>
      </c>
      <c r="C332" s="350">
        <v>40303</v>
      </c>
      <c r="D332" s="350">
        <v>40526</v>
      </c>
      <c r="E332" s="8">
        <f t="shared" si="8"/>
        <v>223</v>
      </c>
      <c r="F332" s="8"/>
      <c r="G332">
        <v>223</v>
      </c>
      <c r="H332" t="s">
        <v>385</v>
      </c>
      <c r="I332" s="367" t="s">
        <v>673</v>
      </c>
    </row>
    <row r="333" spans="2:10" x14ac:dyDescent="0.2">
      <c r="B333" s="366"/>
      <c r="C333" s="350">
        <v>40922</v>
      </c>
      <c r="D333" s="350">
        <v>40982.5</v>
      </c>
      <c r="E333" s="8">
        <f t="shared" si="8"/>
        <v>60.5</v>
      </c>
      <c r="F333" s="8"/>
      <c r="G333">
        <v>60.5</v>
      </c>
      <c r="H333" t="s">
        <v>385</v>
      </c>
      <c r="I333" s="367" t="s">
        <v>673</v>
      </c>
    </row>
    <row r="334" spans="2:10" x14ac:dyDescent="0.2">
      <c r="B334" s="366"/>
      <c r="C334" s="350">
        <v>41089</v>
      </c>
      <c r="D334" s="350">
        <v>41106</v>
      </c>
      <c r="E334" s="8">
        <v>18</v>
      </c>
      <c r="F334" s="8">
        <f>SUM(E332:E334)</f>
        <v>301.5</v>
      </c>
      <c r="G334">
        <v>18</v>
      </c>
      <c r="H334" t="s">
        <v>385</v>
      </c>
      <c r="I334" s="367" t="s">
        <v>673</v>
      </c>
    </row>
    <row r="335" spans="2:10" x14ac:dyDescent="0.2">
      <c r="B335" s="366">
        <v>42423</v>
      </c>
      <c r="C335" s="350">
        <v>41359</v>
      </c>
      <c r="D335" s="350">
        <v>41475.300000000003</v>
      </c>
      <c r="E335" s="8">
        <f>ABS(C335-D335)</f>
        <v>116.30000000000291</v>
      </c>
      <c r="F335" s="8"/>
      <c r="G335">
        <v>116.3</v>
      </c>
      <c r="H335" t="s">
        <v>385</v>
      </c>
      <c r="I335" s="367" t="s">
        <v>674</v>
      </c>
    </row>
    <row r="336" spans="2:10" x14ac:dyDescent="0.2">
      <c r="B336" s="366"/>
      <c r="C336" s="350">
        <v>41194</v>
      </c>
      <c r="D336" s="423">
        <v>41274</v>
      </c>
      <c r="E336" s="8">
        <f t="shared" si="8"/>
        <v>80</v>
      </c>
      <c r="F336" s="8"/>
      <c r="G336">
        <v>80</v>
      </c>
      <c r="H336" t="s">
        <v>385</v>
      </c>
      <c r="I336" s="367" t="s">
        <v>674</v>
      </c>
      <c r="J336" t="s">
        <v>819</v>
      </c>
    </row>
    <row r="337" spans="2:11" x14ac:dyDescent="0.2">
      <c r="B337" s="366"/>
      <c r="C337" s="350">
        <v>41569</v>
      </c>
      <c r="D337" s="350">
        <v>41587</v>
      </c>
      <c r="E337" s="8">
        <f t="shared" si="8"/>
        <v>18</v>
      </c>
      <c r="F337" s="8"/>
      <c r="G337">
        <v>18</v>
      </c>
      <c r="H337" t="s">
        <v>385</v>
      </c>
      <c r="I337" s="367" t="s">
        <v>674</v>
      </c>
    </row>
    <row r="338" spans="2:11" x14ac:dyDescent="0.2">
      <c r="B338" s="366"/>
      <c r="C338" s="350">
        <v>41666</v>
      </c>
      <c r="D338" s="350">
        <v>41692.6</v>
      </c>
      <c r="E338" s="8">
        <f t="shared" si="8"/>
        <v>26.599999999998545</v>
      </c>
      <c r="F338" s="8"/>
      <c r="G338">
        <v>26.6</v>
      </c>
      <c r="H338" t="s">
        <v>385</v>
      </c>
      <c r="I338" s="367" t="s">
        <v>674</v>
      </c>
    </row>
    <row r="339" spans="2:11" x14ac:dyDescent="0.2">
      <c r="B339" s="366"/>
      <c r="C339" s="350">
        <v>42021</v>
      </c>
      <c r="D339" s="350">
        <v>42066</v>
      </c>
      <c r="E339" s="8">
        <f t="shared" si="8"/>
        <v>45</v>
      </c>
      <c r="F339" s="8"/>
      <c r="G339">
        <v>45</v>
      </c>
      <c r="H339" t="s">
        <v>385</v>
      </c>
      <c r="I339" s="367" t="s">
        <v>674</v>
      </c>
    </row>
    <row r="340" spans="2:11" x14ac:dyDescent="0.2">
      <c r="B340" s="366"/>
      <c r="C340" s="350">
        <v>42079</v>
      </c>
      <c r="D340" s="350">
        <v>42106.3</v>
      </c>
      <c r="E340" s="8">
        <f t="shared" si="8"/>
        <v>27.30000000000291</v>
      </c>
      <c r="F340" s="8"/>
      <c r="G340">
        <v>27.3</v>
      </c>
      <c r="H340" t="s">
        <v>385</v>
      </c>
      <c r="I340" s="367" t="s">
        <v>674</v>
      </c>
    </row>
    <row r="341" spans="2:11" x14ac:dyDescent="0.2">
      <c r="B341" s="366"/>
      <c r="C341" s="350">
        <v>42504</v>
      </c>
      <c r="D341" s="350">
        <v>42522.2</v>
      </c>
      <c r="E341" s="8">
        <f t="shared" si="8"/>
        <v>18.19999999999709</v>
      </c>
      <c r="F341" s="8"/>
      <c r="G341">
        <v>18.2</v>
      </c>
      <c r="H341" t="s">
        <v>385</v>
      </c>
      <c r="I341" s="367" t="s">
        <v>674</v>
      </c>
    </row>
    <row r="342" spans="2:11" x14ac:dyDescent="0.2">
      <c r="B342" s="366"/>
      <c r="C342" s="350">
        <v>42474</v>
      </c>
      <c r="D342" s="350">
        <v>42483.199999999997</v>
      </c>
      <c r="E342" s="8">
        <f t="shared" si="8"/>
        <v>9.1999999999970896</v>
      </c>
      <c r="F342" s="8"/>
      <c r="G342">
        <v>9.1999999999999993</v>
      </c>
      <c r="H342" t="s">
        <v>385</v>
      </c>
      <c r="I342" s="367" t="s">
        <v>674</v>
      </c>
    </row>
    <row r="343" spans="2:11" x14ac:dyDescent="0.2">
      <c r="B343" s="366"/>
      <c r="C343" s="350">
        <v>42629.8</v>
      </c>
      <c r="D343" s="350">
        <v>42639</v>
      </c>
      <c r="E343" s="8">
        <f t="shared" si="8"/>
        <v>9.1999999999970896</v>
      </c>
      <c r="F343" s="8">
        <f>SUM(E335:E343)</f>
        <v>349.79999999999563</v>
      </c>
      <c r="G343">
        <v>9.1999999999999993</v>
      </c>
      <c r="H343" t="s">
        <v>385</v>
      </c>
      <c r="I343" s="367" t="s">
        <v>674</v>
      </c>
    </row>
    <row r="344" spans="2:11" x14ac:dyDescent="0.2">
      <c r="B344" s="366">
        <v>42423</v>
      </c>
      <c r="C344" s="350">
        <v>39008.199999999997</v>
      </c>
      <c r="D344" s="350">
        <v>38990</v>
      </c>
      <c r="E344" s="8">
        <f t="shared" ref="E344:E345" si="9">ABS(C344-D344)</f>
        <v>18.19999999999709</v>
      </c>
      <c r="F344" s="8"/>
      <c r="G344">
        <v>18.2</v>
      </c>
      <c r="H344" t="s">
        <v>377</v>
      </c>
      <c r="I344" s="367" t="s">
        <v>706</v>
      </c>
    </row>
    <row r="345" spans="2:11" x14ac:dyDescent="0.2">
      <c r="B345" s="366"/>
      <c r="C345" s="350">
        <v>39026.699999999997</v>
      </c>
      <c r="D345" s="350">
        <v>39035.699999999997</v>
      </c>
      <c r="E345" s="8">
        <f t="shared" si="9"/>
        <v>9</v>
      </c>
      <c r="F345" s="8">
        <f>SUM(E344:E345)</f>
        <v>27.19999999999709</v>
      </c>
      <c r="G345">
        <v>9</v>
      </c>
      <c r="H345" t="s">
        <v>377</v>
      </c>
      <c r="I345" s="367" t="s">
        <v>706</v>
      </c>
    </row>
    <row r="346" spans="2:11" x14ac:dyDescent="0.2">
      <c r="B346" s="366">
        <v>42424</v>
      </c>
      <c r="C346" s="350">
        <v>32540</v>
      </c>
      <c r="D346" s="350">
        <v>32567</v>
      </c>
      <c r="E346" s="8">
        <f>ABS(C346-D346)</f>
        <v>27</v>
      </c>
      <c r="F346" s="8"/>
      <c r="G346">
        <v>27</v>
      </c>
      <c r="H346" t="s">
        <v>367</v>
      </c>
      <c r="I346" s="367" t="s">
        <v>707</v>
      </c>
    </row>
    <row r="347" spans="2:11" x14ac:dyDescent="0.2">
      <c r="B347" s="366"/>
      <c r="C347" s="402">
        <v>32738</v>
      </c>
      <c r="D347" s="402">
        <v>32796</v>
      </c>
      <c r="E347" s="397">
        <f>ABS(C347-D347)</f>
        <v>58</v>
      </c>
      <c r="G347" s="330">
        <v>58</v>
      </c>
      <c r="H347" s="330" t="s">
        <v>367</v>
      </c>
      <c r="I347" s="408" t="s">
        <v>707</v>
      </c>
      <c r="J347" s="330" t="s">
        <v>741</v>
      </c>
      <c r="K347" s="330"/>
    </row>
    <row r="348" spans="2:11" x14ac:dyDescent="0.2">
      <c r="B348" s="366"/>
      <c r="C348" s="350">
        <v>32858</v>
      </c>
      <c r="D348" s="350">
        <v>32898</v>
      </c>
      <c r="E348" s="8">
        <f t="shared" si="8"/>
        <v>40</v>
      </c>
      <c r="F348" s="8">
        <f>SUM(E346:E348)</f>
        <v>125</v>
      </c>
      <c r="G348">
        <v>39</v>
      </c>
      <c r="H348" t="s">
        <v>367</v>
      </c>
      <c r="I348" s="367" t="s">
        <v>707</v>
      </c>
    </row>
    <row r="349" spans="2:11" x14ac:dyDescent="0.2">
      <c r="B349" s="366">
        <v>42412</v>
      </c>
      <c r="C349" s="404">
        <v>32765.5</v>
      </c>
      <c r="D349" s="404">
        <v>32784</v>
      </c>
      <c r="E349" s="405">
        <f>ABS(C349-D349)*-1</f>
        <v>-18.5</v>
      </c>
      <c r="F349">
        <v>-18.5</v>
      </c>
      <c r="G349" s="406">
        <v>-18.5</v>
      </c>
      <c r="H349" s="406" t="s">
        <v>385</v>
      </c>
      <c r="I349" s="407" t="s">
        <v>600</v>
      </c>
    </row>
    <row r="350" spans="2:11" x14ac:dyDescent="0.2">
      <c r="B350" s="366">
        <v>42425</v>
      </c>
      <c r="C350" s="350">
        <v>35006</v>
      </c>
      <c r="D350" s="350">
        <v>35072</v>
      </c>
      <c r="E350" s="8">
        <f t="shared" si="8"/>
        <v>66</v>
      </c>
      <c r="F350" s="8"/>
      <c r="G350">
        <v>66.3</v>
      </c>
      <c r="H350" t="s">
        <v>373</v>
      </c>
      <c r="I350" s="367" t="s">
        <v>679</v>
      </c>
    </row>
    <row r="351" spans="2:11" x14ac:dyDescent="0.2">
      <c r="B351" s="366"/>
      <c r="C351" s="350">
        <v>34407</v>
      </c>
      <c r="D351" s="350">
        <v>34468</v>
      </c>
      <c r="E351" s="8">
        <f t="shared" si="8"/>
        <v>61</v>
      </c>
      <c r="F351" s="8">
        <f>SUM(E350:E351)</f>
        <v>127</v>
      </c>
      <c r="G351">
        <v>60.9</v>
      </c>
      <c r="H351" t="s">
        <v>373</v>
      </c>
      <c r="I351" s="367" t="s">
        <v>679</v>
      </c>
    </row>
    <row r="352" spans="2:11" x14ac:dyDescent="0.2">
      <c r="B352" s="366">
        <v>42425</v>
      </c>
      <c r="C352" s="350">
        <v>42925.7</v>
      </c>
      <c r="D352" s="422">
        <v>43023.9</v>
      </c>
      <c r="E352" s="8">
        <f t="shared" si="8"/>
        <v>98.200000000004366</v>
      </c>
      <c r="F352" s="8"/>
      <c r="G352">
        <v>98.2</v>
      </c>
      <c r="H352" t="s">
        <v>385</v>
      </c>
      <c r="I352" s="367" t="s">
        <v>691</v>
      </c>
      <c r="J352" t="s">
        <v>818</v>
      </c>
    </row>
    <row r="353" spans="2:10" x14ac:dyDescent="0.2">
      <c r="B353" s="366"/>
      <c r="C353" s="350">
        <v>43140</v>
      </c>
      <c r="D353" s="350">
        <v>43701.599999999999</v>
      </c>
      <c r="E353" s="8">
        <f t="shared" si="8"/>
        <v>561.59999999999854</v>
      </c>
      <c r="F353" s="8"/>
      <c r="G353">
        <v>561.6</v>
      </c>
      <c r="H353" t="s">
        <v>385</v>
      </c>
      <c r="I353" s="367" t="s">
        <v>691</v>
      </c>
    </row>
    <row r="354" spans="2:10" x14ac:dyDescent="0.2">
      <c r="B354" s="366"/>
      <c r="C354" s="350">
        <v>43845</v>
      </c>
      <c r="D354" s="350">
        <v>44068</v>
      </c>
      <c r="E354" s="8">
        <f t="shared" si="8"/>
        <v>223</v>
      </c>
      <c r="F354" s="8"/>
      <c r="G354">
        <v>223</v>
      </c>
      <c r="H354" t="s">
        <v>385</v>
      </c>
      <c r="I354" s="367" t="s">
        <v>691</v>
      </c>
    </row>
    <row r="355" spans="2:10" x14ac:dyDescent="0.2">
      <c r="B355" s="366"/>
      <c r="C355" s="350">
        <v>44109</v>
      </c>
      <c r="D355" s="350">
        <v>44261.7</v>
      </c>
      <c r="E355" s="8">
        <f t="shared" si="8"/>
        <v>152.69999999999709</v>
      </c>
      <c r="F355" s="8"/>
      <c r="G355">
        <v>152.69999999999999</v>
      </c>
      <c r="H355" t="s">
        <v>385</v>
      </c>
      <c r="I355" s="367" t="s">
        <v>691</v>
      </c>
    </row>
    <row r="356" spans="2:10" x14ac:dyDescent="0.2">
      <c r="B356" s="366"/>
      <c r="C356" s="350">
        <v>44283</v>
      </c>
      <c r="D356" s="350">
        <v>44371.9</v>
      </c>
      <c r="E356" s="8">
        <f t="shared" si="8"/>
        <v>88.900000000001455</v>
      </c>
      <c r="F356" s="8">
        <f>SUM(E352:E356)</f>
        <v>1124.4000000000015</v>
      </c>
      <c r="G356">
        <v>88.9</v>
      </c>
      <c r="H356" t="s">
        <v>385</v>
      </c>
      <c r="I356" s="367" t="s">
        <v>691</v>
      </c>
    </row>
    <row r="357" spans="2:10" x14ac:dyDescent="0.2">
      <c r="B357" s="366">
        <v>42426</v>
      </c>
      <c r="C357" s="350">
        <v>44590</v>
      </c>
      <c r="D357" s="350">
        <v>44661.599999999999</v>
      </c>
      <c r="E357" s="8">
        <f t="shared" si="8"/>
        <v>71.599999999998545</v>
      </c>
      <c r="F357" s="8"/>
      <c r="G357">
        <v>71.599999999999994</v>
      </c>
      <c r="H357" t="s">
        <v>385</v>
      </c>
      <c r="I357" s="367" t="s">
        <v>692</v>
      </c>
    </row>
    <row r="358" spans="2:10" x14ac:dyDescent="0.2">
      <c r="B358" s="366"/>
      <c r="C358" s="350">
        <v>44692.7</v>
      </c>
      <c r="D358" s="441">
        <v>44763.7</v>
      </c>
      <c r="E358" s="8">
        <f t="shared" si="8"/>
        <v>71</v>
      </c>
      <c r="F358" s="8"/>
      <c r="G358">
        <v>71</v>
      </c>
      <c r="H358" t="s">
        <v>385</v>
      </c>
      <c r="I358" s="367" t="s">
        <v>692</v>
      </c>
      <c r="J358" t="s">
        <v>833</v>
      </c>
    </row>
    <row r="359" spans="2:10" x14ac:dyDescent="0.2">
      <c r="B359" s="366"/>
      <c r="C359" s="350">
        <v>44834</v>
      </c>
      <c r="D359" s="350">
        <v>44959</v>
      </c>
      <c r="E359" s="8">
        <f t="shared" si="8"/>
        <v>125</v>
      </c>
      <c r="F359" s="8"/>
      <c r="G359">
        <v>125</v>
      </c>
      <c r="H359" t="s">
        <v>385</v>
      </c>
      <c r="I359" s="367" t="s">
        <v>692</v>
      </c>
    </row>
    <row r="360" spans="2:10" x14ac:dyDescent="0.2">
      <c r="B360" s="366"/>
      <c r="C360" s="350">
        <v>45446</v>
      </c>
      <c r="D360" s="350">
        <v>45464.2</v>
      </c>
      <c r="E360" s="8">
        <f t="shared" si="8"/>
        <v>18.19999999999709</v>
      </c>
      <c r="F360" s="8"/>
      <c r="G360">
        <v>18.2</v>
      </c>
      <c r="H360" t="s">
        <v>385</v>
      </c>
      <c r="I360" s="367" t="s">
        <v>692</v>
      </c>
    </row>
    <row r="361" spans="2:10" x14ac:dyDescent="0.2">
      <c r="B361" s="366"/>
      <c r="C361" s="350">
        <v>45475</v>
      </c>
      <c r="D361" s="350">
        <v>45528.800000000003</v>
      </c>
      <c r="E361" s="8">
        <f t="shared" si="8"/>
        <v>53.80000000000291</v>
      </c>
      <c r="F361" s="8"/>
      <c r="G361">
        <v>53.8</v>
      </c>
      <c r="H361" t="s">
        <v>385</v>
      </c>
      <c r="I361" s="367" t="s">
        <v>692</v>
      </c>
    </row>
    <row r="362" spans="2:10" x14ac:dyDescent="0.2">
      <c r="B362" s="366"/>
      <c r="C362" s="350">
        <v>45565.8</v>
      </c>
      <c r="D362" s="350">
        <v>45601.7</v>
      </c>
      <c r="E362" s="8">
        <f t="shared" si="8"/>
        <v>35.899999999994179</v>
      </c>
      <c r="F362" s="8">
        <f>SUM(E357:E362)</f>
        <v>375.49999999999272</v>
      </c>
      <c r="G362">
        <v>35.9</v>
      </c>
      <c r="H362" t="s">
        <v>385</v>
      </c>
      <c r="I362" s="367" t="s">
        <v>692</v>
      </c>
    </row>
    <row r="363" spans="2:10" x14ac:dyDescent="0.2">
      <c r="B363" s="366">
        <v>42427</v>
      </c>
      <c r="C363" s="350">
        <v>45725.599999999999</v>
      </c>
      <c r="D363" s="350">
        <v>45867.3</v>
      </c>
      <c r="E363" s="8">
        <f t="shared" si="8"/>
        <v>141.70000000000437</v>
      </c>
      <c r="F363" s="8"/>
      <c r="G363">
        <v>141.69999999999999</v>
      </c>
      <c r="H363" t="s">
        <v>385</v>
      </c>
      <c r="I363" s="367" t="s">
        <v>710</v>
      </c>
    </row>
    <row r="364" spans="2:10" x14ac:dyDescent="0.2">
      <c r="B364" s="366"/>
      <c r="C364" s="350">
        <v>45926</v>
      </c>
      <c r="D364" s="350">
        <v>46188.4</v>
      </c>
      <c r="E364" s="8">
        <f t="shared" si="8"/>
        <v>262.40000000000146</v>
      </c>
      <c r="F364" s="8"/>
      <c r="G364">
        <v>262.39999999999998</v>
      </c>
      <c r="H364" t="s">
        <v>385</v>
      </c>
      <c r="I364" s="367" t="s">
        <v>710</v>
      </c>
    </row>
    <row r="365" spans="2:10" x14ac:dyDescent="0.2">
      <c r="B365" s="366"/>
      <c r="C365" s="350">
        <v>46236.2</v>
      </c>
      <c r="D365" s="350">
        <v>46245.4</v>
      </c>
      <c r="E365" s="8">
        <f t="shared" si="8"/>
        <v>9.2000000000043656</v>
      </c>
      <c r="F365" s="8"/>
      <c r="G365">
        <v>9.1999999999999993</v>
      </c>
      <c r="H365" t="s">
        <v>385</v>
      </c>
      <c r="I365" s="367" t="s">
        <v>710</v>
      </c>
    </row>
    <row r="366" spans="2:10" x14ac:dyDescent="0.2">
      <c r="B366" s="366"/>
      <c r="C366" s="350">
        <v>46377</v>
      </c>
      <c r="D366" s="350">
        <v>46422.3</v>
      </c>
      <c r="E366" s="397">
        <v>45.4</v>
      </c>
      <c r="F366" s="8"/>
      <c r="G366">
        <v>45.4</v>
      </c>
      <c r="H366" t="s">
        <v>385</v>
      </c>
      <c r="I366" s="367" t="s">
        <v>710</v>
      </c>
    </row>
    <row r="367" spans="2:10" x14ac:dyDescent="0.2">
      <c r="B367" s="366"/>
      <c r="C367" s="350">
        <v>46454.6</v>
      </c>
      <c r="D367" s="350">
        <v>46722.3</v>
      </c>
      <c r="E367" s="8">
        <f t="shared" si="8"/>
        <v>267.70000000000437</v>
      </c>
      <c r="F367" s="8"/>
      <c r="G367">
        <v>267.7</v>
      </c>
      <c r="H367" t="s">
        <v>385</v>
      </c>
      <c r="I367" s="367" t="s">
        <v>710</v>
      </c>
    </row>
    <row r="368" spans="2:10" x14ac:dyDescent="0.2">
      <c r="B368" s="366"/>
      <c r="C368" s="350">
        <v>46752.7</v>
      </c>
      <c r="D368" s="350">
        <v>46815.5</v>
      </c>
      <c r="E368" s="8">
        <f t="shared" si="8"/>
        <v>62.80000000000291</v>
      </c>
      <c r="F368" s="8"/>
      <c r="G368">
        <v>62.8</v>
      </c>
      <c r="H368" t="s">
        <v>385</v>
      </c>
      <c r="I368" s="367" t="s">
        <v>710</v>
      </c>
    </row>
    <row r="369" spans="1:9" x14ac:dyDescent="0.2">
      <c r="B369" s="366"/>
      <c r="C369" s="350">
        <v>47055.4</v>
      </c>
      <c r="D369" s="350">
        <v>47109</v>
      </c>
      <c r="E369" s="8">
        <f t="shared" si="8"/>
        <v>53.599999999998545</v>
      </c>
      <c r="F369" s="8"/>
      <c r="G369">
        <v>53.6</v>
      </c>
      <c r="H369" t="s">
        <v>385</v>
      </c>
      <c r="I369" s="367" t="s">
        <v>710</v>
      </c>
    </row>
    <row r="370" spans="1:9" x14ac:dyDescent="0.2">
      <c r="B370" s="366"/>
      <c r="C370" s="350">
        <v>47237.4</v>
      </c>
      <c r="D370" s="350">
        <v>47372.3</v>
      </c>
      <c r="E370" s="8">
        <f t="shared" si="8"/>
        <v>134.90000000000146</v>
      </c>
      <c r="F370" s="8">
        <f>SUM(E363:E370)</f>
        <v>977.70000000001744</v>
      </c>
      <c r="G370">
        <v>134.9</v>
      </c>
      <c r="H370" t="s">
        <v>385</v>
      </c>
      <c r="I370" s="367" t="s">
        <v>710</v>
      </c>
    </row>
    <row r="371" spans="1:9" x14ac:dyDescent="0.2">
      <c r="B371" s="366"/>
      <c r="C371" s="350"/>
      <c r="D371" s="350"/>
      <c r="E371" s="8">
        <f t="shared" si="8"/>
        <v>0</v>
      </c>
      <c r="F371" s="8"/>
      <c r="I371" s="367"/>
    </row>
    <row r="372" spans="1:9" x14ac:dyDescent="0.2">
      <c r="B372" s="366"/>
      <c r="C372" s="350"/>
      <c r="D372" s="350"/>
      <c r="E372" s="8">
        <f t="shared" ref="E372" si="10">ABS(C372-D372)</f>
        <v>0</v>
      </c>
      <c r="F372" s="8"/>
      <c r="G372" s="8"/>
      <c r="I372" s="367"/>
    </row>
    <row r="373" spans="1:9" x14ac:dyDescent="0.2">
      <c r="C373" s="350"/>
      <c r="D373" s="350"/>
      <c r="E373" s="8"/>
      <c r="F373" s="8"/>
      <c r="I373" s="367"/>
    </row>
    <row r="374" spans="1:9" x14ac:dyDescent="0.2">
      <c r="C374" s="347"/>
      <c r="D374" s="347" t="s">
        <v>18</v>
      </c>
      <c r="E374">
        <f>SUM(E289:E373)</f>
        <v>6436.2000000000317</v>
      </c>
      <c r="F374">
        <f>SUM(F289:F373)</f>
        <v>6436.2000000000317</v>
      </c>
      <c r="G374">
        <f>SUM(G290:G373)</f>
        <v>6437.0999999999976</v>
      </c>
    </row>
    <row r="375" spans="1:9" x14ac:dyDescent="0.2">
      <c r="C375" s="347"/>
      <c r="D375" s="347"/>
    </row>
    <row r="376" spans="1:9" x14ac:dyDescent="0.2">
      <c r="A376" s="5" t="str">
        <f>Summary!$G$11</f>
        <v>PIPELINE PROJECT</v>
      </c>
    </row>
    <row r="388" spans="1:6" ht="16" x14ac:dyDescent="0.2">
      <c r="A388" s="157" t="s">
        <v>89</v>
      </c>
    </row>
    <row r="389" spans="1:6" x14ac:dyDescent="0.2">
      <c r="A389" s="5"/>
    </row>
    <row r="391" spans="1:6" x14ac:dyDescent="0.2">
      <c r="A391" t="s">
        <v>0</v>
      </c>
      <c r="E391" s="2" t="s">
        <v>64</v>
      </c>
      <c r="F391" s="3">
        <v>42444</v>
      </c>
    </row>
    <row r="392" spans="1:6" x14ac:dyDescent="0.2">
      <c r="A392" t="s">
        <v>1</v>
      </c>
      <c r="B392" s="160" t="s">
        <v>254</v>
      </c>
    </row>
    <row r="394" spans="1:6" x14ac:dyDescent="0.2">
      <c r="A394" s="9" t="s">
        <v>2</v>
      </c>
      <c r="B394" s="10"/>
      <c r="C394" s="11" t="s">
        <v>4</v>
      </c>
      <c r="D394" s="11" t="s">
        <v>3</v>
      </c>
      <c r="E394" s="11" t="s">
        <v>8</v>
      </c>
      <c r="F394" s="12" t="s">
        <v>260</v>
      </c>
    </row>
    <row r="395" spans="1:6" ht="14.5" customHeight="1" x14ac:dyDescent="0.2">
      <c r="A395" s="352" t="s">
        <v>255</v>
      </c>
      <c r="B395" s="115" t="s">
        <v>261</v>
      </c>
      <c r="C395" s="14"/>
      <c r="D395" s="15"/>
      <c r="E395" s="116"/>
      <c r="F395" s="188"/>
    </row>
    <row r="396" spans="1:6" x14ac:dyDescent="0.2">
      <c r="A396" s="18"/>
      <c r="B396" s="21" t="s">
        <v>256</v>
      </c>
      <c r="C396" s="19" t="s">
        <v>54</v>
      </c>
      <c r="D396" s="20">
        <v>51.48</v>
      </c>
      <c r="E396" s="36"/>
      <c r="F396" s="188"/>
    </row>
    <row r="397" spans="1:6" x14ac:dyDescent="0.2">
      <c r="A397" s="18"/>
      <c r="B397" s="21" t="s">
        <v>257</v>
      </c>
      <c r="C397" s="19" t="s">
        <v>54</v>
      </c>
      <c r="D397" s="20">
        <v>71.48</v>
      </c>
      <c r="E397" s="394">
        <f>E475</f>
        <v>3404.4999999999768</v>
      </c>
      <c r="F397" s="188">
        <f>E397*D397</f>
        <v>243353.65999999834</v>
      </c>
    </row>
    <row r="398" spans="1:6" x14ac:dyDescent="0.2">
      <c r="A398" s="24"/>
      <c r="B398" s="24"/>
      <c r="C398" s="136"/>
      <c r="D398" s="137"/>
      <c r="E398" s="22"/>
      <c r="F398" s="188"/>
    </row>
    <row r="399" spans="1:6" x14ac:dyDescent="0.2">
      <c r="E399" s="26" t="s">
        <v>12</v>
      </c>
      <c r="F399" s="190">
        <f>SUM(F395:F398)</f>
        <v>243353.65999999834</v>
      </c>
    </row>
    <row r="401" spans="1:9" x14ac:dyDescent="0.2">
      <c r="A401" t="str">
        <f>Summary!$G$9</f>
        <v>Contractor</v>
      </c>
    </row>
    <row r="405" spans="1:9" x14ac:dyDescent="0.2">
      <c r="C405" s="494" t="str">
        <f>Summary!$G$10</f>
        <v>Construction Manager</v>
      </c>
      <c r="D405" s="494"/>
      <c r="E405" s="494"/>
      <c r="F405" s="494"/>
    </row>
    <row r="406" spans="1:9" x14ac:dyDescent="0.2">
      <c r="C406" s="346"/>
      <c r="D406" s="346"/>
      <c r="E406" s="346"/>
      <c r="F406" s="346"/>
    </row>
    <row r="407" spans="1:9" x14ac:dyDescent="0.2">
      <c r="B407" s="2" t="s">
        <v>258</v>
      </c>
      <c r="C407" s="348" t="s">
        <v>250</v>
      </c>
      <c r="D407" s="348" t="s">
        <v>185</v>
      </c>
      <c r="E407" s="349" t="s">
        <v>259</v>
      </c>
      <c r="F407" s="349" t="s">
        <v>387</v>
      </c>
      <c r="H407" t="s">
        <v>364</v>
      </c>
      <c r="I407" s="367"/>
    </row>
    <row r="408" spans="1:9" x14ac:dyDescent="0.2">
      <c r="B408" s="366"/>
      <c r="C408" s="350"/>
      <c r="D408" s="350"/>
      <c r="E408" s="8"/>
      <c r="H408" s="367"/>
      <c r="I408" s="367"/>
    </row>
    <row r="409" spans="1:9" x14ac:dyDescent="0.2">
      <c r="B409" s="375">
        <v>42429</v>
      </c>
      <c r="C409" s="376">
        <v>47622</v>
      </c>
      <c r="D409" s="376">
        <v>47658.6</v>
      </c>
      <c r="E409" s="365">
        <f t="shared" ref="E409:E474" si="11">ABS(C409-D409)</f>
        <v>36.599999999998545</v>
      </c>
      <c r="F409" s="359">
        <v>36.6</v>
      </c>
      <c r="G409" s="359" t="s">
        <v>757</v>
      </c>
      <c r="H409" s="377"/>
      <c r="I409" s="377">
        <v>1308</v>
      </c>
    </row>
    <row r="410" spans="1:9" x14ac:dyDescent="0.2">
      <c r="B410" s="375"/>
      <c r="C410" s="376">
        <v>47758.6</v>
      </c>
      <c r="D410" s="376">
        <v>47785.599999999999</v>
      </c>
      <c r="E410" s="365">
        <f t="shared" si="11"/>
        <v>27</v>
      </c>
      <c r="F410" s="359">
        <v>27</v>
      </c>
      <c r="G410" s="359" t="s">
        <v>757</v>
      </c>
      <c r="H410" s="377"/>
      <c r="I410" s="377">
        <v>1308</v>
      </c>
    </row>
    <row r="411" spans="1:9" x14ac:dyDescent="0.2">
      <c r="B411" s="375"/>
      <c r="C411" s="376">
        <v>47810</v>
      </c>
      <c r="D411" s="376">
        <v>47890.6</v>
      </c>
      <c r="E411" s="365">
        <f t="shared" si="11"/>
        <v>80.599999999998545</v>
      </c>
      <c r="F411" s="359">
        <v>80.599999999999994</v>
      </c>
      <c r="G411" s="359" t="s">
        <v>757</v>
      </c>
      <c r="H411" s="377"/>
      <c r="I411" s="377">
        <v>1308</v>
      </c>
    </row>
    <row r="412" spans="1:9" x14ac:dyDescent="0.2">
      <c r="B412" s="375"/>
      <c r="C412" s="376">
        <v>47825.8</v>
      </c>
      <c r="D412" s="376">
        <v>47942.5</v>
      </c>
      <c r="E412" s="365">
        <f t="shared" si="11"/>
        <v>116.69999999999709</v>
      </c>
      <c r="F412" s="359">
        <v>116.7</v>
      </c>
      <c r="G412" s="359" t="s">
        <v>757</v>
      </c>
      <c r="H412" s="377"/>
      <c r="I412" s="377">
        <v>1308</v>
      </c>
    </row>
    <row r="413" spans="1:9" x14ac:dyDescent="0.2">
      <c r="B413" s="375"/>
      <c r="C413" s="376">
        <v>47988.7</v>
      </c>
      <c r="D413" s="376">
        <v>48015.7</v>
      </c>
      <c r="E413" s="365">
        <f t="shared" si="11"/>
        <v>27</v>
      </c>
      <c r="F413" s="359">
        <v>27</v>
      </c>
      <c r="G413" s="359" t="s">
        <v>757</v>
      </c>
      <c r="H413" s="377"/>
      <c r="I413" s="377">
        <v>1308</v>
      </c>
    </row>
    <row r="414" spans="1:9" x14ac:dyDescent="0.2">
      <c r="B414" s="375"/>
      <c r="C414" s="376">
        <v>48196.1</v>
      </c>
      <c r="D414" s="376">
        <v>48286.400000000001</v>
      </c>
      <c r="E414" s="365">
        <f t="shared" si="11"/>
        <v>90.30000000000291</v>
      </c>
      <c r="F414" s="359">
        <v>90.3</v>
      </c>
      <c r="G414" s="359" t="s">
        <v>757</v>
      </c>
      <c r="H414" s="377"/>
      <c r="I414" s="377">
        <v>1308</v>
      </c>
    </row>
    <row r="415" spans="1:9" x14ac:dyDescent="0.2">
      <c r="B415" s="375"/>
      <c r="C415" s="376">
        <v>48478</v>
      </c>
      <c r="D415" s="376">
        <v>48514.2</v>
      </c>
      <c r="E415" s="365">
        <f t="shared" si="11"/>
        <v>36.19999999999709</v>
      </c>
      <c r="F415" s="359">
        <v>36.200000000000003</v>
      </c>
      <c r="G415" s="359" t="s">
        <v>757</v>
      </c>
      <c r="H415" s="377"/>
      <c r="I415" s="377">
        <v>1308</v>
      </c>
    </row>
    <row r="416" spans="1:9" x14ac:dyDescent="0.2">
      <c r="B416" s="366"/>
      <c r="C416" s="350"/>
      <c r="D416" s="350"/>
      <c r="E416" s="8"/>
      <c r="H416" s="367"/>
      <c r="I416" s="367"/>
    </row>
    <row r="417" spans="2:10" x14ac:dyDescent="0.2">
      <c r="B417" s="375">
        <v>42429</v>
      </c>
      <c r="C417" s="376">
        <v>35183</v>
      </c>
      <c r="D417" s="376">
        <v>35236</v>
      </c>
      <c r="E417" s="365">
        <f t="shared" si="11"/>
        <v>53</v>
      </c>
      <c r="F417" s="359">
        <v>52.7</v>
      </c>
      <c r="G417" s="359" t="s">
        <v>373</v>
      </c>
      <c r="H417" s="377"/>
      <c r="I417" s="377" t="s">
        <v>758</v>
      </c>
    </row>
    <row r="418" spans="2:10" x14ac:dyDescent="0.2">
      <c r="B418" s="366"/>
      <c r="C418" s="350"/>
      <c r="D418" s="350"/>
      <c r="E418" s="8"/>
      <c r="H418" s="367"/>
      <c r="I418" s="367"/>
    </row>
    <row r="419" spans="2:10" x14ac:dyDescent="0.2">
      <c r="B419" s="378">
        <v>42430</v>
      </c>
      <c r="C419" s="376">
        <v>49095.4</v>
      </c>
      <c r="D419" s="376">
        <v>49122.6</v>
      </c>
      <c r="E419" s="365">
        <f t="shared" si="11"/>
        <v>27.19999999999709</v>
      </c>
      <c r="F419" s="365">
        <v>27.2</v>
      </c>
      <c r="G419" s="359" t="s">
        <v>757</v>
      </c>
      <c r="H419" s="377"/>
      <c r="I419" s="377" t="s">
        <v>759</v>
      </c>
    </row>
    <row r="420" spans="2:10" x14ac:dyDescent="0.2">
      <c r="B420" s="375"/>
      <c r="C420" s="376">
        <v>49149.599999999999</v>
      </c>
      <c r="D420" s="376">
        <v>49186</v>
      </c>
      <c r="E420" s="365">
        <f t="shared" si="11"/>
        <v>36.400000000001455</v>
      </c>
      <c r="F420" s="359">
        <v>36.4</v>
      </c>
      <c r="G420" s="359" t="s">
        <v>757</v>
      </c>
      <c r="H420" s="377"/>
      <c r="I420" s="377" t="s">
        <v>759</v>
      </c>
    </row>
    <row r="421" spans="2:10" x14ac:dyDescent="0.2">
      <c r="B421" s="375"/>
      <c r="C421" s="376">
        <v>49210.8</v>
      </c>
      <c r="D421" s="376">
        <v>49238.6</v>
      </c>
      <c r="E421" s="365">
        <f t="shared" si="11"/>
        <v>27.799999999995634</v>
      </c>
      <c r="F421" s="359">
        <v>27.8</v>
      </c>
      <c r="G421" s="359" t="s">
        <v>757</v>
      </c>
      <c r="H421" s="377"/>
      <c r="I421" s="377" t="s">
        <v>759</v>
      </c>
    </row>
    <row r="422" spans="2:10" x14ac:dyDescent="0.2">
      <c r="B422" s="375"/>
      <c r="C422" s="376">
        <v>49354.400000000001</v>
      </c>
      <c r="D422" s="376">
        <v>49417.8</v>
      </c>
      <c r="E422" s="365">
        <f t="shared" si="11"/>
        <v>63.400000000001455</v>
      </c>
      <c r="F422" s="359">
        <v>63.4</v>
      </c>
      <c r="G422" s="359" t="s">
        <v>757</v>
      </c>
      <c r="H422" s="377"/>
      <c r="I422" s="377" t="s">
        <v>759</v>
      </c>
    </row>
    <row r="423" spans="2:10" x14ac:dyDescent="0.2">
      <c r="B423" s="375"/>
      <c r="C423" s="376">
        <v>49455.8</v>
      </c>
      <c r="D423" s="376">
        <v>49815.4</v>
      </c>
      <c r="E423" s="365">
        <f t="shared" si="11"/>
        <v>359.59999999999854</v>
      </c>
      <c r="F423" s="359">
        <v>359.6</v>
      </c>
      <c r="G423" s="359" t="s">
        <v>757</v>
      </c>
      <c r="H423" s="377"/>
      <c r="I423" s="377" t="s">
        <v>759</v>
      </c>
    </row>
    <row r="424" spans="2:10" x14ac:dyDescent="0.2">
      <c r="B424" s="375"/>
      <c r="C424" s="420">
        <v>49826</v>
      </c>
      <c r="D424" s="376">
        <v>49853.2</v>
      </c>
      <c r="E424" s="365">
        <f t="shared" si="11"/>
        <v>27.19999999999709</v>
      </c>
      <c r="F424" s="359">
        <v>27.2</v>
      </c>
      <c r="G424" s="359" t="s">
        <v>757</v>
      </c>
      <c r="H424" s="377"/>
      <c r="I424" s="377" t="s">
        <v>759</v>
      </c>
    </row>
    <row r="425" spans="2:10" x14ac:dyDescent="0.2">
      <c r="B425" s="375"/>
      <c r="C425" s="376">
        <v>49880.7</v>
      </c>
      <c r="D425" s="376">
        <v>49916.7</v>
      </c>
      <c r="E425" s="365">
        <f t="shared" si="11"/>
        <v>36</v>
      </c>
      <c r="F425" s="359">
        <v>36</v>
      </c>
      <c r="G425" s="359" t="s">
        <v>757</v>
      </c>
      <c r="H425" s="377"/>
      <c r="I425" s="377" t="s">
        <v>759</v>
      </c>
    </row>
    <row r="426" spans="2:10" x14ac:dyDescent="0.2">
      <c r="B426" s="366"/>
      <c r="C426" s="350"/>
      <c r="D426" s="350"/>
      <c r="E426" s="437">
        <v>-0.6</v>
      </c>
      <c r="H426" s="367"/>
      <c r="I426" s="367"/>
      <c r="J426" s="8"/>
    </row>
    <row r="427" spans="2:10" x14ac:dyDescent="0.2">
      <c r="B427" s="375">
        <v>42431</v>
      </c>
      <c r="C427" s="376">
        <v>37031</v>
      </c>
      <c r="D427" s="376">
        <v>37064</v>
      </c>
      <c r="E427" s="365">
        <f t="shared" si="11"/>
        <v>33</v>
      </c>
      <c r="F427" s="359">
        <v>34</v>
      </c>
      <c r="G427" s="359" t="s">
        <v>373</v>
      </c>
      <c r="H427" s="377"/>
      <c r="I427" s="377" t="s">
        <v>762</v>
      </c>
    </row>
    <row r="428" spans="2:10" x14ac:dyDescent="0.2">
      <c r="B428" s="366"/>
      <c r="C428" s="350"/>
      <c r="D428" s="350"/>
      <c r="E428" s="8"/>
      <c r="H428" s="367"/>
      <c r="I428" s="367"/>
    </row>
    <row r="429" spans="2:10" x14ac:dyDescent="0.2">
      <c r="B429" s="375">
        <v>42431</v>
      </c>
      <c r="C429" s="376">
        <v>37112</v>
      </c>
      <c r="D429" s="376">
        <v>37201</v>
      </c>
      <c r="E429" s="365">
        <f t="shared" si="11"/>
        <v>89</v>
      </c>
      <c r="F429" s="359">
        <v>89</v>
      </c>
      <c r="G429" s="359" t="s">
        <v>373</v>
      </c>
      <c r="H429" s="377"/>
      <c r="I429" s="377" t="s">
        <v>763</v>
      </c>
    </row>
    <row r="430" spans="2:10" x14ac:dyDescent="0.2">
      <c r="B430" s="375"/>
      <c r="C430" s="376">
        <v>36472</v>
      </c>
      <c r="D430" s="376">
        <v>36530</v>
      </c>
      <c r="E430" s="365">
        <f t="shared" si="11"/>
        <v>58</v>
      </c>
      <c r="F430" s="359">
        <v>58</v>
      </c>
      <c r="G430" s="359" t="s">
        <v>373</v>
      </c>
      <c r="H430" s="377"/>
      <c r="I430" s="377" t="s">
        <v>763</v>
      </c>
    </row>
    <row r="431" spans="2:10" x14ac:dyDescent="0.2">
      <c r="B431" s="366"/>
      <c r="C431" s="350"/>
      <c r="D431" s="350"/>
      <c r="E431" s="8"/>
      <c r="H431" s="367"/>
      <c r="I431" s="367"/>
    </row>
    <row r="432" spans="2:10" x14ac:dyDescent="0.2">
      <c r="B432" s="375">
        <v>42431</v>
      </c>
      <c r="C432" s="376">
        <v>49923</v>
      </c>
      <c r="D432" s="376">
        <v>50048.7</v>
      </c>
      <c r="E432" s="365">
        <f t="shared" si="11"/>
        <v>125.69999999999709</v>
      </c>
      <c r="F432" s="359">
        <v>125.7</v>
      </c>
      <c r="G432" s="359" t="s">
        <v>757</v>
      </c>
      <c r="H432" s="377"/>
      <c r="I432" s="377" t="s">
        <v>764</v>
      </c>
    </row>
    <row r="433" spans="2:10" x14ac:dyDescent="0.2">
      <c r="B433" s="375"/>
      <c r="C433" s="376">
        <v>50157</v>
      </c>
      <c r="D433" s="376">
        <v>50220.1</v>
      </c>
      <c r="E433" s="365">
        <f t="shared" si="11"/>
        <v>63.099999999998545</v>
      </c>
      <c r="F433" s="359">
        <v>63.1</v>
      </c>
      <c r="G433" s="359" t="s">
        <v>757</v>
      </c>
      <c r="H433" s="377"/>
      <c r="I433" s="377" t="s">
        <v>764</v>
      </c>
    </row>
    <row r="434" spans="2:10" x14ac:dyDescent="0.2">
      <c r="B434" s="375"/>
      <c r="C434" s="376">
        <v>50286.9</v>
      </c>
      <c r="D434" s="376">
        <v>50323.1</v>
      </c>
      <c r="E434" s="365">
        <f t="shared" si="11"/>
        <v>36.19999999999709</v>
      </c>
      <c r="F434" s="359">
        <v>36.200000000000003</v>
      </c>
      <c r="G434" s="359" t="s">
        <v>757</v>
      </c>
      <c r="H434" s="377"/>
      <c r="I434" s="377" t="s">
        <v>764</v>
      </c>
    </row>
    <row r="435" spans="2:10" x14ac:dyDescent="0.2">
      <c r="B435" s="378"/>
      <c r="C435" s="376">
        <v>50373.5</v>
      </c>
      <c r="D435" s="376">
        <v>50526.400000000001</v>
      </c>
      <c r="E435" s="365">
        <f t="shared" si="11"/>
        <v>152.90000000000146</v>
      </c>
      <c r="F435" s="359">
        <v>152.9</v>
      </c>
      <c r="G435" s="359" t="s">
        <v>757</v>
      </c>
      <c r="H435" s="377"/>
      <c r="I435" s="377" t="s">
        <v>764</v>
      </c>
    </row>
    <row r="436" spans="2:10" x14ac:dyDescent="0.2">
      <c r="B436" s="154"/>
      <c r="C436" s="350"/>
      <c r="D436" s="350"/>
      <c r="E436" s="8"/>
      <c r="H436" s="367"/>
      <c r="I436" s="367"/>
    </row>
    <row r="437" spans="2:10" x14ac:dyDescent="0.2">
      <c r="B437" s="378">
        <v>42432</v>
      </c>
      <c r="C437" s="376">
        <v>39633</v>
      </c>
      <c r="D437" s="376">
        <v>39647</v>
      </c>
      <c r="E437" s="365">
        <f t="shared" si="11"/>
        <v>14</v>
      </c>
      <c r="F437" s="359">
        <v>14</v>
      </c>
      <c r="G437" s="359" t="s">
        <v>367</v>
      </c>
      <c r="H437" s="377"/>
      <c r="I437" s="377" t="s">
        <v>765</v>
      </c>
    </row>
    <row r="438" spans="2:10" x14ac:dyDescent="0.2">
      <c r="B438" s="154"/>
      <c r="C438" s="376">
        <v>39728</v>
      </c>
      <c r="D438" s="432">
        <v>39743</v>
      </c>
      <c r="E438" s="365">
        <v>15</v>
      </c>
      <c r="F438" s="359">
        <v>15</v>
      </c>
      <c r="G438" s="359" t="s">
        <v>367</v>
      </c>
      <c r="H438" s="377"/>
      <c r="I438" s="377" t="s">
        <v>765</v>
      </c>
      <c r="J438" s="431" t="s">
        <v>814</v>
      </c>
    </row>
    <row r="439" spans="2:10" x14ac:dyDescent="0.2">
      <c r="B439" s="154"/>
      <c r="C439" s="350"/>
      <c r="D439" s="350"/>
      <c r="E439" s="8"/>
      <c r="H439" s="367"/>
      <c r="I439" s="367"/>
    </row>
    <row r="440" spans="2:10" x14ac:dyDescent="0.2">
      <c r="B440" s="378">
        <v>42433</v>
      </c>
      <c r="C440" s="376">
        <v>39805</v>
      </c>
      <c r="D440" s="376">
        <v>39879</v>
      </c>
      <c r="E440" s="365">
        <f>ABS(C440-D440)</f>
        <v>74</v>
      </c>
      <c r="F440" s="359">
        <v>74</v>
      </c>
      <c r="G440" s="359" t="s">
        <v>367</v>
      </c>
      <c r="H440" s="377"/>
      <c r="I440" s="377" t="s">
        <v>767</v>
      </c>
    </row>
    <row r="441" spans="2:10" x14ac:dyDescent="0.2">
      <c r="B441" s="378"/>
      <c r="C441" s="419">
        <v>39897</v>
      </c>
      <c r="D441" s="376">
        <v>40029</v>
      </c>
      <c r="E441" s="365">
        <f>ABS(C441-D441)</f>
        <v>132</v>
      </c>
      <c r="F441" s="359">
        <v>132</v>
      </c>
      <c r="G441" s="359" t="s">
        <v>367</v>
      </c>
      <c r="H441" s="377"/>
      <c r="I441" s="377" t="s">
        <v>767</v>
      </c>
      <c r="J441" s="382" t="s">
        <v>816</v>
      </c>
    </row>
    <row r="442" spans="2:10" x14ac:dyDescent="0.2">
      <c r="B442" s="154"/>
      <c r="C442" s="350"/>
      <c r="D442" s="350"/>
      <c r="E442" s="8"/>
      <c r="H442" s="367"/>
      <c r="I442" s="367"/>
    </row>
    <row r="443" spans="2:10" x14ac:dyDescent="0.2">
      <c r="B443" s="378">
        <v>42433</v>
      </c>
      <c r="C443" s="376">
        <v>37456</v>
      </c>
      <c r="D443" s="376">
        <v>37494</v>
      </c>
      <c r="E443" s="365">
        <f t="shared" si="11"/>
        <v>38</v>
      </c>
      <c r="F443" s="359">
        <v>38</v>
      </c>
      <c r="G443" s="359" t="s">
        <v>373</v>
      </c>
      <c r="H443" s="377"/>
      <c r="I443" s="377" t="s">
        <v>766</v>
      </c>
    </row>
    <row r="444" spans="2:10" x14ac:dyDescent="0.2">
      <c r="B444" s="378"/>
      <c r="C444" s="376">
        <v>37635</v>
      </c>
      <c r="D444" s="376">
        <v>37706</v>
      </c>
      <c r="E444" s="365">
        <f t="shared" si="11"/>
        <v>71</v>
      </c>
      <c r="F444" s="359">
        <v>71.2</v>
      </c>
      <c r="G444" s="359" t="s">
        <v>373</v>
      </c>
      <c r="H444" s="377"/>
      <c r="I444" s="377" t="s">
        <v>766</v>
      </c>
    </row>
    <row r="445" spans="2:10" x14ac:dyDescent="0.2">
      <c r="B445" s="378"/>
      <c r="C445" s="376">
        <v>37356</v>
      </c>
      <c r="D445" s="376">
        <v>37408</v>
      </c>
      <c r="E445" s="365">
        <f t="shared" si="11"/>
        <v>52</v>
      </c>
      <c r="F445" s="359">
        <v>51.4</v>
      </c>
      <c r="G445" s="359" t="s">
        <v>373</v>
      </c>
      <c r="H445" s="377"/>
      <c r="I445" s="377" t="s">
        <v>766</v>
      </c>
    </row>
    <row r="446" spans="2:10" x14ac:dyDescent="0.2">
      <c r="B446" s="378"/>
      <c r="C446" s="376">
        <v>41064</v>
      </c>
      <c r="D446" s="376">
        <v>41074</v>
      </c>
      <c r="E446" s="365">
        <f t="shared" si="11"/>
        <v>10</v>
      </c>
      <c r="F446" s="359">
        <v>10</v>
      </c>
      <c r="G446" s="359" t="s">
        <v>373</v>
      </c>
      <c r="H446" s="377"/>
      <c r="I446" s="377" t="s">
        <v>766</v>
      </c>
    </row>
    <row r="447" spans="2:10" x14ac:dyDescent="0.2">
      <c r="B447" s="378"/>
      <c r="C447" s="376">
        <v>41006</v>
      </c>
      <c r="D447" s="376">
        <v>41055</v>
      </c>
      <c r="E447" s="397">
        <v>41</v>
      </c>
      <c r="F447" s="330">
        <v>49</v>
      </c>
      <c r="G447" s="359" t="s">
        <v>373</v>
      </c>
      <c r="H447" s="377"/>
      <c r="I447" s="377" t="s">
        <v>766</v>
      </c>
      <c r="J447" s="330" t="s">
        <v>812</v>
      </c>
    </row>
    <row r="448" spans="2:10" x14ac:dyDescent="0.2">
      <c r="B448" s="154"/>
      <c r="C448" s="350"/>
      <c r="D448" s="350"/>
      <c r="E448" s="8"/>
    </row>
    <row r="449" spans="2:10" x14ac:dyDescent="0.2">
      <c r="B449" s="378">
        <v>42433</v>
      </c>
      <c r="C449" s="376">
        <v>49815</v>
      </c>
      <c r="D449" s="420">
        <v>49829.4</v>
      </c>
      <c r="E449" s="365">
        <f t="shared" si="11"/>
        <v>14.400000000001455</v>
      </c>
      <c r="F449" s="359">
        <v>14.4</v>
      </c>
      <c r="G449" s="359" t="s">
        <v>377</v>
      </c>
      <c r="H449" s="377"/>
      <c r="I449" s="377" t="s">
        <v>768</v>
      </c>
      <c r="J449" s="421" t="s">
        <v>817</v>
      </c>
    </row>
    <row r="450" spans="2:10" x14ac:dyDescent="0.2">
      <c r="B450" s="378"/>
      <c r="C450" s="376">
        <v>49916</v>
      </c>
      <c r="D450" s="376">
        <v>49919.8</v>
      </c>
      <c r="E450" s="365">
        <f t="shared" si="11"/>
        <v>3.8000000000029104</v>
      </c>
      <c r="F450" s="359">
        <v>3.8</v>
      </c>
      <c r="G450" s="359" t="s">
        <v>377</v>
      </c>
      <c r="H450" s="377"/>
      <c r="I450" s="377" t="s">
        <v>768</v>
      </c>
    </row>
    <row r="451" spans="2:10" x14ac:dyDescent="0.2">
      <c r="B451" s="154"/>
      <c r="C451" s="350"/>
      <c r="D451" s="350"/>
      <c r="E451" s="8"/>
      <c r="H451" s="367"/>
      <c r="I451" s="367"/>
    </row>
    <row r="452" spans="2:10" x14ac:dyDescent="0.2">
      <c r="B452" s="378">
        <v>42434</v>
      </c>
      <c r="C452" s="376">
        <v>50048</v>
      </c>
      <c r="D452" s="376">
        <v>50087.199999999997</v>
      </c>
      <c r="E452" s="365">
        <f t="shared" si="11"/>
        <v>39.19999999999709</v>
      </c>
      <c r="F452" s="359">
        <v>39.200000000000003</v>
      </c>
      <c r="G452" s="359" t="s">
        <v>377</v>
      </c>
      <c r="H452" s="377"/>
      <c r="I452" s="377" t="s">
        <v>769</v>
      </c>
    </row>
    <row r="453" spans="2:10" x14ac:dyDescent="0.2">
      <c r="B453" s="378"/>
      <c r="C453" s="376">
        <v>50110.9</v>
      </c>
      <c r="D453" s="376">
        <v>50156</v>
      </c>
      <c r="E453" s="365">
        <f t="shared" si="11"/>
        <v>45.099999999998545</v>
      </c>
      <c r="F453" s="359">
        <v>45.1</v>
      </c>
      <c r="G453" s="359" t="s">
        <v>377</v>
      </c>
      <c r="H453" s="377"/>
      <c r="I453" s="377" t="s">
        <v>769</v>
      </c>
    </row>
    <row r="454" spans="2:10" x14ac:dyDescent="0.2">
      <c r="B454" s="154"/>
      <c r="C454" s="350"/>
      <c r="D454" s="350"/>
      <c r="E454" s="8"/>
      <c r="H454" s="367"/>
      <c r="I454" s="367"/>
    </row>
    <row r="455" spans="2:10" x14ac:dyDescent="0.2">
      <c r="B455" s="378">
        <v>42435</v>
      </c>
      <c r="C455" s="376">
        <v>57238.3</v>
      </c>
      <c r="D455" s="376">
        <v>57315.7</v>
      </c>
      <c r="E455" s="365">
        <f t="shared" si="11"/>
        <v>77.399999999994179</v>
      </c>
      <c r="F455" s="359">
        <v>77.400000000000006</v>
      </c>
      <c r="G455" s="359" t="s">
        <v>385</v>
      </c>
      <c r="H455" s="377"/>
      <c r="I455" s="377" t="s">
        <v>770</v>
      </c>
    </row>
    <row r="456" spans="2:10" x14ac:dyDescent="0.2">
      <c r="B456" s="378"/>
      <c r="C456" s="376">
        <v>57120.3</v>
      </c>
      <c r="D456" s="376">
        <v>57179.8</v>
      </c>
      <c r="E456" s="365">
        <f t="shared" si="11"/>
        <v>59.5</v>
      </c>
      <c r="F456" s="359">
        <v>59.5</v>
      </c>
      <c r="G456" s="359" t="s">
        <v>385</v>
      </c>
      <c r="H456" s="377"/>
      <c r="I456" s="377" t="s">
        <v>770</v>
      </c>
    </row>
    <row r="457" spans="2:10" x14ac:dyDescent="0.2">
      <c r="B457" s="154"/>
      <c r="C457" s="376">
        <v>59699</v>
      </c>
      <c r="D457" s="376">
        <v>59743.8</v>
      </c>
      <c r="E457" s="365">
        <f t="shared" si="11"/>
        <v>44.80000000000291</v>
      </c>
      <c r="F457" s="359">
        <v>44.8</v>
      </c>
      <c r="G457" s="359" t="s">
        <v>385</v>
      </c>
      <c r="H457" s="377"/>
      <c r="I457" s="377" t="s">
        <v>770</v>
      </c>
    </row>
    <row r="458" spans="2:10" x14ac:dyDescent="0.2">
      <c r="B458" s="154"/>
      <c r="C458" s="376">
        <v>59614.8</v>
      </c>
      <c r="D458" s="376">
        <v>59641.8</v>
      </c>
      <c r="E458" s="365">
        <f t="shared" si="11"/>
        <v>27</v>
      </c>
      <c r="F458" s="359">
        <v>27</v>
      </c>
      <c r="G458" s="359" t="s">
        <v>385</v>
      </c>
      <c r="H458" s="377"/>
      <c r="I458" s="377" t="s">
        <v>770</v>
      </c>
    </row>
    <row r="459" spans="2:10" x14ac:dyDescent="0.2">
      <c r="B459" s="154"/>
      <c r="C459" s="350"/>
      <c r="D459" s="350"/>
      <c r="E459" s="8"/>
      <c r="H459" s="367"/>
      <c r="I459" s="367"/>
    </row>
    <row r="460" spans="2:10" x14ac:dyDescent="0.2">
      <c r="B460" s="378">
        <v>42438</v>
      </c>
      <c r="C460" s="423">
        <v>41270</v>
      </c>
      <c r="D460" s="376">
        <v>41292</v>
      </c>
      <c r="E460" s="365">
        <f t="shared" si="11"/>
        <v>22</v>
      </c>
      <c r="F460" s="330">
        <v>22.5</v>
      </c>
      <c r="G460" s="359" t="s">
        <v>373</v>
      </c>
      <c r="H460" s="377"/>
      <c r="I460" s="377" t="s">
        <v>777</v>
      </c>
      <c r="J460" s="433" t="s">
        <v>772</v>
      </c>
    </row>
    <row r="461" spans="2:10" x14ac:dyDescent="0.2">
      <c r="B461" s="378"/>
      <c r="C461" s="376">
        <v>41542</v>
      </c>
      <c r="D461" s="376">
        <v>41568</v>
      </c>
      <c r="E461" s="365">
        <f t="shared" si="11"/>
        <v>26</v>
      </c>
      <c r="F461" s="330">
        <v>25.7</v>
      </c>
      <c r="G461" s="359" t="s">
        <v>373</v>
      </c>
      <c r="H461" s="377"/>
      <c r="I461" s="377" t="s">
        <v>777</v>
      </c>
    </row>
    <row r="462" spans="2:10" x14ac:dyDescent="0.2">
      <c r="B462" s="378"/>
      <c r="C462" s="376">
        <v>41444</v>
      </c>
      <c r="D462" s="376">
        <v>41486</v>
      </c>
      <c r="E462" s="365">
        <f t="shared" si="11"/>
        <v>42</v>
      </c>
      <c r="F462" s="359">
        <v>42</v>
      </c>
      <c r="G462" s="359" t="s">
        <v>373</v>
      </c>
      <c r="H462" s="377"/>
      <c r="I462" s="377" t="s">
        <v>777</v>
      </c>
    </row>
    <row r="463" spans="2:10" x14ac:dyDescent="0.2">
      <c r="B463" s="378"/>
      <c r="C463" s="422">
        <v>43020</v>
      </c>
      <c r="D463" s="376">
        <v>43137</v>
      </c>
      <c r="E463" s="365">
        <f t="shared" si="11"/>
        <v>117</v>
      </c>
      <c r="F463" s="359">
        <v>117</v>
      </c>
      <c r="G463" s="359" t="s">
        <v>373</v>
      </c>
      <c r="H463" s="377"/>
      <c r="I463" s="377" t="s">
        <v>777</v>
      </c>
      <c r="J463" s="434" t="s">
        <v>771</v>
      </c>
    </row>
    <row r="464" spans="2:10" x14ac:dyDescent="0.2">
      <c r="B464" s="154"/>
      <c r="C464" s="350"/>
      <c r="D464" s="350"/>
      <c r="E464" s="8"/>
      <c r="H464" s="367"/>
      <c r="I464" s="367"/>
    </row>
    <row r="465" spans="1:10" x14ac:dyDescent="0.2">
      <c r="B465" s="378">
        <v>42438</v>
      </c>
      <c r="C465" s="376">
        <v>33789.800000000003</v>
      </c>
      <c r="D465" s="376">
        <v>34031.5</v>
      </c>
      <c r="E465" s="365">
        <v>242</v>
      </c>
      <c r="F465" s="330">
        <v>241.6</v>
      </c>
      <c r="G465" s="359" t="s">
        <v>381</v>
      </c>
      <c r="H465" s="377"/>
      <c r="I465" s="377" t="s">
        <v>776</v>
      </c>
    </row>
    <row r="466" spans="1:10" x14ac:dyDescent="0.2">
      <c r="B466" s="154"/>
      <c r="C466" s="350"/>
      <c r="D466" s="350"/>
      <c r="E466" s="8"/>
      <c r="F466" s="8"/>
      <c r="H466" s="367"/>
      <c r="I466" s="367"/>
    </row>
    <row r="467" spans="1:10" x14ac:dyDescent="0.2">
      <c r="B467" s="378">
        <v>42441</v>
      </c>
      <c r="C467" s="376">
        <v>44377</v>
      </c>
      <c r="D467" s="376">
        <v>44460</v>
      </c>
      <c r="E467" s="365">
        <f t="shared" si="11"/>
        <v>83</v>
      </c>
      <c r="F467" s="359">
        <v>83</v>
      </c>
      <c r="G467" s="359" t="s">
        <v>373</v>
      </c>
      <c r="H467" s="377"/>
      <c r="I467" s="377" t="s">
        <v>788</v>
      </c>
    </row>
    <row r="468" spans="1:10" x14ac:dyDescent="0.2">
      <c r="B468" s="378"/>
      <c r="C468" s="376">
        <v>43705</v>
      </c>
      <c r="D468" s="376">
        <v>43775</v>
      </c>
      <c r="E468" s="365">
        <f t="shared" si="11"/>
        <v>70</v>
      </c>
      <c r="F468" s="359">
        <v>70</v>
      </c>
      <c r="G468" s="359" t="s">
        <v>373</v>
      </c>
      <c r="H468" s="377"/>
      <c r="I468" s="377" t="s">
        <v>788</v>
      </c>
    </row>
    <row r="469" spans="1:10" x14ac:dyDescent="0.2">
      <c r="B469" s="154"/>
      <c r="C469" s="350"/>
      <c r="D469" s="350"/>
      <c r="E469" s="8"/>
      <c r="H469" s="367"/>
      <c r="I469" s="367"/>
    </row>
    <row r="470" spans="1:10" x14ac:dyDescent="0.2">
      <c r="B470" s="378">
        <v>42442</v>
      </c>
      <c r="C470" s="376">
        <v>51215</v>
      </c>
      <c r="D470" s="376">
        <v>51317</v>
      </c>
      <c r="E470" s="365">
        <f t="shared" si="11"/>
        <v>102</v>
      </c>
      <c r="F470" s="359">
        <v>102</v>
      </c>
      <c r="G470" s="359" t="s">
        <v>367</v>
      </c>
      <c r="H470" s="377"/>
      <c r="I470" s="377" t="s">
        <v>789</v>
      </c>
    </row>
    <row r="471" spans="1:10" x14ac:dyDescent="0.2">
      <c r="B471" s="154"/>
      <c r="C471" s="350"/>
      <c r="D471" s="350"/>
      <c r="E471" s="8"/>
      <c r="H471" s="367"/>
      <c r="I471" s="367"/>
    </row>
    <row r="472" spans="1:10" x14ac:dyDescent="0.2">
      <c r="B472" s="378">
        <v>42444</v>
      </c>
      <c r="C472" s="376">
        <v>42021</v>
      </c>
      <c r="D472" s="376">
        <v>42096</v>
      </c>
      <c r="E472" s="365">
        <f t="shared" si="11"/>
        <v>75</v>
      </c>
      <c r="F472" s="359">
        <v>75</v>
      </c>
      <c r="G472" s="359" t="s">
        <v>373</v>
      </c>
      <c r="H472" s="377"/>
      <c r="I472" s="377" t="s">
        <v>792</v>
      </c>
    </row>
    <row r="473" spans="1:10" x14ac:dyDescent="0.2">
      <c r="B473" s="378"/>
      <c r="C473" s="376">
        <v>42722</v>
      </c>
      <c r="D473" s="376">
        <v>42927</v>
      </c>
      <c r="E473" s="365">
        <f t="shared" si="11"/>
        <v>205</v>
      </c>
      <c r="F473" s="359">
        <v>205</v>
      </c>
      <c r="G473" s="359" t="s">
        <v>373</v>
      </c>
      <c r="H473" s="377"/>
      <c r="I473" s="377" t="s">
        <v>792</v>
      </c>
    </row>
    <row r="474" spans="1:10" x14ac:dyDescent="0.2">
      <c r="B474" s="378"/>
      <c r="C474" s="376">
        <v>44465</v>
      </c>
      <c r="D474" s="376">
        <v>44525</v>
      </c>
      <c r="E474" s="365">
        <f t="shared" si="11"/>
        <v>60</v>
      </c>
      <c r="F474" s="359">
        <v>60</v>
      </c>
      <c r="G474" s="359" t="s">
        <v>373</v>
      </c>
      <c r="H474" s="377"/>
      <c r="I474" s="377" t="s">
        <v>792</v>
      </c>
    </row>
    <row r="475" spans="1:10" x14ac:dyDescent="0.2">
      <c r="C475" s="347"/>
      <c r="D475" s="435" t="s">
        <v>18</v>
      </c>
      <c r="E475" s="436">
        <f>SUM(E408:E474)</f>
        <v>3404.4999999999768</v>
      </c>
      <c r="F475" s="5">
        <f>SUM(F408:F474)</f>
        <v>3413.2</v>
      </c>
      <c r="I475" s="367"/>
      <c r="J475" t="s">
        <v>820</v>
      </c>
    </row>
    <row r="476" spans="1:10" x14ac:dyDescent="0.2">
      <c r="C476" s="347"/>
      <c r="D476" s="347"/>
      <c r="I476" s="367"/>
    </row>
    <row r="477" spans="1:10" x14ac:dyDescent="0.2">
      <c r="A477" s="5" t="str">
        <f>Summary!$G$11</f>
        <v>PIPELINE PROJECT</v>
      </c>
    </row>
    <row r="489" spans="1:6" ht="16" x14ac:dyDescent="0.2">
      <c r="A489" s="157" t="s">
        <v>89</v>
      </c>
    </row>
    <row r="490" spans="1:6" x14ac:dyDescent="0.2">
      <c r="A490" s="5"/>
    </row>
    <row r="492" spans="1:6" x14ac:dyDescent="0.2">
      <c r="A492" t="s">
        <v>0</v>
      </c>
      <c r="E492" s="2" t="s">
        <v>64</v>
      </c>
      <c r="F492" s="3">
        <v>42460</v>
      </c>
    </row>
    <row r="493" spans="1:6" x14ac:dyDescent="0.2">
      <c r="A493" t="s">
        <v>1</v>
      </c>
      <c r="B493" s="160" t="s">
        <v>254</v>
      </c>
    </row>
    <row r="495" spans="1:6" x14ac:dyDescent="0.2">
      <c r="A495" s="9" t="s">
        <v>2</v>
      </c>
      <c r="B495" s="10"/>
      <c r="C495" s="11" t="s">
        <v>4</v>
      </c>
      <c r="D495" s="11" t="s">
        <v>3</v>
      </c>
      <c r="E495" s="11" t="s">
        <v>8</v>
      </c>
      <c r="F495" s="12" t="s">
        <v>260</v>
      </c>
    </row>
    <row r="496" spans="1:6" ht="14.5" customHeight="1" x14ac:dyDescent="0.2">
      <c r="A496" s="352" t="s">
        <v>255</v>
      </c>
      <c r="B496" s="115" t="s">
        <v>261</v>
      </c>
      <c r="C496" s="14"/>
      <c r="D496" s="15"/>
      <c r="E496" s="116"/>
      <c r="F496" s="188"/>
    </row>
    <row r="497" spans="1:14" x14ac:dyDescent="0.2">
      <c r="A497" s="18"/>
      <c r="B497" s="21" t="s">
        <v>256</v>
      </c>
      <c r="C497" s="19" t="s">
        <v>54</v>
      </c>
      <c r="D497" s="20">
        <v>51.48</v>
      </c>
      <c r="E497" s="36"/>
      <c r="F497" s="188"/>
    </row>
    <row r="498" spans="1:14" x14ac:dyDescent="0.2">
      <c r="A498" s="18"/>
      <c r="B498" s="21" t="s">
        <v>257</v>
      </c>
      <c r="C498" s="19" t="s">
        <v>54</v>
      </c>
      <c r="D498" s="20">
        <v>71.48</v>
      </c>
      <c r="E498" s="394">
        <f>E520</f>
        <v>836.07000000000698</v>
      </c>
      <c r="F498" s="188">
        <f>E498*D498</f>
        <v>59762.283600000505</v>
      </c>
    </row>
    <row r="499" spans="1:14" x14ac:dyDescent="0.2">
      <c r="A499" s="24"/>
      <c r="B499" s="24"/>
      <c r="C499" s="136"/>
      <c r="D499" s="137"/>
      <c r="E499" s="22"/>
      <c r="F499" s="188"/>
    </row>
    <row r="500" spans="1:14" x14ac:dyDescent="0.2">
      <c r="E500" s="26" t="s">
        <v>12</v>
      </c>
      <c r="F500" s="190">
        <f>SUM(F496:F499)</f>
        <v>59762.283600000505</v>
      </c>
    </row>
    <row r="502" spans="1:14" x14ac:dyDescent="0.2">
      <c r="A502" t="str">
        <f>Summary!$G$9</f>
        <v>Contractor</v>
      </c>
    </row>
    <row r="506" spans="1:14" x14ac:dyDescent="0.2">
      <c r="C506" s="494" t="str">
        <f>Summary!$G$10</f>
        <v>Construction Manager</v>
      </c>
      <c r="D506" s="494"/>
      <c r="E506" s="494"/>
      <c r="F506" s="494"/>
    </row>
    <row r="507" spans="1:14" x14ac:dyDescent="0.2">
      <c r="C507" s="346"/>
      <c r="D507" s="346"/>
      <c r="E507" s="346"/>
      <c r="F507" s="346"/>
    </row>
    <row r="508" spans="1:14" x14ac:dyDescent="0.2">
      <c r="B508" s="154"/>
      <c r="C508" s="350"/>
      <c r="D508" s="350"/>
      <c r="E508" s="8"/>
      <c r="H508" s="367"/>
    </row>
    <row r="509" spans="1:14" x14ac:dyDescent="0.2">
      <c r="B509" s="2" t="s">
        <v>258</v>
      </c>
      <c r="C509" s="348" t="s">
        <v>250</v>
      </c>
      <c r="D509" s="348" t="s">
        <v>185</v>
      </c>
      <c r="E509" s="349" t="s">
        <v>259</v>
      </c>
      <c r="F509" s="349" t="s">
        <v>387</v>
      </c>
      <c r="H509" t="s">
        <v>364</v>
      </c>
      <c r="I509" s="367"/>
    </row>
    <row r="510" spans="1:14" x14ac:dyDescent="0.2">
      <c r="B510" s="366"/>
      <c r="C510" s="350"/>
      <c r="D510" s="350"/>
      <c r="E510" s="8"/>
      <c r="H510" s="367"/>
      <c r="I510" s="367"/>
    </row>
    <row r="511" spans="1:14" x14ac:dyDescent="0.2">
      <c r="B511" s="378">
        <v>42446</v>
      </c>
      <c r="C511" s="376">
        <v>47108</v>
      </c>
      <c r="D511" s="376">
        <v>47233</v>
      </c>
      <c r="E511" s="397">
        <f t="shared" ref="E511:E519" si="12">ABS(C511-D511)</f>
        <v>125</v>
      </c>
      <c r="F511" s="359">
        <v>125.2</v>
      </c>
      <c r="G511" s="359" t="s">
        <v>367</v>
      </c>
      <c r="H511" s="377"/>
      <c r="I511" s="377" t="s">
        <v>811</v>
      </c>
      <c r="L511" t="s">
        <v>835</v>
      </c>
      <c r="N511" t="s">
        <v>836</v>
      </c>
    </row>
    <row r="512" spans="1:14" x14ac:dyDescent="0.2">
      <c r="B512" s="378">
        <v>42446</v>
      </c>
      <c r="C512" s="441">
        <v>44761</v>
      </c>
      <c r="D512" s="376">
        <v>44834</v>
      </c>
      <c r="E512" s="365">
        <f t="shared" si="12"/>
        <v>73</v>
      </c>
      <c r="F512" s="359">
        <v>73</v>
      </c>
      <c r="G512" s="359" t="s">
        <v>373</v>
      </c>
      <c r="H512" s="377"/>
      <c r="I512" s="377" t="s">
        <v>832</v>
      </c>
      <c r="J512" t="s">
        <v>834</v>
      </c>
    </row>
    <row r="513" spans="1:9" x14ac:dyDescent="0.2">
      <c r="B513" s="378"/>
      <c r="C513" s="376">
        <v>45127</v>
      </c>
      <c r="D513" s="376">
        <v>45149</v>
      </c>
      <c r="E513" s="365">
        <f t="shared" si="12"/>
        <v>22</v>
      </c>
      <c r="F513" s="359">
        <v>22</v>
      </c>
      <c r="G513" s="359" t="s">
        <v>373</v>
      </c>
      <c r="H513" s="377"/>
      <c r="I513" s="377" t="s">
        <v>832</v>
      </c>
    </row>
    <row r="514" spans="1:9" x14ac:dyDescent="0.2">
      <c r="B514" s="378"/>
      <c r="C514" s="376">
        <v>45221</v>
      </c>
      <c r="D514" s="376">
        <v>45465</v>
      </c>
      <c r="E514" s="365">
        <f t="shared" si="12"/>
        <v>244</v>
      </c>
      <c r="F514" s="359">
        <v>244</v>
      </c>
      <c r="G514" s="359" t="s">
        <v>373</v>
      </c>
      <c r="H514" s="377"/>
      <c r="I514" s="377" t="s">
        <v>832</v>
      </c>
    </row>
    <row r="515" spans="1:9" x14ac:dyDescent="0.2">
      <c r="B515" s="378">
        <v>42448</v>
      </c>
      <c r="C515" s="376">
        <v>45600</v>
      </c>
      <c r="D515" s="376">
        <v>45705</v>
      </c>
      <c r="E515" s="365">
        <f t="shared" si="12"/>
        <v>105</v>
      </c>
      <c r="F515" s="359">
        <v>105</v>
      </c>
      <c r="G515" s="359" t="s">
        <v>373</v>
      </c>
      <c r="H515" s="359"/>
      <c r="I515" s="377" t="s">
        <v>839</v>
      </c>
    </row>
    <row r="516" spans="1:9" x14ac:dyDescent="0.2">
      <c r="B516" s="378">
        <v>42449</v>
      </c>
      <c r="C516" s="376">
        <v>48275</v>
      </c>
      <c r="D516" s="376">
        <v>48318</v>
      </c>
      <c r="E516" s="365">
        <f t="shared" si="12"/>
        <v>43</v>
      </c>
      <c r="F516" s="359">
        <v>43</v>
      </c>
      <c r="G516" s="359" t="s">
        <v>845</v>
      </c>
      <c r="H516" s="359"/>
      <c r="I516" s="377" t="s">
        <v>846</v>
      </c>
    </row>
    <row r="517" spans="1:9" x14ac:dyDescent="0.2">
      <c r="B517" s="378">
        <v>42444</v>
      </c>
      <c r="C517" s="376">
        <v>67255.429999999993</v>
      </c>
      <c r="D517" s="376">
        <v>67301.5</v>
      </c>
      <c r="E517" s="365">
        <f t="shared" si="12"/>
        <v>46.070000000006985</v>
      </c>
      <c r="F517" s="359">
        <v>46.1</v>
      </c>
      <c r="G517" s="359" t="s">
        <v>793</v>
      </c>
      <c r="H517" s="377"/>
      <c r="I517" s="377" t="s">
        <v>799</v>
      </c>
    </row>
    <row r="518" spans="1:9" x14ac:dyDescent="0.2">
      <c r="B518" s="375">
        <v>42454</v>
      </c>
      <c r="C518" s="376">
        <v>35531</v>
      </c>
      <c r="D518" s="376">
        <v>35652</v>
      </c>
      <c r="E518" s="365">
        <f t="shared" si="12"/>
        <v>121</v>
      </c>
      <c r="F518" s="365">
        <v>121</v>
      </c>
      <c r="G518" s="359" t="s">
        <v>373</v>
      </c>
      <c r="H518" s="377"/>
      <c r="I518" s="377" t="s">
        <v>854</v>
      </c>
    </row>
    <row r="519" spans="1:9" x14ac:dyDescent="0.2">
      <c r="B519" s="375">
        <v>42455</v>
      </c>
      <c r="C519" s="376">
        <v>35652</v>
      </c>
      <c r="D519" s="376">
        <v>35709</v>
      </c>
      <c r="E519" s="365">
        <f t="shared" si="12"/>
        <v>57</v>
      </c>
      <c r="F519" s="365">
        <v>57</v>
      </c>
      <c r="G519" s="359" t="s">
        <v>373</v>
      </c>
      <c r="H519" s="377"/>
      <c r="I519" s="377" t="s">
        <v>854</v>
      </c>
    </row>
    <row r="520" spans="1:9" x14ac:dyDescent="0.2">
      <c r="B520" s="2"/>
      <c r="C520" s="350"/>
      <c r="D520" s="350" t="s">
        <v>18</v>
      </c>
      <c r="E520" s="8">
        <f>SUM(E510:E519)</f>
        <v>836.07000000000698</v>
      </c>
      <c r="F520" s="8">
        <f>SUM(F505:F519)</f>
        <v>836.30000000000007</v>
      </c>
      <c r="H520" s="367"/>
    </row>
    <row r="521" spans="1:9" x14ac:dyDescent="0.2">
      <c r="C521" s="350"/>
      <c r="D521" s="350"/>
      <c r="E521" s="8"/>
      <c r="H521" s="367"/>
    </row>
    <row r="522" spans="1:9" x14ac:dyDescent="0.2">
      <c r="A522" s="5" t="str">
        <f>Summary!$G$11</f>
        <v>PIPELINE PROJECT</v>
      </c>
    </row>
    <row r="534" spans="1:6" ht="16" x14ac:dyDescent="0.2">
      <c r="A534" s="157" t="s">
        <v>89</v>
      </c>
    </row>
    <row r="535" spans="1:6" x14ac:dyDescent="0.2">
      <c r="A535" s="5"/>
    </row>
    <row r="537" spans="1:6" x14ac:dyDescent="0.2">
      <c r="A537" t="s">
        <v>0</v>
      </c>
      <c r="E537" s="2" t="s">
        <v>64</v>
      </c>
      <c r="F537" s="3">
        <v>42475</v>
      </c>
    </row>
    <row r="538" spans="1:6" x14ac:dyDescent="0.2">
      <c r="A538" t="s">
        <v>1</v>
      </c>
      <c r="B538" s="160" t="s">
        <v>254</v>
      </c>
    </row>
    <row r="540" spans="1:6" x14ac:dyDescent="0.2">
      <c r="A540" s="9" t="s">
        <v>2</v>
      </c>
      <c r="B540" s="10"/>
      <c r="C540" s="11" t="s">
        <v>4</v>
      </c>
      <c r="D540" s="11" t="s">
        <v>3</v>
      </c>
      <c r="E540" s="11" t="s">
        <v>8</v>
      </c>
      <c r="F540" s="12" t="s">
        <v>260</v>
      </c>
    </row>
    <row r="541" spans="1:6" ht="14.5" customHeight="1" x14ac:dyDescent="0.2">
      <c r="A541" s="352" t="s">
        <v>255</v>
      </c>
      <c r="B541" s="115" t="s">
        <v>261</v>
      </c>
      <c r="C541" s="14"/>
      <c r="D541" s="15"/>
      <c r="E541" s="116"/>
      <c r="F541" s="188"/>
    </row>
    <row r="542" spans="1:6" x14ac:dyDescent="0.2">
      <c r="A542" s="18"/>
      <c r="B542" s="21" t="s">
        <v>256</v>
      </c>
      <c r="C542" s="19" t="s">
        <v>54</v>
      </c>
      <c r="D542" s="20">
        <v>51.48</v>
      </c>
      <c r="E542" s="36"/>
      <c r="F542" s="188"/>
    </row>
    <row r="543" spans="1:6" x14ac:dyDescent="0.2">
      <c r="A543" s="18"/>
      <c r="B543" s="21" t="s">
        <v>257</v>
      </c>
      <c r="C543" s="19" t="s">
        <v>54</v>
      </c>
      <c r="D543" s="20">
        <v>71.48</v>
      </c>
      <c r="E543" s="394">
        <f>E569</f>
        <v>552</v>
      </c>
      <c r="F543" s="188">
        <f>E543*D543</f>
        <v>39456.959999999999</v>
      </c>
    </row>
    <row r="544" spans="1:6" x14ac:dyDescent="0.2">
      <c r="A544" s="24"/>
      <c r="B544" s="24"/>
      <c r="C544" s="136"/>
      <c r="D544" s="137"/>
      <c r="E544" s="22"/>
      <c r="F544" s="188"/>
    </row>
    <row r="545" spans="1:13" x14ac:dyDescent="0.2">
      <c r="E545" s="26" t="s">
        <v>12</v>
      </c>
      <c r="F545" s="190">
        <f>SUM(F541:F544)</f>
        <v>39456.959999999999</v>
      </c>
    </row>
    <row r="547" spans="1:13" x14ac:dyDescent="0.2">
      <c r="A547" t="str">
        <f>Summary!$G$9</f>
        <v>Contractor</v>
      </c>
    </row>
    <row r="551" spans="1:13" x14ac:dyDescent="0.2">
      <c r="C551" s="494" t="str">
        <f>Summary!$G$10</f>
        <v>Construction Manager</v>
      </c>
      <c r="D551" s="494"/>
      <c r="E551" s="494"/>
      <c r="F551" s="494"/>
    </row>
    <row r="552" spans="1:13" x14ac:dyDescent="0.2">
      <c r="C552" s="346"/>
      <c r="D552" s="346"/>
      <c r="E552" s="346"/>
      <c r="F552" s="346"/>
    </row>
    <row r="553" spans="1:13" x14ac:dyDescent="0.2">
      <c r="B553" s="154"/>
      <c r="C553" s="350"/>
      <c r="D553" s="350"/>
      <c r="E553" s="8"/>
      <c r="H553" s="367"/>
    </row>
    <row r="554" spans="1:13" x14ac:dyDescent="0.2">
      <c r="B554" s="154"/>
      <c r="C554" s="350"/>
      <c r="D554" s="350"/>
      <c r="E554" s="8"/>
      <c r="H554" s="367"/>
    </row>
    <row r="555" spans="1:13" x14ac:dyDescent="0.2">
      <c r="B555" s="2" t="s">
        <v>258</v>
      </c>
      <c r="C555" s="348" t="s">
        <v>250</v>
      </c>
      <c r="D555" s="348" t="s">
        <v>185</v>
      </c>
      <c r="E555" s="349" t="s">
        <v>259</v>
      </c>
      <c r="F555" s="349" t="s">
        <v>387</v>
      </c>
      <c r="H555" t="s">
        <v>364</v>
      </c>
      <c r="I555" s="367"/>
    </row>
    <row r="556" spans="1:13" x14ac:dyDescent="0.2">
      <c r="B556" s="366"/>
      <c r="C556" s="350"/>
      <c r="D556" s="350"/>
      <c r="E556" s="8"/>
      <c r="H556" s="367"/>
      <c r="I556" s="162"/>
      <c r="J556" s="162"/>
      <c r="K556" s="162"/>
      <c r="L556" s="162"/>
      <c r="M556" s="162"/>
    </row>
    <row r="557" spans="1:13" x14ac:dyDescent="0.2">
      <c r="B557" s="366">
        <v>42458</v>
      </c>
      <c r="C557" s="350">
        <v>35875</v>
      </c>
      <c r="D557" s="350">
        <v>35937</v>
      </c>
      <c r="E557" s="8">
        <f t="shared" ref="E557:E567" si="13">ABS(C557-D557)</f>
        <v>62</v>
      </c>
      <c r="F557" s="8">
        <v>62</v>
      </c>
      <c r="G557" t="s">
        <v>373</v>
      </c>
      <c r="H557" s="367" t="s">
        <v>891</v>
      </c>
      <c r="I557" s="162"/>
      <c r="J557" s="162"/>
      <c r="K557" s="162"/>
      <c r="L557" s="162"/>
      <c r="M557" s="162"/>
    </row>
    <row r="558" spans="1:13" x14ac:dyDescent="0.2">
      <c r="B558" s="366">
        <v>42462</v>
      </c>
      <c r="C558" s="350">
        <v>42568</v>
      </c>
      <c r="D558" s="350">
        <v>42647</v>
      </c>
      <c r="E558" s="8">
        <f t="shared" si="13"/>
        <v>79</v>
      </c>
      <c r="F558" s="8">
        <v>79</v>
      </c>
      <c r="G558" t="s">
        <v>373</v>
      </c>
      <c r="H558" s="367" t="s">
        <v>891</v>
      </c>
      <c r="I558" s="162"/>
      <c r="J558" s="162"/>
      <c r="K558" s="162"/>
      <c r="L558" s="162"/>
      <c r="M558" s="162"/>
    </row>
    <row r="559" spans="1:13" x14ac:dyDescent="0.2">
      <c r="B559" s="366">
        <v>42462</v>
      </c>
      <c r="C559" s="350">
        <v>42484</v>
      </c>
      <c r="D559" s="350">
        <v>42541</v>
      </c>
      <c r="E559" s="8">
        <f t="shared" si="13"/>
        <v>57</v>
      </c>
      <c r="F559" s="8">
        <v>57</v>
      </c>
      <c r="G559" t="s">
        <v>373</v>
      </c>
      <c r="H559" s="367" t="s">
        <v>891</v>
      </c>
      <c r="I559" s="162">
        <f>SUM(E557:E559)</f>
        <v>198</v>
      </c>
      <c r="J559" s="162"/>
      <c r="K559" s="162"/>
      <c r="L559" s="162"/>
      <c r="M559" s="162"/>
    </row>
    <row r="560" spans="1:13" x14ac:dyDescent="0.2">
      <c r="B560" s="366">
        <v>42463</v>
      </c>
      <c r="C560" s="350">
        <v>41971</v>
      </c>
      <c r="D560" s="350">
        <v>42021</v>
      </c>
      <c r="E560" s="8">
        <f t="shared" si="13"/>
        <v>50</v>
      </c>
      <c r="F560" s="8">
        <v>49.5</v>
      </c>
      <c r="G560" t="s">
        <v>373</v>
      </c>
      <c r="H560" s="367" t="s">
        <v>892</v>
      </c>
      <c r="I560" s="162"/>
      <c r="J560" s="162"/>
      <c r="K560" s="162"/>
      <c r="L560" s="162"/>
      <c r="M560" s="162"/>
    </row>
    <row r="561" spans="1:13" x14ac:dyDescent="0.2">
      <c r="B561" s="366"/>
      <c r="C561" s="350">
        <v>41700</v>
      </c>
      <c r="D561" s="350">
        <v>41744</v>
      </c>
      <c r="E561" s="8">
        <f t="shared" si="13"/>
        <v>44</v>
      </c>
      <c r="F561" s="8">
        <v>44</v>
      </c>
      <c r="G561" t="s">
        <v>373</v>
      </c>
      <c r="H561" s="367" t="s">
        <v>892</v>
      </c>
      <c r="I561" s="162">
        <f>SUM(E560:E561)</f>
        <v>94</v>
      </c>
      <c r="J561" s="162"/>
      <c r="K561" s="162"/>
      <c r="L561" s="162"/>
      <c r="M561" s="162"/>
    </row>
    <row r="562" spans="1:13" x14ac:dyDescent="0.2">
      <c r="B562" s="366">
        <v>42463</v>
      </c>
      <c r="C562" s="350">
        <v>38725</v>
      </c>
      <c r="D562" s="350">
        <v>38768</v>
      </c>
      <c r="E562" s="8">
        <f t="shared" si="13"/>
        <v>43</v>
      </c>
      <c r="F562" s="8">
        <v>43</v>
      </c>
      <c r="G562" t="s">
        <v>893</v>
      </c>
      <c r="H562" s="367" t="s">
        <v>970</v>
      </c>
      <c r="I562" s="162">
        <v>43</v>
      </c>
      <c r="J562" s="162"/>
      <c r="K562" s="162"/>
      <c r="L562" s="162"/>
      <c r="M562" s="162"/>
    </row>
    <row r="563" spans="1:13" x14ac:dyDescent="0.2">
      <c r="B563" s="366">
        <v>42467</v>
      </c>
      <c r="C563" s="350">
        <v>48932</v>
      </c>
      <c r="D563" s="350">
        <v>49014</v>
      </c>
      <c r="E563" s="8">
        <f t="shared" si="13"/>
        <v>82</v>
      </c>
      <c r="F563" s="365">
        <v>81.400000000000006</v>
      </c>
      <c r="G563" t="s">
        <v>373</v>
      </c>
      <c r="H563" s="367" t="s">
        <v>937</v>
      </c>
      <c r="I563" s="162"/>
      <c r="J563" s="162"/>
      <c r="K563" s="162"/>
      <c r="L563" s="162"/>
      <c r="M563" s="162"/>
    </row>
    <row r="564" spans="1:13" x14ac:dyDescent="0.2">
      <c r="B564" s="366"/>
      <c r="C564" s="350">
        <v>48514</v>
      </c>
      <c r="D564" s="350">
        <v>48628</v>
      </c>
      <c r="E564" s="8">
        <f t="shared" si="13"/>
        <v>114</v>
      </c>
      <c r="F564" s="8">
        <v>114</v>
      </c>
      <c r="G564" t="s">
        <v>373</v>
      </c>
      <c r="H564" s="367" t="s">
        <v>937</v>
      </c>
      <c r="I564" s="162">
        <f>SUM(E563:E564)</f>
        <v>196</v>
      </c>
      <c r="J564" s="162"/>
      <c r="K564" s="162"/>
      <c r="L564" s="162"/>
      <c r="M564" s="162"/>
    </row>
    <row r="565" spans="1:13" x14ac:dyDescent="0.2">
      <c r="B565" s="366">
        <v>42474</v>
      </c>
      <c r="C565" s="350">
        <v>39165</v>
      </c>
      <c r="D565" s="350">
        <v>39186</v>
      </c>
      <c r="E565" s="8">
        <f t="shared" si="13"/>
        <v>21</v>
      </c>
      <c r="F565" s="365">
        <v>40</v>
      </c>
      <c r="G565" t="s">
        <v>990</v>
      </c>
      <c r="H565" s="367" t="s">
        <v>960</v>
      </c>
      <c r="I565" s="162">
        <f>SUM(E565)</f>
        <v>21</v>
      </c>
      <c r="J565" s="162"/>
      <c r="K565" s="462" t="s">
        <v>979</v>
      </c>
      <c r="L565" s="162"/>
      <c r="M565" s="162"/>
    </row>
    <row r="566" spans="1:13" x14ac:dyDescent="0.2">
      <c r="B566" s="366"/>
      <c r="C566" s="350"/>
      <c r="D566" s="350"/>
      <c r="E566" s="8">
        <f t="shared" si="13"/>
        <v>0</v>
      </c>
      <c r="F566" s="8"/>
      <c r="H566" s="367"/>
      <c r="I566" s="162"/>
      <c r="J566" s="162"/>
      <c r="K566" s="162"/>
      <c r="L566" s="162"/>
      <c r="M566" s="162"/>
    </row>
    <row r="567" spans="1:13" x14ac:dyDescent="0.2">
      <c r="B567" s="154"/>
      <c r="C567" s="350"/>
      <c r="D567" s="350"/>
      <c r="E567" s="8">
        <f t="shared" si="13"/>
        <v>0</v>
      </c>
      <c r="H567" s="367"/>
      <c r="I567" s="162"/>
      <c r="J567" s="162"/>
      <c r="K567" s="162"/>
      <c r="L567" s="162"/>
      <c r="M567" s="162"/>
    </row>
    <row r="568" spans="1:13" x14ac:dyDescent="0.2">
      <c r="B568" s="366"/>
      <c r="C568" s="350"/>
      <c r="D568" s="350"/>
      <c r="E568" s="8"/>
      <c r="H568" s="367"/>
    </row>
    <row r="569" spans="1:13" x14ac:dyDescent="0.2">
      <c r="B569" s="2"/>
      <c r="C569" s="350"/>
      <c r="D569" s="350" t="s">
        <v>18</v>
      </c>
      <c r="E569" s="8">
        <f>SUM(E557:E568)</f>
        <v>552</v>
      </c>
      <c r="F569" s="8">
        <f>SUM(F557:F568)</f>
        <v>569.9</v>
      </c>
      <c r="H569" s="367"/>
    </row>
    <row r="570" spans="1:13" x14ac:dyDescent="0.2">
      <c r="C570" s="350"/>
      <c r="D570" s="350"/>
      <c r="E570" s="8"/>
      <c r="H570" s="367"/>
    </row>
    <row r="571" spans="1:13" x14ac:dyDescent="0.2">
      <c r="A571" s="5" t="str">
        <f>Summary!$G$11</f>
        <v>PIPELINE PROJECT</v>
      </c>
    </row>
    <row r="583" spans="1:6" ht="16" x14ac:dyDescent="0.2">
      <c r="A583" s="157" t="s">
        <v>89</v>
      </c>
    </row>
    <row r="584" spans="1:6" x14ac:dyDescent="0.2">
      <c r="A584" s="5"/>
    </row>
    <row r="586" spans="1:6" x14ac:dyDescent="0.2">
      <c r="A586" t="s">
        <v>0</v>
      </c>
      <c r="E586" s="2" t="s">
        <v>64</v>
      </c>
      <c r="F586" s="3">
        <f>Summary!$G$3</f>
        <v>42505</v>
      </c>
    </row>
    <row r="587" spans="1:6" x14ac:dyDescent="0.2">
      <c r="A587" t="s">
        <v>1</v>
      </c>
      <c r="B587" s="160" t="s">
        <v>254</v>
      </c>
    </row>
    <row r="589" spans="1:6" x14ac:dyDescent="0.2">
      <c r="A589" s="9" t="s">
        <v>2</v>
      </c>
      <c r="B589" s="10"/>
      <c r="C589" s="11" t="s">
        <v>4</v>
      </c>
      <c r="D589" s="11" t="s">
        <v>3</v>
      </c>
      <c r="E589" s="11" t="s">
        <v>8</v>
      </c>
      <c r="F589" s="12" t="s">
        <v>260</v>
      </c>
    </row>
    <row r="590" spans="1:6" ht="14.5" customHeight="1" x14ac:dyDescent="0.2">
      <c r="A590" s="352" t="s">
        <v>255</v>
      </c>
      <c r="B590" s="115" t="s">
        <v>261</v>
      </c>
      <c r="C590" s="14"/>
      <c r="D590" s="15"/>
      <c r="E590" s="116"/>
      <c r="F590" s="188"/>
    </row>
    <row r="591" spans="1:6" x14ac:dyDescent="0.2">
      <c r="A591" s="18"/>
      <c r="B591" s="21" t="s">
        <v>256</v>
      </c>
      <c r="C591" s="19" t="s">
        <v>54</v>
      </c>
      <c r="D591" s="20">
        <v>51.48</v>
      </c>
      <c r="E591" s="36"/>
      <c r="F591" s="188"/>
    </row>
    <row r="592" spans="1:6" x14ac:dyDescent="0.2">
      <c r="A592" s="18"/>
      <c r="B592" s="21" t="s">
        <v>257</v>
      </c>
      <c r="C592" s="19" t="s">
        <v>54</v>
      </c>
      <c r="D592" s="20">
        <v>71.48</v>
      </c>
      <c r="E592" s="394">
        <f>E627</f>
        <v>707.99999999998909</v>
      </c>
      <c r="F592" s="188">
        <f>E592*D592</f>
        <v>50607.839999999225</v>
      </c>
    </row>
    <row r="593" spans="1:9" x14ac:dyDescent="0.2">
      <c r="A593" s="24"/>
      <c r="B593" s="24"/>
      <c r="C593" s="136"/>
      <c r="D593" s="137"/>
      <c r="E593" s="22"/>
      <c r="F593" s="188"/>
    </row>
    <row r="594" spans="1:9" x14ac:dyDescent="0.2">
      <c r="E594" s="26" t="s">
        <v>12</v>
      </c>
      <c r="F594" s="190">
        <f>SUM(F590:F593)</f>
        <v>50607.839999999225</v>
      </c>
    </row>
    <row r="596" spans="1:9" x14ac:dyDescent="0.2">
      <c r="A596" t="str">
        <f>Summary!$G$9</f>
        <v>Contractor</v>
      </c>
    </row>
    <row r="600" spans="1:9" x14ac:dyDescent="0.2">
      <c r="C600" s="494" t="str">
        <f>Summary!$G$10</f>
        <v>Construction Manager</v>
      </c>
      <c r="D600" s="494"/>
      <c r="E600" s="494"/>
      <c r="F600" s="494"/>
    </row>
    <row r="601" spans="1:9" x14ac:dyDescent="0.2">
      <c r="C601" s="346"/>
      <c r="D601" s="346"/>
      <c r="E601" s="346"/>
      <c r="F601" s="346"/>
    </row>
    <row r="602" spans="1:9" x14ac:dyDescent="0.2">
      <c r="C602" s="350"/>
      <c r="D602" s="350"/>
      <c r="E602" s="8"/>
      <c r="H602" s="367"/>
    </row>
    <row r="603" spans="1:9" x14ac:dyDescent="0.2">
      <c r="C603" s="347"/>
      <c r="D603" s="347"/>
    </row>
    <row r="604" spans="1:9" x14ac:dyDescent="0.2">
      <c r="B604" s="2" t="s">
        <v>258</v>
      </c>
      <c r="C604" s="348" t="s">
        <v>250</v>
      </c>
      <c r="D604" s="348" t="s">
        <v>185</v>
      </c>
      <c r="E604" s="349" t="s">
        <v>259</v>
      </c>
      <c r="F604" s="349" t="s">
        <v>387</v>
      </c>
      <c r="H604" t="s">
        <v>364</v>
      </c>
      <c r="I604" s="367"/>
    </row>
    <row r="605" spans="1:9" x14ac:dyDescent="0.2">
      <c r="B605" s="366"/>
      <c r="C605" s="350"/>
      <c r="D605" s="350"/>
      <c r="E605" s="8"/>
      <c r="H605" s="367"/>
      <c r="I605" s="367"/>
    </row>
    <row r="606" spans="1:9" x14ac:dyDescent="0.2">
      <c r="B606" s="154">
        <v>42713</v>
      </c>
      <c r="C606" s="350">
        <v>52181</v>
      </c>
      <c r="D606" s="350">
        <v>52191</v>
      </c>
      <c r="E606" s="8">
        <f t="shared" ref="E606:E625" si="14">ABS(C606-D606)</f>
        <v>10</v>
      </c>
      <c r="F606">
        <v>10</v>
      </c>
      <c r="G606" t="s">
        <v>367</v>
      </c>
      <c r="H606" s="367"/>
      <c r="I606" s="367"/>
    </row>
    <row r="607" spans="1:9" x14ac:dyDescent="0.2">
      <c r="B607" s="154">
        <v>42716</v>
      </c>
      <c r="C607" s="350">
        <v>54558</v>
      </c>
      <c r="D607" s="350">
        <v>54585</v>
      </c>
      <c r="E607" s="8">
        <f t="shared" si="14"/>
        <v>27</v>
      </c>
      <c r="F607">
        <v>27</v>
      </c>
      <c r="G607" t="s">
        <v>367</v>
      </c>
      <c r="H607" s="367"/>
      <c r="I607" s="367"/>
    </row>
    <row r="608" spans="1:9" x14ac:dyDescent="0.2">
      <c r="B608" s="154">
        <v>42722</v>
      </c>
      <c r="C608" s="350">
        <v>52526.5</v>
      </c>
      <c r="D608" s="350">
        <v>52586.400000000001</v>
      </c>
      <c r="E608" s="8">
        <f t="shared" si="14"/>
        <v>59.900000000001455</v>
      </c>
      <c r="F608">
        <v>59.9</v>
      </c>
      <c r="G608" t="s">
        <v>374</v>
      </c>
      <c r="H608" s="367"/>
      <c r="I608" s="367" t="s">
        <v>371</v>
      </c>
    </row>
    <row r="609" spans="2:11" x14ac:dyDescent="0.2">
      <c r="B609" s="366">
        <v>42722</v>
      </c>
      <c r="C609" s="350">
        <v>52693.8</v>
      </c>
      <c r="D609" s="350">
        <v>52782.6</v>
      </c>
      <c r="E609" s="8">
        <f t="shared" si="14"/>
        <v>88.799999999995634</v>
      </c>
      <c r="F609">
        <v>88.8</v>
      </c>
      <c r="G609" t="s">
        <v>374</v>
      </c>
      <c r="H609" s="367"/>
      <c r="I609" s="367" t="s">
        <v>371</v>
      </c>
    </row>
    <row r="610" spans="2:11" x14ac:dyDescent="0.2">
      <c r="B610" s="154">
        <v>42385</v>
      </c>
      <c r="C610" s="350">
        <v>64932</v>
      </c>
      <c r="D610" s="350">
        <v>64954</v>
      </c>
      <c r="E610" s="397">
        <f t="shared" si="14"/>
        <v>22</v>
      </c>
      <c r="F610" s="330">
        <v>18</v>
      </c>
      <c r="G610" t="s">
        <v>367</v>
      </c>
      <c r="H610" s="367"/>
      <c r="I610" s="367"/>
    </row>
    <row r="611" spans="2:11" x14ac:dyDescent="0.2">
      <c r="B611" s="418">
        <v>42430</v>
      </c>
      <c r="C611" s="402">
        <v>39689</v>
      </c>
      <c r="D611" s="402">
        <v>39741</v>
      </c>
      <c r="E611" s="397">
        <f t="shared" si="14"/>
        <v>52</v>
      </c>
      <c r="F611" s="330">
        <v>80</v>
      </c>
      <c r="G611" s="330" t="s">
        <v>367</v>
      </c>
      <c r="H611" s="408"/>
      <c r="I611" s="408" t="s">
        <v>761</v>
      </c>
      <c r="J611" s="330"/>
      <c r="K611" s="330" t="s">
        <v>760</v>
      </c>
    </row>
    <row r="612" spans="2:11" x14ac:dyDescent="0.2">
      <c r="B612" s="366"/>
      <c r="C612" s="350">
        <v>37740</v>
      </c>
      <c r="D612" s="350">
        <v>37784</v>
      </c>
      <c r="E612" s="8">
        <f t="shared" si="14"/>
        <v>44</v>
      </c>
      <c r="F612">
        <v>44</v>
      </c>
      <c r="G612" t="s">
        <v>367</v>
      </c>
      <c r="H612" s="367"/>
      <c r="I612" s="367" t="s">
        <v>761</v>
      </c>
    </row>
    <row r="613" spans="2:11" x14ac:dyDescent="0.2">
      <c r="B613" s="154">
        <v>42446</v>
      </c>
      <c r="C613" s="350">
        <v>47108</v>
      </c>
      <c r="D613" s="350">
        <v>47233.2</v>
      </c>
      <c r="E613" s="8">
        <f t="shared" si="14"/>
        <v>125.19999999999709</v>
      </c>
      <c r="F613">
        <v>125.2</v>
      </c>
      <c r="G613" t="s">
        <v>367</v>
      </c>
      <c r="H613" s="367" t="s">
        <v>851</v>
      </c>
      <c r="I613" s="367"/>
    </row>
    <row r="614" spans="2:11" x14ac:dyDescent="0.2">
      <c r="B614" s="154">
        <v>42446</v>
      </c>
      <c r="C614" s="350">
        <v>11835.6</v>
      </c>
      <c r="D614" s="350">
        <v>11853.9</v>
      </c>
      <c r="E614" s="8">
        <f t="shared" si="14"/>
        <v>18.299999999999272</v>
      </c>
      <c r="F614">
        <v>18.3</v>
      </c>
      <c r="G614" t="s">
        <v>847</v>
      </c>
      <c r="H614" s="367" t="s">
        <v>851</v>
      </c>
      <c r="I614" s="367"/>
    </row>
    <row r="615" spans="2:11" x14ac:dyDescent="0.2">
      <c r="B615" s="154">
        <v>42446</v>
      </c>
      <c r="C615" s="350">
        <v>11885.8</v>
      </c>
      <c r="D615" s="350">
        <v>11895.2</v>
      </c>
      <c r="E615" s="8">
        <f t="shared" si="14"/>
        <v>9.4000000000014552</v>
      </c>
      <c r="F615">
        <v>9.4</v>
      </c>
      <c r="G615" t="s">
        <v>847</v>
      </c>
      <c r="H615" s="367" t="s">
        <v>851</v>
      </c>
      <c r="I615" s="367"/>
    </row>
    <row r="616" spans="2:11" x14ac:dyDescent="0.2">
      <c r="B616" s="366">
        <v>42464</v>
      </c>
      <c r="C616" s="350">
        <v>38353</v>
      </c>
      <c r="D616" s="350">
        <v>38376</v>
      </c>
      <c r="E616" s="8">
        <f t="shared" si="14"/>
        <v>23</v>
      </c>
      <c r="F616" s="397"/>
      <c r="G616" t="s">
        <v>893</v>
      </c>
      <c r="H616" s="367" t="s">
        <v>93</v>
      </c>
      <c r="I616" s="367"/>
    </row>
    <row r="617" spans="2:11" x14ac:dyDescent="0.2">
      <c r="B617" s="366">
        <v>42464</v>
      </c>
      <c r="C617" s="350">
        <v>48514</v>
      </c>
      <c r="D617" s="350">
        <v>48628</v>
      </c>
      <c r="E617" s="8">
        <f t="shared" si="14"/>
        <v>114</v>
      </c>
      <c r="F617" s="397">
        <v>114</v>
      </c>
      <c r="H617" s="367" t="s">
        <v>851</v>
      </c>
      <c r="I617" s="367"/>
    </row>
    <row r="618" spans="2:11" x14ac:dyDescent="0.2">
      <c r="B618" s="366">
        <v>42465</v>
      </c>
      <c r="C618" s="350">
        <v>48933.3</v>
      </c>
      <c r="D618" s="350">
        <v>49014.7</v>
      </c>
      <c r="E618" s="8">
        <f t="shared" si="14"/>
        <v>81.399999999994179</v>
      </c>
      <c r="F618" s="397">
        <v>81.400000000000006</v>
      </c>
      <c r="H618" s="367" t="s">
        <v>851</v>
      </c>
      <c r="I618" s="367"/>
    </row>
    <row r="619" spans="2:11" x14ac:dyDescent="0.2">
      <c r="B619" s="366">
        <v>42473</v>
      </c>
      <c r="C619" s="350">
        <v>39173</v>
      </c>
      <c r="D619" s="350">
        <v>39206</v>
      </c>
      <c r="E619" s="8">
        <f t="shared" si="14"/>
        <v>33</v>
      </c>
      <c r="F619" s="397">
        <v>33</v>
      </c>
      <c r="H619" s="367" t="s">
        <v>851</v>
      </c>
      <c r="I619" s="367"/>
    </row>
    <row r="620" spans="2:11" x14ac:dyDescent="0.2">
      <c r="B620" s="366"/>
      <c r="C620" s="350"/>
      <c r="D620" s="350"/>
      <c r="E620" s="8">
        <f t="shared" si="14"/>
        <v>0</v>
      </c>
      <c r="F620" s="8"/>
      <c r="H620" s="367"/>
      <c r="I620" s="367"/>
    </row>
    <row r="621" spans="2:11" x14ac:dyDescent="0.2">
      <c r="B621" s="366"/>
      <c r="C621" s="350"/>
      <c r="D621" s="350"/>
      <c r="E621" s="8">
        <f t="shared" si="14"/>
        <v>0</v>
      </c>
      <c r="F621" s="8"/>
      <c r="H621" s="367"/>
      <c r="I621" s="367"/>
    </row>
    <row r="622" spans="2:11" x14ac:dyDescent="0.2">
      <c r="B622" s="366"/>
      <c r="C622" s="350"/>
      <c r="D622" s="350"/>
      <c r="E622" s="8">
        <f t="shared" si="14"/>
        <v>0</v>
      </c>
      <c r="F622" s="8"/>
      <c r="H622" s="367"/>
      <c r="I622" s="367"/>
    </row>
    <row r="623" spans="2:11" x14ac:dyDescent="0.2">
      <c r="B623" s="366"/>
      <c r="C623" s="350"/>
      <c r="D623" s="350"/>
      <c r="E623" s="8">
        <f t="shared" si="14"/>
        <v>0</v>
      </c>
      <c r="F623" s="8"/>
      <c r="H623" s="367"/>
      <c r="I623" s="367"/>
    </row>
    <row r="624" spans="2:11" x14ac:dyDescent="0.2">
      <c r="B624" s="366"/>
      <c r="C624" s="350"/>
      <c r="D624" s="350"/>
      <c r="E624" s="8">
        <f t="shared" si="14"/>
        <v>0</v>
      </c>
      <c r="F624" s="8"/>
      <c r="H624" s="367"/>
      <c r="I624" s="367"/>
    </row>
    <row r="625" spans="2:8" x14ac:dyDescent="0.2">
      <c r="B625" s="154"/>
      <c r="C625" s="350"/>
      <c r="D625" s="350"/>
      <c r="E625" s="8">
        <f t="shared" si="14"/>
        <v>0</v>
      </c>
      <c r="H625" s="367"/>
    </row>
    <row r="626" spans="2:8" x14ac:dyDescent="0.2">
      <c r="B626" s="366"/>
      <c r="C626" s="350"/>
      <c r="D626" s="350"/>
      <c r="E626" s="8"/>
      <c r="H626" s="367"/>
    </row>
    <row r="627" spans="2:8" x14ac:dyDescent="0.2">
      <c r="B627" s="2"/>
      <c r="C627" s="350"/>
      <c r="D627" s="350" t="s">
        <v>18</v>
      </c>
      <c r="E627" s="8">
        <f>SUM(E606:E626)</f>
        <v>707.99999999998909</v>
      </c>
      <c r="F627" s="8">
        <f>SUM(F606:F626)</f>
        <v>708.99999999999989</v>
      </c>
      <c r="H627" s="367"/>
    </row>
    <row r="628" spans="2:8" x14ac:dyDescent="0.2">
      <c r="C628" s="350"/>
      <c r="D628" s="350"/>
      <c r="E628" s="8"/>
      <c r="H628" s="367"/>
    </row>
    <row r="629" spans="2:8" x14ac:dyDescent="0.2">
      <c r="C629" s="347"/>
      <c r="D629" s="347"/>
    </row>
    <row r="630" spans="2:8" x14ac:dyDescent="0.2">
      <c r="C630" s="347"/>
      <c r="D630" s="347"/>
    </row>
    <row r="631" spans="2:8" x14ac:dyDescent="0.2">
      <c r="C631" s="347"/>
      <c r="D631" s="347"/>
    </row>
  </sheetData>
  <mergeCells count="10">
    <mergeCell ref="C600:F600"/>
    <mergeCell ref="C551:F551"/>
    <mergeCell ref="C506:F506"/>
    <mergeCell ref="C405:F405"/>
    <mergeCell ref="C281:F281"/>
    <mergeCell ref="C30:F30"/>
    <mergeCell ref="C82:F82"/>
    <mergeCell ref="C128:F128"/>
    <mergeCell ref="C172:F172"/>
    <mergeCell ref="C222:F222"/>
  </mergeCells>
  <phoneticPr fontId="26" type="noConversion"/>
  <pageMargins left="1.6805511811023623" right="0.70000000000000007" top="0.95000000000000007" bottom="0.75000000000000011" header="0.30000000000000004" footer="0.30000000000000004"/>
  <pageSetup scale="77" orientation="landscape" verticalDpi="1200"/>
  <rowBreaks count="12" manualBreakCount="12">
    <brk id="33" max="16383" man="1"/>
    <brk id="56" max="16383" man="1"/>
    <brk id="98" max="16383" man="1"/>
    <brk id="142" max="16383" man="1"/>
    <brk id="192" max="16383" man="1"/>
    <brk id="223" max="16383" man="1"/>
    <brk id="251" max="16383" man="1"/>
    <brk id="288" max="16383" man="1"/>
    <brk id="375" max="16383" man="1"/>
    <brk id="476" max="16383" man="1"/>
    <brk id="521" max="16383" man="1"/>
    <brk id="552" max="16383" man="1"/>
  </rowBreaks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FFCC"/>
  </sheetPr>
  <dimension ref="A1:AG494"/>
  <sheetViews>
    <sheetView zoomScale="125" zoomScaleNormal="125" zoomScalePageLayoutView="125" workbookViewId="0">
      <selection activeCell="E422" sqref="E422"/>
    </sheetView>
  </sheetViews>
  <sheetFormatPr baseColWidth="10" defaultColWidth="8.83203125" defaultRowHeight="15" x14ac:dyDescent="0.2"/>
  <cols>
    <col min="1" max="1" width="9.5" customWidth="1"/>
    <col min="2" max="2" width="38.5" customWidth="1"/>
    <col min="3" max="3" width="9.1640625" bestFit="1" customWidth="1"/>
    <col min="4" max="4" width="9" customWidth="1"/>
    <col min="5" max="5" width="9.6640625" customWidth="1"/>
    <col min="6" max="6" width="14.33203125" customWidth="1"/>
    <col min="11" max="12" width="9.1640625" bestFit="1" customWidth="1"/>
    <col min="15" max="15" width="11.1640625" bestFit="1" customWidth="1"/>
    <col min="19" max="20" width="9.1640625" bestFit="1" customWidth="1"/>
  </cols>
  <sheetData>
    <row r="1" spans="1:6" x14ac:dyDescent="0.2">
      <c r="A1" s="5" t="str">
        <f>Summary!$G$11</f>
        <v>PIPELINE PROJECT</v>
      </c>
    </row>
    <row r="13" spans="1:6" ht="16" x14ac:dyDescent="0.2">
      <c r="A13" s="157" t="s">
        <v>89</v>
      </c>
    </row>
    <row r="14" spans="1:6" x14ac:dyDescent="0.2">
      <c r="A14" s="5" t="s">
        <v>9</v>
      </c>
    </row>
    <row r="16" spans="1:6" x14ac:dyDescent="0.2">
      <c r="A16" t="s">
        <v>0</v>
      </c>
      <c r="E16" s="2" t="s">
        <v>64</v>
      </c>
      <c r="F16" s="3">
        <v>42353</v>
      </c>
    </row>
    <row r="17" spans="1:17" x14ac:dyDescent="0.2">
      <c r="A17" t="s">
        <v>1</v>
      </c>
      <c r="B17" s="4" t="s">
        <v>286</v>
      </c>
    </row>
    <row r="19" spans="1:17" x14ac:dyDescent="0.2">
      <c r="A19" s="9" t="s">
        <v>2</v>
      </c>
      <c r="B19" s="10"/>
      <c r="C19" s="11" t="s">
        <v>4</v>
      </c>
      <c r="D19" s="11" t="s">
        <v>3</v>
      </c>
      <c r="E19" s="11" t="s">
        <v>8</v>
      </c>
      <c r="F19" s="12" t="s">
        <v>260</v>
      </c>
    </row>
    <row r="20" spans="1:17" ht="30" x14ac:dyDescent="0.2">
      <c r="A20" s="134" t="s">
        <v>285</v>
      </c>
      <c r="B20" s="115" t="s">
        <v>10</v>
      </c>
      <c r="C20" s="30"/>
      <c r="D20" s="31"/>
      <c r="E20" s="31"/>
      <c r="F20" s="32"/>
      <c r="J20" t="s">
        <v>364</v>
      </c>
      <c r="K20" t="s">
        <v>250</v>
      </c>
      <c r="L20" t="s">
        <v>185</v>
      </c>
    </row>
    <row r="21" spans="1:17" x14ac:dyDescent="0.2">
      <c r="A21" s="18"/>
      <c r="B21" s="111" t="s">
        <v>287</v>
      </c>
      <c r="C21" s="19" t="s">
        <v>6</v>
      </c>
      <c r="D21" s="20">
        <v>89.6</v>
      </c>
      <c r="E21" s="36">
        <v>80</v>
      </c>
      <c r="F21" s="17">
        <f t="shared" ref="F21:F24" si="0">E21*D21</f>
        <v>7168</v>
      </c>
      <c r="J21" t="s">
        <v>315</v>
      </c>
      <c r="K21" t="s">
        <v>319</v>
      </c>
      <c r="L21" t="s">
        <v>318</v>
      </c>
      <c r="M21" t="s">
        <v>316</v>
      </c>
      <c r="P21">
        <v>18.89</v>
      </c>
      <c r="Q21">
        <v>18.989999999999998</v>
      </c>
    </row>
    <row r="22" spans="1:17" x14ac:dyDescent="0.2">
      <c r="A22" s="18"/>
      <c r="B22" s="111" t="s">
        <v>7</v>
      </c>
      <c r="C22" s="19" t="s">
        <v>6</v>
      </c>
      <c r="D22" s="20">
        <v>114.67</v>
      </c>
      <c r="E22" s="36"/>
      <c r="F22" s="17">
        <f t="shared" si="0"/>
        <v>0</v>
      </c>
      <c r="P22">
        <v>18.899999999999999</v>
      </c>
      <c r="Q22">
        <v>19.03</v>
      </c>
    </row>
    <row r="23" spans="1:17" x14ac:dyDescent="0.2">
      <c r="A23" s="18"/>
      <c r="B23" s="111" t="s">
        <v>58</v>
      </c>
      <c r="C23" s="19" t="s">
        <v>6</v>
      </c>
      <c r="D23" s="20">
        <v>166.57</v>
      </c>
      <c r="E23" s="36">
        <v>180</v>
      </c>
      <c r="F23" s="17">
        <f t="shared" si="0"/>
        <v>29982.6</v>
      </c>
      <c r="J23" t="s">
        <v>317</v>
      </c>
      <c r="K23" t="s">
        <v>320</v>
      </c>
      <c r="L23" t="s">
        <v>319</v>
      </c>
      <c r="M23" t="s">
        <v>321</v>
      </c>
      <c r="P23">
        <v>18.95</v>
      </c>
      <c r="Q23">
        <v>19.27</v>
      </c>
    </row>
    <row r="24" spans="1:17" ht="17" x14ac:dyDescent="0.2">
      <c r="A24" s="18"/>
      <c r="B24" s="111" t="s">
        <v>288</v>
      </c>
      <c r="C24" s="19" t="s">
        <v>289</v>
      </c>
      <c r="D24" s="20">
        <v>2.8</v>
      </c>
      <c r="E24" s="36">
        <v>15430.75</v>
      </c>
      <c r="F24" s="17">
        <f t="shared" si="0"/>
        <v>43206.1</v>
      </c>
      <c r="P24">
        <v>9.6</v>
      </c>
    </row>
    <row r="25" spans="1:17" x14ac:dyDescent="0.2">
      <c r="A25" s="18"/>
      <c r="B25" s="111"/>
      <c r="C25" s="19"/>
      <c r="D25" s="20"/>
      <c r="E25" s="36"/>
      <c r="F25" s="17"/>
      <c r="P25">
        <v>19.190000000000001</v>
      </c>
    </row>
    <row r="26" spans="1:17" x14ac:dyDescent="0.2">
      <c r="A26" s="24"/>
      <c r="B26" s="24"/>
      <c r="C26" s="24"/>
      <c r="D26" s="135"/>
      <c r="E26" s="24"/>
      <c r="F26" s="25"/>
      <c r="P26">
        <v>18.88</v>
      </c>
    </row>
    <row r="27" spans="1:17" x14ac:dyDescent="0.2">
      <c r="E27" s="26" t="s">
        <v>12</v>
      </c>
      <c r="F27" s="27">
        <f>SUM(F20:F26)</f>
        <v>80356.7</v>
      </c>
      <c r="P27">
        <v>19.510000000000002</v>
      </c>
    </row>
    <row r="28" spans="1:17" x14ac:dyDescent="0.2">
      <c r="P28" s="5">
        <f>SUM(P21:P27)</f>
        <v>123.91999999999999</v>
      </c>
      <c r="Q28" s="5">
        <f>SUM(Q21:Q27)</f>
        <v>57.289999999999992</v>
      </c>
    </row>
    <row r="29" spans="1:17" x14ac:dyDescent="0.2">
      <c r="A29" t="str">
        <f>Summary!$G$9</f>
        <v>Contractor</v>
      </c>
    </row>
    <row r="32" spans="1:17" x14ac:dyDescent="0.2">
      <c r="C32" s="494" t="str">
        <f>Summary!$G$10</f>
        <v>Construction Manager</v>
      </c>
      <c r="D32" s="494"/>
      <c r="E32" s="494"/>
      <c r="F32" s="494"/>
    </row>
    <row r="34" spans="1:1" x14ac:dyDescent="0.2">
      <c r="A34" s="5" t="str">
        <f>Summary!$G$11</f>
        <v>PIPELINE PROJECT</v>
      </c>
    </row>
    <row r="46" spans="1:1" ht="16" x14ac:dyDescent="0.2">
      <c r="A46" s="157" t="s">
        <v>89</v>
      </c>
    </row>
    <row r="47" spans="1:1" x14ac:dyDescent="0.2">
      <c r="A47" s="5" t="s">
        <v>9</v>
      </c>
    </row>
    <row r="49" spans="1:6" x14ac:dyDescent="0.2">
      <c r="A49" t="s">
        <v>0</v>
      </c>
      <c r="E49" s="2" t="s">
        <v>64</v>
      </c>
      <c r="F49" s="3">
        <v>42384</v>
      </c>
    </row>
    <row r="50" spans="1:6" x14ac:dyDescent="0.2">
      <c r="A50" t="s">
        <v>1</v>
      </c>
      <c r="B50" s="4" t="s">
        <v>286</v>
      </c>
    </row>
    <row r="52" spans="1:6" x14ac:dyDescent="0.2">
      <c r="A52" s="9" t="s">
        <v>2</v>
      </c>
      <c r="B52" s="10"/>
      <c r="C52" s="11" t="s">
        <v>4</v>
      </c>
      <c r="D52" s="11" t="s">
        <v>3</v>
      </c>
      <c r="E52" s="11" t="s">
        <v>8</v>
      </c>
      <c r="F52" s="12" t="s">
        <v>260</v>
      </c>
    </row>
    <row r="53" spans="1:6" ht="30" x14ac:dyDescent="0.2">
      <c r="A53" s="134" t="s">
        <v>285</v>
      </c>
      <c r="B53" s="115" t="s">
        <v>10</v>
      </c>
      <c r="C53" s="30"/>
      <c r="D53" s="31"/>
      <c r="E53" s="31"/>
      <c r="F53" s="32"/>
    </row>
    <row r="54" spans="1:6" x14ac:dyDescent="0.2">
      <c r="A54" s="18"/>
      <c r="B54" s="111" t="s">
        <v>287</v>
      </c>
      <c r="C54" s="19" t="s">
        <v>6</v>
      </c>
      <c r="D54" s="20">
        <v>89.6</v>
      </c>
      <c r="E54" s="36">
        <v>10</v>
      </c>
      <c r="F54" s="17">
        <f t="shared" ref="F54:F57" si="1">E54*D54</f>
        <v>896</v>
      </c>
    </row>
    <row r="55" spans="1:6" x14ac:dyDescent="0.2">
      <c r="A55" s="18"/>
      <c r="B55" s="111" t="s">
        <v>7</v>
      </c>
      <c r="C55" s="19" t="s">
        <v>6</v>
      </c>
      <c r="D55" s="20">
        <v>114.67</v>
      </c>
      <c r="E55" s="36"/>
      <c r="F55" s="17">
        <f t="shared" si="1"/>
        <v>0</v>
      </c>
    </row>
    <row r="56" spans="1:6" x14ac:dyDescent="0.2">
      <c r="A56" s="18"/>
      <c r="B56" s="111" t="s">
        <v>58</v>
      </c>
      <c r="C56" s="19" t="s">
        <v>6</v>
      </c>
      <c r="D56" s="20">
        <v>166.57</v>
      </c>
      <c r="E56" s="36"/>
      <c r="F56" s="17">
        <f t="shared" si="1"/>
        <v>0</v>
      </c>
    </row>
    <row r="57" spans="1:6" ht="17" x14ac:dyDescent="0.2">
      <c r="A57" s="18"/>
      <c r="B57" s="111" t="s">
        <v>288</v>
      </c>
      <c r="C57" s="19" t="s">
        <v>289</v>
      </c>
      <c r="D57" s="20">
        <v>2.8</v>
      </c>
      <c r="E57" s="36">
        <f>E76</f>
        <v>3360</v>
      </c>
      <c r="F57" s="17">
        <f t="shared" si="1"/>
        <v>9408</v>
      </c>
    </row>
    <row r="58" spans="1:6" x14ac:dyDescent="0.2">
      <c r="A58" s="18"/>
      <c r="B58" s="111"/>
      <c r="C58" s="19"/>
      <c r="D58" s="20"/>
      <c r="E58" s="36"/>
      <c r="F58" s="17"/>
    </row>
    <row r="59" spans="1:6" x14ac:dyDescent="0.2">
      <c r="A59" s="24"/>
      <c r="B59" s="24"/>
      <c r="C59" s="24"/>
      <c r="D59" s="135"/>
      <c r="E59" s="24"/>
      <c r="F59" s="25"/>
    </row>
    <row r="60" spans="1:6" x14ac:dyDescent="0.2">
      <c r="E60" s="26" t="s">
        <v>12</v>
      </c>
      <c r="F60" s="27">
        <f>SUM(F53:F59)</f>
        <v>10304</v>
      </c>
    </row>
    <row r="62" spans="1:6" x14ac:dyDescent="0.2">
      <c r="A62" t="str">
        <f>Summary!$G$9</f>
        <v>Contractor</v>
      </c>
    </row>
    <row r="65" spans="1:8" x14ac:dyDescent="0.2">
      <c r="C65" s="494" t="str">
        <f>Summary!$G$10</f>
        <v>Construction Manager</v>
      </c>
      <c r="D65" s="494"/>
      <c r="E65" s="494"/>
      <c r="F65" s="494"/>
    </row>
    <row r="72" spans="1:8" x14ac:dyDescent="0.2">
      <c r="H72" t="s">
        <v>364</v>
      </c>
    </row>
    <row r="73" spans="1:8" x14ac:dyDescent="0.2">
      <c r="B73" s="154">
        <v>42373</v>
      </c>
      <c r="C73">
        <v>21</v>
      </c>
      <c r="D73" t="s">
        <v>380</v>
      </c>
      <c r="F73" t="s">
        <v>381</v>
      </c>
      <c r="G73" t="s">
        <v>378</v>
      </c>
      <c r="H73" s="369" t="s">
        <v>382</v>
      </c>
    </row>
    <row r="74" spans="1:8" x14ac:dyDescent="0.2">
      <c r="B74" s="154">
        <v>42383</v>
      </c>
      <c r="C74" s="330">
        <v>21</v>
      </c>
      <c r="F74" t="s">
        <v>411</v>
      </c>
      <c r="G74" t="s">
        <v>378</v>
      </c>
      <c r="H74" s="369" t="s">
        <v>410</v>
      </c>
    </row>
    <row r="75" spans="1:8" x14ac:dyDescent="0.2">
      <c r="H75" s="369"/>
    </row>
    <row r="76" spans="1:8" x14ac:dyDescent="0.2">
      <c r="C76">
        <f>SUM(C73:C74)</f>
        <v>42</v>
      </c>
      <c r="D76">
        <v>80</v>
      </c>
      <c r="E76">
        <f>C76*D76</f>
        <v>3360</v>
      </c>
      <c r="H76" s="369"/>
    </row>
    <row r="78" spans="1:8" x14ac:dyDescent="0.2">
      <c r="A78" s="5" t="str">
        <f>Summary!$G$11</f>
        <v>PIPELINE PROJECT</v>
      </c>
    </row>
    <row r="90" spans="1:6" ht="16" x14ac:dyDescent="0.2">
      <c r="A90" s="157" t="s">
        <v>89</v>
      </c>
    </row>
    <row r="91" spans="1:6" x14ac:dyDescent="0.2">
      <c r="A91" s="5" t="s">
        <v>9</v>
      </c>
    </row>
    <row r="93" spans="1:6" x14ac:dyDescent="0.2">
      <c r="A93" t="s">
        <v>0</v>
      </c>
      <c r="E93" s="2" t="s">
        <v>64</v>
      </c>
      <c r="F93" s="3">
        <v>42400</v>
      </c>
    </row>
    <row r="94" spans="1:6" x14ac:dyDescent="0.2">
      <c r="A94" t="s">
        <v>1</v>
      </c>
      <c r="B94" s="4" t="s">
        <v>286</v>
      </c>
    </row>
    <row r="96" spans="1:6" x14ac:dyDescent="0.2">
      <c r="A96" s="9" t="s">
        <v>2</v>
      </c>
      <c r="B96" s="10"/>
      <c r="C96" s="11" t="s">
        <v>4</v>
      </c>
      <c r="D96" s="11" t="s">
        <v>3</v>
      </c>
      <c r="E96" s="11" t="s">
        <v>8</v>
      </c>
      <c r="F96" s="12" t="s">
        <v>260</v>
      </c>
    </row>
    <row r="97" spans="1:6" ht="30" x14ac:dyDescent="0.2">
      <c r="A97" s="134" t="s">
        <v>285</v>
      </c>
      <c r="B97" s="115" t="s">
        <v>10</v>
      </c>
      <c r="C97" s="30"/>
      <c r="D97" s="31"/>
      <c r="E97" s="31"/>
      <c r="F97" s="32"/>
    </row>
    <row r="98" spans="1:6" x14ac:dyDescent="0.2">
      <c r="A98" s="18"/>
      <c r="B98" s="111" t="s">
        <v>287</v>
      </c>
      <c r="C98" s="19" t="s">
        <v>6</v>
      </c>
      <c r="D98" s="20">
        <v>89.6</v>
      </c>
      <c r="E98" s="36">
        <v>10</v>
      </c>
      <c r="F98" s="17">
        <f t="shared" ref="F98:F101" si="2">E98*D98</f>
        <v>896</v>
      </c>
    </row>
    <row r="99" spans="1:6" x14ac:dyDescent="0.2">
      <c r="A99" s="18"/>
      <c r="B99" s="111" t="s">
        <v>7</v>
      </c>
      <c r="C99" s="19" t="s">
        <v>6</v>
      </c>
      <c r="D99" s="20">
        <v>114.67</v>
      </c>
      <c r="E99" s="36"/>
      <c r="F99" s="17">
        <f t="shared" si="2"/>
        <v>0</v>
      </c>
    </row>
    <row r="100" spans="1:6" x14ac:dyDescent="0.2">
      <c r="A100" s="18"/>
      <c r="B100" s="111" t="s">
        <v>58</v>
      </c>
      <c r="C100" s="19" t="s">
        <v>6</v>
      </c>
      <c r="D100" s="20">
        <v>166.57</v>
      </c>
      <c r="E100" s="36"/>
      <c r="F100" s="17">
        <f t="shared" si="2"/>
        <v>0</v>
      </c>
    </row>
    <row r="101" spans="1:6" ht="17" x14ac:dyDescent="0.2">
      <c r="A101" s="18"/>
      <c r="B101" s="111" t="s">
        <v>288</v>
      </c>
      <c r="C101" s="19" t="s">
        <v>289</v>
      </c>
      <c r="D101" s="20">
        <v>2.8</v>
      </c>
      <c r="E101" s="36">
        <f>E124</f>
        <v>5920</v>
      </c>
      <c r="F101" s="17">
        <f t="shared" si="2"/>
        <v>16576</v>
      </c>
    </row>
    <row r="102" spans="1:6" x14ac:dyDescent="0.2">
      <c r="A102" s="18"/>
      <c r="B102" s="111"/>
      <c r="C102" s="19"/>
      <c r="D102" s="20"/>
      <c r="E102" s="36"/>
      <c r="F102" s="17"/>
    </row>
    <row r="103" spans="1:6" x14ac:dyDescent="0.2">
      <c r="A103" s="24"/>
      <c r="B103" s="24"/>
      <c r="C103" s="24"/>
      <c r="D103" s="135"/>
      <c r="E103" s="24"/>
      <c r="F103" s="25"/>
    </row>
    <row r="104" spans="1:6" x14ac:dyDescent="0.2">
      <c r="E104" s="26" t="s">
        <v>12</v>
      </c>
      <c r="F104" s="27">
        <f>SUM(F97:F103)</f>
        <v>17472</v>
      </c>
    </row>
    <row r="106" spans="1:6" x14ac:dyDescent="0.2">
      <c r="A106" t="str">
        <f>Summary!$G$9</f>
        <v>Contractor</v>
      </c>
    </row>
    <row r="109" spans="1:6" x14ac:dyDescent="0.2">
      <c r="C109" s="494" t="str">
        <f>Summary!$G$10</f>
        <v>Construction Manager</v>
      </c>
      <c r="D109" s="494"/>
      <c r="E109" s="494"/>
      <c r="F109" s="494"/>
    </row>
    <row r="117" spans="1:8" x14ac:dyDescent="0.2">
      <c r="C117" s="349" t="s">
        <v>379</v>
      </c>
      <c r="H117" t="s">
        <v>364</v>
      </c>
    </row>
    <row r="118" spans="1:8" x14ac:dyDescent="0.2">
      <c r="B118" s="154">
        <v>42388</v>
      </c>
      <c r="C118">
        <v>11</v>
      </c>
      <c r="E118">
        <v>10</v>
      </c>
      <c r="F118" t="s">
        <v>367</v>
      </c>
      <c r="G118" t="s">
        <v>435</v>
      </c>
      <c r="H118" s="369" t="s">
        <v>431</v>
      </c>
    </row>
    <row r="119" spans="1:8" x14ac:dyDescent="0.2">
      <c r="B119" s="154">
        <v>42391</v>
      </c>
      <c r="C119">
        <v>21</v>
      </c>
      <c r="F119" t="s">
        <v>468</v>
      </c>
      <c r="G119" t="s">
        <v>378</v>
      </c>
      <c r="H119" s="369" t="s">
        <v>469</v>
      </c>
    </row>
    <row r="120" spans="1:8" x14ac:dyDescent="0.2">
      <c r="B120" s="154">
        <v>42399</v>
      </c>
      <c r="C120">
        <v>42</v>
      </c>
      <c r="F120" t="s">
        <v>502</v>
      </c>
      <c r="G120" t="s">
        <v>513</v>
      </c>
      <c r="H120" s="369"/>
    </row>
    <row r="121" spans="1:8" x14ac:dyDescent="0.2">
      <c r="B121" s="154"/>
      <c r="H121" s="369"/>
    </row>
    <row r="122" spans="1:8" x14ac:dyDescent="0.2">
      <c r="B122" s="154"/>
      <c r="H122" s="369"/>
    </row>
    <row r="123" spans="1:8" x14ac:dyDescent="0.2">
      <c r="D123" t="s">
        <v>444</v>
      </c>
      <c r="H123" s="369"/>
    </row>
    <row r="124" spans="1:8" x14ac:dyDescent="0.2">
      <c r="C124">
        <f>SUM(C118:C123)</f>
        <v>74</v>
      </c>
      <c r="D124">
        <v>80</v>
      </c>
      <c r="E124">
        <f>C124*D124</f>
        <v>5920</v>
      </c>
      <c r="H124" s="369"/>
    </row>
    <row r="125" spans="1:8" x14ac:dyDescent="0.2">
      <c r="H125" s="349"/>
    </row>
    <row r="126" spans="1:8" x14ac:dyDescent="0.2">
      <c r="A126" s="5" t="str">
        <f>Summary!$G$11</f>
        <v>PIPELINE PROJECT</v>
      </c>
    </row>
    <row r="138" spans="1:6" ht="16" x14ac:dyDescent="0.2">
      <c r="A138" s="157" t="s">
        <v>89</v>
      </c>
    </row>
    <row r="139" spans="1:6" x14ac:dyDescent="0.2">
      <c r="A139" s="5" t="s">
        <v>9</v>
      </c>
    </row>
    <row r="141" spans="1:6" x14ac:dyDescent="0.2">
      <c r="A141" t="s">
        <v>0</v>
      </c>
      <c r="E141" s="2" t="s">
        <v>64</v>
      </c>
      <c r="F141" s="3">
        <v>42415</v>
      </c>
    </row>
    <row r="142" spans="1:6" x14ac:dyDescent="0.2">
      <c r="A142" t="s">
        <v>1</v>
      </c>
      <c r="B142" s="4" t="s">
        <v>286</v>
      </c>
    </row>
    <row r="144" spans="1:6" x14ac:dyDescent="0.2">
      <c r="A144" s="9" t="s">
        <v>2</v>
      </c>
      <c r="B144" s="10"/>
      <c r="C144" s="11" t="s">
        <v>4</v>
      </c>
      <c r="D144" s="11" t="s">
        <v>3</v>
      </c>
      <c r="E144" s="11" t="s">
        <v>8</v>
      </c>
      <c r="F144" s="12" t="s">
        <v>260</v>
      </c>
    </row>
    <row r="145" spans="1:6" ht="30" x14ac:dyDescent="0.2">
      <c r="A145" s="134" t="s">
        <v>285</v>
      </c>
      <c r="B145" s="115" t="s">
        <v>10</v>
      </c>
      <c r="C145" s="30"/>
      <c r="D145" s="31"/>
      <c r="E145" s="31"/>
      <c r="F145" s="32"/>
    </row>
    <row r="146" spans="1:6" x14ac:dyDescent="0.2">
      <c r="A146" s="18"/>
      <c r="B146" s="111" t="s">
        <v>287</v>
      </c>
      <c r="C146" s="19" t="s">
        <v>6</v>
      </c>
      <c r="D146" s="20">
        <v>89.6</v>
      </c>
      <c r="E146" s="36"/>
      <c r="F146" s="17">
        <f t="shared" ref="F146:F149" si="3">E146*D146</f>
        <v>0</v>
      </c>
    </row>
    <row r="147" spans="1:6" x14ac:dyDescent="0.2">
      <c r="A147" s="18"/>
      <c r="B147" s="111" t="s">
        <v>7</v>
      </c>
      <c r="C147" s="19" t="s">
        <v>6</v>
      </c>
      <c r="D147" s="20">
        <v>114.67</v>
      </c>
      <c r="E147" s="36"/>
      <c r="F147" s="17">
        <f t="shared" si="3"/>
        <v>0</v>
      </c>
    </row>
    <row r="148" spans="1:6" x14ac:dyDescent="0.2">
      <c r="A148" s="18"/>
      <c r="B148" s="111" t="s">
        <v>58</v>
      </c>
      <c r="C148" s="19" t="s">
        <v>6</v>
      </c>
      <c r="D148" s="20">
        <v>166.57</v>
      </c>
      <c r="E148" s="36"/>
      <c r="F148" s="17">
        <f t="shared" si="3"/>
        <v>0</v>
      </c>
    </row>
    <row r="149" spans="1:6" ht="17" x14ac:dyDescent="0.2">
      <c r="A149" s="18"/>
      <c r="B149" s="111" t="s">
        <v>288</v>
      </c>
      <c r="C149" s="19" t="s">
        <v>289</v>
      </c>
      <c r="D149" s="20">
        <v>2.8</v>
      </c>
      <c r="E149" s="36">
        <f>G176</f>
        <v>9760</v>
      </c>
      <c r="F149" s="17">
        <f t="shared" si="3"/>
        <v>27328</v>
      </c>
    </row>
    <row r="150" spans="1:6" x14ac:dyDescent="0.2">
      <c r="A150" s="18"/>
      <c r="B150" s="111"/>
      <c r="C150" s="19"/>
      <c r="D150" s="20"/>
      <c r="E150" s="36"/>
      <c r="F150" s="17"/>
    </row>
    <row r="151" spans="1:6" x14ac:dyDescent="0.2">
      <c r="A151" s="24"/>
      <c r="B151" s="24"/>
      <c r="C151" s="24"/>
      <c r="D151" s="135"/>
      <c r="E151" s="24"/>
      <c r="F151" s="25"/>
    </row>
    <row r="152" spans="1:6" x14ac:dyDescent="0.2">
      <c r="E152" s="26" t="s">
        <v>12</v>
      </c>
      <c r="F152" s="27">
        <f>SUM(F145:F151)</f>
        <v>27328</v>
      </c>
    </row>
    <row r="154" spans="1:6" x14ac:dyDescent="0.2">
      <c r="A154" t="str">
        <f>Summary!$G$9</f>
        <v>Contractor</v>
      </c>
    </row>
    <row r="157" spans="1:6" x14ac:dyDescent="0.2">
      <c r="C157" s="494" t="str">
        <f>Summary!$G$10</f>
        <v>Construction Manager</v>
      </c>
      <c r="D157" s="494"/>
      <c r="E157" s="494"/>
      <c r="F157" s="494"/>
    </row>
    <row r="166" spans="2:9" x14ac:dyDescent="0.2">
      <c r="C166" s="349" t="s">
        <v>379</v>
      </c>
      <c r="H166" t="s">
        <v>364</v>
      </c>
    </row>
    <row r="167" spans="2:9" x14ac:dyDescent="0.2">
      <c r="B167" s="154">
        <v>42400</v>
      </c>
      <c r="C167">
        <v>21</v>
      </c>
      <c r="E167">
        <v>80</v>
      </c>
      <c r="F167" t="s">
        <v>502</v>
      </c>
      <c r="G167" t="s">
        <v>513</v>
      </c>
      <c r="H167" s="369" t="s">
        <v>553</v>
      </c>
      <c r="I167" t="s">
        <v>554</v>
      </c>
    </row>
    <row r="168" spans="2:9" x14ac:dyDescent="0.2">
      <c r="B168" s="154">
        <v>42404</v>
      </c>
      <c r="C168">
        <v>11</v>
      </c>
      <c r="E168">
        <v>80</v>
      </c>
      <c r="F168" t="s">
        <v>373</v>
      </c>
      <c r="G168" t="s">
        <v>513</v>
      </c>
      <c r="H168" s="369" t="s">
        <v>557</v>
      </c>
    </row>
    <row r="169" spans="2:9" x14ac:dyDescent="0.2">
      <c r="C169">
        <f>SUM(C167:C168)</f>
        <v>32</v>
      </c>
      <c r="D169">
        <v>80</v>
      </c>
      <c r="E169">
        <f>C169*D169</f>
        <v>2560</v>
      </c>
      <c r="H169" s="369"/>
    </row>
    <row r="170" spans="2:9" x14ac:dyDescent="0.2">
      <c r="B170" s="154">
        <v>42403</v>
      </c>
      <c r="C170">
        <v>15</v>
      </c>
      <c r="E170">
        <v>96</v>
      </c>
      <c r="F170" t="s">
        <v>502</v>
      </c>
      <c r="G170" t="s">
        <v>513</v>
      </c>
      <c r="H170" s="369" t="s">
        <v>555</v>
      </c>
    </row>
    <row r="171" spans="2:9" x14ac:dyDescent="0.2">
      <c r="B171" s="154">
        <v>42403</v>
      </c>
      <c r="C171">
        <v>15</v>
      </c>
      <c r="E171">
        <v>96</v>
      </c>
      <c r="F171" t="s">
        <v>502</v>
      </c>
      <c r="G171" t="s">
        <v>513</v>
      </c>
      <c r="H171" s="369" t="s">
        <v>556</v>
      </c>
    </row>
    <row r="172" spans="2:9" x14ac:dyDescent="0.2">
      <c r="B172" s="154">
        <v>42401</v>
      </c>
      <c r="C172">
        <v>15</v>
      </c>
      <c r="E172">
        <v>96</v>
      </c>
      <c r="F172" t="s">
        <v>373</v>
      </c>
      <c r="G172" t="s">
        <v>513</v>
      </c>
      <c r="H172" s="369" t="s">
        <v>514</v>
      </c>
    </row>
    <row r="173" spans="2:9" x14ac:dyDescent="0.2">
      <c r="B173" s="154">
        <v>42412</v>
      </c>
      <c r="C173">
        <v>30</v>
      </c>
      <c r="D173" t="s">
        <v>592</v>
      </c>
      <c r="E173">
        <v>96</v>
      </c>
      <c r="F173" t="s">
        <v>373</v>
      </c>
      <c r="G173" t="s">
        <v>513</v>
      </c>
      <c r="H173" s="369" t="s">
        <v>591</v>
      </c>
    </row>
    <row r="174" spans="2:9" x14ac:dyDescent="0.2">
      <c r="B174" s="154"/>
      <c r="H174" s="369"/>
    </row>
    <row r="175" spans="2:9" x14ac:dyDescent="0.2">
      <c r="D175" t="s">
        <v>444</v>
      </c>
      <c r="H175" s="369"/>
    </row>
    <row r="176" spans="2:9" x14ac:dyDescent="0.2">
      <c r="C176">
        <f>SUM(C170:C175)</f>
        <v>75</v>
      </c>
      <c r="D176">
        <v>96</v>
      </c>
      <c r="E176">
        <f>C176*D176</f>
        <v>7200</v>
      </c>
      <c r="F176" s="359" t="s">
        <v>18</v>
      </c>
      <c r="G176" s="359">
        <f>E176+E169</f>
        <v>9760</v>
      </c>
      <c r="H176" s="369"/>
    </row>
    <row r="177" spans="1:8" x14ac:dyDescent="0.2">
      <c r="H177" s="349"/>
    </row>
    <row r="178" spans="1:8" x14ac:dyDescent="0.2">
      <c r="A178" s="5" t="str">
        <f>Summary!$G$11</f>
        <v>PIPELINE PROJECT</v>
      </c>
    </row>
    <row r="190" spans="1:8" ht="16" x14ac:dyDescent="0.2">
      <c r="A190" s="157" t="s">
        <v>89</v>
      </c>
    </row>
    <row r="191" spans="1:8" x14ac:dyDescent="0.2">
      <c r="A191" s="5" t="s">
        <v>9</v>
      </c>
    </row>
    <row r="193" spans="1:6" x14ac:dyDescent="0.2">
      <c r="A193" t="s">
        <v>0</v>
      </c>
      <c r="E193" s="2" t="s">
        <v>64</v>
      </c>
      <c r="F193" s="3">
        <v>42429</v>
      </c>
    </row>
    <row r="194" spans="1:6" x14ac:dyDescent="0.2">
      <c r="A194" t="s">
        <v>1</v>
      </c>
      <c r="B194" s="4" t="s">
        <v>286</v>
      </c>
    </row>
    <row r="196" spans="1:6" x14ac:dyDescent="0.2">
      <c r="A196" s="9" t="s">
        <v>2</v>
      </c>
      <c r="B196" s="10"/>
      <c r="C196" s="11" t="s">
        <v>4</v>
      </c>
      <c r="D196" s="11" t="s">
        <v>3</v>
      </c>
      <c r="E196" s="11" t="s">
        <v>8</v>
      </c>
      <c r="F196" s="12" t="s">
        <v>260</v>
      </c>
    </row>
    <row r="197" spans="1:6" ht="30" x14ac:dyDescent="0.2">
      <c r="A197" s="134" t="s">
        <v>285</v>
      </c>
      <c r="B197" s="115" t="s">
        <v>10</v>
      </c>
      <c r="C197" s="30"/>
      <c r="D197" s="31"/>
      <c r="E197" s="31"/>
      <c r="F197" s="32"/>
    </row>
    <row r="198" spans="1:6" x14ac:dyDescent="0.2">
      <c r="A198" s="18"/>
      <c r="B198" s="111" t="s">
        <v>287</v>
      </c>
      <c r="C198" s="19" t="s">
        <v>6</v>
      </c>
      <c r="D198" s="20">
        <v>89.6</v>
      </c>
      <c r="E198" s="36">
        <f>M232</f>
        <v>269</v>
      </c>
      <c r="F198" s="17">
        <f t="shared" ref="F198:F201" si="4">E198*D198</f>
        <v>24102.399999999998</v>
      </c>
    </row>
    <row r="199" spans="1:6" x14ac:dyDescent="0.2">
      <c r="A199" s="18"/>
      <c r="B199" s="111" t="s">
        <v>7</v>
      </c>
      <c r="C199" s="19" t="s">
        <v>6</v>
      </c>
      <c r="D199" s="20">
        <v>114.67</v>
      </c>
      <c r="E199" s="36">
        <f>U232</f>
        <v>233.40000000000146</v>
      </c>
      <c r="F199" s="17">
        <f t="shared" si="4"/>
        <v>26763.978000000167</v>
      </c>
    </row>
    <row r="200" spans="1:6" x14ac:dyDescent="0.2">
      <c r="A200" s="18"/>
      <c r="B200" s="111" t="s">
        <v>58</v>
      </c>
      <c r="C200" s="19" t="s">
        <v>6</v>
      </c>
      <c r="D200" s="20">
        <v>166.57</v>
      </c>
      <c r="E200" s="36"/>
      <c r="F200" s="17">
        <f t="shared" si="4"/>
        <v>0</v>
      </c>
    </row>
    <row r="201" spans="1:6" ht="17" x14ac:dyDescent="0.2">
      <c r="A201" s="18"/>
      <c r="B201" s="111" t="s">
        <v>288</v>
      </c>
      <c r="C201" s="19" t="s">
        <v>289</v>
      </c>
      <c r="D201" s="20">
        <v>2.8</v>
      </c>
      <c r="E201" s="36">
        <f>G233</f>
        <v>27072</v>
      </c>
      <c r="F201" s="17">
        <f t="shared" si="4"/>
        <v>75801.599999999991</v>
      </c>
    </row>
    <row r="202" spans="1:6" x14ac:dyDescent="0.2">
      <c r="A202" s="18"/>
      <c r="B202" s="111"/>
      <c r="C202" s="19"/>
      <c r="D202" s="20"/>
      <c r="E202" s="36"/>
      <c r="F202" s="17"/>
    </row>
    <row r="203" spans="1:6" x14ac:dyDescent="0.2">
      <c r="A203" s="24"/>
      <c r="B203" s="24"/>
      <c r="C203" s="24"/>
      <c r="D203" s="135"/>
      <c r="E203" s="24"/>
      <c r="F203" s="25"/>
    </row>
    <row r="204" spans="1:6" x14ac:dyDescent="0.2">
      <c r="E204" s="26" t="s">
        <v>12</v>
      </c>
      <c r="F204" s="27">
        <f>SUM(F197:F203)</f>
        <v>126667.97800000015</v>
      </c>
    </row>
    <row r="206" spans="1:6" x14ac:dyDescent="0.2">
      <c r="A206" t="str">
        <f>Summary!$G$9</f>
        <v>Contractor</v>
      </c>
    </row>
    <row r="209" spans="2:25" x14ac:dyDescent="0.2">
      <c r="C209" s="494" t="str">
        <f>Summary!$G$10</f>
        <v>Construction Manager</v>
      </c>
      <c r="D209" s="494"/>
      <c r="E209" s="494"/>
      <c r="F209" s="494"/>
    </row>
    <row r="218" spans="2:25" x14ac:dyDescent="0.2">
      <c r="B218" s="2" t="s">
        <v>743</v>
      </c>
      <c r="C218" s="349" t="s">
        <v>379</v>
      </c>
      <c r="D218" t="s">
        <v>513</v>
      </c>
      <c r="H218" t="s">
        <v>364</v>
      </c>
      <c r="J218" s="2" t="s">
        <v>742</v>
      </c>
      <c r="K218" t="s">
        <v>435</v>
      </c>
      <c r="R218" s="2" t="s">
        <v>744</v>
      </c>
      <c r="S218" t="s">
        <v>745</v>
      </c>
    </row>
    <row r="219" spans="2:25" x14ac:dyDescent="0.2">
      <c r="B219" s="154"/>
      <c r="H219" s="369"/>
      <c r="N219" t="s">
        <v>387</v>
      </c>
      <c r="P219" s="367"/>
      <c r="V219" t="s">
        <v>387</v>
      </c>
      <c r="X219" s="367"/>
      <c r="Y219" s="367"/>
    </row>
    <row r="220" spans="2:25" x14ac:dyDescent="0.2">
      <c r="B220" s="154">
        <v>42417</v>
      </c>
      <c r="C220" s="359">
        <v>100</v>
      </c>
      <c r="D220" s="359"/>
      <c r="E220" s="359"/>
      <c r="F220" s="359" t="s">
        <v>385</v>
      </c>
      <c r="G220" s="359"/>
      <c r="H220" s="409" t="s">
        <v>646</v>
      </c>
      <c r="J220" s="378">
        <v>42417</v>
      </c>
      <c r="K220" s="402">
        <v>34654.9</v>
      </c>
      <c r="L220" s="402">
        <v>34830.9</v>
      </c>
      <c r="M220" s="397">
        <v>200</v>
      </c>
      <c r="N220" s="359">
        <v>176</v>
      </c>
      <c r="O220" s="359" t="s">
        <v>385</v>
      </c>
      <c r="P220" s="377" t="s">
        <v>646</v>
      </c>
      <c r="R220" s="378">
        <v>42418</v>
      </c>
      <c r="S220" s="376">
        <v>34654.9</v>
      </c>
      <c r="T220" s="376">
        <v>34830.9</v>
      </c>
      <c r="U220" s="365">
        <f t="shared" ref="U220:U221" si="5">ABS(S220-T220)</f>
        <v>176</v>
      </c>
      <c r="V220" s="359">
        <v>176</v>
      </c>
      <c r="W220" s="359" t="s">
        <v>377</v>
      </c>
      <c r="X220" s="377" t="s">
        <v>645</v>
      </c>
      <c r="Y220" s="367"/>
    </row>
    <row r="221" spans="2:25" x14ac:dyDescent="0.2">
      <c r="B221" s="154">
        <v>42418</v>
      </c>
      <c r="C221" s="359">
        <v>145</v>
      </c>
      <c r="D221" s="359"/>
      <c r="E221" s="359"/>
      <c r="F221" s="359" t="s">
        <v>377</v>
      </c>
      <c r="G221" s="359"/>
      <c r="H221" s="409" t="s">
        <v>645</v>
      </c>
      <c r="J221" s="359"/>
      <c r="K221" s="402">
        <v>34876.400000000001</v>
      </c>
      <c r="L221" s="402">
        <v>34933.800000000003</v>
      </c>
      <c r="M221" s="365"/>
      <c r="N221" s="359">
        <v>57.4</v>
      </c>
      <c r="O221" s="359" t="s">
        <v>385</v>
      </c>
      <c r="P221" s="377" t="s">
        <v>646</v>
      </c>
      <c r="R221" s="359"/>
      <c r="S221" s="376">
        <v>34876.400000000001</v>
      </c>
      <c r="T221" s="376">
        <v>34933.800000000003</v>
      </c>
      <c r="U221" s="365">
        <f t="shared" si="5"/>
        <v>57.400000000001455</v>
      </c>
      <c r="V221" s="359">
        <v>57.4</v>
      </c>
      <c r="W221" s="359" t="s">
        <v>377</v>
      </c>
      <c r="X221" s="377" t="s">
        <v>645</v>
      </c>
      <c r="Y221" s="367"/>
    </row>
    <row r="222" spans="2:25" x14ac:dyDescent="0.2">
      <c r="B222" s="154">
        <v>42419</v>
      </c>
      <c r="C222" s="359">
        <v>37</v>
      </c>
      <c r="D222" s="359"/>
      <c r="E222" s="359"/>
      <c r="F222" s="359" t="s">
        <v>377</v>
      </c>
      <c r="G222" s="359"/>
      <c r="H222" s="409" t="s">
        <v>670</v>
      </c>
      <c r="J222" s="154">
        <v>42424</v>
      </c>
      <c r="K222" s="350">
        <v>32750</v>
      </c>
      <c r="L222" s="350">
        <v>32787</v>
      </c>
      <c r="M222" s="8">
        <f>ABS(K222-L222)</f>
        <v>37</v>
      </c>
      <c r="N222">
        <v>37</v>
      </c>
      <c r="O222" t="s">
        <v>367</v>
      </c>
      <c r="P222" s="367" t="s">
        <v>671</v>
      </c>
      <c r="U222" s="8">
        <f>ABS(R222-S222)</f>
        <v>0</v>
      </c>
      <c r="Y222" s="367"/>
    </row>
    <row r="223" spans="2:25" x14ac:dyDescent="0.2">
      <c r="K223" s="350">
        <v>32861</v>
      </c>
      <c r="L223" s="350">
        <v>32893</v>
      </c>
      <c r="M223" s="8">
        <f>ABS(K223-L223)</f>
        <v>32</v>
      </c>
      <c r="N223">
        <v>32</v>
      </c>
      <c r="O223" t="s">
        <v>367</v>
      </c>
      <c r="P223" s="367" t="s">
        <v>671</v>
      </c>
      <c r="U223" s="8">
        <f>ABS(R223-S223)</f>
        <v>0</v>
      </c>
      <c r="Y223" s="367"/>
    </row>
    <row r="224" spans="2:25" x14ac:dyDescent="0.2">
      <c r="M224" s="8">
        <f t="shared" ref="M224" si="6">ABS(K224-L224)</f>
        <v>0</v>
      </c>
      <c r="U224" s="8">
        <f t="shared" ref="U224:U230" si="7">ABS(S224-T224)</f>
        <v>0</v>
      </c>
      <c r="Y224" s="367"/>
    </row>
    <row r="225" spans="1:25" x14ac:dyDescent="0.2">
      <c r="K225" s="350"/>
      <c r="L225" s="350"/>
      <c r="M225" s="8">
        <f t="shared" ref="M225:M230" si="8">ABS(K225-L225)</f>
        <v>0</v>
      </c>
      <c r="P225" s="367"/>
      <c r="S225" s="350"/>
      <c r="T225" s="350"/>
      <c r="U225" s="8">
        <f t="shared" si="7"/>
        <v>0</v>
      </c>
      <c r="X225" s="367"/>
      <c r="Y225" s="367"/>
    </row>
    <row r="226" spans="1:25" x14ac:dyDescent="0.2">
      <c r="K226" s="350"/>
      <c r="L226" s="350"/>
      <c r="M226" s="8">
        <f t="shared" si="8"/>
        <v>0</v>
      </c>
      <c r="P226" s="367"/>
      <c r="S226" s="350"/>
      <c r="T226" s="350"/>
      <c r="U226" s="8">
        <f t="shared" si="7"/>
        <v>0</v>
      </c>
      <c r="X226" s="367"/>
      <c r="Y226" s="367"/>
    </row>
    <row r="227" spans="1:25" x14ac:dyDescent="0.2">
      <c r="K227" s="350"/>
      <c r="L227" s="350"/>
      <c r="M227" s="8">
        <f t="shared" si="8"/>
        <v>0</v>
      </c>
      <c r="P227" s="367"/>
      <c r="S227" s="350"/>
      <c r="T227" s="350"/>
      <c r="U227" s="8">
        <f t="shared" si="7"/>
        <v>0</v>
      </c>
      <c r="X227" s="367"/>
      <c r="Y227" s="367"/>
    </row>
    <row r="228" spans="1:25" x14ac:dyDescent="0.2">
      <c r="K228" s="350"/>
      <c r="L228" s="350"/>
      <c r="M228" s="8">
        <f t="shared" si="8"/>
        <v>0</v>
      </c>
      <c r="P228" s="367"/>
      <c r="S228" s="350"/>
      <c r="T228" s="350"/>
      <c r="U228" s="8">
        <f t="shared" si="7"/>
        <v>0</v>
      </c>
      <c r="X228" s="367"/>
      <c r="Y228" s="367"/>
    </row>
    <row r="229" spans="1:25" x14ac:dyDescent="0.2">
      <c r="K229" s="350"/>
      <c r="L229" s="350"/>
      <c r="M229" s="8">
        <f t="shared" si="8"/>
        <v>0</v>
      </c>
      <c r="P229" s="367"/>
      <c r="S229" s="350"/>
      <c r="T229" s="350"/>
      <c r="U229" s="8">
        <f t="shared" si="7"/>
        <v>0</v>
      </c>
      <c r="X229" s="367"/>
      <c r="Y229" s="367"/>
    </row>
    <row r="230" spans="1:25" x14ac:dyDescent="0.2">
      <c r="K230" s="350"/>
      <c r="L230" s="350"/>
      <c r="M230" s="8">
        <f t="shared" si="8"/>
        <v>0</v>
      </c>
      <c r="P230" s="367"/>
      <c r="S230" s="350"/>
      <c r="T230" s="350"/>
      <c r="U230" s="8">
        <f t="shared" si="7"/>
        <v>0</v>
      </c>
      <c r="X230" s="367"/>
      <c r="Y230" s="367"/>
    </row>
    <row r="231" spans="1:25" x14ac:dyDescent="0.2">
      <c r="K231" s="350"/>
      <c r="L231" s="350"/>
      <c r="M231" s="8"/>
      <c r="P231" s="367"/>
      <c r="S231" s="350"/>
      <c r="T231" s="350"/>
      <c r="U231" s="8"/>
      <c r="X231" s="367"/>
      <c r="Y231" s="367"/>
    </row>
    <row r="232" spans="1:25" x14ac:dyDescent="0.2">
      <c r="D232" t="s">
        <v>444</v>
      </c>
      <c r="K232" s="350"/>
      <c r="L232" s="347" t="s">
        <v>18</v>
      </c>
      <c r="M232">
        <f>SUM(M219:M231)</f>
        <v>269</v>
      </c>
      <c r="P232" s="367"/>
      <c r="S232" s="347"/>
      <c r="T232" s="347" t="s">
        <v>18</v>
      </c>
      <c r="U232">
        <f>SUM(U219:U231)</f>
        <v>233.40000000000146</v>
      </c>
      <c r="X232" s="367"/>
      <c r="Y232" s="367"/>
    </row>
    <row r="233" spans="1:25" x14ac:dyDescent="0.2">
      <c r="C233">
        <f>SUM(C219:C230)</f>
        <v>282</v>
      </c>
      <c r="D233">
        <v>96</v>
      </c>
      <c r="E233">
        <f>C233*D233</f>
        <v>27072</v>
      </c>
      <c r="F233" t="s">
        <v>18</v>
      </c>
      <c r="G233">
        <f>E233</f>
        <v>27072</v>
      </c>
      <c r="K233" s="347"/>
      <c r="P233" s="367"/>
      <c r="X233" s="367"/>
      <c r="Y233" s="367"/>
    </row>
    <row r="234" spans="1:25" x14ac:dyDescent="0.2">
      <c r="X234" s="367"/>
    </row>
    <row r="235" spans="1:25" x14ac:dyDescent="0.2">
      <c r="X235" s="367"/>
    </row>
    <row r="236" spans="1:25" x14ac:dyDescent="0.2">
      <c r="A236" s="5" t="str">
        <f>Summary!$G$11</f>
        <v>PIPELINE PROJECT</v>
      </c>
    </row>
    <row r="248" spans="1:6" ht="16" x14ac:dyDescent="0.2">
      <c r="A248" s="157" t="s">
        <v>89</v>
      </c>
    </row>
    <row r="249" spans="1:6" x14ac:dyDescent="0.2">
      <c r="A249" s="5" t="s">
        <v>9</v>
      </c>
    </row>
    <row r="251" spans="1:6" x14ac:dyDescent="0.2">
      <c r="A251" t="s">
        <v>0</v>
      </c>
      <c r="E251" s="2" t="s">
        <v>64</v>
      </c>
      <c r="F251" s="3">
        <v>42444</v>
      </c>
    </row>
    <row r="252" spans="1:6" x14ac:dyDescent="0.2">
      <c r="A252" t="s">
        <v>1</v>
      </c>
      <c r="B252" s="4" t="s">
        <v>286</v>
      </c>
    </row>
    <row r="254" spans="1:6" x14ac:dyDescent="0.2">
      <c r="A254" s="9" t="s">
        <v>2</v>
      </c>
      <c r="B254" s="10"/>
      <c r="C254" s="11" t="s">
        <v>4</v>
      </c>
      <c r="D254" s="11" t="s">
        <v>3</v>
      </c>
      <c r="E254" s="11" t="s">
        <v>8</v>
      </c>
      <c r="F254" s="12" t="s">
        <v>260</v>
      </c>
    </row>
    <row r="255" spans="1:6" ht="30" x14ac:dyDescent="0.2">
      <c r="A255" s="134" t="s">
        <v>285</v>
      </c>
      <c r="B255" s="115" t="s">
        <v>10</v>
      </c>
      <c r="C255" s="30"/>
      <c r="D255" s="31"/>
      <c r="E255" s="31"/>
      <c r="F255" s="32"/>
    </row>
    <row r="256" spans="1:6" x14ac:dyDescent="0.2">
      <c r="A256" s="18"/>
      <c r="B256" s="111" t="s">
        <v>287</v>
      </c>
      <c r="C256" s="19" t="s">
        <v>6</v>
      </c>
      <c r="D256" s="20">
        <v>89.6</v>
      </c>
      <c r="E256" s="36"/>
      <c r="F256" s="17">
        <f t="shared" ref="F256:F259" si="9">E256*D256</f>
        <v>0</v>
      </c>
    </row>
    <row r="257" spans="1:19" x14ac:dyDescent="0.2">
      <c r="A257" s="18"/>
      <c r="B257" s="111" t="s">
        <v>7</v>
      </c>
      <c r="C257" s="19" t="s">
        <v>6</v>
      </c>
      <c r="D257" s="20">
        <v>114.67</v>
      </c>
      <c r="E257" s="36"/>
      <c r="F257" s="17">
        <f t="shared" si="9"/>
        <v>0</v>
      </c>
    </row>
    <row r="258" spans="1:19" x14ac:dyDescent="0.2">
      <c r="A258" s="18"/>
      <c r="B258" s="111" t="s">
        <v>58</v>
      </c>
      <c r="C258" s="19" t="s">
        <v>6</v>
      </c>
      <c r="D258" s="20">
        <v>166.57</v>
      </c>
      <c r="E258" s="36"/>
      <c r="F258" s="17">
        <f t="shared" si="9"/>
        <v>0</v>
      </c>
    </row>
    <row r="259" spans="1:19" ht="17" x14ac:dyDescent="0.2">
      <c r="A259" s="18"/>
      <c r="B259" s="111" t="s">
        <v>288</v>
      </c>
      <c r="C259" s="19" t="s">
        <v>289</v>
      </c>
      <c r="D259" s="20">
        <v>2.8</v>
      </c>
      <c r="E259" s="36">
        <f>G277</f>
        <v>2100</v>
      </c>
      <c r="F259" s="17">
        <f t="shared" si="9"/>
        <v>5880</v>
      </c>
    </row>
    <row r="260" spans="1:19" x14ac:dyDescent="0.2">
      <c r="A260" s="18"/>
      <c r="B260" s="111"/>
      <c r="C260" s="19"/>
      <c r="D260" s="20"/>
      <c r="E260" s="36"/>
      <c r="F260" s="17"/>
    </row>
    <row r="261" spans="1:19" x14ac:dyDescent="0.2">
      <c r="A261" s="24"/>
      <c r="B261" s="24"/>
      <c r="C261" s="24"/>
      <c r="D261" s="135"/>
      <c r="E261" s="24"/>
      <c r="F261" s="25"/>
    </row>
    <row r="262" spans="1:19" x14ac:dyDescent="0.2">
      <c r="E262" s="26" t="s">
        <v>12</v>
      </c>
      <c r="F262" s="27">
        <f>SUM(F255:F261)</f>
        <v>5880</v>
      </c>
    </row>
    <row r="264" spans="1:19" x14ac:dyDescent="0.2">
      <c r="A264" t="str">
        <f>Summary!$G$9</f>
        <v>Contractor</v>
      </c>
    </row>
    <row r="267" spans="1:19" x14ac:dyDescent="0.2">
      <c r="C267" s="494" t="str">
        <f>Summary!$G$10</f>
        <v>Construction Manager</v>
      </c>
      <c r="D267" s="494"/>
      <c r="E267" s="494"/>
      <c r="F267" s="494"/>
    </row>
    <row r="269" spans="1:19" x14ac:dyDescent="0.2">
      <c r="B269" s="154"/>
    </row>
    <row r="271" spans="1:19" x14ac:dyDescent="0.2">
      <c r="C271" s="349" t="s">
        <v>379</v>
      </c>
      <c r="D271" t="s">
        <v>513</v>
      </c>
      <c r="H271" t="s">
        <v>364</v>
      </c>
      <c r="K271" t="s">
        <v>435</v>
      </c>
      <c r="S271" t="s">
        <v>644</v>
      </c>
    </row>
    <row r="273" spans="1:25" x14ac:dyDescent="0.2">
      <c r="B273" s="154">
        <v>42431</v>
      </c>
      <c r="C273">
        <v>30</v>
      </c>
      <c r="F273" t="s">
        <v>773</v>
      </c>
      <c r="G273" t="s">
        <v>513</v>
      </c>
      <c r="H273" s="367" t="s">
        <v>775</v>
      </c>
      <c r="I273" s="369" t="s">
        <v>774</v>
      </c>
    </row>
    <row r="274" spans="1:25" x14ac:dyDescent="0.2">
      <c r="H274" s="367"/>
    </row>
    <row r="275" spans="1:25" x14ac:dyDescent="0.2">
      <c r="H275" s="367"/>
    </row>
    <row r="276" spans="1:25" x14ac:dyDescent="0.2">
      <c r="D276" t="s">
        <v>444</v>
      </c>
      <c r="K276" s="350"/>
      <c r="L276" s="347" t="s">
        <v>18</v>
      </c>
      <c r="M276">
        <f>SUM(M272:M275)</f>
        <v>0</v>
      </c>
      <c r="P276" s="367"/>
      <c r="S276" s="347"/>
      <c r="T276" s="347" t="s">
        <v>18</v>
      </c>
      <c r="U276">
        <f>SUM(U272:U275)</f>
        <v>0</v>
      </c>
      <c r="X276" s="367"/>
      <c r="Y276" s="367"/>
    </row>
    <row r="277" spans="1:25" x14ac:dyDescent="0.2">
      <c r="C277" s="438">
        <f>SUM(C273:C274)</f>
        <v>30</v>
      </c>
      <c r="D277" s="438">
        <v>70</v>
      </c>
      <c r="E277" s="438">
        <f>C277*D277</f>
        <v>2100</v>
      </c>
      <c r="F277" s="438" t="s">
        <v>18</v>
      </c>
      <c r="G277" s="438">
        <f>E277+E524</f>
        <v>2100</v>
      </c>
      <c r="H277" s="5"/>
      <c r="K277" s="347"/>
      <c r="P277" s="367"/>
      <c r="X277" s="367"/>
      <c r="Y277" s="367"/>
    </row>
    <row r="278" spans="1:25" x14ac:dyDescent="0.2">
      <c r="H278" s="367"/>
    </row>
    <row r="279" spans="1:25" x14ac:dyDescent="0.2">
      <c r="A279" s="5" t="str">
        <f>Summary!$G$11</f>
        <v>PIPELINE PROJECT</v>
      </c>
    </row>
    <row r="291" spans="1:6" ht="16" x14ac:dyDescent="0.2">
      <c r="A291" s="157" t="s">
        <v>89</v>
      </c>
    </row>
    <row r="292" spans="1:6" x14ac:dyDescent="0.2">
      <c r="A292" s="5" t="s">
        <v>9</v>
      </c>
    </row>
    <row r="294" spans="1:6" x14ac:dyDescent="0.2">
      <c r="A294" t="s">
        <v>0</v>
      </c>
      <c r="E294" s="2" t="s">
        <v>64</v>
      </c>
      <c r="F294" s="3">
        <v>42475</v>
      </c>
    </row>
    <row r="295" spans="1:6" x14ac:dyDescent="0.2">
      <c r="A295" t="s">
        <v>1</v>
      </c>
      <c r="B295" s="4" t="s">
        <v>286</v>
      </c>
    </row>
    <row r="297" spans="1:6" x14ac:dyDescent="0.2">
      <c r="A297" s="9" t="s">
        <v>2</v>
      </c>
      <c r="B297" s="10"/>
      <c r="C297" s="11" t="s">
        <v>4</v>
      </c>
      <c r="D297" s="11" t="s">
        <v>3</v>
      </c>
      <c r="E297" s="11" t="s">
        <v>8</v>
      </c>
      <c r="F297" s="12" t="s">
        <v>260</v>
      </c>
    </row>
    <row r="298" spans="1:6" ht="30" x14ac:dyDescent="0.2">
      <c r="A298" s="134" t="s">
        <v>285</v>
      </c>
      <c r="B298" s="115" t="s">
        <v>10</v>
      </c>
      <c r="C298" s="30"/>
      <c r="D298" s="31"/>
      <c r="E298" s="31"/>
      <c r="F298" s="32"/>
    </row>
    <row r="299" spans="1:6" x14ac:dyDescent="0.2">
      <c r="A299" s="18"/>
      <c r="B299" s="111" t="s">
        <v>287</v>
      </c>
      <c r="C299" s="19" t="s">
        <v>6</v>
      </c>
      <c r="D299" s="20">
        <v>89.6</v>
      </c>
      <c r="E299" s="36"/>
      <c r="F299" s="17">
        <f t="shared" ref="F299:F302" si="10">E299*D299</f>
        <v>0</v>
      </c>
    </row>
    <row r="300" spans="1:6" x14ac:dyDescent="0.2">
      <c r="A300" s="18"/>
      <c r="B300" s="111" t="s">
        <v>7</v>
      </c>
      <c r="C300" s="19" t="s">
        <v>6</v>
      </c>
      <c r="D300" s="20">
        <v>114.67</v>
      </c>
      <c r="E300" s="36"/>
      <c r="F300" s="17">
        <f t="shared" si="10"/>
        <v>0</v>
      </c>
    </row>
    <row r="301" spans="1:6" x14ac:dyDescent="0.2">
      <c r="A301" s="18"/>
      <c r="B301" s="111" t="s">
        <v>58</v>
      </c>
      <c r="C301" s="19" t="s">
        <v>6</v>
      </c>
      <c r="D301" s="20">
        <v>166.57</v>
      </c>
      <c r="E301" s="36"/>
      <c r="F301" s="17">
        <f t="shared" si="10"/>
        <v>0</v>
      </c>
    </row>
    <row r="302" spans="1:6" ht="17" x14ac:dyDescent="0.2">
      <c r="A302" s="18"/>
      <c r="B302" s="111" t="s">
        <v>288</v>
      </c>
      <c r="C302" s="19" t="s">
        <v>289</v>
      </c>
      <c r="D302" s="20">
        <v>2.8</v>
      </c>
      <c r="E302" s="36">
        <f>F343+F351</f>
        <v>36131.699999999997</v>
      </c>
      <c r="F302" s="17">
        <f t="shared" si="10"/>
        <v>101168.75999999998</v>
      </c>
    </row>
    <row r="303" spans="1:6" x14ac:dyDescent="0.2">
      <c r="A303" s="18"/>
      <c r="B303" s="111"/>
      <c r="C303" s="19"/>
      <c r="D303" s="20"/>
      <c r="E303" s="36"/>
      <c r="F303" s="17"/>
    </row>
    <row r="304" spans="1:6" x14ac:dyDescent="0.2">
      <c r="A304" s="24"/>
      <c r="B304" s="24"/>
      <c r="C304" s="24"/>
      <c r="D304" s="135"/>
      <c r="E304" s="24"/>
      <c r="F304" s="25"/>
    </row>
    <row r="305" spans="1:21" x14ac:dyDescent="0.2">
      <c r="E305" s="26" t="s">
        <v>12</v>
      </c>
      <c r="F305" s="27">
        <f>SUM(F298:F304)</f>
        <v>101168.75999999998</v>
      </c>
    </row>
    <row r="307" spans="1:21" x14ac:dyDescent="0.2">
      <c r="A307" t="str">
        <f>Summary!$G$9</f>
        <v>Contractor</v>
      </c>
    </row>
    <row r="310" spans="1:21" x14ac:dyDescent="0.2">
      <c r="C310" s="494" t="str">
        <f>Summary!$G$10</f>
        <v>Construction Manager</v>
      </c>
      <c r="D310" s="494"/>
      <c r="E310" s="494"/>
      <c r="F310" s="494"/>
    </row>
    <row r="312" spans="1:21" x14ac:dyDescent="0.2">
      <c r="B312" s="154"/>
    </row>
    <row r="314" spans="1:21" x14ac:dyDescent="0.2">
      <c r="E314" s="5" t="s">
        <v>513</v>
      </c>
      <c r="F314" s="5"/>
      <c r="G314" s="5"/>
      <c r="H314" s="5"/>
      <c r="I314" s="5" t="s">
        <v>909</v>
      </c>
      <c r="J314" s="5"/>
      <c r="K314" s="5"/>
      <c r="M314" s="5"/>
      <c r="N314" s="5" t="s">
        <v>961</v>
      </c>
      <c r="O314" s="5"/>
      <c r="P314" s="5"/>
      <c r="Q314" s="5"/>
      <c r="R314" s="5"/>
      <c r="S314" s="5"/>
      <c r="T314" s="5" t="s">
        <v>644</v>
      </c>
      <c r="U314" s="5"/>
    </row>
    <row r="316" spans="1:21" x14ac:dyDescent="0.2">
      <c r="B316" s="154"/>
      <c r="C316" s="457" t="s">
        <v>379</v>
      </c>
      <c r="D316" s="439" t="s">
        <v>900</v>
      </c>
      <c r="E316" s="454" t="s">
        <v>914</v>
      </c>
      <c r="F316" s="439" t="s">
        <v>899</v>
      </c>
      <c r="G316" s="5" t="s">
        <v>901</v>
      </c>
      <c r="H316" s="5" t="s">
        <v>93</v>
      </c>
      <c r="I316" s="452"/>
    </row>
    <row r="317" spans="1:21" x14ac:dyDescent="0.2">
      <c r="B317" s="154">
        <v>42720</v>
      </c>
      <c r="C317" s="406">
        <v>9</v>
      </c>
      <c r="D317">
        <v>13.8</v>
      </c>
      <c r="E317" s="347">
        <v>13800</v>
      </c>
      <c r="F317" s="347">
        <v>9100</v>
      </c>
      <c r="G317" t="s">
        <v>376</v>
      </c>
      <c r="H317" t="s">
        <v>513</v>
      </c>
      <c r="I317" s="452"/>
    </row>
    <row r="318" spans="1:21" x14ac:dyDescent="0.2">
      <c r="B318" s="154">
        <v>42720</v>
      </c>
      <c r="C318" s="406">
        <v>72</v>
      </c>
      <c r="D318">
        <v>27</v>
      </c>
      <c r="E318" s="347">
        <v>54234</v>
      </c>
      <c r="F318" s="347">
        <v>54491</v>
      </c>
      <c r="G318" t="s">
        <v>377</v>
      </c>
      <c r="H318" t="s">
        <v>513</v>
      </c>
      <c r="I318" s="452"/>
    </row>
    <row r="319" spans="1:21" x14ac:dyDescent="0.2">
      <c r="B319" s="154">
        <v>42384</v>
      </c>
      <c r="C319" s="406">
        <v>9</v>
      </c>
      <c r="E319" s="347">
        <v>65538</v>
      </c>
      <c r="F319" s="347" t="s">
        <v>902</v>
      </c>
      <c r="G319" t="s">
        <v>376</v>
      </c>
      <c r="H319" t="s">
        <v>513</v>
      </c>
      <c r="I319" s="452"/>
    </row>
    <row r="320" spans="1:21" x14ac:dyDescent="0.2">
      <c r="B320" s="154">
        <v>42385</v>
      </c>
      <c r="C320" s="406">
        <v>18</v>
      </c>
      <c r="D320">
        <v>29</v>
      </c>
      <c r="E320" s="347">
        <v>64950</v>
      </c>
      <c r="F320" s="347"/>
      <c r="G320" t="s">
        <v>367</v>
      </c>
      <c r="H320" t="s">
        <v>513</v>
      </c>
      <c r="I320" s="452" t="s">
        <v>905</v>
      </c>
    </row>
    <row r="321" spans="2:10" x14ac:dyDescent="0.2">
      <c r="B321" s="154">
        <v>42384</v>
      </c>
      <c r="C321" s="406">
        <v>11</v>
      </c>
      <c r="E321" s="347">
        <v>65538</v>
      </c>
      <c r="F321" s="347">
        <v>65540</v>
      </c>
      <c r="G321" t="s">
        <v>434</v>
      </c>
      <c r="H321" t="s">
        <v>513</v>
      </c>
      <c r="I321" s="452" t="s">
        <v>906</v>
      </c>
    </row>
    <row r="322" spans="2:10" ht="25" x14ac:dyDescent="0.2">
      <c r="B322" s="154">
        <v>42395</v>
      </c>
      <c r="C322" s="406">
        <v>18</v>
      </c>
      <c r="D322" s="453" t="s">
        <v>903</v>
      </c>
      <c r="E322" s="347">
        <v>67180</v>
      </c>
      <c r="F322" s="347">
        <v>67220</v>
      </c>
      <c r="G322" t="s">
        <v>376</v>
      </c>
      <c r="H322" t="s">
        <v>513</v>
      </c>
      <c r="I322" s="452"/>
    </row>
    <row r="323" spans="2:10" ht="25" x14ac:dyDescent="0.2">
      <c r="B323" s="154">
        <v>42396</v>
      </c>
      <c r="C323" s="406">
        <v>18</v>
      </c>
      <c r="D323" s="453" t="s">
        <v>903</v>
      </c>
      <c r="E323" s="347">
        <v>66831</v>
      </c>
      <c r="F323" s="347">
        <v>67220</v>
      </c>
      <c r="G323" t="s">
        <v>376</v>
      </c>
      <c r="H323" t="s">
        <v>513</v>
      </c>
      <c r="I323" s="452"/>
    </row>
    <row r="324" spans="2:10" x14ac:dyDescent="0.2">
      <c r="B324" s="154">
        <v>42400</v>
      </c>
      <c r="C324" s="406">
        <v>17</v>
      </c>
      <c r="D324">
        <v>21</v>
      </c>
      <c r="E324" s="347">
        <v>14166</v>
      </c>
      <c r="F324" s="347">
        <v>14170</v>
      </c>
      <c r="G324" t="s">
        <v>502</v>
      </c>
      <c r="H324" t="s">
        <v>513</v>
      </c>
      <c r="I324" s="452"/>
    </row>
    <row r="325" spans="2:10" x14ac:dyDescent="0.2">
      <c r="B325" s="154">
        <v>42403</v>
      </c>
      <c r="C325" s="406">
        <v>15</v>
      </c>
      <c r="D325">
        <v>16</v>
      </c>
      <c r="E325" s="347">
        <v>33361</v>
      </c>
      <c r="F325" s="347">
        <v>33397</v>
      </c>
      <c r="G325" t="s">
        <v>502</v>
      </c>
      <c r="H325" t="s">
        <v>513</v>
      </c>
      <c r="I325" s="452" t="s">
        <v>907</v>
      </c>
    </row>
    <row r="326" spans="2:10" x14ac:dyDescent="0.2">
      <c r="B326" s="154">
        <v>42408</v>
      </c>
      <c r="C326" s="406">
        <v>18</v>
      </c>
      <c r="D326">
        <v>32</v>
      </c>
      <c r="E326" s="347">
        <v>5701</v>
      </c>
      <c r="F326" s="347"/>
      <c r="G326" t="s">
        <v>373</v>
      </c>
      <c r="H326" t="s">
        <v>513</v>
      </c>
      <c r="I326" s="452" t="s">
        <v>904</v>
      </c>
    </row>
    <row r="327" spans="2:10" x14ac:dyDescent="0.2">
      <c r="B327" s="154">
        <v>42409</v>
      </c>
      <c r="C327" s="406">
        <v>18</v>
      </c>
      <c r="E327" s="347">
        <v>68615</v>
      </c>
      <c r="F327" s="347"/>
      <c r="G327" t="s">
        <v>588</v>
      </c>
      <c r="H327" t="s">
        <v>513</v>
      </c>
      <c r="I327" s="452"/>
    </row>
    <row r="328" spans="2:10" x14ac:dyDescent="0.2">
      <c r="B328" s="154">
        <v>42411</v>
      </c>
      <c r="C328" s="406">
        <v>10.5</v>
      </c>
      <c r="D328">
        <v>16</v>
      </c>
      <c r="E328" s="347">
        <v>6159</v>
      </c>
      <c r="F328" s="347"/>
      <c r="G328" t="s">
        <v>502</v>
      </c>
      <c r="H328" t="s">
        <v>513</v>
      </c>
      <c r="I328" s="452" t="s">
        <v>908</v>
      </c>
      <c r="J328" t="s">
        <v>913</v>
      </c>
    </row>
    <row r="329" spans="2:10" x14ac:dyDescent="0.2">
      <c r="B329" s="154">
        <v>42412</v>
      </c>
      <c r="C329" s="406">
        <v>10.5</v>
      </c>
      <c r="E329" s="347">
        <v>31309</v>
      </c>
      <c r="F329" s="347">
        <v>31289</v>
      </c>
      <c r="G329" t="s">
        <v>588</v>
      </c>
      <c r="H329" t="s">
        <v>513</v>
      </c>
      <c r="I329" s="452" t="s">
        <v>910</v>
      </c>
    </row>
    <row r="330" spans="2:10" x14ac:dyDescent="0.2">
      <c r="B330" s="154">
        <v>42415</v>
      </c>
      <c r="C330" s="406">
        <v>10.5</v>
      </c>
      <c r="D330">
        <v>16</v>
      </c>
      <c r="E330" s="347">
        <v>17067</v>
      </c>
      <c r="F330" s="347"/>
      <c r="G330" t="s">
        <v>502</v>
      </c>
      <c r="H330" t="s">
        <v>513</v>
      </c>
      <c r="I330" s="452" t="s">
        <v>911</v>
      </c>
      <c r="J330" t="s">
        <v>910</v>
      </c>
    </row>
    <row r="331" spans="2:10" x14ac:dyDescent="0.2">
      <c r="B331" s="154">
        <v>42416</v>
      </c>
      <c r="C331" s="406">
        <v>10.5</v>
      </c>
      <c r="D331">
        <v>16</v>
      </c>
      <c r="E331" s="347">
        <v>50102</v>
      </c>
      <c r="F331" s="347"/>
      <c r="G331" t="s">
        <v>502</v>
      </c>
      <c r="H331" t="s">
        <v>513</v>
      </c>
      <c r="I331" s="452" t="s">
        <v>912</v>
      </c>
      <c r="J331" t="s">
        <v>910</v>
      </c>
    </row>
    <row r="332" spans="2:10" x14ac:dyDescent="0.2">
      <c r="B332" s="154">
        <v>42418</v>
      </c>
      <c r="C332" s="406">
        <v>10.5</v>
      </c>
      <c r="E332" s="347">
        <v>57205</v>
      </c>
      <c r="F332" s="347"/>
      <c r="G332" t="s">
        <v>588</v>
      </c>
      <c r="H332" t="s">
        <v>513</v>
      </c>
      <c r="I332" s="452"/>
    </row>
    <row r="333" spans="2:10" x14ac:dyDescent="0.2">
      <c r="B333" s="154">
        <v>42418</v>
      </c>
      <c r="C333" s="406">
        <v>10.5</v>
      </c>
      <c r="E333" s="347">
        <v>57205</v>
      </c>
      <c r="F333" s="347"/>
      <c r="G333" t="s">
        <v>588</v>
      </c>
      <c r="H333" t="s">
        <v>513</v>
      </c>
      <c r="I333" s="452"/>
    </row>
    <row r="334" spans="2:10" x14ac:dyDescent="0.2">
      <c r="B334" s="154">
        <v>42424</v>
      </c>
      <c r="C334" s="406">
        <v>10.5</v>
      </c>
      <c r="D334">
        <v>16</v>
      </c>
      <c r="E334" s="347">
        <v>47473</v>
      </c>
      <c r="F334" s="347"/>
      <c r="G334" t="s">
        <v>588</v>
      </c>
      <c r="H334" t="s">
        <v>513</v>
      </c>
      <c r="I334" s="452"/>
    </row>
    <row r="335" spans="2:10" x14ac:dyDescent="0.2">
      <c r="B335" s="154">
        <v>42424</v>
      </c>
      <c r="C335" s="406">
        <v>10.5</v>
      </c>
      <c r="D335">
        <v>16</v>
      </c>
      <c r="E335" s="347">
        <v>47473</v>
      </c>
      <c r="F335" s="347"/>
      <c r="G335" t="s">
        <v>588</v>
      </c>
      <c r="H335" t="s">
        <v>513</v>
      </c>
      <c r="I335" s="452"/>
    </row>
    <row r="336" spans="2:10" x14ac:dyDescent="0.2">
      <c r="B336" s="154">
        <v>42430</v>
      </c>
      <c r="C336" s="406">
        <v>10.5</v>
      </c>
      <c r="D336">
        <v>16</v>
      </c>
      <c r="E336" s="347">
        <v>42715</v>
      </c>
      <c r="F336" s="347">
        <v>42709</v>
      </c>
      <c r="G336" t="s">
        <v>502</v>
      </c>
      <c r="H336" t="s">
        <v>513</v>
      </c>
      <c r="I336" s="452"/>
      <c r="J336" t="s">
        <v>910</v>
      </c>
    </row>
    <row r="337" spans="2:26" x14ac:dyDescent="0.2">
      <c r="B337" s="154">
        <v>42431</v>
      </c>
      <c r="C337" s="406">
        <v>10.5</v>
      </c>
      <c r="D337">
        <v>16</v>
      </c>
      <c r="E337" s="347">
        <v>42715</v>
      </c>
      <c r="F337" s="347">
        <v>42709</v>
      </c>
      <c r="G337" t="s">
        <v>502</v>
      </c>
      <c r="H337" t="s">
        <v>513</v>
      </c>
      <c r="I337" s="452"/>
      <c r="J337" t="s">
        <v>910</v>
      </c>
    </row>
    <row r="338" spans="2:26" x14ac:dyDescent="0.2">
      <c r="B338" s="154">
        <v>42431</v>
      </c>
      <c r="C338" s="406">
        <v>10.5</v>
      </c>
      <c r="D338">
        <v>16</v>
      </c>
      <c r="E338" s="347">
        <v>40173</v>
      </c>
      <c r="F338" s="347">
        <v>40211</v>
      </c>
      <c r="G338" t="s">
        <v>502</v>
      </c>
      <c r="H338" t="s">
        <v>513</v>
      </c>
      <c r="I338" s="452"/>
      <c r="J338" t="s">
        <v>913</v>
      </c>
    </row>
    <row r="339" spans="2:26" x14ac:dyDescent="0.2">
      <c r="B339" s="154">
        <v>42462</v>
      </c>
      <c r="C339" s="406">
        <v>18</v>
      </c>
      <c r="E339" s="347">
        <v>24750</v>
      </c>
      <c r="F339" s="347">
        <v>24943</v>
      </c>
      <c r="G339" t="s">
        <v>367</v>
      </c>
      <c r="H339" t="s">
        <v>934</v>
      </c>
      <c r="I339" s="452"/>
      <c r="J339" s="369"/>
    </row>
    <row r="340" spans="2:26" x14ac:dyDescent="0.2">
      <c r="B340" s="154"/>
      <c r="C340" s="406"/>
      <c r="E340" s="347"/>
      <c r="F340" s="347"/>
      <c r="I340" s="452"/>
    </row>
    <row r="341" spans="2:26" x14ac:dyDescent="0.2">
      <c r="B341" s="154"/>
      <c r="C341" s="406"/>
      <c r="E341" s="347"/>
      <c r="F341" s="347"/>
      <c r="I341" s="452"/>
    </row>
    <row r="342" spans="2:26" x14ac:dyDescent="0.2">
      <c r="C342" s="406"/>
      <c r="E342" t="s">
        <v>444</v>
      </c>
      <c r="F342" t="s">
        <v>18</v>
      </c>
      <c r="L342" s="350"/>
      <c r="M342" s="347"/>
      <c r="N342" s="406">
        <f>SUM(N315:N341)</f>
        <v>0</v>
      </c>
      <c r="Q342" s="367"/>
      <c r="T342" s="347"/>
      <c r="U342" s="347" t="s">
        <v>18</v>
      </c>
      <c r="V342">
        <f>SUM(V315:V341)</f>
        <v>0</v>
      </c>
      <c r="Y342" s="367"/>
      <c r="Z342" s="367"/>
    </row>
    <row r="343" spans="2:26" x14ac:dyDescent="0.2">
      <c r="C343" s="374">
        <f>SUM(C317:C342)</f>
        <v>356.5</v>
      </c>
      <c r="D343" s="374"/>
      <c r="E343" s="374">
        <v>90</v>
      </c>
      <c r="F343" s="374">
        <f>C343*E343</f>
        <v>32085</v>
      </c>
      <c r="G343" s="457" t="s">
        <v>12</v>
      </c>
      <c r="L343" s="347"/>
      <c r="Q343" s="367"/>
      <c r="Y343" s="367"/>
      <c r="Z343" s="367"/>
    </row>
    <row r="344" spans="2:26" x14ac:dyDescent="0.2">
      <c r="H344" s="367"/>
    </row>
    <row r="345" spans="2:26" x14ac:dyDescent="0.2">
      <c r="H345" s="367"/>
    </row>
    <row r="346" spans="2:26" x14ac:dyDescent="0.2">
      <c r="B346" s="154">
        <v>42472</v>
      </c>
      <c r="C346" s="406">
        <v>11</v>
      </c>
      <c r="D346">
        <v>16</v>
      </c>
      <c r="E346" s="347">
        <v>39228</v>
      </c>
      <c r="G346" t="s">
        <v>373</v>
      </c>
      <c r="H346" t="s">
        <v>947</v>
      </c>
      <c r="I346" s="452"/>
    </row>
    <row r="347" spans="2:26" x14ac:dyDescent="0.2">
      <c r="B347" s="154">
        <v>42474</v>
      </c>
      <c r="C347" s="406">
        <v>39.583750000000002</v>
      </c>
      <c r="D347">
        <v>57</v>
      </c>
      <c r="E347" s="347">
        <v>39165</v>
      </c>
      <c r="F347" s="347">
        <v>39206</v>
      </c>
      <c r="G347" t="s">
        <v>468</v>
      </c>
      <c r="H347" t="s">
        <v>959</v>
      </c>
      <c r="I347" s="452" t="s">
        <v>960</v>
      </c>
      <c r="N347">
        <v>41</v>
      </c>
      <c r="O347">
        <v>39165</v>
      </c>
      <c r="P347">
        <v>39206</v>
      </c>
      <c r="R347" t="s">
        <v>980</v>
      </c>
    </row>
    <row r="348" spans="2:26" x14ac:dyDescent="0.2">
      <c r="B348" s="154"/>
      <c r="C348" s="406"/>
      <c r="E348" s="347"/>
      <c r="F348" s="347"/>
      <c r="I348" s="452"/>
    </row>
    <row r="349" spans="2:26" x14ac:dyDescent="0.2">
      <c r="B349" s="154"/>
      <c r="C349" s="406"/>
      <c r="E349" s="347"/>
      <c r="F349" s="347"/>
      <c r="I349" s="452"/>
    </row>
    <row r="350" spans="2:26" x14ac:dyDescent="0.2">
      <c r="C350" s="406"/>
      <c r="E350" t="s">
        <v>444</v>
      </c>
      <c r="F350" t="s">
        <v>18</v>
      </c>
      <c r="L350" s="350"/>
      <c r="M350" s="347"/>
      <c r="N350" s="406">
        <f>SUM(N323:N349)</f>
        <v>41</v>
      </c>
      <c r="Q350" s="367"/>
      <c r="T350" s="347"/>
      <c r="U350" s="347" t="s">
        <v>18</v>
      </c>
      <c r="V350">
        <f>SUM(V323:V349)</f>
        <v>0</v>
      </c>
      <c r="Y350" s="367"/>
      <c r="Z350" s="367"/>
    </row>
    <row r="351" spans="2:26" x14ac:dyDescent="0.2">
      <c r="C351" s="374">
        <f>SUM(C346:C350)</f>
        <v>50.583750000000002</v>
      </c>
      <c r="D351" s="374"/>
      <c r="E351" s="374">
        <v>80</v>
      </c>
      <c r="F351" s="374">
        <f>C351*E351</f>
        <v>4046.7000000000003</v>
      </c>
      <c r="G351" s="457" t="s">
        <v>12</v>
      </c>
      <c r="L351" s="347"/>
      <c r="Q351" s="367"/>
      <c r="Y351" s="367"/>
      <c r="Z351" s="367"/>
    </row>
    <row r="352" spans="2:26" x14ac:dyDescent="0.2">
      <c r="H352" s="367"/>
    </row>
    <row r="353" spans="1:6" x14ac:dyDescent="0.2">
      <c r="A353" s="5" t="str">
        <f>Summary!$G$11</f>
        <v>PIPELINE PROJECT</v>
      </c>
    </row>
    <row r="365" spans="1:6" ht="16" x14ac:dyDescent="0.2">
      <c r="A365" s="157" t="s">
        <v>89</v>
      </c>
    </row>
    <row r="366" spans="1:6" x14ac:dyDescent="0.2">
      <c r="A366" s="5" t="s">
        <v>9</v>
      </c>
    </row>
    <row r="368" spans="1:6" x14ac:dyDescent="0.2">
      <c r="A368" t="s">
        <v>0</v>
      </c>
      <c r="E368" s="2" t="s">
        <v>64</v>
      </c>
      <c r="F368" s="3">
        <v>42490</v>
      </c>
    </row>
    <row r="369" spans="1:6" x14ac:dyDescent="0.2">
      <c r="A369" t="s">
        <v>1</v>
      </c>
      <c r="B369" s="4" t="s">
        <v>286</v>
      </c>
    </row>
    <row r="371" spans="1:6" x14ac:dyDescent="0.2">
      <c r="A371" s="9" t="s">
        <v>2</v>
      </c>
      <c r="B371" s="10"/>
      <c r="C371" s="11" t="s">
        <v>4</v>
      </c>
      <c r="D371" s="11" t="s">
        <v>3</v>
      </c>
      <c r="E371" s="11" t="s">
        <v>8</v>
      </c>
      <c r="F371" s="12" t="s">
        <v>260</v>
      </c>
    </row>
    <row r="372" spans="1:6" ht="30" x14ac:dyDescent="0.2">
      <c r="A372" s="134" t="s">
        <v>285</v>
      </c>
      <c r="B372" s="115" t="s">
        <v>10</v>
      </c>
      <c r="C372" s="30"/>
      <c r="D372" s="31"/>
      <c r="E372" s="31"/>
      <c r="F372" s="32"/>
    </row>
    <row r="373" spans="1:6" x14ac:dyDescent="0.2">
      <c r="A373" s="18"/>
      <c r="B373" s="111" t="s">
        <v>287</v>
      </c>
      <c r="C373" s="19" t="s">
        <v>6</v>
      </c>
      <c r="D373" s="20">
        <v>89.6</v>
      </c>
      <c r="E373" s="36"/>
      <c r="F373" s="17">
        <f t="shared" ref="F373:F376" si="11">E373*D373</f>
        <v>0</v>
      </c>
    </row>
    <row r="374" spans="1:6" x14ac:dyDescent="0.2">
      <c r="A374" s="18"/>
      <c r="B374" s="111" t="s">
        <v>7</v>
      </c>
      <c r="C374" s="19" t="s">
        <v>6</v>
      </c>
      <c r="D374" s="20">
        <v>114.67</v>
      </c>
      <c r="E374" s="36"/>
      <c r="F374" s="17">
        <f t="shared" si="11"/>
        <v>0</v>
      </c>
    </row>
    <row r="375" spans="1:6" x14ac:dyDescent="0.2">
      <c r="A375" s="18"/>
      <c r="B375" s="111" t="s">
        <v>58</v>
      </c>
      <c r="C375" s="19" t="s">
        <v>6</v>
      </c>
      <c r="D375" s="20">
        <v>166.57</v>
      </c>
      <c r="E375" s="36">
        <f>P396</f>
        <v>228</v>
      </c>
      <c r="F375" s="17">
        <f t="shared" si="11"/>
        <v>37977.96</v>
      </c>
    </row>
    <row r="376" spans="1:6" ht="17" x14ac:dyDescent="0.2">
      <c r="A376" s="18"/>
      <c r="B376" s="111" t="s">
        <v>288</v>
      </c>
      <c r="C376" s="19" t="s">
        <v>289</v>
      </c>
      <c r="D376" s="20">
        <v>2.8</v>
      </c>
      <c r="E376" s="36">
        <f>F397+F478</f>
        <v>13520</v>
      </c>
      <c r="F376" s="17">
        <f t="shared" si="11"/>
        <v>37856</v>
      </c>
    </row>
    <row r="377" spans="1:6" x14ac:dyDescent="0.2">
      <c r="A377" s="18"/>
      <c r="B377" s="111"/>
      <c r="C377" s="19"/>
      <c r="D377" s="20"/>
      <c r="E377" s="36"/>
      <c r="F377" s="17"/>
    </row>
    <row r="378" spans="1:6" x14ac:dyDescent="0.2">
      <c r="A378" s="24"/>
      <c r="B378" s="24"/>
      <c r="C378" s="24"/>
      <c r="D378" s="135"/>
      <c r="E378" s="24"/>
      <c r="F378" s="25"/>
    </row>
    <row r="379" spans="1:6" x14ac:dyDescent="0.2">
      <c r="E379" s="26" t="s">
        <v>12</v>
      </c>
      <c r="F379" s="27">
        <f>SUM(F372:F378)</f>
        <v>75833.959999999992</v>
      </c>
    </row>
    <row r="381" spans="1:6" x14ac:dyDescent="0.2">
      <c r="A381" t="str">
        <f>Summary!$G$9</f>
        <v>Contractor</v>
      </c>
    </row>
    <row r="384" spans="1:6" x14ac:dyDescent="0.2">
      <c r="C384" s="494" t="str">
        <f>Summary!$G$10</f>
        <v>Construction Manager</v>
      </c>
      <c r="D384" s="494"/>
      <c r="E384" s="494"/>
      <c r="F384" s="494"/>
    </row>
    <row r="386" spans="1:27" x14ac:dyDescent="0.2">
      <c r="B386" s="154"/>
    </row>
    <row r="388" spans="1:27" x14ac:dyDescent="0.2">
      <c r="E388" s="5" t="s">
        <v>513</v>
      </c>
      <c r="F388" s="5"/>
      <c r="G388" s="5"/>
      <c r="H388" s="5"/>
      <c r="I388" s="5" t="s">
        <v>909</v>
      </c>
      <c r="J388" s="5"/>
      <c r="K388" s="5"/>
      <c r="M388" s="5"/>
      <c r="N388" s="5" t="s">
        <v>961</v>
      </c>
      <c r="O388" s="5"/>
      <c r="P388" s="5"/>
      <c r="Q388" s="5"/>
      <c r="R388" s="5"/>
      <c r="S388" s="5"/>
      <c r="T388" s="5"/>
      <c r="U388" s="5" t="s">
        <v>644</v>
      </c>
      <c r="V388" s="5"/>
    </row>
    <row r="390" spans="1:27" x14ac:dyDescent="0.2">
      <c r="B390" s="154"/>
      <c r="C390" s="457" t="s">
        <v>379</v>
      </c>
      <c r="D390" s="439" t="s">
        <v>900</v>
      </c>
      <c r="E390" s="454" t="s">
        <v>914</v>
      </c>
      <c r="F390" s="439" t="s">
        <v>899</v>
      </c>
      <c r="G390" s="5" t="s">
        <v>901</v>
      </c>
      <c r="H390" s="5" t="s">
        <v>93</v>
      </c>
      <c r="I390" s="452"/>
      <c r="M390" s="154"/>
      <c r="N390" s="454" t="s">
        <v>914</v>
      </c>
      <c r="O390" s="439" t="s">
        <v>899</v>
      </c>
      <c r="Q390" s="5" t="s">
        <v>387</v>
      </c>
      <c r="R390" s="5" t="s">
        <v>901</v>
      </c>
      <c r="S390" s="5" t="s">
        <v>93</v>
      </c>
    </row>
    <row r="391" spans="1:27" x14ac:dyDescent="0.2">
      <c r="B391" s="154"/>
      <c r="C391" s="406"/>
      <c r="E391" s="347"/>
      <c r="F391" s="347"/>
      <c r="I391" s="452"/>
    </row>
    <row r="392" spans="1:27" ht="42" customHeight="1" x14ac:dyDescent="0.2">
      <c r="B392" s="154">
        <v>42484</v>
      </c>
      <c r="C392" s="406">
        <v>169</v>
      </c>
      <c r="E392" s="347">
        <v>69318</v>
      </c>
      <c r="F392" s="347">
        <v>69432</v>
      </c>
      <c r="G392" t="s">
        <v>385</v>
      </c>
      <c r="H392">
        <v>1611</v>
      </c>
      <c r="I392" s="452"/>
      <c r="K392" s="500" t="s">
        <v>1017</v>
      </c>
      <c r="L392" s="500"/>
      <c r="M392" s="154">
        <v>42484</v>
      </c>
      <c r="N392">
        <v>69318</v>
      </c>
      <c r="O392">
        <v>69432</v>
      </c>
      <c r="P392">
        <f>O392-N392</f>
        <v>114</v>
      </c>
      <c r="R392" t="s">
        <v>385</v>
      </c>
      <c r="S392">
        <v>1611</v>
      </c>
    </row>
    <row r="393" spans="1:27" x14ac:dyDescent="0.2">
      <c r="B393" s="154"/>
      <c r="C393" s="406"/>
      <c r="E393" s="347"/>
      <c r="F393" s="347"/>
      <c r="I393" s="452"/>
      <c r="M393" s="154">
        <v>42484</v>
      </c>
      <c r="N393">
        <v>69318</v>
      </c>
      <c r="O393">
        <v>69432</v>
      </c>
      <c r="P393">
        <f>O393-N393</f>
        <v>114</v>
      </c>
      <c r="R393" t="s">
        <v>385</v>
      </c>
      <c r="S393">
        <v>1611</v>
      </c>
    </row>
    <row r="394" spans="1:27" x14ac:dyDescent="0.2">
      <c r="B394" s="154"/>
      <c r="C394" s="406"/>
      <c r="E394" s="347"/>
      <c r="F394" s="347"/>
      <c r="I394" s="452"/>
    </row>
    <row r="395" spans="1:27" x14ac:dyDescent="0.2">
      <c r="B395" s="154"/>
      <c r="C395" s="406"/>
      <c r="E395" s="347"/>
      <c r="F395" s="347"/>
      <c r="I395" s="452"/>
    </row>
    <row r="396" spans="1:27" x14ac:dyDescent="0.2">
      <c r="C396" s="406"/>
      <c r="E396" t="s">
        <v>444</v>
      </c>
      <c r="F396" t="s">
        <v>18</v>
      </c>
      <c r="L396" s="350"/>
      <c r="M396" s="347"/>
      <c r="O396" t="s">
        <v>994</v>
      </c>
      <c r="P396" s="406">
        <f>SUM(P389:P395)</f>
        <v>228</v>
      </c>
      <c r="R396" s="367"/>
      <c r="U396" s="347"/>
      <c r="V396" s="347" t="s">
        <v>18</v>
      </c>
      <c r="W396">
        <f>SUM(W389:W395)</f>
        <v>0</v>
      </c>
      <c r="Z396" s="367"/>
      <c r="AA396" s="367"/>
    </row>
    <row r="397" spans="1:27" x14ac:dyDescent="0.2">
      <c r="C397" s="374">
        <f>SUM(C391:C396)</f>
        <v>169</v>
      </c>
      <c r="D397" s="374"/>
      <c r="E397" s="374">
        <v>80</v>
      </c>
      <c r="F397" s="374">
        <f>C397*E397</f>
        <v>13520</v>
      </c>
      <c r="G397" s="457" t="s">
        <v>12</v>
      </c>
      <c r="L397" s="347"/>
      <c r="R397" s="367"/>
      <c r="Z397" s="367"/>
      <c r="AA397" s="367"/>
    </row>
    <row r="398" spans="1:27" x14ac:dyDescent="0.2">
      <c r="H398" s="367"/>
    </row>
    <row r="399" spans="1:27" x14ac:dyDescent="0.2">
      <c r="A399" s="5" t="str">
        <f>Summary!$G$11</f>
        <v>PIPELINE PROJECT</v>
      </c>
    </row>
    <row r="411" spans="1:6" ht="16" x14ac:dyDescent="0.2">
      <c r="A411" s="157" t="s">
        <v>89</v>
      </c>
    </row>
    <row r="412" spans="1:6" x14ac:dyDescent="0.2">
      <c r="A412" s="5" t="s">
        <v>9</v>
      </c>
    </row>
    <row r="414" spans="1:6" x14ac:dyDescent="0.2">
      <c r="A414" t="s">
        <v>0</v>
      </c>
      <c r="E414" s="2" t="s">
        <v>64</v>
      </c>
      <c r="F414" s="3">
        <f>Summary!$G$3</f>
        <v>42505</v>
      </c>
    </row>
    <row r="415" spans="1:6" x14ac:dyDescent="0.2">
      <c r="A415" t="s">
        <v>1</v>
      </c>
      <c r="B415" s="4" t="s">
        <v>286</v>
      </c>
    </row>
    <row r="417" spans="1:8" x14ac:dyDescent="0.2">
      <c r="A417" s="9" t="s">
        <v>2</v>
      </c>
      <c r="B417" s="10"/>
      <c r="C417" s="11" t="s">
        <v>4</v>
      </c>
      <c r="D417" s="11" t="s">
        <v>3</v>
      </c>
      <c r="E417" s="11" t="s">
        <v>8</v>
      </c>
      <c r="F417" s="12" t="s">
        <v>260</v>
      </c>
    </row>
    <row r="418" spans="1:8" ht="30" x14ac:dyDescent="0.2">
      <c r="A418" s="134" t="s">
        <v>285</v>
      </c>
      <c r="B418" s="115" t="s">
        <v>10</v>
      </c>
      <c r="C418" s="30"/>
      <c r="D418" s="31"/>
      <c r="E418" s="31"/>
      <c r="F418" s="32"/>
    </row>
    <row r="419" spans="1:8" x14ac:dyDescent="0.2">
      <c r="A419" s="18"/>
      <c r="B419" s="111" t="s">
        <v>287</v>
      </c>
      <c r="C419" s="19" t="s">
        <v>6</v>
      </c>
      <c r="D419" s="20">
        <v>89.6</v>
      </c>
      <c r="E419" s="36">
        <f>AD452</f>
        <v>88</v>
      </c>
      <c r="F419" s="17">
        <f t="shared" ref="F419:F422" si="12">E419*D419</f>
        <v>7884.7999999999993</v>
      </c>
    </row>
    <row r="420" spans="1:8" x14ac:dyDescent="0.2">
      <c r="A420" s="18"/>
      <c r="B420" s="111" t="s">
        <v>7</v>
      </c>
      <c r="C420" s="19" t="s">
        <v>6</v>
      </c>
      <c r="D420" s="20">
        <v>114.67</v>
      </c>
      <c r="E420" s="36">
        <f>W452</f>
        <v>48</v>
      </c>
      <c r="F420" s="17">
        <f t="shared" si="12"/>
        <v>5504.16</v>
      </c>
    </row>
    <row r="421" spans="1:8" x14ac:dyDescent="0.2">
      <c r="A421" s="18"/>
      <c r="B421" s="111" t="s">
        <v>58</v>
      </c>
      <c r="C421" s="19" t="s">
        <v>6</v>
      </c>
      <c r="D421" s="20">
        <v>166.57</v>
      </c>
      <c r="E421" s="36">
        <f>P452</f>
        <v>20</v>
      </c>
      <c r="F421" s="17">
        <f t="shared" si="12"/>
        <v>3331.3999999999996</v>
      </c>
    </row>
    <row r="422" spans="1:8" ht="17" x14ac:dyDescent="0.2">
      <c r="A422" s="18"/>
      <c r="B422" s="111" t="s">
        <v>288</v>
      </c>
      <c r="C422" s="19" t="s">
        <v>289</v>
      </c>
      <c r="D422" s="20">
        <v>2.8</v>
      </c>
      <c r="E422" s="36">
        <f>F454</f>
        <v>17888</v>
      </c>
      <c r="F422" s="17">
        <f t="shared" si="12"/>
        <v>50086.399999999994</v>
      </c>
    </row>
    <row r="423" spans="1:8" x14ac:dyDescent="0.2">
      <c r="A423" s="18"/>
      <c r="B423" s="111"/>
      <c r="C423" s="19"/>
      <c r="D423" s="20"/>
      <c r="E423" s="36"/>
      <c r="F423" s="17"/>
    </row>
    <row r="424" spans="1:8" x14ac:dyDescent="0.2">
      <c r="A424" s="24"/>
      <c r="B424" s="24"/>
      <c r="C424" s="24"/>
      <c r="D424" s="135"/>
      <c r="E424" s="24"/>
      <c r="F424" s="25"/>
    </row>
    <row r="425" spans="1:8" x14ac:dyDescent="0.2">
      <c r="E425" s="26" t="s">
        <v>12</v>
      </c>
      <c r="F425" s="27">
        <f>SUM(F418:F424)</f>
        <v>66806.759999999995</v>
      </c>
    </row>
    <row r="427" spans="1:8" x14ac:dyDescent="0.2">
      <c r="A427" t="str">
        <f>Summary!$G$9</f>
        <v>Contractor</v>
      </c>
    </row>
    <row r="430" spans="1:8" x14ac:dyDescent="0.2">
      <c r="C430" s="494" t="str">
        <f>Summary!$G$10</f>
        <v>Construction Manager</v>
      </c>
      <c r="D430" s="494"/>
      <c r="E430" s="494"/>
      <c r="F430" s="494"/>
    </row>
    <row r="432" spans="1:8" x14ac:dyDescent="0.2">
      <c r="H432" s="367"/>
    </row>
    <row r="433" spans="2:33" x14ac:dyDescent="0.2">
      <c r="H433" s="367"/>
    </row>
    <row r="434" spans="2:33" x14ac:dyDescent="0.2">
      <c r="H434" s="367"/>
    </row>
    <row r="435" spans="2:33" x14ac:dyDescent="0.2">
      <c r="E435" s="5" t="s">
        <v>513</v>
      </c>
      <c r="F435" s="5"/>
      <c r="G435" s="5"/>
      <c r="H435" s="5"/>
      <c r="I435" s="5" t="s">
        <v>909</v>
      </c>
      <c r="J435" s="5"/>
      <c r="K435" s="5"/>
      <c r="M435" s="5"/>
      <c r="N435" s="5" t="s">
        <v>1042</v>
      </c>
      <c r="O435" s="5"/>
      <c r="P435" s="5"/>
      <c r="Q435" s="5"/>
      <c r="R435" s="5"/>
      <c r="S435" s="5"/>
      <c r="T435" s="5"/>
      <c r="U435" s="5" t="s">
        <v>1041</v>
      </c>
      <c r="V435" s="5"/>
      <c r="AB435" s="5" t="s">
        <v>1043</v>
      </c>
    </row>
    <row r="436" spans="2:33" x14ac:dyDescent="0.2">
      <c r="AE436" s="5" t="s">
        <v>387</v>
      </c>
      <c r="AF436" s="5" t="s">
        <v>901</v>
      </c>
      <c r="AG436" s="5" t="s">
        <v>93</v>
      </c>
    </row>
    <row r="437" spans="2:33" x14ac:dyDescent="0.2">
      <c r="B437" s="154"/>
      <c r="C437" s="457" t="s">
        <v>379</v>
      </c>
      <c r="D437" s="439" t="s">
        <v>900</v>
      </c>
      <c r="E437" s="454" t="s">
        <v>914</v>
      </c>
      <c r="F437" s="439" t="s">
        <v>899</v>
      </c>
      <c r="G437" s="5" t="s">
        <v>901</v>
      </c>
      <c r="H437" s="5" t="s">
        <v>93</v>
      </c>
      <c r="I437" s="452"/>
      <c r="M437" s="154"/>
      <c r="N437" s="454" t="s">
        <v>914</v>
      </c>
      <c r="O437" s="439" t="s">
        <v>899</v>
      </c>
      <c r="Q437" s="5" t="s">
        <v>387</v>
      </c>
      <c r="R437" s="5" t="s">
        <v>901</v>
      </c>
      <c r="S437" s="5" t="s">
        <v>93</v>
      </c>
      <c r="X437" s="5" t="s">
        <v>387</v>
      </c>
      <c r="Y437" s="5" t="s">
        <v>901</v>
      </c>
      <c r="Z437" s="5" t="s">
        <v>93</v>
      </c>
    </row>
    <row r="438" spans="2:33" x14ac:dyDescent="0.2">
      <c r="B438" s="154"/>
      <c r="C438" s="406"/>
      <c r="E438" s="347"/>
      <c r="F438" s="347"/>
      <c r="I438" s="452"/>
    </row>
    <row r="439" spans="2:33" x14ac:dyDescent="0.2">
      <c r="B439" s="378">
        <v>42450</v>
      </c>
      <c r="C439" s="359">
        <v>11</v>
      </c>
      <c r="D439" s="472"/>
      <c r="E439" s="473">
        <v>46270</v>
      </c>
      <c r="F439" s="473"/>
      <c r="G439" s="359"/>
      <c r="H439" s="359">
        <v>1929</v>
      </c>
      <c r="I439" s="452"/>
      <c r="P439">
        <f t="shared" ref="P439:P443" si="13">O439-N439</f>
        <v>0</v>
      </c>
    </row>
    <row r="440" spans="2:33" x14ac:dyDescent="0.2">
      <c r="B440" s="378">
        <v>42452</v>
      </c>
      <c r="C440" s="359">
        <v>11</v>
      </c>
      <c r="D440" s="359"/>
      <c r="E440" s="473">
        <v>69425</v>
      </c>
      <c r="F440" s="473"/>
      <c r="G440" s="359"/>
      <c r="H440" s="359">
        <v>1927</v>
      </c>
      <c r="I440" s="452"/>
      <c r="P440">
        <f>O440-N440</f>
        <v>0</v>
      </c>
    </row>
    <row r="441" spans="2:33" s="481" customFormat="1" x14ac:dyDescent="0.2">
      <c r="B441" s="475">
        <v>42452</v>
      </c>
      <c r="C441" s="476">
        <v>18</v>
      </c>
      <c r="D441" s="476"/>
      <c r="E441" s="478" t="s">
        <v>1038</v>
      </c>
      <c r="F441" s="477"/>
      <c r="G441" s="476"/>
      <c r="H441" s="476">
        <v>1930</v>
      </c>
      <c r="I441" s="482"/>
      <c r="P441" s="481">
        <f>O441-N441</f>
        <v>0</v>
      </c>
      <c r="AA441" s="475">
        <v>42452</v>
      </c>
      <c r="AB441" s="476">
        <v>39300</v>
      </c>
      <c r="AC441" s="476">
        <v>39360</v>
      </c>
      <c r="AD441" s="359">
        <f t="shared" ref="AD441:AD450" si="14">AC441-AB441</f>
        <v>60</v>
      </c>
      <c r="AE441" s="479" t="s">
        <v>1040</v>
      </c>
      <c r="AF441" s="476" t="s">
        <v>1039</v>
      </c>
      <c r="AG441" s="476">
        <v>1930</v>
      </c>
    </row>
    <row r="442" spans="2:33" x14ac:dyDescent="0.2">
      <c r="B442" s="378">
        <v>42461</v>
      </c>
      <c r="C442" s="359">
        <v>58</v>
      </c>
      <c r="D442" s="359"/>
      <c r="E442" s="473">
        <v>25038</v>
      </c>
      <c r="F442" s="473"/>
      <c r="G442" s="359"/>
      <c r="H442" s="359">
        <v>1928</v>
      </c>
      <c r="I442" s="452"/>
      <c r="P442">
        <f>O442-N442</f>
        <v>0</v>
      </c>
    </row>
    <row r="443" spans="2:33" x14ac:dyDescent="0.2">
      <c r="B443" s="378">
        <v>42489</v>
      </c>
      <c r="C443" s="359">
        <v>125.6</v>
      </c>
      <c r="D443" s="480">
        <v>180.8</v>
      </c>
      <c r="E443" s="473">
        <v>67396</v>
      </c>
      <c r="F443" s="473">
        <v>67665</v>
      </c>
      <c r="G443" s="359"/>
      <c r="H443" s="359">
        <v>1932</v>
      </c>
      <c r="I443" s="452" t="s">
        <v>1022</v>
      </c>
      <c r="P443">
        <f t="shared" si="13"/>
        <v>0</v>
      </c>
      <c r="AD443">
        <f t="shared" si="14"/>
        <v>0</v>
      </c>
    </row>
    <row r="444" spans="2:33" x14ac:dyDescent="0.2">
      <c r="B444" s="378">
        <v>42491</v>
      </c>
      <c r="C444" s="359"/>
      <c r="D444" s="359"/>
      <c r="E444" s="359"/>
      <c r="F444" s="359"/>
      <c r="G444" s="359"/>
      <c r="H444" s="359"/>
      <c r="I444" s="474"/>
      <c r="J444" s="359"/>
      <c r="K444" s="359"/>
      <c r="L444" s="359"/>
      <c r="M444" s="378">
        <v>42491</v>
      </c>
      <c r="N444" s="359">
        <v>67638</v>
      </c>
      <c r="O444" s="359">
        <v>67643</v>
      </c>
      <c r="P444" s="359">
        <f>O444-N444</f>
        <v>5</v>
      </c>
      <c r="Q444" s="359"/>
      <c r="R444" s="359" t="s">
        <v>385</v>
      </c>
      <c r="S444" s="359">
        <v>1652</v>
      </c>
      <c r="T444" s="378">
        <v>42491</v>
      </c>
      <c r="U444" s="359">
        <v>67388</v>
      </c>
      <c r="V444" s="359">
        <v>67400</v>
      </c>
      <c r="W444" s="359">
        <f t="shared" ref="W444:W450" si="15">V444-U444</f>
        <v>12</v>
      </c>
      <c r="X444" s="359"/>
      <c r="Y444" s="485" t="s">
        <v>385</v>
      </c>
      <c r="Z444" s="359">
        <v>1652</v>
      </c>
      <c r="AA444" s="378">
        <v>42491</v>
      </c>
      <c r="AB444" s="359">
        <v>67391</v>
      </c>
      <c r="AC444" s="359">
        <v>67399</v>
      </c>
      <c r="AD444" s="359">
        <f t="shared" si="14"/>
        <v>8</v>
      </c>
      <c r="AE444" s="359"/>
      <c r="AF444" s="485" t="s">
        <v>385</v>
      </c>
      <c r="AG444" s="359">
        <v>1652</v>
      </c>
    </row>
    <row r="445" spans="2:33" x14ac:dyDescent="0.2">
      <c r="B445" s="378"/>
      <c r="C445" s="359"/>
      <c r="D445" s="359"/>
      <c r="E445" s="473"/>
      <c r="F445" s="473"/>
      <c r="G445" s="359"/>
      <c r="H445" s="359"/>
      <c r="I445" s="474"/>
      <c r="J445" s="359"/>
      <c r="K445" s="359"/>
      <c r="L445" s="359"/>
      <c r="M445" s="378"/>
      <c r="N445" s="359">
        <v>67653</v>
      </c>
      <c r="O445" s="359">
        <v>67668</v>
      </c>
      <c r="P445" s="359">
        <f>O445-N445</f>
        <v>15</v>
      </c>
      <c r="Q445" s="359"/>
      <c r="R445" s="359" t="s">
        <v>385</v>
      </c>
      <c r="S445" s="359">
        <v>1652</v>
      </c>
      <c r="T445" s="359"/>
      <c r="U445" s="359">
        <v>67418</v>
      </c>
      <c r="V445" s="359">
        <v>67431</v>
      </c>
      <c r="W445" s="359">
        <f>V445-U445</f>
        <v>13</v>
      </c>
      <c r="X445" s="359"/>
      <c r="Y445" s="485" t="s">
        <v>385</v>
      </c>
      <c r="Z445" s="359">
        <v>1652</v>
      </c>
      <c r="AA445" s="359"/>
      <c r="AB445" s="359">
        <v>67418</v>
      </c>
      <c r="AC445" s="359">
        <v>67426</v>
      </c>
      <c r="AD445" s="359">
        <f>AC445-AB445</f>
        <v>8</v>
      </c>
      <c r="AE445" s="359"/>
      <c r="AF445" s="485" t="s">
        <v>385</v>
      </c>
      <c r="AG445" s="359">
        <v>1652</v>
      </c>
    </row>
    <row r="446" spans="2:33" x14ac:dyDescent="0.2">
      <c r="B446" s="359"/>
      <c r="C446" s="359"/>
      <c r="D446" s="359"/>
      <c r="E446" s="359"/>
      <c r="F446" s="359"/>
      <c r="G446" s="359"/>
      <c r="H446" s="359"/>
      <c r="I446" s="474"/>
      <c r="J446" s="359"/>
      <c r="K446" s="359"/>
      <c r="L446" s="359"/>
      <c r="M446" s="378"/>
      <c r="N446" s="359"/>
      <c r="O446" s="359"/>
      <c r="P446" s="359"/>
      <c r="Q446" s="359"/>
      <c r="R446" s="359"/>
      <c r="S446" s="359"/>
      <c r="T446" s="359"/>
      <c r="U446" s="359">
        <v>67512</v>
      </c>
      <c r="V446" s="359">
        <v>67526</v>
      </c>
      <c r="W446" s="359">
        <f>V446-U446</f>
        <v>14</v>
      </c>
      <c r="X446" s="359"/>
      <c r="Y446" s="485" t="s">
        <v>385</v>
      </c>
      <c r="Z446" s="359">
        <v>1652</v>
      </c>
      <c r="AA446" s="359"/>
      <c r="AB446" s="359">
        <v>67520</v>
      </c>
      <c r="AC446" s="359">
        <v>67526</v>
      </c>
      <c r="AD446" s="359">
        <f>AC446-AB446</f>
        <v>6</v>
      </c>
      <c r="AE446" s="359"/>
      <c r="AF446" s="485" t="s">
        <v>385</v>
      </c>
      <c r="AG446" s="359">
        <v>1652</v>
      </c>
    </row>
    <row r="447" spans="2:33" x14ac:dyDescent="0.2">
      <c r="B447" s="378"/>
      <c r="C447" s="359"/>
      <c r="D447" s="359"/>
      <c r="E447" s="473"/>
      <c r="F447" s="473"/>
      <c r="G447" s="359"/>
      <c r="H447" s="359"/>
      <c r="I447" s="474"/>
      <c r="J447" s="359"/>
      <c r="K447" s="359"/>
      <c r="L447" s="359"/>
      <c r="M447" s="378"/>
      <c r="N447" s="359"/>
      <c r="O447" s="359"/>
      <c r="P447" s="359"/>
      <c r="Q447" s="359"/>
      <c r="R447" s="359"/>
      <c r="S447" s="359"/>
      <c r="T447" s="359"/>
      <c r="U447" s="359">
        <v>67566</v>
      </c>
      <c r="V447" s="359">
        <v>67575</v>
      </c>
      <c r="W447" s="359">
        <f>V447-U447</f>
        <v>9</v>
      </c>
      <c r="X447" s="359"/>
      <c r="Y447" s="485" t="s">
        <v>385</v>
      </c>
      <c r="Z447" s="359">
        <v>1652</v>
      </c>
      <c r="AA447" s="359"/>
      <c r="AB447" s="359">
        <v>67566</v>
      </c>
      <c r="AC447" s="359">
        <v>67572</v>
      </c>
      <c r="AD447" s="359">
        <f>AC447-AB447</f>
        <v>6</v>
      </c>
      <c r="AE447" s="359"/>
      <c r="AF447" s="485" t="s">
        <v>385</v>
      </c>
      <c r="AG447" s="359">
        <v>1652</v>
      </c>
    </row>
    <row r="448" spans="2:33" x14ac:dyDescent="0.2">
      <c r="B448" s="154"/>
      <c r="C448" s="406"/>
      <c r="E448" s="347"/>
      <c r="F448" s="347"/>
      <c r="I448" s="452"/>
      <c r="M448" s="154"/>
      <c r="P448">
        <f t="shared" ref="P448:P450" si="16">O448-N448</f>
        <v>0</v>
      </c>
      <c r="W448">
        <f t="shared" si="15"/>
        <v>0</v>
      </c>
      <c r="AD448">
        <f t="shared" si="14"/>
        <v>0</v>
      </c>
    </row>
    <row r="449" spans="2:33" x14ac:dyDescent="0.2">
      <c r="B449" s="154"/>
      <c r="C449" s="406"/>
      <c r="E449" s="347"/>
      <c r="F449" s="347"/>
      <c r="I449" s="452"/>
      <c r="M449" s="154"/>
      <c r="P449">
        <f t="shared" si="16"/>
        <v>0</v>
      </c>
      <c r="W449">
        <f t="shared" si="15"/>
        <v>0</v>
      </c>
      <c r="AD449">
        <f t="shared" si="14"/>
        <v>0</v>
      </c>
    </row>
    <row r="450" spans="2:33" x14ac:dyDescent="0.2">
      <c r="B450" s="154"/>
      <c r="C450" s="406"/>
      <c r="E450" s="347"/>
      <c r="F450" s="347"/>
      <c r="I450" s="452"/>
      <c r="P450">
        <f t="shared" si="16"/>
        <v>0</v>
      </c>
      <c r="W450">
        <f t="shared" si="15"/>
        <v>0</v>
      </c>
      <c r="AD450">
        <f t="shared" si="14"/>
        <v>0</v>
      </c>
    </row>
    <row r="451" spans="2:33" x14ac:dyDescent="0.2">
      <c r="B451" s="154"/>
      <c r="C451" s="406"/>
      <c r="E451" s="347"/>
      <c r="F451" s="347"/>
      <c r="I451" s="452"/>
      <c r="T451" s="347"/>
    </row>
    <row r="452" spans="2:33" x14ac:dyDescent="0.2">
      <c r="B452" s="154"/>
      <c r="C452" s="406"/>
      <c r="E452" s="347"/>
      <c r="F452" s="347"/>
      <c r="I452" s="452"/>
      <c r="O452" t="s">
        <v>994</v>
      </c>
      <c r="P452" s="406">
        <f>SUM(P436:P451)</f>
        <v>20</v>
      </c>
      <c r="V452" s="347" t="s">
        <v>18</v>
      </c>
      <c r="W452">
        <f>SUM(W436:W451)</f>
        <v>48</v>
      </c>
      <c r="Y452" s="367"/>
      <c r="Z452" s="367"/>
      <c r="AC452" s="347" t="s">
        <v>18</v>
      </c>
      <c r="AD452">
        <f>SUM(AD436:AD451)</f>
        <v>88</v>
      </c>
    </row>
    <row r="453" spans="2:33" x14ac:dyDescent="0.2">
      <c r="C453" s="406"/>
      <c r="E453" t="s">
        <v>444</v>
      </c>
      <c r="F453" t="s">
        <v>18</v>
      </c>
      <c r="L453" s="350"/>
      <c r="Y453" s="367"/>
      <c r="Z453" s="367"/>
    </row>
    <row r="454" spans="2:33" x14ac:dyDescent="0.2">
      <c r="C454" s="374">
        <f>SUM(C438:C453)</f>
        <v>223.6</v>
      </c>
      <c r="D454" s="374"/>
      <c r="E454" s="374">
        <v>80</v>
      </c>
      <c r="F454" s="374">
        <f>C454*E454</f>
        <v>17888</v>
      </c>
      <c r="G454" s="457" t="s">
        <v>12</v>
      </c>
      <c r="L454" s="347"/>
    </row>
    <row r="455" spans="2:33" x14ac:dyDescent="0.2">
      <c r="H455" s="367"/>
      <c r="M455" s="347"/>
      <c r="Q455" s="367"/>
    </row>
    <row r="456" spans="2:33" s="382" customFormat="1" x14ac:dyDescent="0.2">
      <c r="B456" s="483" t="s">
        <v>1037</v>
      </c>
      <c r="E456" s="483" t="s">
        <v>513</v>
      </c>
      <c r="F456" s="483"/>
      <c r="G456" s="483"/>
      <c r="H456" s="483"/>
      <c r="I456" s="483" t="s">
        <v>909</v>
      </c>
      <c r="J456" s="483"/>
      <c r="K456" s="483"/>
      <c r="M456" s="483"/>
      <c r="N456" s="483" t="s">
        <v>961</v>
      </c>
      <c r="O456" s="483"/>
      <c r="P456" s="483"/>
      <c r="Q456" s="483"/>
      <c r="R456" s="483"/>
      <c r="S456" s="483"/>
      <c r="T456" s="483"/>
      <c r="U456" s="483" t="s">
        <v>644</v>
      </c>
      <c r="V456" s="483"/>
      <c r="AB456" s="483" t="s">
        <v>435</v>
      </c>
    </row>
    <row r="457" spans="2:33" x14ac:dyDescent="0.2">
      <c r="AE457" s="5" t="s">
        <v>387</v>
      </c>
      <c r="AF457" s="5" t="s">
        <v>901</v>
      </c>
      <c r="AG457" s="5" t="s">
        <v>93</v>
      </c>
    </row>
    <row r="458" spans="2:33" x14ac:dyDescent="0.2">
      <c r="B458" s="154"/>
      <c r="C458" s="457" t="s">
        <v>379</v>
      </c>
      <c r="D458" s="439" t="s">
        <v>900</v>
      </c>
      <c r="E458" s="454" t="s">
        <v>914</v>
      </c>
      <c r="F458" s="439" t="s">
        <v>899</v>
      </c>
      <c r="G458" s="5" t="s">
        <v>901</v>
      </c>
      <c r="H458" s="5" t="s">
        <v>93</v>
      </c>
      <c r="I458" s="452"/>
      <c r="M458" s="154"/>
      <c r="N458" s="454" t="s">
        <v>914</v>
      </c>
      <c r="O458" s="439" t="s">
        <v>899</v>
      </c>
      <c r="Q458" s="5" t="s">
        <v>387</v>
      </c>
      <c r="R458" s="5" t="s">
        <v>901</v>
      </c>
      <c r="S458" s="5" t="s">
        <v>93</v>
      </c>
      <c r="X458" s="5" t="s">
        <v>387</v>
      </c>
      <c r="Y458" s="5" t="s">
        <v>901</v>
      </c>
      <c r="Z458" s="5" t="s">
        <v>93</v>
      </c>
    </row>
    <row r="459" spans="2:33" x14ac:dyDescent="0.2">
      <c r="B459" s="154"/>
      <c r="C459" s="406"/>
      <c r="E459" s="347"/>
      <c r="F459" s="347"/>
      <c r="I459" s="452"/>
    </row>
    <row r="460" spans="2:33" x14ac:dyDescent="0.2">
      <c r="B460" s="154">
        <v>42497</v>
      </c>
      <c r="C460" s="406">
        <v>45</v>
      </c>
      <c r="D460" t="s">
        <v>995</v>
      </c>
      <c r="E460" s="347"/>
      <c r="F460" s="347"/>
      <c r="G460" t="s">
        <v>1027</v>
      </c>
      <c r="H460">
        <v>1828</v>
      </c>
      <c r="I460" s="452"/>
      <c r="M460" s="154">
        <v>42497</v>
      </c>
      <c r="N460">
        <v>8245.4</v>
      </c>
      <c r="O460">
        <v>8251.9</v>
      </c>
      <c r="P460">
        <f t="shared" ref="P460:P466" si="17">O460-N460</f>
        <v>6.5</v>
      </c>
      <c r="Q460">
        <v>6.5</v>
      </c>
      <c r="R460" t="s">
        <v>1034</v>
      </c>
      <c r="S460">
        <v>1828</v>
      </c>
      <c r="T460" s="154">
        <v>42497</v>
      </c>
      <c r="U460">
        <v>8163.5</v>
      </c>
      <c r="V460">
        <v>8175.5</v>
      </c>
      <c r="W460">
        <f>V460-U460</f>
        <v>12</v>
      </c>
      <c r="X460">
        <v>20.5</v>
      </c>
      <c r="Y460" t="s">
        <v>1027</v>
      </c>
      <c r="Z460">
        <v>1828</v>
      </c>
      <c r="AA460" s="154">
        <v>42497</v>
      </c>
      <c r="AB460">
        <v>8251.9</v>
      </c>
      <c r="AC460">
        <v>8256.9</v>
      </c>
      <c r="AD460">
        <f>AC460-AB460</f>
        <v>5</v>
      </c>
      <c r="AE460" t="s">
        <v>1036</v>
      </c>
      <c r="AF460" t="s">
        <v>1027</v>
      </c>
      <c r="AG460">
        <v>1828</v>
      </c>
    </row>
    <row r="461" spans="2:33" x14ac:dyDescent="0.2">
      <c r="B461" s="154"/>
      <c r="C461" s="406"/>
      <c r="E461" s="347"/>
      <c r="F461" s="347"/>
      <c r="I461" s="452"/>
      <c r="N461">
        <v>8175.5</v>
      </c>
      <c r="O461">
        <v>8184</v>
      </c>
      <c r="P461">
        <f t="shared" si="17"/>
        <v>8.5</v>
      </c>
      <c r="Q461">
        <v>8.5</v>
      </c>
      <c r="R461" t="s">
        <v>1034</v>
      </c>
      <c r="S461">
        <v>1828</v>
      </c>
      <c r="W461">
        <f>V461-U461</f>
        <v>0</v>
      </c>
      <c r="AD461">
        <f>AC460-AB460</f>
        <v>5</v>
      </c>
    </row>
    <row r="462" spans="2:33" x14ac:dyDescent="0.2">
      <c r="B462" s="154">
        <v>42500</v>
      </c>
      <c r="C462" s="406">
        <v>220</v>
      </c>
      <c r="D462" t="s">
        <v>1028</v>
      </c>
      <c r="E462" s="347">
        <v>6428</v>
      </c>
      <c r="F462" s="347">
        <v>6478</v>
      </c>
      <c r="G462" t="s">
        <v>1027</v>
      </c>
      <c r="H462">
        <v>1653</v>
      </c>
      <c r="I462" s="452"/>
      <c r="M462" s="154">
        <v>42500</v>
      </c>
      <c r="N462">
        <v>6428</v>
      </c>
      <c r="O462" s="330">
        <v>6478</v>
      </c>
      <c r="P462">
        <f t="shared" si="17"/>
        <v>50</v>
      </c>
      <c r="Q462" s="330">
        <v>59</v>
      </c>
      <c r="R462" t="s">
        <v>1027</v>
      </c>
      <c r="S462">
        <v>1653</v>
      </c>
      <c r="W462">
        <f>V462-U462</f>
        <v>0</v>
      </c>
      <c r="AD462">
        <f>AC462-AB462</f>
        <v>0</v>
      </c>
    </row>
    <row r="463" spans="2:33" x14ac:dyDescent="0.2">
      <c r="B463" s="154">
        <v>42503</v>
      </c>
      <c r="C463" s="406">
        <v>22</v>
      </c>
      <c r="D463" t="s">
        <v>1035</v>
      </c>
      <c r="E463">
        <v>37751</v>
      </c>
      <c r="F463">
        <v>37761</v>
      </c>
      <c r="I463" s="452"/>
      <c r="M463" s="154">
        <v>42503</v>
      </c>
      <c r="N463">
        <v>37751</v>
      </c>
      <c r="O463">
        <v>37761</v>
      </c>
      <c r="P463">
        <f t="shared" si="17"/>
        <v>10</v>
      </c>
      <c r="R463" t="s">
        <v>376</v>
      </c>
      <c r="W463">
        <f>V463-U463</f>
        <v>0</v>
      </c>
      <c r="AD463">
        <f>AC463-AB463</f>
        <v>0</v>
      </c>
    </row>
    <row r="464" spans="2:33" x14ac:dyDescent="0.2">
      <c r="B464" s="154"/>
      <c r="C464" s="406"/>
      <c r="I464" s="452"/>
      <c r="M464" s="154">
        <v>42503</v>
      </c>
      <c r="N464">
        <v>37679</v>
      </c>
      <c r="O464">
        <v>37694</v>
      </c>
      <c r="P464">
        <f t="shared" si="17"/>
        <v>15</v>
      </c>
      <c r="Q464">
        <v>15</v>
      </c>
    </row>
    <row r="465" spans="2:33" x14ac:dyDescent="0.2">
      <c r="B465" s="154">
        <v>42504</v>
      </c>
      <c r="C465" s="406">
        <v>11</v>
      </c>
      <c r="E465">
        <v>29375</v>
      </c>
      <c r="F465">
        <v>29391</v>
      </c>
      <c r="I465" s="452"/>
      <c r="M465" s="154">
        <v>42504</v>
      </c>
      <c r="N465">
        <v>29375</v>
      </c>
      <c r="O465">
        <v>29391</v>
      </c>
      <c r="P465">
        <f t="shared" si="17"/>
        <v>16</v>
      </c>
      <c r="R465" t="s">
        <v>376</v>
      </c>
      <c r="W465">
        <f>V465-U465</f>
        <v>0</v>
      </c>
      <c r="AD465">
        <f>AC465-AB465</f>
        <v>0</v>
      </c>
    </row>
    <row r="466" spans="2:33" x14ac:dyDescent="0.2">
      <c r="B466" s="154">
        <v>42497</v>
      </c>
      <c r="C466" s="406"/>
      <c r="E466" s="347"/>
      <c r="F466" s="347"/>
      <c r="I466" s="452"/>
      <c r="M466" s="154"/>
      <c r="P466">
        <f t="shared" si="17"/>
        <v>0</v>
      </c>
      <c r="W466">
        <f>V466-U466</f>
        <v>0</v>
      </c>
      <c r="AD466">
        <f>AC466-AB466</f>
        <v>0</v>
      </c>
    </row>
    <row r="467" spans="2:33" x14ac:dyDescent="0.2">
      <c r="B467" s="154"/>
      <c r="C467" s="406"/>
      <c r="E467" s="347"/>
      <c r="F467" s="347"/>
      <c r="I467" s="452"/>
      <c r="M467" s="154"/>
      <c r="W467">
        <f t="shared" ref="W467:W468" si="18">V467-U467</f>
        <v>0</v>
      </c>
      <c r="AD467">
        <f t="shared" ref="AD467:AD468" si="19">AC467-AB467</f>
        <v>0</v>
      </c>
    </row>
    <row r="468" spans="2:33" x14ac:dyDescent="0.2">
      <c r="B468" s="154"/>
      <c r="C468" s="406"/>
      <c r="E468" s="347"/>
      <c r="F468" s="347"/>
      <c r="I468" s="452"/>
      <c r="P468">
        <f t="shared" ref="P468" si="20">O468-N468</f>
        <v>0</v>
      </c>
      <c r="W468">
        <f t="shared" si="18"/>
        <v>0</v>
      </c>
      <c r="AD468">
        <f t="shared" si="19"/>
        <v>0</v>
      </c>
    </row>
    <row r="469" spans="2:33" x14ac:dyDescent="0.2">
      <c r="B469" s="154"/>
      <c r="C469" s="406"/>
      <c r="E469" s="347"/>
      <c r="F469" s="347"/>
      <c r="I469" s="452"/>
      <c r="T469" s="347"/>
    </row>
    <row r="470" spans="2:33" x14ac:dyDescent="0.2">
      <c r="B470" s="154"/>
      <c r="C470" s="406"/>
      <c r="E470" s="347"/>
      <c r="F470" s="347"/>
      <c r="I470" s="452"/>
      <c r="O470" t="s">
        <v>994</v>
      </c>
      <c r="P470" s="406">
        <f>SUM(P457:P469)</f>
        <v>106</v>
      </c>
      <c r="Q470">
        <v>166.57</v>
      </c>
      <c r="S470">
        <f>P470*Q470</f>
        <v>17656.419999999998</v>
      </c>
      <c r="V470" s="347" t="s">
        <v>18</v>
      </c>
      <c r="W470">
        <f>SUM(W457:W469)</f>
        <v>12</v>
      </c>
      <c r="X470">
        <v>114.67</v>
      </c>
      <c r="Y470" s="367"/>
      <c r="Z470">
        <f>W470*X470</f>
        <v>1376.04</v>
      </c>
      <c r="AC470" s="347" t="s">
        <v>18</v>
      </c>
      <c r="AD470">
        <f>SUM(AD457:AD469)</f>
        <v>10</v>
      </c>
      <c r="AE470">
        <v>89.6</v>
      </c>
      <c r="AG470">
        <f>AD470*AE470</f>
        <v>896</v>
      </c>
    </row>
    <row r="471" spans="2:33" x14ac:dyDescent="0.2">
      <c r="C471" s="406"/>
      <c r="E471" t="s">
        <v>444</v>
      </c>
      <c r="F471" t="s">
        <v>18</v>
      </c>
      <c r="L471" s="350"/>
      <c r="Y471" s="367"/>
    </row>
    <row r="472" spans="2:33" x14ac:dyDescent="0.2">
      <c r="C472" s="374">
        <f>SUM(C459:C471)</f>
        <v>298</v>
      </c>
      <c r="D472" s="374"/>
      <c r="E472" s="374">
        <v>80</v>
      </c>
      <c r="F472" s="374">
        <f>C472*E472</f>
        <v>23840</v>
      </c>
      <c r="G472" s="457" t="s">
        <v>12</v>
      </c>
      <c r="I472">
        <v>2.8</v>
      </c>
      <c r="K472">
        <f>I472*F472</f>
        <v>66752</v>
      </c>
      <c r="L472" s="347"/>
    </row>
    <row r="473" spans="2:33" x14ac:dyDescent="0.2">
      <c r="H473" s="367"/>
      <c r="M473" s="347"/>
      <c r="Q473" s="367"/>
      <c r="Z473">
        <f>Z470+AG470+S470</f>
        <v>19928.46</v>
      </c>
    </row>
    <row r="474" spans="2:33" x14ac:dyDescent="0.2">
      <c r="H474" s="367"/>
      <c r="Q474" s="367"/>
    </row>
    <row r="475" spans="2:33" x14ac:dyDescent="0.2">
      <c r="H475" s="367"/>
    </row>
    <row r="476" spans="2:33" x14ac:dyDescent="0.2">
      <c r="H476" s="367"/>
    </row>
    <row r="477" spans="2:33" x14ac:dyDescent="0.2">
      <c r="H477" s="367"/>
    </row>
    <row r="478" spans="2:33" x14ac:dyDescent="0.2">
      <c r="H478" s="367"/>
    </row>
    <row r="479" spans="2:33" x14ac:dyDescent="0.2">
      <c r="H479" s="367"/>
    </row>
    <row r="480" spans="2:33" x14ac:dyDescent="0.2">
      <c r="H480" s="367"/>
    </row>
    <row r="481" spans="8:8" x14ac:dyDescent="0.2">
      <c r="H481" s="367"/>
    </row>
    <row r="482" spans="8:8" x14ac:dyDescent="0.2">
      <c r="H482" s="367"/>
    </row>
    <row r="483" spans="8:8" x14ac:dyDescent="0.2">
      <c r="H483" s="367"/>
    </row>
    <row r="484" spans="8:8" x14ac:dyDescent="0.2">
      <c r="H484" s="367"/>
    </row>
    <row r="485" spans="8:8" x14ac:dyDescent="0.2">
      <c r="H485" s="367"/>
    </row>
    <row r="486" spans="8:8" x14ac:dyDescent="0.2">
      <c r="H486" s="367"/>
    </row>
    <row r="487" spans="8:8" x14ac:dyDescent="0.2">
      <c r="H487" s="367"/>
    </row>
    <row r="488" spans="8:8" x14ac:dyDescent="0.2">
      <c r="H488" s="367"/>
    </row>
    <row r="489" spans="8:8" x14ac:dyDescent="0.2">
      <c r="H489" s="367"/>
    </row>
    <row r="490" spans="8:8" x14ac:dyDescent="0.2">
      <c r="H490" s="367"/>
    </row>
    <row r="491" spans="8:8" x14ac:dyDescent="0.2">
      <c r="H491" s="367"/>
    </row>
    <row r="492" spans="8:8" x14ac:dyDescent="0.2">
      <c r="H492" s="367"/>
    </row>
    <row r="493" spans="8:8" x14ac:dyDescent="0.2">
      <c r="H493" s="367"/>
    </row>
    <row r="494" spans="8:8" x14ac:dyDescent="0.2">
      <c r="H494" s="367"/>
    </row>
  </sheetData>
  <mergeCells count="10">
    <mergeCell ref="C430:F430"/>
    <mergeCell ref="K392:L392"/>
    <mergeCell ref="C384:F384"/>
    <mergeCell ref="C310:F310"/>
    <mergeCell ref="C267:F267"/>
    <mergeCell ref="C32:F32"/>
    <mergeCell ref="C65:F65"/>
    <mergeCell ref="C109:F109"/>
    <mergeCell ref="C157:F157"/>
    <mergeCell ref="C209:F209"/>
  </mergeCells>
  <phoneticPr fontId="26" type="noConversion"/>
  <pageMargins left="1.88" right="0.70000000000000007" top="0.75000000000000011" bottom="0.75000000000000011" header="0.30000000000000004" footer="0.30000000000000004"/>
  <pageSetup scale="95" orientation="landscape" verticalDpi="1200"/>
  <rowBreaks count="9" manualBreakCount="9">
    <brk id="33" max="16383" man="1"/>
    <brk id="77" max="16383" man="1"/>
    <brk id="125" max="16383" man="1"/>
    <brk id="157" max="16383" man="1"/>
    <brk id="177" max="16383" man="1"/>
    <brk id="235" max="16383" man="1"/>
    <brk id="268" max="16383" man="1"/>
    <brk id="278" max="16383" man="1"/>
    <brk id="311" max="16383" man="1"/>
  </rowBreaks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1"/>
  <sheetViews>
    <sheetView zoomScale="125" zoomScaleNormal="125" zoomScalePageLayoutView="125" workbookViewId="0">
      <selection activeCell="E53" sqref="E53"/>
    </sheetView>
  </sheetViews>
  <sheetFormatPr baseColWidth="10" defaultColWidth="8.83203125" defaultRowHeight="15" x14ac:dyDescent="0.2"/>
  <cols>
    <col min="1" max="1" width="10" customWidth="1"/>
    <col min="2" max="2" width="38.1640625" customWidth="1"/>
    <col min="3" max="3" width="9.1640625" bestFit="1" customWidth="1"/>
    <col min="4" max="4" width="8" customWidth="1"/>
    <col min="5" max="5" width="13.16406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57" t="s">
        <v>89</v>
      </c>
    </row>
    <row r="14" spans="1:5" x14ac:dyDescent="0.2">
      <c r="A14" s="5"/>
    </row>
    <row r="16" spans="1:5" x14ac:dyDescent="0.2">
      <c r="A16" t="s">
        <v>0</v>
      </c>
      <c r="D16" s="2" t="s">
        <v>64</v>
      </c>
      <c r="E16" s="3">
        <v>42475</v>
      </c>
    </row>
    <row r="17" spans="1:12" x14ac:dyDescent="0.2">
      <c r="A17" t="s">
        <v>1</v>
      </c>
      <c r="B17" s="7" t="s">
        <v>948</v>
      </c>
    </row>
    <row r="19" spans="1:12" x14ac:dyDescent="0.2">
      <c r="A19" s="9" t="s">
        <v>2</v>
      </c>
      <c r="B19" s="10"/>
      <c r="C19" s="495" t="s">
        <v>953</v>
      </c>
      <c r="D19" s="495"/>
      <c r="E19" s="12" t="s">
        <v>260</v>
      </c>
    </row>
    <row r="20" spans="1:12" ht="14.5" customHeight="1" x14ac:dyDescent="0.2">
      <c r="A20" s="351" t="s">
        <v>949</v>
      </c>
      <c r="B20" s="29" t="s">
        <v>950</v>
      </c>
      <c r="C20" s="501"/>
      <c r="D20" s="502"/>
      <c r="E20" s="17"/>
    </row>
    <row r="21" spans="1:12" ht="60" x14ac:dyDescent="0.2">
      <c r="A21" s="18"/>
      <c r="B21" s="21" t="s">
        <v>951</v>
      </c>
      <c r="C21" s="503" t="s">
        <v>270</v>
      </c>
      <c r="D21" s="504"/>
      <c r="E21" s="17">
        <v>7658.4</v>
      </c>
      <c r="I21" t="s">
        <v>956</v>
      </c>
      <c r="L21">
        <f>8876.4-1218</f>
        <v>7658.4</v>
      </c>
    </row>
    <row r="22" spans="1:12" ht="30" x14ac:dyDescent="0.2">
      <c r="A22" s="18"/>
      <c r="B22" s="21" t="s">
        <v>952</v>
      </c>
      <c r="C22" s="503" t="s">
        <v>270</v>
      </c>
      <c r="D22" s="504"/>
      <c r="E22" s="17">
        <v>1218</v>
      </c>
      <c r="L22">
        <v>8876.4</v>
      </c>
    </row>
    <row r="23" spans="1:12" x14ac:dyDescent="0.2">
      <c r="A23" s="24"/>
      <c r="B23" s="24"/>
      <c r="C23" s="505"/>
      <c r="D23" s="506"/>
      <c r="E23" s="17"/>
    </row>
    <row r="24" spans="1:12" x14ac:dyDescent="0.2">
      <c r="D24" s="26" t="s">
        <v>12</v>
      </c>
      <c r="E24" s="27">
        <f>SUM(E20:E23)</f>
        <v>8876.4</v>
      </c>
    </row>
    <row r="26" spans="1:12" x14ac:dyDescent="0.2">
      <c r="A26" t="str">
        <f>Summary!$G$9</f>
        <v>Contractor</v>
      </c>
    </row>
    <row r="30" spans="1:12" x14ac:dyDescent="0.2">
      <c r="C30" s="494" t="str">
        <f>Summary!G10</f>
        <v>Construction Manager</v>
      </c>
      <c r="D30" s="494"/>
      <c r="E30" s="494"/>
    </row>
    <row r="32" spans="1:12" x14ac:dyDescent="0.2">
      <c r="A32" s="5" t="str">
        <f>Summary!$G$11</f>
        <v>PIPELINE PROJECT</v>
      </c>
    </row>
    <row r="44" spans="1:5" ht="16" x14ac:dyDescent="0.2">
      <c r="A44" s="157" t="s">
        <v>89</v>
      </c>
    </row>
    <row r="45" spans="1:5" x14ac:dyDescent="0.2">
      <c r="A45" s="5"/>
    </row>
    <row r="47" spans="1:5" x14ac:dyDescent="0.2">
      <c r="A47" t="s">
        <v>0</v>
      </c>
      <c r="D47" s="2" t="s">
        <v>64</v>
      </c>
      <c r="E47" s="3">
        <f>Summary!$G$3</f>
        <v>42505</v>
      </c>
    </row>
    <row r="48" spans="1:5" x14ac:dyDescent="0.2">
      <c r="A48" t="s">
        <v>1</v>
      </c>
      <c r="B48" s="7" t="s">
        <v>948</v>
      </c>
    </row>
    <row r="50" spans="1:9" x14ac:dyDescent="0.2">
      <c r="A50" s="9" t="s">
        <v>2</v>
      </c>
      <c r="B50" s="10"/>
      <c r="C50" s="495" t="s">
        <v>953</v>
      </c>
      <c r="D50" s="495"/>
      <c r="E50" s="12" t="s">
        <v>260</v>
      </c>
    </row>
    <row r="51" spans="1:9" ht="14.5" customHeight="1" x14ac:dyDescent="0.2">
      <c r="A51" s="351" t="s">
        <v>949</v>
      </c>
      <c r="B51" s="29" t="s">
        <v>950</v>
      </c>
      <c r="C51" s="501"/>
      <c r="D51" s="502"/>
      <c r="E51" s="17"/>
    </row>
    <row r="52" spans="1:9" ht="60" x14ac:dyDescent="0.2">
      <c r="A52" s="18"/>
      <c r="B52" s="21" t="s">
        <v>951</v>
      </c>
      <c r="C52" s="503" t="s">
        <v>270</v>
      </c>
      <c r="D52" s="504"/>
      <c r="E52" s="17">
        <v>0</v>
      </c>
      <c r="I52" t="s">
        <v>991</v>
      </c>
    </row>
    <row r="53" spans="1:9" ht="30" x14ac:dyDescent="0.2">
      <c r="A53" s="18"/>
      <c r="B53" s="21" t="s">
        <v>952</v>
      </c>
      <c r="C53" s="503" t="s">
        <v>270</v>
      </c>
      <c r="D53" s="504"/>
      <c r="E53" s="17">
        <v>0</v>
      </c>
    </row>
    <row r="54" spans="1:9" x14ac:dyDescent="0.2">
      <c r="A54" s="24"/>
      <c r="B54" s="24"/>
      <c r="C54" s="505"/>
      <c r="D54" s="506"/>
      <c r="E54" s="17"/>
    </row>
    <row r="55" spans="1:9" x14ac:dyDescent="0.2">
      <c r="D55" s="26" t="s">
        <v>12</v>
      </c>
      <c r="E55" s="27">
        <f>SUM(E51:E54)</f>
        <v>0</v>
      </c>
    </row>
    <row r="57" spans="1:9" x14ac:dyDescent="0.2">
      <c r="A57" t="str">
        <f>Summary!$G$9</f>
        <v>Contractor</v>
      </c>
    </row>
    <row r="61" spans="1:9" x14ac:dyDescent="0.2">
      <c r="C61" s="494" t="str">
        <f>Summary!$G$10</f>
        <v>Construction Manager</v>
      </c>
      <c r="D61" s="494"/>
      <c r="E61" s="494"/>
    </row>
  </sheetData>
  <mergeCells count="12">
    <mergeCell ref="C61:E61"/>
    <mergeCell ref="C50:D50"/>
    <mergeCell ref="C51:D51"/>
    <mergeCell ref="C52:D52"/>
    <mergeCell ref="C53:D53"/>
    <mergeCell ref="C54:D54"/>
    <mergeCell ref="C30:E30"/>
    <mergeCell ref="C19:D19"/>
    <mergeCell ref="C20:D20"/>
    <mergeCell ref="C21:D21"/>
    <mergeCell ref="C22:D22"/>
    <mergeCell ref="C23:D23"/>
  </mergeCells>
  <phoneticPr fontId="26" type="noConversion"/>
  <pageMargins left="1.8811023622047243" right="0.70000000000000007" top="1.34" bottom="0.75000000000000011" header="0.30000000000000004" footer="0.30000000000000004"/>
  <pageSetup scale="90" orientation="landscape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3"/>
  <sheetViews>
    <sheetView workbookViewId="0">
      <selection activeCell="H128" sqref="H128:L130"/>
    </sheetView>
  </sheetViews>
  <sheetFormatPr baseColWidth="10" defaultColWidth="8.83203125" defaultRowHeight="15" x14ac:dyDescent="0.2"/>
  <cols>
    <col min="1" max="1" width="10.5" customWidth="1"/>
    <col min="2" max="2" width="39.1640625" customWidth="1"/>
    <col min="3" max="3" width="8.33203125" customWidth="1"/>
    <col min="4" max="4" width="10" bestFit="1" customWidth="1"/>
    <col min="5" max="5" width="8" customWidth="1"/>
    <col min="6" max="6" width="14.33203125" customWidth="1"/>
  </cols>
  <sheetData>
    <row r="1" spans="1:6" x14ac:dyDescent="0.2">
      <c r="A1" s="5" t="str">
        <f>Summary!$G$11</f>
        <v>PIPELINE PROJECT</v>
      </c>
    </row>
    <row r="13" spans="1:6" ht="16" x14ac:dyDescent="0.2">
      <c r="A13" s="157" t="s">
        <v>89</v>
      </c>
    </row>
    <row r="14" spans="1:6" x14ac:dyDescent="0.2">
      <c r="A14" s="5"/>
    </row>
    <row r="16" spans="1:6" x14ac:dyDescent="0.2">
      <c r="A16" t="s">
        <v>0</v>
      </c>
      <c r="E16" s="2" t="s">
        <v>11</v>
      </c>
      <c r="F16" s="3">
        <v>42353</v>
      </c>
    </row>
    <row r="17" spans="1:6" x14ac:dyDescent="0.2">
      <c r="A17" t="s">
        <v>1</v>
      </c>
      <c r="B17" s="4" t="s">
        <v>324</v>
      </c>
    </row>
    <row r="19" spans="1:6" x14ac:dyDescent="0.2">
      <c r="A19" s="9" t="s">
        <v>2</v>
      </c>
      <c r="B19" s="10"/>
      <c r="C19" s="11" t="s">
        <v>4</v>
      </c>
      <c r="D19" s="11" t="s">
        <v>3</v>
      </c>
      <c r="E19" s="11" t="s">
        <v>8</v>
      </c>
      <c r="F19" s="12" t="s">
        <v>5</v>
      </c>
    </row>
    <row r="20" spans="1:6" ht="14.5" customHeight="1" x14ac:dyDescent="0.2">
      <c r="A20" s="352" t="s">
        <v>325</v>
      </c>
      <c r="B20" s="360" t="s">
        <v>326</v>
      </c>
      <c r="C20" s="14"/>
      <c r="D20" s="15"/>
      <c r="E20" s="16"/>
      <c r="F20" s="17"/>
    </row>
    <row r="21" spans="1:6" x14ac:dyDescent="0.2">
      <c r="A21" s="18"/>
      <c r="B21" s="361" t="s">
        <v>327</v>
      </c>
      <c r="C21" s="19" t="s">
        <v>328</v>
      </c>
      <c r="D21" s="20">
        <v>10</v>
      </c>
      <c r="E21" s="46"/>
      <c r="F21" s="17"/>
    </row>
    <row r="22" spans="1:6" x14ac:dyDescent="0.2">
      <c r="A22" s="18"/>
      <c r="B22" s="361" t="s">
        <v>329</v>
      </c>
      <c r="C22" s="19" t="s">
        <v>328</v>
      </c>
      <c r="D22" s="20">
        <v>14</v>
      </c>
      <c r="E22" s="46">
        <v>60</v>
      </c>
      <c r="F22" s="17">
        <f t="shared" ref="F22" si="0">E22*D22</f>
        <v>840</v>
      </c>
    </row>
    <row r="23" spans="1:6" ht="14.5" customHeight="1" x14ac:dyDescent="0.2">
      <c r="A23" s="18"/>
      <c r="B23" s="361" t="s">
        <v>330</v>
      </c>
      <c r="C23" s="19" t="s">
        <v>328</v>
      </c>
      <c r="D23" s="20">
        <v>19</v>
      </c>
      <c r="E23" s="46"/>
      <c r="F23" s="17"/>
    </row>
    <row r="24" spans="1:6" x14ac:dyDescent="0.2">
      <c r="A24" s="22"/>
      <c r="B24" s="361" t="s">
        <v>331</v>
      </c>
      <c r="C24" s="19" t="s">
        <v>328</v>
      </c>
      <c r="D24" s="20">
        <v>24</v>
      </c>
      <c r="E24" s="47"/>
      <c r="F24" s="17"/>
    </row>
    <row r="25" spans="1:6" x14ac:dyDescent="0.2">
      <c r="A25" s="22"/>
      <c r="B25" s="361" t="s">
        <v>332</v>
      </c>
      <c r="C25" s="19" t="s">
        <v>328</v>
      </c>
      <c r="D25" s="20">
        <v>39</v>
      </c>
      <c r="E25" s="47"/>
      <c r="F25" s="17"/>
    </row>
    <row r="26" spans="1:6" x14ac:dyDescent="0.2">
      <c r="A26" s="22"/>
      <c r="B26" s="22"/>
      <c r="C26" s="22"/>
      <c r="D26" s="22"/>
      <c r="E26" s="47"/>
      <c r="F26" s="23"/>
    </row>
    <row r="27" spans="1:6" x14ac:dyDescent="0.2">
      <c r="A27" s="22"/>
      <c r="B27" s="22"/>
      <c r="C27" s="22"/>
      <c r="D27" s="22"/>
      <c r="E27" s="47"/>
      <c r="F27" s="23"/>
    </row>
    <row r="28" spans="1:6" x14ac:dyDescent="0.2">
      <c r="A28" s="24"/>
      <c r="B28" s="24"/>
      <c r="C28" s="24"/>
      <c r="D28" s="24"/>
      <c r="E28" s="48"/>
      <c r="F28" s="25"/>
    </row>
    <row r="29" spans="1:6" x14ac:dyDescent="0.2">
      <c r="E29" s="26" t="s">
        <v>12</v>
      </c>
      <c r="F29" s="27">
        <f>SUM(F20:F28)</f>
        <v>840</v>
      </c>
    </row>
    <row r="31" spans="1:6" x14ac:dyDescent="0.2">
      <c r="A31" t="str">
        <f>Summary!$G$9</f>
        <v>Contractor</v>
      </c>
    </row>
    <row r="35" spans="1:6" x14ac:dyDescent="0.2">
      <c r="C35" s="494" t="str">
        <f>Summary!$G$10</f>
        <v>Construction Manager</v>
      </c>
      <c r="D35" s="494"/>
      <c r="E35" s="494"/>
      <c r="F35" s="494"/>
    </row>
    <row r="37" spans="1:6" x14ac:dyDescent="0.2">
      <c r="A37" s="5" t="str">
        <f>Summary!$G$11</f>
        <v>PIPELINE PROJECT</v>
      </c>
    </row>
    <row r="49" spans="1:6" ht="16" x14ac:dyDescent="0.2">
      <c r="A49" s="157" t="s">
        <v>89</v>
      </c>
    </row>
    <row r="50" spans="1:6" x14ac:dyDescent="0.2">
      <c r="A50" s="5"/>
    </row>
    <row r="52" spans="1:6" x14ac:dyDescent="0.2">
      <c r="A52" t="s">
        <v>0</v>
      </c>
      <c r="E52" s="2" t="s">
        <v>11</v>
      </c>
      <c r="F52" s="3">
        <v>42369</v>
      </c>
    </row>
    <row r="53" spans="1:6" x14ac:dyDescent="0.2">
      <c r="A53" t="s">
        <v>1</v>
      </c>
      <c r="B53" s="4" t="s">
        <v>324</v>
      </c>
    </row>
    <row r="55" spans="1:6" x14ac:dyDescent="0.2">
      <c r="A55" s="9" t="s">
        <v>2</v>
      </c>
      <c r="B55" s="10"/>
      <c r="C55" s="11" t="s">
        <v>4</v>
      </c>
      <c r="D55" s="11" t="s">
        <v>3</v>
      </c>
      <c r="E55" s="11" t="s">
        <v>8</v>
      </c>
      <c r="F55" s="12" t="s">
        <v>5</v>
      </c>
    </row>
    <row r="56" spans="1:6" ht="14.5" customHeight="1" x14ac:dyDescent="0.2">
      <c r="A56" s="352" t="s">
        <v>325</v>
      </c>
      <c r="B56" s="360" t="s">
        <v>326</v>
      </c>
      <c r="C56" s="14"/>
      <c r="D56" s="15"/>
      <c r="E56" s="16"/>
      <c r="F56" s="17"/>
    </row>
    <row r="57" spans="1:6" x14ac:dyDescent="0.2">
      <c r="A57" s="18"/>
      <c r="B57" s="361" t="s">
        <v>327</v>
      </c>
      <c r="C57" s="19" t="s">
        <v>328</v>
      </c>
      <c r="D57" s="20">
        <v>10</v>
      </c>
      <c r="E57" s="46"/>
      <c r="F57" s="17"/>
    </row>
    <row r="58" spans="1:6" x14ac:dyDescent="0.2">
      <c r="A58" s="18"/>
      <c r="B58" s="361" t="s">
        <v>329</v>
      </c>
      <c r="C58" s="19" t="s">
        <v>328</v>
      </c>
      <c r="D58" s="20">
        <v>14</v>
      </c>
      <c r="E58" s="46"/>
      <c r="F58" s="17"/>
    </row>
    <row r="59" spans="1:6" ht="14.5" customHeight="1" x14ac:dyDescent="0.2">
      <c r="A59" s="18"/>
      <c r="B59" s="361" t="s">
        <v>330</v>
      </c>
      <c r="C59" s="19" t="s">
        <v>328</v>
      </c>
      <c r="D59" s="20">
        <v>19</v>
      </c>
      <c r="E59" s="46"/>
      <c r="F59" s="17"/>
    </row>
    <row r="60" spans="1:6" x14ac:dyDescent="0.2">
      <c r="A60" s="22"/>
      <c r="B60" s="361" t="s">
        <v>331</v>
      </c>
      <c r="C60" s="19" t="s">
        <v>328</v>
      </c>
      <c r="D60" s="20">
        <v>24</v>
      </c>
      <c r="E60" s="47"/>
      <c r="F60" s="17"/>
    </row>
    <row r="61" spans="1:6" x14ac:dyDescent="0.2">
      <c r="A61" s="22"/>
      <c r="B61" s="361" t="s">
        <v>332</v>
      </c>
      <c r="C61" s="19" t="s">
        <v>328</v>
      </c>
      <c r="D61" s="20">
        <v>39</v>
      </c>
      <c r="E61" s="47">
        <v>12</v>
      </c>
      <c r="F61" s="17">
        <f t="shared" ref="F61" si="1">E61*D61</f>
        <v>468</v>
      </c>
    </row>
    <row r="62" spans="1:6" x14ac:dyDescent="0.2">
      <c r="A62" s="22"/>
      <c r="B62" s="22"/>
      <c r="C62" s="22"/>
      <c r="D62" s="22"/>
      <c r="E62" s="47"/>
      <c r="F62" s="23"/>
    </row>
    <row r="63" spans="1:6" x14ac:dyDescent="0.2">
      <c r="A63" s="22"/>
      <c r="B63" s="22"/>
      <c r="C63" s="22"/>
      <c r="D63" s="22"/>
      <c r="E63" s="47"/>
      <c r="F63" s="23"/>
    </row>
    <row r="64" spans="1:6" x14ac:dyDescent="0.2">
      <c r="A64" s="24"/>
      <c r="B64" s="24"/>
      <c r="C64" s="24"/>
      <c r="D64" s="24"/>
      <c r="E64" s="48"/>
      <c r="F64" s="25"/>
    </row>
    <row r="65" spans="1:6" x14ac:dyDescent="0.2">
      <c r="E65" s="26" t="s">
        <v>12</v>
      </c>
      <c r="F65" s="27">
        <f>SUM(F56:F64)</f>
        <v>468</v>
      </c>
    </row>
    <row r="67" spans="1:6" x14ac:dyDescent="0.2">
      <c r="A67" t="str">
        <f>Summary!$G$9</f>
        <v>Contractor</v>
      </c>
    </row>
    <row r="71" spans="1:6" x14ac:dyDescent="0.2">
      <c r="C71" s="494" t="str">
        <f>Summary!$G$10</f>
        <v>Construction Manager</v>
      </c>
      <c r="D71" s="494"/>
      <c r="E71" s="494"/>
      <c r="F71" s="494"/>
    </row>
    <row r="73" spans="1:6" x14ac:dyDescent="0.2">
      <c r="A73" s="5" t="str">
        <f>Summary!$G$11</f>
        <v>PIPELINE PROJECT</v>
      </c>
    </row>
    <row r="85" spans="1:12" ht="16" x14ac:dyDescent="0.2">
      <c r="A85" s="157" t="s">
        <v>89</v>
      </c>
    </row>
    <row r="86" spans="1:12" x14ac:dyDescent="0.2">
      <c r="A86" s="5"/>
    </row>
    <row r="88" spans="1:12" x14ac:dyDescent="0.2">
      <c r="A88" t="s">
        <v>0</v>
      </c>
      <c r="E88" s="2" t="s">
        <v>11</v>
      </c>
      <c r="F88" s="3">
        <v>42490</v>
      </c>
    </row>
    <row r="89" spans="1:12" x14ac:dyDescent="0.2">
      <c r="A89" t="s">
        <v>1</v>
      </c>
      <c r="B89" s="4" t="s">
        <v>324</v>
      </c>
    </row>
    <row r="91" spans="1:12" x14ac:dyDescent="0.2">
      <c r="A91" s="9" t="s">
        <v>2</v>
      </c>
      <c r="B91" s="10"/>
      <c r="C91" s="11" t="s">
        <v>4</v>
      </c>
      <c r="D91" s="11" t="s">
        <v>3</v>
      </c>
      <c r="E91" s="11" t="s">
        <v>8</v>
      </c>
      <c r="F91" s="12" t="s">
        <v>5</v>
      </c>
    </row>
    <row r="92" spans="1:12" ht="14.5" customHeight="1" x14ac:dyDescent="0.2">
      <c r="A92" s="352" t="s">
        <v>325</v>
      </c>
      <c r="B92" s="360" t="s">
        <v>326</v>
      </c>
      <c r="C92" s="14"/>
      <c r="D92" s="15"/>
      <c r="E92" s="16"/>
      <c r="F92" s="17"/>
    </row>
    <row r="93" spans="1:12" x14ac:dyDescent="0.2">
      <c r="A93" s="18"/>
      <c r="B93" s="361" t="s">
        <v>327</v>
      </c>
      <c r="C93" s="19" t="s">
        <v>328</v>
      </c>
      <c r="D93" s="20">
        <v>10</v>
      </c>
      <c r="E93" s="46">
        <f>L93</f>
        <v>23.606000000000002</v>
      </c>
      <c r="F93" s="17">
        <f t="shared" ref="F93:F94" si="2">E93*D93</f>
        <v>236.06</v>
      </c>
      <c r="H93">
        <v>5.99</v>
      </c>
      <c r="I93">
        <v>10.069000000000001</v>
      </c>
      <c r="J93">
        <v>3.4470000000000001</v>
      </c>
      <c r="K93">
        <v>4.0999999999999996</v>
      </c>
      <c r="L93">
        <f>SUM(H93:K93)</f>
        <v>23.606000000000002</v>
      </c>
    </row>
    <row r="94" spans="1:12" x14ac:dyDescent="0.2">
      <c r="A94" s="18"/>
      <c r="B94" s="361" t="s">
        <v>329</v>
      </c>
      <c r="C94" s="19" t="s">
        <v>328</v>
      </c>
      <c r="D94" s="20">
        <v>14</v>
      </c>
      <c r="E94" s="46">
        <f>L94</f>
        <v>3.4489999999999998</v>
      </c>
      <c r="F94" s="17">
        <f t="shared" si="2"/>
        <v>48.286000000000001</v>
      </c>
      <c r="H94">
        <v>1.2589999999999999</v>
      </c>
      <c r="I94">
        <v>2.19</v>
      </c>
      <c r="L94">
        <f>SUM(H94:K94)</f>
        <v>3.4489999999999998</v>
      </c>
    </row>
    <row r="95" spans="1:12" ht="14.5" customHeight="1" x14ac:dyDescent="0.2">
      <c r="A95" s="18"/>
      <c r="B95" s="361" t="s">
        <v>330</v>
      </c>
      <c r="C95" s="19" t="s">
        <v>328</v>
      </c>
      <c r="D95" s="20">
        <v>19</v>
      </c>
      <c r="E95" s="46"/>
      <c r="F95" s="17"/>
    </row>
    <row r="96" spans="1:12" x14ac:dyDescent="0.2">
      <c r="A96" s="22"/>
      <c r="B96" s="361" t="s">
        <v>331</v>
      </c>
      <c r="C96" s="19" t="s">
        <v>328</v>
      </c>
      <c r="D96" s="20">
        <v>24</v>
      </c>
      <c r="E96" s="47"/>
      <c r="F96" s="17"/>
    </row>
    <row r="97" spans="1:6" x14ac:dyDescent="0.2">
      <c r="A97" s="22"/>
      <c r="B97" s="361" t="s">
        <v>332</v>
      </c>
      <c r="C97" s="19" t="s">
        <v>328</v>
      </c>
      <c r="D97" s="20">
        <v>39</v>
      </c>
      <c r="E97" s="47"/>
      <c r="F97" s="17"/>
    </row>
    <row r="98" spans="1:6" x14ac:dyDescent="0.2">
      <c r="A98" s="22"/>
      <c r="B98" s="22"/>
      <c r="C98" s="22"/>
      <c r="D98" s="22"/>
      <c r="E98" s="47"/>
      <c r="F98" s="23"/>
    </row>
    <row r="99" spans="1:6" x14ac:dyDescent="0.2">
      <c r="A99" s="22"/>
      <c r="B99" s="22"/>
      <c r="C99" s="22"/>
      <c r="D99" s="22" t="s">
        <v>994</v>
      </c>
      <c r="E99" s="47">
        <f>SUM(E93:E98)</f>
        <v>27.055</v>
      </c>
      <c r="F99" s="23"/>
    </row>
    <row r="100" spans="1:6" x14ac:dyDescent="0.2">
      <c r="A100" s="24"/>
      <c r="B100" s="24"/>
      <c r="C100" s="24"/>
      <c r="D100" s="24"/>
      <c r="E100" s="48"/>
      <c r="F100" s="25"/>
    </row>
    <row r="101" spans="1:6" x14ac:dyDescent="0.2">
      <c r="E101" s="26" t="s">
        <v>12</v>
      </c>
      <c r="F101" s="27">
        <f>SUM(F92:F100)</f>
        <v>284.346</v>
      </c>
    </row>
    <row r="103" spans="1:6" x14ac:dyDescent="0.2">
      <c r="A103" t="str">
        <f>Summary!$G$9</f>
        <v>Contractor</v>
      </c>
    </row>
    <row r="107" spans="1:6" x14ac:dyDescent="0.2">
      <c r="C107" s="494" t="str">
        <f>Summary!$G$10</f>
        <v>Construction Manager</v>
      </c>
      <c r="D107" s="494"/>
      <c r="E107" s="494"/>
      <c r="F107" s="494"/>
    </row>
    <row r="109" spans="1:6" x14ac:dyDescent="0.2">
      <c r="A109" s="5" t="str">
        <f>Summary!$G$11</f>
        <v>PIPELINE PROJECT</v>
      </c>
    </row>
    <row r="121" spans="1:6" ht="16" x14ac:dyDescent="0.2">
      <c r="A121" s="157" t="s">
        <v>89</v>
      </c>
    </row>
    <row r="122" spans="1:6" x14ac:dyDescent="0.2">
      <c r="A122" s="5"/>
    </row>
    <row r="124" spans="1:6" x14ac:dyDescent="0.2">
      <c r="A124" t="s">
        <v>0</v>
      </c>
      <c r="E124" s="2" t="s">
        <v>11</v>
      </c>
      <c r="F124" s="3">
        <f>Summary!$G$3</f>
        <v>42505</v>
      </c>
    </row>
    <row r="125" spans="1:6" x14ac:dyDescent="0.2">
      <c r="A125" t="s">
        <v>1</v>
      </c>
      <c r="B125" s="4" t="s">
        <v>324</v>
      </c>
    </row>
    <row r="127" spans="1:6" x14ac:dyDescent="0.2">
      <c r="A127" s="9" t="s">
        <v>2</v>
      </c>
      <c r="B127" s="10"/>
      <c r="C127" s="11" t="s">
        <v>4</v>
      </c>
      <c r="D127" s="11" t="s">
        <v>3</v>
      </c>
      <c r="E127" s="11" t="s">
        <v>8</v>
      </c>
      <c r="F127" s="12" t="s">
        <v>5</v>
      </c>
    </row>
    <row r="128" spans="1:6" ht="14.5" customHeight="1" x14ac:dyDescent="0.2">
      <c r="A128" s="352" t="s">
        <v>325</v>
      </c>
      <c r="B128" s="360" t="s">
        <v>326</v>
      </c>
      <c r="C128" s="14"/>
      <c r="D128" s="15"/>
      <c r="E128" s="16"/>
      <c r="F128" s="17"/>
    </row>
    <row r="129" spans="1:6" x14ac:dyDescent="0.2">
      <c r="A129" s="18"/>
      <c r="B129" s="361" t="s">
        <v>327</v>
      </c>
      <c r="C129" s="19" t="s">
        <v>328</v>
      </c>
      <c r="D129" s="20">
        <v>10</v>
      </c>
      <c r="E129" s="46"/>
      <c r="F129" s="17">
        <f t="shared" ref="F129:F130" si="3">E129*D129</f>
        <v>0</v>
      </c>
    </row>
    <row r="130" spans="1:6" x14ac:dyDescent="0.2">
      <c r="A130" s="18"/>
      <c r="B130" s="361" t="s">
        <v>329</v>
      </c>
      <c r="C130" s="19" t="s">
        <v>328</v>
      </c>
      <c r="D130" s="20">
        <v>14</v>
      </c>
      <c r="E130" s="46"/>
      <c r="F130" s="17">
        <f t="shared" si="3"/>
        <v>0</v>
      </c>
    </row>
    <row r="131" spans="1:6" ht="14.5" customHeight="1" x14ac:dyDescent="0.2">
      <c r="A131" s="18"/>
      <c r="B131" s="361" t="s">
        <v>330</v>
      </c>
      <c r="C131" s="19" t="s">
        <v>328</v>
      </c>
      <c r="D131" s="20">
        <v>19</v>
      </c>
      <c r="E131" s="46"/>
      <c r="F131" s="17"/>
    </row>
    <row r="132" spans="1:6" x14ac:dyDescent="0.2">
      <c r="A132" s="22"/>
      <c r="B132" s="361" t="s">
        <v>331</v>
      </c>
      <c r="C132" s="19" t="s">
        <v>328</v>
      </c>
      <c r="D132" s="20">
        <v>24</v>
      </c>
      <c r="E132" s="47"/>
      <c r="F132" s="17"/>
    </row>
    <row r="133" spans="1:6" x14ac:dyDescent="0.2">
      <c r="A133" s="22"/>
      <c r="B133" s="361" t="s">
        <v>332</v>
      </c>
      <c r="C133" s="19" t="s">
        <v>328</v>
      </c>
      <c r="D133" s="20">
        <v>39</v>
      </c>
      <c r="E133" s="47"/>
      <c r="F133" s="17"/>
    </row>
    <row r="134" spans="1:6" x14ac:dyDescent="0.2">
      <c r="A134" s="22"/>
      <c r="B134" s="22"/>
      <c r="C134" s="22"/>
      <c r="D134" s="22"/>
      <c r="E134" s="47"/>
      <c r="F134" s="23"/>
    </row>
    <row r="135" spans="1:6" x14ac:dyDescent="0.2">
      <c r="A135" s="22"/>
      <c r="B135" s="22"/>
      <c r="C135" s="22"/>
      <c r="D135" s="22" t="s">
        <v>994</v>
      </c>
      <c r="E135" s="47">
        <f>SUM(E129:E134)</f>
        <v>0</v>
      </c>
      <c r="F135" s="23"/>
    </row>
    <row r="136" spans="1:6" x14ac:dyDescent="0.2">
      <c r="A136" s="24"/>
      <c r="B136" s="24"/>
      <c r="C136" s="24"/>
      <c r="D136" s="24"/>
      <c r="E136" s="48"/>
      <c r="F136" s="25"/>
    </row>
    <row r="137" spans="1:6" x14ac:dyDescent="0.2">
      <c r="E137" s="26" t="s">
        <v>12</v>
      </c>
      <c r="F137" s="27">
        <f>SUM(F128:F136)</f>
        <v>0</v>
      </c>
    </row>
    <row r="139" spans="1:6" x14ac:dyDescent="0.2">
      <c r="A139" t="str">
        <f>Summary!$G$9</f>
        <v>Contractor</v>
      </c>
    </row>
    <row r="143" spans="1:6" x14ac:dyDescent="0.2">
      <c r="C143" s="494" t="str">
        <f>Summary!$G$10</f>
        <v>Construction Manager</v>
      </c>
      <c r="D143" s="494"/>
      <c r="E143" s="494"/>
      <c r="F143" s="494"/>
    </row>
  </sheetData>
  <mergeCells count="4">
    <mergeCell ref="C35:F35"/>
    <mergeCell ref="C71:F71"/>
    <mergeCell ref="C107:F107"/>
    <mergeCell ref="C143:F143"/>
  </mergeCells>
  <phoneticPr fontId="26" type="noConversion"/>
  <pageMargins left="1.88" right="0.70000000000000007" top="0.74944881889763793" bottom="0.75000000000000011" header="0.30000000000000004" footer="0.30000000000000004"/>
  <pageSetup scale="94" orientation="landscape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9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10" customWidth="1"/>
    <col min="2" max="2" width="38.1640625" customWidth="1"/>
    <col min="3" max="3" width="9.5" customWidth="1"/>
    <col min="4" max="4" width="9.1640625" bestFit="1" customWidth="1"/>
    <col min="5" max="5" width="8" customWidth="1"/>
    <col min="6" max="6" width="13.1640625" customWidth="1"/>
  </cols>
  <sheetData>
    <row r="1" spans="1:6" x14ac:dyDescent="0.2">
      <c r="A1" s="5" t="str">
        <f>Summary!$G$11</f>
        <v>PIPELINE PROJECT</v>
      </c>
    </row>
    <row r="13" spans="1:6" ht="16" x14ac:dyDescent="0.2">
      <c r="A13" s="157" t="s">
        <v>89</v>
      </c>
    </row>
    <row r="14" spans="1:6" x14ac:dyDescent="0.2">
      <c r="A14" s="5"/>
    </row>
    <row r="16" spans="1:6" x14ac:dyDescent="0.2">
      <c r="A16" t="s">
        <v>0</v>
      </c>
      <c r="E16" s="2" t="s">
        <v>64</v>
      </c>
      <c r="F16" s="3">
        <v>42353</v>
      </c>
    </row>
    <row r="17" spans="1:6" x14ac:dyDescent="0.2">
      <c r="A17" t="s">
        <v>1</v>
      </c>
      <c r="B17" s="7" t="s">
        <v>292</v>
      </c>
    </row>
    <row r="19" spans="1:6" x14ac:dyDescent="0.2">
      <c r="A19" s="9" t="s">
        <v>2</v>
      </c>
      <c r="B19" s="10"/>
      <c r="C19" s="11" t="s">
        <v>4</v>
      </c>
      <c r="D19" s="11" t="s">
        <v>3</v>
      </c>
      <c r="E19" s="11" t="s">
        <v>8</v>
      </c>
      <c r="F19" s="12" t="s">
        <v>260</v>
      </c>
    </row>
    <row r="20" spans="1:6" ht="14.5" customHeight="1" x14ac:dyDescent="0.2">
      <c r="A20" s="352" t="s">
        <v>293</v>
      </c>
      <c r="B20" s="115" t="s">
        <v>294</v>
      </c>
      <c r="C20" s="14"/>
      <c r="D20" s="15"/>
      <c r="E20" s="116"/>
      <c r="F20" s="17"/>
    </row>
    <row r="21" spans="1:6" x14ac:dyDescent="0.2">
      <c r="A21" s="18"/>
      <c r="B21" s="21" t="s">
        <v>298</v>
      </c>
      <c r="C21" s="19" t="s">
        <v>297</v>
      </c>
      <c r="D21" s="20">
        <v>1625</v>
      </c>
      <c r="E21" s="36">
        <v>5</v>
      </c>
      <c r="F21" s="17">
        <f t="shared" ref="F21:F23" si="0">E21*D21</f>
        <v>8125</v>
      </c>
    </row>
    <row r="22" spans="1:6" x14ac:dyDescent="0.2">
      <c r="A22" s="18"/>
      <c r="B22" s="21" t="s">
        <v>295</v>
      </c>
      <c r="C22" s="19" t="s">
        <v>299</v>
      </c>
      <c r="D22" s="20">
        <v>7785</v>
      </c>
      <c r="E22" s="36">
        <v>0.33333299999999999</v>
      </c>
      <c r="F22" s="17">
        <f t="shared" si="0"/>
        <v>2594.9974050000001</v>
      </c>
    </row>
    <row r="23" spans="1:6" ht="14.5" customHeight="1" x14ac:dyDescent="0.2">
      <c r="A23" s="18"/>
      <c r="B23" s="21" t="s">
        <v>296</v>
      </c>
      <c r="C23" s="19" t="s">
        <v>299</v>
      </c>
      <c r="D23" s="20">
        <v>3960</v>
      </c>
      <c r="E23" s="36"/>
      <c r="F23" s="17">
        <f t="shared" si="0"/>
        <v>0</v>
      </c>
    </row>
    <row r="24" spans="1:6" x14ac:dyDescent="0.2">
      <c r="A24" s="22"/>
      <c r="B24" s="22"/>
      <c r="C24" s="19"/>
      <c r="D24" s="20"/>
      <c r="E24" s="22"/>
      <c r="F24" s="17"/>
    </row>
    <row r="25" spans="1:6" x14ac:dyDescent="0.2">
      <c r="A25" s="24"/>
      <c r="B25" s="24"/>
      <c r="C25" s="136"/>
      <c r="D25" s="137"/>
      <c r="E25" s="22"/>
      <c r="F25" s="17"/>
    </row>
    <row r="26" spans="1:6" x14ac:dyDescent="0.2">
      <c r="E26" s="26" t="s">
        <v>12</v>
      </c>
      <c r="F26" s="27">
        <f>SUM(F20:F25)</f>
        <v>10719.997405</v>
      </c>
    </row>
    <row r="28" spans="1:6" x14ac:dyDescent="0.2">
      <c r="A28" t="str">
        <f>Summary!$G$9</f>
        <v>Contractor</v>
      </c>
    </row>
    <row r="32" spans="1:6" x14ac:dyDescent="0.2">
      <c r="C32" s="494" t="str">
        <f>Summary!$G$10</f>
        <v>Construction Manager</v>
      </c>
      <c r="D32" s="494"/>
      <c r="E32" s="494"/>
      <c r="F32" s="494"/>
    </row>
    <row r="38" spans="1:1" x14ac:dyDescent="0.2">
      <c r="A38" s="5" t="str">
        <f>Summary!$G$11</f>
        <v>PIPELINE PROJECT</v>
      </c>
    </row>
    <row r="50" spans="1:6" ht="16" x14ac:dyDescent="0.2">
      <c r="A50" s="157" t="s">
        <v>89</v>
      </c>
    </row>
    <row r="51" spans="1:6" x14ac:dyDescent="0.2">
      <c r="A51" s="5"/>
    </row>
    <row r="53" spans="1:6" x14ac:dyDescent="0.2">
      <c r="A53" t="s">
        <v>0</v>
      </c>
      <c r="E53" s="2" t="s">
        <v>64</v>
      </c>
      <c r="F53" s="3">
        <f>Summary!$G$3</f>
        <v>42505</v>
      </c>
    </row>
    <row r="54" spans="1:6" x14ac:dyDescent="0.2">
      <c r="A54" t="s">
        <v>1</v>
      </c>
      <c r="B54" s="7" t="s">
        <v>292</v>
      </c>
    </row>
    <row r="56" spans="1:6" x14ac:dyDescent="0.2">
      <c r="A56" s="9" t="s">
        <v>2</v>
      </c>
      <c r="B56" s="10"/>
      <c r="C56" s="11" t="s">
        <v>4</v>
      </c>
      <c r="D56" s="11" t="s">
        <v>3</v>
      </c>
      <c r="E56" s="11" t="s">
        <v>8</v>
      </c>
      <c r="F56" s="12" t="s">
        <v>260</v>
      </c>
    </row>
    <row r="57" spans="1:6" ht="14.5" customHeight="1" x14ac:dyDescent="0.2">
      <c r="A57" s="352" t="s">
        <v>293</v>
      </c>
      <c r="B57" s="115" t="s">
        <v>294</v>
      </c>
      <c r="C57" s="14"/>
      <c r="D57" s="15"/>
      <c r="E57" s="116"/>
      <c r="F57" s="17"/>
    </row>
    <row r="58" spans="1:6" x14ac:dyDescent="0.2">
      <c r="A58" s="18"/>
      <c r="B58" s="21" t="s">
        <v>298</v>
      </c>
      <c r="C58" s="19" t="s">
        <v>297</v>
      </c>
      <c r="D58" s="20">
        <v>1625</v>
      </c>
      <c r="E58" s="36"/>
      <c r="F58" s="17">
        <f t="shared" ref="F58:F60" si="1">E58*D58</f>
        <v>0</v>
      </c>
    </row>
    <row r="59" spans="1:6" x14ac:dyDescent="0.2">
      <c r="A59" s="18"/>
      <c r="B59" s="21" t="s">
        <v>295</v>
      </c>
      <c r="C59" s="19" t="s">
        <v>299</v>
      </c>
      <c r="D59" s="20">
        <v>7785</v>
      </c>
      <c r="E59" s="36"/>
      <c r="F59" s="17">
        <f t="shared" si="1"/>
        <v>0</v>
      </c>
    </row>
    <row r="60" spans="1:6" ht="14.5" customHeight="1" x14ac:dyDescent="0.2">
      <c r="A60" s="18"/>
      <c r="B60" s="21" t="s">
        <v>296</v>
      </c>
      <c r="C60" s="19" t="s">
        <v>299</v>
      </c>
      <c r="D60" s="20">
        <v>3960</v>
      </c>
      <c r="E60" s="36"/>
      <c r="F60" s="17">
        <f t="shared" si="1"/>
        <v>0</v>
      </c>
    </row>
    <row r="61" spans="1:6" x14ac:dyDescent="0.2">
      <c r="A61" s="22"/>
      <c r="B61" s="22"/>
      <c r="C61" s="19"/>
      <c r="D61" s="20"/>
      <c r="E61" s="22"/>
      <c r="F61" s="17"/>
    </row>
    <row r="62" spans="1:6" x14ac:dyDescent="0.2">
      <c r="A62" s="24"/>
      <c r="B62" s="24"/>
      <c r="C62" s="136"/>
      <c r="D62" s="137"/>
      <c r="E62" s="22"/>
      <c r="F62" s="17"/>
    </row>
    <row r="63" spans="1:6" x14ac:dyDescent="0.2">
      <c r="E63" s="26" t="s">
        <v>12</v>
      </c>
      <c r="F63" s="27">
        <f>SUM(F57:F62)</f>
        <v>0</v>
      </c>
    </row>
    <row r="65" spans="1:6" x14ac:dyDescent="0.2">
      <c r="A65" t="str">
        <f>Summary!$G$9</f>
        <v>Contractor</v>
      </c>
    </row>
    <row r="69" spans="1:6" x14ac:dyDescent="0.2">
      <c r="C69" s="494" t="str">
        <f>Summary!$G$10</f>
        <v>Construction Manager</v>
      </c>
      <c r="D69" s="494"/>
      <c r="E69" s="494"/>
      <c r="F69" s="494"/>
    </row>
  </sheetData>
  <mergeCells count="2">
    <mergeCell ref="C32:F32"/>
    <mergeCell ref="C69:F69"/>
  </mergeCells>
  <phoneticPr fontId="26" type="noConversion"/>
  <pageMargins left="1.8811023622047243" right="0.70000000000000007" top="1.34" bottom="0.75000000000000011" header="0.30000000000000004" footer="0.30000000000000004"/>
  <pageSetup scale="90" orientation="landscape" verticalDpi="1200"/>
  <rowBreaks count="1" manualBreakCount="1">
    <brk id="36" max="16383" man="1"/>
  </rowBreaks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1"/>
  <sheetViews>
    <sheetView workbookViewId="0">
      <selection activeCell="F58" sqref="F58"/>
    </sheetView>
  </sheetViews>
  <sheetFormatPr baseColWidth="10" defaultColWidth="8.83203125" defaultRowHeight="15" x14ac:dyDescent="0.2"/>
  <cols>
    <col min="1" max="1" width="10" customWidth="1"/>
    <col min="2" max="2" width="36.6640625" customWidth="1"/>
    <col min="3" max="3" width="12.6640625" customWidth="1"/>
    <col min="4" max="4" width="8.5" customWidth="1"/>
    <col min="5" max="5" width="8" customWidth="1"/>
    <col min="6" max="6" width="13.6640625" customWidth="1"/>
  </cols>
  <sheetData>
    <row r="1" spans="1:6" x14ac:dyDescent="0.2">
      <c r="A1" s="5" t="str">
        <f>Summary!$G$11</f>
        <v>PIPELINE PROJECT</v>
      </c>
    </row>
    <row r="13" spans="1:6" ht="16" x14ac:dyDescent="0.2">
      <c r="A13" s="157" t="s">
        <v>89</v>
      </c>
    </row>
    <row r="14" spans="1:6" x14ac:dyDescent="0.2">
      <c r="A14" s="5"/>
    </row>
    <row r="16" spans="1:6" x14ac:dyDescent="0.2">
      <c r="A16" t="s">
        <v>0</v>
      </c>
      <c r="E16" s="2" t="s">
        <v>338</v>
      </c>
      <c r="F16" s="3">
        <v>42415</v>
      </c>
    </row>
    <row r="17" spans="1:6" x14ac:dyDescent="0.2">
      <c r="A17" t="s">
        <v>1</v>
      </c>
      <c r="B17" s="7" t="s">
        <v>516</v>
      </c>
    </row>
    <row r="19" spans="1:6" x14ac:dyDescent="0.2">
      <c r="A19" s="9" t="s">
        <v>2</v>
      </c>
      <c r="B19" s="10"/>
      <c r="C19" s="11" t="s">
        <v>4</v>
      </c>
      <c r="D19" s="11" t="s">
        <v>3</v>
      </c>
      <c r="E19" s="11" t="s">
        <v>8</v>
      </c>
      <c r="F19" s="12" t="s">
        <v>5</v>
      </c>
    </row>
    <row r="20" spans="1:6" ht="14.5" customHeight="1" x14ac:dyDescent="0.2">
      <c r="A20" s="352" t="s">
        <v>517</v>
      </c>
      <c r="B20" s="125" t="s">
        <v>518</v>
      </c>
      <c r="C20" s="14" t="s">
        <v>521</v>
      </c>
      <c r="D20" s="15">
        <v>3890</v>
      </c>
      <c r="E20" s="116">
        <v>2</v>
      </c>
      <c r="F20" s="17">
        <f>E20*D20</f>
        <v>7780</v>
      </c>
    </row>
    <row r="21" spans="1:6" x14ac:dyDescent="0.2">
      <c r="A21" s="18"/>
      <c r="B21" s="21" t="s">
        <v>519</v>
      </c>
      <c r="C21" s="19"/>
      <c r="D21" s="20"/>
      <c r="E21" s="36"/>
      <c r="F21" s="17"/>
    </row>
    <row r="22" spans="1:6" x14ac:dyDescent="0.2">
      <c r="A22" s="18"/>
      <c r="B22" s="21" t="s">
        <v>520</v>
      </c>
      <c r="C22" s="19"/>
      <c r="D22" s="20"/>
      <c r="E22" s="36"/>
      <c r="F22" s="17"/>
    </row>
    <row r="23" spans="1:6" ht="14.5" customHeight="1" x14ac:dyDescent="0.2">
      <c r="A23" s="18"/>
      <c r="B23" s="21"/>
      <c r="C23" s="19"/>
      <c r="D23" s="20"/>
      <c r="E23" s="36"/>
      <c r="F23" s="17"/>
    </row>
    <row r="24" spans="1:6" x14ac:dyDescent="0.2">
      <c r="A24" s="22"/>
      <c r="B24" s="22"/>
      <c r="C24" s="22"/>
      <c r="D24" s="22"/>
      <c r="E24" s="22"/>
      <c r="F24" s="23"/>
    </row>
    <row r="25" spans="1:6" x14ac:dyDescent="0.2">
      <c r="A25" s="22"/>
      <c r="B25" s="22"/>
      <c r="C25" s="22"/>
      <c r="D25" s="22"/>
      <c r="E25" s="22"/>
      <c r="F25" s="23"/>
    </row>
    <row r="26" spans="1:6" x14ac:dyDescent="0.2">
      <c r="A26" s="22"/>
      <c r="B26" s="22"/>
      <c r="C26" s="22"/>
      <c r="D26" s="22"/>
      <c r="E26" s="22"/>
      <c r="F26" s="23"/>
    </row>
    <row r="27" spans="1:6" x14ac:dyDescent="0.2">
      <c r="A27" s="22"/>
      <c r="B27" s="22"/>
      <c r="C27" s="22"/>
      <c r="D27" s="22"/>
      <c r="E27" s="22"/>
      <c r="F27" s="23"/>
    </row>
    <row r="28" spans="1:6" x14ac:dyDescent="0.2">
      <c r="A28" s="24"/>
      <c r="B28" s="24"/>
      <c r="C28" s="24"/>
      <c r="D28" s="24"/>
      <c r="E28" s="24"/>
      <c r="F28" s="25"/>
    </row>
    <row r="29" spans="1:6" x14ac:dyDescent="0.2">
      <c r="E29" s="26" t="s">
        <v>12</v>
      </c>
      <c r="F29" s="27">
        <f>SUM(F20:F28)</f>
        <v>7780</v>
      </c>
    </row>
    <row r="31" spans="1:6" x14ac:dyDescent="0.2">
      <c r="A31" t="str">
        <f>Summary!$G$9</f>
        <v>Contractor</v>
      </c>
    </row>
    <row r="35" spans="1:6" x14ac:dyDescent="0.2">
      <c r="C35" s="494" t="str">
        <f>Summary!$G$10</f>
        <v>Construction Manager</v>
      </c>
      <c r="D35" s="494"/>
      <c r="E35" s="494"/>
      <c r="F35" s="494"/>
    </row>
    <row r="38" spans="1:6" x14ac:dyDescent="0.2">
      <c r="D38" t="s">
        <v>582</v>
      </c>
    </row>
    <row r="39" spans="1:6" x14ac:dyDescent="0.2">
      <c r="C39" t="s">
        <v>581</v>
      </c>
      <c r="D39" s="367" t="s">
        <v>584</v>
      </c>
      <c r="E39" t="s">
        <v>583</v>
      </c>
    </row>
    <row r="40" spans="1:6" x14ac:dyDescent="0.2">
      <c r="C40" t="s">
        <v>585</v>
      </c>
      <c r="D40" s="367" t="s">
        <v>586</v>
      </c>
      <c r="E40" t="s">
        <v>587</v>
      </c>
    </row>
    <row r="41" spans="1:6" x14ac:dyDescent="0.2">
      <c r="D41" s="367"/>
    </row>
    <row r="42" spans="1:6" x14ac:dyDescent="0.2">
      <c r="A42" s="5" t="str">
        <f>Summary!$G$11</f>
        <v>PIPELINE PROJECT</v>
      </c>
    </row>
    <row r="54" spans="1:9" ht="16" x14ac:dyDescent="0.2">
      <c r="A54" s="157" t="s">
        <v>89</v>
      </c>
    </row>
    <row r="55" spans="1:9" x14ac:dyDescent="0.2">
      <c r="A55" s="5"/>
    </row>
    <row r="57" spans="1:9" x14ac:dyDescent="0.2">
      <c r="A57" t="s">
        <v>0</v>
      </c>
      <c r="E57" s="2" t="s">
        <v>338</v>
      </c>
      <c r="F57" s="3">
        <v>42429</v>
      </c>
    </row>
    <row r="58" spans="1:9" x14ac:dyDescent="0.2">
      <c r="A58" t="s">
        <v>1</v>
      </c>
      <c r="B58" s="7" t="s">
        <v>516</v>
      </c>
    </row>
    <row r="60" spans="1:9" x14ac:dyDescent="0.2">
      <c r="A60" s="9" t="s">
        <v>2</v>
      </c>
      <c r="B60" s="10"/>
      <c r="C60" s="11" t="s">
        <v>4</v>
      </c>
      <c r="D60" s="11" t="s">
        <v>3</v>
      </c>
      <c r="E60" s="11" t="s">
        <v>8</v>
      </c>
      <c r="F60" s="12" t="s">
        <v>5</v>
      </c>
    </row>
    <row r="61" spans="1:9" ht="14.5" customHeight="1" x14ac:dyDescent="0.2">
      <c r="A61" s="352" t="s">
        <v>517</v>
      </c>
      <c r="B61" s="125" t="s">
        <v>518</v>
      </c>
      <c r="C61" s="14" t="s">
        <v>521</v>
      </c>
      <c r="D61" s="15">
        <v>3890</v>
      </c>
      <c r="E61" s="116">
        <v>1</v>
      </c>
      <c r="F61" s="17">
        <f>E61*D61</f>
        <v>3890</v>
      </c>
      <c r="I61" t="s">
        <v>696</v>
      </c>
    </row>
    <row r="62" spans="1:9" x14ac:dyDescent="0.2">
      <c r="A62" s="18"/>
      <c r="B62" s="21" t="s">
        <v>519</v>
      </c>
      <c r="C62" s="19"/>
      <c r="D62" s="20"/>
      <c r="E62" s="36"/>
      <c r="F62" s="17"/>
    </row>
    <row r="63" spans="1:9" x14ac:dyDescent="0.2">
      <c r="A63" s="18"/>
      <c r="B63" s="21" t="s">
        <v>520</v>
      </c>
      <c r="C63" s="19"/>
      <c r="D63" s="20"/>
      <c r="E63" s="36"/>
      <c r="F63" s="17"/>
    </row>
    <row r="64" spans="1:9" ht="14.5" customHeight="1" x14ac:dyDescent="0.2">
      <c r="A64" s="18"/>
      <c r="B64" s="21"/>
      <c r="C64" s="19"/>
      <c r="D64" s="20"/>
      <c r="E64" s="36"/>
      <c r="F64" s="17"/>
    </row>
    <row r="65" spans="1:6" x14ac:dyDescent="0.2">
      <c r="A65" s="22"/>
      <c r="B65" s="22"/>
      <c r="C65" s="22"/>
      <c r="D65" s="22"/>
      <c r="E65" s="22"/>
      <c r="F65" s="23"/>
    </row>
    <row r="66" spans="1:6" x14ac:dyDescent="0.2">
      <c r="A66" s="22"/>
      <c r="B66" s="22"/>
      <c r="C66" s="22"/>
      <c r="D66" s="22"/>
      <c r="E66" s="22"/>
      <c r="F66" s="23"/>
    </row>
    <row r="67" spans="1:6" x14ac:dyDescent="0.2">
      <c r="A67" s="22"/>
      <c r="B67" s="22"/>
      <c r="C67" s="22"/>
      <c r="D67" s="22"/>
      <c r="E67" s="22"/>
      <c r="F67" s="23"/>
    </row>
    <row r="68" spans="1:6" x14ac:dyDescent="0.2">
      <c r="A68" s="22"/>
      <c r="B68" s="22"/>
      <c r="C68" s="22"/>
      <c r="D68" s="22"/>
      <c r="E68" s="22"/>
      <c r="F68" s="23"/>
    </row>
    <row r="69" spans="1:6" x14ac:dyDescent="0.2">
      <c r="A69" s="24"/>
      <c r="B69" s="24"/>
      <c r="C69" s="24"/>
      <c r="D69" s="24"/>
      <c r="E69" s="24"/>
      <c r="F69" s="25"/>
    </row>
    <row r="70" spans="1:6" x14ac:dyDescent="0.2">
      <c r="E70" s="26" t="s">
        <v>12</v>
      </c>
      <c r="F70" s="27">
        <f>SUM(F61:F69)</f>
        <v>3890</v>
      </c>
    </row>
    <row r="72" spans="1:6" x14ac:dyDescent="0.2">
      <c r="A72" t="str">
        <f>Summary!$G$9</f>
        <v>Contractor</v>
      </c>
    </row>
    <row r="76" spans="1:6" x14ac:dyDescent="0.2">
      <c r="C76" s="494" t="str">
        <f>Summary!$G$10</f>
        <v>Construction Manager</v>
      </c>
      <c r="D76" s="494"/>
      <c r="E76" s="494"/>
      <c r="F76" s="494"/>
    </row>
    <row r="78" spans="1:6" x14ac:dyDescent="0.2">
      <c r="A78" s="5" t="str">
        <f>Summary!$G$11</f>
        <v>PIPELINE PROJECT</v>
      </c>
    </row>
    <row r="90" spans="1:6" ht="16" x14ac:dyDescent="0.2">
      <c r="A90" s="157" t="s">
        <v>89</v>
      </c>
    </row>
    <row r="91" spans="1:6" x14ac:dyDescent="0.2">
      <c r="A91" s="5"/>
    </row>
    <row r="93" spans="1:6" x14ac:dyDescent="0.2">
      <c r="A93" t="s">
        <v>0</v>
      </c>
      <c r="E93" s="2" t="s">
        <v>338</v>
      </c>
      <c r="F93" s="3">
        <f>Summary!$G$3</f>
        <v>42505</v>
      </c>
    </row>
    <row r="94" spans="1:6" x14ac:dyDescent="0.2">
      <c r="A94" t="s">
        <v>1</v>
      </c>
      <c r="B94" s="7" t="s">
        <v>516</v>
      </c>
    </row>
    <row r="96" spans="1:6" x14ac:dyDescent="0.2">
      <c r="A96" s="9" t="s">
        <v>2</v>
      </c>
      <c r="B96" s="10"/>
      <c r="C96" s="11" t="s">
        <v>4</v>
      </c>
      <c r="D96" s="11" t="s">
        <v>3</v>
      </c>
      <c r="E96" s="11" t="s">
        <v>8</v>
      </c>
      <c r="F96" s="12" t="s">
        <v>5</v>
      </c>
    </row>
    <row r="97" spans="1:6" ht="14.5" customHeight="1" x14ac:dyDescent="0.2">
      <c r="A97" s="352" t="s">
        <v>517</v>
      </c>
      <c r="B97" s="125" t="s">
        <v>518</v>
      </c>
      <c r="C97" s="14" t="s">
        <v>521</v>
      </c>
      <c r="D97" s="15">
        <v>3890</v>
      </c>
      <c r="E97" s="116"/>
      <c r="F97" s="17">
        <f>E97*D97</f>
        <v>0</v>
      </c>
    </row>
    <row r="98" spans="1:6" x14ac:dyDescent="0.2">
      <c r="A98" s="18"/>
      <c r="B98" s="21" t="s">
        <v>519</v>
      </c>
      <c r="C98" s="19"/>
      <c r="D98" s="20"/>
      <c r="E98" s="36"/>
      <c r="F98" s="17"/>
    </row>
    <row r="99" spans="1:6" x14ac:dyDescent="0.2">
      <c r="A99" s="18"/>
      <c r="B99" s="21" t="s">
        <v>520</v>
      </c>
      <c r="C99" s="19"/>
      <c r="D99" s="20"/>
      <c r="E99" s="36"/>
      <c r="F99" s="17"/>
    </row>
    <row r="100" spans="1:6" ht="14.5" customHeight="1" x14ac:dyDescent="0.2">
      <c r="A100" s="18"/>
      <c r="B100" s="21"/>
      <c r="C100" s="19"/>
      <c r="D100" s="20"/>
      <c r="E100" s="36"/>
      <c r="F100" s="17"/>
    </row>
    <row r="101" spans="1:6" x14ac:dyDescent="0.2">
      <c r="A101" s="22"/>
      <c r="B101" s="22"/>
      <c r="C101" s="22"/>
      <c r="D101" s="22"/>
      <c r="E101" s="22"/>
      <c r="F101" s="23"/>
    </row>
    <row r="102" spans="1:6" x14ac:dyDescent="0.2">
      <c r="A102" s="22"/>
      <c r="B102" s="22"/>
      <c r="C102" s="22"/>
      <c r="D102" s="22"/>
      <c r="E102" s="22"/>
      <c r="F102" s="23"/>
    </row>
    <row r="103" spans="1:6" x14ac:dyDescent="0.2">
      <c r="A103" s="22"/>
      <c r="B103" s="22"/>
      <c r="C103" s="22"/>
      <c r="D103" s="22"/>
      <c r="E103" s="22"/>
      <c r="F103" s="23"/>
    </row>
    <row r="104" spans="1:6" x14ac:dyDescent="0.2">
      <c r="A104" s="22"/>
      <c r="B104" s="22"/>
      <c r="C104" s="22"/>
      <c r="D104" s="22"/>
      <c r="E104" s="22"/>
      <c r="F104" s="23"/>
    </row>
    <row r="105" spans="1:6" x14ac:dyDescent="0.2">
      <c r="A105" s="24"/>
      <c r="B105" s="24"/>
      <c r="C105" s="24"/>
      <c r="D105" s="24"/>
      <c r="E105" s="24"/>
      <c r="F105" s="25"/>
    </row>
    <row r="106" spans="1:6" x14ac:dyDescent="0.2">
      <c r="E106" s="26" t="s">
        <v>12</v>
      </c>
      <c r="F106" s="27">
        <f>SUM(F97:F105)</f>
        <v>0</v>
      </c>
    </row>
    <row r="108" spans="1:6" x14ac:dyDescent="0.2">
      <c r="A108" t="str">
        <f>Summary!$G$9</f>
        <v>Contractor</v>
      </c>
    </row>
    <row r="112" spans="1:6" x14ac:dyDescent="0.2">
      <c r="C112" s="494" t="str">
        <f>Summary!$G$10</f>
        <v>Construction Manager</v>
      </c>
      <c r="D112" s="494"/>
      <c r="E112" s="494"/>
      <c r="F112" s="494"/>
    </row>
    <row r="116" spans="4:4" x14ac:dyDescent="0.2">
      <c r="D116" s="367"/>
    </row>
    <row r="117" spans="4:4" x14ac:dyDescent="0.2">
      <c r="D117" s="367"/>
    </row>
    <row r="118" spans="4:4" x14ac:dyDescent="0.2">
      <c r="D118" s="367"/>
    </row>
    <row r="119" spans="4:4" x14ac:dyDescent="0.2">
      <c r="D119" s="367"/>
    </row>
    <row r="120" spans="4:4" x14ac:dyDescent="0.2">
      <c r="D120" s="367"/>
    </row>
    <row r="121" spans="4:4" x14ac:dyDescent="0.2">
      <c r="D121" s="367"/>
    </row>
    <row r="122" spans="4:4" x14ac:dyDescent="0.2">
      <c r="D122" s="367"/>
    </row>
    <row r="123" spans="4:4" x14ac:dyDescent="0.2">
      <c r="D123" s="367"/>
    </row>
    <row r="124" spans="4:4" x14ac:dyDescent="0.2">
      <c r="D124" s="367"/>
    </row>
    <row r="125" spans="4:4" x14ac:dyDescent="0.2">
      <c r="D125" s="367"/>
    </row>
    <row r="126" spans="4:4" x14ac:dyDescent="0.2">
      <c r="D126" s="367"/>
    </row>
    <row r="127" spans="4:4" x14ac:dyDescent="0.2">
      <c r="D127" s="367"/>
    </row>
    <row r="128" spans="4:4" x14ac:dyDescent="0.2">
      <c r="D128" s="367"/>
    </row>
    <row r="129" spans="4:4" x14ac:dyDescent="0.2">
      <c r="D129" s="367"/>
    </row>
    <row r="130" spans="4:4" x14ac:dyDescent="0.2">
      <c r="D130" s="367"/>
    </row>
    <row r="131" spans="4:4" x14ac:dyDescent="0.2">
      <c r="D131" s="367"/>
    </row>
  </sheetData>
  <mergeCells count="3">
    <mergeCell ref="C35:F35"/>
    <mergeCell ref="C76:F76"/>
    <mergeCell ref="C112:F112"/>
  </mergeCells>
  <phoneticPr fontId="26" type="noConversion"/>
  <pageMargins left="1.88" right="0.70000000000000007" top="0.94629921259842531" bottom="0.75000000000000011" header="0.30000000000000004" footer="0.30000000000000004"/>
  <pageSetup scale="84" orientation="landscape" verticalDpi="1200"/>
  <rowBreaks count="1" manualBreakCount="1">
    <brk id="41" max="16383" man="1"/>
  </rowBreaks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F35"/>
  <sheetViews>
    <sheetView workbookViewId="0">
      <selection activeCell="B28" sqref="B28"/>
    </sheetView>
  </sheetViews>
  <sheetFormatPr baseColWidth="10" defaultColWidth="8.83203125" defaultRowHeight="15" x14ac:dyDescent="0.2"/>
  <cols>
    <col min="1" max="1" width="10" customWidth="1"/>
    <col min="2" max="2" width="36.6640625" customWidth="1"/>
    <col min="3" max="3" width="12.6640625" customWidth="1"/>
    <col min="4" max="4" width="8.5" customWidth="1"/>
    <col min="5" max="5" width="8" customWidth="1"/>
    <col min="6" max="6" width="13.6640625" customWidth="1"/>
  </cols>
  <sheetData>
    <row r="1" spans="1:6" x14ac:dyDescent="0.2">
      <c r="A1" s="5" t="str">
        <f>Summary!$G$11</f>
        <v>PIPELINE PROJECT</v>
      </c>
    </row>
    <row r="13" spans="1:6" ht="16" x14ac:dyDescent="0.2">
      <c r="A13" s="157" t="s">
        <v>89</v>
      </c>
    </row>
    <row r="14" spans="1:6" x14ac:dyDescent="0.2">
      <c r="A14" s="5"/>
    </row>
    <row r="16" spans="1:6" x14ac:dyDescent="0.2">
      <c r="A16" t="s">
        <v>0</v>
      </c>
      <c r="E16" s="2" t="s">
        <v>338</v>
      </c>
      <c r="F16" s="3">
        <f>Summary!$G$3</f>
        <v>42505</v>
      </c>
    </row>
    <row r="17" spans="1:6" x14ac:dyDescent="0.2">
      <c r="A17" t="s">
        <v>1</v>
      </c>
      <c r="B17" s="7" t="s">
        <v>337</v>
      </c>
    </row>
    <row r="19" spans="1:6" x14ac:dyDescent="0.2">
      <c r="A19" s="9" t="s">
        <v>2</v>
      </c>
      <c r="B19" s="10"/>
      <c r="C19" s="11" t="s">
        <v>4</v>
      </c>
      <c r="D19" s="11" t="s">
        <v>3</v>
      </c>
      <c r="E19" s="11" t="s">
        <v>8</v>
      </c>
      <c r="F19" s="12" t="s">
        <v>5</v>
      </c>
    </row>
    <row r="20" spans="1:6" ht="14.5" customHeight="1" x14ac:dyDescent="0.2">
      <c r="A20" s="352" t="s">
        <v>339</v>
      </c>
      <c r="B20" s="125" t="s">
        <v>340</v>
      </c>
      <c r="C20" s="14" t="s">
        <v>342</v>
      </c>
      <c r="D20" s="15">
        <v>13.23</v>
      </c>
      <c r="E20" s="116">
        <v>208</v>
      </c>
      <c r="F20" s="17">
        <f>E20*D20</f>
        <v>2751.84</v>
      </c>
    </row>
    <row r="21" spans="1:6" x14ac:dyDescent="0.2">
      <c r="A21" s="18"/>
      <c r="B21" s="21" t="s">
        <v>341</v>
      </c>
      <c r="C21" s="19"/>
      <c r="D21" s="20"/>
      <c r="E21" s="36"/>
      <c r="F21" s="17"/>
    </row>
    <row r="22" spans="1:6" x14ac:dyDescent="0.2">
      <c r="A22" s="18"/>
      <c r="B22" s="21"/>
      <c r="C22" s="19"/>
      <c r="D22" s="20"/>
      <c r="E22" s="36"/>
      <c r="F22" s="17"/>
    </row>
    <row r="23" spans="1:6" ht="14.5" customHeight="1" x14ac:dyDescent="0.2">
      <c r="A23" s="18"/>
      <c r="B23" s="21" t="s">
        <v>375</v>
      </c>
      <c r="C23" s="19"/>
      <c r="D23" s="20"/>
      <c r="E23" s="36"/>
      <c r="F23" s="17"/>
    </row>
    <row r="24" spans="1:6" x14ac:dyDescent="0.2">
      <c r="A24" s="22"/>
      <c r="B24" s="22"/>
      <c r="C24" s="22"/>
      <c r="D24" s="22"/>
      <c r="E24" s="22"/>
      <c r="F24" s="23"/>
    </row>
    <row r="25" spans="1:6" x14ac:dyDescent="0.2">
      <c r="A25" s="22"/>
      <c r="B25" s="22"/>
      <c r="C25" s="22"/>
      <c r="D25" s="22"/>
      <c r="E25" s="22"/>
      <c r="F25" s="23"/>
    </row>
    <row r="26" spans="1:6" x14ac:dyDescent="0.2">
      <c r="A26" s="22"/>
      <c r="B26" s="22"/>
      <c r="C26" s="22"/>
      <c r="D26" s="22"/>
      <c r="E26" s="22"/>
      <c r="F26" s="23"/>
    </row>
    <row r="27" spans="1:6" x14ac:dyDescent="0.2">
      <c r="A27" s="22"/>
      <c r="B27" s="22"/>
      <c r="C27" s="22"/>
      <c r="D27" s="22"/>
      <c r="E27" s="22"/>
      <c r="F27" s="23"/>
    </row>
    <row r="28" spans="1:6" x14ac:dyDescent="0.2">
      <c r="A28" s="24"/>
      <c r="B28" s="24"/>
      <c r="C28" s="24"/>
      <c r="D28" s="24"/>
      <c r="E28" s="24"/>
      <c r="F28" s="25"/>
    </row>
    <row r="29" spans="1:6" x14ac:dyDescent="0.2">
      <c r="E29" s="26" t="s">
        <v>12</v>
      </c>
      <c r="F29" s="27">
        <f>SUM(F20:F28)</f>
        <v>2751.84</v>
      </c>
    </row>
    <row r="31" spans="1:6" x14ac:dyDescent="0.2">
      <c r="A31" t="str">
        <f>Summary!$G$9</f>
        <v>Contractor</v>
      </c>
    </row>
    <row r="35" spans="3:6" x14ac:dyDescent="0.2">
      <c r="C35" s="494" t="str">
        <f>Summary!$G$10</f>
        <v>Construction Manager</v>
      </c>
      <c r="D35" s="494"/>
      <c r="E35" s="494"/>
      <c r="F35" s="494"/>
    </row>
  </sheetData>
  <mergeCells count="1">
    <mergeCell ref="C35:F35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63"/>
  <sheetViews>
    <sheetView workbookViewId="0">
      <selection activeCell="E255" sqref="E255"/>
    </sheetView>
  </sheetViews>
  <sheetFormatPr baseColWidth="10" defaultColWidth="8.83203125" defaultRowHeight="15" x14ac:dyDescent="0.2"/>
  <cols>
    <col min="1" max="1" width="10" customWidth="1"/>
    <col min="2" max="2" width="39.1640625" customWidth="1"/>
    <col min="3" max="3" width="9.5" customWidth="1"/>
    <col min="5" max="5" width="8" customWidth="1"/>
    <col min="6" max="6" width="14.33203125" customWidth="1"/>
    <col min="11" max="14" width="9.83203125" bestFit="1" customWidth="1"/>
    <col min="15" max="15" width="10.83203125" bestFit="1" customWidth="1"/>
  </cols>
  <sheetData>
    <row r="1" spans="1:6" x14ac:dyDescent="0.2">
      <c r="A1" s="5" t="str">
        <f>Summary!$G$11</f>
        <v>PIPELINE PROJECT</v>
      </c>
    </row>
    <row r="13" spans="1:6" ht="16" x14ac:dyDescent="0.2">
      <c r="A13" s="157" t="s">
        <v>89</v>
      </c>
    </row>
    <row r="14" spans="1:6" x14ac:dyDescent="0.2">
      <c r="A14" s="5"/>
    </row>
    <row r="16" spans="1:6" x14ac:dyDescent="0.2">
      <c r="A16" t="s">
        <v>0</v>
      </c>
      <c r="E16" s="2" t="s">
        <v>64</v>
      </c>
      <c r="F16" s="3">
        <v>42369</v>
      </c>
    </row>
    <row r="17" spans="1:12" x14ac:dyDescent="0.2">
      <c r="A17" t="s">
        <v>1</v>
      </c>
      <c r="B17" s="7" t="s">
        <v>278</v>
      </c>
    </row>
    <row r="19" spans="1:12" x14ac:dyDescent="0.2">
      <c r="A19" s="9" t="s">
        <v>2</v>
      </c>
      <c r="B19" s="10"/>
      <c r="C19" s="11" t="s">
        <v>4</v>
      </c>
      <c r="D19" s="11" t="s">
        <v>3</v>
      </c>
      <c r="E19" s="11" t="s">
        <v>8</v>
      </c>
      <c r="F19" s="12" t="s">
        <v>260</v>
      </c>
    </row>
    <row r="20" spans="1:12" ht="14.5" customHeight="1" x14ac:dyDescent="0.2">
      <c r="A20" s="352" t="s">
        <v>273</v>
      </c>
      <c r="B20" s="115" t="s">
        <v>274</v>
      </c>
      <c r="C20" s="14"/>
      <c r="D20" s="15"/>
      <c r="E20" s="116"/>
      <c r="F20" s="17"/>
      <c r="K20" s="154">
        <v>42735</v>
      </c>
      <c r="L20" s="154">
        <v>42379</v>
      </c>
    </row>
    <row r="21" spans="1:12" x14ac:dyDescent="0.2">
      <c r="A21" s="18"/>
      <c r="B21" s="21" t="s">
        <v>275</v>
      </c>
      <c r="C21" s="19" t="s">
        <v>277</v>
      </c>
      <c r="D21" s="20">
        <v>4.5</v>
      </c>
      <c r="E21" s="36">
        <v>15876</v>
      </c>
      <c r="F21" s="17">
        <f>E21*D21</f>
        <v>71442</v>
      </c>
      <c r="K21" s="359">
        <v>15876</v>
      </c>
      <c r="L21">
        <v>21276</v>
      </c>
    </row>
    <row r="22" spans="1:12" x14ac:dyDescent="0.2">
      <c r="A22" s="18"/>
      <c r="B22" s="21" t="s">
        <v>276</v>
      </c>
      <c r="C22" s="19" t="s">
        <v>277</v>
      </c>
      <c r="D22" s="20">
        <v>45</v>
      </c>
      <c r="E22" s="36"/>
      <c r="F22" s="17">
        <f>E22*D22</f>
        <v>0</v>
      </c>
    </row>
    <row r="23" spans="1:12" ht="14.5" customHeight="1" x14ac:dyDescent="0.2">
      <c r="A23" s="18"/>
      <c r="B23" s="21"/>
      <c r="C23" s="19"/>
      <c r="D23" s="20"/>
      <c r="E23" s="36"/>
      <c r="F23" s="17"/>
    </row>
    <row r="24" spans="1:12" x14ac:dyDescent="0.2">
      <c r="A24" s="22"/>
      <c r="B24" s="22"/>
      <c r="C24" s="19"/>
      <c r="D24" s="20"/>
      <c r="E24" s="22"/>
      <c r="F24" s="17"/>
    </row>
    <row r="25" spans="1:12" x14ac:dyDescent="0.2">
      <c r="A25" s="24"/>
      <c r="B25" s="24"/>
      <c r="C25" s="136"/>
      <c r="D25" s="137"/>
      <c r="E25" s="22"/>
      <c r="F25" s="17"/>
    </row>
    <row r="26" spans="1:12" x14ac:dyDescent="0.2">
      <c r="E26" s="26" t="s">
        <v>12</v>
      </c>
      <c r="F26" s="27">
        <f>SUM(F20:F25)</f>
        <v>71442</v>
      </c>
    </row>
    <row r="28" spans="1:12" x14ac:dyDescent="0.2">
      <c r="A28" t="str">
        <f>Summary!$G$9</f>
        <v>Contractor</v>
      </c>
    </row>
    <row r="32" spans="1:12" x14ac:dyDescent="0.2">
      <c r="C32" s="494" t="str">
        <f>Summary!$G$10</f>
        <v>Construction Manager</v>
      </c>
      <c r="D32" s="494"/>
      <c r="E32" s="494"/>
      <c r="F32" s="494"/>
    </row>
    <row r="34" spans="1:1" x14ac:dyDescent="0.2">
      <c r="A34" s="5" t="str">
        <f>Summary!$G$11</f>
        <v>PIPELINE PROJECT</v>
      </c>
    </row>
    <row r="46" spans="1:1" ht="16" x14ac:dyDescent="0.2">
      <c r="A46" s="157" t="s">
        <v>89</v>
      </c>
    </row>
    <row r="47" spans="1:1" x14ac:dyDescent="0.2">
      <c r="A47" s="5"/>
    </row>
    <row r="49" spans="1:12" x14ac:dyDescent="0.2">
      <c r="A49" t="s">
        <v>0</v>
      </c>
      <c r="E49" s="2" t="s">
        <v>64</v>
      </c>
      <c r="F49" s="3">
        <v>42384</v>
      </c>
      <c r="K49" t="s">
        <v>388</v>
      </c>
    </row>
    <row r="50" spans="1:12" x14ac:dyDescent="0.2">
      <c r="A50" t="s">
        <v>1</v>
      </c>
      <c r="B50" s="7" t="s">
        <v>278</v>
      </c>
    </row>
    <row r="52" spans="1:12" x14ac:dyDescent="0.2">
      <c r="A52" s="9" t="s">
        <v>2</v>
      </c>
      <c r="B52" s="10"/>
      <c r="C52" s="11" t="s">
        <v>4</v>
      </c>
      <c r="D52" s="11" t="s">
        <v>3</v>
      </c>
      <c r="E52" s="11" t="s">
        <v>8</v>
      </c>
      <c r="F52" s="12" t="s">
        <v>260</v>
      </c>
      <c r="K52" t="s">
        <v>27</v>
      </c>
    </row>
    <row r="53" spans="1:12" ht="14.5" customHeight="1" x14ac:dyDescent="0.2">
      <c r="A53" s="352" t="s">
        <v>273</v>
      </c>
      <c r="B53" s="115" t="s">
        <v>274</v>
      </c>
      <c r="C53" s="14"/>
      <c r="D53" s="15"/>
      <c r="E53" s="116"/>
      <c r="F53" s="17"/>
      <c r="K53" s="154">
        <v>42735</v>
      </c>
      <c r="L53" s="154">
        <v>42384</v>
      </c>
    </row>
    <row r="54" spans="1:12" x14ac:dyDescent="0.2">
      <c r="A54" s="18"/>
      <c r="B54" s="21" t="s">
        <v>275</v>
      </c>
      <c r="C54" s="19" t="s">
        <v>277</v>
      </c>
      <c r="D54" s="20">
        <v>4.5</v>
      </c>
      <c r="E54" s="36">
        <v>8100</v>
      </c>
      <c r="F54" s="17">
        <f>E54*D54</f>
        <v>36450</v>
      </c>
      <c r="K54" s="359">
        <v>15876</v>
      </c>
      <c r="L54" s="359">
        <v>8100</v>
      </c>
    </row>
    <row r="55" spans="1:12" x14ac:dyDescent="0.2">
      <c r="A55" s="18"/>
      <c r="B55" s="21" t="s">
        <v>276</v>
      </c>
      <c r="C55" s="19" t="s">
        <v>277</v>
      </c>
      <c r="D55" s="20">
        <v>45</v>
      </c>
      <c r="E55" s="36"/>
      <c r="F55" s="17">
        <f>E55*D55</f>
        <v>0</v>
      </c>
    </row>
    <row r="56" spans="1:12" ht="14.5" customHeight="1" x14ac:dyDescent="0.2">
      <c r="A56" s="18"/>
      <c r="B56" s="21"/>
      <c r="C56" s="19"/>
      <c r="D56" s="20"/>
      <c r="E56" s="36"/>
      <c r="F56" s="17"/>
    </row>
    <row r="57" spans="1:12" x14ac:dyDescent="0.2">
      <c r="A57" s="22"/>
      <c r="B57" s="22"/>
      <c r="C57" s="19"/>
      <c r="D57" s="20"/>
      <c r="E57" s="22"/>
      <c r="F57" s="17"/>
    </row>
    <row r="58" spans="1:12" x14ac:dyDescent="0.2">
      <c r="A58" s="24"/>
      <c r="B58" s="24"/>
      <c r="C58" s="136"/>
      <c r="D58" s="137"/>
      <c r="E58" s="22"/>
      <c r="F58" s="17"/>
    </row>
    <row r="59" spans="1:12" x14ac:dyDescent="0.2">
      <c r="E59" s="26" t="s">
        <v>12</v>
      </c>
      <c r="F59" s="27">
        <f>SUM(F53:F58)</f>
        <v>36450</v>
      </c>
    </row>
    <row r="61" spans="1:12" x14ac:dyDescent="0.2">
      <c r="A61" t="str">
        <f>Summary!$G$9</f>
        <v>Contractor</v>
      </c>
    </row>
    <row r="65" spans="1:6" x14ac:dyDescent="0.2">
      <c r="C65" s="494" t="str">
        <f>Summary!$G$10</f>
        <v>Construction Manager</v>
      </c>
      <c r="D65" s="494"/>
      <c r="E65" s="494"/>
      <c r="F65" s="494"/>
    </row>
    <row r="67" spans="1:6" x14ac:dyDescent="0.2">
      <c r="A67" s="5" t="str">
        <f>Summary!$G$11</f>
        <v>PIPELINE PROJECT</v>
      </c>
    </row>
    <row r="79" spans="1:6" ht="16" x14ac:dyDescent="0.2">
      <c r="A79" s="157" t="s">
        <v>89</v>
      </c>
    </row>
    <row r="80" spans="1:6" x14ac:dyDescent="0.2">
      <c r="A80" s="5"/>
    </row>
    <row r="82" spans="1:15" x14ac:dyDescent="0.2">
      <c r="A82" t="s">
        <v>0</v>
      </c>
      <c r="E82" s="2" t="s">
        <v>64</v>
      </c>
      <c r="F82" s="3">
        <v>42400</v>
      </c>
      <c r="K82" t="s">
        <v>388</v>
      </c>
    </row>
    <row r="83" spans="1:15" x14ac:dyDescent="0.2">
      <c r="A83" t="s">
        <v>1</v>
      </c>
      <c r="B83" s="7" t="s">
        <v>278</v>
      </c>
    </row>
    <row r="85" spans="1:15" x14ac:dyDescent="0.2">
      <c r="A85" s="9" t="s">
        <v>2</v>
      </c>
      <c r="B85" s="10"/>
      <c r="C85" s="11" t="s">
        <v>4</v>
      </c>
      <c r="D85" s="11" t="s">
        <v>3</v>
      </c>
      <c r="E85" s="11" t="s">
        <v>8</v>
      </c>
      <c r="F85" s="12" t="s">
        <v>260</v>
      </c>
      <c r="K85" t="s">
        <v>27</v>
      </c>
    </row>
    <row r="86" spans="1:15" ht="14.5" customHeight="1" x14ac:dyDescent="0.2">
      <c r="A86" s="352" t="s">
        <v>273</v>
      </c>
      <c r="B86" s="115" t="s">
        <v>274</v>
      </c>
      <c r="C86" s="14"/>
      <c r="D86" s="15"/>
      <c r="E86" s="116"/>
      <c r="F86" s="17"/>
      <c r="K86" s="154">
        <v>42735</v>
      </c>
      <c r="L86" s="154">
        <v>42384</v>
      </c>
      <c r="M86" s="154">
        <v>42400</v>
      </c>
      <c r="N86" s="154">
        <v>42415</v>
      </c>
      <c r="O86" t="s">
        <v>462</v>
      </c>
    </row>
    <row r="87" spans="1:15" x14ac:dyDescent="0.2">
      <c r="A87" s="18"/>
      <c r="B87" s="21" t="s">
        <v>275</v>
      </c>
      <c r="C87" s="19" t="s">
        <v>277</v>
      </c>
      <c r="D87" s="20">
        <v>4.5</v>
      </c>
      <c r="E87" s="36">
        <v>8640</v>
      </c>
      <c r="F87" s="17">
        <f>E87*D87</f>
        <v>38880</v>
      </c>
      <c r="K87" s="359">
        <v>15876</v>
      </c>
      <c r="L87" s="359">
        <v>8100</v>
      </c>
      <c r="M87" s="359">
        <v>8640</v>
      </c>
      <c r="O87">
        <f>SUM(K87:N87)</f>
        <v>32616</v>
      </c>
    </row>
    <row r="88" spans="1:15" x14ac:dyDescent="0.2">
      <c r="A88" s="18"/>
      <c r="B88" s="21" t="s">
        <v>276</v>
      </c>
      <c r="C88" s="19" t="s">
        <v>277</v>
      </c>
      <c r="D88" s="20">
        <v>45</v>
      </c>
      <c r="E88" s="36"/>
      <c r="F88" s="17">
        <f>E88*D88</f>
        <v>0</v>
      </c>
      <c r="K88" s="162">
        <v>71442</v>
      </c>
      <c r="L88" s="162">
        <v>36450</v>
      </c>
      <c r="M88" s="162">
        <v>38880</v>
      </c>
      <c r="N88" s="162"/>
      <c r="O88" s="162">
        <f>SUM(K88:N88)</f>
        <v>146772</v>
      </c>
    </row>
    <row r="89" spans="1:15" ht="14.5" customHeight="1" x14ac:dyDescent="0.2">
      <c r="A89" s="18"/>
      <c r="B89" s="21"/>
      <c r="C89" s="19"/>
      <c r="D89" s="20"/>
      <c r="E89" s="36"/>
      <c r="F89" s="17"/>
    </row>
    <row r="90" spans="1:15" x14ac:dyDescent="0.2">
      <c r="A90" s="22"/>
      <c r="B90" s="22"/>
      <c r="C90" s="19"/>
      <c r="D90" s="20"/>
      <c r="E90" s="22"/>
      <c r="F90" s="17"/>
    </row>
    <row r="91" spans="1:15" x14ac:dyDescent="0.2">
      <c r="A91" s="24"/>
      <c r="B91" s="24"/>
      <c r="C91" s="136"/>
      <c r="D91" s="137"/>
      <c r="E91" s="22"/>
      <c r="F91" s="17"/>
    </row>
    <row r="92" spans="1:15" x14ac:dyDescent="0.2">
      <c r="E92" s="26" t="s">
        <v>12</v>
      </c>
      <c r="F92" s="27">
        <f>SUM(F86:F91)</f>
        <v>38880</v>
      </c>
    </row>
    <row r="94" spans="1:15" x14ac:dyDescent="0.2">
      <c r="A94" t="str">
        <f>Summary!$G$9</f>
        <v>Contractor</v>
      </c>
    </row>
    <row r="98" spans="1:6" x14ac:dyDescent="0.2">
      <c r="C98" s="494" t="str">
        <f>Summary!$G$10</f>
        <v>Construction Manager</v>
      </c>
      <c r="D98" s="494"/>
      <c r="E98" s="494"/>
      <c r="F98" s="494"/>
    </row>
    <row r="100" spans="1:6" x14ac:dyDescent="0.2">
      <c r="A100" s="5" t="str">
        <f>Summary!$G$11</f>
        <v>PIPELINE PROJECT</v>
      </c>
    </row>
    <row r="112" spans="1:6" ht="16" x14ac:dyDescent="0.2">
      <c r="A112" s="157" t="s">
        <v>89</v>
      </c>
    </row>
    <row r="113" spans="1:15" x14ac:dyDescent="0.2">
      <c r="A113" s="5"/>
    </row>
    <row r="115" spans="1:15" x14ac:dyDescent="0.2">
      <c r="A115" t="s">
        <v>0</v>
      </c>
      <c r="E115" s="2" t="s">
        <v>64</v>
      </c>
      <c r="F115" s="3">
        <v>42415</v>
      </c>
      <c r="K115" t="s">
        <v>388</v>
      </c>
    </row>
    <row r="116" spans="1:15" x14ac:dyDescent="0.2">
      <c r="A116" t="s">
        <v>1</v>
      </c>
      <c r="B116" s="7" t="s">
        <v>278</v>
      </c>
    </row>
    <row r="118" spans="1:15" x14ac:dyDescent="0.2">
      <c r="A118" s="9" t="s">
        <v>2</v>
      </c>
      <c r="B118" s="10"/>
      <c r="C118" s="11" t="s">
        <v>4</v>
      </c>
      <c r="D118" s="11" t="s">
        <v>3</v>
      </c>
      <c r="E118" s="11" t="s">
        <v>8</v>
      </c>
      <c r="F118" s="12" t="s">
        <v>260</v>
      </c>
      <c r="K118" t="s">
        <v>27</v>
      </c>
    </row>
    <row r="119" spans="1:15" ht="14.5" customHeight="1" x14ac:dyDescent="0.2">
      <c r="A119" s="352" t="s">
        <v>273</v>
      </c>
      <c r="B119" s="115" t="s">
        <v>274</v>
      </c>
      <c r="C119" s="14"/>
      <c r="D119" s="15"/>
      <c r="E119" s="116"/>
      <c r="F119" s="17"/>
      <c r="K119" s="154">
        <v>42735</v>
      </c>
      <c r="L119" s="154">
        <v>42384</v>
      </c>
      <c r="M119" s="154">
        <v>42400</v>
      </c>
      <c r="N119" s="154">
        <v>42415</v>
      </c>
      <c r="O119" t="s">
        <v>462</v>
      </c>
    </row>
    <row r="120" spans="1:15" x14ac:dyDescent="0.2">
      <c r="A120" s="18"/>
      <c r="B120" s="21" t="s">
        <v>275</v>
      </c>
      <c r="C120" s="19" t="s">
        <v>277</v>
      </c>
      <c r="D120" s="20">
        <v>4.5</v>
      </c>
      <c r="E120" s="36">
        <v>2700</v>
      </c>
      <c r="F120" s="17">
        <f>E120*D120</f>
        <v>12150</v>
      </c>
      <c r="K120" s="359">
        <v>15876</v>
      </c>
      <c r="L120" s="359">
        <v>8100</v>
      </c>
      <c r="M120" s="359">
        <v>8640</v>
      </c>
      <c r="N120" s="359">
        <v>2700</v>
      </c>
      <c r="O120">
        <f>SUM(K120:N120)</f>
        <v>35316</v>
      </c>
    </row>
    <row r="121" spans="1:15" x14ac:dyDescent="0.2">
      <c r="A121" s="18"/>
      <c r="B121" s="21" t="s">
        <v>276</v>
      </c>
      <c r="C121" s="19" t="s">
        <v>277</v>
      </c>
      <c r="D121" s="20">
        <v>45</v>
      </c>
      <c r="E121" s="36"/>
      <c r="F121" s="17">
        <f>E121*D121</f>
        <v>0</v>
      </c>
      <c r="K121" s="162">
        <v>71442</v>
      </c>
      <c r="L121" s="162">
        <v>36450</v>
      </c>
      <c r="M121" s="162">
        <v>38880</v>
      </c>
      <c r="N121" s="162">
        <v>12150</v>
      </c>
      <c r="O121" s="162">
        <f>SUM(K121:N121)</f>
        <v>158922</v>
      </c>
    </row>
    <row r="122" spans="1:15" ht="14.5" customHeight="1" x14ac:dyDescent="0.2">
      <c r="A122" s="18"/>
      <c r="B122" s="21"/>
      <c r="C122" s="19"/>
      <c r="D122" s="20"/>
      <c r="E122" s="36"/>
      <c r="F122" s="17"/>
    </row>
    <row r="123" spans="1:15" x14ac:dyDescent="0.2">
      <c r="A123" s="22"/>
      <c r="B123" s="22"/>
      <c r="C123" s="19"/>
      <c r="D123" s="20"/>
      <c r="E123" s="22"/>
      <c r="F123" s="17"/>
    </row>
    <row r="124" spans="1:15" x14ac:dyDescent="0.2">
      <c r="A124" s="24"/>
      <c r="B124" s="24"/>
      <c r="C124" s="136"/>
      <c r="D124" s="137"/>
      <c r="E124" s="22"/>
      <c r="F124" s="17"/>
      <c r="N124" t="s">
        <v>593</v>
      </c>
    </row>
    <row r="125" spans="1:15" x14ac:dyDescent="0.2">
      <c r="E125" s="26" t="s">
        <v>12</v>
      </c>
      <c r="F125" s="27">
        <f>SUM(F119:F124)</f>
        <v>12150</v>
      </c>
    </row>
    <row r="127" spans="1:15" x14ac:dyDescent="0.2">
      <c r="A127" t="str">
        <f>Summary!$G$9</f>
        <v>Contractor</v>
      </c>
    </row>
    <row r="131" spans="1:6" x14ac:dyDescent="0.2">
      <c r="C131" s="494" t="str">
        <f>Summary!$G$10</f>
        <v>Construction Manager</v>
      </c>
      <c r="D131" s="494"/>
      <c r="E131" s="494"/>
      <c r="F131" s="494"/>
    </row>
    <row r="133" spans="1:6" x14ac:dyDescent="0.2">
      <c r="A133" s="5" t="str">
        <f>Summary!$G$11</f>
        <v>PIPELINE PROJECT</v>
      </c>
    </row>
    <row r="145" spans="1:15" ht="16" x14ac:dyDescent="0.2">
      <c r="A145" s="157" t="s">
        <v>89</v>
      </c>
    </row>
    <row r="146" spans="1:15" x14ac:dyDescent="0.2">
      <c r="A146" s="5"/>
    </row>
    <row r="148" spans="1:15" x14ac:dyDescent="0.2">
      <c r="A148" t="s">
        <v>0</v>
      </c>
      <c r="E148" s="2" t="s">
        <v>64</v>
      </c>
      <c r="F148" s="3">
        <v>42460</v>
      </c>
      <c r="K148" t="s">
        <v>388</v>
      </c>
    </row>
    <row r="149" spans="1:15" x14ac:dyDescent="0.2">
      <c r="A149" t="s">
        <v>1</v>
      </c>
      <c r="B149" s="7" t="s">
        <v>278</v>
      </c>
    </row>
    <row r="150" spans="1:15" x14ac:dyDescent="0.2">
      <c r="L150" s="154">
        <v>42460</v>
      </c>
    </row>
    <row r="151" spans="1:15" x14ac:dyDescent="0.2">
      <c r="A151" s="9" t="s">
        <v>2</v>
      </c>
      <c r="B151" s="10"/>
      <c r="C151" s="11" t="s">
        <v>4</v>
      </c>
      <c r="D151" s="11" t="s">
        <v>3</v>
      </c>
      <c r="E151" s="11" t="s">
        <v>8</v>
      </c>
      <c r="F151" s="12" t="s">
        <v>260</v>
      </c>
      <c r="I151" s="450" t="s">
        <v>886</v>
      </c>
      <c r="K151" s="2" t="s">
        <v>884</v>
      </c>
      <c r="L151">
        <v>1350</v>
      </c>
    </row>
    <row r="152" spans="1:15" ht="14.5" customHeight="1" x14ac:dyDescent="0.2">
      <c r="A152" s="352" t="s">
        <v>273</v>
      </c>
      <c r="B152" s="115" t="s">
        <v>274</v>
      </c>
      <c r="C152" s="14"/>
      <c r="D152" s="15"/>
      <c r="E152" s="116"/>
      <c r="F152" s="17"/>
      <c r="K152" s="154"/>
      <c r="L152" s="154"/>
      <c r="M152" s="154"/>
      <c r="N152" s="154"/>
    </row>
    <row r="153" spans="1:15" x14ac:dyDescent="0.2">
      <c r="A153" s="18"/>
      <c r="B153" s="21" t="s">
        <v>275</v>
      </c>
      <c r="C153" s="19" t="s">
        <v>277</v>
      </c>
      <c r="D153" s="20">
        <v>4.5</v>
      </c>
      <c r="E153" s="36">
        <v>1398</v>
      </c>
      <c r="F153" s="17">
        <f>E153*D153</f>
        <v>6291</v>
      </c>
      <c r="I153" s="451" t="s">
        <v>887</v>
      </c>
      <c r="K153" s="2" t="s">
        <v>885</v>
      </c>
      <c r="L153">
        <v>48</v>
      </c>
    </row>
    <row r="154" spans="1:15" x14ac:dyDescent="0.2">
      <c r="A154" s="18"/>
      <c r="B154" s="21" t="s">
        <v>276</v>
      </c>
      <c r="C154" s="19" t="s">
        <v>277</v>
      </c>
      <c r="D154" s="20">
        <v>45</v>
      </c>
      <c r="E154" s="36"/>
      <c r="F154" s="17">
        <f>E154*D154</f>
        <v>0</v>
      </c>
      <c r="K154" s="162"/>
      <c r="L154" s="449">
        <f>SUM(L151:L153)</f>
        <v>1398</v>
      </c>
      <c r="M154" s="162"/>
      <c r="N154" s="162"/>
      <c r="O154" s="162"/>
    </row>
    <row r="155" spans="1:15" ht="14.5" customHeight="1" x14ac:dyDescent="0.2">
      <c r="A155" s="18"/>
      <c r="B155" s="21"/>
      <c r="C155" s="19"/>
      <c r="D155" s="20"/>
      <c r="E155" s="36"/>
      <c r="F155" s="17"/>
    </row>
    <row r="156" spans="1:15" x14ac:dyDescent="0.2">
      <c r="A156" s="22"/>
      <c r="B156" s="22"/>
      <c r="C156" s="19"/>
      <c r="D156" s="20"/>
      <c r="E156" s="22"/>
      <c r="F156" s="17"/>
      <c r="I156" s="2"/>
    </row>
    <row r="157" spans="1:15" x14ac:dyDescent="0.2">
      <c r="A157" s="24"/>
      <c r="B157" s="24"/>
      <c r="C157" s="136"/>
      <c r="D157" s="137"/>
      <c r="E157" s="22"/>
      <c r="F157" s="17"/>
    </row>
    <row r="158" spans="1:15" x14ac:dyDescent="0.2">
      <c r="E158" s="26" t="s">
        <v>12</v>
      </c>
      <c r="F158" s="27">
        <f>SUM(F152:F157)</f>
        <v>6291</v>
      </c>
    </row>
    <row r="160" spans="1:15" x14ac:dyDescent="0.2">
      <c r="A160" t="str">
        <f>Summary!$G$9</f>
        <v>Contractor</v>
      </c>
    </row>
    <row r="164" spans="1:6" x14ac:dyDescent="0.2">
      <c r="C164" s="494" t="str">
        <f>Summary!$G$10</f>
        <v>Construction Manager</v>
      </c>
      <c r="D164" s="494"/>
      <c r="E164" s="494"/>
      <c r="F164" s="494"/>
    </row>
    <row r="166" spans="1:6" x14ac:dyDescent="0.2">
      <c r="A166" s="5" t="str">
        <f>Summary!$G$11</f>
        <v>PIPELINE PROJECT</v>
      </c>
    </row>
    <row r="178" spans="1:15" ht="16" x14ac:dyDescent="0.2">
      <c r="A178" s="157" t="s">
        <v>89</v>
      </c>
    </row>
    <row r="179" spans="1:15" x14ac:dyDescent="0.2">
      <c r="A179" s="5"/>
    </row>
    <row r="181" spans="1:15" x14ac:dyDescent="0.2">
      <c r="A181" t="s">
        <v>0</v>
      </c>
      <c r="E181" s="2" t="s">
        <v>64</v>
      </c>
      <c r="F181" s="3">
        <v>42475</v>
      </c>
    </row>
    <row r="182" spans="1:15" x14ac:dyDescent="0.2">
      <c r="A182" t="s">
        <v>1</v>
      </c>
      <c r="B182" s="7" t="s">
        <v>278</v>
      </c>
    </row>
    <row r="183" spans="1:15" x14ac:dyDescent="0.2">
      <c r="L183" s="154">
        <v>42475</v>
      </c>
    </row>
    <row r="184" spans="1:15" x14ac:dyDescent="0.2">
      <c r="A184" s="9" t="s">
        <v>2</v>
      </c>
      <c r="B184" s="10"/>
      <c r="C184" s="11" t="s">
        <v>4</v>
      </c>
      <c r="D184" s="11" t="s">
        <v>3</v>
      </c>
      <c r="E184" s="11" t="s">
        <v>8</v>
      </c>
      <c r="F184" s="12" t="s">
        <v>260</v>
      </c>
      <c r="I184" s="450" t="s">
        <v>886</v>
      </c>
      <c r="L184">
        <v>1275</v>
      </c>
    </row>
    <row r="185" spans="1:15" ht="14.5" customHeight="1" x14ac:dyDescent="0.2">
      <c r="A185" s="352" t="s">
        <v>273</v>
      </c>
      <c r="B185" s="115" t="s">
        <v>274</v>
      </c>
      <c r="C185" s="14"/>
      <c r="D185" s="15"/>
      <c r="E185" s="116"/>
      <c r="F185" s="17"/>
      <c r="L185" s="154"/>
      <c r="M185" s="154"/>
      <c r="N185" s="154"/>
    </row>
    <row r="186" spans="1:15" x14ac:dyDescent="0.2">
      <c r="A186" s="18"/>
      <c r="B186" s="21" t="s">
        <v>275</v>
      </c>
      <c r="C186" s="19" t="s">
        <v>277</v>
      </c>
      <c r="D186" s="20">
        <v>4.5</v>
      </c>
      <c r="E186" s="36">
        <v>1275</v>
      </c>
      <c r="F186" s="17">
        <f>E186*D186</f>
        <v>5737.5</v>
      </c>
    </row>
    <row r="187" spans="1:15" x14ac:dyDescent="0.2">
      <c r="A187" s="18"/>
      <c r="B187" s="21" t="s">
        <v>276</v>
      </c>
      <c r="C187" s="19" t="s">
        <v>277</v>
      </c>
      <c r="D187" s="20">
        <v>45</v>
      </c>
      <c r="E187" s="36"/>
      <c r="F187" s="17">
        <f>E187*D187</f>
        <v>0</v>
      </c>
      <c r="K187" s="162"/>
      <c r="L187" s="449">
        <f>SUM(L184:L186)</f>
        <v>1275</v>
      </c>
      <c r="M187" s="162"/>
      <c r="N187" s="162"/>
      <c r="O187" s="162"/>
    </row>
    <row r="188" spans="1:15" ht="14.5" customHeight="1" x14ac:dyDescent="0.2">
      <c r="A188" s="18"/>
      <c r="B188" s="21"/>
      <c r="C188" s="19"/>
      <c r="D188" s="20"/>
      <c r="E188" s="36"/>
      <c r="F188" s="17"/>
    </row>
    <row r="189" spans="1:15" x14ac:dyDescent="0.2">
      <c r="A189" s="22"/>
      <c r="B189" s="22"/>
      <c r="C189" s="19"/>
      <c r="D189" s="20"/>
      <c r="E189" s="22"/>
      <c r="F189" s="17"/>
      <c r="I189" s="2"/>
    </row>
    <row r="190" spans="1:15" x14ac:dyDescent="0.2">
      <c r="A190" s="24"/>
      <c r="B190" s="24"/>
      <c r="C190" s="136"/>
      <c r="D190" s="137"/>
      <c r="E190" s="22"/>
      <c r="F190" s="17"/>
    </row>
    <row r="191" spans="1:15" x14ac:dyDescent="0.2">
      <c r="E191" s="26" t="s">
        <v>12</v>
      </c>
      <c r="F191" s="27">
        <f>SUM(F185:F190)</f>
        <v>5737.5</v>
      </c>
    </row>
    <row r="193" spans="1:6" x14ac:dyDescent="0.2">
      <c r="A193" t="str">
        <f>Summary!$G$9</f>
        <v>Contractor</v>
      </c>
    </row>
    <row r="197" spans="1:6" x14ac:dyDescent="0.2">
      <c r="C197" s="494" t="str">
        <f>Summary!$G$10</f>
        <v>Construction Manager</v>
      </c>
      <c r="D197" s="494"/>
      <c r="E197" s="494"/>
      <c r="F197" s="494"/>
    </row>
    <row r="199" spans="1:6" x14ac:dyDescent="0.2">
      <c r="A199" s="5" t="str">
        <f>Summary!$G$11</f>
        <v>PIPELINE PROJECT</v>
      </c>
    </row>
    <row r="211" spans="1:15" ht="16" x14ac:dyDescent="0.2">
      <c r="A211" s="157" t="s">
        <v>89</v>
      </c>
    </row>
    <row r="212" spans="1:15" x14ac:dyDescent="0.2">
      <c r="A212" s="5"/>
    </row>
    <row r="214" spans="1:15" x14ac:dyDescent="0.2">
      <c r="A214" t="s">
        <v>0</v>
      </c>
      <c r="E214" s="2" t="s">
        <v>64</v>
      </c>
      <c r="F214" s="3">
        <v>42490</v>
      </c>
    </row>
    <row r="215" spans="1:15" x14ac:dyDescent="0.2">
      <c r="A215" t="s">
        <v>1</v>
      </c>
      <c r="B215" s="7" t="s">
        <v>278</v>
      </c>
    </row>
    <row r="216" spans="1:15" x14ac:dyDescent="0.2">
      <c r="L216" s="154">
        <v>42490</v>
      </c>
    </row>
    <row r="217" spans="1:15" x14ac:dyDescent="0.2">
      <c r="A217" s="9" t="s">
        <v>2</v>
      </c>
      <c r="B217" s="10"/>
      <c r="C217" s="11" t="s">
        <v>4</v>
      </c>
      <c r="D217" s="11" t="s">
        <v>3</v>
      </c>
      <c r="E217" s="11" t="s">
        <v>8</v>
      </c>
      <c r="F217" s="12" t="s">
        <v>260</v>
      </c>
      <c r="I217" s="450" t="s">
        <v>886</v>
      </c>
    </row>
    <row r="218" spans="1:15" ht="14.5" customHeight="1" x14ac:dyDescent="0.2">
      <c r="A218" s="352" t="s">
        <v>273</v>
      </c>
      <c r="B218" s="115" t="s">
        <v>274</v>
      </c>
      <c r="C218" s="14"/>
      <c r="D218" s="15"/>
      <c r="E218" s="116"/>
      <c r="F218" s="17"/>
      <c r="L218" s="154"/>
      <c r="M218" s="154"/>
      <c r="N218" s="154"/>
    </row>
    <row r="219" spans="1:15" x14ac:dyDescent="0.2">
      <c r="A219" s="18"/>
      <c r="B219" s="21" t="s">
        <v>275</v>
      </c>
      <c r="C219" s="19" t="s">
        <v>277</v>
      </c>
      <c r="D219" s="20">
        <v>4.5</v>
      </c>
      <c r="E219" s="36">
        <v>340</v>
      </c>
      <c r="F219" s="17">
        <f>E219*D219</f>
        <v>1530</v>
      </c>
    </row>
    <row r="220" spans="1:15" x14ac:dyDescent="0.2">
      <c r="A220" s="18"/>
      <c r="B220" s="21" t="s">
        <v>276</v>
      </c>
      <c r="C220" s="19" t="s">
        <v>277</v>
      </c>
      <c r="D220" s="20">
        <v>45</v>
      </c>
      <c r="E220" s="36"/>
      <c r="F220" s="17">
        <f>E220*D220</f>
        <v>0</v>
      </c>
      <c r="K220" s="162"/>
      <c r="L220" s="449">
        <f>SUM(L217:L219)</f>
        <v>0</v>
      </c>
      <c r="M220" s="162"/>
      <c r="N220" s="162"/>
      <c r="O220" s="162"/>
    </row>
    <row r="221" spans="1:15" ht="14.5" customHeight="1" x14ac:dyDescent="0.2">
      <c r="A221" s="18"/>
      <c r="B221" s="21"/>
      <c r="C221" s="19"/>
      <c r="D221" s="20"/>
      <c r="E221" s="36"/>
      <c r="F221" s="17"/>
    </row>
    <row r="222" spans="1:15" x14ac:dyDescent="0.2">
      <c r="A222" s="22"/>
      <c r="B222" s="22"/>
      <c r="C222" s="19"/>
      <c r="D222" s="20"/>
      <c r="E222" s="22"/>
      <c r="F222" s="17"/>
      <c r="I222" s="2"/>
    </row>
    <row r="223" spans="1:15" x14ac:dyDescent="0.2">
      <c r="A223" s="24"/>
      <c r="B223" s="24"/>
      <c r="C223" s="136"/>
      <c r="D223" s="137"/>
      <c r="E223" s="22"/>
      <c r="F223" s="17"/>
    </row>
    <row r="224" spans="1:15" x14ac:dyDescent="0.2">
      <c r="E224" s="26" t="s">
        <v>12</v>
      </c>
      <c r="F224" s="27">
        <f>SUM(F218:F223)</f>
        <v>1530</v>
      </c>
    </row>
    <row r="226" spans="1:6" x14ac:dyDescent="0.2">
      <c r="A226" t="str">
        <f>Summary!$G$9</f>
        <v>Contractor</v>
      </c>
    </row>
    <row r="230" spans="1:6" x14ac:dyDescent="0.2">
      <c r="C230" s="494" t="str">
        <f>Summary!$G$10</f>
        <v>Construction Manager</v>
      </c>
      <c r="D230" s="494"/>
      <c r="E230" s="494"/>
      <c r="F230" s="494"/>
    </row>
    <row r="232" spans="1:6" x14ac:dyDescent="0.2">
      <c r="A232" s="5" t="str">
        <f>Summary!$G$11</f>
        <v>PIPELINE PROJECT</v>
      </c>
    </row>
    <row r="244" spans="1:15" ht="16" x14ac:dyDescent="0.2">
      <c r="A244" s="157" t="s">
        <v>89</v>
      </c>
    </row>
    <row r="245" spans="1:15" x14ac:dyDescent="0.2">
      <c r="A245" s="5"/>
    </row>
    <row r="247" spans="1:15" x14ac:dyDescent="0.2">
      <c r="A247" t="s">
        <v>0</v>
      </c>
      <c r="E247" s="2" t="s">
        <v>64</v>
      </c>
      <c r="F247" s="3">
        <f>Summary!$G$3</f>
        <v>42505</v>
      </c>
    </row>
    <row r="248" spans="1:15" x14ac:dyDescent="0.2">
      <c r="A248" t="s">
        <v>1</v>
      </c>
      <c r="B248" s="7" t="s">
        <v>278</v>
      </c>
    </row>
    <row r="249" spans="1:15" x14ac:dyDescent="0.2">
      <c r="L249" s="154">
        <v>42490</v>
      </c>
    </row>
    <row r="250" spans="1:15" x14ac:dyDescent="0.2">
      <c r="A250" s="9" t="s">
        <v>2</v>
      </c>
      <c r="B250" s="10"/>
      <c r="C250" s="11" t="s">
        <v>4</v>
      </c>
      <c r="D250" s="11" t="s">
        <v>3</v>
      </c>
      <c r="E250" s="11" t="s">
        <v>8</v>
      </c>
      <c r="F250" s="12" t="s">
        <v>260</v>
      </c>
      <c r="I250" s="450" t="s">
        <v>886</v>
      </c>
    </row>
    <row r="251" spans="1:15" ht="14.5" customHeight="1" x14ac:dyDescent="0.2">
      <c r="A251" s="352" t="s">
        <v>273</v>
      </c>
      <c r="B251" s="115" t="s">
        <v>274</v>
      </c>
      <c r="C251" s="14"/>
      <c r="D251" s="15"/>
      <c r="E251" s="116"/>
      <c r="F251" s="17"/>
      <c r="L251" s="154"/>
      <c r="M251" s="154"/>
      <c r="N251" s="154"/>
    </row>
    <row r="252" spans="1:15" x14ac:dyDescent="0.2">
      <c r="A252" s="18"/>
      <c r="B252" s="21" t="s">
        <v>275</v>
      </c>
      <c r="C252" s="19" t="s">
        <v>277</v>
      </c>
      <c r="D252" s="20">
        <v>4.5</v>
      </c>
      <c r="E252" s="36"/>
      <c r="F252" s="17">
        <f>E252*D252</f>
        <v>0</v>
      </c>
    </row>
    <row r="253" spans="1:15" x14ac:dyDescent="0.2">
      <c r="A253" s="18"/>
      <c r="B253" s="21" t="s">
        <v>276</v>
      </c>
      <c r="C253" s="19" t="s">
        <v>277</v>
      </c>
      <c r="D253" s="20">
        <v>45</v>
      </c>
      <c r="E253" s="36"/>
      <c r="F253" s="17">
        <f>E253*D253</f>
        <v>0</v>
      </c>
      <c r="K253" s="162"/>
      <c r="L253" s="449">
        <f>SUM(L250:L252)</f>
        <v>0</v>
      </c>
      <c r="M253" s="162"/>
      <c r="N253" s="162"/>
      <c r="O253" s="162"/>
    </row>
    <row r="254" spans="1:15" ht="14.5" customHeight="1" x14ac:dyDescent="0.2">
      <c r="A254" s="18"/>
      <c r="B254" s="21"/>
      <c r="C254" s="19"/>
      <c r="D254" s="20"/>
      <c r="E254" s="36"/>
      <c r="F254" s="17"/>
    </row>
    <row r="255" spans="1:15" x14ac:dyDescent="0.2">
      <c r="A255" s="22"/>
      <c r="B255" s="22"/>
      <c r="C255" s="19"/>
      <c r="D255" s="20"/>
      <c r="E255" s="22"/>
      <c r="F255" s="17"/>
      <c r="I255" s="2"/>
    </row>
    <row r="256" spans="1:15" x14ac:dyDescent="0.2">
      <c r="A256" s="24"/>
      <c r="B256" s="24"/>
      <c r="C256" s="136"/>
      <c r="D256" s="137"/>
      <c r="E256" s="22"/>
      <c r="F256" s="17"/>
    </row>
    <row r="257" spans="1:6" x14ac:dyDescent="0.2">
      <c r="E257" s="26" t="s">
        <v>12</v>
      </c>
      <c r="F257" s="27">
        <f>SUM(F251:F256)</f>
        <v>0</v>
      </c>
    </row>
    <row r="259" spans="1:6" x14ac:dyDescent="0.2">
      <c r="A259" t="str">
        <f>Summary!$G$9</f>
        <v>Contractor</v>
      </c>
    </row>
    <row r="263" spans="1:6" x14ac:dyDescent="0.2">
      <c r="C263" s="494" t="str">
        <f>Summary!$G$10</f>
        <v>Construction Manager</v>
      </c>
      <c r="D263" s="494"/>
      <c r="E263" s="494"/>
      <c r="F263" s="494"/>
    </row>
  </sheetData>
  <mergeCells count="8">
    <mergeCell ref="C263:F263"/>
    <mergeCell ref="C230:F230"/>
    <mergeCell ref="C197:F197"/>
    <mergeCell ref="C32:F32"/>
    <mergeCell ref="C65:F65"/>
    <mergeCell ref="C98:F98"/>
    <mergeCell ref="C131:F131"/>
    <mergeCell ref="C164:F164"/>
  </mergeCells>
  <phoneticPr fontId="26" type="noConversion"/>
  <pageMargins left="0.69889763779527558" right="0.70000000000000007" top="1.34" bottom="0.75000000000000011" header="0.30000000000000004" footer="0.30000000000000004"/>
  <pageSetup scale="94" orientation="portrait" verticalDpi="1200"/>
  <rowBreaks count="6" manualBreakCount="6">
    <brk id="33" max="16383" man="1"/>
    <brk id="66" max="16383" man="1"/>
    <brk id="99" max="16383" man="1"/>
    <brk id="132" max="16383" man="1"/>
    <brk id="165" max="16383" man="1"/>
    <brk id="264" max="16383" man="1"/>
  </rowBreaks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88"/>
  <sheetViews>
    <sheetView workbookViewId="0">
      <selection activeCell="F78" sqref="F78"/>
    </sheetView>
  </sheetViews>
  <sheetFormatPr baseColWidth="10" defaultColWidth="8.83203125" defaultRowHeight="15" x14ac:dyDescent="0.2"/>
  <cols>
    <col min="1" max="1" width="10" customWidth="1"/>
    <col min="2" max="2" width="39.1640625" customWidth="1"/>
    <col min="3" max="3" width="9.1640625" customWidth="1"/>
    <col min="4" max="4" width="10.1640625" customWidth="1"/>
    <col min="5" max="5" width="9.5" customWidth="1"/>
    <col min="6" max="6" width="14.33203125" customWidth="1"/>
    <col min="14" max="14" width="8.83203125" style="367"/>
  </cols>
  <sheetData>
    <row r="1" spans="1:6" x14ac:dyDescent="0.2">
      <c r="A1" s="5" t="str">
        <f>Summary!$G$11</f>
        <v>PIPELINE PROJECT</v>
      </c>
    </row>
    <row r="13" spans="1:6" ht="16" x14ac:dyDescent="0.2">
      <c r="A13" s="157" t="s">
        <v>89</v>
      </c>
    </row>
    <row r="14" spans="1:6" x14ac:dyDescent="0.2">
      <c r="A14" s="5"/>
    </row>
    <row r="16" spans="1:6" x14ac:dyDescent="0.2">
      <c r="A16" t="s">
        <v>0</v>
      </c>
      <c r="E16" s="2" t="s">
        <v>64</v>
      </c>
      <c r="F16" s="3">
        <v>42400</v>
      </c>
    </row>
    <row r="17" spans="1:10" x14ac:dyDescent="0.2">
      <c r="A17" t="s">
        <v>1</v>
      </c>
      <c r="B17" s="4" t="s">
        <v>523</v>
      </c>
    </row>
    <row r="19" spans="1:10" x14ac:dyDescent="0.2">
      <c r="A19" s="9" t="s">
        <v>2</v>
      </c>
      <c r="B19" s="10"/>
      <c r="C19" s="11" t="s">
        <v>4</v>
      </c>
      <c r="D19" s="11" t="s">
        <v>3</v>
      </c>
      <c r="E19" s="11" t="s">
        <v>8</v>
      </c>
      <c r="F19" s="12" t="s">
        <v>260</v>
      </c>
    </row>
    <row r="20" spans="1:10" ht="14.5" customHeight="1" x14ac:dyDescent="0.2">
      <c r="A20" s="13" t="s">
        <v>522</v>
      </c>
      <c r="B20" s="115" t="s">
        <v>528</v>
      </c>
      <c r="C20" s="117"/>
      <c r="D20" s="15"/>
      <c r="E20" s="16"/>
      <c r="F20" s="17"/>
    </row>
    <row r="21" spans="1:10" x14ac:dyDescent="0.2">
      <c r="A21" s="18"/>
      <c r="B21" s="21" t="s">
        <v>524</v>
      </c>
      <c r="C21" s="19" t="s">
        <v>527</v>
      </c>
      <c r="D21" s="20">
        <v>4500</v>
      </c>
      <c r="E21" s="46">
        <v>1</v>
      </c>
      <c r="F21" s="17">
        <f>E21*D21</f>
        <v>4500</v>
      </c>
      <c r="I21" s="154">
        <v>42716</v>
      </c>
      <c r="J21" t="s">
        <v>676</v>
      </c>
    </row>
    <row r="22" spans="1:10" x14ac:dyDescent="0.2">
      <c r="A22" s="18"/>
      <c r="B22" s="21" t="s">
        <v>525</v>
      </c>
      <c r="C22" s="19" t="s">
        <v>527</v>
      </c>
      <c r="D22" s="20">
        <v>8200</v>
      </c>
      <c r="E22" s="36"/>
      <c r="F22" s="17"/>
      <c r="J22" t="s">
        <v>677</v>
      </c>
    </row>
    <row r="23" spans="1:10" ht="14.5" customHeight="1" x14ac:dyDescent="0.2">
      <c r="A23" s="18"/>
      <c r="B23" s="21"/>
      <c r="C23" s="19"/>
      <c r="D23" s="20"/>
      <c r="E23" s="36"/>
      <c r="F23" s="17"/>
    </row>
    <row r="24" spans="1:10" x14ac:dyDescent="0.2">
      <c r="A24" s="22"/>
      <c r="B24" s="22"/>
      <c r="C24" s="22"/>
      <c r="D24" s="22"/>
      <c r="E24" s="22"/>
      <c r="F24" s="23"/>
    </row>
    <row r="25" spans="1:10" x14ac:dyDescent="0.2">
      <c r="A25" s="22"/>
      <c r="B25" s="22"/>
      <c r="C25" s="22"/>
      <c r="D25" s="22"/>
      <c r="E25" s="22"/>
      <c r="F25" s="23"/>
    </row>
    <row r="26" spans="1:10" x14ac:dyDescent="0.2">
      <c r="A26" s="22"/>
      <c r="B26" s="22"/>
      <c r="C26" s="22"/>
      <c r="D26" s="22"/>
      <c r="E26" s="22"/>
      <c r="F26" s="23"/>
    </row>
    <row r="27" spans="1:10" x14ac:dyDescent="0.2">
      <c r="A27" s="22"/>
      <c r="B27" s="22"/>
      <c r="C27" s="22"/>
      <c r="D27" s="22"/>
      <c r="E27" s="22"/>
      <c r="F27" s="23"/>
    </row>
    <row r="28" spans="1:10" x14ac:dyDescent="0.2">
      <c r="A28" s="24"/>
      <c r="B28" s="24"/>
      <c r="C28" s="24"/>
      <c r="D28" s="24"/>
      <c r="E28" s="24"/>
      <c r="F28" s="25"/>
    </row>
    <row r="29" spans="1:10" x14ac:dyDescent="0.2">
      <c r="E29" s="26" t="s">
        <v>12</v>
      </c>
      <c r="F29" s="27">
        <f>SUM(F20:F28)</f>
        <v>4500</v>
      </c>
    </row>
    <row r="31" spans="1:10" x14ac:dyDescent="0.2">
      <c r="A31" t="str">
        <f>Summary!$G$9</f>
        <v>Contractor</v>
      </c>
    </row>
    <row r="35" spans="1:6" x14ac:dyDescent="0.2">
      <c r="C35" s="494" t="str">
        <f>Summary!$G$10</f>
        <v>Construction Manager</v>
      </c>
      <c r="D35" s="494"/>
      <c r="E35" s="494"/>
      <c r="F35" s="494"/>
    </row>
    <row r="37" spans="1:6" x14ac:dyDescent="0.2">
      <c r="A37" s="5" t="str">
        <f>Summary!$G$11</f>
        <v>PIPELINE PROJECT</v>
      </c>
    </row>
    <row r="49" spans="1:17" ht="16" x14ac:dyDescent="0.2">
      <c r="A49" s="157" t="s">
        <v>89</v>
      </c>
    </row>
    <row r="50" spans="1:17" x14ac:dyDescent="0.2">
      <c r="A50" s="5"/>
    </row>
    <row r="52" spans="1:17" x14ac:dyDescent="0.2">
      <c r="A52" t="s">
        <v>0</v>
      </c>
      <c r="E52" s="2" t="s">
        <v>64</v>
      </c>
      <c r="F52" s="3">
        <v>42429</v>
      </c>
    </row>
    <row r="53" spans="1:17" x14ac:dyDescent="0.2">
      <c r="A53" t="s">
        <v>1</v>
      </c>
      <c r="B53" s="4" t="s">
        <v>523</v>
      </c>
    </row>
    <row r="54" spans="1:17" x14ac:dyDescent="0.2">
      <c r="I54" s="154">
        <v>42409</v>
      </c>
      <c r="J54" t="s">
        <v>694</v>
      </c>
      <c r="N54" s="367" t="s">
        <v>695</v>
      </c>
      <c r="P54">
        <v>3400</v>
      </c>
    </row>
    <row r="55" spans="1:17" x14ac:dyDescent="0.2">
      <c r="A55" s="9" t="s">
        <v>2</v>
      </c>
      <c r="B55" s="10"/>
      <c r="C55" s="11" t="s">
        <v>4</v>
      </c>
      <c r="D55" s="11" t="s">
        <v>3</v>
      </c>
      <c r="E55" s="11" t="s">
        <v>8</v>
      </c>
      <c r="F55" s="12" t="s">
        <v>260</v>
      </c>
      <c r="I55" s="154">
        <v>42424</v>
      </c>
      <c r="J55" t="s">
        <v>675</v>
      </c>
      <c r="N55" s="367" t="s">
        <v>697</v>
      </c>
      <c r="P55">
        <v>4500</v>
      </c>
      <c r="Q55">
        <f>P55</f>
        <v>4500</v>
      </c>
    </row>
    <row r="56" spans="1:17" ht="14.5" customHeight="1" x14ac:dyDescent="0.2">
      <c r="A56" s="13" t="s">
        <v>522</v>
      </c>
      <c r="B56" s="115" t="s">
        <v>528</v>
      </c>
      <c r="C56" s="117"/>
      <c r="D56" s="15"/>
      <c r="E56" s="16"/>
      <c r="F56" s="17"/>
      <c r="I56" s="154">
        <v>42425</v>
      </c>
      <c r="J56" t="s">
        <v>687</v>
      </c>
      <c r="P56">
        <v>11050</v>
      </c>
      <c r="Q56">
        <f t="shared" ref="Q56:Q57" si="0">P56</f>
        <v>11050</v>
      </c>
    </row>
    <row r="57" spans="1:17" x14ac:dyDescent="0.2">
      <c r="A57" s="18"/>
      <c r="B57" s="21" t="s">
        <v>524</v>
      </c>
      <c r="C57" s="19" t="s">
        <v>527</v>
      </c>
      <c r="D57" s="20">
        <v>4500</v>
      </c>
      <c r="E57" s="46">
        <v>1</v>
      </c>
      <c r="F57" s="17">
        <f>E57*D57</f>
        <v>4500</v>
      </c>
      <c r="I57" s="154">
        <v>42426</v>
      </c>
      <c r="J57" t="s">
        <v>688</v>
      </c>
      <c r="N57" s="367" t="s">
        <v>693</v>
      </c>
      <c r="P57">
        <v>4500</v>
      </c>
      <c r="Q57">
        <f t="shared" si="0"/>
        <v>4500</v>
      </c>
    </row>
    <row r="58" spans="1:17" x14ac:dyDescent="0.2">
      <c r="A58" s="18"/>
      <c r="B58" s="410" t="s">
        <v>525</v>
      </c>
      <c r="C58" s="411" t="s">
        <v>527</v>
      </c>
      <c r="D58" s="412">
        <v>8200</v>
      </c>
      <c r="E58" s="36"/>
      <c r="F58" s="17">
        <f>E58*D58</f>
        <v>0</v>
      </c>
      <c r="I58" s="154">
        <v>42429</v>
      </c>
      <c r="J58" t="s">
        <v>689</v>
      </c>
      <c r="N58" s="367" t="s">
        <v>698</v>
      </c>
      <c r="P58">
        <v>10500</v>
      </c>
    </row>
    <row r="59" spans="1:17" ht="14.5" customHeight="1" x14ac:dyDescent="0.2">
      <c r="A59" s="18"/>
      <c r="B59" s="414" t="s">
        <v>711</v>
      </c>
      <c r="C59" s="415"/>
      <c r="D59" s="127"/>
      <c r="E59" s="36"/>
      <c r="F59" s="17"/>
      <c r="I59" s="154">
        <v>42429</v>
      </c>
      <c r="J59" t="s">
        <v>690</v>
      </c>
      <c r="N59" s="367" t="s">
        <v>699</v>
      </c>
      <c r="P59">
        <v>9000</v>
      </c>
    </row>
    <row r="60" spans="1:17" x14ac:dyDescent="0.2">
      <c r="A60" s="22"/>
      <c r="B60" s="21" t="s">
        <v>524</v>
      </c>
      <c r="C60" s="19" t="s">
        <v>527</v>
      </c>
      <c r="D60" s="20">
        <v>11050</v>
      </c>
      <c r="E60" s="47">
        <v>1</v>
      </c>
      <c r="F60" s="17">
        <f t="shared" ref="F60:F64" si="1">E60*D60</f>
        <v>11050</v>
      </c>
      <c r="I60" s="154">
        <v>42430</v>
      </c>
      <c r="J60" t="s">
        <v>700</v>
      </c>
      <c r="N60" s="367" t="s">
        <v>756</v>
      </c>
      <c r="P60">
        <v>9000</v>
      </c>
    </row>
    <row r="61" spans="1:17" x14ac:dyDescent="0.2">
      <c r="A61" s="22"/>
      <c r="B61" s="21" t="s">
        <v>525</v>
      </c>
      <c r="C61" s="19" t="s">
        <v>527</v>
      </c>
      <c r="D61" s="20">
        <v>17600</v>
      </c>
      <c r="E61" s="47"/>
      <c r="F61" s="17">
        <f t="shared" si="1"/>
        <v>0</v>
      </c>
      <c r="I61" s="154"/>
      <c r="K61" t="s">
        <v>705</v>
      </c>
      <c r="P61">
        <v>4500</v>
      </c>
    </row>
    <row r="62" spans="1:17" x14ac:dyDescent="0.2">
      <c r="A62" s="22"/>
      <c r="B62" s="107" t="s">
        <v>712</v>
      </c>
      <c r="C62" s="413"/>
      <c r="D62" s="140"/>
      <c r="E62" s="47"/>
      <c r="F62" s="17"/>
      <c r="K62" t="s">
        <v>701</v>
      </c>
      <c r="L62" t="s">
        <v>704</v>
      </c>
      <c r="P62" s="330">
        <v>27000</v>
      </c>
    </row>
    <row r="63" spans="1:17" x14ac:dyDescent="0.2">
      <c r="A63" s="22"/>
      <c r="B63" s="21" t="s">
        <v>524</v>
      </c>
      <c r="C63" s="19" t="s">
        <v>527</v>
      </c>
      <c r="D63" s="20">
        <v>4500</v>
      </c>
      <c r="E63" s="47">
        <v>1</v>
      </c>
      <c r="F63" s="17">
        <f t="shared" si="1"/>
        <v>4500</v>
      </c>
      <c r="K63" t="s">
        <v>702</v>
      </c>
      <c r="P63" s="330">
        <v>12000</v>
      </c>
    </row>
    <row r="64" spans="1:17" x14ac:dyDescent="0.2">
      <c r="A64" s="24"/>
      <c r="B64" s="416" t="s">
        <v>525</v>
      </c>
      <c r="C64" s="136" t="s">
        <v>527</v>
      </c>
      <c r="D64" s="137">
        <v>8200</v>
      </c>
      <c r="E64" s="24"/>
      <c r="F64" s="17">
        <f t="shared" si="1"/>
        <v>0</v>
      </c>
      <c r="K64" t="s">
        <v>703</v>
      </c>
      <c r="P64" s="330">
        <v>12000</v>
      </c>
    </row>
    <row r="65" spans="1:17" x14ac:dyDescent="0.2">
      <c r="E65" s="26" t="s">
        <v>12</v>
      </c>
      <c r="F65" s="27">
        <f>SUM(F56:F64)</f>
        <v>20050</v>
      </c>
      <c r="P65">
        <f>SUM(P54:P64)</f>
        <v>107450</v>
      </c>
      <c r="Q65">
        <f>SUM(Q54:Q64)</f>
        <v>20050</v>
      </c>
    </row>
    <row r="67" spans="1:17" x14ac:dyDescent="0.2">
      <c r="A67" t="str">
        <f>Summary!$G$9</f>
        <v>Contractor</v>
      </c>
    </row>
    <row r="71" spans="1:17" x14ac:dyDescent="0.2">
      <c r="C71" s="494" t="str">
        <f>Summary!$G$10</f>
        <v>Construction Manager</v>
      </c>
      <c r="D71" s="494"/>
      <c r="E71" s="494"/>
      <c r="F71" s="494"/>
    </row>
    <row r="73" spans="1:17" x14ac:dyDescent="0.2">
      <c r="A73" s="5" t="str">
        <f>Summary!$G$11</f>
        <v>PIPELINE PROJECT</v>
      </c>
    </row>
    <row r="85" spans="1:18" ht="16" x14ac:dyDescent="0.2">
      <c r="A85" s="157" t="s">
        <v>89</v>
      </c>
    </row>
    <row r="86" spans="1:18" x14ac:dyDescent="0.2">
      <c r="A86" s="5"/>
    </row>
    <row r="88" spans="1:18" x14ac:dyDescent="0.2">
      <c r="A88" t="s">
        <v>0</v>
      </c>
      <c r="E88" s="2" t="s">
        <v>64</v>
      </c>
      <c r="F88" s="3">
        <v>42444</v>
      </c>
    </row>
    <row r="89" spans="1:18" x14ac:dyDescent="0.2">
      <c r="A89" t="s">
        <v>1</v>
      </c>
      <c r="B89" s="4" t="s">
        <v>523</v>
      </c>
    </row>
    <row r="90" spans="1:18" x14ac:dyDescent="0.2">
      <c r="I90" s="154">
        <v>42409</v>
      </c>
      <c r="J90" t="s">
        <v>694</v>
      </c>
      <c r="N90" s="367" t="s">
        <v>695</v>
      </c>
      <c r="P90">
        <v>3400</v>
      </c>
      <c r="Q90" s="359">
        <v>3400</v>
      </c>
    </row>
    <row r="91" spans="1:18" x14ac:dyDescent="0.2">
      <c r="A91" s="9" t="s">
        <v>2</v>
      </c>
      <c r="B91" s="10"/>
      <c r="C91" s="11" t="s">
        <v>4</v>
      </c>
      <c r="D91" s="11" t="s">
        <v>3</v>
      </c>
      <c r="E91" s="11" t="s">
        <v>8</v>
      </c>
      <c r="F91" s="12" t="s">
        <v>260</v>
      </c>
      <c r="I91" s="154">
        <v>42424</v>
      </c>
      <c r="J91" t="s">
        <v>675</v>
      </c>
      <c r="N91" s="367" t="s">
        <v>697</v>
      </c>
      <c r="P91">
        <v>4500</v>
      </c>
      <c r="Q91" s="359"/>
      <c r="R91" t="s">
        <v>781</v>
      </c>
    </row>
    <row r="92" spans="1:18" ht="14.5" customHeight="1" x14ac:dyDescent="0.2">
      <c r="A92" s="13" t="s">
        <v>522</v>
      </c>
      <c r="B92" s="115" t="s">
        <v>783</v>
      </c>
      <c r="C92" s="117"/>
      <c r="D92" s="15"/>
      <c r="E92" s="16"/>
      <c r="F92" s="17"/>
      <c r="I92" s="154">
        <v>42425</v>
      </c>
      <c r="J92" t="s">
        <v>687</v>
      </c>
      <c r="P92">
        <v>11050</v>
      </c>
      <c r="Q92" s="359"/>
      <c r="R92" t="s">
        <v>781</v>
      </c>
    </row>
    <row r="93" spans="1:18" x14ac:dyDescent="0.2">
      <c r="A93" s="18"/>
      <c r="B93" s="21" t="s">
        <v>524</v>
      </c>
      <c r="C93" s="19" t="s">
        <v>527</v>
      </c>
      <c r="D93" s="20">
        <v>10500</v>
      </c>
      <c r="E93" s="440">
        <v>0.32380940000000002</v>
      </c>
      <c r="F93" s="17">
        <f>E93*D93</f>
        <v>3399.9987000000001</v>
      </c>
      <c r="I93" s="154">
        <v>42426</v>
      </c>
      <c r="J93" t="s">
        <v>688</v>
      </c>
      <c r="N93" s="367" t="s">
        <v>693</v>
      </c>
      <c r="P93">
        <v>4500</v>
      </c>
      <c r="Q93" s="359"/>
      <c r="R93" t="s">
        <v>781</v>
      </c>
    </row>
    <row r="94" spans="1:18" x14ac:dyDescent="0.2">
      <c r="A94" s="424"/>
      <c r="B94" s="410" t="s">
        <v>525</v>
      </c>
      <c r="C94" s="411" t="s">
        <v>527</v>
      </c>
      <c r="D94" s="412">
        <v>16400</v>
      </c>
      <c r="E94" s="146"/>
      <c r="F94" s="17">
        <f>E94*D94</f>
        <v>0</v>
      </c>
      <c r="I94" s="154">
        <v>42429</v>
      </c>
      <c r="J94" t="s">
        <v>689</v>
      </c>
      <c r="N94" s="367" t="s">
        <v>698</v>
      </c>
      <c r="P94">
        <v>10500</v>
      </c>
      <c r="Q94" s="359">
        <v>10500</v>
      </c>
    </row>
    <row r="95" spans="1:18" ht="14.5" customHeight="1" x14ac:dyDescent="0.2">
      <c r="A95" s="425"/>
      <c r="B95" s="414" t="s">
        <v>780</v>
      </c>
      <c r="C95" s="415"/>
      <c r="D95" s="127"/>
      <c r="E95" s="46"/>
      <c r="F95" s="17"/>
      <c r="I95" s="154">
        <v>42429</v>
      </c>
      <c r="J95" t="s">
        <v>690</v>
      </c>
      <c r="N95" s="367" t="s">
        <v>699</v>
      </c>
      <c r="P95">
        <v>9000</v>
      </c>
      <c r="Q95" s="359">
        <v>9000</v>
      </c>
    </row>
    <row r="96" spans="1:18" x14ac:dyDescent="0.2">
      <c r="A96" s="18"/>
      <c r="B96" s="21" t="s">
        <v>524</v>
      </c>
      <c r="C96" s="19" t="s">
        <v>527</v>
      </c>
      <c r="D96" s="20">
        <v>10500</v>
      </c>
      <c r="E96" s="46">
        <v>1</v>
      </c>
      <c r="F96" s="17">
        <f>E96*D96</f>
        <v>10500</v>
      </c>
      <c r="I96" s="154">
        <v>42430</v>
      </c>
      <c r="J96" t="s">
        <v>700</v>
      </c>
      <c r="N96" s="367" t="s">
        <v>756</v>
      </c>
      <c r="P96">
        <v>9000</v>
      </c>
      <c r="Q96" s="359">
        <v>9000</v>
      </c>
    </row>
    <row r="97" spans="1:17" x14ac:dyDescent="0.2">
      <c r="A97" s="18"/>
      <c r="B97" s="410" t="s">
        <v>525</v>
      </c>
      <c r="C97" s="411" t="s">
        <v>527</v>
      </c>
      <c r="D97" s="412">
        <v>16400</v>
      </c>
      <c r="E97" s="36"/>
      <c r="F97" s="17">
        <f>E97*D97</f>
        <v>0</v>
      </c>
      <c r="I97" s="154"/>
      <c r="K97" t="s">
        <v>705</v>
      </c>
      <c r="P97">
        <v>4500</v>
      </c>
    </row>
    <row r="98" spans="1:17" ht="14.5" customHeight="1" x14ac:dyDescent="0.2">
      <c r="A98" s="18"/>
      <c r="B98" s="414" t="s">
        <v>778</v>
      </c>
      <c r="C98" s="415"/>
      <c r="D98" s="127"/>
      <c r="E98" s="36"/>
      <c r="F98" s="17"/>
      <c r="K98" t="s">
        <v>701</v>
      </c>
      <c r="L98" t="s">
        <v>704</v>
      </c>
      <c r="P98" s="330">
        <v>27000</v>
      </c>
    </row>
    <row r="99" spans="1:17" x14ac:dyDescent="0.2">
      <c r="A99" s="22"/>
      <c r="B99" s="21" t="s">
        <v>524</v>
      </c>
      <c r="C99" s="19" t="s">
        <v>527</v>
      </c>
      <c r="D99" s="20">
        <v>9000</v>
      </c>
      <c r="E99" s="47">
        <v>1</v>
      </c>
      <c r="F99" s="17">
        <f t="shared" ref="F99:F100" si="2">E99*D99</f>
        <v>9000</v>
      </c>
      <c r="K99" t="s">
        <v>702</v>
      </c>
      <c r="P99" s="330">
        <v>12000</v>
      </c>
    </row>
    <row r="100" spans="1:17" x14ac:dyDescent="0.2">
      <c r="A100" s="22"/>
      <c r="B100" s="21" t="s">
        <v>525</v>
      </c>
      <c r="C100" s="19" t="s">
        <v>527</v>
      </c>
      <c r="D100" s="20">
        <v>15200</v>
      </c>
      <c r="E100" s="47"/>
      <c r="F100" s="17">
        <f t="shared" si="2"/>
        <v>0</v>
      </c>
      <c r="K100" t="s">
        <v>703</v>
      </c>
      <c r="P100" s="330">
        <v>12000</v>
      </c>
    </row>
    <row r="101" spans="1:17" x14ac:dyDescent="0.2">
      <c r="A101" s="22"/>
      <c r="B101" s="107" t="s">
        <v>779</v>
      </c>
      <c r="C101" s="413"/>
      <c r="D101" s="140"/>
      <c r="E101" s="47"/>
      <c r="F101" s="17"/>
      <c r="P101">
        <f>SUM(P90:P100)</f>
        <v>107450</v>
      </c>
      <c r="Q101" s="359">
        <f>SUM(Q90:Q100)</f>
        <v>31900</v>
      </c>
    </row>
    <row r="102" spans="1:17" x14ac:dyDescent="0.2">
      <c r="A102" s="22"/>
      <c r="B102" s="21" t="s">
        <v>524</v>
      </c>
      <c r="C102" s="19" t="s">
        <v>527</v>
      </c>
      <c r="D102" s="20">
        <v>9000</v>
      </c>
      <c r="E102" s="47">
        <v>1</v>
      </c>
      <c r="F102" s="17">
        <f t="shared" ref="F102:F103" si="3">E102*D102</f>
        <v>9000</v>
      </c>
    </row>
    <row r="103" spans="1:17" x14ac:dyDescent="0.2">
      <c r="A103" s="24"/>
      <c r="B103" s="416" t="s">
        <v>525</v>
      </c>
      <c r="C103" s="136" t="s">
        <v>527</v>
      </c>
      <c r="D103" s="137">
        <v>15200</v>
      </c>
      <c r="E103" s="24"/>
      <c r="F103" s="17">
        <f t="shared" si="3"/>
        <v>0</v>
      </c>
    </row>
    <row r="104" spans="1:17" x14ac:dyDescent="0.2">
      <c r="E104" s="26" t="s">
        <v>12</v>
      </c>
      <c r="F104" s="27">
        <f>SUM(F92:F103)</f>
        <v>31899.9987</v>
      </c>
    </row>
    <row r="106" spans="1:17" x14ac:dyDescent="0.2">
      <c r="A106" t="str">
        <f>Summary!$G$9</f>
        <v>Contractor</v>
      </c>
    </row>
    <row r="110" spans="1:17" x14ac:dyDescent="0.2">
      <c r="C110" s="494" t="str">
        <f>Summary!$G$10</f>
        <v>Construction Manager</v>
      </c>
      <c r="D110" s="494"/>
      <c r="E110" s="494"/>
      <c r="F110" s="494"/>
    </row>
    <row r="112" spans="1:17" x14ac:dyDescent="0.2">
      <c r="A112" s="5" t="str">
        <f>Summary!$G$11</f>
        <v>PIPELINE PROJECT</v>
      </c>
    </row>
    <row r="124" spans="1:6" ht="16" x14ac:dyDescent="0.2">
      <c r="A124" s="157" t="s">
        <v>89</v>
      </c>
    </row>
    <row r="125" spans="1:6" x14ac:dyDescent="0.2">
      <c r="A125" s="5"/>
    </row>
    <row r="127" spans="1:6" x14ac:dyDescent="0.2">
      <c r="A127" t="s">
        <v>0</v>
      </c>
      <c r="E127" s="2" t="s">
        <v>64</v>
      </c>
      <c r="F127" s="3">
        <v>42490</v>
      </c>
    </row>
    <row r="128" spans="1:6" x14ac:dyDescent="0.2">
      <c r="A128" t="s">
        <v>1</v>
      </c>
      <c r="B128" s="4" t="s">
        <v>523</v>
      </c>
    </row>
    <row r="129" spans="1:18" x14ac:dyDescent="0.2">
      <c r="I129" s="154">
        <v>42409</v>
      </c>
      <c r="J129" t="s">
        <v>694</v>
      </c>
      <c r="N129" s="367" t="s">
        <v>695</v>
      </c>
      <c r="P129">
        <v>3400</v>
      </c>
      <c r="Q129" s="359">
        <v>3400</v>
      </c>
      <c r="R129" t="s">
        <v>852</v>
      </c>
    </row>
    <row r="130" spans="1:18" x14ac:dyDescent="0.2">
      <c r="A130" s="9" t="s">
        <v>2</v>
      </c>
      <c r="B130" s="10"/>
      <c r="C130" s="11" t="s">
        <v>4</v>
      </c>
      <c r="D130" s="11" t="s">
        <v>3</v>
      </c>
      <c r="E130" s="11" t="s">
        <v>8</v>
      </c>
      <c r="F130" s="12" t="s">
        <v>260</v>
      </c>
      <c r="I130" s="154">
        <v>42424</v>
      </c>
      <c r="J130" t="s">
        <v>675</v>
      </c>
      <c r="N130" s="367" t="s">
        <v>697</v>
      </c>
      <c r="P130">
        <v>4500</v>
      </c>
      <c r="Q130" s="359"/>
      <c r="R130" t="s">
        <v>781</v>
      </c>
    </row>
    <row r="131" spans="1:18" ht="14.5" customHeight="1" x14ac:dyDescent="0.2">
      <c r="A131" s="13" t="s">
        <v>522</v>
      </c>
      <c r="B131" s="115" t="s">
        <v>870</v>
      </c>
      <c r="C131" s="117"/>
      <c r="D131" s="15"/>
      <c r="E131" s="16"/>
      <c r="F131" s="17"/>
      <c r="I131" s="154">
        <v>42425</v>
      </c>
      <c r="J131" t="s">
        <v>687</v>
      </c>
      <c r="P131">
        <v>11050</v>
      </c>
      <c r="Q131" s="359"/>
      <c r="R131" t="s">
        <v>781</v>
      </c>
    </row>
    <row r="132" spans="1:18" x14ac:dyDescent="0.2">
      <c r="A132" s="18"/>
      <c r="B132" s="21" t="s">
        <v>524</v>
      </c>
      <c r="C132" s="19" t="s">
        <v>527</v>
      </c>
      <c r="D132" s="20">
        <v>9000</v>
      </c>
      <c r="E132" s="46">
        <v>2</v>
      </c>
      <c r="F132" s="17">
        <f>E132*D132</f>
        <v>18000</v>
      </c>
      <c r="I132" s="154">
        <v>42426</v>
      </c>
      <c r="J132" t="s">
        <v>688</v>
      </c>
      <c r="N132" s="367" t="s">
        <v>693</v>
      </c>
      <c r="P132">
        <v>4500</v>
      </c>
      <c r="Q132" s="359"/>
      <c r="R132" t="s">
        <v>781</v>
      </c>
    </row>
    <row r="133" spans="1:18" x14ac:dyDescent="0.2">
      <c r="A133" s="424"/>
      <c r="B133" s="410" t="s">
        <v>525</v>
      </c>
      <c r="C133" s="411" t="s">
        <v>527</v>
      </c>
      <c r="D133" s="412">
        <v>15200</v>
      </c>
      <c r="E133" s="46"/>
      <c r="F133" s="17">
        <f>E133*D133</f>
        <v>0</v>
      </c>
      <c r="I133" s="154">
        <v>42429</v>
      </c>
      <c r="J133" t="s">
        <v>689</v>
      </c>
      <c r="N133" s="367" t="s">
        <v>698</v>
      </c>
      <c r="P133">
        <v>10500</v>
      </c>
      <c r="Q133" s="359">
        <v>10500</v>
      </c>
      <c r="R133" t="s">
        <v>852</v>
      </c>
    </row>
    <row r="134" spans="1:18" ht="14.5" customHeight="1" x14ac:dyDescent="0.2">
      <c r="A134" s="425"/>
      <c r="B134" s="414"/>
      <c r="C134" s="415"/>
      <c r="D134" s="127"/>
      <c r="E134" s="46"/>
      <c r="F134" s="17"/>
      <c r="I134" s="154">
        <v>42429</v>
      </c>
      <c r="J134" t="s">
        <v>690</v>
      </c>
      <c r="N134" s="367" t="s">
        <v>699</v>
      </c>
      <c r="P134">
        <v>9000</v>
      </c>
      <c r="Q134" s="359">
        <v>9000</v>
      </c>
      <c r="R134" t="s">
        <v>852</v>
      </c>
    </row>
    <row r="135" spans="1:18" x14ac:dyDescent="0.2">
      <c r="A135" s="18"/>
      <c r="B135" s="21"/>
      <c r="C135" s="19"/>
      <c r="D135" s="20"/>
      <c r="E135" s="46"/>
      <c r="F135" s="17"/>
      <c r="I135" s="154">
        <v>42430</v>
      </c>
      <c r="J135" t="s">
        <v>700</v>
      </c>
      <c r="N135" s="367" t="s">
        <v>756</v>
      </c>
      <c r="P135">
        <v>9000</v>
      </c>
      <c r="Q135" s="359">
        <v>9000</v>
      </c>
      <c r="R135" t="s">
        <v>852</v>
      </c>
    </row>
    <row r="136" spans="1:18" x14ac:dyDescent="0.2">
      <c r="A136" s="18"/>
      <c r="B136" s="410"/>
      <c r="C136" s="411"/>
      <c r="D136" s="412"/>
      <c r="E136" s="36"/>
      <c r="F136" s="17"/>
      <c r="I136" s="154"/>
      <c r="K136" t="s">
        <v>705</v>
      </c>
      <c r="P136">
        <v>4500</v>
      </c>
    </row>
    <row r="137" spans="1:18" ht="14.5" customHeight="1" x14ac:dyDescent="0.2">
      <c r="A137" s="18"/>
      <c r="B137" s="414"/>
      <c r="C137" s="415"/>
      <c r="D137" s="127"/>
      <c r="E137" s="36"/>
      <c r="F137" s="17"/>
      <c r="I137" s="154">
        <v>42442</v>
      </c>
      <c r="K137" t="s">
        <v>701</v>
      </c>
      <c r="L137" t="s">
        <v>704</v>
      </c>
      <c r="N137" s="367" t="s">
        <v>969</v>
      </c>
      <c r="P137" s="330">
        <v>27000</v>
      </c>
      <c r="Q137" s="359">
        <v>18000</v>
      </c>
    </row>
    <row r="138" spans="1:18" x14ac:dyDescent="0.2">
      <c r="A138" s="22"/>
      <c r="B138" s="21"/>
      <c r="C138" s="19"/>
      <c r="D138" s="20"/>
      <c r="E138" s="47"/>
      <c r="F138" s="17"/>
      <c r="K138" t="s">
        <v>702</v>
      </c>
      <c r="P138" s="330">
        <v>12000</v>
      </c>
    </row>
    <row r="139" spans="1:18" x14ac:dyDescent="0.2">
      <c r="A139" s="22"/>
      <c r="B139" s="21"/>
      <c r="C139" s="19"/>
      <c r="D139" s="20"/>
      <c r="E139" s="47"/>
      <c r="F139" s="17"/>
      <c r="K139" t="s">
        <v>703</v>
      </c>
      <c r="P139" s="330">
        <v>12000</v>
      </c>
    </row>
    <row r="140" spans="1:18" x14ac:dyDescent="0.2">
      <c r="A140" s="22"/>
      <c r="B140" s="107"/>
      <c r="C140" s="413"/>
      <c r="D140" s="140"/>
      <c r="E140" s="47"/>
      <c r="F140" s="17"/>
      <c r="P140">
        <f>SUM(P129:P139)</f>
        <v>107450</v>
      </c>
      <c r="Q140" s="359">
        <f>SUM(Q129:Q139)</f>
        <v>49900</v>
      </c>
    </row>
    <row r="141" spans="1:18" x14ac:dyDescent="0.2">
      <c r="A141" s="22"/>
      <c r="B141" s="21"/>
      <c r="C141" s="19"/>
      <c r="D141" s="20"/>
      <c r="E141" s="47"/>
      <c r="F141" s="17"/>
    </row>
    <row r="142" spans="1:18" x14ac:dyDescent="0.2">
      <c r="A142" s="24"/>
      <c r="B142" s="416"/>
      <c r="C142" s="136"/>
      <c r="D142" s="137"/>
      <c r="E142" s="24"/>
      <c r="F142" s="17"/>
    </row>
    <row r="143" spans="1:18" x14ac:dyDescent="0.2">
      <c r="E143" s="26" t="s">
        <v>12</v>
      </c>
      <c r="F143" s="27">
        <f>SUM(F131:F142)</f>
        <v>18000</v>
      </c>
    </row>
    <row r="145" spans="1:6" x14ac:dyDescent="0.2">
      <c r="A145" t="str">
        <f>Summary!$G$9</f>
        <v>Contractor</v>
      </c>
    </row>
    <row r="149" spans="1:6" x14ac:dyDescent="0.2">
      <c r="C149" s="494" t="str">
        <f>Summary!$G$10</f>
        <v>Construction Manager</v>
      </c>
      <c r="D149" s="494"/>
      <c r="E149" s="494"/>
      <c r="F149" s="494"/>
    </row>
    <row r="151" spans="1:6" x14ac:dyDescent="0.2">
      <c r="A151" s="5" t="str">
        <f>Summary!$G$11</f>
        <v>PIPELINE PROJECT</v>
      </c>
    </row>
    <row r="163" spans="1:18" ht="16" x14ac:dyDescent="0.2">
      <c r="A163" s="157" t="s">
        <v>89</v>
      </c>
    </row>
    <row r="164" spans="1:18" x14ac:dyDescent="0.2">
      <c r="A164" s="5"/>
    </row>
    <row r="166" spans="1:18" x14ac:dyDescent="0.2">
      <c r="A166" t="s">
        <v>0</v>
      </c>
      <c r="E166" s="2" t="s">
        <v>64</v>
      </c>
      <c r="F166" s="3">
        <f>Summary!$G$3</f>
        <v>42505</v>
      </c>
    </row>
    <row r="167" spans="1:18" x14ac:dyDescent="0.2">
      <c r="A167" t="s">
        <v>1</v>
      </c>
      <c r="B167" s="4" t="s">
        <v>523</v>
      </c>
    </row>
    <row r="168" spans="1:18" x14ac:dyDescent="0.2">
      <c r="I168" s="154">
        <v>42409</v>
      </c>
      <c r="J168" t="s">
        <v>694</v>
      </c>
      <c r="N168" s="367" t="s">
        <v>695</v>
      </c>
      <c r="P168">
        <v>3400</v>
      </c>
      <c r="Q168" s="359">
        <v>3400</v>
      </c>
      <c r="R168" t="s">
        <v>852</v>
      </c>
    </row>
    <row r="169" spans="1:18" x14ac:dyDescent="0.2">
      <c r="A169" s="9" t="s">
        <v>2</v>
      </c>
      <c r="B169" s="10"/>
      <c r="C169" s="11" t="s">
        <v>4</v>
      </c>
      <c r="D169" s="11" t="s">
        <v>3</v>
      </c>
      <c r="E169" s="11" t="s">
        <v>8</v>
      </c>
      <c r="F169" s="12" t="s">
        <v>260</v>
      </c>
      <c r="I169" s="154">
        <v>42424</v>
      </c>
      <c r="J169" t="s">
        <v>675</v>
      </c>
      <c r="N169" s="367" t="s">
        <v>697</v>
      </c>
      <c r="P169">
        <v>4500</v>
      </c>
      <c r="Q169" s="359"/>
      <c r="R169" t="s">
        <v>781</v>
      </c>
    </row>
    <row r="170" spans="1:18" ht="14.5" customHeight="1" x14ac:dyDescent="0.2">
      <c r="A170" s="13" t="s">
        <v>522</v>
      </c>
      <c r="B170" s="115" t="s">
        <v>870</v>
      </c>
      <c r="C170" s="117"/>
      <c r="D170" s="15"/>
      <c r="E170" s="16"/>
      <c r="F170" s="17"/>
      <c r="I170" s="154">
        <v>42425</v>
      </c>
      <c r="J170" t="s">
        <v>687</v>
      </c>
      <c r="P170">
        <v>11050</v>
      </c>
      <c r="Q170" s="359"/>
      <c r="R170" t="s">
        <v>781</v>
      </c>
    </row>
    <row r="171" spans="1:18" x14ac:dyDescent="0.2">
      <c r="A171" s="18"/>
      <c r="B171" s="21" t="s">
        <v>524</v>
      </c>
      <c r="C171" s="19" t="s">
        <v>527</v>
      </c>
      <c r="D171" s="20">
        <v>9000</v>
      </c>
      <c r="E171" s="46"/>
      <c r="F171" s="17">
        <f>E171*D171</f>
        <v>0</v>
      </c>
      <c r="I171" s="154">
        <v>42426</v>
      </c>
      <c r="J171" t="s">
        <v>688</v>
      </c>
      <c r="N171" s="367" t="s">
        <v>693</v>
      </c>
      <c r="P171">
        <v>4500</v>
      </c>
      <c r="Q171" s="359"/>
      <c r="R171" t="s">
        <v>781</v>
      </c>
    </row>
    <row r="172" spans="1:18" x14ac:dyDescent="0.2">
      <c r="A172" s="424"/>
      <c r="B172" s="410" t="s">
        <v>525</v>
      </c>
      <c r="C172" s="411" t="s">
        <v>527</v>
      </c>
      <c r="D172" s="412">
        <v>15200</v>
      </c>
      <c r="E172" s="46"/>
      <c r="F172" s="17">
        <f>E172*D172</f>
        <v>0</v>
      </c>
      <c r="I172" s="154">
        <v>42429</v>
      </c>
      <c r="J172" t="s">
        <v>689</v>
      </c>
      <c r="N172" s="367" t="s">
        <v>698</v>
      </c>
      <c r="P172">
        <v>10500</v>
      </c>
      <c r="Q172" s="359">
        <v>10500</v>
      </c>
      <c r="R172" t="s">
        <v>852</v>
      </c>
    </row>
    <row r="173" spans="1:18" ht="14.5" customHeight="1" x14ac:dyDescent="0.2">
      <c r="A173" s="425"/>
      <c r="B173" s="414"/>
      <c r="C173" s="415"/>
      <c r="D173" s="127"/>
      <c r="E173" s="46"/>
      <c r="F173" s="17"/>
      <c r="I173" s="154">
        <v>42429</v>
      </c>
      <c r="J173" t="s">
        <v>690</v>
      </c>
      <c r="N173" s="367" t="s">
        <v>699</v>
      </c>
      <c r="P173">
        <v>9000</v>
      </c>
      <c r="Q173" s="359">
        <v>9000</v>
      </c>
      <c r="R173" t="s">
        <v>852</v>
      </c>
    </row>
    <row r="174" spans="1:18" x14ac:dyDescent="0.2">
      <c r="A174" s="18"/>
      <c r="B174" s="21"/>
      <c r="C174" s="19"/>
      <c r="D174" s="20"/>
      <c r="E174" s="46"/>
      <c r="F174" s="17"/>
      <c r="I174" s="154">
        <v>42430</v>
      </c>
      <c r="J174" t="s">
        <v>700</v>
      </c>
      <c r="N174" s="367" t="s">
        <v>756</v>
      </c>
      <c r="P174">
        <v>9000</v>
      </c>
      <c r="Q174" s="359">
        <v>9000</v>
      </c>
      <c r="R174" t="s">
        <v>852</v>
      </c>
    </row>
    <row r="175" spans="1:18" x14ac:dyDescent="0.2">
      <c r="A175" s="18"/>
      <c r="B175" s="410"/>
      <c r="C175" s="411"/>
      <c r="D175" s="412"/>
      <c r="E175" s="36"/>
      <c r="F175" s="17"/>
      <c r="I175" s="154"/>
      <c r="K175" t="s">
        <v>705</v>
      </c>
      <c r="P175">
        <v>4500</v>
      </c>
    </row>
    <row r="176" spans="1:18" ht="14.5" customHeight="1" x14ac:dyDescent="0.2">
      <c r="A176" s="18"/>
      <c r="B176" s="414"/>
      <c r="C176" s="415"/>
      <c r="D176" s="127"/>
      <c r="E176" s="36"/>
      <c r="F176" s="17"/>
      <c r="I176" s="154">
        <v>42442</v>
      </c>
      <c r="K176" t="s">
        <v>701</v>
      </c>
      <c r="L176" t="s">
        <v>704</v>
      </c>
      <c r="N176" s="367" t="s">
        <v>969</v>
      </c>
      <c r="P176" s="330">
        <v>27000</v>
      </c>
      <c r="Q176" s="359">
        <v>18000</v>
      </c>
    </row>
    <row r="177" spans="1:17" x14ac:dyDescent="0.2">
      <c r="A177" s="22"/>
      <c r="B177" s="21"/>
      <c r="C177" s="19"/>
      <c r="D177" s="20"/>
      <c r="E177" s="47"/>
      <c r="F177" s="17"/>
      <c r="K177" t="s">
        <v>702</v>
      </c>
      <c r="P177" s="330">
        <v>12000</v>
      </c>
    </row>
    <row r="178" spans="1:17" x14ac:dyDescent="0.2">
      <c r="A178" s="22"/>
      <c r="B178" s="21"/>
      <c r="C178" s="19"/>
      <c r="D178" s="20"/>
      <c r="E178" s="47"/>
      <c r="F178" s="17"/>
      <c r="K178" t="s">
        <v>703</v>
      </c>
      <c r="P178" s="330">
        <v>12000</v>
      </c>
    </row>
    <row r="179" spans="1:17" x14ac:dyDescent="0.2">
      <c r="A179" s="22"/>
      <c r="B179" s="107"/>
      <c r="C179" s="413"/>
      <c r="D179" s="140"/>
      <c r="E179" s="47"/>
      <c r="F179" s="17"/>
      <c r="P179">
        <f>SUM(P168:P178)</f>
        <v>107450</v>
      </c>
      <c r="Q179" s="359">
        <f>SUM(Q168:Q178)</f>
        <v>49900</v>
      </c>
    </row>
    <row r="180" spans="1:17" x14ac:dyDescent="0.2">
      <c r="A180" s="22"/>
      <c r="B180" s="21"/>
      <c r="C180" s="19"/>
      <c r="D180" s="20"/>
      <c r="E180" s="47"/>
      <c r="F180" s="17"/>
    </row>
    <row r="181" spans="1:17" x14ac:dyDescent="0.2">
      <c r="A181" s="24"/>
      <c r="B181" s="416"/>
      <c r="C181" s="136"/>
      <c r="D181" s="137"/>
      <c r="E181" s="24"/>
      <c r="F181" s="17"/>
    </row>
    <row r="182" spans="1:17" x14ac:dyDescent="0.2">
      <c r="E182" s="26" t="s">
        <v>12</v>
      </c>
      <c r="F182" s="27">
        <f>SUM(F170:F181)</f>
        <v>0</v>
      </c>
    </row>
    <row r="184" spans="1:17" x14ac:dyDescent="0.2">
      <c r="A184" t="str">
        <f>Summary!$G$9</f>
        <v>Contractor</v>
      </c>
    </row>
    <row r="188" spans="1:17" x14ac:dyDescent="0.2">
      <c r="C188" s="494" t="str">
        <f>Summary!$G$10</f>
        <v>Construction Manager</v>
      </c>
      <c r="D188" s="494"/>
      <c r="E188" s="494"/>
      <c r="F188" s="494"/>
    </row>
  </sheetData>
  <mergeCells count="5">
    <mergeCell ref="C35:F35"/>
    <mergeCell ref="C71:F71"/>
    <mergeCell ref="C110:F110"/>
    <mergeCell ref="C149:F149"/>
    <mergeCell ref="C188:F188"/>
  </mergeCells>
  <phoneticPr fontId="26" type="noConversion"/>
  <pageMargins left="1.88" right="0.31" top="0.94370078740157481" bottom="0.75000000000000011" header="0.30000000000000004" footer="0.30000000000000004"/>
  <pageSetup scale="85" orientation="landscape" verticalDpi="1200"/>
  <rowBreaks count="3" manualBreakCount="3">
    <brk id="36" max="16383" man="1"/>
    <brk id="72" max="16383" man="1"/>
    <brk id="189" max="16383" man="1"/>
  </rowBreaks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CFFCC"/>
  </sheetPr>
  <dimension ref="A1:N38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10" customWidth="1"/>
    <col min="2" max="2" width="39.1640625" customWidth="1"/>
    <col min="3" max="3" width="9.1640625" customWidth="1"/>
    <col min="4" max="4" width="10.1640625" customWidth="1"/>
    <col min="5" max="5" width="9.5" customWidth="1"/>
    <col min="6" max="6" width="14.33203125" customWidth="1"/>
    <col min="14" max="14" width="8.83203125" style="367"/>
  </cols>
  <sheetData>
    <row r="1" spans="1:6" customFormat="1" x14ac:dyDescent="0.2">
      <c r="A1" s="5" t="str">
        <f>Summary!$G$11</f>
        <v>PIPELINE PROJECT</v>
      </c>
    </row>
    <row r="13" spans="1:6" customFormat="1" ht="16" x14ac:dyDescent="0.2">
      <c r="A13" s="157" t="s">
        <v>89</v>
      </c>
    </row>
    <row r="14" spans="1:6" customFormat="1" x14ac:dyDescent="0.2">
      <c r="A14" s="5"/>
    </row>
    <row r="16" spans="1:6" customFormat="1" x14ac:dyDescent="0.2">
      <c r="A16" t="s">
        <v>0</v>
      </c>
      <c r="E16" s="2" t="s">
        <v>64</v>
      </c>
      <c r="F16" s="3">
        <f>Summary!$G$3</f>
        <v>42505</v>
      </c>
    </row>
    <row r="17" spans="1:9" x14ac:dyDescent="0.2">
      <c r="A17" t="s">
        <v>1</v>
      </c>
      <c r="B17" s="4" t="s">
        <v>1071</v>
      </c>
    </row>
    <row r="18" spans="1:9" x14ac:dyDescent="0.2">
      <c r="I18" s="154"/>
    </row>
    <row r="19" spans="1:9" x14ac:dyDescent="0.2">
      <c r="A19" s="9" t="s">
        <v>2</v>
      </c>
      <c r="B19" s="10"/>
      <c r="C19" s="11" t="s">
        <v>4</v>
      </c>
      <c r="D19" s="11" t="s">
        <v>3</v>
      </c>
      <c r="E19" s="11" t="s">
        <v>8</v>
      </c>
      <c r="F19" s="12" t="s">
        <v>260</v>
      </c>
      <c r="I19" s="154"/>
    </row>
    <row r="20" spans="1:9" ht="14.5" customHeight="1" x14ac:dyDescent="0.2">
      <c r="A20" s="13" t="s">
        <v>1072</v>
      </c>
      <c r="B20" s="115" t="s">
        <v>1073</v>
      </c>
      <c r="C20" s="117"/>
      <c r="D20" s="15"/>
      <c r="E20" s="16"/>
      <c r="F20" s="17"/>
      <c r="I20" s="154"/>
    </row>
    <row r="21" spans="1:9" x14ac:dyDescent="0.2">
      <c r="A21" s="18"/>
      <c r="B21" s="21" t="s">
        <v>1075</v>
      </c>
      <c r="C21" s="19" t="s">
        <v>1074</v>
      </c>
      <c r="D21" s="20">
        <v>18360</v>
      </c>
      <c r="E21" s="46">
        <v>3</v>
      </c>
      <c r="F21" s="17">
        <f>E21*D21</f>
        <v>55080</v>
      </c>
      <c r="I21" s="154"/>
    </row>
    <row r="22" spans="1:9" x14ac:dyDescent="0.2">
      <c r="A22" s="424"/>
      <c r="B22" s="410"/>
      <c r="C22" s="411"/>
      <c r="D22" s="412"/>
      <c r="E22" s="46"/>
      <c r="F22" s="17"/>
      <c r="I22" s="154"/>
    </row>
    <row r="23" spans="1:9" ht="14.5" customHeight="1" x14ac:dyDescent="0.2">
      <c r="A23" s="425"/>
      <c r="B23" s="414"/>
      <c r="C23" s="415"/>
      <c r="D23" s="127"/>
      <c r="E23" s="46"/>
      <c r="F23" s="17"/>
      <c r="I23" s="154"/>
    </row>
    <row r="24" spans="1:9" x14ac:dyDescent="0.2">
      <c r="A24" s="18"/>
      <c r="B24" s="21"/>
      <c r="C24" s="19"/>
      <c r="D24" s="20"/>
      <c r="E24" s="46"/>
      <c r="F24" s="17"/>
      <c r="I24" s="154"/>
    </row>
    <row r="25" spans="1:9" x14ac:dyDescent="0.2">
      <c r="A25" s="18"/>
      <c r="B25" s="410"/>
      <c r="C25" s="411"/>
      <c r="D25" s="412"/>
      <c r="E25" s="36"/>
      <c r="F25" s="17"/>
      <c r="I25" s="154"/>
    </row>
    <row r="26" spans="1:9" ht="14.5" customHeight="1" x14ac:dyDescent="0.2">
      <c r="A26" s="18"/>
      <c r="B26" s="414"/>
      <c r="C26" s="415"/>
      <c r="D26" s="127"/>
      <c r="E26" s="36"/>
      <c r="F26" s="17"/>
      <c r="I26" s="154"/>
    </row>
    <row r="27" spans="1:9" x14ac:dyDescent="0.2">
      <c r="A27" s="22"/>
      <c r="B27" s="21"/>
      <c r="C27" s="19"/>
      <c r="D27" s="20"/>
      <c r="E27" s="47"/>
      <c r="F27" s="17"/>
    </row>
    <row r="28" spans="1:9" x14ac:dyDescent="0.2">
      <c r="A28" s="22"/>
      <c r="B28" s="21"/>
      <c r="C28" s="19"/>
      <c r="D28" s="20"/>
      <c r="E28" s="47"/>
      <c r="F28" s="17"/>
    </row>
    <row r="29" spans="1:9" x14ac:dyDescent="0.2">
      <c r="A29" s="22"/>
      <c r="B29" s="107"/>
      <c r="C29" s="413"/>
      <c r="D29" s="140"/>
      <c r="E29" s="47"/>
      <c r="F29" s="17"/>
    </row>
    <row r="30" spans="1:9" x14ac:dyDescent="0.2">
      <c r="A30" s="22"/>
      <c r="B30" s="21"/>
      <c r="C30" s="19"/>
      <c r="D30" s="20"/>
      <c r="E30" s="47"/>
      <c r="F30" s="17"/>
    </row>
    <row r="31" spans="1:9" x14ac:dyDescent="0.2">
      <c r="A31" s="24"/>
      <c r="B31" s="416"/>
      <c r="C31" s="136"/>
      <c r="D31" s="137"/>
      <c r="E31" s="24"/>
      <c r="F31" s="17"/>
    </row>
    <row r="32" spans="1:9" x14ac:dyDescent="0.2">
      <c r="E32" s="26" t="s">
        <v>12</v>
      </c>
      <c r="F32" s="27">
        <f>SUM(F20:F31)</f>
        <v>55080</v>
      </c>
    </row>
    <row r="34" spans="1:6" customFormat="1" x14ac:dyDescent="0.2">
      <c r="A34" t="str">
        <f>Summary!$G$9</f>
        <v>Contractor</v>
      </c>
    </row>
    <row r="38" spans="1:6" customFormat="1" x14ac:dyDescent="0.2">
      <c r="C38" s="494" t="str">
        <f>Summary!$G$10</f>
        <v>Construction Manager</v>
      </c>
      <c r="D38" s="494"/>
      <c r="E38" s="494"/>
      <c r="F38" s="494"/>
    </row>
  </sheetData>
  <mergeCells count="1">
    <mergeCell ref="C38:F38"/>
  </mergeCells>
  <phoneticPr fontId="26" type="noConversion"/>
  <pageMargins left="0.89574803149606297" right="0.31" top="0.94" bottom="0.75000000000000011" header="0.30000000000000004" footer="0.30000000000000004"/>
  <pageSetup scale="85" orientation="portrait" verticalDpi="1200"/>
  <rowBreaks count="1" manualBreakCount="1">
    <brk id="39" max="16383" man="1"/>
  </rowBreaks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3"/>
  <sheetViews>
    <sheetView workbookViewId="0">
      <selection activeCell="M19" sqref="M19"/>
    </sheetView>
  </sheetViews>
  <sheetFormatPr baseColWidth="10" defaultColWidth="8.83203125" defaultRowHeight="15" x14ac:dyDescent="0.2"/>
  <cols>
    <col min="1" max="1" width="6.83203125" customWidth="1"/>
    <col min="2" max="2" width="32.83203125" customWidth="1"/>
    <col min="3" max="3" width="9.83203125" customWidth="1"/>
    <col min="4" max="4" width="11.1640625" customWidth="1"/>
    <col min="5" max="5" width="8" customWidth="1"/>
    <col min="6" max="6" width="8.33203125" customWidth="1"/>
    <col min="7" max="7" width="14.33203125" customWidth="1"/>
  </cols>
  <sheetData>
    <row r="1" spans="1:7" x14ac:dyDescent="0.2">
      <c r="A1" s="5" t="str">
        <f>Summary!G11</f>
        <v>PIPELINE PROJECT</v>
      </c>
    </row>
    <row r="10" spans="1:7" ht="16" x14ac:dyDescent="0.2">
      <c r="A10" s="1"/>
    </row>
    <row r="11" spans="1:7" ht="16" x14ac:dyDescent="0.2">
      <c r="A11" s="1"/>
    </row>
    <row r="12" spans="1:7" ht="16" x14ac:dyDescent="0.2">
      <c r="A12" s="1"/>
    </row>
    <row r="13" spans="1:7" x14ac:dyDescent="0.2">
      <c r="A13" s="5" t="s">
        <v>87</v>
      </c>
    </row>
    <row r="14" spans="1:7" x14ac:dyDescent="0.2">
      <c r="A14" s="5"/>
    </row>
    <row r="15" spans="1:7" x14ac:dyDescent="0.2">
      <c r="A15" t="s">
        <v>0</v>
      </c>
      <c r="F15" s="2" t="s">
        <v>11</v>
      </c>
      <c r="G15" s="3">
        <f>Summary!G3</f>
        <v>42505</v>
      </c>
    </row>
    <row r="16" spans="1:7" x14ac:dyDescent="0.2">
      <c r="A16" t="s">
        <v>1</v>
      </c>
      <c r="B16" s="4" t="s">
        <v>1087</v>
      </c>
    </row>
    <row r="18" spans="1:7" x14ac:dyDescent="0.2">
      <c r="A18" s="9" t="s">
        <v>2</v>
      </c>
      <c r="B18" s="10"/>
      <c r="C18" s="11" t="s">
        <v>4</v>
      </c>
      <c r="D18" s="11" t="s">
        <v>3</v>
      </c>
      <c r="E18" s="11" t="s">
        <v>27</v>
      </c>
      <c r="F18" s="11" t="s">
        <v>8</v>
      </c>
      <c r="G18" s="12" t="s">
        <v>5</v>
      </c>
    </row>
    <row r="19" spans="1:7" ht="30" customHeight="1" x14ac:dyDescent="0.2">
      <c r="A19" s="97" t="s">
        <v>47</v>
      </c>
      <c r="B19" s="118" t="s">
        <v>61</v>
      </c>
      <c r="C19" s="47" t="s">
        <v>26</v>
      </c>
      <c r="D19" s="99">
        <v>344650</v>
      </c>
      <c r="E19" s="151">
        <v>1</v>
      </c>
      <c r="F19" s="47"/>
      <c r="G19" s="23">
        <f>F19*D19</f>
        <v>0</v>
      </c>
    </row>
    <row r="20" spans="1:7" ht="30" customHeight="1" x14ac:dyDescent="0.2">
      <c r="A20" s="97" t="s">
        <v>48</v>
      </c>
      <c r="B20" s="118" t="s">
        <v>57</v>
      </c>
      <c r="C20" s="47" t="s">
        <v>26</v>
      </c>
      <c r="D20" s="99">
        <v>286300</v>
      </c>
      <c r="E20" s="142">
        <v>1</v>
      </c>
      <c r="F20" s="47"/>
      <c r="G20" s="23"/>
    </row>
    <row r="21" spans="1:7" ht="30" customHeight="1" x14ac:dyDescent="0.2">
      <c r="A21" s="97" t="s">
        <v>49</v>
      </c>
      <c r="B21" s="118" t="s">
        <v>62</v>
      </c>
      <c r="C21" s="47" t="s">
        <v>26</v>
      </c>
      <c r="D21" s="100">
        <v>18000</v>
      </c>
      <c r="E21" s="142">
        <v>1</v>
      </c>
      <c r="F21" s="47"/>
      <c r="G21" s="23"/>
    </row>
    <row r="22" spans="1:7" ht="30" customHeight="1" x14ac:dyDescent="0.2">
      <c r="A22" s="97" t="s">
        <v>50</v>
      </c>
      <c r="B22" s="118" t="s">
        <v>59</v>
      </c>
      <c r="C22" s="47" t="s">
        <v>26</v>
      </c>
      <c r="D22" s="100">
        <v>18000</v>
      </c>
      <c r="E22" s="142">
        <v>1</v>
      </c>
      <c r="F22" s="47"/>
      <c r="G22" s="23"/>
    </row>
    <row r="23" spans="1:7" ht="30" customHeight="1" x14ac:dyDescent="0.2">
      <c r="A23" s="97" t="s">
        <v>51</v>
      </c>
      <c r="B23" s="102" t="s">
        <v>60</v>
      </c>
      <c r="C23" s="47" t="s">
        <v>26</v>
      </c>
      <c r="D23" s="104">
        <v>386350</v>
      </c>
      <c r="E23" s="143">
        <v>1</v>
      </c>
      <c r="F23" s="138"/>
      <c r="G23" s="23"/>
    </row>
    <row r="24" spans="1:7" ht="14.5" customHeight="1" x14ac:dyDescent="0.2">
      <c r="A24" s="106"/>
      <c r="B24" s="107"/>
      <c r="C24" s="108"/>
      <c r="D24" s="109"/>
      <c r="E24" s="144"/>
      <c r="F24" s="110"/>
      <c r="G24" s="17"/>
    </row>
    <row r="25" spans="1:7" ht="14.25" customHeight="1" x14ac:dyDescent="0.2">
      <c r="A25" s="106"/>
      <c r="B25" s="111"/>
      <c r="C25" s="112"/>
      <c r="D25" s="113"/>
      <c r="E25" s="145"/>
      <c r="F25" s="46"/>
      <c r="G25" s="17"/>
    </row>
    <row r="26" spans="1:7" x14ac:dyDescent="0.2">
      <c r="A26" s="24"/>
      <c r="B26" s="123"/>
      <c r="C26" s="24"/>
      <c r="D26" s="114"/>
      <c r="E26" s="114"/>
      <c r="F26" s="24"/>
      <c r="G26" s="25"/>
    </row>
    <row r="27" spans="1:7" x14ac:dyDescent="0.2">
      <c r="F27" s="26" t="s">
        <v>12</v>
      </c>
      <c r="G27" s="27">
        <f>SUM(G19:G26)</f>
        <v>0</v>
      </c>
    </row>
    <row r="29" spans="1:7" x14ac:dyDescent="0.2">
      <c r="A29" s="507" t="str">
        <f>Summary!G9</f>
        <v>Contractor</v>
      </c>
      <c r="B29" s="507"/>
    </row>
    <row r="33" spans="4:7" x14ac:dyDescent="0.2">
      <c r="D33" s="494" t="str">
        <f>Summary!G10</f>
        <v>Construction Manager</v>
      </c>
      <c r="E33" s="494"/>
      <c r="F33" s="494"/>
      <c r="G33" s="494"/>
    </row>
  </sheetData>
  <mergeCells count="2">
    <mergeCell ref="A29:B29"/>
    <mergeCell ref="D33:G33"/>
  </mergeCells>
  <phoneticPr fontId="26" type="noConversion"/>
  <pageMargins left="0.60000000000000009" right="0.70000000000000007" top="1.3405511811023623" bottom="0.75000000000000011" header="0.30000000000000004" footer="0.30000000000000004"/>
  <pageSetup scale="94" orientation="portrait" verticalDpi="12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3"/>
  <sheetViews>
    <sheetView workbookViewId="0">
      <selection activeCell="K15" sqref="K15"/>
    </sheetView>
  </sheetViews>
  <sheetFormatPr baseColWidth="10" defaultColWidth="8.83203125" defaultRowHeight="15" x14ac:dyDescent="0.2"/>
  <cols>
    <col min="1" max="1" width="8.6640625" customWidth="1"/>
    <col min="2" max="2" width="36.1640625" customWidth="1"/>
    <col min="3" max="3" width="9.83203125" customWidth="1"/>
    <col min="4" max="4" width="13.5" bestFit="1" customWidth="1"/>
    <col min="5" max="6" width="8.33203125" customWidth="1"/>
    <col min="7" max="7" width="12.1640625" customWidth="1"/>
  </cols>
  <sheetData>
    <row r="1" spans="1:7" x14ac:dyDescent="0.2">
      <c r="A1" s="5" t="str">
        <f>Summary!G11</f>
        <v>PIPELINE PROJECT</v>
      </c>
    </row>
    <row r="12" spans="1:7" ht="16" x14ac:dyDescent="0.2">
      <c r="A12" s="1"/>
    </row>
    <row r="13" spans="1:7" x14ac:dyDescent="0.2">
      <c r="A13" s="5" t="s">
        <v>87</v>
      </c>
    </row>
    <row r="14" spans="1:7" x14ac:dyDescent="0.2">
      <c r="A14" s="5"/>
    </row>
    <row r="15" spans="1:7" x14ac:dyDescent="0.2">
      <c r="A15" t="s">
        <v>0</v>
      </c>
      <c r="E15" s="2" t="s">
        <v>11</v>
      </c>
      <c r="F15" s="487">
        <f>Summary!G3</f>
        <v>42505</v>
      </c>
      <c r="G15" s="487"/>
    </row>
    <row r="16" spans="1:7" x14ac:dyDescent="0.2">
      <c r="A16" t="s">
        <v>1</v>
      </c>
      <c r="B16" s="4" t="s">
        <v>1088</v>
      </c>
    </row>
    <row r="18" spans="1:7" x14ac:dyDescent="0.2">
      <c r="A18" s="9" t="s">
        <v>2</v>
      </c>
      <c r="B18" s="10"/>
      <c r="C18" s="11" t="s">
        <v>4</v>
      </c>
      <c r="D18" s="11" t="s">
        <v>3</v>
      </c>
      <c r="E18" s="11" t="s">
        <v>27</v>
      </c>
      <c r="F18" s="11" t="s">
        <v>8</v>
      </c>
      <c r="G18" s="12" t="s">
        <v>5</v>
      </c>
    </row>
    <row r="19" spans="1:7" ht="30" customHeight="1" x14ac:dyDescent="0.2">
      <c r="A19" s="97" t="s">
        <v>45</v>
      </c>
      <c r="B19" s="118" t="s">
        <v>55</v>
      </c>
      <c r="C19" s="22" t="s">
        <v>26</v>
      </c>
      <c r="D19" s="100">
        <v>25050</v>
      </c>
      <c r="E19" s="152">
        <v>1</v>
      </c>
      <c r="F19" s="22"/>
      <c r="G19" s="23">
        <f>F19*D19</f>
        <v>0</v>
      </c>
    </row>
    <row r="20" spans="1:7" ht="30" customHeight="1" x14ac:dyDescent="0.2">
      <c r="A20" s="97" t="s">
        <v>46</v>
      </c>
      <c r="B20" s="118" t="s">
        <v>56</v>
      </c>
      <c r="C20" s="22" t="s">
        <v>26</v>
      </c>
      <c r="D20" s="100">
        <v>28650</v>
      </c>
      <c r="E20" s="152">
        <v>1</v>
      </c>
      <c r="F20" s="22"/>
      <c r="G20" s="23">
        <f>F20*D20</f>
        <v>0</v>
      </c>
    </row>
    <row r="21" spans="1:7" x14ac:dyDescent="0.2">
      <c r="A21" s="97"/>
      <c r="B21" s="98"/>
      <c r="C21" s="22"/>
      <c r="D21" s="100"/>
      <c r="E21" s="100"/>
      <c r="F21" s="22"/>
      <c r="G21" s="101"/>
    </row>
    <row r="22" spans="1:7" x14ac:dyDescent="0.2">
      <c r="A22" s="97"/>
      <c r="B22" s="98"/>
      <c r="C22" s="22"/>
      <c r="D22" s="100"/>
      <c r="E22" s="100"/>
      <c r="F22" s="22"/>
      <c r="G22" s="101"/>
    </row>
    <row r="23" spans="1:7" ht="14.5" customHeight="1" x14ac:dyDescent="0.2">
      <c r="A23" s="97"/>
      <c r="B23" s="102"/>
      <c r="C23" s="103"/>
      <c r="D23" s="119"/>
      <c r="E23" s="119"/>
      <c r="F23" s="105"/>
      <c r="G23" s="101"/>
    </row>
    <row r="24" spans="1:7" ht="14.5" customHeight="1" x14ac:dyDescent="0.2">
      <c r="A24" s="106"/>
      <c r="B24" s="107"/>
      <c r="C24" s="108"/>
      <c r="D24" s="120"/>
      <c r="E24" s="120"/>
      <c r="F24" s="110"/>
      <c r="G24" s="17"/>
    </row>
    <row r="25" spans="1:7" ht="14.25" customHeight="1" x14ac:dyDescent="0.2">
      <c r="A25" s="106"/>
      <c r="B25" s="111"/>
      <c r="C25" s="112"/>
      <c r="D25" s="121"/>
      <c r="E25" s="121"/>
      <c r="F25" s="46"/>
      <c r="G25" s="17"/>
    </row>
    <row r="26" spans="1:7" x14ac:dyDescent="0.2">
      <c r="A26" s="24"/>
      <c r="B26" s="24"/>
      <c r="C26" s="24"/>
      <c r="D26" s="122"/>
      <c r="E26" s="122"/>
      <c r="F26" s="24"/>
      <c r="G26" s="25"/>
    </row>
    <row r="27" spans="1:7" x14ac:dyDescent="0.2">
      <c r="F27" s="26" t="s">
        <v>12</v>
      </c>
      <c r="G27" s="27">
        <f>SUM(G19:G26)</f>
        <v>0</v>
      </c>
    </row>
    <row r="29" spans="1:7" x14ac:dyDescent="0.2">
      <c r="A29" s="507" t="str">
        <f>Summary!G9</f>
        <v>Contractor</v>
      </c>
      <c r="B29" s="507"/>
    </row>
    <row r="33" spans="4:6" x14ac:dyDescent="0.2">
      <c r="D33" s="494" t="str">
        <f>Summary!G10</f>
        <v>Construction Manager</v>
      </c>
      <c r="E33" s="494"/>
      <c r="F33" s="494"/>
    </row>
  </sheetData>
  <mergeCells count="3">
    <mergeCell ref="A29:B29"/>
    <mergeCell ref="D33:F33"/>
    <mergeCell ref="F15:G15"/>
  </mergeCells>
  <phoneticPr fontId="26" type="noConversion"/>
  <pageMargins left="0.70000000000000007" right="0.70000000000000007" top="1.3405511811023623" bottom="0.75000000000000011" header="0.30000000000000004" footer="0.30000000000000004"/>
  <pageSetup scale="87" orientation="portrait" verticalDpi="12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workbookViewId="0">
      <selection activeCell="L75" sqref="L75"/>
    </sheetView>
  </sheetViews>
  <sheetFormatPr baseColWidth="10" defaultColWidth="8.83203125" defaultRowHeight="15" x14ac:dyDescent="0.2"/>
  <cols>
    <col min="1" max="1" width="10" customWidth="1"/>
    <col min="2" max="2" width="32" customWidth="1"/>
    <col min="3" max="3" width="8.6640625" customWidth="1"/>
    <col min="4" max="4" width="8.5" customWidth="1"/>
    <col min="5" max="5" width="10.33203125" customWidth="1"/>
    <col min="6" max="7" width="8.83203125" customWidth="1"/>
    <col min="8" max="8" width="13.6640625" customWidth="1"/>
  </cols>
  <sheetData>
    <row r="1" spans="1:8" x14ac:dyDescent="0.2">
      <c r="A1" s="5" t="str">
        <f>Summary!G11</f>
        <v>PIPELINE PROJECT</v>
      </c>
    </row>
    <row r="13" spans="1:8" ht="16" x14ac:dyDescent="0.2">
      <c r="A13" s="157" t="s">
        <v>89</v>
      </c>
    </row>
    <row r="14" spans="1:8" x14ac:dyDescent="0.2">
      <c r="A14" s="5" t="s">
        <v>13</v>
      </c>
    </row>
    <row r="16" spans="1:8" x14ac:dyDescent="0.2">
      <c r="A16" t="s">
        <v>0</v>
      </c>
      <c r="G16" s="2" t="s">
        <v>11</v>
      </c>
      <c r="H16" s="3">
        <f>Summary!G3</f>
        <v>42505</v>
      </c>
    </row>
    <row r="17" spans="1:8" x14ac:dyDescent="0.2">
      <c r="A17" t="s">
        <v>1</v>
      </c>
      <c r="B17" s="4">
        <v>4.0999999999999996</v>
      </c>
    </row>
    <row r="19" spans="1:8" ht="32" x14ac:dyDescent="0.2">
      <c r="A19" s="9" t="s">
        <v>2</v>
      </c>
      <c r="B19" s="10"/>
      <c r="C19" s="11" t="s">
        <v>4</v>
      </c>
      <c r="D19" s="11" t="s">
        <v>3</v>
      </c>
      <c r="E19" s="28" t="s">
        <v>20</v>
      </c>
      <c r="F19" s="28" t="s">
        <v>21</v>
      </c>
      <c r="G19" s="28" t="s">
        <v>25</v>
      </c>
      <c r="H19" s="159" t="s">
        <v>86</v>
      </c>
    </row>
    <row r="20" spans="1:8" x14ac:dyDescent="0.2">
      <c r="A20" s="45" t="s">
        <v>29</v>
      </c>
      <c r="B20" s="29" t="s">
        <v>14</v>
      </c>
      <c r="C20" s="30"/>
      <c r="D20" s="31"/>
      <c r="E20" s="31"/>
      <c r="F20" s="31"/>
      <c r="G20" s="31"/>
      <c r="H20" s="187"/>
    </row>
    <row r="21" spans="1:8" ht="30" x14ac:dyDescent="0.2">
      <c r="A21" s="33" t="s">
        <v>30</v>
      </c>
      <c r="B21" s="21" t="s">
        <v>33</v>
      </c>
      <c r="C21" s="34"/>
      <c r="D21" s="20"/>
      <c r="E21" s="35"/>
      <c r="F21" s="36"/>
      <c r="G21" s="36"/>
      <c r="H21" s="188"/>
    </row>
    <row r="22" spans="1:8" x14ac:dyDescent="0.2">
      <c r="A22" s="37"/>
      <c r="B22" s="38" t="s">
        <v>15</v>
      </c>
      <c r="C22" s="19" t="s">
        <v>6</v>
      </c>
      <c r="D22" s="39">
        <v>3.5</v>
      </c>
      <c r="E22" s="40"/>
      <c r="F22" s="46"/>
      <c r="G22" s="46">
        <f t="shared" ref="G22" si="0">SUM(E22:F22)</f>
        <v>0</v>
      </c>
      <c r="H22" s="188">
        <f>(F22*D22/2)+(E22*D22/2)</f>
        <v>0</v>
      </c>
    </row>
    <row r="23" spans="1:8" ht="14.5" customHeight="1" x14ac:dyDescent="0.2">
      <c r="A23" s="41"/>
      <c r="B23" s="38" t="s">
        <v>16</v>
      </c>
      <c r="C23" s="19" t="s">
        <v>6</v>
      </c>
      <c r="D23" s="39">
        <v>4.5</v>
      </c>
      <c r="E23" s="40"/>
      <c r="F23" s="46"/>
      <c r="G23" s="46">
        <f>SUM(E23:F23)</f>
        <v>0</v>
      </c>
      <c r="H23" s="188">
        <f>(F23*D23/2)+(E23*D23/2)</f>
        <v>0</v>
      </c>
    </row>
    <row r="24" spans="1:8" ht="30" x14ac:dyDescent="0.2">
      <c r="A24" s="33" t="s">
        <v>31</v>
      </c>
      <c r="B24" s="21" t="s">
        <v>34</v>
      </c>
      <c r="C24" s="42"/>
      <c r="D24" s="20"/>
      <c r="E24" s="35"/>
      <c r="F24" s="47"/>
      <c r="G24" s="46"/>
      <c r="H24" s="188"/>
    </row>
    <row r="25" spans="1:8" x14ac:dyDescent="0.2">
      <c r="A25" s="37"/>
      <c r="B25" s="38" t="s">
        <v>15</v>
      </c>
      <c r="C25" s="19" t="s">
        <v>6</v>
      </c>
      <c r="D25" s="39">
        <v>6.5</v>
      </c>
      <c r="E25" s="40"/>
      <c r="F25" s="46"/>
      <c r="G25" s="46">
        <f t="shared" ref="G25:G26" si="1">SUM(E25:F25)</f>
        <v>0</v>
      </c>
      <c r="H25" s="188">
        <f>(F25*D25/2)+(E25*D25/2)</f>
        <v>0</v>
      </c>
    </row>
    <row r="26" spans="1:8" x14ac:dyDescent="0.2">
      <c r="A26" s="43"/>
      <c r="B26" s="38" t="s">
        <v>16</v>
      </c>
      <c r="C26" s="19" t="s">
        <v>6</v>
      </c>
      <c r="D26" s="39">
        <v>9.5</v>
      </c>
      <c r="E26" s="40"/>
      <c r="F26" s="47"/>
      <c r="G26" s="46">
        <f t="shared" si="1"/>
        <v>0</v>
      </c>
      <c r="H26" s="188">
        <f>(F26*D26/2)+(E26*D26/2)</f>
        <v>0</v>
      </c>
    </row>
    <row r="27" spans="1:8" ht="30" x14ac:dyDescent="0.2">
      <c r="A27" s="33" t="s">
        <v>32</v>
      </c>
      <c r="B27" s="21" t="s">
        <v>17</v>
      </c>
      <c r="C27" s="42"/>
      <c r="D27" s="20"/>
      <c r="E27" s="35"/>
      <c r="F27" s="47"/>
      <c r="G27" s="46"/>
      <c r="H27" s="188"/>
    </row>
    <row r="28" spans="1:8" x14ac:dyDescent="0.2">
      <c r="A28" s="37"/>
      <c r="B28" s="38" t="s">
        <v>15</v>
      </c>
      <c r="C28" s="19" t="s">
        <v>6</v>
      </c>
      <c r="D28" s="39">
        <v>9.5</v>
      </c>
      <c r="E28" s="40"/>
      <c r="F28" s="46"/>
      <c r="G28" s="46">
        <f>SUM(E28:F28)</f>
        <v>0</v>
      </c>
      <c r="H28" s="188">
        <f>(F28*D28/2)+(E28*D28/2)</f>
        <v>0</v>
      </c>
    </row>
    <row r="29" spans="1:8" x14ac:dyDescent="0.2">
      <c r="A29" s="37"/>
      <c r="B29" s="38" t="s">
        <v>16</v>
      </c>
      <c r="C29" s="19" t="s">
        <v>6</v>
      </c>
      <c r="D29" s="39">
        <v>12.5</v>
      </c>
      <c r="E29" s="40"/>
      <c r="F29" s="47"/>
      <c r="G29" s="46">
        <f>SUM(E29:F29)</f>
        <v>0</v>
      </c>
      <c r="H29" s="188">
        <f>(F29*D29/2)+(E29*D29/2)</f>
        <v>0</v>
      </c>
    </row>
    <row r="30" spans="1:8" x14ac:dyDescent="0.2">
      <c r="A30" s="44"/>
      <c r="B30" s="24"/>
      <c r="C30" s="24"/>
      <c r="D30" s="24"/>
      <c r="E30" s="24"/>
      <c r="F30" s="48"/>
      <c r="G30" s="48"/>
      <c r="H30" s="189"/>
    </row>
    <row r="31" spans="1:8" x14ac:dyDescent="0.2">
      <c r="E31" s="26" t="s">
        <v>12</v>
      </c>
      <c r="F31" s="26"/>
      <c r="G31" s="26">
        <f>SUM(G20:G30)</f>
        <v>0</v>
      </c>
      <c r="H31" s="190">
        <f>SUM(H20:H30)</f>
        <v>0</v>
      </c>
    </row>
    <row r="33" spans="1:8" x14ac:dyDescent="0.2">
      <c r="A33" s="507" t="str">
        <f>Summary!G9</f>
        <v>Contractor</v>
      </c>
      <c r="B33" s="507"/>
    </row>
    <row r="36" spans="1:8" x14ac:dyDescent="0.2">
      <c r="E36" s="494" t="str">
        <f>Summary!G10</f>
        <v>Construction Manager</v>
      </c>
      <c r="F36" s="494"/>
      <c r="G36" s="494"/>
      <c r="H36" s="494"/>
    </row>
  </sheetData>
  <mergeCells count="2">
    <mergeCell ref="E36:H36"/>
    <mergeCell ref="A33:B33"/>
  </mergeCells>
  <phoneticPr fontId="26" type="noConversion"/>
  <pageMargins left="0.75000000000000011" right="0.71" top="1.54" bottom="0.79000000000000015" header="0.31" footer="0.31"/>
  <pageSetup scale="83" orientation="portrait" verticalDpi="12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</sheetPr>
  <dimension ref="A1:L144"/>
  <sheetViews>
    <sheetView workbookViewId="0">
      <selection activeCell="B115" sqref="B115"/>
    </sheetView>
  </sheetViews>
  <sheetFormatPr baseColWidth="10" defaultColWidth="9.1640625" defaultRowHeight="14" x14ac:dyDescent="0.2"/>
  <cols>
    <col min="1" max="1" width="16.33203125" style="193" customWidth="1"/>
    <col min="2" max="2" width="69" style="193" customWidth="1"/>
    <col min="3" max="3" width="12.83203125" style="194" bestFit="1" customWidth="1"/>
    <col min="4" max="4" width="10" style="193" bestFit="1" customWidth="1"/>
    <col min="5" max="5" width="9.5" style="193" bestFit="1" customWidth="1"/>
    <col min="6" max="6" width="20.33203125" style="193" customWidth="1"/>
    <col min="7" max="7" width="13.83203125" style="193" customWidth="1"/>
    <col min="8" max="8" width="10.83203125" style="193" customWidth="1"/>
    <col min="9" max="9" width="13.1640625" style="193" customWidth="1"/>
    <col min="10" max="10" width="10.83203125" style="193" customWidth="1"/>
    <col min="11" max="16384" width="9.1640625" style="193"/>
  </cols>
  <sheetData>
    <row r="1" spans="1:10" ht="18.75" customHeight="1" x14ac:dyDescent="0.2">
      <c r="A1" s="509" t="s">
        <v>157</v>
      </c>
      <c r="B1" s="509"/>
      <c r="C1" s="509"/>
      <c r="D1" s="509"/>
      <c r="E1" s="509"/>
      <c r="F1" s="509"/>
      <c r="G1" s="509"/>
      <c r="H1" s="509"/>
      <c r="I1" s="509"/>
      <c r="J1" s="509"/>
    </row>
    <row r="2" spans="1:10" x14ac:dyDescent="0.2">
      <c r="A2" s="197"/>
      <c r="B2" s="195"/>
      <c r="C2" s="198"/>
      <c r="D2" s="508"/>
      <c r="E2" s="508"/>
      <c r="F2" s="195"/>
      <c r="G2" s="195"/>
      <c r="H2" s="195"/>
      <c r="I2" s="195"/>
      <c r="J2" s="195"/>
    </row>
    <row r="3" spans="1:10" x14ac:dyDescent="0.2">
      <c r="A3" s="197" t="s">
        <v>1080</v>
      </c>
      <c r="B3" s="195"/>
      <c r="C3" s="198"/>
      <c r="D3" s="197"/>
      <c r="E3" s="197"/>
      <c r="F3" s="238" t="s">
        <v>64</v>
      </c>
      <c r="G3" s="237">
        <f>Summary!G3</f>
        <v>42505</v>
      </c>
      <c r="H3" s="237"/>
      <c r="I3" s="195"/>
      <c r="J3" s="195"/>
    </row>
    <row r="4" spans="1:10" ht="17" thickBot="1" x14ac:dyDescent="0.25">
      <c r="A4" s="236" t="s">
        <v>156</v>
      </c>
      <c r="B4" s="195"/>
      <c r="C4" s="198"/>
      <c r="D4" s="195"/>
      <c r="E4" s="195"/>
      <c r="F4" s="195"/>
      <c r="G4" s="195"/>
      <c r="H4" s="195"/>
      <c r="I4" s="195"/>
      <c r="J4" s="195"/>
    </row>
    <row r="5" spans="1:10" ht="39.75" customHeight="1" thickBot="1" x14ac:dyDescent="0.25">
      <c r="A5" s="235" t="s">
        <v>155</v>
      </c>
      <c r="B5" s="232" t="s">
        <v>2</v>
      </c>
      <c r="C5" s="232" t="s">
        <v>154</v>
      </c>
      <c r="D5" s="232" t="s">
        <v>153</v>
      </c>
      <c r="E5" s="234" t="s">
        <v>152</v>
      </c>
      <c r="F5" s="233" t="s">
        <v>151</v>
      </c>
      <c r="G5" s="232" t="s">
        <v>150</v>
      </c>
      <c r="H5" s="232" t="s">
        <v>149</v>
      </c>
      <c r="I5" s="232" t="s">
        <v>148</v>
      </c>
      <c r="J5" s="232" t="s">
        <v>576</v>
      </c>
    </row>
    <row r="6" spans="1:10" ht="20" customHeight="1" x14ac:dyDescent="0.2">
      <c r="A6" s="231" t="s">
        <v>147</v>
      </c>
      <c r="B6" s="230" t="s">
        <v>146</v>
      </c>
      <c r="C6" s="224" t="s">
        <v>127</v>
      </c>
      <c r="D6" s="229">
        <v>42311</v>
      </c>
      <c r="E6" s="228">
        <v>42311</v>
      </c>
      <c r="F6" s="227" t="s">
        <v>124</v>
      </c>
      <c r="G6" s="226"/>
      <c r="H6" s="225"/>
      <c r="I6" s="224"/>
      <c r="J6" s="223" t="s">
        <v>134</v>
      </c>
    </row>
    <row r="7" spans="1:10" ht="20" customHeight="1" x14ac:dyDescent="0.2">
      <c r="A7" s="219" t="s">
        <v>145</v>
      </c>
      <c r="B7" s="218" t="s">
        <v>144</v>
      </c>
      <c r="C7" s="213" t="s">
        <v>127</v>
      </c>
      <c r="D7" s="217">
        <v>42311</v>
      </c>
      <c r="E7" s="217">
        <v>42317</v>
      </c>
      <c r="F7" s="216" t="s">
        <v>124</v>
      </c>
      <c r="G7" s="215"/>
      <c r="H7" s="214"/>
      <c r="I7" s="213"/>
      <c r="J7" s="207" t="s">
        <v>134</v>
      </c>
    </row>
    <row r="8" spans="1:10" ht="20" customHeight="1" x14ac:dyDescent="0.2">
      <c r="A8" s="219" t="s">
        <v>143</v>
      </c>
      <c r="B8" s="218" t="s">
        <v>142</v>
      </c>
      <c r="C8" s="213" t="s">
        <v>127</v>
      </c>
      <c r="D8" s="217">
        <v>42312</v>
      </c>
      <c r="E8" s="217">
        <v>42318</v>
      </c>
      <c r="F8" s="216" t="s">
        <v>124</v>
      </c>
      <c r="G8" s="215"/>
      <c r="H8" s="214"/>
      <c r="I8" s="213"/>
      <c r="J8" s="207" t="s">
        <v>134</v>
      </c>
    </row>
    <row r="9" spans="1:10" ht="20" customHeight="1" x14ac:dyDescent="0.2">
      <c r="A9" s="219" t="s">
        <v>141</v>
      </c>
      <c r="B9" s="222" t="s">
        <v>140</v>
      </c>
      <c r="C9" s="213" t="s">
        <v>127</v>
      </c>
      <c r="D9" s="217">
        <v>42312</v>
      </c>
      <c r="E9" s="217">
        <v>42324</v>
      </c>
      <c r="F9" s="216" t="s">
        <v>124</v>
      </c>
      <c r="G9" s="215"/>
      <c r="H9" s="214"/>
      <c r="I9" s="213"/>
      <c r="J9" s="207" t="s">
        <v>134</v>
      </c>
    </row>
    <row r="10" spans="1:10" ht="20" customHeight="1" x14ac:dyDescent="0.2">
      <c r="A10" s="219" t="s">
        <v>139</v>
      </c>
      <c r="B10" s="218" t="s">
        <v>138</v>
      </c>
      <c r="C10" s="213" t="s">
        <v>127</v>
      </c>
      <c r="D10" s="217">
        <v>42314</v>
      </c>
      <c r="E10" s="217">
        <v>42318</v>
      </c>
      <c r="F10" s="216" t="s">
        <v>124</v>
      </c>
      <c r="G10" s="215"/>
      <c r="H10" s="214"/>
      <c r="I10" s="213"/>
      <c r="J10" s="207" t="s">
        <v>134</v>
      </c>
    </row>
    <row r="11" spans="1:10" ht="20" customHeight="1" x14ac:dyDescent="0.2">
      <c r="A11" s="219" t="s">
        <v>137</v>
      </c>
      <c r="B11" s="218" t="s">
        <v>1170</v>
      </c>
      <c r="C11" s="213" t="s">
        <v>117</v>
      </c>
      <c r="D11" s="217">
        <v>42314</v>
      </c>
      <c r="E11" s="217">
        <v>42317</v>
      </c>
      <c r="F11" s="216" t="s">
        <v>494</v>
      </c>
      <c r="G11" s="215">
        <v>12805</v>
      </c>
      <c r="H11" s="214"/>
      <c r="I11" s="213"/>
      <c r="J11" s="207" t="s">
        <v>134</v>
      </c>
    </row>
    <row r="12" spans="1:10" ht="20" customHeight="1" x14ac:dyDescent="0.2">
      <c r="A12" s="219" t="s">
        <v>136</v>
      </c>
      <c r="B12" s="218" t="s">
        <v>190</v>
      </c>
      <c r="C12" s="213" t="s">
        <v>117</v>
      </c>
      <c r="D12" s="217">
        <v>42314</v>
      </c>
      <c r="E12" s="217">
        <v>42317</v>
      </c>
      <c r="F12" s="216" t="s">
        <v>124</v>
      </c>
      <c r="G12" s="215">
        <v>6751</v>
      </c>
      <c r="H12" s="214"/>
      <c r="I12" s="213" t="s">
        <v>135</v>
      </c>
      <c r="J12" s="207" t="s">
        <v>134</v>
      </c>
    </row>
    <row r="13" spans="1:10" ht="20" customHeight="1" x14ac:dyDescent="0.2">
      <c r="A13" s="219" t="s">
        <v>133</v>
      </c>
      <c r="B13" s="218" t="s">
        <v>132</v>
      </c>
      <c r="C13" s="213" t="s">
        <v>110</v>
      </c>
      <c r="D13" s="217">
        <v>42314</v>
      </c>
      <c r="E13" s="217">
        <v>42318</v>
      </c>
      <c r="F13" s="216" t="s">
        <v>187</v>
      </c>
      <c r="G13" s="215"/>
      <c r="H13" s="214"/>
      <c r="I13" s="213"/>
      <c r="J13" s="207" t="s">
        <v>134</v>
      </c>
    </row>
    <row r="14" spans="1:10" ht="20" customHeight="1" x14ac:dyDescent="0.2">
      <c r="A14" s="219" t="s">
        <v>131</v>
      </c>
      <c r="B14" s="218" t="s">
        <v>130</v>
      </c>
      <c r="C14" s="213" t="s">
        <v>110</v>
      </c>
      <c r="D14" s="217">
        <v>42314</v>
      </c>
      <c r="E14" s="217">
        <v>42318</v>
      </c>
      <c r="F14" s="216" t="s">
        <v>124</v>
      </c>
      <c r="G14" s="215"/>
      <c r="H14" s="214"/>
      <c r="I14" s="213"/>
      <c r="J14" s="207" t="s">
        <v>134</v>
      </c>
    </row>
    <row r="15" spans="1:10" ht="20" customHeight="1" x14ac:dyDescent="0.2">
      <c r="A15" s="219" t="s">
        <v>129</v>
      </c>
      <c r="B15" s="218" t="s">
        <v>128</v>
      </c>
      <c r="C15" s="213" t="s">
        <v>127</v>
      </c>
      <c r="D15" s="217">
        <v>42314</v>
      </c>
      <c r="E15" s="217">
        <v>42318</v>
      </c>
      <c r="F15" s="216" t="s">
        <v>124</v>
      </c>
      <c r="G15" s="215"/>
      <c r="H15" s="214"/>
      <c r="I15" s="213"/>
      <c r="J15" s="207" t="s">
        <v>134</v>
      </c>
    </row>
    <row r="16" spans="1:10" ht="20" customHeight="1" x14ac:dyDescent="0.2">
      <c r="A16" s="219" t="s">
        <v>126</v>
      </c>
      <c r="B16" s="218" t="s">
        <v>125</v>
      </c>
      <c r="C16" s="213" t="s">
        <v>110</v>
      </c>
      <c r="D16" s="217">
        <v>42314</v>
      </c>
      <c r="E16" s="217">
        <v>42318</v>
      </c>
      <c r="F16" s="216" t="s">
        <v>124</v>
      </c>
      <c r="G16" s="215"/>
      <c r="H16" s="214"/>
      <c r="I16" s="213"/>
      <c r="J16" s="207" t="s">
        <v>134</v>
      </c>
    </row>
    <row r="17" spans="1:10" ht="20" customHeight="1" x14ac:dyDescent="0.2">
      <c r="A17" s="219" t="s">
        <v>350</v>
      </c>
      <c r="B17" s="218" t="s">
        <v>123</v>
      </c>
      <c r="C17" s="213" t="s">
        <v>110</v>
      </c>
      <c r="D17" s="217">
        <v>42361</v>
      </c>
      <c r="E17" s="217">
        <v>42369</v>
      </c>
      <c r="F17" s="216" t="s">
        <v>680</v>
      </c>
      <c r="G17" s="215"/>
      <c r="H17" s="214"/>
      <c r="I17" s="213"/>
      <c r="J17" s="207" t="s">
        <v>134</v>
      </c>
    </row>
    <row r="18" spans="1:10" ht="20" customHeight="1" x14ac:dyDescent="0.2">
      <c r="A18" s="219" t="s">
        <v>122</v>
      </c>
      <c r="B18" s="218" t="s">
        <v>121</v>
      </c>
      <c r="C18" s="213" t="s">
        <v>110</v>
      </c>
      <c r="D18" s="217">
        <v>42314</v>
      </c>
      <c r="E18" s="217">
        <v>42318</v>
      </c>
      <c r="F18" s="216" t="s">
        <v>124</v>
      </c>
      <c r="G18" s="215"/>
      <c r="H18" s="214"/>
      <c r="I18" s="213"/>
      <c r="J18" s="207" t="s">
        <v>134</v>
      </c>
    </row>
    <row r="19" spans="1:10" ht="20" customHeight="1" x14ac:dyDescent="0.2">
      <c r="A19" s="219" t="s">
        <v>120</v>
      </c>
      <c r="B19" s="218" t="s">
        <v>119</v>
      </c>
      <c r="C19" s="213" t="s">
        <v>110</v>
      </c>
      <c r="D19" s="217">
        <v>42314</v>
      </c>
      <c r="E19" s="217">
        <v>42318</v>
      </c>
      <c r="F19" s="216" t="s">
        <v>124</v>
      </c>
      <c r="G19" s="215"/>
      <c r="H19" s="214"/>
      <c r="I19" s="213"/>
      <c r="J19" s="207" t="s">
        <v>134</v>
      </c>
    </row>
    <row r="20" spans="1:10" ht="20" customHeight="1" x14ac:dyDescent="0.2">
      <c r="A20" s="219" t="s">
        <v>228</v>
      </c>
      <c r="B20" s="221" t="s">
        <v>118</v>
      </c>
      <c r="C20" s="213" t="s">
        <v>117</v>
      </c>
      <c r="D20" s="220">
        <v>42318</v>
      </c>
      <c r="E20" s="220">
        <v>42320</v>
      </c>
      <c r="F20" s="216" t="s">
        <v>124</v>
      </c>
      <c r="G20" s="215">
        <v>555229.22</v>
      </c>
      <c r="H20" s="214"/>
      <c r="I20" s="213" t="s">
        <v>483</v>
      </c>
      <c r="J20" s="207" t="s">
        <v>134</v>
      </c>
    </row>
    <row r="21" spans="1:10" ht="20" customHeight="1" x14ac:dyDescent="0.2">
      <c r="A21" s="219" t="s">
        <v>116</v>
      </c>
      <c r="B21" s="218" t="s">
        <v>115</v>
      </c>
      <c r="C21" s="213" t="s">
        <v>110</v>
      </c>
      <c r="D21" s="217">
        <v>42319</v>
      </c>
      <c r="E21" s="217">
        <v>42324</v>
      </c>
      <c r="F21" s="216" t="s">
        <v>124</v>
      </c>
      <c r="G21" s="215"/>
      <c r="H21" s="214"/>
      <c r="I21" s="213"/>
      <c r="J21" s="207" t="s">
        <v>134</v>
      </c>
    </row>
    <row r="22" spans="1:10" ht="20" customHeight="1" x14ac:dyDescent="0.2">
      <c r="A22" s="219" t="s">
        <v>394</v>
      </c>
      <c r="B22" s="218" t="s">
        <v>114</v>
      </c>
      <c r="C22" s="213" t="s">
        <v>110</v>
      </c>
      <c r="D22" s="217">
        <v>42319</v>
      </c>
      <c r="E22" s="217">
        <v>42324</v>
      </c>
      <c r="F22" s="216" t="s">
        <v>124</v>
      </c>
      <c r="G22" s="215"/>
      <c r="H22" s="214"/>
      <c r="I22" s="213"/>
      <c r="J22" s="207" t="s">
        <v>134</v>
      </c>
    </row>
    <row r="23" spans="1:10" ht="20" customHeight="1" x14ac:dyDescent="0.2">
      <c r="A23" s="219" t="s">
        <v>113</v>
      </c>
      <c r="B23" s="218" t="s">
        <v>112</v>
      </c>
      <c r="C23" s="213" t="s">
        <v>110</v>
      </c>
      <c r="D23" s="217">
        <v>42319</v>
      </c>
      <c r="E23" s="217">
        <v>42324</v>
      </c>
      <c r="F23" s="216" t="s">
        <v>124</v>
      </c>
      <c r="G23" s="215"/>
      <c r="H23" s="214"/>
      <c r="I23" s="213"/>
      <c r="J23" s="207" t="s">
        <v>134</v>
      </c>
    </row>
    <row r="24" spans="1:10" ht="20" customHeight="1" x14ac:dyDescent="0.2">
      <c r="A24" s="219" t="s">
        <v>186</v>
      </c>
      <c r="B24" s="218" t="s">
        <v>111</v>
      </c>
      <c r="C24" s="213" t="s">
        <v>110</v>
      </c>
      <c r="D24" s="217">
        <v>42320</v>
      </c>
      <c r="E24" s="217">
        <v>42324</v>
      </c>
      <c r="F24" s="216" t="s">
        <v>124</v>
      </c>
      <c r="G24" s="215"/>
      <c r="H24" s="214"/>
      <c r="I24" s="213"/>
      <c r="J24" s="207" t="s">
        <v>134</v>
      </c>
    </row>
    <row r="25" spans="1:10" ht="20" customHeight="1" x14ac:dyDescent="0.2">
      <c r="A25" s="219" t="s">
        <v>109</v>
      </c>
      <c r="B25" s="218" t="s">
        <v>239</v>
      </c>
      <c r="C25" s="213" t="s">
        <v>127</v>
      </c>
      <c r="D25" s="217">
        <v>42327</v>
      </c>
      <c r="E25" s="217">
        <v>42329</v>
      </c>
      <c r="F25" s="216" t="s">
        <v>124</v>
      </c>
      <c r="G25" s="215"/>
      <c r="H25" s="214"/>
      <c r="I25" s="213" t="s">
        <v>240</v>
      </c>
      <c r="J25" s="207" t="s">
        <v>134</v>
      </c>
    </row>
    <row r="26" spans="1:10" ht="20" customHeight="1" x14ac:dyDescent="0.2">
      <c r="A26" s="219" t="s">
        <v>108</v>
      </c>
      <c r="B26" s="218" t="s">
        <v>188</v>
      </c>
      <c r="C26" s="213" t="s">
        <v>110</v>
      </c>
      <c r="D26" s="217">
        <v>42327</v>
      </c>
      <c r="E26" s="217">
        <v>42328</v>
      </c>
      <c r="F26" s="325" t="s">
        <v>124</v>
      </c>
      <c r="G26" s="215"/>
      <c r="H26" s="214"/>
      <c r="I26" s="213"/>
      <c r="J26" s="207" t="s">
        <v>134</v>
      </c>
    </row>
    <row r="27" spans="1:10" ht="20" customHeight="1" x14ac:dyDescent="0.2">
      <c r="A27" s="219" t="s">
        <v>107</v>
      </c>
      <c r="B27" s="218" t="s">
        <v>189</v>
      </c>
      <c r="C27" s="213" t="s">
        <v>110</v>
      </c>
      <c r="D27" s="217">
        <v>42327</v>
      </c>
      <c r="E27" s="217">
        <v>42328</v>
      </c>
      <c r="F27" s="325" t="s">
        <v>124</v>
      </c>
      <c r="G27" s="215"/>
      <c r="H27" s="214"/>
      <c r="I27" s="213"/>
      <c r="J27" s="207" t="s">
        <v>134</v>
      </c>
    </row>
    <row r="28" spans="1:10" ht="20" customHeight="1" x14ac:dyDescent="0.2">
      <c r="A28" s="219" t="s">
        <v>191</v>
      </c>
      <c r="B28" s="212" t="s">
        <v>192</v>
      </c>
      <c r="C28" s="208" t="s">
        <v>193</v>
      </c>
      <c r="D28" s="211">
        <v>42327</v>
      </c>
      <c r="E28" s="211">
        <v>42332</v>
      </c>
      <c r="F28" s="325" t="s">
        <v>124</v>
      </c>
      <c r="G28" s="210"/>
      <c r="H28" s="209"/>
      <c r="I28" s="208"/>
      <c r="J28" s="207" t="s">
        <v>134</v>
      </c>
    </row>
    <row r="29" spans="1:10" ht="20" customHeight="1" x14ac:dyDescent="0.2">
      <c r="A29" s="219" t="s">
        <v>194</v>
      </c>
      <c r="B29" s="212" t="s">
        <v>195</v>
      </c>
      <c r="C29" s="208" t="s">
        <v>127</v>
      </c>
      <c r="D29" s="211">
        <v>42328</v>
      </c>
      <c r="E29" s="211">
        <v>42332</v>
      </c>
      <c r="F29" s="325" t="s">
        <v>187</v>
      </c>
      <c r="G29" s="210">
        <v>34974.239999999998</v>
      </c>
      <c r="H29" s="209"/>
      <c r="I29" s="208"/>
      <c r="J29" s="207" t="s">
        <v>134</v>
      </c>
    </row>
    <row r="30" spans="1:10" ht="20" customHeight="1" x14ac:dyDescent="0.2">
      <c r="A30" s="219" t="s">
        <v>196</v>
      </c>
      <c r="B30" s="212" t="s">
        <v>225</v>
      </c>
      <c r="C30" s="208" t="s">
        <v>127</v>
      </c>
      <c r="D30" s="211">
        <v>42328</v>
      </c>
      <c r="E30" s="211">
        <v>42332</v>
      </c>
      <c r="F30" s="325" t="s">
        <v>124</v>
      </c>
      <c r="G30" s="210"/>
      <c r="H30" s="209"/>
      <c r="I30" s="208"/>
      <c r="J30" s="207" t="s">
        <v>134</v>
      </c>
    </row>
    <row r="31" spans="1:10" ht="20" customHeight="1" x14ac:dyDescent="0.2">
      <c r="A31" s="219" t="s">
        <v>212</v>
      </c>
      <c r="B31" s="212" t="s">
        <v>199</v>
      </c>
      <c r="C31" s="208" t="s">
        <v>127</v>
      </c>
      <c r="D31" s="211">
        <v>42331</v>
      </c>
      <c r="E31" s="211">
        <v>42333</v>
      </c>
      <c r="F31" s="325" t="s">
        <v>124</v>
      </c>
      <c r="G31" s="210">
        <v>103635</v>
      </c>
      <c r="H31" s="209"/>
      <c r="I31" s="208" t="s">
        <v>482</v>
      </c>
      <c r="J31" s="207" t="s">
        <v>134</v>
      </c>
    </row>
    <row r="32" spans="1:10" ht="20" customHeight="1" x14ac:dyDescent="0.2">
      <c r="A32" s="219" t="s">
        <v>197</v>
      </c>
      <c r="B32" s="212"/>
      <c r="C32" s="208"/>
      <c r="D32" s="211"/>
      <c r="E32" s="211"/>
      <c r="F32" s="325"/>
      <c r="G32" s="210"/>
      <c r="H32" s="209"/>
      <c r="I32" s="208"/>
      <c r="J32" s="207"/>
    </row>
    <row r="33" spans="1:10" ht="20" customHeight="1" x14ac:dyDescent="0.2">
      <c r="A33" s="219" t="s">
        <v>198</v>
      </c>
      <c r="B33" s="212" t="s">
        <v>1171</v>
      </c>
      <c r="C33" s="208" t="s">
        <v>127</v>
      </c>
      <c r="D33" s="211">
        <v>42331</v>
      </c>
      <c r="E33" s="211">
        <v>42333</v>
      </c>
      <c r="F33" s="325" t="s">
        <v>124</v>
      </c>
      <c r="G33" s="210"/>
      <c r="H33" s="209"/>
      <c r="I33" s="208"/>
      <c r="J33" s="207" t="s">
        <v>134</v>
      </c>
    </row>
    <row r="34" spans="1:10" ht="20" customHeight="1" x14ac:dyDescent="0.2">
      <c r="A34" s="219" t="s">
        <v>200</v>
      </c>
      <c r="B34" s="212" t="s">
        <v>201</v>
      </c>
      <c r="C34" s="208" t="s">
        <v>127</v>
      </c>
      <c r="D34" s="211">
        <v>42331</v>
      </c>
      <c r="E34" s="211">
        <v>42333</v>
      </c>
      <c r="F34" s="325" t="s">
        <v>124</v>
      </c>
      <c r="G34" s="210"/>
      <c r="H34" s="209"/>
      <c r="I34" s="208"/>
      <c r="J34" s="207" t="s">
        <v>134</v>
      </c>
    </row>
    <row r="35" spans="1:10" ht="20" customHeight="1" x14ac:dyDescent="0.2">
      <c r="A35" s="219" t="s">
        <v>426</v>
      </c>
      <c r="B35" s="212" t="s">
        <v>202</v>
      </c>
      <c r="C35" s="208" t="s">
        <v>127</v>
      </c>
      <c r="D35" s="211">
        <v>42331</v>
      </c>
      <c r="E35" s="211">
        <v>42333</v>
      </c>
      <c r="F35" s="325" t="s">
        <v>124</v>
      </c>
      <c r="G35" s="210"/>
      <c r="H35" s="209"/>
      <c r="I35" s="208"/>
      <c r="J35" s="207" t="s">
        <v>134</v>
      </c>
    </row>
    <row r="36" spans="1:10" ht="20" customHeight="1" x14ac:dyDescent="0.2">
      <c r="A36" s="219" t="s">
        <v>203</v>
      </c>
      <c r="B36" s="212" t="s">
        <v>208</v>
      </c>
      <c r="C36" s="208" t="s">
        <v>127</v>
      </c>
      <c r="D36" s="211">
        <v>42331</v>
      </c>
      <c r="E36" s="211">
        <v>42333</v>
      </c>
      <c r="F36" s="325" t="s">
        <v>124</v>
      </c>
      <c r="G36" s="210"/>
      <c r="H36" s="209"/>
      <c r="I36" s="208"/>
      <c r="J36" s="207" t="s">
        <v>134</v>
      </c>
    </row>
    <row r="37" spans="1:10" ht="20" customHeight="1" x14ac:dyDescent="0.2">
      <c r="A37" s="219" t="s">
        <v>204</v>
      </c>
      <c r="B37" s="212" t="s">
        <v>464</v>
      </c>
      <c r="C37" s="208" t="s">
        <v>127</v>
      </c>
      <c r="D37" s="211">
        <v>42334</v>
      </c>
      <c r="E37" s="211">
        <v>42335</v>
      </c>
      <c r="F37" s="325" t="s">
        <v>124</v>
      </c>
      <c r="G37" s="210">
        <v>20000</v>
      </c>
      <c r="H37" s="209"/>
      <c r="I37" s="208" t="s">
        <v>484</v>
      </c>
      <c r="J37" s="207" t="s">
        <v>134</v>
      </c>
    </row>
    <row r="38" spans="1:10" ht="20" customHeight="1" x14ac:dyDescent="0.2">
      <c r="A38" s="219" t="s">
        <v>205</v>
      </c>
      <c r="B38" s="212" t="s">
        <v>213</v>
      </c>
      <c r="C38" s="208" t="s">
        <v>127</v>
      </c>
      <c r="D38" s="211">
        <v>42338</v>
      </c>
      <c r="E38" s="211">
        <v>42339</v>
      </c>
      <c r="F38" s="325" t="s">
        <v>227</v>
      </c>
      <c r="G38" s="210"/>
      <c r="H38" s="209"/>
      <c r="I38" s="208"/>
      <c r="J38" s="207" t="s">
        <v>134</v>
      </c>
    </row>
    <row r="39" spans="1:10" ht="20" customHeight="1" x14ac:dyDescent="0.2">
      <c r="A39" s="219" t="s">
        <v>206</v>
      </c>
      <c r="B39" s="212" t="s">
        <v>216</v>
      </c>
      <c r="C39" s="208" t="s">
        <v>127</v>
      </c>
      <c r="D39" s="211">
        <v>42339</v>
      </c>
      <c r="E39" s="211">
        <v>42341</v>
      </c>
      <c r="F39" s="325" t="s">
        <v>124</v>
      </c>
      <c r="G39" s="210">
        <v>76820</v>
      </c>
      <c r="H39" s="209"/>
      <c r="I39" s="208" t="s">
        <v>485</v>
      </c>
      <c r="J39" s="207" t="s">
        <v>134</v>
      </c>
    </row>
    <row r="40" spans="1:10" ht="20" customHeight="1" x14ac:dyDescent="0.2">
      <c r="A40" s="219" t="s">
        <v>207</v>
      </c>
      <c r="B40" s="212" t="s">
        <v>214</v>
      </c>
      <c r="C40" s="208" t="s">
        <v>127</v>
      </c>
      <c r="D40" s="211">
        <v>42339</v>
      </c>
      <c r="E40" s="211">
        <v>42342</v>
      </c>
      <c r="F40" s="325" t="s">
        <v>124</v>
      </c>
      <c r="G40" s="210"/>
      <c r="H40" s="209"/>
      <c r="I40" s="208"/>
      <c r="J40" s="207" t="s">
        <v>134</v>
      </c>
    </row>
    <row r="41" spans="1:10" ht="20" customHeight="1" x14ac:dyDescent="0.2">
      <c r="A41" s="219" t="s">
        <v>218</v>
      </c>
      <c r="B41" s="212" t="s">
        <v>220</v>
      </c>
      <c r="C41" s="208" t="s">
        <v>127</v>
      </c>
      <c r="D41" s="211">
        <v>42340</v>
      </c>
      <c r="E41" s="211">
        <v>42341</v>
      </c>
      <c r="F41" s="325" t="s">
        <v>124</v>
      </c>
      <c r="G41" s="210"/>
      <c r="H41" s="209"/>
      <c r="I41" s="208"/>
      <c r="J41" s="207" t="s">
        <v>134</v>
      </c>
    </row>
    <row r="42" spans="1:10" ht="20" customHeight="1" x14ac:dyDescent="0.2">
      <c r="A42" s="219" t="s">
        <v>219</v>
      </c>
      <c r="B42" s="212" t="s">
        <v>224</v>
      </c>
      <c r="C42" s="208" t="s">
        <v>127</v>
      </c>
      <c r="D42" s="211">
        <v>42341</v>
      </c>
      <c r="E42" s="211">
        <v>42343</v>
      </c>
      <c r="F42" s="325" t="s">
        <v>124</v>
      </c>
      <c r="G42" s="210"/>
      <c r="H42" s="209"/>
      <c r="I42" s="208"/>
      <c r="J42" s="207" t="s">
        <v>134</v>
      </c>
    </row>
    <row r="43" spans="1:10" ht="20" customHeight="1" x14ac:dyDescent="0.2">
      <c r="A43" s="219" t="s">
        <v>391</v>
      </c>
      <c r="B43" s="212" t="s">
        <v>221</v>
      </c>
      <c r="C43" s="208" t="s">
        <v>127</v>
      </c>
      <c r="D43" s="211">
        <v>42339</v>
      </c>
      <c r="E43" s="211">
        <v>42342</v>
      </c>
      <c r="F43" s="403" t="s">
        <v>1025</v>
      </c>
      <c r="G43" s="210">
        <v>9586.06</v>
      </c>
      <c r="H43" s="209"/>
      <c r="I43" s="208"/>
      <c r="J43" s="207" t="s">
        <v>134</v>
      </c>
    </row>
    <row r="44" spans="1:10" ht="20" customHeight="1" x14ac:dyDescent="0.2">
      <c r="A44" s="219" t="s">
        <v>222</v>
      </c>
      <c r="B44" s="212" t="s">
        <v>223</v>
      </c>
      <c r="C44" s="208" t="s">
        <v>127</v>
      </c>
      <c r="D44" s="211">
        <v>42341</v>
      </c>
      <c r="E44" s="211">
        <v>42345</v>
      </c>
      <c r="F44" s="325" t="s">
        <v>124</v>
      </c>
      <c r="G44" s="210"/>
      <c r="H44" s="209"/>
      <c r="I44" s="208"/>
      <c r="J44" s="207" t="s">
        <v>134</v>
      </c>
    </row>
    <row r="45" spans="1:10" ht="20" customHeight="1" x14ac:dyDescent="0.2">
      <c r="A45" s="219" t="s">
        <v>226</v>
      </c>
      <c r="B45" s="212" t="s">
        <v>1172</v>
      </c>
      <c r="C45" s="208" t="s">
        <v>127</v>
      </c>
      <c r="D45" s="211">
        <v>42343</v>
      </c>
      <c r="E45" s="211">
        <v>42343</v>
      </c>
      <c r="F45" s="325" t="s">
        <v>124</v>
      </c>
      <c r="G45" s="210"/>
      <c r="H45" s="209"/>
      <c r="I45" s="208"/>
      <c r="J45" s="207" t="s">
        <v>134</v>
      </c>
    </row>
    <row r="46" spans="1:10" ht="20" customHeight="1" x14ac:dyDescent="0.2">
      <c r="A46" s="219" t="s">
        <v>229</v>
      </c>
      <c r="B46" s="212" t="s">
        <v>230</v>
      </c>
      <c r="C46" s="208" t="s">
        <v>127</v>
      </c>
      <c r="D46" s="211">
        <v>42345</v>
      </c>
      <c r="E46" s="211">
        <v>42352</v>
      </c>
      <c r="F46" s="325" t="s">
        <v>187</v>
      </c>
      <c r="G46" s="210"/>
      <c r="H46" s="209"/>
      <c r="I46" s="208"/>
      <c r="J46" s="207" t="s">
        <v>134</v>
      </c>
    </row>
    <row r="47" spans="1:10" ht="20" customHeight="1" x14ac:dyDescent="0.2">
      <c r="A47" s="219" t="s">
        <v>231</v>
      </c>
      <c r="B47" s="212" t="s">
        <v>424</v>
      </c>
      <c r="C47" s="208" t="s">
        <v>127</v>
      </c>
      <c r="D47" s="211">
        <v>42712</v>
      </c>
      <c r="E47" s="211">
        <v>42715</v>
      </c>
      <c r="F47" s="325" t="s">
        <v>124</v>
      </c>
      <c r="G47" s="210"/>
      <c r="H47" s="209"/>
      <c r="I47" s="208" t="s">
        <v>963</v>
      </c>
      <c r="J47" s="207" t="s">
        <v>134</v>
      </c>
    </row>
    <row r="48" spans="1:10" ht="20" customHeight="1" x14ac:dyDescent="0.2">
      <c r="A48" s="219" t="s">
        <v>232</v>
      </c>
      <c r="B48" s="212" t="s">
        <v>236</v>
      </c>
      <c r="C48" s="208" t="s">
        <v>127</v>
      </c>
      <c r="D48" s="211">
        <v>42346</v>
      </c>
      <c r="E48" s="211">
        <v>42348</v>
      </c>
      <c r="F48" s="325" t="s">
        <v>124</v>
      </c>
      <c r="G48" s="210"/>
      <c r="H48" s="209"/>
      <c r="I48" s="208"/>
      <c r="J48" s="207" t="s">
        <v>134</v>
      </c>
    </row>
    <row r="49" spans="1:12" ht="20" customHeight="1" x14ac:dyDescent="0.2">
      <c r="A49" s="219" t="s">
        <v>233</v>
      </c>
      <c r="B49" s="212" t="s">
        <v>423</v>
      </c>
      <c r="C49" s="208" t="s">
        <v>127</v>
      </c>
      <c r="D49" s="211">
        <v>42388</v>
      </c>
      <c r="E49" s="211">
        <v>42389</v>
      </c>
      <c r="F49" s="325" t="s">
        <v>124</v>
      </c>
      <c r="G49" s="210">
        <v>19408</v>
      </c>
      <c r="H49" s="209"/>
      <c r="I49" s="208" t="s">
        <v>511</v>
      </c>
      <c r="J49" s="207" t="s">
        <v>134</v>
      </c>
      <c r="L49" s="193" t="s">
        <v>489</v>
      </c>
    </row>
    <row r="50" spans="1:12" ht="20" customHeight="1" x14ac:dyDescent="0.2">
      <c r="A50" s="219" t="s">
        <v>234</v>
      </c>
      <c r="B50" s="212" t="s">
        <v>235</v>
      </c>
      <c r="C50" s="208" t="s">
        <v>127</v>
      </c>
      <c r="D50" s="211">
        <v>42346</v>
      </c>
      <c r="E50" s="211">
        <v>42348</v>
      </c>
      <c r="F50" s="325" t="s">
        <v>187</v>
      </c>
      <c r="G50" s="210"/>
      <c r="H50" s="209"/>
      <c r="I50" s="208"/>
      <c r="J50" s="207" t="s">
        <v>134</v>
      </c>
    </row>
    <row r="51" spans="1:12" ht="20" customHeight="1" x14ac:dyDescent="0.2">
      <c r="A51" s="219" t="s">
        <v>245</v>
      </c>
      <c r="B51" s="218" t="s">
        <v>244</v>
      </c>
      <c r="C51" s="208" t="s">
        <v>127</v>
      </c>
      <c r="D51" s="211">
        <v>42348</v>
      </c>
      <c r="E51" s="211">
        <v>42350</v>
      </c>
      <c r="F51" s="325" t="s">
        <v>187</v>
      </c>
      <c r="G51" s="210">
        <v>50000</v>
      </c>
      <c r="H51" s="209"/>
      <c r="I51" s="208" t="s">
        <v>486</v>
      </c>
      <c r="J51" s="207" t="s">
        <v>134</v>
      </c>
    </row>
    <row r="52" spans="1:12" ht="20" customHeight="1" x14ac:dyDescent="0.2">
      <c r="A52" s="219" t="s">
        <v>246</v>
      </c>
      <c r="B52" s="212"/>
      <c r="C52" s="208"/>
      <c r="D52" s="211"/>
      <c r="E52" s="211"/>
      <c r="F52" s="325"/>
      <c r="G52" s="210"/>
      <c r="H52" s="209"/>
      <c r="I52" s="208"/>
      <c r="J52" s="207"/>
    </row>
    <row r="53" spans="1:12" ht="20" customHeight="1" x14ac:dyDescent="0.2">
      <c r="A53" s="219" t="s">
        <v>247</v>
      </c>
      <c r="B53" s="212" t="s">
        <v>249</v>
      </c>
      <c r="C53" s="208" t="s">
        <v>127</v>
      </c>
      <c r="D53" s="211">
        <v>42350</v>
      </c>
      <c r="E53" s="211">
        <v>42351</v>
      </c>
      <c r="F53" s="325" t="s">
        <v>124</v>
      </c>
      <c r="G53" s="210">
        <v>4250.2</v>
      </c>
      <c r="H53" s="209"/>
      <c r="I53" s="208" t="s">
        <v>487</v>
      </c>
      <c r="J53" s="207" t="s">
        <v>134</v>
      </c>
    </row>
    <row r="54" spans="1:12" ht="20" customHeight="1" x14ac:dyDescent="0.2">
      <c r="A54" s="219" t="s">
        <v>248</v>
      </c>
      <c r="B54" s="212" t="s">
        <v>349</v>
      </c>
      <c r="C54" s="208" t="s">
        <v>127</v>
      </c>
      <c r="D54" s="211">
        <v>42359</v>
      </c>
      <c r="E54" s="211">
        <v>42361</v>
      </c>
      <c r="F54" s="403" t="s">
        <v>1024</v>
      </c>
      <c r="G54" s="210">
        <v>175603.32</v>
      </c>
      <c r="H54" s="209"/>
      <c r="I54" s="208"/>
      <c r="J54" s="207" t="s">
        <v>134</v>
      </c>
    </row>
    <row r="55" spans="1:12" ht="20" customHeight="1" x14ac:dyDescent="0.2">
      <c r="A55" s="219" t="s">
        <v>279</v>
      </c>
      <c r="B55" s="212" t="s">
        <v>282</v>
      </c>
      <c r="C55" s="208" t="s">
        <v>127</v>
      </c>
      <c r="D55" s="211">
        <v>42354</v>
      </c>
      <c r="E55" s="211">
        <v>42356</v>
      </c>
      <c r="F55" s="325" t="s">
        <v>124</v>
      </c>
      <c r="G55" s="210"/>
      <c r="H55" s="209"/>
      <c r="I55" s="208" t="s">
        <v>488</v>
      </c>
      <c r="J55" s="469" t="s">
        <v>159</v>
      </c>
    </row>
    <row r="56" spans="1:12" ht="20" customHeight="1" x14ac:dyDescent="0.2">
      <c r="A56" s="219" t="s">
        <v>280</v>
      </c>
      <c r="B56" s="212" t="s">
        <v>281</v>
      </c>
      <c r="C56" s="208" t="s">
        <v>127</v>
      </c>
      <c r="D56" s="211">
        <v>42354</v>
      </c>
      <c r="E56" s="211">
        <v>42356</v>
      </c>
      <c r="F56" s="325" t="s">
        <v>124</v>
      </c>
      <c r="G56" s="210"/>
      <c r="H56" s="209"/>
      <c r="I56" s="208"/>
      <c r="J56" s="207" t="s">
        <v>134</v>
      </c>
    </row>
    <row r="57" spans="1:12" ht="20" customHeight="1" x14ac:dyDescent="0.2">
      <c r="A57" s="219" t="s">
        <v>290</v>
      </c>
      <c r="B57" s="212" t="s">
        <v>291</v>
      </c>
      <c r="C57" s="208" t="s">
        <v>127</v>
      </c>
      <c r="D57" s="211">
        <v>42355</v>
      </c>
      <c r="E57" s="211">
        <v>42359</v>
      </c>
      <c r="F57" s="325" t="s">
        <v>124</v>
      </c>
      <c r="G57" s="210"/>
      <c r="H57" s="209"/>
      <c r="I57" s="208"/>
      <c r="J57" s="207" t="s">
        <v>134</v>
      </c>
    </row>
    <row r="58" spans="1:12" ht="20" customHeight="1" x14ac:dyDescent="0.2">
      <c r="A58" s="219" t="s">
        <v>737</v>
      </c>
      <c r="B58" s="212" t="s">
        <v>334</v>
      </c>
      <c r="C58" s="208" t="s">
        <v>127</v>
      </c>
      <c r="D58" s="211">
        <v>42356</v>
      </c>
      <c r="E58" s="211">
        <v>42359</v>
      </c>
      <c r="F58" s="325" t="s">
        <v>577</v>
      </c>
      <c r="G58" s="210"/>
      <c r="H58" s="209"/>
      <c r="I58" s="208"/>
      <c r="J58" s="207" t="s">
        <v>134</v>
      </c>
    </row>
    <row r="59" spans="1:12" ht="20" customHeight="1" x14ac:dyDescent="0.2">
      <c r="A59" s="219" t="s">
        <v>351</v>
      </c>
      <c r="B59" s="212" t="s">
        <v>352</v>
      </c>
      <c r="C59" s="208" t="s">
        <v>127</v>
      </c>
      <c r="D59" s="211">
        <v>42375</v>
      </c>
      <c r="E59" s="211">
        <v>42377</v>
      </c>
      <c r="F59" s="325" t="s">
        <v>124</v>
      </c>
      <c r="G59" s="210"/>
      <c r="H59" s="209"/>
      <c r="I59" s="208"/>
      <c r="J59" s="207" t="s">
        <v>134</v>
      </c>
    </row>
    <row r="60" spans="1:12" ht="20" customHeight="1" x14ac:dyDescent="0.2">
      <c r="A60" s="219" t="s">
        <v>358</v>
      </c>
      <c r="B60" s="212" t="s">
        <v>355</v>
      </c>
      <c r="C60" s="208" t="s">
        <v>127</v>
      </c>
      <c r="D60" s="211">
        <v>42375</v>
      </c>
      <c r="E60" s="211">
        <v>42376</v>
      </c>
      <c r="F60" s="325" t="s">
        <v>124</v>
      </c>
      <c r="G60" s="210">
        <v>42835.64</v>
      </c>
      <c r="H60" s="209"/>
      <c r="I60" s="208"/>
      <c r="J60" s="207" t="s">
        <v>134</v>
      </c>
    </row>
    <row r="61" spans="1:12" ht="20" customHeight="1" x14ac:dyDescent="0.2">
      <c r="A61" s="219" t="s">
        <v>353</v>
      </c>
      <c r="B61" s="212" t="s">
        <v>354</v>
      </c>
      <c r="C61" s="208" t="s">
        <v>127</v>
      </c>
      <c r="D61" s="211">
        <v>42376</v>
      </c>
      <c r="E61" s="211">
        <v>42378</v>
      </c>
      <c r="F61" s="325" t="s">
        <v>187</v>
      </c>
      <c r="G61" s="210"/>
      <c r="H61" s="209"/>
      <c r="I61" s="208"/>
      <c r="J61" s="207" t="s">
        <v>134</v>
      </c>
    </row>
    <row r="62" spans="1:12" ht="20" customHeight="1" x14ac:dyDescent="0.2">
      <c r="A62" s="219" t="s">
        <v>356</v>
      </c>
      <c r="B62" s="212" t="s">
        <v>357</v>
      </c>
      <c r="C62" s="208" t="s">
        <v>127</v>
      </c>
      <c r="D62" s="211">
        <v>42376</v>
      </c>
      <c r="E62" s="211">
        <v>42377</v>
      </c>
      <c r="F62" s="325" t="s">
        <v>187</v>
      </c>
      <c r="G62" s="210"/>
      <c r="H62" s="209"/>
      <c r="I62" s="208"/>
      <c r="J62" s="207" t="s">
        <v>134</v>
      </c>
    </row>
    <row r="63" spans="1:12" ht="20" customHeight="1" x14ac:dyDescent="0.2">
      <c r="A63" s="219" t="s">
        <v>359</v>
      </c>
      <c r="B63" s="212" t="s">
        <v>1173</v>
      </c>
      <c r="C63" s="208" t="s">
        <v>127</v>
      </c>
      <c r="D63" s="211">
        <v>42378</v>
      </c>
      <c r="E63" s="211">
        <v>42379</v>
      </c>
      <c r="F63" s="325" t="s">
        <v>124</v>
      </c>
      <c r="G63" s="210"/>
      <c r="H63" s="209"/>
      <c r="I63" s="208"/>
      <c r="J63" s="207" t="s">
        <v>134</v>
      </c>
    </row>
    <row r="64" spans="1:12" ht="20" customHeight="1" x14ac:dyDescent="0.2">
      <c r="A64" s="219" t="s">
        <v>360</v>
      </c>
      <c r="B64" s="212" t="s">
        <v>361</v>
      </c>
      <c r="C64" s="208" t="s">
        <v>127</v>
      </c>
      <c r="D64" s="211">
        <v>42377</v>
      </c>
      <c r="E64" s="211">
        <v>42378</v>
      </c>
      <c r="F64" s="325" t="s">
        <v>124</v>
      </c>
      <c r="G64" s="210">
        <v>23684.06</v>
      </c>
      <c r="H64" s="209"/>
      <c r="I64" s="208" t="s">
        <v>510</v>
      </c>
      <c r="J64" s="207" t="s">
        <v>134</v>
      </c>
    </row>
    <row r="65" spans="1:10" ht="20" customHeight="1" x14ac:dyDescent="0.2">
      <c r="A65" s="219" t="s">
        <v>389</v>
      </c>
      <c r="B65" s="212"/>
      <c r="C65" s="208"/>
      <c r="D65" s="211"/>
      <c r="E65" s="211"/>
      <c r="F65" s="325"/>
      <c r="G65" s="210"/>
      <c r="H65" s="209"/>
      <c r="I65" s="208"/>
      <c r="J65" s="207"/>
    </row>
    <row r="66" spans="1:10" ht="20" customHeight="1" x14ac:dyDescent="0.2">
      <c r="A66" s="219" t="s">
        <v>390</v>
      </c>
      <c r="B66" s="212" t="s">
        <v>1174</v>
      </c>
      <c r="C66" s="208" t="s">
        <v>127</v>
      </c>
      <c r="D66" s="211">
        <v>42382</v>
      </c>
      <c r="E66" s="211">
        <v>42383</v>
      </c>
      <c r="F66" s="325" t="s">
        <v>124</v>
      </c>
      <c r="G66" s="210"/>
      <c r="H66" s="209"/>
      <c r="I66" s="208"/>
      <c r="J66" s="207" t="s">
        <v>134</v>
      </c>
    </row>
    <row r="67" spans="1:10" ht="20" customHeight="1" x14ac:dyDescent="0.2">
      <c r="A67" s="219" t="s">
        <v>395</v>
      </c>
      <c r="B67" s="212" t="s">
        <v>396</v>
      </c>
      <c r="C67" s="208" t="s">
        <v>127</v>
      </c>
      <c r="D67" s="211">
        <v>42383</v>
      </c>
      <c r="E67" s="211">
        <v>42384</v>
      </c>
      <c r="F67" s="325" t="s">
        <v>124</v>
      </c>
      <c r="G67" s="210">
        <v>5040</v>
      </c>
      <c r="H67" s="209"/>
      <c r="I67" s="208" t="s">
        <v>509</v>
      </c>
      <c r="J67" s="207" t="s">
        <v>134</v>
      </c>
    </row>
    <row r="68" spans="1:10" ht="20" customHeight="1" x14ac:dyDescent="0.2">
      <c r="A68" s="219" t="s">
        <v>397</v>
      </c>
      <c r="B68" s="212" t="s">
        <v>404</v>
      </c>
      <c r="C68" s="208" t="s">
        <v>127</v>
      </c>
      <c r="D68" s="211">
        <v>42383</v>
      </c>
      <c r="E68" s="211">
        <v>42384</v>
      </c>
      <c r="F68" s="325" t="s">
        <v>187</v>
      </c>
      <c r="G68" s="210">
        <v>15000</v>
      </c>
      <c r="H68" s="209"/>
      <c r="I68" s="208"/>
      <c r="J68" s="207" t="s">
        <v>134</v>
      </c>
    </row>
    <row r="69" spans="1:10" ht="20" customHeight="1" x14ac:dyDescent="0.2">
      <c r="A69" s="219" t="s">
        <v>398</v>
      </c>
      <c r="B69" s="212" t="s">
        <v>399</v>
      </c>
      <c r="C69" s="208" t="s">
        <v>127</v>
      </c>
      <c r="D69" s="211">
        <v>42383</v>
      </c>
      <c r="E69" s="211">
        <v>42384</v>
      </c>
      <c r="F69" s="325" t="s">
        <v>124</v>
      </c>
      <c r="G69" s="210"/>
      <c r="H69" s="209"/>
      <c r="I69" s="208"/>
      <c r="J69" s="207" t="s">
        <v>134</v>
      </c>
    </row>
    <row r="70" spans="1:10" ht="20" customHeight="1" x14ac:dyDescent="0.2">
      <c r="A70" s="219" t="s">
        <v>400</v>
      </c>
      <c r="B70" s="212" t="s">
        <v>401</v>
      </c>
      <c r="C70" s="208" t="s">
        <v>127</v>
      </c>
      <c r="D70" s="211">
        <v>42383</v>
      </c>
      <c r="E70" s="211">
        <v>42387</v>
      </c>
      <c r="F70" s="325" t="s">
        <v>124</v>
      </c>
      <c r="G70" s="210"/>
      <c r="H70" s="209"/>
      <c r="I70" s="208"/>
      <c r="J70" s="207" t="s">
        <v>134</v>
      </c>
    </row>
    <row r="71" spans="1:10" ht="20" customHeight="1" x14ac:dyDescent="0.2">
      <c r="A71" s="219" t="s">
        <v>402</v>
      </c>
      <c r="B71" s="212" t="s">
        <v>403</v>
      </c>
      <c r="C71" s="208" t="s">
        <v>127</v>
      </c>
      <c r="D71" s="211">
        <v>42383</v>
      </c>
      <c r="E71" s="211">
        <v>42387</v>
      </c>
      <c r="F71" s="325" t="s">
        <v>124</v>
      </c>
      <c r="G71" s="210"/>
      <c r="H71" s="209"/>
      <c r="I71" s="208"/>
      <c r="J71" s="207" t="s">
        <v>134</v>
      </c>
    </row>
    <row r="72" spans="1:10" ht="20" customHeight="1" x14ac:dyDescent="0.2">
      <c r="A72" s="219" t="s">
        <v>405</v>
      </c>
      <c r="B72" s="212" t="s">
        <v>1175</v>
      </c>
      <c r="C72" s="208" t="s">
        <v>127</v>
      </c>
      <c r="D72" s="211">
        <v>42383</v>
      </c>
      <c r="E72" s="211">
        <v>42384</v>
      </c>
      <c r="F72" s="325" t="s">
        <v>124</v>
      </c>
      <c r="G72" s="210">
        <v>66500.639999999999</v>
      </c>
      <c r="H72" s="209"/>
      <c r="I72" s="208" t="s">
        <v>508</v>
      </c>
      <c r="J72" s="207" t="s">
        <v>134</v>
      </c>
    </row>
    <row r="73" spans="1:10" ht="20" customHeight="1" x14ac:dyDescent="0.2">
      <c r="A73" s="219" t="s">
        <v>406</v>
      </c>
      <c r="B73" s="212" t="s">
        <v>407</v>
      </c>
      <c r="C73" s="208" t="s">
        <v>127</v>
      </c>
      <c r="D73" s="211">
        <v>42384</v>
      </c>
      <c r="E73" s="211">
        <v>42387</v>
      </c>
      <c r="F73" s="325" t="s">
        <v>124</v>
      </c>
      <c r="G73" s="210"/>
      <c r="H73" s="209"/>
      <c r="I73" s="208"/>
      <c r="J73" s="207" t="s">
        <v>134</v>
      </c>
    </row>
    <row r="74" spans="1:10" ht="20" customHeight="1" x14ac:dyDescent="0.2">
      <c r="A74" s="219" t="s">
        <v>408</v>
      </c>
      <c r="B74" s="212" t="s">
        <v>409</v>
      </c>
      <c r="C74" s="208" t="s">
        <v>127</v>
      </c>
      <c r="D74" s="211">
        <v>42385</v>
      </c>
      <c r="E74" s="211">
        <v>42387</v>
      </c>
      <c r="F74" s="325" t="s">
        <v>187</v>
      </c>
      <c r="G74" s="210"/>
      <c r="H74" s="209"/>
      <c r="I74" s="208"/>
      <c r="J74" s="207" t="s">
        <v>134</v>
      </c>
    </row>
    <row r="75" spans="1:10" ht="20" customHeight="1" x14ac:dyDescent="0.2">
      <c r="A75" s="219" t="s">
        <v>449</v>
      </c>
      <c r="B75" s="212" t="s">
        <v>425</v>
      </c>
      <c r="C75" s="208" t="s">
        <v>127</v>
      </c>
      <c r="D75" s="211">
        <v>42389</v>
      </c>
      <c r="E75" s="211">
        <v>42391</v>
      </c>
      <c r="F75" s="325" t="s">
        <v>124</v>
      </c>
      <c r="G75" s="210">
        <v>359953.32</v>
      </c>
      <c r="H75" s="209"/>
      <c r="I75" s="208" t="s">
        <v>570</v>
      </c>
      <c r="J75" s="207" t="s">
        <v>134</v>
      </c>
    </row>
    <row r="76" spans="1:10" ht="20" customHeight="1" x14ac:dyDescent="0.2">
      <c r="A76" s="219" t="s">
        <v>427</v>
      </c>
      <c r="B76" s="212" t="s">
        <v>456</v>
      </c>
      <c r="C76" s="208" t="s">
        <v>127</v>
      </c>
      <c r="D76" s="211">
        <v>42396</v>
      </c>
      <c r="E76" s="211">
        <v>42398</v>
      </c>
      <c r="F76" s="325" t="s">
        <v>124</v>
      </c>
      <c r="G76" s="210">
        <v>763439.04</v>
      </c>
      <c r="H76" s="209"/>
      <c r="I76" s="208" t="s">
        <v>572</v>
      </c>
      <c r="J76" s="207" t="s">
        <v>134</v>
      </c>
    </row>
    <row r="77" spans="1:10" ht="20" customHeight="1" x14ac:dyDescent="0.2">
      <c r="A77" s="219" t="s">
        <v>428</v>
      </c>
      <c r="B77" s="212" t="s">
        <v>459</v>
      </c>
      <c r="C77" s="208" t="s">
        <v>127</v>
      </c>
      <c r="D77" s="211">
        <v>42397</v>
      </c>
      <c r="E77" s="211">
        <v>42400</v>
      </c>
      <c r="F77" s="325" t="s">
        <v>124</v>
      </c>
      <c r="G77" s="210">
        <v>1201072.32</v>
      </c>
      <c r="H77" s="209"/>
      <c r="I77" s="208" t="s">
        <v>572</v>
      </c>
      <c r="J77" s="207" t="s">
        <v>134</v>
      </c>
    </row>
    <row r="78" spans="1:10" ht="20" customHeight="1" x14ac:dyDescent="0.2">
      <c r="A78" s="219" t="s">
        <v>429</v>
      </c>
      <c r="B78" s="212" t="s">
        <v>430</v>
      </c>
      <c r="C78" s="208" t="s">
        <v>127</v>
      </c>
      <c r="D78" s="211">
        <v>42390</v>
      </c>
      <c r="E78" s="211">
        <v>42393</v>
      </c>
      <c r="F78" s="325" t="s">
        <v>187</v>
      </c>
      <c r="G78" s="210"/>
      <c r="H78" s="209"/>
      <c r="I78" s="208"/>
      <c r="J78" s="207" t="s">
        <v>134</v>
      </c>
    </row>
    <row r="79" spans="1:10" ht="20" customHeight="1" x14ac:dyDescent="0.2">
      <c r="A79" s="219" t="s">
        <v>436</v>
      </c>
      <c r="B79" s="212" t="s">
        <v>437</v>
      </c>
      <c r="C79" s="208" t="s">
        <v>127</v>
      </c>
      <c r="D79" s="211">
        <v>42391</v>
      </c>
      <c r="E79" s="211">
        <v>42395</v>
      </c>
      <c r="F79" s="325" t="s">
        <v>124</v>
      </c>
      <c r="G79" s="210"/>
      <c r="H79" s="209"/>
      <c r="I79" s="208"/>
      <c r="J79" s="389" t="s">
        <v>134</v>
      </c>
    </row>
    <row r="80" spans="1:10" ht="20" customHeight="1" x14ac:dyDescent="0.2">
      <c r="A80" s="219" t="s">
        <v>438</v>
      </c>
      <c r="B80" s="212" t="s">
        <v>439</v>
      </c>
      <c r="C80" s="208" t="s">
        <v>127</v>
      </c>
      <c r="D80" s="211">
        <v>42391</v>
      </c>
      <c r="E80" s="211">
        <v>42392</v>
      </c>
      <c r="F80" s="325" t="s">
        <v>124</v>
      </c>
      <c r="G80" s="210">
        <v>118900</v>
      </c>
      <c r="H80" s="209"/>
      <c r="I80" s="208" t="s">
        <v>933</v>
      </c>
      <c r="J80" s="389" t="s">
        <v>134</v>
      </c>
    </row>
    <row r="81" spans="1:10" ht="20" customHeight="1" x14ac:dyDescent="0.2">
      <c r="A81" s="219" t="s">
        <v>440</v>
      </c>
      <c r="B81" s="212" t="s">
        <v>443</v>
      </c>
      <c r="C81" s="208" t="s">
        <v>127</v>
      </c>
      <c r="D81" s="211">
        <v>42392</v>
      </c>
      <c r="E81" s="211">
        <v>42395</v>
      </c>
      <c r="F81" s="325" t="s">
        <v>621</v>
      </c>
      <c r="G81" s="210"/>
      <c r="H81" s="209"/>
      <c r="I81" s="208"/>
      <c r="J81" s="389" t="s">
        <v>134</v>
      </c>
    </row>
    <row r="82" spans="1:10" ht="20" customHeight="1" x14ac:dyDescent="0.2">
      <c r="A82" s="219" t="s">
        <v>441</v>
      </c>
      <c r="B82" s="212" t="s">
        <v>442</v>
      </c>
      <c r="C82" s="208" t="s">
        <v>127</v>
      </c>
      <c r="D82" s="211">
        <v>42392</v>
      </c>
      <c r="E82" s="211">
        <v>42395</v>
      </c>
      <c r="F82" s="325" t="s">
        <v>124</v>
      </c>
      <c r="G82" s="210"/>
      <c r="H82" s="209"/>
      <c r="I82" s="208"/>
      <c r="J82" s="389" t="s">
        <v>134</v>
      </c>
    </row>
    <row r="83" spans="1:10" ht="20" customHeight="1" x14ac:dyDescent="0.2">
      <c r="A83" s="219" t="s">
        <v>450</v>
      </c>
      <c r="B83" s="212" t="s">
        <v>452</v>
      </c>
      <c r="C83" s="208" t="s">
        <v>127</v>
      </c>
      <c r="D83" s="211">
        <v>42395</v>
      </c>
      <c r="E83" s="211">
        <v>42399</v>
      </c>
      <c r="F83" s="325" t="s">
        <v>187</v>
      </c>
      <c r="G83" s="210"/>
      <c r="H83" s="209"/>
      <c r="I83" s="208"/>
      <c r="J83" s="389" t="s">
        <v>134</v>
      </c>
    </row>
    <row r="84" spans="1:10" ht="20" customHeight="1" x14ac:dyDescent="0.2">
      <c r="A84" s="219" t="s">
        <v>574</v>
      </c>
      <c r="B84" s="212" t="s">
        <v>453</v>
      </c>
      <c r="C84" s="208" t="s">
        <v>127</v>
      </c>
      <c r="D84" s="211">
        <v>42395</v>
      </c>
      <c r="E84" s="211">
        <v>42399</v>
      </c>
      <c r="F84" s="325" t="s">
        <v>124</v>
      </c>
      <c r="G84" s="210"/>
      <c r="H84" s="209"/>
      <c r="I84" s="208"/>
      <c r="J84" s="389" t="s">
        <v>134</v>
      </c>
    </row>
    <row r="85" spans="1:10" ht="20" customHeight="1" x14ac:dyDescent="0.2">
      <c r="A85" s="219" t="s">
        <v>451</v>
      </c>
      <c r="B85" s="212" t="s">
        <v>454</v>
      </c>
      <c r="C85" s="208" t="s">
        <v>127</v>
      </c>
      <c r="D85" s="211">
        <v>42395</v>
      </c>
      <c r="E85" s="211">
        <v>42399</v>
      </c>
      <c r="F85" s="325" t="s">
        <v>124</v>
      </c>
      <c r="G85" s="210"/>
      <c r="H85" s="209"/>
      <c r="I85" s="208"/>
      <c r="J85" s="389" t="s">
        <v>134</v>
      </c>
    </row>
    <row r="86" spans="1:10" ht="20" customHeight="1" x14ac:dyDescent="0.2">
      <c r="A86" s="219" t="s">
        <v>573</v>
      </c>
      <c r="B86" s="212" t="s">
        <v>455</v>
      </c>
      <c r="C86" s="208" t="s">
        <v>127</v>
      </c>
      <c r="D86" s="211">
        <v>42395</v>
      </c>
      <c r="E86" s="211">
        <v>42399</v>
      </c>
      <c r="F86" s="325" t="s">
        <v>577</v>
      </c>
      <c r="G86" s="210"/>
      <c r="H86" s="209"/>
      <c r="I86" s="208"/>
      <c r="J86" s="389" t="s">
        <v>134</v>
      </c>
    </row>
    <row r="87" spans="1:10" ht="20" customHeight="1" x14ac:dyDescent="0.2">
      <c r="A87" s="219" t="s">
        <v>457</v>
      </c>
      <c r="B87" s="212" t="s">
        <v>458</v>
      </c>
      <c r="C87" s="208" t="s">
        <v>127</v>
      </c>
      <c r="D87" s="211">
        <v>42396</v>
      </c>
      <c r="E87" s="211">
        <v>42399</v>
      </c>
      <c r="F87" s="325" t="s">
        <v>680</v>
      </c>
      <c r="G87" s="210"/>
      <c r="H87" s="209"/>
      <c r="I87" s="208"/>
      <c r="J87" s="389" t="s">
        <v>134</v>
      </c>
    </row>
    <row r="88" spans="1:10" ht="20" customHeight="1" x14ac:dyDescent="0.2">
      <c r="A88" s="219" t="s">
        <v>465</v>
      </c>
      <c r="B88" s="212" t="s">
        <v>466</v>
      </c>
      <c r="C88" s="208" t="s">
        <v>127</v>
      </c>
      <c r="D88" s="211">
        <v>42398</v>
      </c>
      <c r="E88" s="211">
        <v>42401</v>
      </c>
      <c r="F88" s="325" t="s">
        <v>680</v>
      </c>
      <c r="G88" s="210"/>
      <c r="H88" s="209"/>
      <c r="I88" s="208"/>
      <c r="J88" s="389" t="s">
        <v>134</v>
      </c>
    </row>
    <row r="89" spans="1:10" ht="20" customHeight="1" x14ac:dyDescent="0.2">
      <c r="A89" s="219" t="s">
        <v>496</v>
      </c>
      <c r="B89" s="212" t="s">
        <v>499</v>
      </c>
      <c r="C89" s="208" t="s">
        <v>127</v>
      </c>
      <c r="D89" s="211">
        <v>42399</v>
      </c>
      <c r="E89" s="211">
        <v>42401</v>
      </c>
      <c r="F89" s="325" t="s">
        <v>124</v>
      </c>
      <c r="G89" s="210">
        <v>215855.08</v>
      </c>
      <c r="H89" s="209"/>
      <c r="I89" s="208" t="s">
        <v>531</v>
      </c>
      <c r="J89" s="389" t="s">
        <v>134</v>
      </c>
    </row>
    <row r="90" spans="1:10" ht="20" customHeight="1" x14ac:dyDescent="0.2">
      <c r="A90" s="219" t="s">
        <v>497</v>
      </c>
      <c r="B90" s="212" t="s">
        <v>1176</v>
      </c>
      <c r="C90" s="208" t="s">
        <v>127</v>
      </c>
      <c r="D90" s="211">
        <v>42399</v>
      </c>
      <c r="E90" s="211">
        <v>42401</v>
      </c>
      <c r="F90" s="325" t="s">
        <v>124</v>
      </c>
      <c r="G90" s="210">
        <v>60808.38</v>
      </c>
      <c r="H90" s="209"/>
      <c r="I90" s="208" t="s">
        <v>530</v>
      </c>
      <c r="J90" s="389" t="s">
        <v>134</v>
      </c>
    </row>
    <row r="91" spans="1:10" ht="20" customHeight="1" x14ac:dyDescent="0.2">
      <c r="A91" s="219" t="s">
        <v>498</v>
      </c>
      <c r="B91" s="212" t="s">
        <v>282</v>
      </c>
      <c r="C91" s="208" t="s">
        <v>127</v>
      </c>
      <c r="D91" s="211">
        <v>42399</v>
      </c>
      <c r="E91" s="211">
        <v>42401</v>
      </c>
      <c r="F91" s="325" t="s">
        <v>187</v>
      </c>
      <c r="G91" s="210"/>
      <c r="H91" s="209"/>
      <c r="I91" s="208"/>
      <c r="J91" s="389" t="s">
        <v>134</v>
      </c>
    </row>
    <row r="92" spans="1:10" ht="20" customHeight="1" x14ac:dyDescent="0.2">
      <c r="A92" s="219" t="s">
        <v>575</v>
      </c>
      <c r="B92" s="212" t="s">
        <v>455</v>
      </c>
      <c r="C92" s="208" t="s">
        <v>127</v>
      </c>
      <c r="D92" s="211">
        <v>42400</v>
      </c>
      <c r="E92" s="211">
        <v>42404</v>
      </c>
      <c r="F92" s="325" t="s">
        <v>124</v>
      </c>
      <c r="G92" s="210"/>
      <c r="H92" s="209"/>
      <c r="I92" s="208"/>
      <c r="J92" s="389" t="s">
        <v>134</v>
      </c>
    </row>
    <row r="93" spans="1:10" ht="20" customHeight="1" x14ac:dyDescent="0.2">
      <c r="A93" s="219" t="s">
        <v>549</v>
      </c>
      <c r="B93" s="212" t="s">
        <v>578</v>
      </c>
      <c r="C93" s="208" t="s">
        <v>127</v>
      </c>
      <c r="D93" s="211">
        <v>42406</v>
      </c>
      <c r="E93" s="211">
        <v>42410</v>
      </c>
      <c r="F93" s="325" t="s">
        <v>124</v>
      </c>
      <c r="G93" s="210"/>
      <c r="H93" s="209"/>
      <c r="I93" s="208"/>
      <c r="J93" s="389" t="s">
        <v>134</v>
      </c>
    </row>
    <row r="94" spans="1:10" ht="20" customHeight="1" x14ac:dyDescent="0.2">
      <c r="A94" s="219" t="s">
        <v>579</v>
      </c>
      <c r="B94" s="212" t="s">
        <v>580</v>
      </c>
      <c r="C94" s="208" t="s">
        <v>127</v>
      </c>
      <c r="D94" s="211">
        <v>42411</v>
      </c>
      <c r="E94" s="211">
        <v>42415</v>
      </c>
      <c r="F94" s="325" t="s">
        <v>124</v>
      </c>
      <c r="G94" s="210"/>
      <c r="H94" s="209"/>
      <c r="I94" s="208"/>
      <c r="J94" s="389" t="s">
        <v>134</v>
      </c>
    </row>
    <row r="95" spans="1:10" ht="20" customHeight="1" x14ac:dyDescent="0.2">
      <c r="A95" s="219" t="s">
        <v>602</v>
      </c>
      <c r="B95" s="212" t="s">
        <v>603</v>
      </c>
      <c r="C95" s="208" t="s">
        <v>127</v>
      </c>
      <c r="D95" s="211">
        <v>42416</v>
      </c>
      <c r="E95" s="211">
        <v>42418</v>
      </c>
      <c r="F95" s="325" t="s">
        <v>187</v>
      </c>
      <c r="G95" s="210"/>
      <c r="H95" s="209"/>
      <c r="I95" s="208"/>
      <c r="J95" s="389" t="s">
        <v>134</v>
      </c>
    </row>
    <row r="96" spans="1:10" ht="20" customHeight="1" x14ac:dyDescent="0.2">
      <c r="A96" s="219" t="s">
        <v>604</v>
      </c>
      <c r="B96" s="212" t="s">
        <v>605</v>
      </c>
      <c r="C96" s="208" t="s">
        <v>127</v>
      </c>
      <c r="D96" s="211">
        <v>42416</v>
      </c>
      <c r="E96" s="211">
        <v>42418</v>
      </c>
      <c r="F96" s="325" t="s">
        <v>124</v>
      </c>
      <c r="G96" s="210">
        <v>38750</v>
      </c>
      <c r="H96" s="209"/>
      <c r="I96" s="208" t="s">
        <v>801</v>
      </c>
      <c r="J96" s="389" t="s">
        <v>134</v>
      </c>
    </row>
    <row r="97" spans="1:10" ht="20" customHeight="1" x14ac:dyDescent="0.2">
      <c r="A97" s="219" t="s">
        <v>609</v>
      </c>
      <c r="B97" s="212" t="s">
        <v>610</v>
      </c>
      <c r="C97" s="208" t="s">
        <v>127</v>
      </c>
      <c r="D97" s="211">
        <v>42417</v>
      </c>
      <c r="E97" s="211">
        <v>42419</v>
      </c>
      <c r="F97" s="325" t="s">
        <v>124</v>
      </c>
      <c r="G97" s="210">
        <v>165080.95999999999</v>
      </c>
      <c r="H97" s="209"/>
      <c r="I97" s="208" t="s">
        <v>682</v>
      </c>
      <c r="J97" s="389" t="s">
        <v>134</v>
      </c>
    </row>
    <row r="98" spans="1:10" ht="20" customHeight="1" x14ac:dyDescent="0.2">
      <c r="A98" s="219" t="s">
        <v>624</v>
      </c>
      <c r="B98" s="212" t="s">
        <v>199</v>
      </c>
      <c r="C98" s="208" t="s">
        <v>127</v>
      </c>
      <c r="D98" s="211">
        <v>42419</v>
      </c>
      <c r="E98" s="211">
        <v>42421</v>
      </c>
      <c r="F98" s="325" t="s">
        <v>124</v>
      </c>
      <c r="G98" s="210">
        <v>151000</v>
      </c>
      <c r="H98" s="209"/>
      <c r="I98" s="208" t="s">
        <v>681</v>
      </c>
      <c r="J98" s="389" t="s">
        <v>134</v>
      </c>
    </row>
    <row r="99" spans="1:10" ht="20" customHeight="1" x14ac:dyDescent="0.2">
      <c r="A99" s="219" t="s">
        <v>625</v>
      </c>
      <c r="B99" s="212" t="s">
        <v>626</v>
      </c>
      <c r="C99" s="208" t="s">
        <v>127</v>
      </c>
      <c r="D99" s="211">
        <v>42419</v>
      </c>
      <c r="E99" s="211">
        <v>42421</v>
      </c>
      <c r="F99" s="325" t="s">
        <v>124</v>
      </c>
      <c r="G99" s="210">
        <v>22069.31</v>
      </c>
      <c r="H99" s="209"/>
      <c r="I99" s="208" t="s">
        <v>632</v>
      </c>
      <c r="J99" s="389" t="s">
        <v>134</v>
      </c>
    </row>
    <row r="100" spans="1:10" ht="20" customHeight="1" x14ac:dyDescent="0.2">
      <c r="A100" s="219" t="s">
        <v>630</v>
      </c>
      <c r="B100" s="212" t="s">
        <v>631</v>
      </c>
      <c r="C100" s="208" t="s">
        <v>127</v>
      </c>
      <c r="D100" s="211">
        <v>42420</v>
      </c>
      <c r="E100" s="211">
        <v>42423</v>
      </c>
      <c r="F100" s="325" t="s">
        <v>124</v>
      </c>
      <c r="G100" s="210"/>
      <c r="H100" s="209"/>
      <c r="I100" s="208" t="s">
        <v>93</v>
      </c>
      <c r="J100" s="389" t="s">
        <v>134</v>
      </c>
    </row>
    <row r="101" spans="1:10" ht="20" customHeight="1" x14ac:dyDescent="0.2">
      <c r="A101" s="219" t="s">
        <v>647</v>
      </c>
      <c r="B101" s="212" t="s">
        <v>648</v>
      </c>
      <c r="C101" s="208" t="s">
        <v>649</v>
      </c>
      <c r="D101" s="211">
        <v>42420</v>
      </c>
      <c r="E101" s="211">
        <v>42423</v>
      </c>
      <c r="F101" s="325" t="s">
        <v>187</v>
      </c>
      <c r="G101" s="210"/>
      <c r="H101" s="209"/>
      <c r="I101" s="208"/>
      <c r="J101" s="389" t="s">
        <v>134</v>
      </c>
    </row>
    <row r="102" spans="1:10" ht="20" customHeight="1" x14ac:dyDescent="0.2">
      <c r="A102" s="219" t="s">
        <v>650</v>
      </c>
      <c r="B102" s="212" t="s">
        <v>651</v>
      </c>
      <c r="C102" s="208" t="s">
        <v>127</v>
      </c>
      <c r="D102" s="211">
        <v>42423</v>
      </c>
      <c r="E102" s="211">
        <v>42425</v>
      </c>
      <c r="F102" s="325" t="s">
        <v>124</v>
      </c>
      <c r="G102" s="210"/>
      <c r="H102" s="209"/>
      <c r="I102" s="208"/>
      <c r="J102" s="389" t="s">
        <v>134</v>
      </c>
    </row>
    <row r="103" spans="1:10" ht="20" customHeight="1" x14ac:dyDescent="0.2">
      <c r="A103" s="219" t="s">
        <v>660</v>
      </c>
      <c r="B103" s="212" t="s">
        <v>661</v>
      </c>
      <c r="C103" s="208" t="s">
        <v>649</v>
      </c>
      <c r="D103" s="211">
        <v>42424</v>
      </c>
      <c r="E103" s="211">
        <v>42426</v>
      </c>
      <c r="F103" s="325" t="s">
        <v>678</v>
      </c>
      <c r="G103" s="210"/>
      <c r="H103" s="209"/>
      <c r="I103" s="208"/>
      <c r="J103" s="389" t="s">
        <v>134</v>
      </c>
    </row>
    <row r="104" spans="1:10" ht="20" customHeight="1" x14ac:dyDescent="0.2">
      <c r="A104" s="219" t="s">
        <v>662</v>
      </c>
      <c r="B104" s="212" t="s">
        <v>663</v>
      </c>
      <c r="C104" s="208" t="s">
        <v>649</v>
      </c>
      <c r="D104" s="211">
        <v>42425</v>
      </c>
      <c r="E104" s="211">
        <v>42428</v>
      </c>
      <c r="F104" s="325" t="s">
        <v>187</v>
      </c>
      <c r="G104" s="210"/>
      <c r="H104" s="209"/>
      <c r="I104" s="208"/>
      <c r="J104" s="389" t="s">
        <v>134</v>
      </c>
    </row>
    <row r="105" spans="1:10" ht="20" customHeight="1" x14ac:dyDescent="0.2">
      <c r="A105" s="219" t="s">
        <v>664</v>
      </c>
      <c r="B105" s="212" t="s">
        <v>665</v>
      </c>
      <c r="C105" s="208" t="s">
        <v>649</v>
      </c>
      <c r="D105" s="211">
        <v>42425</v>
      </c>
      <c r="E105" s="211">
        <v>42427</v>
      </c>
      <c r="F105" s="325" t="s">
        <v>577</v>
      </c>
      <c r="G105" s="210">
        <v>15560</v>
      </c>
      <c r="H105" s="209"/>
      <c r="I105" s="208"/>
      <c r="J105" s="389" t="s">
        <v>134</v>
      </c>
    </row>
    <row r="106" spans="1:10" ht="20" customHeight="1" x14ac:dyDescent="0.2">
      <c r="A106" s="219" t="s">
        <v>666</v>
      </c>
      <c r="B106" s="212" t="s">
        <v>667</v>
      </c>
      <c r="C106" s="208" t="s">
        <v>649</v>
      </c>
      <c r="D106" s="211">
        <v>42426</v>
      </c>
      <c r="E106" s="211">
        <v>42428</v>
      </c>
      <c r="F106" s="325" t="s">
        <v>577</v>
      </c>
      <c r="G106" s="426">
        <v>393404</v>
      </c>
      <c r="H106" s="209"/>
      <c r="I106" s="460" t="s">
        <v>1079</v>
      </c>
      <c r="J106" s="389" t="s">
        <v>134</v>
      </c>
    </row>
    <row r="107" spans="1:10" ht="20" customHeight="1" x14ac:dyDescent="0.2">
      <c r="A107" s="219" t="s">
        <v>668</v>
      </c>
      <c r="B107" s="212" t="s">
        <v>669</v>
      </c>
      <c r="C107" s="208" t="s">
        <v>649</v>
      </c>
      <c r="D107" s="211">
        <v>42426</v>
      </c>
      <c r="E107" s="211">
        <v>42428</v>
      </c>
      <c r="F107" s="403" t="s">
        <v>1023</v>
      </c>
      <c r="G107" s="210"/>
      <c r="H107" s="209"/>
      <c r="I107" s="208"/>
      <c r="J107" s="417"/>
    </row>
    <row r="108" spans="1:10" ht="20" customHeight="1" x14ac:dyDescent="0.2">
      <c r="A108" s="219" t="s">
        <v>841</v>
      </c>
      <c r="B108" s="212" t="s">
        <v>842</v>
      </c>
      <c r="C108" s="208" t="s">
        <v>649</v>
      </c>
      <c r="D108" s="211">
        <v>42450</v>
      </c>
      <c r="E108" s="211">
        <v>42453</v>
      </c>
      <c r="F108" s="325" t="s">
        <v>680</v>
      </c>
      <c r="G108" s="210">
        <v>55080</v>
      </c>
      <c r="H108" s="209"/>
      <c r="I108" s="208" t="s">
        <v>93</v>
      </c>
      <c r="J108" s="389" t="s">
        <v>134</v>
      </c>
    </row>
    <row r="109" spans="1:10" ht="20" customHeight="1" x14ac:dyDescent="0.2">
      <c r="A109" s="219" t="s">
        <v>708</v>
      </c>
      <c r="B109" s="212" t="s">
        <v>709</v>
      </c>
      <c r="C109" s="208" t="s">
        <v>649</v>
      </c>
      <c r="D109" s="211">
        <v>42433</v>
      </c>
      <c r="E109" s="211">
        <v>42436</v>
      </c>
      <c r="F109" s="325" t="s">
        <v>124</v>
      </c>
      <c r="G109" s="426">
        <v>32248.400000000001</v>
      </c>
      <c r="H109" s="209"/>
      <c r="I109" s="208" t="s">
        <v>933</v>
      </c>
      <c r="J109" s="389" t="s">
        <v>134</v>
      </c>
    </row>
    <row r="110" spans="1:10" ht="20" customHeight="1" x14ac:dyDescent="0.2">
      <c r="A110" s="219" t="s">
        <v>784</v>
      </c>
      <c r="B110" s="212" t="s">
        <v>739</v>
      </c>
      <c r="C110" s="208" t="s">
        <v>649</v>
      </c>
      <c r="D110" s="211">
        <v>42436</v>
      </c>
      <c r="E110" s="211">
        <v>42438</v>
      </c>
      <c r="F110" s="325" t="s">
        <v>830</v>
      </c>
      <c r="G110" s="210">
        <v>615000</v>
      </c>
      <c r="H110" s="209"/>
      <c r="I110" s="208"/>
      <c r="J110" s="389" t="s">
        <v>134</v>
      </c>
    </row>
    <row r="111" spans="1:10" ht="20" customHeight="1" x14ac:dyDescent="0.2">
      <c r="A111" s="468" t="s">
        <v>713</v>
      </c>
      <c r="B111" s="212" t="s">
        <v>840</v>
      </c>
      <c r="C111" s="208" t="s">
        <v>649</v>
      </c>
      <c r="D111" s="211">
        <v>42450</v>
      </c>
      <c r="E111" s="211">
        <v>42453</v>
      </c>
      <c r="F111" s="325" t="s">
        <v>187</v>
      </c>
      <c r="G111" s="210"/>
      <c r="H111" s="209"/>
      <c r="I111" s="208"/>
      <c r="J111" s="389" t="s">
        <v>134</v>
      </c>
    </row>
    <row r="112" spans="1:10" ht="20" customHeight="1" x14ac:dyDescent="0.2">
      <c r="A112" s="219" t="s">
        <v>714</v>
      </c>
      <c r="B112" s="212" t="s">
        <v>715</v>
      </c>
      <c r="C112" s="208" t="s">
        <v>649</v>
      </c>
      <c r="D112" s="211">
        <v>42434</v>
      </c>
      <c r="E112" s="211">
        <v>42436</v>
      </c>
      <c r="F112" s="325" t="s">
        <v>494</v>
      </c>
      <c r="G112" s="210"/>
      <c r="H112" s="209"/>
      <c r="I112" s="208"/>
      <c r="J112" s="389" t="s">
        <v>134</v>
      </c>
    </row>
    <row r="113" spans="1:10" ht="20" customHeight="1" x14ac:dyDescent="0.2">
      <c r="A113" s="219" t="s">
        <v>754</v>
      </c>
      <c r="B113" s="212" t="s">
        <v>755</v>
      </c>
      <c r="C113" s="208" t="s">
        <v>649</v>
      </c>
      <c r="D113" s="211">
        <v>42438</v>
      </c>
      <c r="E113" s="211">
        <v>42440</v>
      </c>
      <c r="F113" s="325" t="s">
        <v>831</v>
      </c>
      <c r="G113" s="210"/>
      <c r="H113" s="209"/>
      <c r="I113" s="208"/>
      <c r="J113" s="389" t="s">
        <v>134</v>
      </c>
    </row>
    <row r="114" spans="1:10" ht="20" customHeight="1" x14ac:dyDescent="0.2">
      <c r="A114" s="219" t="s">
        <v>787</v>
      </c>
      <c r="B114" s="212" t="s">
        <v>1177</v>
      </c>
      <c r="C114" s="208" t="s">
        <v>649</v>
      </c>
      <c r="D114" s="211">
        <v>42441</v>
      </c>
      <c r="E114" s="211">
        <v>42443</v>
      </c>
      <c r="F114" s="325" t="s">
        <v>831</v>
      </c>
      <c r="G114" s="210">
        <v>169946.08</v>
      </c>
      <c r="H114" s="209"/>
      <c r="I114" s="208" t="s">
        <v>967</v>
      </c>
      <c r="J114" s="389" t="s">
        <v>134</v>
      </c>
    </row>
    <row r="115" spans="1:10" ht="20" customHeight="1" x14ac:dyDescent="0.2">
      <c r="A115" s="219" t="s">
        <v>790</v>
      </c>
      <c r="B115" s="212" t="s">
        <v>791</v>
      </c>
      <c r="C115" s="208" t="s">
        <v>649</v>
      </c>
      <c r="D115" s="211">
        <v>42444</v>
      </c>
      <c r="E115" s="211">
        <v>42445</v>
      </c>
      <c r="F115" s="325" t="s">
        <v>831</v>
      </c>
      <c r="G115" s="210">
        <v>182366.91</v>
      </c>
      <c r="H115" s="209"/>
      <c r="I115" s="208" t="s">
        <v>802</v>
      </c>
      <c r="J115" s="389" t="s">
        <v>134</v>
      </c>
    </row>
    <row r="116" spans="1:10" ht="20" customHeight="1" x14ac:dyDescent="0.2">
      <c r="A116" s="219" t="s">
        <v>795</v>
      </c>
      <c r="B116" s="212" t="s">
        <v>796</v>
      </c>
      <c r="C116" s="208" t="s">
        <v>649</v>
      </c>
      <c r="D116" s="211">
        <v>42446</v>
      </c>
      <c r="E116" s="211">
        <v>42447</v>
      </c>
      <c r="F116" s="325" t="s">
        <v>831</v>
      </c>
      <c r="G116" s="210">
        <v>84077.7</v>
      </c>
      <c r="H116" s="209"/>
      <c r="I116" s="208" t="s">
        <v>880</v>
      </c>
      <c r="J116" s="389" t="s">
        <v>134</v>
      </c>
    </row>
    <row r="117" spans="1:10" ht="20" customHeight="1" x14ac:dyDescent="0.2">
      <c r="A117" s="219" t="s">
        <v>797</v>
      </c>
      <c r="B117" s="212" t="s">
        <v>798</v>
      </c>
      <c r="C117" s="208" t="s">
        <v>649</v>
      </c>
      <c r="D117" s="211">
        <v>42446</v>
      </c>
      <c r="E117" s="211">
        <v>42447</v>
      </c>
      <c r="F117" s="325" t="s">
        <v>831</v>
      </c>
      <c r="G117" s="210"/>
      <c r="H117" s="209"/>
      <c r="I117" s="208"/>
      <c r="J117" s="389" t="s">
        <v>134</v>
      </c>
    </row>
    <row r="118" spans="1:10" ht="20" customHeight="1" x14ac:dyDescent="0.2">
      <c r="A118" s="219" t="s">
        <v>804</v>
      </c>
      <c r="B118" s="212" t="s">
        <v>805</v>
      </c>
      <c r="C118" s="208" t="s">
        <v>649</v>
      </c>
      <c r="D118" s="211">
        <v>42446</v>
      </c>
      <c r="E118" s="211">
        <v>42449</v>
      </c>
      <c r="F118" s="325" t="s">
        <v>831</v>
      </c>
      <c r="G118" s="210">
        <v>366773.29</v>
      </c>
      <c r="H118" s="209"/>
      <c r="I118" s="471" t="s">
        <v>1047</v>
      </c>
      <c r="J118" s="389" t="s">
        <v>134</v>
      </c>
    </row>
    <row r="119" spans="1:10" ht="20" customHeight="1" x14ac:dyDescent="0.2">
      <c r="A119" s="219" t="s">
        <v>806</v>
      </c>
      <c r="B119" s="212" t="s">
        <v>807</v>
      </c>
      <c r="C119" s="208" t="s">
        <v>649</v>
      </c>
      <c r="D119" s="211">
        <v>42446</v>
      </c>
      <c r="E119" s="211">
        <v>42448</v>
      </c>
      <c r="F119" s="325" t="s">
        <v>124</v>
      </c>
      <c r="G119" s="210">
        <v>9810.7800000000007</v>
      </c>
      <c r="H119" s="209"/>
      <c r="I119" s="208" t="s">
        <v>808</v>
      </c>
      <c r="J119" s="389" t="s">
        <v>134</v>
      </c>
    </row>
    <row r="120" spans="1:10" ht="20" customHeight="1" x14ac:dyDescent="0.2">
      <c r="A120" s="219" t="s">
        <v>848</v>
      </c>
      <c r="B120" s="212" t="s">
        <v>939</v>
      </c>
      <c r="C120" s="208" t="s">
        <v>649</v>
      </c>
      <c r="D120" s="211">
        <v>42448</v>
      </c>
      <c r="E120" s="211">
        <v>42450</v>
      </c>
      <c r="F120" s="325" t="s">
        <v>494</v>
      </c>
      <c r="G120" s="210"/>
      <c r="H120" s="209"/>
      <c r="I120" s="208"/>
      <c r="J120" s="389" t="s">
        <v>134</v>
      </c>
    </row>
    <row r="121" spans="1:10" ht="20" customHeight="1" x14ac:dyDescent="0.2">
      <c r="A121" s="219" t="s">
        <v>849</v>
      </c>
      <c r="B121" s="212" t="s">
        <v>850</v>
      </c>
      <c r="C121" s="208" t="s">
        <v>649</v>
      </c>
      <c r="D121" s="211">
        <v>42453</v>
      </c>
      <c r="E121" s="211">
        <v>42457</v>
      </c>
      <c r="F121" s="325" t="s">
        <v>124</v>
      </c>
      <c r="G121" s="210">
        <v>440014.76</v>
      </c>
      <c r="H121" s="209"/>
      <c r="I121" s="460" t="s">
        <v>962</v>
      </c>
      <c r="J121" s="389" t="s">
        <v>134</v>
      </c>
    </row>
    <row r="122" spans="1:10" ht="20" customHeight="1" x14ac:dyDescent="0.2">
      <c r="A122" s="468" t="s">
        <v>855</v>
      </c>
      <c r="B122" s="212" t="s">
        <v>856</v>
      </c>
      <c r="C122" s="208" t="s">
        <v>649</v>
      </c>
      <c r="D122" s="211">
        <v>42460</v>
      </c>
      <c r="E122" s="211">
        <v>42464</v>
      </c>
      <c r="F122" s="403"/>
      <c r="G122" s="210">
        <v>1023136.2</v>
      </c>
      <c r="H122" s="209"/>
      <c r="I122" s="399" t="s">
        <v>753</v>
      </c>
      <c r="J122" s="389"/>
    </row>
    <row r="123" spans="1:10" ht="20" customHeight="1" x14ac:dyDescent="0.2">
      <c r="A123" s="219" t="s">
        <v>859</v>
      </c>
      <c r="B123" s="212" t="s">
        <v>860</v>
      </c>
      <c r="C123" s="208" t="s">
        <v>649</v>
      </c>
      <c r="D123" s="211">
        <v>42460</v>
      </c>
      <c r="E123" s="211">
        <v>42462</v>
      </c>
      <c r="F123" s="325" t="s">
        <v>124</v>
      </c>
      <c r="G123" s="210">
        <v>62260</v>
      </c>
      <c r="H123" s="209"/>
      <c r="I123" s="208" t="s">
        <v>968</v>
      </c>
      <c r="J123" s="389" t="s">
        <v>134</v>
      </c>
    </row>
    <row r="124" spans="1:10" ht="20" customHeight="1" x14ac:dyDescent="0.2">
      <c r="A124" s="219" t="s">
        <v>866</v>
      </c>
      <c r="B124" s="212" t="s">
        <v>867</v>
      </c>
      <c r="C124" s="208" t="s">
        <v>649</v>
      </c>
      <c r="D124" s="211">
        <v>42460</v>
      </c>
      <c r="E124" s="211">
        <v>42462</v>
      </c>
      <c r="F124" s="325" t="s">
        <v>938</v>
      </c>
      <c r="G124" s="210">
        <v>100000</v>
      </c>
      <c r="H124" s="209"/>
      <c r="I124" s="471" t="s">
        <v>1061</v>
      </c>
      <c r="J124" s="389"/>
    </row>
    <row r="125" spans="1:10" ht="20" customHeight="1" x14ac:dyDescent="0.2">
      <c r="A125" s="219" t="s">
        <v>871</v>
      </c>
      <c r="B125" s="212" t="s">
        <v>872</v>
      </c>
      <c r="C125" s="208" t="s">
        <v>649</v>
      </c>
      <c r="D125" s="211">
        <v>42461</v>
      </c>
      <c r="E125" s="211">
        <v>42465</v>
      </c>
      <c r="F125" s="325" t="s">
        <v>830</v>
      </c>
      <c r="G125" s="210">
        <v>216860.28</v>
      </c>
      <c r="H125" s="209"/>
      <c r="I125" s="208"/>
      <c r="J125" s="389" t="s">
        <v>134</v>
      </c>
    </row>
    <row r="126" spans="1:10" ht="20" customHeight="1" x14ac:dyDescent="0.2">
      <c r="A126" s="219" t="s">
        <v>873</v>
      </c>
      <c r="B126" s="212" t="s">
        <v>874</v>
      </c>
      <c r="C126" s="208" t="s">
        <v>649</v>
      </c>
      <c r="D126" s="211">
        <v>42462</v>
      </c>
      <c r="E126" s="211">
        <v>42465</v>
      </c>
      <c r="F126" s="325" t="s">
        <v>831</v>
      </c>
      <c r="G126" s="210">
        <v>8411.6299999999992</v>
      </c>
      <c r="H126" s="209"/>
      <c r="I126" s="208" t="s">
        <v>881</v>
      </c>
      <c r="J126" s="389" t="s">
        <v>134</v>
      </c>
    </row>
    <row r="127" spans="1:10" ht="20" customHeight="1" x14ac:dyDescent="0.2">
      <c r="A127" s="219" t="s">
        <v>935</v>
      </c>
      <c r="B127" s="212" t="s">
        <v>936</v>
      </c>
      <c r="C127" s="208" t="s">
        <v>649</v>
      </c>
      <c r="D127" s="211">
        <v>42466</v>
      </c>
      <c r="E127" s="211">
        <v>42468</v>
      </c>
      <c r="F127" s="325" t="s">
        <v>830</v>
      </c>
      <c r="G127" s="210">
        <v>123580.44</v>
      </c>
      <c r="H127" s="209"/>
      <c r="I127" s="208"/>
      <c r="J127" s="389"/>
    </row>
    <row r="128" spans="1:10" ht="20" customHeight="1" x14ac:dyDescent="0.2">
      <c r="A128" s="219" t="s">
        <v>940</v>
      </c>
      <c r="B128" s="212" t="s">
        <v>941</v>
      </c>
      <c r="C128" s="208" t="s">
        <v>649</v>
      </c>
      <c r="D128" s="211">
        <v>42472</v>
      </c>
      <c r="E128" s="211">
        <v>42475</v>
      </c>
      <c r="F128" s="325" t="s">
        <v>830</v>
      </c>
      <c r="G128" s="210">
        <v>680132.93</v>
      </c>
      <c r="H128" s="209"/>
      <c r="I128" s="208"/>
      <c r="J128" s="389" t="s">
        <v>134</v>
      </c>
    </row>
    <row r="129" spans="1:10" ht="20" customHeight="1" x14ac:dyDescent="0.2">
      <c r="A129" s="219" t="s">
        <v>945</v>
      </c>
      <c r="B129" s="212" t="s">
        <v>946</v>
      </c>
      <c r="C129" s="208" t="s">
        <v>649</v>
      </c>
      <c r="D129" s="211">
        <v>42473</v>
      </c>
      <c r="E129" s="211">
        <v>42475</v>
      </c>
      <c r="F129" s="325" t="s">
        <v>830</v>
      </c>
      <c r="G129" s="210">
        <v>715929.4</v>
      </c>
      <c r="H129" s="209"/>
      <c r="I129" s="208"/>
      <c r="J129" s="389" t="s">
        <v>134</v>
      </c>
    </row>
    <row r="130" spans="1:10" ht="20" customHeight="1" x14ac:dyDescent="0.2">
      <c r="A130" s="219" t="s">
        <v>954</v>
      </c>
      <c r="B130" s="212" t="s">
        <v>955</v>
      </c>
      <c r="C130" s="208" t="s">
        <v>649</v>
      </c>
      <c r="D130" s="211">
        <v>42474</v>
      </c>
      <c r="E130" s="211">
        <v>42476</v>
      </c>
      <c r="F130" s="325" t="s">
        <v>124</v>
      </c>
      <c r="G130" s="210">
        <v>7870.42</v>
      </c>
      <c r="H130" s="209"/>
      <c r="I130" s="208" t="s">
        <v>1026</v>
      </c>
      <c r="J130" s="389" t="s">
        <v>134</v>
      </c>
    </row>
    <row r="131" spans="1:10" ht="20" customHeight="1" x14ac:dyDescent="0.2">
      <c r="A131" s="219" t="s">
        <v>957</v>
      </c>
      <c r="B131" s="212" t="s">
        <v>958</v>
      </c>
      <c r="C131" s="208" t="s">
        <v>649</v>
      </c>
      <c r="D131" s="211">
        <v>42474</v>
      </c>
      <c r="E131" s="211">
        <v>42478</v>
      </c>
      <c r="F131" s="403"/>
      <c r="G131" s="210">
        <v>202650</v>
      </c>
      <c r="H131" s="209"/>
      <c r="I131" s="460" t="s">
        <v>962</v>
      </c>
      <c r="J131" s="389" t="s">
        <v>134</v>
      </c>
    </row>
    <row r="132" spans="1:10" ht="20" customHeight="1" x14ac:dyDescent="0.2">
      <c r="A132" s="219" t="s">
        <v>981</v>
      </c>
      <c r="B132" s="212" t="s">
        <v>982</v>
      </c>
      <c r="C132" s="208" t="s">
        <v>649</v>
      </c>
      <c r="D132" s="211">
        <v>42478</v>
      </c>
      <c r="E132" s="211">
        <v>42481</v>
      </c>
      <c r="F132" s="325" t="s">
        <v>124</v>
      </c>
      <c r="G132" s="210">
        <v>69770.039999999994</v>
      </c>
      <c r="H132" s="209"/>
      <c r="I132" s="471" t="s">
        <v>1060</v>
      </c>
      <c r="J132" s="389" t="s">
        <v>134</v>
      </c>
    </row>
    <row r="133" spans="1:10" ht="20" customHeight="1" x14ac:dyDescent="0.2">
      <c r="A133" s="219" t="s">
        <v>983</v>
      </c>
      <c r="B133" s="212" t="s">
        <v>986</v>
      </c>
      <c r="C133" s="208" t="s">
        <v>649</v>
      </c>
      <c r="D133" s="211">
        <v>42478</v>
      </c>
      <c r="E133" s="211">
        <v>42481</v>
      </c>
      <c r="F133" s="325" t="s">
        <v>680</v>
      </c>
      <c r="G133" s="210"/>
      <c r="H133" s="209"/>
      <c r="I133" s="209"/>
      <c r="J133" s="389" t="s">
        <v>134</v>
      </c>
    </row>
    <row r="134" spans="1:10" ht="20" customHeight="1" x14ac:dyDescent="0.2">
      <c r="A134" s="219" t="s">
        <v>984</v>
      </c>
      <c r="B134" s="212" t="s">
        <v>985</v>
      </c>
      <c r="C134" s="208" t="s">
        <v>649</v>
      </c>
      <c r="D134" s="211">
        <v>42478</v>
      </c>
      <c r="E134" s="211">
        <v>42482</v>
      </c>
      <c r="F134" s="403"/>
      <c r="G134" s="210">
        <v>271724.25</v>
      </c>
      <c r="H134" s="209"/>
      <c r="I134" s="399"/>
      <c r="J134" s="389"/>
    </row>
    <row r="135" spans="1:10" ht="20" customHeight="1" x14ac:dyDescent="0.2">
      <c r="A135" s="468" t="s">
        <v>987</v>
      </c>
      <c r="B135" s="212"/>
      <c r="C135" s="208"/>
      <c r="D135" s="211"/>
      <c r="E135" s="211"/>
      <c r="F135" s="403"/>
      <c r="G135" s="210"/>
      <c r="H135" s="209"/>
      <c r="I135" s="399"/>
      <c r="J135" s="389"/>
    </row>
    <row r="136" spans="1:10" ht="20" customHeight="1" x14ac:dyDescent="0.2">
      <c r="A136" s="219" t="s">
        <v>988</v>
      </c>
      <c r="B136" s="212" t="s">
        <v>989</v>
      </c>
      <c r="C136" s="208" t="s">
        <v>649</v>
      </c>
      <c r="D136" s="211">
        <v>42481</v>
      </c>
      <c r="E136" s="211">
        <v>42483</v>
      </c>
      <c r="F136" s="403"/>
      <c r="G136" s="210">
        <v>28049.96</v>
      </c>
      <c r="H136" s="209"/>
      <c r="I136" s="399"/>
      <c r="J136" s="389"/>
    </row>
    <row r="137" spans="1:10" ht="20" customHeight="1" x14ac:dyDescent="0.2">
      <c r="A137" s="219" t="s">
        <v>997</v>
      </c>
      <c r="B137" s="212" t="s">
        <v>998</v>
      </c>
      <c r="C137" s="208" t="s">
        <v>649</v>
      </c>
      <c r="D137" s="211">
        <v>42492</v>
      </c>
      <c r="E137" s="211">
        <v>42495</v>
      </c>
      <c r="F137" s="403"/>
      <c r="G137" s="210">
        <v>438387.8</v>
      </c>
      <c r="H137" s="209"/>
      <c r="I137" s="399"/>
      <c r="J137" s="389"/>
    </row>
    <row r="138" spans="1:10" ht="20" customHeight="1" x14ac:dyDescent="0.2">
      <c r="A138" s="219" t="s">
        <v>1015</v>
      </c>
      <c r="B138" s="212" t="s">
        <v>1016</v>
      </c>
      <c r="C138" s="208" t="s">
        <v>649</v>
      </c>
      <c r="D138" s="211">
        <v>42494</v>
      </c>
      <c r="E138" s="211">
        <v>42496</v>
      </c>
      <c r="F138" s="325" t="s">
        <v>830</v>
      </c>
      <c r="G138" s="210">
        <v>359544</v>
      </c>
      <c r="H138" s="209"/>
      <c r="I138" s="208"/>
      <c r="J138" s="389"/>
    </row>
    <row r="139" spans="1:10" ht="20" customHeight="1" x14ac:dyDescent="0.2">
      <c r="A139" s="219" t="s">
        <v>1020</v>
      </c>
      <c r="B139" s="212" t="s">
        <v>1021</v>
      </c>
      <c r="C139" s="208" t="s">
        <v>649</v>
      </c>
      <c r="D139" s="211">
        <v>42494</v>
      </c>
      <c r="E139" s="211">
        <v>42496</v>
      </c>
      <c r="F139" s="325" t="s">
        <v>831</v>
      </c>
      <c r="G139" s="210">
        <v>55529.919999999998</v>
      </c>
      <c r="H139" s="209"/>
      <c r="I139" s="460" t="s">
        <v>1066</v>
      </c>
      <c r="J139" s="389"/>
    </row>
    <row r="140" spans="1:10" ht="20" customHeight="1" x14ac:dyDescent="0.2">
      <c r="A140" s="219" t="s">
        <v>1029</v>
      </c>
      <c r="B140" s="470" t="s">
        <v>1033</v>
      </c>
      <c r="C140" s="209" t="s">
        <v>649</v>
      </c>
      <c r="D140" s="211">
        <v>42503</v>
      </c>
      <c r="E140" s="211">
        <v>42506</v>
      </c>
      <c r="F140" s="209" t="s">
        <v>830</v>
      </c>
      <c r="G140" s="210" t="s">
        <v>1031</v>
      </c>
      <c r="H140" s="209"/>
      <c r="I140" s="208"/>
      <c r="J140" s="389"/>
    </row>
    <row r="141" spans="1:10" ht="20" customHeight="1" x14ac:dyDescent="0.2">
      <c r="A141" s="219" t="s">
        <v>1032</v>
      </c>
      <c r="B141" s="212" t="s">
        <v>1030</v>
      </c>
      <c r="C141" s="208" t="s">
        <v>649</v>
      </c>
      <c r="D141" s="211">
        <v>42503</v>
      </c>
      <c r="E141" s="211">
        <v>42506</v>
      </c>
      <c r="F141" s="325" t="s">
        <v>830</v>
      </c>
      <c r="G141" s="210" t="s">
        <v>1031</v>
      </c>
      <c r="H141" s="209"/>
      <c r="I141" s="208"/>
      <c r="J141" s="389"/>
    </row>
    <row r="142" spans="1:10" ht="20" customHeight="1" x14ac:dyDescent="0.2">
      <c r="A142" s="388"/>
      <c r="B142" s="212"/>
      <c r="C142" s="208"/>
      <c r="D142" s="211"/>
      <c r="E142" s="211"/>
      <c r="F142" s="325"/>
      <c r="G142" s="210"/>
      <c r="H142" s="209"/>
      <c r="I142" s="208"/>
      <c r="J142" s="389"/>
    </row>
    <row r="143" spans="1:10" ht="20" customHeight="1" x14ac:dyDescent="0.2">
      <c r="A143" s="206"/>
      <c r="B143" s="205"/>
      <c r="C143" s="200"/>
      <c r="D143" s="204"/>
      <c r="E143" s="204"/>
      <c r="F143" s="203"/>
      <c r="G143" s="202"/>
      <c r="H143" s="201"/>
      <c r="I143" s="200"/>
      <c r="J143" s="199"/>
    </row>
    <row r="144" spans="1:10" ht="20" customHeight="1" x14ac:dyDescent="0.2">
      <c r="A144" s="195"/>
      <c r="B144" s="195"/>
      <c r="C144" s="198"/>
      <c r="D144" s="195"/>
      <c r="E144" s="195"/>
      <c r="F144" s="197" t="s">
        <v>106</v>
      </c>
      <c r="G144" s="196">
        <f>SUM(G6:G143)</f>
        <v>11047169.980000002</v>
      </c>
      <c r="H144" s="195"/>
      <c r="I144" s="195"/>
      <c r="J144" s="195"/>
    </row>
  </sheetData>
  <mergeCells count="2">
    <mergeCell ref="D2:E2"/>
    <mergeCell ref="A1:J1"/>
  </mergeCells>
  <phoneticPr fontId="26" type="noConversion"/>
  <pageMargins left="0.25" right="0.25" top="0.5" bottom="0.5" header="0.5" footer="0.5"/>
  <pageSetup scale="65" orientation="landscape"/>
  <rowBreaks count="2" manualBreakCount="2">
    <brk id="40" max="16383" man="1"/>
    <brk id="144" max="16383" man="1"/>
  </rowBreaks>
  <colBreaks count="1" manualBreakCount="1">
    <brk id="10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8000"/>
    <pageSetUpPr fitToPage="1"/>
  </sheetPr>
  <dimension ref="A1:P46"/>
  <sheetViews>
    <sheetView zoomScale="125" zoomScaleNormal="125" zoomScaleSheetLayoutView="100" zoomScalePageLayoutView="125" workbookViewId="0">
      <selection activeCell="C20" sqref="C20"/>
    </sheetView>
  </sheetViews>
  <sheetFormatPr baseColWidth="10" defaultColWidth="8.83203125" defaultRowHeight="13" x14ac:dyDescent="0.15"/>
  <cols>
    <col min="1" max="1" width="10.1640625" style="239" customWidth="1"/>
    <col min="2" max="2" width="9.33203125" style="239" customWidth="1"/>
    <col min="3" max="3" width="63.83203125" style="239" customWidth="1"/>
    <col min="4" max="4" width="13.33203125" style="239" customWidth="1"/>
    <col min="5" max="5" width="15.5" style="239" customWidth="1"/>
    <col min="6" max="6" width="15.1640625" style="239" customWidth="1"/>
    <col min="7" max="7" width="9.5" style="240" customWidth="1"/>
    <col min="8" max="8" width="13.1640625" style="240" customWidth="1"/>
    <col min="9" max="9" width="12.5" style="239" customWidth="1"/>
    <col min="10" max="10" width="14" style="239" customWidth="1"/>
    <col min="11" max="11" width="14.1640625" style="239" customWidth="1"/>
    <col min="12" max="12" width="14" style="239" customWidth="1"/>
    <col min="13" max="16384" width="8.83203125" style="239"/>
  </cols>
  <sheetData>
    <row r="1" spans="1:16" x14ac:dyDescent="0.15">
      <c r="A1" s="197"/>
      <c r="B1" s="197"/>
      <c r="C1" s="195"/>
      <c r="D1" s="508" t="s">
        <v>1083</v>
      </c>
      <c r="E1" s="508"/>
      <c r="F1" s="508"/>
      <c r="G1" s="198"/>
      <c r="H1" s="198"/>
      <c r="I1" s="195"/>
      <c r="J1" s="195"/>
      <c r="K1" s="195"/>
      <c r="L1" s="195"/>
    </row>
    <row r="2" spans="1:16" x14ac:dyDescent="0.15">
      <c r="A2" s="197" t="s">
        <v>1080</v>
      </c>
      <c r="B2" s="197"/>
      <c r="C2" s="195"/>
      <c r="D2" s="508" t="s">
        <v>1081</v>
      </c>
      <c r="E2" s="508"/>
      <c r="F2" s="508"/>
      <c r="G2" s="198"/>
      <c r="H2" s="198"/>
      <c r="I2" s="238" t="s">
        <v>179</v>
      </c>
      <c r="J2" s="322">
        <f>Summary!G4</f>
        <v>42491</v>
      </c>
      <c r="K2" s="323" t="s">
        <v>185</v>
      </c>
      <c r="L2" s="324">
        <f>Summary!G3</f>
        <v>42505</v>
      </c>
    </row>
    <row r="3" spans="1:16" ht="6" customHeight="1" thickBot="1" x14ac:dyDescent="0.2">
      <c r="A3" s="329"/>
      <c r="B3" s="195"/>
      <c r="C3" s="195"/>
      <c r="D3" s="195"/>
      <c r="E3" s="195"/>
      <c r="F3" s="195"/>
      <c r="G3" s="198"/>
      <c r="H3" s="198"/>
      <c r="I3" s="195"/>
      <c r="J3" s="195"/>
      <c r="K3" s="195"/>
      <c r="L3" s="195"/>
    </row>
    <row r="4" spans="1:16" ht="6" customHeight="1" x14ac:dyDescent="0.15">
      <c r="A4" s="327"/>
      <c r="B4" s="314"/>
      <c r="C4" s="313"/>
      <c r="D4" s="313"/>
      <c r="E4" s="313"/>
      <c r="F4" s="311"/>
      <c r="G4" s="312"/>
      <c r="H4" s="312"/>
      <c r="I4" s="311"/>
      <c r="J4" s="310"/>
      <c r="K4" s="310"/>
      <c r="L4" s="309"/>
    </row>
    <row r="5" spans="1:16" x14ac:dyDescent="0.15">
      <c r="A5" s="253"/>
      <c r="B5" s="253" t="s">
        <v>28</v>
      </c>
      <c r="C5" s="301" t="s">
        <v>2</v>
      </c>
      <c r="D5" s="301" t="s">
        <v>177</v>
      </c>
      <c r="E5" s="301" t="s">
        <v>176</v>
      </c>
      <c r="F5" s="304" t="s">
        <v>175</v>
      </c>
      <c r="G5" s="304" t="s">
        <v>174</v>
      </c>
      <c r="H5" s="304" t="s">
        <v>173</v>
      </c>
      <c r="I5" s="304" t="s">
        <v>172</v>
      </c>
      <c r="J5" s="308"/>
      <c r="K5" s="308"/>
      <c r="L5" s="307"/>
    </row>
    <row r="6" spans="1:16" ht="14" thickBot="1" x14ac:dyDescent="0.2">
      <c r="A6" s="253" t="s">
        <v>211</v>
      </c>
      <c r="B6" s="253" t="s">
        <v>168</v>
      </c>
      <c r="C6" s="299"/>
      <c r="D6" s="300" t="s">
        <v>211</v>
      </c>
      <c r="E6" s="301" t="s">
        <v>170</v>
      </c>
      <c r="F6" s="301" t="s">
        <v>170</v>
      </c>
      <c r="G6" s="301" t="s">
        <v>124</v>
      </c>
      <c r="H6" s="304" t="s">
        <v>169</v>
      </c>
      <c r="I6" s="304" t="s">
        <v>151</v>
      </c>
      <c r="J6" s="306"/>
      <c r="K6" s="306"/>
      <c r="L6" s="305"/>
    </row>
    <row r="7" spans="1:16" x14ac:dyDescent="0.15">
      <c r="A7" s="253" t="s">
        <v>168</v>
      </c>
      <c r="B7" s="253" t="s">
        <v>184</v>
      </c>
      <c r="C7" s="301"/>
      <c r="D7" s="300" t="s">
        <v>167</v>
      </c>
      <c r="E7" s="301" t="s">
        <v>166</v>
      </c>
      <c r="F7" s="301" t="s">
        <v>166</v>
      </c>
      <c r="G7" s="301"/>
      <c r="H7" s="304" t="s">
        <v>151</v>
      </c>
      <c r="I7" s="304"/>
      <c r="J7" s="303" t="s">
        <v>165</v>
      </c>
      <c r="K7" s="303" t="s">
        <v>27</v>
      </c>
      <c r="L7" s="302" t="s">
        <v>164</v>
      </c>
    </row>
    <row r="8" spans="1:16" x14ac:dyDescent="0.15">
      <c r="A8" s="253"/>
      <c r="B8" s="253"/>
      <c r="C8" s="301"/>
      <c r="D8" s="300" t="s">
        <v>161</v>
      </c>
      <c r="E8" s="299"/>
      <c r="F8" s="299"/>
      <c r="G8" s="298"/>
      <c r="H8" s="297"/>
      <c r="I8" s="296"/>
      <c r="J8" s="295" t="s">
        <v>163</v>
      </c>
      <c r="K8" s="295"/>
      <c r="L8" s="294"/>
    </row>
    <row r="9" spans="1:16" ht="6" customHeight="1" thickBot="1" x14ac:dyDescent="0.2">
      <c r="A9" s="293"/>
      <c r="B9" s="293"/>
      <c r="C9" s="292"/>
      <c r="D9" s="292"/>
      <c r="E9" s="292"/>
      <c r="F9" s="292"/>
      <c r="G9" s="291"/>
      <c r="H9" s="290"/>
      <c r="I9" s="289"/>
      <c r="J9" s="288"/>
      <c r="K9" s="288"/>
      <c r="L9" s="287"/>
    </row>
    <row r="10" spans="1:16" ht="15" customHeight="1" x14ac:dyDescent="0.15">
      <c r="A10" s="286">
        <v>1</v>
      </c>
      <c r="B10" s="224"/>
      <c r="C10" s="230"/>
      <c r="D10" s="224"/>
      <c r="E10" s="269">
        <v>0</v>
      </c>
      <c r="F10" s="269">
        <v>0</v>
      </c>
      <c r="G10" s="285"/>
      <c r="H10" s="227"/>
      <c r="I10" s="275"/>
      <c r="J10" s="273">
        <v>0</v>
      </c>
      <c r="K10" s="284">
        <v>0</v>
      </c>
      <c r="L10" s="283">
        <f t="shared" ref="L10:L42" si="0">J10+K10</f>
        <v>0</v>
      </c>
    </row>
    <row r="11" spans="1:16" ht="15" customHeight="1" x14ac:dyDescent="0.15">
      <c r="A11" s="280">
        <v>2</v>
      </c>
      <c r="B11" s="213"/>
      <c r="C11" s="218" t="s">
        <v>209</v>
      </c>
      <c r="D11" s="213" t="s">
        <v>211</v>
      </c>
      <c r="E11" s="269">
        <v>0</v>
      </c>
      <c r="F11" s="269">
        <v>0</v>
      </c>
      <c r="G11" s="276"/>
      <c r="H11" s="216"/>
      <c r="I11" s="275"/>
      <c r="J11" s="273">
        <v>0</v>
      </c>
      <c r="K11" s="265">
        <v>0</v>
      </c>
      <c r="L11" s="272">
        <f t="shared" si="0"/>
        <v>0</v>
      </c>
    </row>
    <row r="12" spans="1:16" ht="15" customHeight="1" x14ac:dyDescent="0.15">
      <c r="A12" s="280">
        <v>3</v>
      </c>
      <c r="B12" s="213"/>
      <c r="C12" s="218" t="s">
        <v>210</v>
      </c>
      <c r="D12" s="213" t="s">
        <v>211</v>
      </c>
      <c r="E12" s="269">
        <v>0</v>
      </c>
      <c r="F12" s="269">
        <v>0</v>
      </c>
      <c r="G12" s="276"/>
      <c r="H12" s="216"/>
      <c r="I12" s="275"/>
      <c r="J12" s="274">
        <v>0</v>
      </c>
      <c r="K12" s="269">
        <v>0</v>
      </c>
      <c r="L12" s="272">
        <f t="shared" si="0"/>
        <v>0</v>
      </c>
    </row>
    <row r="13" spans="1:16" s="263" customFormat="1" ht="15" customHeight="1" x14ac:dyDescent="0.15">
      <c r="A13" s="282">
        <v>4</v>
      </c>
      <c r="B13" s="281"/>
      <c r="C13" s="222" t="s">
        <v>243</v>
      </c>
      <c r="D13" s="281" t="s">
        <v>211</v>
      </c>
      <c r="E13" s="269">
        <v>0</v>
      </c>
      <c r="F13" s="269">
        <v>0</v>
      </c>
      <c r="G13" s="276"/>
      <c r="H13" s="216"/>
      <c r="I13" s="275"/>
      <c r="J13" s="274">
        <v>0</v>
      </c>
      <c r="K13" s="269">
        <v>0</v>
      </c>
      <c r="L13" s="272">
        <f t="shared" si="0"/>
        <v>0</v>
      </c>
      <c r="M13" s="239"/>
      <c r="N13" s="239"/>
      <c r="O13" s="239"/>
      <c r="P13" s="239"/>
    </row>
    <row r="14" spans="1:16" s="263" customFormat="1" ht="15" customHeight="1" x14ac:dyDescent="0.15">
      <c r="A14" s="280">
        <v>5</v>
      </c>
      <c r="B14" s="213"/>
      <c r="C14" s="218"/>
      <c r="D14" s="213"/>
      <c r="E14" s="269">
        <v>0</v>
      </c>
      <c r="F14" s="269">
        <v>0</v>
      </c>
      <c r="G14" s="276"/>
      <c r="H14" s="216"/>
      <c r="I14" s="275"/>
      <c r="J14" s="274">
        <v>0</v>
      </c>
      <c r="K14" s="269">
        <v>0</v>
      </c>
      <c r="L14" s="272">
        <f t="shared" si="0"/>
        <v>0</v>
      </c>
      <c r="M14" s="239"/>
      <c r="N14" s="239"/>
      <c r="O14" s="239"/>
      <c r="P14" s="239"/>
    </row>
    <row r="15" spans="1:16" s="263" customFormat="1" ht="15" customHeight="1" x14ac:dyDescent="0.15">
      <c r="A15" s="280">
        <v>6</v>
      </c>
      <c r="B15" s="213"/>
      <c r="C15" s="278"/>
      <c r="D15" s="213"/>
      <c r="E15" s="269">
        <v>0</v>
      </c>
      <c r="F15" s="269">
        <v>0</v>
      </c>
      <c r="G15" s="276"/>
      <c r="H15" s="279"/>
      <c r="I15" s="275"/>
      <c r="J15" s="274">
        <v>0</v>
      </c>
      <c r="K15" s="269">
        <v>0</v>
      </c>
      <c r="L15" s="272">
        <f t="shared" si="0"/>
        <v>0</v>
      </c>
      <c r="M15" s="239"/>
      <c r="N15" s="239"/>
      <c r="O15" s="239"/>
      <c r="P15" s="239"/>
    </row>
    <row r="16" spans="1:16" s="263" customFormat="1" ht="15" customHeight="1" x14ac:dyDescent="0.15">
      <c r="A16" s="328">
        <v>7</v>
      </c>
      <c r="B16" s="213"/>
      <c r="C16" s="278"/>
      <c r="D16" s="213"/>
      <c r="E16" s="269">
        <v>0</v>
      </c>
      <c r="F16" s="269">
        <v>0</v>
      </c>
      <c r="G16" s="276"/>
      <c r="H16" s="279"/>
      <c r="I16" s="275"/>
      <c r="J16" s="274">
        <v>0</v>
      </c>
      <c r="K16" s="269">
        <v>0</v>
      </c>
      <c r="L16" s="272">
        <f t="shared" si="0"/>
        <v>0</v>
      </c>
      <c r="M16" s="239"/>
      <c r="N16" s="239"/>
      <c r="O16" s="239"/>
      <c r="P16" s="239"/>
    </row>
    <row r="17" spans="1:16" s="263" customFormat="1" ht="15" customHeight="1" x14ac:dyDescent="0.15">
      <c r="A17" s="328">
        <v>8</v>
      </c>
      <c r="B17" s="213"/>
      <c r="C17" s="278"/>
      <c r="D17" s="213"/>
      <c r="E17" s="269">
        <v>0</v>
      </c>
      <c r="F17" s="269">
        <v>0</v>
      </c>
      <c r="G17" s="276"/>
      <c r="H17" s="279"/>
      <c r="I17" s="275"/>
      <c r="J17" s="274">
        <v>0</v>
      </c>
      <c r="K17" s="269">
        <v>0</v>
      </c>
      <c r="L17" s="272">
        <f t="shared" si="0"/>
        <v>0</v>
      </c>
      <c r="M17" s="239"/>
      <c r="N17" s="239"/>
      <c r="O17" s="239"/>
      <c r="P17" s="239"/>
    </row>
    <row r="18" spans="1:16" s="263" customFormat="1" ht="15" customHeight="1" x14ac:dyDescent="0.15">
      <c r="A18" s="328">
        <v>9</v>
      </c>
      <c r="B18" s="213"/>
      <c r="C18" s="278"/>
      <c r="D18" s="213"/>
      <c r="E18" s="269">
        <v>0</v>
      </c>
      <c r="F18" s="269">
        <v>0</v>
      </c>
      <c r="G18" s="276"/>
      <c r="H18" s="279"/>
      <c r="I18" s="275"/>
      <c r="J18" s="274">
        <v>0</v>
      </c>
      <c r="K18" s="269">
        <v>0</v>
      </c>
      <c r="L18" s="272">
        <f t="shared" si="0"/>
        <v>0</v>
      </c>
      <c r="M18" s="239"/>
      <c r="N18" s="239"/>
      <c r="O18" s="239"/>
      <c r="P18" s="239"/>
    </row>
    <row r="19" spans="1:16" s="263" customFormat="1" ht="15" customHeight="1" x14ac:dyDescent="0.15">
      <c r="A19" s="328">
        <v>10</v>
      </c>
      <c r="B19" s="213"/>
      <c r="C19" s="278"/>
      <c r="D19" s="213"/>
      <c r="E19" s="269">
        <v>0</v>
      </c>
      <c r="F19" s="269">
        <v>0</v>
      </c>
      <c r="G19" s="276"/>
      <c r="H19" s="279"/>
      <c r="I19" s="275"/>
      <c r="J19" s="274">
        <v>0</v>
      </c>
      <c r="K19" s="269">
        <v>0</v>
      </c>
      <c r="L19" s="272">
        <f t="shared" si="0"/>
        <v>0</v>
      </c>
      <c r="M19" s="239"/>
      <c r="N19" s="239"/>
      <c r="O19" s="239"/>
      <c r="P19" s="239"/>
    </row>
    <row r="20" spans="1:16" s="263" customFormat="1" ht="15" customHeight="1" x14ac:dyDescent="0.15">
      <c r="A20" s="328">
        <v>11</v>
      </c>
      <c r="B20" s="213"/>
      <c r="C20" s="278"/>
      <c r="D20" s="213"/>
      <c r="E20" s="269">
        <v>0</v>
      </c>
      <c r="F20" s="269">
        <v>0</v>
      </c>
      <c r="G20" s="276"/>
      <c r="H20" s="279"/>
      <c r="I20" s="275"/>
      <c r="J20" s="274">
        <v>0</v>
      </c>
      <c r="K20" s="269">
        <v>0</v>
      </c>
      <c r="L20" s="272">
        <f t="shared" si="0"/>
        <v>0</v>
      </c>
      <c r="M20" s="239"/>
      <c r="N20" s="239"/>
      <c r="O20" s="239"/>
      <c r="P20" s="239"/>
    </row>
    <row r="21" spans="1:16" s="263" customFormat="1" ht="15" customHeight="1" x14ac:dyDescent="0.15">
      <c r="A21" s="328">
        <v>12</v>
      </c>
      <c r="B21" s="213"/>
      <c r="C21" s="278"/>
      <c r="D21" s="213"/>
      <c r="E21" s="269">
        <v>0</v>
      </c>
      <c r="F21" s="269">
        <v>0</v>
      </c>
      <c r="G21" s="276"/>
      <c r="H21" s="279"/>
      <c r="I21" s="275"/>
      <c r="J21" s="274">
        <v>0</v>
      </c>
      <c r="K21" s="269">
        <v>0</v>
      </c>
      <c r="L21" s="272">
        <f t="shared" si="0"/>
        <v>0</v>
      </c>
      <c r="M21" s="239"/>
      <c r="N21" s="239"/>
      <c r="O21" s="239"/>
      <c r="P21" s="239"/>
    </row>
    <row r="22" spans="1:16" s="263" customFormat="1" ht="15" customHeight="1" x14ac:dyDescent="0.15">
      <c r="A22" s="328">
        <v>13</v>
      </c>
      <c r="B22" s="213"/>
      <c r="C22" s="278"/>
      <c r="D22" s="213"/>
      <c r="E22" s="269">
        <v>0</v>
      </c>
      <c r="F22" s="269">
        <v>0</v>
      </c>
      <c r="G22" s="276"/>
      <c r="H22" s="216"/>
      <c r="I22" s="275"/>
      <c r="J22" s="274">
        <v>0</v>
      </c>
      <c r="K22" s="269">
        <v>0</v>
      </c>
      <c r="L22" s="272">
        <f t="shared" si="0"/>
        <v>0</v>
      </c>
      <c r="M22" s="239"/>
      <c r="N22" s="239"/>
      <c r="O22" s="239"/>
      <c r="P22" s="239"/>
    </row>
    <row r="23" spans="1:16" s="263" customFormat="1" ht="15" customHeight="1" x14ac:dyDescent="0.15">
      <c r="A23" s="328">
        <v>14</v>
      </c>
      <c r="B23" s="213"/>
      <c r="C23" s="278"/>
      <c r="D23" s="213"/>
      <c r="E23" s="269">
        <v>0</v>
      </c>
      <c r="F23" s="269">
        <v>0</v>
      </c>
      <c r="G23" s="276"/>
      <c r="H23" s="216"/>
      <c r="I23" s="275"/>
      <c r="J23" s="274">
        <v>0</v>
      </c>
      <c r="K23" s="269">
        <v>0</v>
      </c>
      <c r="L23" s="272">
        <f t="shared" si="0"/>
        <v>0</v>
      </c>
      <c r="M23" s="239"/>
      <c r="N23" s="239"/>
      <c r="O23" s="239"/>
      <c r="P23" s="239"/>
    </row>
    <row r="24" spans="1:16" s="263" customFormat="1" ht="15" customHeight="1" x14ac:dyDescent="0.15">
      <c r="A24" s="328">
        <v>15</v>
      </c>
      <c r="B24" s="213"/>
      <c r="C24" s="278"/>
      <c r="D24" s="213"/>
      <c r="E24" s="269">
        <v>0</v>
      </c>
      <c r="F24" s="269">
        <v>0</v>
      </c>
      <c r="G24" s="276"/>
      <c r="H24" s="216"/>
      <c r="I24" s="275"/>
      <c r="J24" s="274">
        <v>0</v>
      </c>
      <c r="K24" s="269">
        <v>0</v>
      </c>
      <c r="L24" s="272">
        <f t="shared" si="0"/>
        <v>0</v>
      </c>
      <c r="M24" s="239"/>
      <c r="N24" s="239"/>
      <c r="O24" s="239"/>
      <c r="P24" s="239"/>
    </row>
    <row r="25" spans="1:16" s="263" customFormat="1" ht="15" customHeight="1" x14ac:dyDescent="0.15">
      <c r="A25" s="328">
        <v>16</v>
      </c>
      <c r="B25" s="213"/>
      <c r="C25" s="278"/>
      <c r="D25" s="213"/>
      <c r="E25" s="269">
        <v>0</v>
      </c>
      <c r="F25" s="269">
        <v>0</v>
      </c>
      <c r="G25" s="276"/>
      <c r="H25" s="216"/>
      <c r="I25" s="275"/>
      <c r="J25" s="274">
        <v>0</v>
      </c>
      <c r="K25" s="269">
        <v>0</v>
      </c>
      <c r="L25" s="272">
        <f t="shared" si="0"/>
        <v>0</v>
      </c>
      <c r="M25" s="239"/>
      <c r="N25" s="239"/>
      <c r="O25" s="239"/>
      <c r="P25" s="239"/>
    </row>
    <row r="26" spans="1:16" s="263" customFormat="1" ht="15" customHeight="1" x14ac:dyDescent="0.15">
      <c r="A26" s="328">
        <v>17</v>
      </c>
      <c r="B26" s="213"/>
      <c r="C26" s="278"/>
      <c r="D26" s="213"/>
      <c r="E26" s="269">
        <v>0</v>
      </c>
      <c r="F26" s="269">
        <v>0</v>
      </c>
      <c r="G26" s="276"/>
      <c r="H26" s="216"/>
      <c r="I26" s="275"/>
      <c r="J26" s="274">
        <v>0</v>
      </c>
      <c r="K26" s="269">
        <v>0</v>
      </c>
      <c r="L26" s="272">
        <f t="shared" si="0"/>
        <v>0</v>
      </c>
      <c r="M26" s="239"/>
      <c r="N26" s="239"/>
      <c r="O26" s="239"/>
      <c r="P26" s="239"/>
    </row>
    <row r="27" spans="1:16" s="263" customFormat="1" ht="15" customHeight="1" x14ac:dyDescent="0.15">
      <c r="A27" s="328">
        <v>18</v>
      </c>
      <c r="B27" s="213"/>
      <c r="C27" s="218"/>
      <c r="D27" s="213"/>
      <c r="E27" s="269">
        <v>0</v>
      </c>
      <c r="F27" s="269">
        <v>0</v>
      </c>
      <c r="G27" s="276"/>
      <c r="H27" s="216"/>
      <c r="I27" s="275"/>
      <c r="J27" s="274">
        <v>0</v>
      </c>
      <c r="K27" s="269">
        <v>0</v>
      </c>
      <c r="L27" s="272">
        <f t="shared" si="0"/>
        <v>0</v>
      </c>
      <c r="M27" s="239"/>
      <c r="N27" s="239"/>
      <c r="O27" s="239"/>
      <c r="P27" s="239"/>
    </row>
    <row r="28" spans="1:16" s="263" customFormat="1" ht="15" customHeight="1" x14ac:dyDescent="0.15">
      <c r="A28" s="328">
        <v>19</v>
      </c>
      <c r="B28" s="213"/>
      <c r="C28" s="277"/>
      <c r="D28" s="213"/>
      <c r="E28" s="269">
        <v>0</v>
      </c>
      <c r="F28" s="269">
        <v>0</v>
      </c>
      <c r="G28" s="276"/>
      <c r="H28" s="216"/>
      <c r="I28" s="275"/>
      <c r="J28" s="274">
        <v>0</v>
      </c>
      <c r="K28" s="269">
        <v>0</v>
      </c>
      <c r="L28" s="272">
        <f t="shared" si="0"/>
        <v>0</v>
      </c>
      <c r="M28" s="239"/>
      <c r="N28" s="239"/>
      <c r="O28" s="239"/>
      <c r="P28" s="239"/>
    </row>
    <row r="29" spans="1:16" s="263" customFormat="1" ht="15" customHeight="1" x14ac:dyDescent="0.15">
      <c r="A29" s="328">
        <v>20</v>
      </c>
      <c r="B29" s="213"/>
      <c r="C29" s="277"/>
      <c r="D29" s="213"/>
      <c r="E29" s="269">
        <v>0</v>
      </c>
      <c r="F29" s="269">
        <v>0</v>
      </c>
      <c r="G29" s="276"/>
      <c r="H29" s="216"/>
      <c r="I29" s="275"/>
      <c r="J29" s="274">
        <v>0</v>
      </c>
      <c r="K29" s="269">
        <v>0</v>
      </c>
      <c r="L29" s="272">
        <f t="shared" si="0"/>
        <v>0</v>
      </c>
      <c r="M29" s="239"/>
      <c r="N29" s="239"/>
      <c r="O29" s="239"/>
      <c r="P29" s="239"/>
    </row>
    <row r="30" spans="1:16" s="263" customFormat="1" ht="15" customHeight="1" x14ac:dyDescent="0.15">
      <c r="A30" s="328">
        <v>21</v>
      </c>
      <c r="B30" s="213"/>
      <c r="C30" s="277"/>
      <c r="D30" s="213"/>
      <c r="E30" s="269">
        <v>0</v>
      </c>
      <c r="F30" s="269">
        <v>0</v>
      </c>
      <c r="G30" s="276"/>
      <c r="H30" s="213"/>
      <c r="I30" s="275"/>
      <c r="J30" s="274">
        <v>0</v>
      </c>
      <c r="K30" s="269">
        <v>0</v>
      </c>
      <c r="L30" s="272">
        <f t="shared" si="0"/>
        <v>0</v>
      </c>
      <c r="M30" s="239"/>
      <c r="N30" s="239"/>
      <c r="O30" s="239"/>
      <c r="P30" s="239"/>
    </row>
    <row r="31" spans="1:16" s="263" customFormat="1" ht="15" customHeight="1" x14ac:dyDescent="0.15">
      <c r="A31" s="328">
        <v>22</v>
      </c>
      <c r="B31" s="213"/>
      <c r="C31" s="218"/>
      <c r="D31" s="213"/>
      <c r="E31" s="269">
        <v>0</v>
      </c>
      <c r="F31" s="269">
        <v>0</v>
      </c>
      <c r="G31" s="276"/>
      <c r="H31" s="213"/>
      <c r="I31" s="275"/>
      <c r="J31" s="274">
        <v>0</v>
      </c>
      <c r="K31" s="269">
        <v>0</v>
      </c>
      <c r="L31" s="272">
        <f t="shared" si="0"/>
        <v>0</v>
      </c>
      <c r="M31" s="239"/>
      <c r="N31" s="239"/>
      <c r="O31" s="239"/>
      <c r="P31" s="239"/>
    </row>
    <row r="32" spans="1:16" s="263" customFormat="1" ht="15" customHeight="1" x14ac:dyDescent="0.15">
      <c r="A32" s="328">
        <v>23</v>
      </c>
      <c r="B32" s="213"/>
      <c r="C32" s="218"/>
      <c r="D32" s="213"/>
      <c r="E32" s="269">
        <v>0</v>
      </c>
      <c r="F32" s="269">
        <v>0</v>
      </c>
      <c r="G32" s="276"/>
      <c r="H32" s="213"/>
      <c r="I32" s="275"/>
      <c r="J32" s="274">
        <v>0</v>
      </c>
      <c r="K32" s="269">
        <v>0</v>
      </c>
      <c r="L32" s="272">
        <f t="shared" si="0"/>
        <v>0</v>
      </c>
      <c r="M32" s="239"/>
      <c r="N32" s="239"/>
      <c r="O32" s="239"/>
      <c r="P32" s="239"/>
    </row>
    <row r="33" spans="1:16" s="263" customFormat="1" ht="15" customHeight="1" x14ac:dyDescent="0.15">
      <c r="A33" s="328">
        <v>24</v>
      </c>
      <c r="B33" s="213"/>
      <c r="C33" s="218"/>
      <c r="D33" s="213"/>
      <c r="E33" s="269">
        <v>0</v>
      </c>
      <c r="F33" s="269">
        <v>0</v>
      </c>
      <c r="G33" s="276"/>
      <c r="H33" s="213"/>
      <c r="I33" s="275"/>
      <c r="J33" s="274">
        <v>0</v>
      </c>
      <c r="K33" s="269">
        <v>0</v>
      </c>
      <c r="L33" s="272">
        <f t="shared" si="0"/>
        <v>0</v>
      </c>
      <c r="M33" s="239"/>
      <c r="N33" s="239"/>
      <c r="O33" s="239"/>
      <c r="P33" s="239"/>
    </row>
    <row r="34" spans="1:16" s="263" customFormat="1" ht="15" customHeight="1" x14ac:dyDescent="0.15">
      <c r="A34" s="328">
        <v>25</v>
      </c>
      <c r="B34" s="213"/>
      <c r="C34" s="218"/>
      <c r="D34" s="213"/>
      <c r="E34" s="269">
        <v>0</v>
      </c>
      <c r="F34" s="269">
        <v>0</v>
      </c>
      <c r="G34" s="276"/>
      <c r="H34" s="213"/>
      <c r="I34" s="275"/>
      <c r="J34" s="274">
        <v>0</v>
      </c>
      <c r="K34" s="269">
        <v>0</v>
      </c>
      <c r="L34" s="272">
        <f t="shared" si="0"/>
        <v>0</v>
      </c>
      <c r="M34" s="239"/>
      <c r="N34" s="239"/>
      <c r="O34" s="239"/>
      <c r="P34" s="239"/>
    </row>
    <row r="35" spans="1:16" s="263" customFormat="1" ht="15" customHeight="1" x14ac:dyDescent="0.15">
      <c r="A35" s="328">
        <v>26</v>
      </c>
      <c r="B35" s="213"/>
      <c r="C35" s="218"/>
      <c r="D35" s="213"/>
      <c r="E35" s="269">
        <v>0</v>
      </c>
      <c r="F35" s="269">
        <v>0</v>
      </c>
      <c r="G35" s="276"/>
      <c r="H35" s="213"/>
      <c r="I35" s="275"/>
      <c r="J35" s="274">
        <v>0</v>
      </c>
      <c r="K35" s="269">
        <v>0</v>
      </c>
      <c r="L35" s="272">
        <f t="shared" si="0"/>
        <v>0</v>
      </c>
      <c r="M35" s="239"/>
      <c r="N35" s="239"/>
      <c r="O35" s="239"/>
      <c r="P35" s="239"/>
    </row>
    <row r="36" spans="1:16" s="263" customFormat="1" ht="15" customHeight="1" x14ac:dyDescent="0.15">
      <c r="A36" s="328">
        <v>27</v>
      </c>
      <c r="B36" s="213"/>
      <c r="C36" s="278"/>
      <c r="D36" s="213"/>
      <c r="E36" s="269">
        <v>0</v>
      </c>
      <c r="F36" s="269">
        <v>0</v>
      </c>
      <c r="G36" s="276"/>
      <c r="H36" s="216"/>
      <c r="I36" s="275"/>
      <c r="J36" s="274">
        <v>0</v>
      </c>
      <c r="K36" s="269">
        <v>0</v>
      </c>
      <c r="L36" s="272">
        <f t="shared" si="0"/>
        <v>0</v>
      </c>
      <c r="M36" s="239"/>
      <c r="N36" s="239"/>
      <c r="O36" s="239"/>
      <c r="P36" s="239"/>
    </row>
    <row r="37" spans="1:16" s="263" customFormat="1" ht="15" customHeight="1" x14ac:dyDescent="0.15">
      <c r="A37" s="328">
        <v>28</v>
      </c>
      <c r="B37" s="213"/>
      <c r="C37" s="277"/>
      <c r="D37" s="213"/>
      <c r="E37" s="269">
        <v>0</v>
      </c>
      <c r="F37" s="269">
        <v>0</v>
      </c>
      <c r="G37" s="276"/>
      <c r="H37" s="216"/>
      <c r="I37" s="275"/>
      <c r="J37" s="274">
        <v>0</v>
      </c>
      <c r="K37" s="269">
        <v>0</v>
      </c>
      <c r="L37" s="272">
        <f t="shared" si="0"/>
        <v>0</v>
      </c>
      <c r="M37" s="239"/>
      <c r="N37" s="239"/>
      <c r="O37" s="239"/>
      <c r="P37" s="239"/>
    </row>
    <row r="38" spans="1:16" s="263" customFormat="1" ht="15" customHeight="1" x14ac:dyDescent="0.15">
      <c r="A38" s="328">
        <v>29</v>
      </c>
      <c r="B38" s="213"/>
      <c r="C38" s="277"/>
      <c r="D38" s="213"/>
      <c r="E38" s="269">
        <v>0</v>
      </c>
      <c r="F38" s="269">
        <v>0</v>
      </c>
      <c r="G38" s="276"/>
      <c r="H38" s="213"/>
      <c r="I38" s="275"/>
      <c r="J38" s="274">
        <v>0</v>
      </c>
      <c r="K38" s="269">
        <v>0</v>
      </c>
      <c r="L38" s="272">
        <f t="shared" si="0"/>
        <v>0</v>
      </c>
      <c r="M38" s="239"/>
      <c r="N38" s="239"/>
      <c r="O38" s="239"/>
      <c r="P38" s="239"/>
    </row>
    <row r="39" spans="1:16" s="263" customFormat="1" ht="15" customHeight="1" x14ac:dyDescent="0.15">
      <c r="A39" s="328">
        <v>30</v>
      </c>
      <c r="B39" s="213"/>
      <c r="C39" s="277"/>
      <c r="D39" s="213"/>
      <c r="E39" s="269">
        <v>0</v>
      </c>
      <c r="F39" s="269">
        <v>0</v>
      </c>
      <c r="G39" s="276"/>
      <c r="H39" s="213"/>
      <c r="I39" s="275"/>
      <c r="J39" s="274">
        <v>0</v>
      </c>
      <c r="K39" s="269">
        <v>0</v>
      </c>
      <c r="L39" s="272">
        <f t="shared" si="0"/>
        <v>0</v>
      </c>
      <c r="M39" s="239"/>
      <c r="N39" s="239"/>
      <c r="O39" s="239"/>
      <c r="P39" s="239"/>
    </row>
    <row r="40" spans="1:16" s="263" customFormat="1" ht="15" customHeight="1" x14ac:dyDescent="0.15">
      <c r="A40" s="271"/>
      <c r="B40" s="270"/>
      <c r="C40" s="212"/>
      <c r="D40" s="208"/>
      <c r="E40" s="269">
        <v>0</v>
      </c>
      <c r="F40" s="269">
        <v>0</v>
      </c>
      <c r="G40" s="268"/>
      <c r="H40" s="208"/>
      <c r="I40" s="267"/>
      <c r="J40" s="273">
        <v>0</v>
      </c>
      <c r="K40" s="265">
        <v>0</v>
      </c>
      <c r="L40" s="272">
        <f t="shared" si="0"/>
        <v>0</v>
      </c>
      <c r="M40" s="239"/>
      <c r="N40" s="239"/>
      <c r="O40" s="239"/>
      <c r="P40" s="239"/>
    </row>
    <row r="41" spans="1:16" s="263" customFormat="1" ht="15" customHeight="1" x14ac:dyDescent="0.15">
      <c r="A41" s="271"/>
      <c r="B41" s="270"/>
      <c r="C41" s="212"/>
      <c r="D41" s="208"/>
      <c r="E41" s="269">
        <f>J41*1.11</f>
        <v>0</v>
      </c>
      <c r="F41" s="269">
        <f>K41*1.11</f>
        <v>0</v>
      </c>
      <c r="G41" s="268"/>
      <c r="H41" s="208"/>
      <c r="I41" s="267"/>
      <c r="J41" s="273">
        <v>0</v>
      </c>
      <c r="K41" s="265">
        <v>0</v>
      </c>
      <c r="L41" s="272">
        <f t="shared" si="0"/>
        <v>0</v>
      </c>
      <c r="M41" s="239"/>
      <c r="N41" s="239"/>
      <c r="O41" s="239"/>
      <c r="P41" s="239"/>
    </row>
    <row r="42" spans="1:16" s="263" customFormat="1" ht="15" customHeight="1" thickBot="1" x14ac:dyDescent="0.2">
      <c r="A42" s="271"/>
      <c r="B42" s="270"/>
      <c r="C42" s="212"/>
      <c r="D42" s="208"/>
      <c r="E42" s="269">
        <v>0</v>
      </c>
      <c r="F42" s="269">
        <v>0</v>
      </c>
      <c r="G42" s="268"/>
      <c r="H42" s="208"/>
      <c r="I42" s="267"/>
      <c r="J42" s="266">
        <v>0</v>
      </c>
      <c r="K42" s="265">
        <v>0</v>
      </c>
      <c r="L42" s="264">
        <f t="shared" si="0"/>
        <v>0</v>
      </c>
      <c r="M42" s="239"/>
      <c r="N42" s="239"/>
      <c r="O42" s="239"/>
      <c r="P42" s="239"/>
    </row>
    <row r="43" spans="1:16" s="254" customFormat="1" ht="15" customHeight="1" thickBot="1" x14ac:dyDescent="0.2">
      <c r="A43" s="262"/>
      <c r="B43" s="259"/>
      <c r="C43" s="510" t="s">
        <v>158</v>
      </c>
      <c r="D43" s="511"/>
      <c r="E43" s="261">
        <f>SUM(E10:E42)</f>
        <v>0</v>
      </c>
      <c r="F43" s="261">
        <f>SUM(F10:F42)</f>
        <v>0</v>
      </c>
      <c r="G43" s="260"/>
      <c r="H43" s="259"/>
      <c r="I43" s="258" t="s">
        <v>96</v>
      </c>
      <c r="J43" s="257">
        <f>SUM(J10:J42)</f>
        <v>0</v>
      </c>
      <c r="K43" s="256">
        <f>SUM(K10:K42)</f>
        <v>0</v>
      </c>
      <c r="L43" s="255">
        <f>SUM(L10:L42)</f>
        <v>0</v>
      </c>
      <c r="M43" s="252"/>
      <c r="N43" s="252"/>
      <c r="O43" s="252"/>
      <c r="P43" s="252"/>
    </row>
    <row r="44" spans="1:16" ht="15" customHeight="1" thickTop="1" thickBot="1" x14ac:dyDescent="0.2">
      <c r="A44" s="251"/>
      <c r="B44" s="250"/>
      <c r="C44" s="249"/>
      <c r="D44" s="249"/>
      <c r="E44" s="249"/>
      <c r="F44" s="249"/>
      <c r="G44" s="248"/>
      <c r="H44" s="247"/>
      <c r="I44" s="246" t="s">
        <v>18</v>
      </c>
      <c r="J44" s="245">
        <f>SUM(J43:J43)</f>
        <v>0</v>
      </c>
      <c r="K44" s="244">
        <f>SUM(K43:K43)</f>
        <v>0</v>
      </c>
      <c r="L44" s="243">
        <f>SUM(L43:L43)</f>
        <v>0</v>
      </c>
    </row>
    <row r="46" spans="1:16" x14ac:dyDescent="0.15">
      <c r="A46" s="242"/>
      <c r="B46" s="242"/>
      <c r="L46" s="241"/>
    </row>
  </sheetData>
  <mergeCells count="3">
    <mergeCell ref="D1:F1"/>
    <mergeCell ref="D2:F2"/>
    <mergeCell ref="C43:D43"/>
  </mergeCells>
  <pageMargins left="0.42" right="0.52" top="0.98425196850393704" bottom="0.98425196850393704" header="0.51181102362204722" footer="0.51181102362204722"/>
  <pageSetup scale="58" orientation="landscape"/>
  <extLst>
    <ext xmlns:mx="http://schemas.microsoft.com/office/mac/excel/2008/main" uri="{64002731-A6B0-56B0-2670-7721B7C09600}">
      <mx:PLV Mode="0" OnePage="0" WScale="63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00000"/>
    <pageSetUpPr fitToPage="1"/>
  </sheetPr>
  <dimension ref="A1:T72"/>
  <sheetViews>
    <sheetView tabSelected="1" zoomScale="125" zoomScaleNormal="125" zoomScaleSheetLayoutView="100" zoomScalePageLayoutView="125" workbookViewId="0">
      <selection activeCell="C66" sqref="C66"/>
    </sheetView>
  </sheetViews>
  <sheetFormatPr baseColWidth="10" defaultColWidth="8.83203125" defaultRowHeight="13" x14ac:dyDescent="0.15"/>
  <cols>
    <col min="1" max="1" width="9.33203125" style="239" customWidth="1"/>
    <col min="2" max="2" width="9.33203125" style="343" customWidth="1"/>
    <col min="3" max="3" width="68.83203125" style="239" customWidth="1"/>
    <col min="4" max="4" width="13.33203125" style="239" customWidth="1"/>
    <col min="5" max="5" width="15.5" style="239" customWidth="1"/>
    <col min="6" max="6" width="15.1640625" style="239" customWidth="1"/>
    <col min="7" max="7" width="9.5" style="240" customWidth="1"/>
    <col min="8" max="8" width="13.1640625" style="240" customWidth="1"/>
    <col min="9" max="9" width="12.5" style="239" customWidth="1"/>
    <col min="10" max="12" width="14.83203125" style="239" customWidth="1"/>
    <col min="13" max="13" width="8.83203125" style="239"/>
    <col min="14" max="14" width="18.5" style="239" customWidth="1"/>
    <col min="15" max="15" width="8.83203125" style="239"/>
    <col min="16" max="16" width="11.6640625" style="239" bestFit="1" customWidth="1"/>
    <col min="17" max="17" width="10.83203125" style="239" customWidth="1"/>
    <col min="18" max="18" width="17.5" style="239" customWidth="1"/>
    <col min="19" max="19" width="8.83203125" style="239"/>
    <col min="20" max="20" width="14.6640625" style="239" customWidth="1"/>
    <col min="21" max="16384" width="8.83203125" style="239"/>
  </cols>
  <sheetData>
    <row r="1" spans="1:20" x14ac:dyDescent="0.15">
      <c r="A1" s="197"/>
      <c r="B1" s="332"/>
      <c r="C1" s="195"/>
      <c r="D1" s="508" t="s">
        <v>180</v>
      </c>
      <c r="E1" s="508"/>
      <c r="F1" s="508"/>
      <c r="G1" s="198"/>
      <c r="H1" s="198"/>
      <c r="I1" s="195"/>
      <c r="J1" s="195"/>
      <c r="K1" s="195"/>
      <c r="L1" s="195"/>
    </row>
    <row r="2" spans="1:20" x14ac:dyDescent="0.15">
      <c r="A2" s="197" t="s">
        <v>1080</v>
      </c>
      <c r="B2" s="332"/>
      <c r="C2" s="195"/>
      <c r="D2" s="508" t="s">
        <v>1082</v>
      </c>
      <c r="E2" s="508"/>
      <c r="F2" s="508"/>
      <c r="G2" s="198"/>
      <c r="H2" s="198"/>
      <c r="I2" s="238" t="s">
        <v>179</v>
      </c>
      <c r="J2" s="322">
        <f>Summary!G4</f>
        <v>42491</v>
      </c>
      <c r="K2" s="323" t="s">
        <v>185</v>
      </c>
      <c r="L2" s="324">
        <f>Summary!G3</f>
        <v>42505</v>
      </c>
    </row>
    <row r="3" spans="1:20" ht="6" customHeight="1" thickBot="1" x14ac:dyDescent="0.2">
      <c r="A3" s="329"/>
      <c r="B3" s="333"/>
      <c r="C3" s="195"/>
      <c r="D3" s="195"/>
      <c r="E3" s="195"/>
      <c r="F3" s="195"/>
      <c r="G3" s="198"/>
      <c r="H3" s="198"/>
      <c r="I3" s="195"/>
      <c r="J3" s="195"/>
      <c r="K3" s="195"/>
      <c r="L3" s="195"/>
    </row>
    <row r="4" spans="1:20" ht="6" customHeight="1" x14ac:dyDescent="0.15">
      <c r="A4" s="327"/>
      <c r="B4" s="334"/>
      <c r="C4" s="313"/>
      <c r="D4" s="313"/>
      <c r="E4" s="313"/>
      <c r="F4" s="311"/>
      <c r="G4" s="312"/>
      <c r="H4" s="312"/>
      <c r="I4" s="311"/>
      <c r="J4" s="310"/>
      <c r="K4" s="310"/>
      <c r="L4" s="309"/>
    </row>
    <row r="5" spans="1:20" x14ac:dyDescent="0.15">
      <c r="A5" s="253" t="s">
        <v>178</v>
      </c>
      <c r="B5" s="335" t="s">
        <v>171</v>
      </c>
      <c r="C5" s="301" t="s">
        <v>2</v>
      </c>
      <c r="D5" s="301" t="s">
        <v>177</v>
      </c>
      <c r="E5" s="301" t="s">
        <v>176</v>
      </c>
      <c r="F5" s="304" t="s">
        <v>175</v>
      </c>
      <c r="G5" s="304" t="s">
        <v>174</v>
      </c>
      <c r="H5" s="304" t="s">
        <v>173</v>
      </c>
      <c r="I5" s="304" t="s">
        <v>172</v>
      </c>
      <c r="J5" s="308"/>
      <c r="K5" s="308"/>
      <c r="L5" s="307"/>
    </row>
    <row r="6" spans="1:20" ht="14" thickBot="1" x14ac:dyDescent="0.2">
      <c r="A6" s="253" t="s">
        <v>169</v>
      </c>
      <c r="B6" s="335" t="s">
        <v>168</v>
      </c>
      <c r="C6" s="299"/>
      <c r="D6" s="300" t="s">
        <v>171</v>
      </c>
      <c r="E6" s="301" t="s">
        <v>170</v>
      </c>
      <c r="F6" s="301" t="s">
        <v>170</v>
      </c>
      <c r="G6" s="301" t="s">
        <v>124</v>
      </c>
      <c r="H6" s="304" t="s">
        <v>169</v>
      </c>
      <c r="I6" s="304" t="s">
        <v>151</v>
      </c>
      <c r="J6" s="306"/>
      <c r="K6" s="306"/>
      <c r="L6" s="305"/>
    </row>
    <row r="7" spans="1:20" x14ac:dyDescent="0.15">
      <c r="A7" s="253" t="s">
        <v>168</v>
      </c>
      <c r="B7" s="335" t="s">
        <v>184</v>
      </c>
      <c r="C7" s="301"/>
      <c r="D7" s="300" t="s">
        <v>167</v>
      </c>
      <c r="E7" s="301" t="s">
        <v>166</v>
      </c>
      <c r="F7" s="301" t="s">
        <v>166</v>
      </c>
      <c r="G7" s="301"/>
      <c r="H7" s="304" t="s">
        <v>151</v>
      </c>
      <c r="I7" s="304"/>
      <c r="J7" s="303" t="s">
        <v>165</v>
      </c>
      <c r="K7" s="303" t="s">
        <v>27</v>
      </c>
      <c r="L7" s="302" t="s">
        <v>164</v>
      </c>
    </row>
    <row r="8" spans="1:20" x14ac:dyDescent="0.15">
      <c r="A8" s="253"/>
      <c r="B8" s="335"/>
      <c r="C8" s="301"/>
      <c r="D8" s="300" t="s">
        <v>161</v>
      </c>
      <c r="E8" s="299"/>
      <c r="F8" s="299"/>
      <c r="G8" s="298"/>
      <c r="H8" s="297"/>
      <c r="I8" s="296"/>
      <c r="J8" s="295" t="s">
        <v>163</v>
      </c>
      <c r="K8" s="295"/>
      <c r="L8" s="294"/>
      <c r="N8" s="239">
        <v>40321283.369999997</v>
      </c>
      <c r="R8" s="240" t="s">
        <v>942</v>
      </c>
      <c r="S8" s="240" t="s">
        <v>943</v>
      </c>
      <c r="T8" s="240" t="s">
        <v>944</v>
      </c>
    </row>
    <row r="9" spans="1:20" ht="6" customHeight="1" thickBot="1" x14ac:dyDescent="0.2">
      <c r="A9" s="293"/>
      <c r="B9" s="336"/>
      <c r="C9" s="292"/>
      <c r="D9" s="292"/>
      <c r="E9" s="292"/>
      <c r="F9" s="292"/>
      <c r="G9" s="291"/>
      <c r="H9" s="290"/>
      <c r="I9" s="289"/>
      <c r="J9" s="288"/>
      <c r="K9" s="288"/>
      <c r="L9" s="287"/>
    </row>
    <row r="10" spans="1:20" ht="15" customHeight="1" x14ac:dyDescent="0.15">
      <c r="A10" s="286">
        <v>1</v>
      </c>
      <c r="B10" s="337" t="s">
        <v>494</v>
      </c>
      <c r="C10" s="230" t="s">
        <v>181</v>
      </c>
      <c r="D10" s="224" t="s">
        <v>161</v>
      </c>
      <c r="E10" s="269">
        <v>863980</v>
      </c>
      <c r="F10" s="269">
        <v>863980</v>
      </c>
      <c r="G10" s="285">
        <v>42313</v>
      </c>
      <c r="H10" s="227" t="s">
        <v>160</v>
      </c>
      <c r="I10" s="275" t="s">
        <v>159</v>
      </c>
      <c r="J10" s="274">
        <v>4394.62</v>
      </c>
      <c r="K10" s="284">
        <v>790957.10996398248</v>
      </c>
      <c r="L10" s="283">
        <f t="shared" ref="L10:L68" si="0">J10+K10</f>
        <v>795351.72996398248</v>
      </c>
      <c r="N10" s="241">
        <f>E10+N8</f>
        <v>41185263.369999997</v>
      </c>
      <c r="R10" s="401">
        <f t="shared" ref="R10:R11" si="1">F10-L10</f>
        <v>68628.270036017522</v>
      </c>
    </row>
    <row r="11" spans="1:20" ht="15" customHeight="1" x14ac:dyDescent="0.15">
      <c r="A11" s="280">
        <v>2</v>
      </c>
      <c r="B11" s="338" t="s">
        <v>495</v>
      </c>
      <c r="C11" s="218" t="s">
        <v>162</v>
      </c>
      <c r="D11" s="213" t="s">
        <v>161</v>
      </c>
      <c r="E11" s="269">
        <v>7088.55</v>
      </c>
      <c r="F11" s="269">
        <v>7088.55</v>
      </c>
      <c r="G11" s="276">
        <v>42317</v>
      </c>
      <c r="H11" s="216" t="s">
        <v>160</v>
      </c>
      <c r="I11" s="275" t="s">
        <v>159</v>
      </c>
      <c r="J11" s="274">
        <v>0</v>
      </c>
      <c r="K11" s="265">
        <v>0</v>
      </c>
      <c r="L11" s="272">
        <f t="shared" si="0"/>
        <v>0</v>
      </c>
      <c r="N11" s="401">
        <f>E11+N10</f>
        <v>41192351.919999994</v>
      </c>
      <c r="R11" s="401">
        <f t="shared" si="1"/>
        <v>7088.55</v>
      </c>
    </row>
    <row r="12" spans="1:20" ht="15" customHeight="1" x14ac:dyDescent="0.15">
      <c r="A12" s="280">
        <v>3</v>
      </c>
      <c r="B12" s="338" t="s">
        <v>237</v>
      </c>
      <c r="C12" s="218" t="s">
        <v>238</v>
      </c>
      <c r="D12" s="213" t="s">
        <v>161</v>
      </c>
      <c r="E12" s="269">
        <v>670085.52</v>
      </c>
      <c r="F12" s="269">
        <v>438132.84</v>
      </c>
      <c r="G12" s="276">
        <v>42340</v>
      </c>
      <c r="H12" s="216" t="s">
        <v>160</v>
      </c>
      <c r="I12" s="430" t="s">
        <v>134</v>
      </c>
      <c r="J12" s="428">
        <v>0</v>
      </c>
      <c r="K12" s="429">
        <v>438132.83999999997</v>
      </c>
      <c r="L12" s="427">
        <f t="shared" si="0"/>
        <v>438132.83999999997</v>
      </c>
      <c r="N12" s="401">
        <f t="shared" ref="N12:N58" si="2">E12+N11</f>
        <v>41862437.439999998</v>
      </c>
      <c r="R12" s="401">
        <f>F12-L12</f>
        <v>0</v>
      </c>
    </row>
    <row r="13" spans="1:20" s="263" customFormat="1" ht="15" customHeight="1" x14ac:dyDescent="0.15">
      <c r="A13" s="282">
        <v>4</v>
      </c>
      <c r="B13" s="339" t="s">
        <v>241</v>
      </c>
      <c r="C13" s="222" t="s">
        <v>199</v>
      </c>
      <c r="D13" s="213" t="s">
        <v>161</v>
      </c>
      <c r="E13" s="269">
        <v>103635</v>
      </c>
      <c r="F13" s="269">
        <v>103635</v>
      </c>
      <c r="G13" s="276">
        <v>42340</v>
      </c>
      <c r="H13" s="216" t="s">
        <v>160</v>
      </c>
      <c r="I13" s="430" t="s">
        <v>134</v>
      </c>
      <c r="J13" s="428">
        <v>0</v>
      </c>
      <c r="K13" s="429">
        <v>103635</v>
      </c>
      <c r="L13" s="427">
        <f t="shared" si="0"/>
        <v>103635</v>
      </c>
      <c r="M13" s="239"/>
      <c r="N13" s="401">
        <f t="shared" si="2"/>
        <v>41966072.439999998</v>
      </c>
      <c r="O13" s="239"/>
      <c r="P13" s="239"/>
      <c r="R13" s="401">
        <f t="shared" ref="R13:R52" si="3">F13-L13</f>
        <v>0</v>
      </c>
    </row>
    <row r="14" spans="1:20" s="263" customFormat="1" ht="15" customHeight="1" x14ac:dyDescent="0.15">
      <c r="A14" s="280">
        <v>5</v>
      </c>
      <c r="B14" s="338" t="s">
        <v>242</v>
      </c>
      <c r="C14" s="222" t="s">
        <v>481</v>
      </c>
      <c r="D14" s="213" t="s">
        <v>161</v>
      </c>
      <c r="E14" s="269">
        <v>555229.22</v>
      </c>
      <c r="F14" s="269">
        <v>555229.22</v>
      </c>
      <c r="G14" s="276">
        <v>42345</v>
      </c>
      <c r="H14" s="216" t="s">
        <v>160</v>
      </c>
      <c r="I14" s="430" t="s">
        <v>134</v>
      </c>
      <c r="J14" s="428">
        <v>0</v>
      </c>
      <c r="K14" s="429">
        <v>555229.22</v>
      </c>
      <c r="L14" s="427">
        <f t="shared" si="0"/>
        <v>555229.22</v>
      </c>
      <c r="M14" s="239"/>
      <c r="N14" s="401">
        <f t="shared" si="2"/>
        <v>42521301.659999996</v>
      </c>
      <c r="O14" s="239"/>
      <c r="P14" s="239"/>
      <c r="R14" s="401">
        <f t="shared" si="3"/>
        <v>0</v>
      </c>
    </row>
    <row r="15" spans="1:20" s="263" customFormat="1" ht="15" customHeight="1" x14ac:dyDescent="0.15">
      <c r="A15" s="280">
        <v>6</v>
      </c>
      <c r="B15" s="338" t="s">
        <v>494</v>
      </c>
      <c r="C15" s="278" t="s">
        <v>1158</v>
      </c>
      <c r="D15" s="213" t="s">
        <v>161</v>
      </c>
      <c r="E15" s="269">
        <v>244345.82</v>
      </c>
      <c r="F15" s="269">
        <f>L15</f>
        <v>244345.82</v>
      </c>
      <c r="G15" s="276">
        <v>42373</v>
      </c>
      <c r="H15" s="216" t="s">
        <v>160</v>
      </c>
      <c r="I15" s="430" t="s">
        <v>134</v>
      </c>
      <c r="J15" s="428">
        <v>0</v>
      </c>
      <c r="K15" s="429">
        <v>244345.82</v>
      </c>
      <c r="L15" s="427">
        <f t="shared" si="0"/>
        <v>244345.82</v>
      </c>
      <c r="M15" s="239"/>
      <c r="N15" s="401">
        <f t="shared" si="2"/>
        <v>42765647.479999997</v>
      </c>
      <c r="O15" s="239" t="s">
        <v>1018</v>
      </c>
      <c r="P15" s="239"/>
      <c r="R15" s="401">
        <f t="shared" si="3"/>
        <v>0</v>
      </c>
    </row>
    <row r="16" spans="1:20" s="263" customFormat="1" ht="15" customHeight="1" x14ac:dyDescent="0.15">
      <c r="A16" s="328">
        <v>7</v>
      </c>
      <c r="B16" s="338" t="s">
        <v>494</v>
      </c>
      <c r="C16" s="278" t="s">
        <v>1159</v>
      </c>
      <c r="D16" s="213" t="s">
        <v>161</v>
      </c>
      <c r="E16" s="269">
        <v>86343.77</v>
      </c>
      <c r="F16" s="269">
        <v>86343.77</v>
      </c>
      <c r="G16" s="276">
        <v>42388</v>
      </c>
      <c r="H16" s="216" t="s">
        <v>160</v>
      </c>
      <c r="I16" s="430" t="s">
        <v>134</v>
      </c>
      <c r="J16" s="428">
        <v>0</v>
      </c>
      <c r="K16" s="429">
        <v>86343.77</v>
      </c>
      <c r="L16" s="427">
        <f t="shared" si="0"/>
        <v>86343.77</v>
      </c>
      <c r="M16" s="239"/>
      <c r="N16" s="401">
        <f t="shared" si="2"/>
        <v>42851991.25</v>
      </c>
      <c r="P16" s="239"/>
      <c r="R16" s="401">
        <f t="shared" si="3"/>
        <v>0</v>
      </c>
    </row>
    <row r="17" spans="1:18" s="263" customFormat="1" ht="15" customHeight="1" x14ac:dyDescent="0.15">
      <c r="A17" s="328">
        <v>8</v>
      </c>
      <c r="B17" s="338" t="s">
        <v>494</v>
      </c>
      <c r="C17" s="278" t="s">
        <v>629</v>
      </c>
      <c r="D17" s="213" t="s">
        <v>629</v>
      </c>
      <c r="E17" s="269">
        <v>0</v>
      </c>
      <c r="F17" s="269">
        <v>0</v>
      </c>
      <c r="G17" s="276"/>
      <c r="H17" s="279"/>
      <c r="I17" s="430" t="s">
        <v>134</v>
      </c>
      <c r="J17" s="428">
        <v>0</v>
      </c>
      <c r="K17" s="429">
        <v>0</v>
      </c>
      <c r="L17" s="427">
        <f t="shared" si="0"/>
        <v>0</v>
      </c>
      <c r="M17" s="239"/>
      <c r="N17" s="401">
        <f t="shared" si="2"/>
        <v>42851991.25</v>
      </c>
      <c r="O17" s="239"/>
      <c r="P17" s="239"/>
      <c r="R17" s="401">
        <f t="shared" si="3"/>
        <v>0</v>
      </c>
    </row>
    <row r="18" spans="1:18" s="263" customFormat="1" ht="15" customHeight="1" x14ac:dyDescent="0.15">
      <c r="A18" s="328">
        <v>9</v>
      </c>
      <c r="B18" s="338" t="s">
        <v>471</v>
      </c>
      <c r="C18" s="278" t="s">
        <v>470</v>
      </c>
      <c r="D18" s="213" t="s">
        <v>161</v>
      </c>
      <c r="E18" s="269">
        <v>20000</v>
      </c>
      <c r="F18" s="269">
        <v>18809.25</v>
      </c>
      <c r="G18" s="276">
        <v>42390</v>
      </c>
      <c r="H18" s="279" t="s">
        <v>160</v>
      </c>
      <c r="I18" s="430" t="s">
        <v>134</v>
      </c>
      <c r="J18" s="428">
        <v>0</v>
      </c>
      <c r="K18" s="429">
        <v>18809.25</v>
      </c>
      <c r="L18" s="427">
        <f t="shared" si="0"/>
        <v>18809.25</v>
      </c>
      <c r="M18" s="239"/>
      <c r="N18" s="401">
        <f t="shared" si="2"/>
        <v>42871991.25</v>
      </c>
      <c r="O18" s="239"/>
      <c r="P18" s="239"/>
      <c r="R18" s="401">
        <f>F18-L18</f>
        <v>0</v>
      </c>
    </row>
    <row r="19" spans="1:18" s="263" customFormat="1" ht="15" customHeight="1" x14ac:dyDescent="0.15">
      <c r="A19" s="328">
        <v>10</v>
      </c>
      <c r="B19" s="338" t="s">
        <v>472</v>
      </c>
      <c r="C19" s="278" t="s">
        <v>1160</v>
      </c>
      <c r="D19" s="213" t="s">
        <v>161</v>
      </c>
      <c r="E19" s="269">
        <v>80000</v>
      </c>
      <c r="F19" s="269">
        <v>80000</v>
      </c>
      <c r="G19" s="276">
        <v>42390</v>
      </c>
      <c r="H19" s="279" t="s">
        <v>160</v>
      </c>
      <c r="I19" s="430" t="s">
        <v>134</v>
      </c>
      <c r="J19" s="428">
        <v>0</v>
      </c>
      <c r="K19" s="429">
        <v>80000</v>
      </c>
      <c r="L19" s="427">
        <f t="shared" si="0"/>
        <v>80000</v>
      </c>
      <c r="M19" s="239"/>
      <c r="N19" s="401">
        <f t="shared" si="2"/>
        <v>42951991.25</v>
      </c>
      <c r="O19" s="239"/>
      <c r="P19" s="239"/>
      <c r="R19" s="401">
        <f t="shared" si="3"/>
        <v>0</v>
      </c>
    </row>
    <row r="20" spans="1:18" s="263" customFormat="1" ht="15" customHeight="1" x14ac:dyDescent="0.15">
      <c r="A20" s="328">
        <v>11</v>
      </c>
      <c r="B20" s="338" t="s">
        <v>473</v>
      </c>
      <c r="C20" s="278" t="s">
        <v>424</v>
      </c>
      <c r="D20" s="213" t="s">
        <v>161</v>
      </c>
      <c r="E20" s="269">
        <v>60000</v>
      </c>
      <c r="F20" s="269">
        <v>59756.38</v>
      </c>
      <c r="G20" s="276">
        <v>42390</v>
      </c>
      <c r="H20" s="279" t="s">
        <v>160</v>
      </c>
      <c r="I20" s="430" t="s">
        <v>134</v>
      </c>
      <c r="J20" s="428">
        <v>0</v>
      </c>
      <c r="K20" s="429">
        <v>59756.380000000005</v>
      </c>
      <c r="L20" s="427">
        <f t="shared" si="0"/>
        <v>59756.380000000005</v>
      </c>
      <c r="M20" s="239"/>
      <c r="N20" s="401">
        <f t="shared" si="2"/>
        <v>43011991.25</v>
      </c>
      <c r="O20" s="239"/>
      <c r="P20" s="239"/>
      <c r="R20" s="401">
        <f t="shared" si="3"/>
        <v>0</v>
      </c>
    </row>
    <row r="21" spans="1:18" s="263" customFormat="1" ht="15" customHeight="1" x14ac:dyDescent="0.15">
      <c r="A21" s="328">
        <v>12</v>
      </c>
      <c r="B21" s="338" t="s">
        <v>474</v>
      </c>
      <c r="C21" s="278" t="s">
        <v>244</v>
      </c>
      <c r="D21" s="213" t="s">
        <v>161</v>
      </c>
      <c r="E21" s="269">
        <v>25000</v>
      </c>
      <c r="F21" s="269">
        <v>25000</v>
      </c>
      <c r="G21" s="276">
        <v>42390</v>
      </c>
      <c r="H21" s="279" t="s">
        <v>160</v>
      </c>
      <c r="I21" s="275" t="s">
        <v>159</v>
      </c>
      <c r="J21" s="274">
        <v>0</v>
      </c>
      <c r="K21" s="269">
        <v>0</v>
      </c>
      <c r="L21" s="272">
        <f t="shared" si="0"/>
        <v>0</v>
      </c>
      <c r="M21" s="239"/>
      <c r="N21" s="401">
        <f t="shared" si="2"/>
        <v>43036991.25</v>
      </c>
      <c r="O21" s="239"/>
      <c r="P21" s="239"/>
      <c r="R21" s="401">
        <f t="shared" si="3"/>
        <v>25000</v>
      </c>
    </row>
    <row r="22" spans="1:18" s="263" customFormat="1" ht="15" customHeight="1" x14ac:dyDescent="0.15">
      <c r="A22" s="328">
        <v>13</v>
      </c>
      <c r="B22" s="338" t="s">
        <v>475</v>
      </c>
      <c r="C22" s="278" t="s">
        <v>249</v>
      </c>
      <c r="D22" s="213" t="s">
        <v>161</v>
      </c>
      <c r="E22" s="269">
        <v>4250.2</v>
      </c>
      <c r="F22" s="269">
        <v>3397.2</v>
      </c>
      <c r="G22" s="276">
        <v>42390</v>
      </c>
      <c r="H22" s="216" t="s">
        <v>160</v>
      </c>
      <c r="I22" s="430" t="s">
        <v>134</v>
      </c>
      <c r="J22" s="428">
        <v>0</v>
      </c>
      <c r="K22" s="429">
        <v>3397.2</v>
      </c>
      <c r="L22" s="427">
        <f t="shared" si="0"/>
        <v>3397.2</v>
      </c>
      <c r="M22" s="239"/>
      <c r="N22" s="401">
        <f t="shared" si="2"/>
        <v>43041241.450000003</v>
      </c>
      <c r="O22" s="239"/>
      <c r="P22" s="239"/>
      <c r="R22" s="401">
        <f t="shared" si="3"/>
        <v>0</v>
      </c>
    </row>
    <row r="23" spans="1:18" s="263" customFormat="1" ht="15" customHeight="1" x14ac:dyDescent="0.15">
      <c r="A23" s="328">
        <v>14</v>
      </c>
      <c r="B23" s="338" t="s">
        <v>476</v>
      </c>
      <c r="C23" s="278" t="s">
        <v>548</v>
      </c>
      <c r="D23" s="213" t="s">
        <v>161</v>
      </c>
      <c r="E23" s="269">
        <v>2070.7800000000002</v>
      </c>
      <c r="F23" s="269">
        <v>686.9</v>
      </c>
      <c r="G23" s="276">
        <v>42390</v>
      </c>
      <c r="H23" s="216" t="s">
        <v>160</v>
      </c>
      <c r="I23" s="430" t="s">
        <v>134</v>
      </c>
      <c r="J23" s="428">
        <v>0</v>
      </c>
      <c r="K23" s="429">
        <v>686.9</v>
      </c>
      <c r="L23" s="427">
        <f t="shared" si="0"/>
        <v>686.9</v>
      </c>
      <c r="M23" s="239"/>
      <c r="N23" s="401">
        <f t="shared" si="2"/>
        <v>43043312.230000004</v>
      </c>
      <c r="O23" s="239"/>
      <c r="P23" s="239"/>
      <c r="R23" s="401">
        <f t="shared" si="3"/>
        <v>0</v>
      </c>
    </row>
    <row r="24" spans="1:18" s="263" customFormat="1" ht="15" customHeight="1" x14ac:dyDescent="0.15">
      <c r="A24" s="328">
        <v>15</v>
      </c>
      <c r="B24" s="338" t="s">
        <v>494</v>
      </c>
      <c r="C24" s="278" t="s">
        <v>477</v>
      </c>
      <c r="D24" s="213" t="s">
        <v>161</v>
      </c>
      <c r="E24" s="269">
        <v>50000</v>
      </c>
      <c r="F24" s="269">
        <v>50000</v>
      </c>
      <c r="G24" s="276">
        <v>42390</v>
      </c>
      <c r="H24" s="216" t="s">
        <v>160</v>
      </c>
      <c r="I24" s="275" t="s">
        <v>159</v>
      </c>
      <c r="J24" s="274">
        <v>2238.7600000000002</v>
      </c>
      <c r="K24" s="269">
        <v>29808.89</v>
      </c>
      <c r="L24" s="272">
        <f t="shared" si="0"/>
        <v>32047.65</v>
      </c>
      <c r="M24" s="239"/>
      <c r="N24" s="401">
        <f t="shared" si="2"/>
        <v>43093312.230000004</v>
      </c>
      <c r="O24" s="239"/>
      <c r="P24" s="239"/>
      <c r="R24" s="401">
        <f t="shared" si="3"/>
        <v>17952.349999999999</v>
      </c>
    </row>
    <row r="25" spans="1:18" s="263" customFormat="1" ht="15" customHeight="1" x14ac:dyDescent="0.15">
      <c r="A25" s="328">
        <v>16</v>
      </c>
      <c r="B25" s="338" t="s">
        <v>494</v>
      </c>
      <c r="C25" s="278" t="s">
        <v>478</v>
      </c>
      <c r="D25" s="213" t="s">
        <v>161</v>
      </c>
      <c r="E25" s="269">
        <v>5991.3</v>
      </c>
      <c r="F25" s="269">
        <v>5991.3</v>
      </c>
      <c r="G25" s="276">
        <v>42390</v>
      </c>
      <c r="H25" s="216" t="s">
        <v>160</v>
      </c>
      <c r="I25" s="430" t="s">
        <v>134</v>
      </c>
      <c r="J25" s="428">
        <v>0</v>
      </c>
      <c r="K25" s="429">
        <v>5991.3</v>
      </c>
      <c r="L25" s="427">
        <f t="shared" si="0"/>
        <v>5991.3</v>
      </c>
      <c r="M25" s="239"/>
      <c r="N25" s="401">
        <f t="shared" si="2"/>
        <v>43099303.530000001</v>
      </c>
      <c r="O25" s="239"/>
      <c r="P25" s="239"/>
      <c r="R25" s="401">
        <f t="shared" si="3"/>
        <v>0</v>
      </c>
    </row>
    <row r="26" spans="1:18" s="263" customFormat="1" ht="15" customHeight="1" x14ac:dyDescent="0.15">
      <c r="A26" s="328">
        <v>17</v>
      </c>
      <c r="B26" s="338" t="s">
        <v>503</v>
      </c>
      <c r="C26" s="278" t="s">
        <v>1161</v>
      </c>
      <c r="D26" s="213" t="s">
        <v>161</v>
      </c>
      <c r="E26" s="269">
        <v>19408</v>
      </c>
      <c r="F26" s="269">
        <v>19410</v>
      </c>
      <c r="G26" s="276">
        <v>42395</v>
      </c>
      <c r="H26" s="216" t="s">
        <v>160</v>
      </c>
      <c r="I26" s="275" t="s">
        <v>159</v>
      </c>
      <c r="J26" s="274">
        <v>0</v>
      </c>
      <c r="K26" s="269">
        <v>5958.87</v>
      </c>
      <c r="L26" s="272">
        <f t="shared" si="0"/>
        <v>5958.87</v>
      </c>
      <c r="M26" s="239"/>
      <c r="N26" s="401">
        <f t="shared" si="2"/>
        <v>43118711.530000001</v>
      </c>
      <c r="O26" s="239"/>
      <c r="P26" s="239"/>
      <c r="R26" s="401">
        <f t="shared" si="3"/>
        <v>13451.130000000001</v>
      </c>
    </row>
    <row r="27" spans="1:18" s="263" customFormat="1" ht="15" customHeight="1" x14ac:dyDescent="0.15">
      <c r="A27" s="328">
        <v>18</v>
      </c>
      <c r="B27" s="338" t="s">
        <v>504</v>
      </c>
      <c r="C27" s="218" t="s">
        <v>505</v>
      </c>
      <c r="D27" s="213" t="s">
        <v>161</v>
      </c>
      <c r="E27" s="269">
        <v>23684.06</v>
      </c>
      <c r="F27" s="269">
        <v>23684.06</v>
      </c>
      <c r="G27" s="276">
        <v>42396</v>
      </c>
      <c r="H27" s="216" t="s">
        <v>160</v>
      </c>
      <c r="I27" s="430" t="s">
        <v>134</v>
      </c>
      <c r="J27" s="428">
        <v>0</v>
      </c>
      <c r="K27" s="429">
        <v>23684.06</v>
      </c>
      <c r="L27" s="427">
        <f t="shared" si="0"/>
        <v>23684.06</v>
      </c>
      <c r="M27" s="239"/>
      <c r="N27" s="401">
        <f t="shared" si="2"/>
        <v>43142395.590000004</v>
      </c>
      <c r="O27" s="239"/>
      <c r="P27" s="239"/>
      <c r="R27" s="401">
        <f t="shared" si="3"/>
        <v>0</v>
      </c>
    </row>
    <row r="28" spans="1:18" s="263" customFormat="1" ht="15" customHeight="1" x14ac:dyDescent="0.15">
      <c r="A28" s="328">
        <v>19</v>
      </c>
      <c r="B28" s="338" t="s">
        <v>506</v>
      </c>
      <c r="C28" s="277" t="s">
        <v>500</v>
      </c>
      <c r="D28" s="213" t="s">
        <v>161</v>
      </c>
      <c r="E28" s="269">
        <v>5040</v>
      </c>
      <c r="F28" s="269">
        <v>4410</v>
      </c>
      <c r="G28" s="276">
        <v>42396</v>
      </c>
      <c r="H28" s="216" t="s">
        <v>160</v>
      </c>
      <c r="I28" s="430" t="s">
        <v>134</v>
      </c>
      <c r="J28" s="428">
        <v>0</v>
      </c>
      <c r="K28" s="429">
        <v>4410</v>
      </c>
      <c r="L28" s="427">
        <f t="shared" si="0"/>
        <v>4410</v>
      </c>
      <c r="M28" s="239"/>
      <c r="N28" s="401">
        <f t="shared" si="2"/>
        <v>43147435.590000004</v>
      </c>
      <c r="O28" s="239"/>
      <c r="P28" s="239"/>
      <c r="R28" s="401">
        <f t="shared" si="3"/>
        <v>0</v>
      </c>
    </row>
    <row r="29" spans="1:18" s="263" customFormat="1" ht="15" customHeight="1" x14ac:dyDescent="0.15">
      <c r="A29" s="328">
        <v>20</v>
      </c>
      <c r="B29" s="338" t="s">
        <v>507</v>
      </c>
      <c r="C29" s="277" t="s">
        <v>1103</v>
      </c>
      <c r="D29" s="213" t="s">
        <v>161</v>
      </c>
      <c r="E29" s="269">
        <v>88667.520000000004</v>
      </c>
      <c r="F29" s="269">
        <v>88667.520000000004</v>
      </c>
      <c r="G29" s="276">
        <v>42396</v>
      </c>
      <c r="H29" s="216" t="s">
        <v>160</v>
      </c>
      <c r="I29" s="430" t="s">
        <v>134</v>
      </c>
      <c r="J29" s="428">
        <v>0</v>
      </c>
      <c r="K29" s="429">
        <v>88667.520000000004</v>
      </c>
      <c r="L29" s="427">
        <f t="shared" si="0"/>
        <v>88667.520000000004</v>
      </c>
      <c r="M29" s="239"/>
      <c r="N29" s="401">
        <f t="shared" si="2"/>
        <v>43236103.110000007</v>
      </c>
      <c r="O29" s="239"/>
      <c r="P29" s="239"/>
      <c r="R29" s="401">
        <f t="shared" si="3"/>
        <v>0</v>
      </c>
    </row>
    <row r="30" spans="1:18" s="263" customFormat="1" ht="15" customHeight="1" x14ac:dyDescent="0.15">
      <c r="A30" s="328">
        <v>21</v>
      </c>
      <c r="B30" s="338" t="s">
        <v>565</v>
      </c>
      <c r="C30" s="277" t="s">
        <v>1162</v>
      </c>
      <c r="D30" s="213" t="s">
        <v>161</v>
      </c>
      <c r="E30" s="269">
        <v>65808.38</v>
      </c>
      <c r="F30" s="269">
        <v>60232.38</v>
      </c>
      <c r="G30" s="276">
        <v>42403</v>
      </c>
      <c r="H30" s="216" t="s">
        <v>160</v>
      </c>
      <c r="I30" s="430" t="s">
        <v>134</v>
      </c>
      <c r="J30" s="428">
        <v>0</v>
      </c>
      <c r="K30" s="429">
        <v>60232.38</v>
      </c>
      <c r="L30" s="427">
        <f t="shared" si="0"/>
        <v>60232.38</v>
      </c>
      <c r="M30" s="239"/>
      <c r="N30" s="401">
        <f t="shared" si="2"/>
        <v>43301911.49000001</v>
      </c>
      <c r="O30" s="239" t="s">
        <v>653</v>
      </c>
      <c r="P30" s="239"/>
      <c r="R30" s="401">
        <f t="shared" si="3"/>
        <v>0</v>
      </c>
    </row>
    <row r="31" spans="1:18" s="263" customFormat="1" ht="15" customHeight="1" x14ac:dyDescent="0.15">
      <c r="A31" s="328">
        <v>22</v>
      </c>
      <c r="B31" s="338" t="s">
        <v>566</v>
      </c>
      <c r="C31" s="218" t="s">
        <v>561</v>
      </c>
      <c r="D31" s="213" t="s">
        <v>161</v>
      </c>
      <c r="E31" s="269">
        <v>215855.08</v>
      </c>
      <c r="F31" s="269">
        <v>215562.16</v>
      </c>
      <c r="G31" s="276">
        <v>42403</v>
      </c>
      <c r="H31" s="216" t="s">
        <v>160</v>
      </c>
      <c r="I31" s="430" t="s">
        <v>134</v>
      </c>
      <c r="J31" s="428">
        <v>0</v>
      </c>
      <c r="K31" s="429">
        <v>215562.16</v>
      </c>
      <c r="L31" s="427">
        <f t="shared" si="0"/>
        <v>215562.16</v>
      </c>
      <c r="M31" s="239"/>
      <c r="N31" s="401">
        <f t="shared" si="2"/>
        <v>43517766.570000008</v>
      </c>
      <c r="O31" s="239"/>
      <c r="P31" s="239"/>
      <c r="R31" s="401">
        <f t="shared" si="3"/>
        <v>0</v>
      </c>
    </row>
    <row r="32" spans="1:18" s="263" customFormat="1" ht="15" customHeight="1" x14ac:dyDescent="0.15">
      <c r="A32" s="328">
        <v>23</v>
      </c>
      <c r="B32" s="338" t="s">
        <v>571</v>
      </c>
      <c r="C32" s="218" t="s">
        <v>567</v>
      </c>
      <c r="D32" s="213" t="s">
        <v>161</v>
      </c>
      <c r="E32" s="269">
        <v>359953.32</v>
      </c>
      <c r="F32" s="269">
        <v>359893.28</v>
      </c>
      <c r="G32" s="276">
        <v>42403</v>
      </c>
      <c r="H32" s="216" t="s">
        <v>160</v>
      </c>
      <c r="I32" s="430" t="s">
        <v>134</v>
      </c>
      <c r="J32" s="428">
        <v>0</v>
      </c>
      <c r="K32" s="429">
        <v>359893.28</v>
      </c>
      <c r="L32" s="427">
        <f t="shared" si="0"/>
        <v>359893.28</v>
      </c>
      <c r="M32" s="239"/>
      <c r="N32" s="401">
        <f t="shared" si="2"/>
        <v>43877719.890000008</v>
      </c>
      <c r="O32" s="239"/>
      <c r="P32" s="239"/>
      <c r="R32" s="401">
        <f t="shared" si="3"/>
        <v>0</v>
      </c>
    </row>
    <row r="33" spans="1:20" s="263" customFormat="1" ht="15" customHeight="1" x14ac:dyDescent="0.15">
      <c r="A33" s="328">
        <v>24</v>
      </c>
      <c r="B33" s="338" t="s">
        <v>568</v>
      </c>
      <c r="C33" s="218" t="s">
        <v>569</v>
      </c>
      <c r="D33" s="213" t="s">
        <v>161</v>
      </c>
      <c r="E33" s="269">
        <v>1964511.36</v>
      </c>
      <c r="F33" s="269">
        <v>1964511.36</v>
      </c>
      <c r="G33" s="276">
        <v>42403</v>
      </c>
      <c r="H33" s="216" t="s">
        <v>160</v>
      </c>
      <c r="I33" s="430" t="s">
        <v>134</v>
      </c>
      <c r="J33" s="428">
        <v>0</v>
      </c>
      <c r="K33" s="429">
        <v>1964511.36</v>
      </c>
      <c r="L33" s="427">
        <f t="shared" si="0"/>
        <v>1964511.36</v>
      </c>
      <c r="M33" s="239"/>
      <c r="N33" s="401">
        <f t="shared" si="2"/>
        <v>45842231.250000007</v>
      </c>
      <c r="O33" s="239"/>
      <c r="P33" s="239"/>
      <c r="R33" s="401">
        <f t="shared" si="3"/>
        <v>0</v>
      </c>
    </row>
    <row r="34" spans="1:20" s="263" customFormat="1" ht="15" customHeight="1" x14ac:dyDescent="0.15">
      <c r="A34" s="328">
        <v>25</v>
      </c>
      <c r="B34" s="338" t="s">
        <v>494</v>
      </c>
      <c r="C34" s="218" t="s">
        <v>629</v>
      </c>
      <c r="D34" s="213" t="s">
        <v>629</v>
      </c>
      <c r="E34" s="269">
        <v>0</v>
      </c>
      <c r="F34" s="269">
        <v>0</v>
      </c>
      <c r="G34" s="276"/>
      <c r="H34" s="213"/>
      <c r="I34" s="430" t="s">
        <v>134</v>
      </c>
      <c r="J34" s="428">
        <v>0</v>
      </c>
      <c r="K34" s="429">
        <v>0</v>
      </c>
      <c r="L34" s="427">
        <f t="shared" si="0"/>
        <v>0</v>
      </c>
      <c r="M34" s="239"/>
      <c r="N34" s="401">
        <f t="shared" si="2"/>
        <v>45842231.250000007</v>
      </c>
      <c r="O34" s="239"/>
      <c r="P34" s="239"/>
      <c r="R34" s="401">
        <f t="shared" si="3"/>
        <v>0</v>
      </c>
    </row>
    <row r="35" spans="1:20" s="263" customFormat="1" ht="15" customHeight="1" x14ac:dyDescent="0.15">
      <c r="A35" s="328">
        <v>26</v>
      </c>
      <c r="B35" s="338" t="s">
        <v>494</v>
      </c>
      <c r="C35" s="218" t="s">
        <v>1157</v>
      </c>
      <c r="D35" s="213" t="s">
        <v>161</v>
      </c>
      <c r="E35" s="269">
        <v>85583.22</v>
      </c>
      <c r="F35" s="269">
        <v>85583.22</v>
      </c>
      <c r="G35" s="276">
        <v>42403</v>
      </c>
      <c r="H35" s="213" t="s">
        <v>160</v>
      </c>
      <c r="I35" s="430" t="s">
        <v>134</v>
      </c>
      <c r="J35" s="428">
        <v>0</v>
      </c>
      <c r="K35" s="429">
        <v>85583.22</v>
      </c>
      <c r="L35" s="427">
        <f t="shared" si="0"/>
        <v>85583.22</v>
      </c>
      <c r="M35" s="239"/>
      <c r="N35" s="401">
        <f t="shared" si="2"/>
        <v>45927814.470000006</v>
      </c>
      <c r="O35" s="239"/>
      <c r="P35" s="239"/>
      <c r="R35" s="401">
        <f t="shared" si="3"/>
        <v>0</v>
      </c>
    </row>
    <row r="36" spans="1:20" s="263" customFormat="1" ht="15" customHeight="1" x14ac:dyDescent="0.15">
      <c r="A36" s="328">
        <v>27</v>
      </c>
      <c r="B36" s="338" t="s">
        <v>494</v>
      </c>
      <c r="C36" s="218" t="s">
        <v>1112</v>
      </c>
      <c r="D36" s="213" t="s">
        <v>161</v>
      </c>
      <c r="E36" s="269">
        <v>200000</v>
      </c>
      <c r="F36" s="269">
        <v>85020.86</v>
      </c>
      <c r="G36" s="276">
        <v>42416</v>
      </c>
      <c r="H36" s="213" t="s">
        <v>160</v>
      </c>
      <c r="I36" s="430" t="s">
        <v>134</v>
      </c>
      <c r="J36" s="428">
        <v>0</v>
      </c>
      <c r="K36" s="429">
        <v>85020.86</v>
      </c>
      <c r="L36" s="427">
        <f t="shared" ref="L36:L37" si="4">J36+K36</f>
        <v>85020.86</v>
      </c>
      <c r="M36" s="239"/>
      <c r="N36" s="401">
        <f t="shared" si="2"/>
        <v>46127814.470000006</v>
      </c>
      <c r="O36" s="239"/>
      <c r="P36" s="239"/>
      <c r="R36" s="401">
        <f t="shared" si="3"/>
        <v>0</v>
      </c>
    </row>
    <row r="37" spans="1:20" s="263" customFormat="1" ht="15" customHeight="1" x14ac:dyDescent="0.15">
      <c r="A37" s="328">
        <v>28</v>
      </c>
      <c r="B37" s="338" t="s">
        <v>494</v>
      </c>
      <c r="C37" s="218" t="s">
        <v>1163</v>
      </c>
      <c r="D37" s="213" t="s">
        <v>161</v>
      </c>
      <c r="E37" s="269">
        <v>131183</v>
      </c>
      <c r="F37" s="269">
        <v>131183</v>
      </c>
      <c r="G37" s="276">
        <v>42422</v>
      </c>
      <c r="H37" s="213" t="s">
        <v>160</v>
      </c>
      <c r="I37" s="430" t="s">
        <v>134</v>
      </c>
      <c r="J37" s="428">
        <v>0</v>
      </c>
      <c r="K37" s="429">
        <v>131183</v>
      </c>
      <c r="L37" s="427">
        <f t="shared" si="4"/>
        <v>131183</v>
      </c>
      <c r="M37" s="239"/>
      <c r="N37" s="401">
        <f t="shared" si="2"/>
        <v>46258997.470000006</v>
      </c>
      <c r="O37" s="239"/>
      <c r="P37" s="239"/>
      <c r="R37" s="401">
        <f t="shared" si="3"/>
        <v>0</v>
      </c>
    </row>
    <row r="38" spans="1:20" s="263" customFormat="1" ht="15" customHeight="1" x14ac:dyDescent="0.15">
      <c r="A38" s="328">
        <v>29</v>
      </c>
      <c r="B38" s="338" t="s">
        <v>656</v>
      </c>
      <c r="C38" s="277" t="s">
        <v>652</v>
      </c>
      <c r="D38" s="213" t="s">
        <v>161</v>
      </c>
      <c r="E38" s="269">
        <v>22069.31</v>
      </c>
      <c r="F38" s="269">
        <v>22059.31</v>
      </c>
      <c r="G38" s="276">
        <v>42424</v>
      </c>
      <c r="H38" s="213" t="s">
        <v>160</v>
      </c>
      <c r="I38" s="430" t="s">
        <v>134</v>
      </c>
      <c r="J38" s="428">
        <v>0</v>
      </c>
      <c r="K38" s="429">
        <v>22059.31</v>
      </c>
      <c r="L38" s="427">
        <f t="shared" si="0"/>
        <v>22059.31</v>
      </c>
      <c r="M38" s="239"/>
      <c r="N38" s="401">
        <f t="shared" si="2"/>
        <v>46281066.780000009</v>
      </c>
      <c r="O38" s="239"/>
      <c r="P38" s="239"/>
      <c r="R38" s="401">
        <f t="shared" si="3"/>
        <v>0</v>
      </c>
    </row>
    <row r="39" spans="1:20" s="263" customFormat="1" ht="15" customHeight="1" x14ac:dyDescent="0.15">
      <c r="A39" s="328">
        <v>30</v>
      </c>
      <c r="B39" s="338" t="s">
        <v>657</v>
      </c>
      <c r="C39" s="222" t="s">
        <v>717</v>
      </c>
      <c r="D39" s="213" t="s">
        <v>161</v>
      </c>
      <c r="E39" s="269">
        <v>150785.25</v>
      </c>
      <c r="F39" s="269">
        <v>137550</v>
      </c>
      <c r="G39" s="276">
        <v>42424</v>
      </c>
      <c r="H39" s="213" t="s">
        <v>160</v>
      </c>
      <c r="I39" s="430" t="s">
        <v>134</v>
      </c>
      <c r="J39" s="428">
        <v>0</v>
      </c>
      <c r="K39" s="429">
        <v>137550</v>
      </c>
      <c r="L39" s="427">
        <f t="shared" si="0"/>
        <v>137550</v>
      </c>
      <c r="M39" s="239"/>
      <c r="N39" s="401">
        <f t="shared" si="2"/>
        <v>46431852.030000009</v>
      </c>
      <c r="O39" s="239"/>
      <c r="P39" s="239"/>
      <c r="R39" s="401">
        <f>F39-L39</f>
        <v>0</v>
      </c>
    </row>
    <row r="40" spans="1:20" s="263" customFormat="1" ht="15" customHeight="1" x14ac:dyDescent="0.15">
      <c r="A40" s="328">
        <v>31</v>
      </c>
      <c r="B40" s="338" t="s">
        <v>472</v>
      </c>
      <c r="C40" s="278" t="s">
        <v>654</v>
      </c>
      <c r="D40" s="213" t="s">
        <v>161</v>
      </c>
      <c r="E40" s="269">
        <v>2965.6</v>
      </c>
      <c r="F40" s="269">
        <v>2965.6</v>
      </c>
      <c r="G40" s="276">
        <v>42424</v>
      </c>
      <c r="H40" s="213" t="s">
        <v>160</v>
      </c>
      <c r="I40" s="430" t="s">
        <v>134</v>
      </c>
      <c r="J40" s="428">
        <v>0</v>
      </c>
      <c r="K40" s="429">
        <v>2965.6</v>
      </c>
      <c r="L40" s="427">
        <f t="shared" si="0"/>
        <v>2965.6</v>
      </c>
      <c r="M40" s="239"/>
      <c r="N40" s="401">
        <f>E40+N39</f>
        <v>46434817.63000001</v>
      </c>
      <c r="O40" s="239"/>
      <c r="P40" s="239"/>
      <c r="R40" s="401">
        <f t="shared" si="3"/>
        <v>0</v>
      </c>
    </row>
    <row r="41" spans="1:20" s="263" customFormat="1" ht="15" customHeight="1" x14ac:dyDescent="0.15">
      <c r="A41" s="271">
        <v>32</v>
      </c>
      <c r="B41" s="338" t="s">
        <v>494</v>
      </c>
      <c r="C41" s="400" t="s">
        <v>655</v>
      </c>
      <c r="D41" s="213" t="s">
        <v>161</v>
      </c>
      <c r="E41" s="269">
        <v>0</v>
      </c>
      <c r="F41" s="269">
        <v>0</v>
      </c>
      <c r="G41" s="276">
        <v>42424</v>
      </c>
      <c r="H41" s="213" t="s">
        <v>160</v>
      </c>
      <c r="I41" s="430" t="s">
        <v>134</v>
      </c>
      <c r="J41" s="428">
        <v>0</v>
      </c>
      <c r="K41" s="429">
        <v>0</v>
      </c>
      <c r="L41" s="427">
        <f t="shared" ref="L41:L44" si="5">J41+K41</f>
        <v>0</v>
      </c>
      <c r="M41" s="239"/>
      <c r="N41" s="401">
        <f t="shared" si="2"/>
        <v>46434817.63000001</v>
      </c>
      <c r="O41" s="239"/>
      <c r="P41" s="239"/>
      <c r="R41" s="401">
        <f t="shared" si="3"/>
        <v>0</v>
      </c>
    </row>
    <row r="42" spans="1:20" s="263" customFormat="1" ht="15" customHeight="1" x14ac:dyDescent="0.15">
      <c r="A42" s="271">
        <v>33</v>
      </c>
      <c r="B42" s="340" t="s">
        <v>658</v>
      </c>
      <c r="C42" s="400" t="s">
        <v>659</v>
      </c>
      <c r="D42" s="213" t="s">
        <v>161</v>
      </c>
      <c r="E42" s="269">
        <v>165080.95999999999</v>
      </c>
      <c r="F42" s="269">
        <v>165041.20000000001</v>
      </c>
      <c r="G42" s="276">
        <v>42424</v>
      </c>
      <c r="H42" s="213" t="s">
        <v>160</v>
      </c>
      <c r="I42" s="430" t="s">
        <v>134</v>
      </c>
      <c r="J42" s="428">
        <v>0</v>
      </c>
      <c r="K42" s="429">
        <v>165041.20000000001</v>
      </c>
      <c r="L42" s="427">
        <f t="shared" si="5"/>
        <v>165041.20000000001</v>
      </c>
      <c r="M42" s="239"/>
      <c r="N42" s="401">
        <f t="shared" si="2"/>
        <v>46599898.590000011</v>
      </c>
      <c r="O42" s="239"/>
      <c r="P42" s="239"/>
      <c r="R42" s="401">
        <f>F42-L42</f>
        <v>0</v>
      </c>
      <c r="S42" s="263">
        <v>137519.85</v>
      </c>
      <c r="T42" s="459">
        <f>S42-R42</f>
        <v>137519.85</v>
      </c>
    </row>
    <row r="43" spans="1:20" s="263" customFormat="1" ht="15" customHeight="1" x14ac:dyDescent="0.15">
      <c r="A43" s="271">
        <v>34</v>
      </c>
      <c r="B43" s="340" t="s">
        <v>494</v>
      </c>
      <c r="C43" s="400" t="s">
        <v>716</v>
      </c>
      <c r="D43" s="213" t="s">
        <v>161</v>
      </c>
      <c r="E43" s="269">
        <v>5512.5</v>
      </c>
      <c r="F43" s="269">
        <v>5512.5</v>
      </c>
      <c r="G43" s="276">
        <v>42438</v>
      </c>
      <c r="H43" s="213" t="s">
        <v>160</v>
      </c>
      <c r="I43" s="430" t="s">
        <v>134</v>
      </c>
      <c r="J43" s="428">
        <v>0</v>
      </c>
      <c r="K43" s="429">
        <v>5512.5</v>
      </c>
      <c r="L43" s="427">
        <f t="shared" si="5"/>
        <v>5512.5</v>
      </c>
      <c r="M43" s="239"/>
      <c r="N43" s="401">
        <f t="shared" si="2"/>
        <v>46605411.090000011</v>
      </c>
      <c r="O43" s="239"/>
      <c r="P43" s="239"/>
      <c r="R43" s="401">
        <f t="shared" si="3"/>
        <v>0</v>
      </c>
    </row>
    <row r="44" spans="1:20" s="263" customFormat="1" ht="15" customHeight="1" x14ac:dyDescent="0.15">
      <c r="A44" s="271">
        <v>35</v>
      </c>
      <c r="B44" s="340" t="s">
        <v>494</v>
      </c>
      <c r="C44" s="218" t="s">
        <v>1164</v>
      </c>
      <c r="D44" s="213" t="s">
        <v>161</v>
      </c>
      <c r="E44" s="269">
        <v>645875.24</v>
      </c>
      <c r="F44" s="269">
        <v>645875.24</v>
      </c>
      <c r="G44" s="276">
        <v>42438</v>
      </c>
      <c r="H44" s="213" t="s">
        <v>160</v>
      </c>
      <c r="I44" s="430" t="s">
        <v>134</v>
      </c>
      <c r="J44" s="428">
        <v>0</v>
      </c>
      <c r="K44" s="429">
        <v>645875.24</v>
      </c>
      <c r="L44" s="427">
        <f t="shared" si="5"/>
        <v>645875.24</v>
      </c>
      <c r="M44" s="239"/>
      <c r="N44" s="401">
        <f t="shared" si="2"/>
        <v>47251286.330000013</v>
      </c>
      <c r="O44" s="239"/>
      <c r="P44" s="239"/>
      <c r="R44" s="401">
        <f t="shared" si="3"/>
        <v>0</v>
      </c>
    </row>
    <row r="45" spans="1:20" s="263" customFormat="1" ht="15" customHeight="1" x14ac:dyDescent="0.15">
      <c r="A45" s="271">
        <v>36</v>
      </c>
      <c r="B45" s="340" t="s">
        <v>494</v>
      </c>
      <c r="C45" s="212" t="s">
        <v>1165</v>
      </c>
      <c r="D45" s="213" t="s">
        <v>161</v>
      </c>
      <c r="E45" s="269">
        <v>284494.98</v>
      </c>
      <c r="F45" s="269">
        <v>284494.98</v>
      </c>
      <c r="G45" s="268">
        <v>42452</v>
      </c>
      <c r="H45" s="213" t="s">
        <v>160</v>
      </c>
      <c r="I45" s="443" t="s">
        <v>134</v>
      </c>
      <c r="J45" s="428">
        <v>0</v>
      </c>
      <c r="K45" s="429">
        <v>284494.98</v>
      </c>
      <c r="L45" s="427">
        <f>J45+K45</f>
        <v>284494.98</v>
      </c>
      <c r="M45" s="239"/>
      <c r="N45" s="401">
        <f t="shared" si="2"/>
        <v>47535781.31000001</v>
      </c>
      <c r="O45" s="239"/>
      <c r="P45" s="239"/>
      <c r="R45" s="401">
        <f t="shared" si="3"/>
        <v>0</v>
      </c>
    </row>
    <row r="46" spans="1:20" s="263" customFormat="1" ht="15" customHeight="1" x14ac:dyDescent="0.15">
      <c r="A46" s="271">
        <v>37</v>
      </c>
      <c r="B46" s="340" t="s">
        <v>800</v>
      </c>
      <c r="C46" s="212" t="s">
        <v>605</v>
      </c>
      <c r="D46" s="213" t="s">
        <v>161</v>
      </c>
      <c r="E46" s="269">
        <v>67500</v>
      </c>
      <c r="F46" s="269">
        <v>42875.6</v>
      </c>
      <c r="G46" s="268">
        <v>42452</v>
      </c>
      <c r="H46" s="213" t="s">
        <v>160</v>
      </c>
      <c r="I46" s="443" t="s">
        <v>134</v>
      </c>
      <c r="J46" s="428">
        <v>0</v>
      </c>
      <c r="K46" s="429">
        <v>42875.6</v>
      </c>
      <c r="L46" s="427">
        <f t="shared" ref="L46:L49" si="6">J46+K46</f>
        <v>42875.6</v>
      </c>
      <c r="M46" s="239"/>
      <c r="N46" s="401">
        <f t="shared" si="2"/>
        <v>47603281.31000001</v>
      </c>
      <c r="O46" s="239"/>
      <c r="P46" s="239"/>
      <c r="R46" s="401">
        <f t="shared" si="3"/>
        <v>0</v>
      </c>
    </row>
    <row r="47" spans="1:20" s="263" customFormat="1" ht="15" customHeight="1" x14ac:dyDescent="0.15">
      <c r="A47" s="271">
        <v>38</v>
      </c>
      <c r="B47" s="340" t="s">
        <v>803</v>
      </c>
      <c r="C47" s="212" t="s">
        <v>1124</v>
      </c>
      <c r="D47" s="213" t="s">
        <v>161</v>
      </c>
      <c r="E47" s="269">
        <v>197366.91</v>
      </c>
      <c r="F47" s="269">
        <v>197366.91</v>
      </c>
      <c r="G47" s="268">
        <v>42452</v>
      </c>
      <c r="H47" s="213" t="s">
        <v>160</v>
      </c>
      <c r="I47" s="267" t="s">
        <v>159</v>
      </c>
      <c r="J47" s="274">
        <v>1480.14</v>
      </c>
      <c r="K47" s="269">
        <v>195710.53000000003</v>
      </c>
      <c r="L47" s="272">
        <f t="shared" si="6"/>
        <v>197190.67000000004</v>
      </c>
      <c r="M47" s="239"/>
      <c r="N47" s="401">
        <f t="shared" si="2"/>
        <v>47800648.220000006</v>
      </c>
      <c r="O47" s="239"/>
      <c r="P47" s="467">
        <f>E47-L47</f>
        <v>176.23999999996158</v>
      </c>
      <c r="R47" s="401">
        <f t="shared" si="3"/>
        <v>176.23999999996158</v>
      </c>
      <c r="S47" s="263">
        <v>14188.92</v>
      </c>
      <c r="T47" s="459">
        <f>S47-R47</f>
        <v>14012.680000000038</v>
      </c>
    </row>
    <row r="48" spans="1:20" s="263" customFormat="1" ht="15" customHeight="1" x14ac:dyDescent="0.15">
      <c r="A48" s="271">
        <v>39</v>
      </c>
      <c r="B48" s="340" t="s">
        <v>809</v>
      </c>
      <c r="C48" s="212" t="s">
        <v>810</v>
      </c>
      <c r="D48" s="213" t="s">
        <v>161</v>
      </c>
      <c r="E48" s="269">
        <v>9805.7800000000007</v>
      </c>
      <c r="F48" s="269">
        <v>9805.7800000000007</v>
      </c>
      <c r="G48" s="268">
        <v>42452</v>
      </c>
      <c r="H48" s="213" t="s">
        <v>160</v>
      </c>
      <c r="I48" s="267" t="s">
        <v>159</v>
      </c>
      <c r="J48" s="274">
        <v>0</v>
      </c>
      <c r="K48" s="269">
        <v>5805.78</v>
      </c>
      <c r="L48" s="272">
        <f t="shared" si="6"/>
        <v>5805.78</v>
      </c>
      <c r="M48" s="239"/>
      <c r="N48" s="401">
        <f t="shared" si="2"/>
        <v>47810454.000000007</v>
      </c>
      <c r="O48" s="239"/>
      <c r="P48" s="239"/>
      <c r="R48" s="401">
        <f t="shared" si="3"/>
        <v>4000.0000000000009</v>
      </c>
      <c r="T48" s="458"/>
    </row>
    <row r="49" spans="1:20" s="263" customFormat="1" ht="15" customHeight="1" x14ac:dyDescent="0.15">
      <c r="A49" s="271">
        <v>40</v>
      </c>
      <c r="B49" s="340" t="s">
        <v>875</v>
      </c>
      <c r="C49" s="212" t="s">
        <v>876</v>
      </c>
      <c r="D49" s="213" t="s">
        <v>161</v>
      </c>
      <c r="E49" s="269">
        <v>104077.7</v>
      </c>
      <c r="F49" s="269">
        <v>104077.7</v>
      </c>
      <c r="G49" s="268">
        <v>42474</v>
      </c>
      <c r="H49" s="213" t="s">
        <v>160</v>
      </c>
      <c r="I49" s="267" t="s">
        <v>159</v>
      </c>
      <c r="J49" s="274">
        <v>0</v>
      </c>
      <c r="K49" s="269">
        <v>84077.7</v>
      </c>
      <c r="L49" s="272">
        <f t="shared" si="6"/>
        <v>84077.7</v>
      </c>
      <c r="M49" s="239"/>
      <c r="N49" s="401">
        <f t="shared" si="2"/>
        <v>47914531.70000001</v>
      </c>
      <c r="O49" s="239"/>
      <c r="P49" s="239"/>
      <c r="R49" s="401">
        <f t="shared" si="3"/>
        <v>20000</v>
      </c>
      <c r="T49" s="458"/>
    </row>
    <row r="50" spans="1:20" s="263" customFormat="1" ht="15" customHeight="1" x14ac:dyDescent="0.15">
      <c r="A50" s="271">
        <v>41</v>
      </c>
      <c r="B50" s="340" t="s">
        <v>882</v>
      </c>
      <c r="C50" s="212" t="s">
        <v>883</v>
      </c>
      <c r="D50" s="213" t="s">
        <v>161</v>
      </c>
      <c r="E50" s="269">
        <v>10000</v>
      </c>
      <c r="F50" s="269">
        <v>10000</v>
      </c>
      <c r="G50" s="268">
        <v>42474</v>
      </c>
      <c r="H50" s="213" t="s">
        <v>160</v>
      </c>
      <c r="I50" s="267" t="s">
        <v>159</v>
      </c>
      <c r="J50" s="274">
        <v>0</v>
      </c>
      <c r="K50" s="269">
        <v>8923.5999999999985</v>
      </c>
      <c r="L50" s="463">
        <f t="shared" ref="L50:L55" si="7">J50+K50</f>
        <v>8923.5999999999985</v>
      </c>
      <c r="M50" s="239"/>
      <c r="N50" s="401">
        <f t="shared" si="2"/>
        <v>47924531.70000001</v>
      </c>
      <c r="O50" s="239"/>
      <c r="P50" s="239"/>
      <c r="R50" s="401">
        <f t="shared" si="3"/>
        <v>1076.4000000000015</v>
      </c>
      <c r="T50" s="458"/>
    </row>
    <row r="51" spans="1:20" s="263" customFormat="1" ht="15" customHeight="1" x14ac:dyDescent="0.15">
      <c r="A51" s="271">
        <v>42</v>
      </c>
      <c r="B51" s="340" t="s">
        <v>494</v>
      </c>
      <c r="C51" s="212" t="s">
        <v>1166</v>
      </c>
      <c r="D51" s="213" t="s">
        <v>161</v>
      </c>
      <c r="E51" s="269">
        <v>66053.279999999999</v>
      </c>
      <c r="F51" s="269">
        <v>66053.279999999999</v>
      </c>
      <c r="G51" s="268">
        <v>42474</v>
      </c>
      <c r="H51" s="213" t="s">
        <v>160</v>
      </c>
      <c r="I51" s="443" t="s">
        <v>134</v>
      </c>
      <c r="J51" s="428">
        <v>0</v>
      </c>
      <c r="K51" s="429">
        <v>66053.279999999999</v>
      </c>
      <c r="L51" s="427">
        <f t="shared" si="7"/>
        <v>66053.279999999999</v>
      </c>
      <c r="M51" s="239"/>
      <c r="N51" s="401">
        <f t="shared" si="2"/>
        <v>47990584.980000012</v>
      </c>
      <c r="O51" s="239"/>
      <c r="P51" s="239"/>
      <c r="R51" s="401">
        <f t="shared" si="3"/>
        <v>0</v>
      </c>
      <c r="T51" s="458"/>
    </row>
    <row r="52" spans="1:20" s="263" customFormat="1" ht="15" customHeight="1" x14ac:dyDescent="0.15">
      <c r="A52" s="271">
        <v>43</v>
      </c>
      <c r="B52" s="340" t="s">
        <v>473</v>
      </c>
      <c r="C52" s="212" t="s">
        <v>915</v>
      </c>
      <c r="D52" s="213" t="s">
        <v>161</v>
      </c>
      <c r="E52" s="269">
        <v>80000</v>
      </c>
      <c r="F52" s="269">
        <v>66369.919999999998</v>
      </c>
      <c r="G52" s="268">
        <v>42474</v>
      </c>
      <c r="H52" s="213" t="s">
        <v>160</v>
      </c>
      <c r="I52" s="443" t="s">
        <v>134</v>
      </c>
      <c r="J52" s="428">
        <v>0</v>
      </c>
      <c r="K52" s="429">
        <v>66369.919999999998</v>
      </c>
      <c r="L52" s="427">
        <f t="shared" si="7"/>
        <v>66369.919999999998</v>
      </c>
      <c r="M52" s="239"/>
      <c r="N52" s="401">
        <f t="shared" si="2"/>
        <v>48070584.980000012</v>
      </c>
      <c r="O52" s="239"/>
      <c r="P52" s="239"/>
      <c r="R52" s="401">
        <f t="shared" si="3"/>
        <v>0</v>
      </c>
      <c r="T52" s="458">
        <f t="shared" ref="T52:T54" si="8">S52-R52</f>
        <v>0</v>
      </c>
    </row>
    <row r="53" spans="1:20" s="263" customFormat="1" ht="15" customHeight="1" x14ac:dyDescent="0.15">
      <c r="A53" s="271">
        <v>44</v>
      </c>
      <c r="B53" s="340" t="s">
        <v>966</v>
      </c>
      <c r="C53" s="212" t="s">
        <v>916</v>
      </c>
      <c r="D53" s="213" t="s">
        <v>161</v>
      </c>
      <c r="E53" s="269">
        <v>122491.4</v>
      </c>
      <c r="F53" s="269">
        <v>101151.91</v>
      </c>
      <c r="G53" s="268">
        <v>42474</v>
      </c>
      <c r="H53" s="213" t="s">
        <v>160</v>
      </c>
      <c r="I53" s="267" t="s">
        <v>159</v>
      </c>
      <c r="J53" s="274">
        <v>0</v>
      </c>
      <c r="K53" s="269">
        <v>101151.91</v>
      </c>
      <c r="L53" s="463">
        <f t="shared" si="7"/>
        <v>101151.91</v>
      </c>
      <c r="M53" s="239"/>
      <c r="N53" s="401">
        <f t="shared" si="2"/>
        <v>48193076.38000001</v>
      </c>
      <c r="O53" s="239"/>
      <c r="P53" s="239"/>
      <c r="R53" s="401">
        <f>F53-L53</f>
        <v>0</v>
      </c>
      <c r="T53" s="458"/>
    </row>
    <row r="54" spans="1:20" s="263" customFormat="1" ht="15" customHeight="1" x14ac:dyDescent="0.15">
      <c r="A54" s="271">
        <v>45</v>
      </c>
      <c r="B54" s="340" t="s">
        <v>571</v>
      </c>
      <c r="C54" s="212" t="s">
        <v>917</v>
      </c>
      <c r="D54" s="213" t="s">
        <v>161</v>
      </c>
      <c r="E54" s="269">
        <v>54750.6</v>
      </c>
      <c r="F54" s="269">
        <v>32090.76</v>
      </c>
      <c r="G54" s="268">
        <v>42474</v>
      </c>
      <c r="H54" s="213" t="s">
        <v>160</v>
      </c>
      <c r="I54" s="443" t="s">
        <v>134</v>
      </c>
      <c r="J54" s="428">
        <v>0</v>
      </c>
      <c r="K54" s="429">
        <v>32090.760000000002</v>
      </c>
      <c r="L54" s="427">
        <f t="shared" si="7"/>
        <v>32090.760000000002</v>
      </c>
      <c r="M54" s="239"/>
      <c r="N54" s="401">
        <f t="shared" si="2"/>
        <v>48247826.980000012</v>
      </c>
      <c r="O54" s="239"/>
      <c r="P54" s="239"/>
      <c r="R54" s="401">
        <f>F54-L54</f>
        <v>0</v>
      </c>
      <c r="S54" s="263">
        <v>8670.08</v>
      </c>
      <c r="T54" s="458">
        <f t="shared" si="8"/>
        <v>8670.08</v>
      </c>
    </row>
    <row r="55" spans="1:20" s="263" customFormat="1" ht="15" customHeight="1" x14ac:dyDescent="0.15">
      <c r="A55" s="271">
        <v>46</v>
      </c>
      <c r="B55" s="340" t="s">
        <v>494</v>
      </c>
      <c r="C55" s="212" t="s">
        <v>1167</v>
      </c>
      <c r="D55" s="213" t="s">
        <v>161</v>
      </c>
      <c r="E55" s="269">
        <v>155239.62</v>
      </c>
      <c r="F55" s="269">
        <v>155239.62</v>
      </c>
      <c r="G55" s="268">
        <v>42482</v>
      </c>
      <c r="H55" s="213" t="s">
        <v>160</v>
      </c>
      <c r="I55" s="443" t="s">
        <v>134</v>
      </c>
      <c r="J55" s="428">
        <v>0</v>
      </c>
      <c r="K55" s="429">
        <v>155239.62</v>
      </c>
      <c r="L55" s="427">
        <f t="shared" si="7"/>
        <v>155239.62</v>
      </c>
      <c r="M55" s="239"/>
      <c r="N55" s="401">
        <f t="shared" ref="N55:N57" si="9">E55+N54</f>
        <v>48403066.600000009</v>
      </c>
      <c r="O55" s="239"/>
      <c r="P55" s="239"/>
      <c r="R55" s="401">
        <f t="shared" ref="R55" si="10">F55-L55</f>
        <v>0</v>
      </c>
      <c r="T55" s="458"/>
    </row>
    <row r="56" spans="1:20" s="263" customFormat="1" ht="15" customHeight="1" x14ac:dyDescent="0.15">
      <c r="A56" s="271">
        <v>47</v>
      </c>
      <c r="B56" s="340" t="s">
        <v>964</v>
      </c>
      <c r="C56" s="212" t="s">
        <v>965</v>
      </c>
      <c r="D56" s="208" t="s">
        <v>161</v>
      </c>
      <c r="E56" s="269">
        <v>62260</v>
      </c>
      <c r="F56" s="269">
        <v>62260</v>
      </c>
      <c r="G56" s="268">
        <v>42482</v>
      </c>
      <c r="H56" s="213" t="s">
        <v>160</v>
      </c>
      <c r="I56" s="443" t="s">
        <v>134</v>
      </c>
      <c r="J56" s="428">
        <v>0</v>
      </c>
      <c r="K56" s="429">
        <v>62260</v>
      </c>
      <c r="L56" s="427">
        <f t="shared" ref="L56:L58" si="11">J56+K56</f>
        <v>62260</v>
      </c>
      <c r="M56" s="239"/>
      <c r="N56" s="401">
        <f t="shared" si="9"/>
        <v>48465326.600000009</v>
      </c>
      <c r="O56" s="239"/>
      <c r="P56" s="239"/>
      <c r="R56" s="401">
        <f t="shared" ref="R56:R68" si="12">F56-L56</f>
        <v>0</v>
      </c>
      <c r="T56" s="458"/>
    </row>
    <row r="57" spans="1:20" s="263" customFormat="1" ht="15" customHeight="1" x14ac:dyDescent="0.15">
      <c r="A57" s="271">
        <v>48</v>
      </c>
      <c r="B57" s="340" t="s">
        <v>507</v>
      </c>
      <c r="C57" s="212" t="s">
        <v>1143</v>
      </c>
      <c r="D57" s="208" t="s">
        <v>161</v>
      </c>
      <c r="E57" s="269">
        <v>169946.08</v>
      </c>
      <c r="F57" s="269">
        <v>169946.08</v>
      </c>
      <c r="G57" s="268">
        <v>42482</v>
      </c>
      <c r="H57" s="213" t="s">
        <v>160</v>
      </c>
      <c r="I57" s="443" t="s">
        <v>134</v>
      </c>
      <c r="J57" s="428">
        <v>0</v>
      </c>
      <c r="K57" s="429">
        <v>169946.08</v>
      </c>
      <c r="L57" s="427">
        <f t="shared" si="11"/>
        <v>169946.08</v>
      </c>
      <c r="M57" s="239"/>
      <c r="N57" s="401">
        <f t="shared" si="9"/>
        <v>48635272.680000007</v>
      </c>
      <c r="O57" s="239"/>
      <c r="P57" s="239"/>
      <c r="R57" s="401">
        <f t="shared" si="12"/>
        <v>0</v>
      </c>
      <c r="T57" s="458"/>
    </row>
    <row r="58" spans="1:20" s="263" customFormat="1" ht="15" customHeight="1" x14ac:dyDescent="0.15">
      <c r="A58" s="271">
        <v>49</v>
      </c>
      <c r="B58" s="340" t="s">
        <v>494</v>
      </c>
      <c r="C58" s="212" t="s">
        <v>1168</v>
      </c>
      <c r="D58" s="213" t="s">
        <v>161</v>
      </c>
      <c r="E58" s="269">
        <v>95648.31</v>
      </c>
      <c r="F58" s="269">
        <v>95648.31</v>
      </c>
      <c r="G58" s="268">
        <v>42501</v>
      </c>
      <c r="H58" s="213" t="s">
        <v>160</v>
      </c>
      <c r="I58" s="443" t="s">
        <v>134</v>
      </c>
      <c r="J58" s="428">
        <v>0</v>
      </c>
      <c r="K58" s="429">
        <v>95648.31</v>
      </c>
      <c r="L58" s="427">
        <f t="shared" si="11"/>
        <v>95648.31</v>
      </c>
      <c r="M58" s="239"/>
      <c r="N58" s="401">
        <f t="shared" si="2"/>
        <v>48730920.99000001</v>
      </c>
      <c r="O58" s="239"/>
      <c r="P58" s="239"/>
      <c r="R58" s="401">
        <f t="shared" si="12"/>
        <v>0</v>
      </c>
      <c r="T58" s="458"/>
    </row>
    <row r="59" spans="1:20" s="263" customFormat="1" ht="15" customHeight="1" x14ac:dyDescent="0.15">
      <c r="A59" s="271">
        <v>50</v>
      </c>
      <c r="B59" s="340" t="s">
        <v>506</v>
      </c>
      <c r="C59" s="212" t="s">
        <v>1009</v>
      </c>
      <c r="D59" s="213" t="s">
        <v>161</v>
      </c>
      <c r="E59" s="269">
        <v>5040</v>
      </c>
      <c r="F59" s="269">
        <v>5040</v>
      </c>
      <c r="G59" s="268">
        <v>42501</v>
      </c>
      <c r="H59" s="213" t="s">
        <v>160</v>
      </c>
      <c r="I59" s="443" t="s">
        <v>134</v>
      </c>
      <c r="J59" s="428">
        <v>0</v>
      </c>
      <c r="K59" s="429">
        <v>5040</v>
      </c>
      <c r="L59" s="427">
        <f t="shared" ref="L59:L65" si="13">J59+K59</f>
        <v>5040</v>
      </c>
      <c r="M59" s="239"/>
      <c r="N59" s="401">
        <f t="shared" ref="N59:N68" si="14">E59+N58</f>
        <v>48735960.99000001</v>
      </c>
      <c r="O59" s="239"/>
      <c r="P59" s="239"/>
      <c r="R59" s="401">
        <f t="shared" si="12"/>
        <v>0</v>
      </c>
      <c r="T59" s="458"/>
    </row>
    <row r="60" spans="1:20" s="263" customFormat="1" ht="15" customHeight="1" x14ac:dyDescent="0.15">
      <c r="A60" s="271">
        <v>51</v>
      </c>
      <c r="B60" s="340" t="s">
        <v>658</v>
      </c>
      <c r="C60" s="400" t="s">
        <v>1010</v>
      </c>
      <c r="D60" s="213" t="s">
        <v>161</v>
      </c>
      <c r="E60" s="269">
        <v>143330.98000000001</v>
      </c>
      <c r="F60" s="269">
        <v>143330.98000000001</v>
      </c>
      <c r="G60" s="268">
        <v>42501</v>
      </c>
      <c r="H60" s="213" t="s">
        <v>160</v>
      </c>
      <c r="I60" s="443" t="s">
        <v>134</v>
      </c>
      <c r="J60" s="428">
        <v>0</v>
      </c>
      <c r="K60" s="429">
        <v>143330.98000000001</v>
      </c>
      <c r="L60" s="427">
        <f t="shared" si="13"/>
        <v>143330.98000000001</v>
      </c>
      <c r="M60" s="239"/>
      <c r="N60" s="401">
        <f t="shared" si="14"/>
        <v>48879291.970000006</v>
      </c>
      <c r="O60" s="239"/>
      <c r="P60" s="239"/>
      <c r="R60" s="401">
        <f t="shared" si="12"/>
        <v>0</v>
      </c>
      <c r="T60" s="458"/>
    </row>
    <row r="61" spans="1:20" s="263" customFormat="1" ht="15" customHeight="1" x14ac:dyDescent="0.15">
      <c r="A61" s="271">
        <v>52</v>
      </c>
      <c r="B61" s="340" t="s">
        <v>1044</v>
      </c>
      <c r="C61" s="212" t="s">
        <v>1045</v>
      </c>
      <c r="D61" s="213" t="s">
        <v>161</v>
      </c>
      <c r="E61" s="269">
        <v>366773.29</v>
      </c>
      <c r="F61" s="269">
        <v>366773.29</v>
      </c>
      <c r="G61" s="268"/>
      <c r="H61" s="208"/>
      <c r="I61" s="267" t="s">
        <v>134</v>
      </c>
      <c r="J61" s="274">
        <v>325639.92</v>
      </c>
      <c r="K61" s="269">
        <v>0</v>
      </c>
      <c r="L61" s="272">
        <f t="shared" si="13"/>
        <v>325639.92</v>
      </c>
      <c r="M61" s="239"/>
      <c r="N61" s="401">
        <f t="shared" si="14"/>
        <v>49246065.260000005</v>
      </c>
      <c r="O61" s="239"/>
      <c r="P61" s="239"/>
      <c r="R61" s="401">
        <f t="shared" si="12"/>
        <v>41133.369999999995</v>
      </c>
      <c r="T61" s="458"/>
    </row>
    <row r="62" spans="1:20" s="263" customFormat="1" ht="15" customHeight="1" x14ac:dyDescent="0.15">
      <c r="A62" s="271">
        <v>53</v>
      </c>
      <c r="B62" s="340" t="s">
        <v>803</v>
      </c>
      <c r="C62" s="212" t="s">
        <v>1053</v>
      </c>
      <c r="D62" s="213" t="s">
        <v>161</v>
      </c>
      <c r="E62" s="269">
        <v>13198.84</v>
      </c>
      <c r="F62" s="269">
        <v>13198.84</v>
      </c>
      <c r="G62" s="268"/>
      <c r="H62" s="208"/>
      <c r="I62" s="267" t="s">
        <v>134</v>
      </c>
      <c r="J62" s="274">
        <v>13198.84</v>
      </c>
      <c r="K62" s="269">
        <v>0</v>
      </c>
      <c r="L62" s="272">
        <f t="shared" ref="L62:L64" si="15">J62+K62</f>
        <v>13198.84</v>
      </c>
      <c r="M62" s="239"/>
      <c r="N62" s="401">
        <f t="shared" si="14"/>
        <v>49259264.100000009</v>
      </c>
      <c r="O62" s="239"/>
      <c r="P62" s="239"/>
      <c r="R62" s="401">
        <f t="shared" si="12"/>
        <v>0</v>
      </c>
      <c r="T62" s="458"/>
    </row>
    <row r="63" spans="1:20" s="263" customFormat="1" ht="15" customHeight="1" x14ac:dyDescent="0.15">
      <c r="A63" s="271">
        <v>54</v>
      </c>
      <c r="B63" s="340" t="s">
        <v>1055</v>
      </c>
      <c r="C63" s="212" t="s">
        <v>1056</v>
      </c>
      <c r="D63" s="208" t="s">
        <v>161</v>
      </c>
      <c r="E63" s="269">
        <v>100000</v>
      </c>
      <c r="F63" s="269">
        <v>100000</v>
      </c>
      <c r="G63" s="268"/>
      <c r="H63" s="208"/>
      <c r="I63" s="267" t="s">
        <v>159</v>
      </c>
      <c r="J63" s="274">
        <v>5195.45</v>
      </c>
      <c r="K63" s="269">
        <v>0</v>
      </c>
      <c r="L63" s="272">
        <f t="shared" si="15"/>
        <v>5195.45</v>
      </c>
      <c r="M63" s="239"/>
      <c r="N63" s="401">
        <f t="shared" si="14"/>
        <v>49359264.100000009</v>
      </c>
      <c r="P63" s="239"/>
      <c r="R63" s="401">
        <f t="shared" si="12"/>
        <v>94804.55</v>
      </c>
      <c r="T63" s="458"/>
    </row>
    <row r="64" spans="1:20" s="263" customFormat="1" ht="15" customHeight="1" x14ac:dyDescent="0.15">
      <c r="A64" s="271">
        <v>55</v>
      </c>
      <c r="B64" s="340" t="s">
        <v>1062</v>
      </c>
      <c r="C64" s="212" t="s">
        <v>1063</v>
      </c>
      <c r="D64" s="208" t="s">
        <v>161</v>
      </c>
      <c r="E64" s="269">
        <v>69770.039999999994</v>
      </c>
      <c r="F64" s="269">
        <v>69770.039999999994</v>
      </c>
      <c r="G64" s="268"/>
      <c r="H64" s="208"/>
      <c r="I64" s="267" t="s">
        <v>134</v>
      </c>
      <c r="J64" s="274">
        <v>69770.039999999994</v>
      </c>
      <c r="K64" s="269">
        <v>0</v>
      </c>
      <c r="L64" s="272">
        <f t="shared" si="15"/>
        <v>69770.039999999994</v>
      </c>
      <c r="M64" s="239"/>
      <c r="N64" s="401">
        <f t="shared" si="14"/>
        <v>49429034.140000008</v>
      </c>
      <c r="O64" s="239"/>
      <c r="P64" s="239"/>
      <c r="R64" s="401">
        <f t="shared" si="12"/>
        <v>0</v>
      </c>
      <c r="T64" s="458"/>
    </row>
    <row r="65" spans="1:20" s="263" customFormat="1" ht="15" customHeight="1" x14ac:dyDescent="0.15">
      <c r="A65" s="271">
        <v>56</v>
      </c>
      <c r="B65" s="340" t="s">
        <v>494</v>
      </c>
      <c r="C65" s="212" t="s">
        <v>1169</v>
      </c>
      <c r="D65" s="208" t="s">
        <v>161</v>
      </c>
      <c r="E65" s="269">
        <v>125158.18</v>
      </c>
      <c r="F65" s="269">
        <v>125158.18</v>
      </c>
      <c r="G65" s="268"/>
      <c r="H65" s="208"/>
      <c r="I65" s="267" t="s">
        <v>134</v>
      </c>
      <c r="J65" s="274">
        <v>125158.18</v>
      </c>
      <c r="K65" s="269">
        <v>0</v>
      </c>
      <c r="L65" s="272">
        <f t="shared" si="13"/>
        <v>125158.18</v>
      </c>
      <c r="M65" s="239"/>
      <c r="N65" s="401">
        <f t="shared" si="14"/>
        <v>49554192.320000008</v>
      </c>
      <c r="O65" s="239"/>
      <c r="P65" s="239"/>
      <c r="R65" s="401">
        <f t="shared" si="12"/>
        <v>0</v>
      </c>
      <c r="T65" s="458"/>
    </row>
    <row r="66" spans="1:20" s="263" customFormat="1" ht="15" customHeight="1" x14ac:dyDescent="0.15">
      <c r="A66" s="271">
        <v>57</v>
      </c>
      <c r="B66" s="340" t="s">
        <v>1078</v>
      </c>
      <c r="C66" s="212" t="s">
        <v>1021</v>
      </c>
      <c r="D66" s="208" t="s">
        <v>161</v>
      </c>
      <c r="E66" s="269">
        <v>55529.82</v>
      </c>
      <c r="F66" s="269">
        <v>55529.82</v>
      </c>
      <c r="G66" s="268"/>
      <c r="H66" s="208"/>
      <c r="I66" s="267"/>
      <c r="J66" s="274">
        <v>0</v>
      </c>
      <c r="K66" s="269">
        <v>0</v>
      </c>
      <c r="L66" s="272">
        <f>J66+K66</f>
        <v>0</v>
      </c>
      <c r="M66" s="239"/>
      <c r="N66" s="401">
        <f t="shared" si="14"/>
        <v>49609722.140000008</v>
      </c>
      <c r="O66" s="239"/>
      <c r="P66" s="239"/>
      <c r="R66" s="401">
        <f>F66-L66</f>
        <v>55529.82</v>
      </c>
      <c r="T66" s="458"/>
    </row>
    <row r="67" spans="1:20" s="263" customFormat="1" ht="15" customHeight="1" x14ac:dyDescent="0.15">
      <c r="A67" s="271">
        <v>58</v>
      </c>
      <c r="B67" s="340" t="s">
        <v>1077</v>
      </c>
      <c r="C67" s="212" t="s">
        <v>667</v>
      </c>
      <c r="D67" s="208" t="s">
        <v>161</v>
      </c>
      <c r="E67" s="269">
        <v>155203.98000000001</v>
      </c>
      <c r="F67" s="269">
        <v>155203.98000000001</v>
      </c>
      <c r="G67" s="268"/>
      <c r="H67" s="208"/>
      <c r="I67" s="267"/>
      <c r="J67" s="274">
        <v>0</v>
      </c>
      <c r="K67" s="269">
        <v>0</v>
      </c>
      <c r="L67" s="272">
        <f>J67+K67</f>
        <v>0</v>
      </c>
      <c r="M67" s="239"/>
      <c r="N67" s="401">
        <f t="shared" si="14"/>
        <v>49764926.120000005</v>
      </c>
      <c r="O67" s="239"/>
      <c r="P67" s="239"/>
      <c r="R67" s="401">
        <f>F67-L67</f>
        <v>155203.98000000001</v>
      </c>
      <c r="T67" s="458"/>
    </row>
    <row r="68" spans="1:20" s="263" customFormat="1" ht="15" customHeight="1" thickBot="1" x14ac:dyDescent="0.2">
      <c r="A68" s="271">
        <v>59</v>
      </c>
      <c r="B68" s="340"/>
      <c r="C68" s="212"/>
      <c r="D68" s="208"/>
      <c r="E68" s="269">
        <v>0</v>
      </c>
      <c r="F68" s="269">
        <v>0</v>
      </c>
      <c r="G68" s="268"/>
      <c r="H68" s="208"/>
      <c r="I68" s="267"/>
      <c r="J68" s="266">
        <v>0</v>
      </c>
      <c r="K68" s="265">
        <v>0</v>
      </c>
      <c r="L68" s="264">
        <f t="shared" si="0"/>
        <v>0</v>
      </c>
      <c r="M68" s="239"/>
      <c r="N68" s="401">
        <f t="shared" si="14"/>
        <v>49764926.120000005</v>
      </c>
      <c r="O68" s="239" t="s">
        <v>1046</v>
      </c>
      <c r="P68" s="239"/>
      <c r="R68" s="401">
        <f t="shared" si="12"/>
        <v>0</v>
      </c>
      <c r="T68" s="458"/>
    </row>
    <row r="69" spans="1:20" s="254" customFormat="1" ht="15" customHeight="1" thickBot="1" x14ac:dyDescent="0.2">
      <c r="A69" s="262"/>
      <c r="B69" s="341"/>
      <c r="C69" s="510" t="s">
        <v>158</v>
      </c>
      <c r="D69" s="511"/>
      <c r="E69" s="261">
        <f>SUM(E10:E68)</f>
        <v>9443642.75</v>
      </c>
      <c r="F69" s="261">
        <f>SUM(F10:F68)</f>
        <v>8990943.9000000004</v>
      </c>
      <c r="G69" s="260"/>
      <c r="H69" s="259"/>
      <c r="I69" s="258" t="s">
        <v>96</v>
      </c>
      <c r="J69" s="257">
        <f>SUM(J10:J68)</f>
        <v>547075.94999999995</v>
      </c>
      <c r="K69" s="256">
        <f>SUM(K10:K68)</f>
        <v>7939823.289963983</v>
      </c>
      <c r="L69" s="255">
        <f>SUM(L10:L68)</f>
        <v>8486899.2399639823</v>
      </c>
      <c r="M69" s="252"/>
      <c r="N69" s="252"/>
      <c r="O69" s="239"/>
      <c r="P69" s="252"/>
    </row>
    <row r="70" spans="1:20" ht="15" customHeight="1" thickTop="1" thickBot="1" x14ac:dyDescent="0.2">
      <c r="A70" s="251"/>
      <c r="B70" s="342"/>
      <c r="C70" s="249"/>
      <c r="D70" s="249"/>
      <c r="E70" s="249"/>
      <c r="F70" s="249"/>
      <c r="G70" s="248"/>
      <c r="H70" s="247"/>
      <c r="I70" s="246" t="s">
        <v>18</v>
      </c>
      <c r="J70" s="245">
        <f>SUM(J69:J69)</f>
        <v>547075.94999999995</v>
      </c>
      <c r="K70" s="244">
        <f>SUM(K69:K69)</f>
        <v>7939823.289963983</v>
      </c>
      <c r="L70" s="243">
        <f>SUM(L69:L69)</f>
        <v>8486899.2399639823</v>
      </c>
    </row>
    <row r="72" spans="1:20" x14ac:dyDescent="0.15">
      <c r="A72" s="242"/>
      <c r="B72" s="344"/>
      <c r="L72" s="241"/>
    </row>
  </sheetData>
  <mergeCells count="3">
    <mergeCell ref="D1:F1"/>
    <mergeCell ref="D2:F2"/>
    <mergeCell ref="C69:D69"/>
  </mergeCells>
  <phoneticPr fontId="26" type="noConversion"/>
  <pageMargins left="0.42" right="0.52" top="0.98425196850393704" bottom="0.98425196850393704" header="0.51181102362204722" footer="0.51181102362204722"/>
  <pageSetup scale="45" orientation="landscape"/>
  <extLst>
    <ext xmlns:mx="http://schemas.microsoft.com/office/mac/excel/2008/main" uri="{64002731-A6B0-56B0-2670-7721B7C09600}">
      <mx:PLV Mode="0" OnePage="0" WScale="63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CFFCC"/>
  </sheetPr>
  <dimension ref="A1:N508"/>
  <sheetViews>
    <sheetView topLeftCell="A468" workbookViewId="0">
      <selection activeCell="B478" sqref="B478"/>
    </sheetView>
  </sheetViews>
  <sheetFormatPr baseColWidth="10" defaultColWidth="8.83203125" defaultRowHeight="15" x14ac:dyDescent="0.2"/>
  <cols>
    <col min="1" max="1" width="6.1640625" customWidth="1"/>
    <col min="2" max="2" width="24.5" customWidth="1"/>
    <col min="3" max="4" width="8.83203125" customWidth="1"/>
    <col min="5" max="5" width="11.33203125" customWidth="1"/>
    <col min="6" max="8" width="9.33203125" customWidth="1"/>
    <col min="9" max="9" width="11.1640625" customWidth="1"/>
    <col min="10" max="10" width="11.5" customWidth="1"/>
    <col min="11" max="11" width="11.83203125" customWidth="1"/>
    <col min="14" max="14" width="9.83203125" bestFit="1" customWidth="1"/>
  </cols>
  <sheetData>
    <row r="1" spans="1:11" x14ac:dyDescent="0.2">
      <c r="A1" s="5" t="s">
        <v>73</v>
      </c>
    </row>
    <row r="6" spans="1:11" ht="16" x14ac:dyDescent="0.2">
      <c r="A6" s="192" t="s">
        <v>88</v>
      </c>
    </row>
    <row r="7" spans="1:11" x14ac:dyDescent="0.2">
      <c r="A7" s="5" t="s">
        <v>24</v>
      </c>
      <c r="B7" s="191" t="s">
        <v>90</v>
      </c>
    </row>
    <row r="9" spans="1:11" x14ac:dyDescent="0.2">
      <c r="A9" s="5" t="s">
        <v>1</v>
      </c>
      <c r="B9" s="5" t="s">
        <v>105</v>
      </c>
    </row>
    <row r="10" spans="1:11" ht="16.5" customHeight="1" x14ac:dyDescent="0.2">
      <c r="A10" s="49"/>
      <c r="I10" s="2" t="s">
        <v>11</v>
      </c>
      <c r="J10" s="487">
        <v>42323</v>
      </c>
      <c r="K10" s="487"/>
    </row>
    <row r="11" spans="1:11" s="58" customFormat="1" ht="23.25" customHeight="1" x14ac:dyDescent="0.15">
      <c r="A11" s="50"/>
      <c r="B11" s="51"/>
      <c r="C11" s="52">
        <v>69435</v>
      </c>
      <c r="D11" s="53" t="s">
        <v>35</v>
      </c>
      <c r="E11" s="54">
        <v>12.443004248499999</v>
      </c>
      <c r="F11" s="55" t="s">
        <v>36</v>
      </c>
      <c r="G11" s="55" t="s">
        <v>27</v>
      </c>
      <c r="H11" s="55" t="s">
        <v>37</v>
      </c>
      <c r="I11" s="56" t="s">
        <v>38</v>
      </c>
      <c r="J11" s="56" t="s">
        <v>39</v>
      </c>
      <c r="K11" s="57" t="s">
        <v>40</v>
      </c>
    </row>
    <row r="12" spans="1:11" ht="13.5" customHeight="1" x14ac:dyDescent="0.2">
      <c r="A12" s="59" t="s">
        <v>84</v>
      </c>
      <c r="B12" s="60" t="s">
        <v>74</v>
      </c>
      <c r="C12" s="61" t="s">
        <v>6</v>
      </c>
      <c r="D12" s="62">
        <v>0.02</v>
      </c>
      <c r="E12" s="63">
        <f>$E$11*D12</f>
        <v>0.24886008497000001</v>
      </c>
      <c r="F12" s="317">
        <f t="shared" ref="F12:F25" si="0">G12+H12</f>
        <v>34718</v>
      </c>
      <c r="G12" s="64"/>
      <c r="H12" s="64">
        <v>34718</v>
      </c>
      <c r="I12" s="168">
        <f>H12*E12</f>
        <v>8639.9244299884595</v>
      </c>
      <c r="J12" s="169">
        <f t="shared" ref="J12:J25" si="1">G12*E12</f>
        <v>0</v>
      </c>
      <c r="K12" s="170">
        <f t="shared" ref="K12:K25" si="2">SUM(I12:J12)</f>
        <v>8639.9244299884595</v>
      </c>
    </row>
    <row r="13" spans="1:11" ht="13.5" customHeight="1" x14ac:dyDescent="0.2">
      <c r="A13" s="65"/>
      <c r="B13" s="156" t="s">
        <v>75</v>
      </c>
      <c r="C13" s="71" t="s">
        <v>6</v>
      </c>
      <c r="D13" s="68">
        <v>0.08</v>
      </c>
      <c r="E13" s="69">
        <f>$E$11*D13</f>
        <v>0.99544033988000002</v>
      </c>
      <c r="F13" s="318">
        <f t="shared" si="0"/>
        <v>0</v>
      </c>
      <c r="G13" s="70"/>
      <c r="H13" s="70"/>
      <c r="I13" s="171">
        <f>H13*E13</f>
        <v>0</v>
      </c>
      <c r="J13" s="172">
        <f t="shared" si="1"/>
        <v>0</v>
      </c>
      <c r="K13" s="173">
        <f t="shared" si="2"/>
        <v>0</v>
      </c>
    </row>
    <row r="14" spans="1:11" ht="13.5" customHeight="1" x14ac:dyDescent="0.2">
      <c r="A14" s="65"/>
      <c r="B14" s="66" t="s">
        <v>217</v>
      </c>
      <c r="C14" s="67" t="s">
        <v>6</v>
      </c>
      <c r="D14" s="68">
        <v>7.0000000000000007E-2</v>
      </c>
      <c r="E14" s="69">
        <f>$E$11*D14</f>
        <v>0.87101029739500002</v>
      </c>
      <c r="F14" s="318">
        <f t="shared" si="0"/>
        <v>0</v>
      </c>
      <c r="G14" s="70"/>
      <c r="H14" s="70"/>
      <c r="I14" s="171">
        <f t="shared" ref="I14:I25" si="3">H14*E14</f>
        <v>0</v>
      </c>
      <c r="J14" s="172">
        <f t="shared" si="1"/>
        <v>0</v>
      </c>
      <c r="K14" s="173">
        <f t="shared" si="2"/>
        <v>0</v>
      </c>
    </row>
    <row r="15" spans="1:11" ht="13.5" customHeight="1" x14ac:dyDescent="0.2">
      <c r="A15" s="65"/>
      <c r="B15" s="66" t="s">
        <v>41</v>
      </c>
      <c r="C15" s="67" t="s">
        <v>6</v>
      </c>
      <c r="D15" s="68">
        <v>7.0000000000000007E-2</v>
      </c>
      <c r="E15" s="69">
        <f t="shared" ref="E15:E25" si="4">$E$11*D15</f>
        <v>0.87101029739500002</v>
      </c>
      <c r="F15" s="318">
        <f t="shared" si="0"/>
        <v>0</v>
      </c>
      <c r="G15" s="70"/>
      <c r="H15" s="70"/>
      <c r="I15" s="171">
        <f t="shared" si="3"/>
        <v>0</v>
      </c>
      <c r="J15" s="172">
        <f t="shared" si="1"/>
        <v>0</v>
      </c>
      <c r="K15" s="173">
        <f t="shared" si="2"/>
        <v>0</v>
      </c>
    </row>
    <row r="16" spans="1:11" ht="13.5" customHeight="1" x14ac:dyDescent="0.2">
      <c r="A16" s="65"/>
      <c r="B16" s="66" t="s">
        <v>42</v>
      </c>
      <c r="C16" s="67" t="s">
        <v>6</v>
      </c>
      <c r="D16" s="68">
        <v>0.17</v>
      </c>
      <c r="E16" s="69">
        <f t="shared" si="4"/>
        <v>2.1153107222450003</v>
      </c>
      <c r="F16" s="318">
        <f t="shared" si="0"/>
        <v>0</v>
      </c>
      <c r="G16" s="70"/>
      <c r="H16" s="70"/>
      <c r="I16" s="171">
        <f t="shared" si="3"/>
        <v>0</v>
      </c>
      <c r="J16" s="172">
        <f t="shared" si="1"/>
        <v>0</v>
      </c>
      <c r="K16" s="173">
        <f t="shared" si="2"/>
        <v>0</v>
      </c>
    </row>
    <row r="17" spans="1:11" ht="13.5" customHeight="1" x14ac:dyDescent="0.2">
      <c r="A17" s="65"/>
      <c r="B17" s="66" t="s">
        <v>76</v>
      </c>
      <c r="C17" s="67" t="s">
        <v>6</v>
      </c>
      <c r="D17" s="68">
        <v>0.08</v>
      </c>
      <c r="E17" s="69">
        <f t="shared" si="4"/>
        <v>0.99544033988000002</v>
      </c>
      <c r="F17" s="318">
        <f t="shared" si="0"/>
        <v>0</v>
      </c>
      <c r="G17" s="70"/>
      <c r="H17" s="70"/>
      <c r="I17" s="171">
        <f t="shared" si="3"/>
        <v>0</v>
      </c>
      <c r="J17" s="172">
        <f t="shared" si="1"/>
        <v>0</v>
      </c>
      <c r="K17" s="173">
        <f t="shared" si="2"/>
        <v>0</v>
      </c>
    </row>
    <row r="18" spans="1:11" ht="13.5" customHeight="1" x14ac:dyDescent="0.2">
      <c r="A18" s="65"/>
      <c r="B18" s="66" t="s">
        <v>77</v>
      </c>
      <c r="C18" s="67" t="s">
        <v>6</v>
      </c>
      <c r="D18" s="68">
        <v>7.0000000000000007E-2</v>
      </c>
      <c r="E18" s="69">
        <f t="shared" si="4"/>
        <v>0.87101029739500002</v>
      </c>
      <c r="F18" s="318">
        <f t="shared" si="0"/>
        <v>0</v>
      </c>
      <c r="G18" s="70"/>
      <c r="H18" s="70"/>
      <c r="I18" s="171">
        <f t="shared" si="3"/>
        <v>0</v>
      </c>
      <c r="J18" s="172">
        <f t="shared" si="1"/>
        <v>0</v>
      </c>
      <c r="K18" s="173">
        <f t="shared" si="2"/>
        <v>0</v>
      </c>
    </row>
    <row r="19" spans="1:11" ht="13.5" customHeight="1" x14ac:dyDescent="0.2">
      <c r="A19" s="65"/>
      <c r="B19" s="66" t="s">
        <v>43</v>
      </c>
      <c r="C19" s="67" t="s">
        <v>6</v>
      </c>
      <c r="D19" s="68">
        <v>0.08</v>
      </c>
      <c r="E19" s="69">
        <f t="shared" si="4"/>
        <v>0.99544033988000002</v>
      </c>
      <c r="F19" s="318">
        <f t="shared" si="0"/>
        <v>0</v>
      </c>
      <c r="G19" s="70"/>
      <c r="H19" s="70"/>
      <c r="I19" s="171">
        <f>H19*E19</f>
        <v>0</v>
      </c>
      <c r="J19" s="172">
        <f>G19*E19</f>
        <v>0</v>
      </c>
      <c r="K19" s="173">
        <f>SUM(I19:J19)</f>
        <v>0</v>
      </c>
    </row>
    <row r="20" spans="1:11" ht="13.5" customHeight="1" x14ac:dyDescent="0.2">
      <c r="A20" s="65"/>
      <c r="B20" s="66" t="s">
        <v>78</v>
      </c>
      <c r="C20" s="67" t="s">
        <v>6</v>
      </c>
      <c r="D20" s="68">
        <v>7.0000000000000007E-2</v>
      </c>
      <c r="E20" s="69">
        <f t="shared" si="4"/>
        <v>0.87101029739500002</v>
      </c>
      <c r="F20" s="318">
        <f t="shared" si="0"/>
        <v>0</v>
      </c>
      <c r="G20" s="70"/>
      <c r="H20" s="70"/>
      <c r="I20" s="171">
        <f t="shared" si="3"/>
        <v>0</v>
      </c>
      <c r="J20" s="172">
        <f t="shared" si="1"/>
        <v>0</v>
      </c>
      <c r="K20" s="173">
        <f t="shared" si="2"/>
        <v>0</v>
      </c>
    </row>
    <row r="21" spans="1:11" ht="13.5" customHeight="1" x14ac:dyDescent="0.2">
      <c r="A21" s="65"/>
      <c r="B21" s="66" t="s">
        <v>44</v>
      </c>
      <c r="C21" s="67" t="s">
        <v>6</v>
      </c>
      <c r="D21" s="68">
        <v>7.0000000000000007E-2</v>
      </c>
      <c r="E21" s="69">
        <f t="shared" si="4"/>
        <v>0.87101029739500002</v>
      </c>
      <c r="F21" s="318">
        <f t="shared" si="0"/>
        <v>0</v>
      </c>
      <c r="G21" s="70"/>
      <c r="H21" s="70"/>
      <c r="I21" s="171">
        <f t="shared" si="3"/>
        <v>0</v>
      </c>
      <c r="J21" s="172">
        <f t="shared" si="1"/>
        <v>0</v>
      </c>
      <c r="K21" s="173">
        <f t="shared" si="2"/>
        <v>0</v>
      </c>
    </row>
    <row r="22" spans="1:11" ht="13.5" customHeight="1" x14ac:dyDescent="0.2">
      <c r="A22" s="65"/>
      <c r="B22" s="66" t="s">
        <v>79</v>
      </c>
      <c r="C22" s="67" t="s">
        <v>6</v>
      </c>
      <c r="D22" s="68">
        <v>0.05</v>
      </c>
      <c r="E22" s="69">
        <f t="shared" si="4"/>
        <v>0.62215021242500002</v>
      </c>
      <c r="F22" s="318">
        <f t="shared" si="0"/>
        <v>0</v>
      </c>
      <c r="G22" s="70"/>
      <c r="H22" s="70"/>
      <c r="I22" s="171">
        <f t="shared" si="3"/>
        <v>0</v>
      </c>
      <c r="J22" s="172">
        <f t="shared" si="1"/>
        <v>0</v>
      </c>
      <c r="K22" s="173">
        <f t="shared" si="2"/>
        <v>0</v>
      </c>
    </row>
    <row r="23" spans="1:11" ht="13.5" customHeight="1" x14ac:dyDescent="0.2">
      <c r="A23" s="65"/>
      <c r="B23" s="66" t="s">
        <v>80</v>
      </c>
      <c r="C23" s="71" t="s">
        <v>6</v>
      </c>
      <c r="D23" s="68">
        <v>0.09</v>
      </c>
      <c r="E23" s="69">
        <f t="shared" si="4"/>
        <v>1.1198703823649998</v>
      </c>
      <c r="F23" s="318">
        <f t="shared" si="0"/>
        <v>0</v>
      </c>
      <c r="G23" s="70"/>
      <c r="H23" s="70"/>
      <c r="I23" s="171">
        <f t="shared" si="3"/>
        <v>0</v>
      </c>
      <c r="J23" s="172">
        <f t="shared" si="1"/>
        <v>0</v>
      </c>
      <c r="K23" s="173">
        <f t="shared" si="2"/>
        <v>0</v>
      </c>
    </row>
    <row r="24" spans="1:11" ht="13.5" customHeight="1" x14ac:dyDescent="0.2">
      <c r="A24" s="65"/>
      <c r="B24" s="156" t="s">
        <v>81</v>
      </c>
      <c r="C24" s="71" t="s">
        <v>6</v>
      </c>
      <c r="D24" s="68">
        <v>0.02</v>
      </c>
      <c r="E24" s="69">
        <f>$E$11*D24</f>
        <v>0.24886008497000001</v>
      </c>
      <c r="F24" s="318">
        <f t="shared" si="0"/>
        <v>0</v>
      </c>
      <c r="G24" s="70"/>
      <c r="H24" s="70"/>
      <c r="I24" s="171">
        <f>H24*E24</f>
        <v>0</v>
      </c>
      <c r="J24" s="172">
        <f t="shared" si="1"/>
        <v>0</v>
      </c>
      <c r="K24" s="173">
        <f t="shared" si="2"/>
        <v>0</v>
      </c>
    </row>
    <row r="25" spans="1:11" ht="13.5" customHeight="1" thickBot="1" x14ac:dyDescent="0.25">
      <c r="A25" s="65"/>
      <c r="B25" s="66" t="s">
        <v>82</v>
      </c>
      <c r="C25" s="71" t="s">
        <v>6</v>
      </c>
      <c r="D25" s="68">
        <v>0.06</v>
      </c>
      <c r="E25" s="69">
        <f t="shared" si="4"/>
        <v>0.74658025490999991</v>
      </c>
      <c r="F25" s="318">
        <f t="shared" si="0"/>
        <v>0</v>
      </c>
      <c r="G25" s="70"/>
      <c r="H25" s="70"/>
      <c r="I25" s="171">
        <f t="shared" si="3"/>
        <v>0</v>
      </c>
      <c r="J25" s="172">
        <f t="shared" si="1"/>
        <v>0</v>
      </c>
      <c r="K25" s="173">
        <f t="shared" si="2"/>
        <v>0</v>
      </c>
    </row>
    <row r="26" spans="1:11" ht="13.5" customHeight="1" x14ac:dyDescent="0.2">
      <c r="A26" s="72"/>
      <c r="B26" s="73"/>
      <c r="C26" s="74"/>
      <c r="D26" s="75">
        <f>SUM(D12:D25)</f>
        <v>1</v>
      </c>
      <c r="E26" s="76">
        <f>SUM(E12:E25)</f>
        <v>12.443004248500001</v>
      </c>
      <c r="F26" s="77"/>
      <c r="G26" s="77"/>
      <c r="H26" s="78" t="s">
        <v>83</v>
      </c>
      <c r="I26" s="174">
        <f>SUM(I12:I25)</f>
        <v>8639.9244299884595</v>
      </c>
      <c r="J26" s="174">
        <f>SUM(J12:J25)</f>
        <v>0</v>
      </c>
      <c r="K26" s="175">
        <f>SUM(K12:K25)</f>
        <v>8639.9244299884595</v>
      </c>
    </row>
    <row r="27" spans="1:11" ht="9.75" customHeight="1" x14ac:dyDescent="0.2">
      <c r="A27" s="79"/>
      <c r="B27" s="80"/>
      <c r="C27" s="81"/>
      <c r="D27" s="82"/>
      <c r="E27" s="83"/>
      <c r="F27" s="84"/>
      <c r="G27" s="84"/>
      <c r="H27" s="85"/>
      <c r="I27" s="176"/>
      <c r="J27" s="176"/>
      <c r="K27" s="176"/>
    </row>
    <row r="28" spans="1:11" ht="11.25" customHeight="1" x14ac:dyDescent="0.2">
      <c r="D28" s="86"/>
      <c r="E28" s="87"/>
      <c r="F28" s="88"/>
      <c r="G28" s="88"/>
      <c r="H28" s="89"/>
      <c r="I28" s="177"/>
      <c r="J28" s="177"/>
      <c r="K28" s="177"/>
    </row>
    <row r="29" spans="1:11" ht="13.5" customHeight="1" x14ac:dyDescent="0.2">
      <c r="A29" s="4" t="s">
        <v>1082</v>
      </c>
      <c r="D29" s="90"/>
      <c r="E29" s="91"/>
      <c r="F29" s="92"/>
      <c r="G29" s="88"/>
      <c r="H29" s="89"/>
      <c r="I29" s="177"/>
      <c r="J29" s="177"/>
      <c r="K29" s="177"/>
    </row>
    <row r="30" spans="1:11" ht="13.5" customHeight="1" x14ac:dyDescent="0.2">
      <c r="A30" s="79"/>
      <c r="B30" s="80"/>
      <c r="C30" s="81"/>
      <c r="D30" s="82"/>
      <c r="E30" s="83"/>
      <c r="F30" s="93"/>
      <c r="G30" s="93"/>
      <c r="H30" s="94"/>
      <c r="I30" s="95"/>
      <c r="J30" s="95"/>
      <c r="K30" s="95"/>
    </row>
    <row r="31" spans="1:11" ht="13.5" customHeight="1" x14ac:dyDescent="0.2">
      <c r="A31" s="79"/>
      <c r="C31" s="81"/>
      <c r="D31" s="82"/>
      <c r="E31" s="83"/>
      <c r="F31" s="93"/>
      <c r="G31" s="93"/>
      <c r="I31" s="95"/>
      <c r="J31" s="95"/>
      <c r="K31" s="95"/>
    </row>
    <row r="32" spans="1:11" x14ac:dyDescent="0.2">
      <c r="A32" s="79"/>
      <c r="B32" s="80"/>
      <c r="C32" s="81"/>
      <c r="D32" s="82"/>
      <c r="E32" s="83"/>
      <c r="F32" s="93"/>
      <c r="G32" s="93"/>
      <c r="I32" s="488"/>
      <c r="J32" s="488"/>
      <c r="K32" s="488"/>
    </row>
    <row r="33" spans="1:11" x14ac:dyDescent="0.2">
      <c r="A33" s="79"/>
      <c r="B33" s="80"/>
      <c r="C33" s="81"/>
      <c r="D33" s="82"/>
      <c r="E33" s="83"/>
      <c r="F33" s="93"/>
      <c r="G33" s="93"/>
      <c r="H33" s="94"/>
      <c r="I33" s="489" t="s">
        <v>71</v>
      </c>
      <c r="J33" s="489"/>
      <c r="K33" s="489"/>
    </row>
    <row r="34" spans="1:11" ht="13.5" customHeight="1" x14ac:dyDescent="0.2">
      <c r="A34" s="79"/>
      <c r="C34" s="81"/>
      <c r="D34" s="82"/>
      <c r="E34" s="83"/>
      <c r="F34" s="93"/>
      <c r="G34" s="93"/>
      <c r="I34" s="95"/>
      <c r="J34" s="95"/>
      <c r="K34" s="95"/>
    </row>
    <row r="35" spans="1:11" x14ac:dyDescent="0.2">
      <c r="D35" s="82"/>
      <c r="E35" s="83"/>
      <c r="F35" s="93"/>
      <c r="I35" s="96"/>
      <c r="J35" s="96"/>
      <c r="K35" s="95"/>
    </row>
    <row r="37" spans="1:11" x14ac:dyDescent="0.2">
      <c r="A37" s="58"/>
      <c r="B37" s="58"/>
      <c r="C37" s="58"/>
      <c r="D37" s="315"/>
      <c r="E37" s="316"/>
      <c r="F37" s="93"/>
      <c r="G37" s="58"/>
      <c r="H37" s="515" t="s">
        <v>182</v>
      </c>
      <c r="I37" s="516"/>
      <c r="J37" s="515" t="s">
        <v>183</v>
      </c>
      <c r="K37" s="516"/>
    </row>
    <row r="38" spans="1:11" ht="14" customHeight="1" x14ac:dyDescent="0.2">
      <c r="A38" s="58"/>
      <c r="B38" s="58"/>
      <c r="C38" s="58"/>
      <c r="D38" s="315"/>
      <c r="E38" s="316"/>
      <c r="F38" s="93"/>
      <c r="G38" s="58"/>
      <c r="H38" s="512">
        <v>863980</v>
      </c>
      <c r="I38" s="513"/>
      <c r="J38" s="512">
        <f>K26</f>
        <v>8639.9244299884595</v>
      </c>
      <c r="K38" s="514"/>
    </row>
    <row r="41" spans="1:11" x14ac:dyDescent="0.2">
      <c r="A41" s="5" t="s">
        <v>73</v>
      </c>
    </row>
    <row r="46" spans="1:11" ht="16" x14ac:dyDescent="0.2">
      <c r="A46" s="192" t="s">
        <v>88</v>
      </c>
    </row>
    <row r="47" spans="1:11" x14ac:dyDescent="0.2">
      <c r="A47" s="5" t="s">
        <v>24</v>
      </c>
      <c r="B47" s="191" t="s">
        <v>90</v>
      </c>
    </row>
    <row r="49" spans="1:13" x14ac:dyDescent="0.2">
      <c r="A49" s="5" t="s">
        <v>1</v>
      </c>
      <c r="B49" s="5" t="s">
        <v>105</v>
      </c>
    </row>
    <row r="50" spans="1:13" ht="16.5" customHeight="1" x14ac:dyDescent="0.2">
      <c r="A50" s="49"/>
      <c r="I50" s="2" t="s">
        <v>11</v>
      </c>
      <c r="J50" s="487">
        <v>42338</v>
      </c>
      <c r="K50" s="487"/>
    </row>
    <row r="51" spans="1:13" s="58" customFormat="1" ht="23.25" customHeight="1" x14ac:dyDescent="0.15">
      <c r="A51" s="50"/>
      <c r="B51" s="51"/>
      <c r="C51" s="52">
        <v>69435</v>
      </c>
      <c r="D51" s="53" t="s">
        <v>35</v>
      </c>
      <c r="E51" s="54">
        <v>12.443004248499999</v>
      </c>
      <c r="F51" s="55" t="s">
        <v>36</v>
      </c>
      <c r="G51" s="55" t="s">
        <v>27</v>
      </c>
      <c r="H51" s="55" t="s">
        <v>37</v>
      </c>
      <c r="I51" s="56" t="s">
        <v>38</v>
      </c>
      <c r="J51" s="56" t="s">
        <v>39</v>
      </c>
      <c r="K51" s="57" t="s">
        <v>40</v>
      </c>
    </row>
    <row r="52" spans="1:13" ht="13.5" customHeight="1" x14ac:dyDescent="0.2">
      <c r="A52" s="59" t="s">
        <v>84</v>
      </c>
      <c r="B52" s="60" t="s">
        <v>74</v>
      </c>
      <c r="C52" s="61" t="s">
        <v>6</v>
      </c>
      <c r="D52" s="62">
        <v>0.02</v>
      </c>
      <c r="E52" s="63">
        <f>$E$51*D52</f>
        <v>0.24886008497000001</v>
      </c>
      <c r="F52" s="317">
        <f t="shared" ref="F52:F65" si="5">G52+H52</f>
        <v>69435</v>
      </c>
      <c r="G52" s="64">
        <v>34718</v>
      </c>
      <c r="H52" s="64">
        <v>34717</v>
      </c>
      <c r="I52" s="168">
        <f>H52*E52</f>
        <v>8639.6755699034911</v>
      </c>
      <c r="J52" s="169">
        <f t="shared" ref="J52:J65" si="6">G52*E52</f>
        <v>8639.9244299884595</v>
      </c>
      <c r="K52" s="170">
        <v>17279.599999999999</v>
      </c>
      <c r="M52" s="58"/>
    </row>
    <row r="53" spans="1:13" ht="13.5" customHeight="1" x14ac:dyDescent="0.2">
      <c r="A53" s="65"/>
      <c r="B53" s="156" t="s">
        <v>75</v>
      </c>
      <c r="C53" s="71" t="s">
        <v>6</v>
      </c>
      <c r="D53" s="68">
        <v>0.08</v>
      </c>
      <c r="E53" s="69">
        <f>$E$51*D53</f>
        <v>0.99544033988000002</v>
      </c>
      <c r="F53" s="318">
        <f t="shared" si="5"/>
        <v>5300</v>
      </c>
      <c r="G53" s="70"/>
      <c r="H53" s="70">
        <v>5300</v>
      </c>
      <c r="I53" s="171">
        <f>H53*E53</f>
        <v>5275.8338013640005</v>
      </c>
      <c r="J53" s="172">
        <f t="shared" si="6"/>
        <v>0</v>
      </c>
      <c r="K53" s="173">
        <v>5275.83</v>
      </c>
      <c r="M53" s="58"/>
    </row>
    <row r="54" spans="1:13" ht="13.5" customHeight="1" x14ac:dyDescent="0.2">
      <c r="A54" s="65"/>
      <c r="B54" s="66" t="s">
        <v>215</v>
      </c>
      <c r="C54" s="67" t="s">
        <v>6</v>
      </c>
      <c r="D54" s="68">
        <v>7.0000000000000007E-2</v>
      </c>
      <c r="E54" s="69">
        <f>$E$51*D54</f>
        <v>0.87101029739500002</v>
      </c>
      <c r="F54" s="318">
        <f t="shared" si="5"/>
        <v>400</v>
      </c>
      <c r="G54" s="70"/>
      <c r="H54" s="70">
        <v>400</v>
      </c>
      <c r="I54" s="171">
        <f t="shared" ref="I54:I65" si="7">H54*E54</f>
        <v>348.40411895800003</v>
      </c>
      <c r="J54" s="172">
        <f t="shared" si="6"/>
        <v>0</v>
      </c>
      <c r="K54" s="173">
        <v>348.4</v>
      </c>
      <c r="M54" s="58"/>
    </row>
    <row r="55" spans="1:13" ht="13.5" customHeight="1" x14ac:dyDescent="0.2">
      <c r="A55" s="65"/>
      <c r="B55" s="66" t="s">
        <v>41</v>
      </c>
      <c r="C55" s="67" t="s">
        <v>6</v>
      </c>
      <c r="D55" s="68">
        <v>7.0000000000000007E-2</v>
      </c>
      <c r="E55" s="69">
        <f t="shared" ref="E55:E65" si="8">$E$51*D55</f>
        <v>0.87101029739500002</v>
      </c>
      <c r="F55" s="318">
        <f t="shared" si="5"/>
        <v>0</v>
      </c>
      <c r="G55" s="70"/>
      <c r="H55" s="70"/>
      <c r="I55" s="171">
        <f t="shared" si="7"/>
        <v>0</v>
      </c>
      <c r="J55" s="172">
        <f t="shared" si="6"/>
        <v>0</v>
      </c>
      <c r="K55" s="173">
        <f t="shared" ref="K55:K65" si="9">SUM(I55:J55)</f>
        <v>0</v>
      </c>
      <c r="M55" s="58"/>
    </row>
    <row r="56" spans="1:13" ht="13.5" customHeight="1" x14ac:dyDescent="0.2">
      <c r="A56" s="65"/>
      <c r="B56" s="66" t="s">
        <v>42</v>
      </c>
      <c r="C56" s="67" t="s">
        <v>6</v>
      </c>
      <c r="D56" s="68">
        <v>0.17</v>
      </c>
      <c r="E56" s="69">
        <f t="shared" si="8"/>
        <v>2.1153107222450003</v>
      </c>
      <c r="F56" s="318">
        <f t="shared" si="5"/>
        <v>0</v>
      </c>
      <c r="G56" s="70"/>
      <c r="H56" s="70"/>
      <c r="I56" s="171">
        <f t="shared" si="7"/>
        <v>0</v>
      </c>
      <c r="J56" s="172">
        <f t="shared" si="6"/>
        <v>0</v>
      </c>
      <c r="K56" s="173">
        <f t="shared" si="9"/>
        <v>0</v>
      </c>
    </row>
    <row r="57" spans="1:13" ht="13.5" customHeight="1" x14ac:dyDescent="0.2">
      <c r="A57" s="65"/>
      <c r="B57" s="66" t="s">
        <v>76</v>
      </c>
      <c r="C57" s="67" t="s">
        <v>6</v>
      </c>
      <c r="D57" s="68">
        <v>0.08</v>
      </c>
      <c r="E57" s="69">
        <f t="shared" si="8"/>
        <v>0.99544033988000002</v>
      </c>
      <c r="F57" s="318">
        <f t="shared" si="5"/>
        <v>0</v>
      </c>
      <c r="G57" s="70"/>
      <c r="H57" s="70"/>
      <c r="I57" s="171">
        <f t="shared" si="7"/>
        <v>0</v>
      </c>
      <c r="J57" s="172">
        <f t="shared" si="6"/>
        <v>0</v>
      </c>
      <c r="K57" s="173">
        <f t="shared" si="9"/>
        <v>0</v>
      </c>
    </row>
    <row r="58" spans="1:13" ht="13.5" customHeight="1" x14ac:dyDescent="0.2">
      <c r="A58" s="65"/>
      <c r="B58" s="66" t="s">
        <v>77</v>
      </c>
      <c r="C58" s="67" t="s">
        <v>6</v>
      </c>
      <c r="D58" s="68">
        <v>7.0000000000000007E-2</v>
      </c>
      <c r="E58" s="69">
        <f t="shared" si="8"/>
        <v>0.87101029739500002</v>
      </c>
      <c r="F58" s="318">
        <f t="shared" si="5"/>
        <v>0</v>
      </c>
      <c r="G58" s="70"/>
      <c r="H58" s="70"/>
      <c r="I58" s="171">
        <f t="shared" si="7"/>
        <v>0</v>
      </c>
      <c r="J58" s="172">
        <f t="shared" si="6"/>
        <v>0</v>
      </c>
      <c r="K58" s="173">
        <f t="shared" si="9"/>
        <v>0</v>
      </c>
    </row>
    <row r="59" spans="1:13" ht="13.5" customHeight="1" x14ac:dyDescent="0.2">
      <c r="A59" s="65"/>
      <c r="B59" s="66" t="s">
        <v>43</v>
      </c>
      <c r="C59" s="67" t="s">
        <v>6</v>
      </c>
      <c r="D59" s="68">
        <v>0.08</v>
      </c>
      <c r="E59" s="69">
        <f t="shared" si="8"/>
        <v>0.99544033988000002</v>
      </c>
      <c r="F59" s="318">
        <f t="shared" si="5"/>
        <v>0</v>
      </c>
      <c r="G59" s="70"/>
      <c r="H59" s="70"/>
      <c r="I59" s="171">
        <f>H59*E59</f>
        <v>0</v>
      </c>
      <c r="J59" s="172">
        <f>G59*E59</f>
        <v>0</v>
      </c>
      <c r="K59" s="173">
        <f>SUM(I59:J59)</f>
        <v>0</v>
      </c>
    </row>
    <row r="60" spans="1:13" ht="13.5" customHeight="1" x14ac:dyDescent="0.2">
      <c r="A60" s="65"/>
      <c r="B60" s="66" t="s">
        <v>78</v>
      </c>
      <c r="C60" s="67" t="s">
        <v>6</v>
      </c>
      <c r="D60" s="68">
        <v>7.0000000000000007E-2</v>
      </c>
      <c r="E60" s="69">
        <f t="shared" si="8"/>
        <v>0.87101029739500002</v>
      </c>
      <c r="F60" s="318">
        <f t="shared" si="5"/>
        <v>0</v>
      </c>
      <c r="G60" s="70"/>
      <c r="H60" s="70"/>
      <c r="I60" s="171">
        <f t="shared" si="7"/>
        <v>0</v>
      </c>
      <c r="J60" s="172">
        <f t="shared" si="6"/>
        <v>0</v>
      </c>
      <c r="K60" s="173">
        <f t="shared" si="9"/>
        <v>0</v>
      </c>
    </row>
    <row r="61" spans="1:13" ht="13.5" customHeight="1" x14ac:dyDescent="0.2">
      <c r="A61" s="65"/>
      <c r="B61" s="66" t="s">
        <v>44</v>
      </c>
      <c r="C61" s="67" t="s">
        <v>6</v>
      </c>
      <c r="D61" s="68">
        <v>7.0000000000000007E-2</v>
      </c>
      <c r="E61" s="69">
        <f t="shared" si="8"/>
        <v>0.87101029739500002</v>
      </c>
      <c r="F61" s="318">
        <f t="shared" si="5"/>
        <v>0</v>
      </c>
      <c r="G61" s="70"/>
      <c r="H61" s="70"/>
      <c r="I61" s="171">
        <f t="shared" si="7"/>
        <v>0</v>
      </c>
      <c r="J61" s="172">
        <f t="shared" si="6"/>
        <v>0</v>
      </c>
      <c r="K61" s="173">
        <f t="shared" si="9"/>
        <v>0</v>
      </c>
    </row>
    <row r="62" spans="1:13" ht="13.5" customHeight="1" x14ac:dyDescent="0.2">
      <c r="A62" s="65"/>
      <c r="B62" s="66" t="s">
        <v>79</v>
      </c>
      <c r="C62" s="67" t="s">
        <v>6</v>
      </c>
      <c r="D62" s="68">
        <v>0.05</v>
      </c>
      <c r="E62" s="69">
        <f t="shared" si="8"/>
        <v>0.62215021242500002</v>
      </c>
      <c r="F62" s="318">
        <f t="shared" si="5"/>
        <v>0</v>
      </c>
      <c r="G62" s="70"/>
      <c r="H62" s="70"/>
      <c r="I62" s="171">
        <f t="shared" si="7"/>
        <v>0</v>
      </c>
      <c r="J62" s="172">
        <f t="shared" si="6"/>
        <v>0</v>
      </c>
      <c r="K62" s="173">
        <f t="shared" si="9"/>
        <v>0</v>
      </c>
    </row>
    <row r="63" spans="1:13" ht="13.5" customHeight="1" x14ac:dyDescent="0.2">
      <c r="A63" s="65"/>
      <c r="B63" s="66" t="s">
        <v>80</v>
      </c>
      <c r="C63" s="71" t="s">
        <v>6</v>
      </c>
      <c r="D63" s="68">
        <v>0.09</v>
      </c>
      <c r="E63" s="69">
        <f t="shared" si="8"/>
        <v>1.1198703823649998</v>
      </c>
      <c r="F63" s="318">
        <f t="shared" si="5"/>
        <v>0</v>
      </c>
      <c r="G63" s="70"/>
      <c r="H63" s="70"/>
      <c r="I63" s="171">
        <f t="shared" si="7"/>
        <v>0</v>
      </c>
      <c r="J63" s="172">
        <f t="shared" si="6"/>
        <v>0</v>
      </c>
      <c r="K63" s="173">
        <f t="shared" si="9"/>
        <v>0</v>
      </c>
    </row>
    <row r="64" spans="1:13" ht="13.5" customHeight="1" x14ac:dyDescent="0.2">
      <c r="A64" s="65"/>
      <c r="B64" s="156" t="s">
        <v>81</v>
      </c>
      <c r="C64" s="71" t="s">
        <v>6</v>
      </c>
      <c r="D64" s="68">
        <v>0.02</v>
      </c>
      <c r="E64" s="69">
        <f>$E$51*D64</f>
        <v>0.24886008497000001</v>
      </c>
      <c r="F64" s="318">
        <f t="shared" si="5"/>
        <v>0</v>
      </c>
      <c r="G64" s="70"/>
      <c r="H64" s="70"/>
      <c r="I64" s="171">
        <f>H64*E64</f>
        <v>0</v>
      </c>
      <c r="J64" s="172">
        <f t="shared" si="6"/>
        <v>0</v>
      </c>
      <c r="K64" s="173">
        <f t="shared" si="9"/>
        <v>0</v>
      </c>
    </row>
    <row r="65" spans="1:11" ht="13.5" customHeight="1" thickBot="1" x14ac:dyDescent="0.25">
      <c r="A65" s="65"/>
      <c r="B65" s="66" t="s">
        <v>82</v>
      </c>
      <c r="C65" s="71" t="s">
        <v>6</v>
      </c>
      <c r="D65" s="68">
        <v>0.06</v>
      </c>
      <c r="E65" s="69">
        <f t="shared" si="8"/>
        <v>0.74658025490999991</v>
      </c>
      <c r="F65" s="318">
        <f t="shared" si="5"/>
        <v>0</v>
      </c>
      <c r="G65" s="70"/>
      <c r="H65" s="70"/>
      <c r="I65" s="171">
        <f t="shared" si="7"/>
        <v>0</v>
      </c>
      <c r="J65" s="172">
        <f t="shared" si="6"/>
        <v>0</v>
      </c>
      <c r="K65" s="173">
        <f t="shared" si="9"/>
        <v>0</v>
      </c>
    </row>
    <row r="66" spans="1:11" ht="13.5" customHeight="1" x14ac:dyDescent="0.2">
      <c r="A66" s="72"/>
      <c r="B66" s="73"/>
      <c r="C66" s="74"/>
      <c r="D66" s="75">
        <f>SUM(D52:D65)</f>
        <v>1</v>
      </c>
      <c r="E66" s="76">
        <f>SUM(E52:E65)</f>
        <v>12.443004248500001</v>
      </c>
      <c r="F66" s="77"/>
      <c r="G66" s="77"/>
      <c r="H66" s="78" t="s">
        <v>83</v>
      </c>
      <c r="I66" s="174">
        <f>SUM(I52:I65)</f>
        <v>14263.913490225492</v>
      </c>
      <c r="J66" s="174">
        <f>SUM(J52:J65)</f>
        <v>8639.9244299884595</v>
      </c>
      <c r="K66" s="175">
        <f>SUM(K52:K65)</f>
        <v>22903.83</v>
      </c>
    </row>
    <row r="67" spans="1:11" ht="9.75" customHeight="1" x14ac:dyDescent="0.2">
      <c r="A67" s="79"/>
      <c r="B67" s="80"/>
      <c r="C67" s="81"/>
      <c r="D67" s="82"/>
      <c r="E67" s="83"/>
      <c r="F67" s="84"/>
      <c r="G67" s="84"/>
      <c r="H67" s="85"/>
      <c r="I67" s="176"/>
      <c r="J67" s="176"/>
      <c r="K67" s="176"/>
    </row>
    <row r="68" spans="1:11" ht="11.25" customHeight="1" x14ac:dyDescent="0.2">
      <c r="D68" s="86"/>
      <c r="E68" s="87"/>
      <c r="F68" s="88"/>
      <c r="G68" s="88"/>
      <c r="H68" s="89"/>
      <c r="I68" s="177"/>
      <c r="J68" s="177"/>
      <c r="K68" s="177"/>
    </row>
    <row r="69" spans="1:11" ht="13.5" customHeight="1" x14ac:dyDescent="0.2">
      <c r="A69" s="4" t="s">
        <v>1082</v>
      </c>
      <c r="D69" s="90"/>
      <c r="E69" s="91"/>
      <c r="F69" s="92"/>
      <c r="G69" s="88"/>
      <c r="H69" s="89"/>
      <c r="I69" s="177"/>
      <c r="J69" s="177"/>
      <c r="K69" s="177"/>
    </row>
    <row r="70" spans="1:11" ht="13.5" customHeight="1" x14ac:dyDescent="0.2">
      <c r="A70" s="79"/>
      <c r="B70" s="80"/>
      <c r="C70" s="81"/>
      <c r="D70" s="82"/>
      <c r="E70" s="83"/>
      <c r="F70" s="93"/>
      <c r="G70" s="93"/>
      <c r="H70" s="94"/>
      <c r="I70" s="95"/>
      <c r="J70" s="95"/>
      <c r="K70" s="95"/>
    </row>
    <row r="71" spans="1:11" ht="13.5" customHeight="1" x14ac:dyDescent="0.2">
      <c r="A71" s="79"/>
      <c r="C71" s="81"/>
      <c r="D71" s="82"/>
      <c r="E71" s="83"/>
      <c r="F71" s="93"/>
      <c r="G71" s="93"/>
      <c r="I71" s="95"/>
      <c r="J71" s="95"/>
      <c r="K71" s="95"/>
    </row>
    <row r="72" spans="1:11" x14ac:dyDescent="0.2">
      <c r="A72" s="79"/>
      <c r="B72" s="80"/>
      <c r="C72" s="81"/>
      <c r="D72" s="82"/>
      <c r="E72" s="83"/>
      <c r="F72" s="93"/>
      <c r="G72" s="93"/>
      <c r="I72" s="488"/>
      <c r="J72" s="488"/>
      <c r="K72" s="488"/>
    </row>
    <row r="73" spans="1:11" x14ac:dyDescent="0.2">
      <c r="A73" s="79"/>
      <c r="B73" s="80"/>
      <c r="C73" s="81"/>
      <c r="D73" s="82"/>
      <c r="E73" s="83"/>
      <c r="F73" s="93"/>
      <c r="G73" s="93"/>
      <c r="H73" s="94"/>
      <c r="I73" s="489" t="s">
        <v>71</v>
      </c>
      <c r="J73" s="489"/>
      <c r="K73" s="489"/>
    </row>
    <row r="74" spans="1:11" ht="13.5" customHeight="1" x14ac:dyDescent="0.2">
      <c r="A74" s="79"/>
      <c r="C74" s="81"/>
      <c r="D74" s="82"/>
      <c r="E74" s="83"/>
      <c r="F74" s="93"/>
      <c r="G74" s="93"/>
      <c r="I74" s="95"/>
      <c r="J74" s="95"/>
      <c r="K74" s="95"/>
    </row>
    <row r="75" spans="1:11" x14ac:dyDescent="0.2">
      <c r="D75" s="82"/>
      <c r="E75" s="83"/>
      <c r="F75" s="93"/>
      <c r="I75" s="96"/>
      <c r="J75" s="96"/>
      <c r="K75" s="95"/>
    </row>
    <row r="77" spans="1:11" x14ac:dyDescent="0.2">
      <c r="A77" s="58"/>
      <c r="B77" s="58"/>
      <c r="C77" s="58"/>
      <c r="D77" s="315"/>
      <c r="E77" s="316"/>
      <c r="F77" s="93"/>
      <c r="G77" s="58"/>
      <c r="H77" s="515" t="s">
        <v>182</v>
      </c>
      <c r="I77" s="516"/>
      <c r="J77" s="515" t="s">
        <v>183</v>
      </c>
      <c r="K77" s="516"/>
    </row>
    <row r="78" spans="1:11" ht="14" customHeight="1" x14ac:dyDescent="0.2">
      <c r="A78" s="58"/>
      <c r="B78" s="58"/>
      <c r="C78" s="58"/>
      <c r="D78" s="315"/>
      <c r="E78" s="316"/>
      <c r="F78" s="93"/>
      <c r="G78" s="58"/>
      <c r="H78" s="512">
        <v>863980</v>
      </c>
      <c r="I78" s="513"/>
      <c r="J78" s="512">
        <f>K66</f>
        <v>22903.83</v>
      </c>
      <c r="K78" s="514"/>
    </row>
    <row r="81" spans="1:14" x14ac:dyDescent="0.2">
      <c r="A81" s="5" t="str">
        <f>Summary!$G$11</f>
        <v>PIPELINE PROJECT</v>
      </c>
    </row>
    <row r="86" spans="1:14" ht="16" x14ac:dyDescent="0.2">
      <c r="A86" s="192" t="s">
        <v>88</v>
      </c>
    </row>
    <row r="87" spans="1:14" x14ac:dyDescent="0.2">
      <c r="A87" s="5" t="s">
        <v>24</v>
      </c>
      <c r="B87" s="191" t="s">
        <v>90</v>
      </c>
    </row>
    <row r="89" spans="1:14" x14ac:dyDescent="0.2">
      <c r="A89" s="5" t="s">
        <v>1</v>
      </c>
      <c r="B89" s="5" t="s">
        <v>105</v>
      </c>
    </row>
    <row r="90" spans="1:14" ht="16.5" customHeight="1" x14ac:dyDescent="0.2">
      <c r="A90" s="49"/>
      <c r="I90" s="2" t="s">
        <v>11</v>
      </c>
      <c r="J90" s="487">
        <v>42353</v>
      </c>
      <c r="K90" s="487"/>
    </row>
    <row r="91" spans="1:14" s="58" customFormat="1" ht="23.25" customHeight="1" x14ac:dyDescent="0.15">
      <c r="A91" s="50"/>
      <c r="B91" s="51"/>
      <c r="C91" s="52">
        <v>69435</v>
      </c>
      <c r="D91" s="53" t="s">
        <v>35</v>
      </c>
      <c r="E91" s="54">
        <v>12.443004248499999</v>
      </c>
      <c r="F91" s="55" t="s">
        <v>36</v>
      </c>
      <c r="G91" s="55" t="s">
        <v>27</v>
      </c>
      <c r="H91" s="55" t="s">
        <v>37</v>
      </c>
      <c r="I91" s="56" t="s">
        <v>38</v>
      </c>
      <c r="J91" s="56" t="s">
        <v>39</v>
      </c>
      <c r="K91" s="57" t="s">
        <v>40</v>
      </c>
    </row>
    <row r="92" spans="1:14" ht="13.5" customHeight="1" x14ac:dyDescent="0.2">
      <c r="A92" s="59" t="s">
        <v>84</v>
      </c>
      <c r="B92" s="60" t="s">
        <v>74</v>
      </c>
      <c r="C92" s="61" t="s">
        <v>6</v>
      </c>
      <c r="D92" s="62">
        <v>0.02</v>
      </c>
      <c r="E92" s="63">
        <f>$E$91*D92</f>
        <v>0.24886008497000001</v>
      </c>
      <c r="F92" s="317">
        <f t="shared" ref="F92:F105" si="10">G92+H92</f>
        <v>69435</v>
      </c>
      <c r="G92" s="64">
        <v>69435</v>
      </c>
      <c r="H92" s="70"/>
      <c r="I92" s="168">
        <f>H92*E92</f>
        <v>0</v>
      </c>
      <c r="J92" s="169">
        <v>17279.599999999999</v>
      </c>
      <c r="K92" s="170">
        <v>17279.599999999999</v>
      </c>
      <c r="M92" s="58"/>
      <c r="N92" s="58"/>
    </row>
    <row r="93" spans="1:14" ht="13.5" customHeight="1" x14ac:dyDescent="0.2">
      <c r="A93" s="65"/>
      <c r="B93" s="156" t="s">
        <v>75</v>
      </c>
      <c r="C93" s="71" t="s">
        <v>6</v>
      </c>
      <c r="D93" s="68">
        <v>0.08</v>
      </c>
      <c r="E93" s="69">
        <f>$E$91*D93</f>
        <v>0.99544033988000002</v>
      </c>
      <c r="F93" s="318">
        <f t="shared" si="10"/>
        <v>25100</v>
      </c>
      <c r="G93" s="70">
        <v>5300</v>
      </c>
      <c r="H93" s="70">
        <v>19800</v>
      </c>
      <c r="I93" s="171">
        <v>19709.72</v>
      </c>
      <c r="J93" s="172">
        <v>5275.83</v>
      </c>
      <c r="K93" s="173">
        <f t="shared" ref="K93:K105" si="11">SUM(I93:J93)</f>
        <v>24985.550000000003</v>
      </c>
      <c r="M93" s="58"/>
      <c r="N93" s="58"/>
    </row>
    <row r="94" spans="1:14" ht="13.5" customHeight="1" x14ac:dyDescent="0.2">
      <c r="A94" s="65"/>
      <c r="B94" s="66" t="s">
        <v>215</v>
      </c>
      <c r="C94" s="67" t="s">
        <v>6</v>
      </c>
      <c r="D94" s="68">
        <v>7.0000000000000007E-2</v>
      </c>
      <c r="E94" s="69">
        <f>$E$91*D94</f>
        <v>0.87101029739500002</v>
      </c>
      <c r="F94" s="318">
        <f t="shared" si="10"/>
        <v>16100</v>
      </c>
      <c r="G94" s="70">
        <v>400</v>
      </c>
      <c r="H94" s="70">
        <v>15700</v>
      </c>
      <c r="I94" s="171">
        <v>13674.86</v>
      </c>
      <c r="J94" s="172">
        <v>348.4</v>
      </c>
      <c r="K94" s="173">
        <f t="shared" si="11"/>
        <v>14023.26</v>
      </c>
      <c r="M94" s="58"/>
      <c r="N94" s="58"/>
    </row>
    <row r="95" spans="1:14" ht="13.5" customHeight="1" x14ac:dyDescent="0.2">
      <c r="A95" s="65"/>
      <c r="B95" s="66" t="s">
        <v>41</v>
      </c>
      <c r="C95" s="67" t="s">
        <v>6</v>
      </c>
      <c r="D95" s="68">
        <v>7.0000000000000007E-2</v>
      </c>
      <c r="E95" s="69">
        <f t="shared" ref="E95:E105" si="12">$E$91*D95</f>
        <v>0.87101029739500002</v>
      </c>
      <c r="F95" s="318">
        <f t="shared" si="10"/>
        <v>12000</v>
      </c>
      <c r="G95" s="70"/>
      <c r="H95" s="70">
        <v>12000</v>
      </c>
      <c r="I95" s="171">
        <v>10452.120000000001</v>
      </c>
      <c r="J95" s="172">
        <f t="shared" ref="J95:J105" si="13">G95*E95</f>
        <v>0</v>
      </c>
      <c r="K95" s="173">
        <f t="shared" si="11"/>
        <v>10452.120000000001</v>
      </c>
      <c r="M95" s="58"/>
      <c r="N95" s="58"/>
    </row>
    <row r="96" spans="1:14" ht="13.5" customHeight="1" x14ac:dyDescent="0.2">
      <c r="A96" s="65"/>
      <c r="B96" s="66" t="s">
        <v>42</v>
      </c>
      <c r="C96" s="67" t="s">
        <v>6</v>
      </c>
      <c r="D96" s="68">
        <v>0.17</v>
      </c>
      <c r="E96" s="69">
        <f t="shared" si="12"/>
        <v>2.1153107222450003</v>
      </c>
      <c r="F96" s="318">
        <f t="shared" si="10"/>
        <v>9500</v>
      </c>
      <c r="G96" s="70"/>
      <c r="H96" s="70">
        <v>9500</v>
      </c>
      <c r="I96" s="171">
        <v>20095.45</v>
      </c>
      <c r="J96" s="172">
        <f t="shared" si="13"/>
        <v>0</v>
      </c>
      <c r="K96" s="173">
        <f t="shared" si="11"/>
        <v>20095.45</v>
      </c>
      <c r="M96" s="58"/>
      <c r="N96" s="58"/>
    </row>
    <row r="97" spans="1:14" ht="13.5" customHeight="1" x14ac:dyDescent="0.2">
      <c r="A97" s="65"/>
      <c r="B97" s="66" t="s">
        <v>76</v>
      </c>
      <c r="C97" s="67" t="s">
        <v>6</v>
      </c>
      <c r="D97" s="68">
        <v>0.08</v>
      </c>
      <c r="E97" s="69">
        <f t="shared" si="12"/>
        <v>0.99544033988000002</v>
      </c>
      <c r="F97" s="318">
        <f t="shared" si="10"/>
        <v>3700</v>
      </c>
      <c r="G97" s="70"/>
      <c r="H97" s="70">
        <v>3700</v>
      </c>
      <c r="I97" s="171">
        <v>3683.13</v>
      </c>
      <c r="J97" s="172">
        <f t="shared" si="13"/>
        <v>0</v>
      </c>
      <c r="K97" s="173">
        <f t="shared" si="11"/>
        <v>3683.13</v>
      </c>
      <c r="M97" s="58"/>
      <c r="N97" s="58"/>
    </row>
    <row r="98" spans="1:14" ht="13.5" customHeight="1" x14ac:dyDescent="0.2">
      <c r="A98" s="65"/>
      <c r="B98" s="66" t="s">
        <v>77</v>
      </c>
      <c r="C98" s="67" t="s">
        <v>6</v>
      </c>
      <c r="D98" s="68">
        <v>7.0000000000000007E-2</v>
      </c>
      <c r="E98" s="69">
        <f t="shared" si="12"/>
        <v>0.87101029739500002</v>
      </c>
      <c r="F98" s="318">
        <f t="shared" si="10"/>
        <v>3700</v>
      </c>
      <c r="G98" s="70"/>
      <c r="H98" s="70">
        <v>3700</v>
      </c>
      <c r="I98" s="171">
        <v>3222.74</v>
      </c>
      <c r="J98" s="172">
        <f t="shared" si="13"/>
        <v>0</v>
      </c>
      <c r="K98" s="173">
        <f t="shared" si="11"/>
        <v>3222.74</v>
      </c>
      <c r="M98" s="58"/>
      <c r="N98" s="58"/>
    </row>
    <row r="99" spans="1:14" ht="13.5" customHeight="1" x14ac:dyDescent="0.2">
      <c r="A99" s="65"/>
      <c r="B99" s="66" t="s">
        <v>43</v>
      </c>
      <c r="C99" s="67" t="s">
        <v>6</v>
      </c>
      <c r="D99" s="68">
        <v>0.08</v>
      </c>
      <c r="E99" s="69">
        <f t="shared" si="12"/>
        <v>0.99544033988000002</v>
      </c>
      <c r="F99" s="318">
        <f t="shared" si="10"/>
        <v>2800</v>
      </c>
      <c r="G99" s="70"/>
      <c r="H99" s="70">
        <v>2800</v>
      </c>
      <c r="I99" s="171">
        <v>2787.23</v>
      </c>
      <c r="J99" s="172">
        <f>G99*E99</f>
        <v>0</v>
      </c>
      <c r="K99" s="173">
        <f>SUM(I99:J99)</f>
        <v>2787.23</v>
      </c>
      <c r="M99" s="58"/>
      <c r="N99" s="58"/>
    </row>
    <row r="100" spans="1:14" ht="13.5" customHeight="1" x14ac:dyDescent="0.2">
      <c r="A100" s="65"/>
      <c r="B100" s="66" t="s">
        <v>78</v>
      </c>
      <c r="C100" s="67" t="s">
        <v>6</v>
      </c>
      <c r="D100" s="68">
        <v>7.0000000000000007E-2</v>
      </c>
      <c r="E100" s="69">
        <f t="shared" si="12"/>
        <v>0.87101029739500002</v>
      </c>
      <c r="F100" s="318">
        <f t="shared" si="10"/>
        <v>1500</v>
      </c>
      <c r="G100" s="70"/>
      <c r="H100" s="70">
        <v>1500</v>
      </c>
      <c r="I100" s="171">
        <v>1306.52</v>
      </c>
      <c r="J100" s="172">
        <f t="shared" si="13"/>
        <v>0</v>
      </c>
      <c r="K100" s="173">
        <f t="shared" si="11"/>
        <v>1306.52</v>
      </c>
      <c r="M100" s="58"/>
      <c r="N100" s="58"/>
    </row>
    <row r="101" spans="1:14" ht="13.5" customHeight="1" x14ac:dyDescent="0.2">
      <c r="A101" s="65"/>
      <c r="B101" s="66" t="s">
        <v>44</v>
      </c>
      <c r="C101" s="67" t="s">
        <v>6</v>
      </c>
      <c r="D101" s="68">
        <v>7.0000000000000007E-2</v>
      </c>
      <c r="E101" s="69">
        <f t="shared" si="12"/>
        <v>0.87101029739500002</v>
      </c>
      <c r="F101" s="318">
        <f t="shared" si="10"/>
        <v>0</v>
      </c>
      <c r="G101" s="70"/>
      <c r="H101" s="70"/>
      <c r="I101" s="171">
        <f t="shared" ref="I101:I105" si="14">H101*E101</f>
        <v>0</v>
      </c>
      <c r="J101" s="172">
        <f t="shared" si="13"/>
        <v>0</v>
      </c>
      <c r="K101" s="173">
        <f t="shared" si="11"/>
        <v>0</v>
      </c>
    </row>
    <row r="102" spans="1:14" ht="13.5" customHeight="1" x14ac:dyDescent="0.2">
      <c r="A102" s="65"/>
      <c r="B102" s="66" t="s">
        <v>79</v>
      </c>
      <c r="C102" s="67" t="s">
        <v>6</v>
      </c>
      <c r="D102" s="68">
        <v>0.05</v>
      </c>
      <c r="E102" s="69">
        <f t="shared" si="12"/>
        <v>0.62215021242500002</v>
      </c>
      <c r="F102" s="318">
        <f t="shared" si="10"/>
        <v>0</v>
      </c>
      <c r="G102" s="70"/>
      <c r="H102" s="70"/>
      <c r="I102" s="171">
        <f t="shared" si="14"/>
        <v>0</v>
      </c>
      <c r="J102" s="172">
        <f t="shared" si="13"/>
        <v>0</v>
      </c>
      <c r="K102" s="173">
        <f t="shared" si="11"/>
        <v>0</v>
      </c>
    </row>
    <row r="103" spans="1:14" ht="13.5" customHeight="1" x14ac:dyDescent="0.2">
      <c r="A103" s="65"/>
      <c r="B103" s="66" t="s">
        <v>80</v>
      </c>
      <c r="C103" s="71" t="s">
        <v>6</v>
      </c>
      <c r="D103" s="68">
        <v>0.09</v>
      </c>
      <c r="E103" s="69">
        <f t="shared" si="12"/>
        <v>1.1198703823649998</v>
      </c>
      <c r="F103" s="318">
        <f t="shared" si="10"/>
        <v>0</v>
      </c>
      <c r="G103" s="70"/>
      <c r="H103" s="70"/>
      <c r="I103" s="171">
        <f t="shared" si="14"/>
        <v>0</v>
      </c>
      <c r="J103" s="172">
        <f t="shared" si="13"/>
        <v>0</v>
      </c>
      <c r="K103" s="173">
        <f t="shared" si="11"/>
        <v>0</v>
      </c>
    </row>
    <row r="104" spans="1:14" ht="13.5" customHeight="1" x14ac:dyDescent="0.2">
      <c r="A104" s="65"/>
      <c r="B104" s="156" t="s">
        <v>81</v>
      </c>
      <c r="C104" s="71" t="s">
        <v>6</v>
      </c>
      <c r="D104" s="68">
        <v>0.02</v>
      </c>
      <c r="E104" s="69">
        <f>$E$91*D104</f>
        <v>0.24886008497000001</v>
      </c>
      <c r="F104" s="318">
        <f t="shared" si="10"/>
        <v>0</v>
      </c>
      <c r="G104" s="70"/>
      <c r="H104" s="70"/>
      <c r="I104" s="171">
        <f>H104*E104</f>
        <v>0</v>
      </c>
      <c r="J104" s="172">
        <f t="shared" si="13"/>
        <v>0</v>
      </c>
      <c r="K104" s="173">
        <f t="shared" si="11"/>
        <v>0</v>
      </c>
    </row>
    <row r="105" spans="1:14" ht="13.5" customHeight="1" thickBot="1" x14ac:dyDescent="0.25">
      <c r="A105" s="65"/>
      <c r="B105" s="66" t="s">
        <v>82</v>
      </c>
      <c r="C105" s="71" t="s">
        <v>6</v>
      </c>
      <c r="D105" s="68">
        <v>0.06</v>
      </c>
      <c r="E105" s="69">
        <f t="shared" si="12"/>
        <v>0.74658025490999991</v>
      </c>
      <c r="F105" s="318">
        <f t="shared" si="10"/>
        <v>0</v>
      </c>
      <c r="G105" s="70"/>
      <c r="H105" s="70"/>
      <c r="I105" s="171">
        <f t="shared" si="14"/>
        <v>0</v>
      </c>
      <c r="J105" s="172">
        <f t="shared" si="13"/>
        <v>0</v>
      </c>
      <c r="K105" s="173">
        <f t="shared" si="11"/>
        <v>0</v>
      </c>
    </row>
    <row r="106" spans="1:14" ht="13.5" customHeight="1" x14ac:dyDescent="0.2">
      <c r="A106" s="72"/>
      <c r="B106" s="73"/>
      <c r="C106" s="74"/>
      <c r="D106" s="75">
        <f>SUM(D92:D105)</f>
        <v>1</v>
      </c>
      <c r="E106" s="76">
        <f>SUM(E92:E105)</f>
        <v>12.443004248500001</v>
      </c>
      <c r="F106" s="77"/>
      <c r="G106" s="77"/>
      <c r="H106" s="78" t="s">
        <v>83</v>
      </c>
      <c r="I106" s="174">
        <f>SUM(I92:I105)</f>
        <v>74931.770000000019</v>
      </c>
      <c r="J106" s="174">
        <f>SUM(J92:J105)</f>
        <v>22903.83</v>
      </c>
      <c r="K106" s="175">
        <f>SUM(K92:K105)</f>
        <v>97835.6</v>
      </c>
    </row>
    <row r="107" spans="1:14" ht="9.75" customHeight="1" x14ac:dyDescent="0.2">
      <c r="A107" s="79"/>
      <c r="B107" s="80"/>
      <c r="C107" s="81"/>
      <c r="D107" s="82"/>
      <c r="E107" s="83"/>
      <c r="F107" s="84"/>
      <c r="G107" s="84"/>
      <c r="H107" s="85"/>
      <c r="I107" s="176"/>
      <c r="J107" s="176"/>
      <c r="K107" s="176"/>
    </row>
    <row r="108" spans="1:14" ht="11.25" customHeight="1" x14ac:dyDescent="0.2">
      <c r="D108" s="86"/>
      <c r="E108" s="87"/>
      <c r="F108" s="88"/>
      <c r="G108" s="88"/>
      <c r="H108" s="89"/>
      <c r="I108" s="177"/>
      <c r="J108" s="177"/>
      <c r="K108" s="177"/>
    </row>
    <row r="109" spans="1:14" ht="13.5" customHeight="1" x14ac:dyDescent="0.2">
      <c r="A109" s="4" t="str">
        <f>Summary!$G$9</f>
        <v>Contractor</v>
      </c>
      <c r="D109" s="90"/>
      <c r="E109" s="91"/>
      <c r="F109" s="92"/>
      <c r="G109" s="88"/>
      <c r="H109" s="89"/>
      <c r="I109" s="177"/>
      <c r="J109" s="177"/>
      <c r="K109" s="177"/>
    </row>
    <row r="110" spans="1:14" ht="13.5" customHeight="1" x14ac:dyDescent="0.2">
      <c r="A110" s="79"/>
      <c r="B110" s="80"/>
      <c r="C110" s="81"/>
      <c r="D110" s="82"/>
      <c r="E110" s="83"/>
      <c r="F110" s="93"/>
      <c r="G110" s="93"/>
      <c r="H110" s="94"/>
      <c r="I110" s="95"/>
      <c r="J110" s="95"/>
      <c r="K110" s="95"/>
    </row>
    <row r="111" spans="1:14" ht="13.5" customHeight="1" x14ac:dyDescent="0.2">
      <c r="A111" s="79"/>
      <c r="C111" s="81"/>
      <c r="D111" s="82"/>
      <c r="E111" s="83"/>
      <c r="F111" s="93"/>
      <c r="G111" s="93"/>
      <c r="I111" s="95"/>
      <c r="J111" s="95"/>
      <c r="K111" s="95"/>
    </row>
    <row r="112" spans="1:14" x14ac:dyDescent="0.2">
      <c r="A112" s="79"/>
      <c r="B112" s="80"/>
      <c r="C112" s="81"/>
      <c r="D112" s="82"/>
      <c r="E112" s="83"/>
      <c r="F112" s="93"/>
      <c r="G112" s="93"/>
      <c r="I112" s="488"/>
      <c r="J112" s="488"/>
      <c r="K112" s="488"/>
    </row>
    <row r="113" spans="1:11" x14ac:dyDescent="0.2">
      <c r="A113" s="79"/>
      <c r="B113" s="80"/>
      <c r="C113" s="81"/>
      <c r="D113" s="82"/>
      <c r="E113" s="83"/>
      <c r="F113" s="93"/>
      <c r="G113" s="93"/>
      <c r="H113" s="94"/>
      <c r="I113" s="489" t="str">
        <f>Summary!$G$10</f>
        <v>Construction Manager</v>
      </c>
      <c r="J113" s="489"/>
      <c r="K113" s="489"/>
    </row>
    <row r="114" spans="1:11" ht="13.5" customHeight="1" x14ac:dyDescent="0.2">
      <c r="A114" s="79"/>
      <c r="C114" s="81"/>
      <c r="D114" s="82"/>
      <c r="E114" s="83"/>
      <c r="F114" s="93"/>
      <c r="G114" s="93"/>
      <c r="I114" s="95"/>
      <c r="J114" s="95"/>
      <c r="K114" s="95"/>
    </row>
    <row r="115" spans="1:11" x14ac:dyDescent="0.2">
      <c r="D115" s="82"/>
      <c r="E115" s="83"/>
      <c r="F115" s="93"/>
      <c r="I115" s="96"/>
      <c r="J115" s="96"/>
      <c r="K115" s="95"/>
    </row>
    <row r="117" spans="1:11" x14ac:dyDescent="0.2">
      <c r="A117" s="58"/>
      <c r="B117" s="58"/>
      <c r="C117" s="58"/>
      <c r="D117" s="315"/>
      <c r="E117" s="316"/>
      <c r="F117" s="93"/>
      <c r="G117" s="58"/>
      <c r="H117" s="515" t="s">
        <v>182</v>
      </c>
      <c r="I117" s="516"/>
      <c r="J117" s="515" t="s">
        <v>183</v>
      </c>
      <c r="K117" s="516"/>
    </row>
    <row r="118" spans="1:11" ht="14" customHeight="1" x14ac:dyDescent="0.2">
      <c r="A118" s="58"/>
      <c r="B118" s="58"/>
      <c r="C118" s="58"/>
      <c r="D118" s="315"/>
      <c r="E118" s="316"/>
      <c r="F118" s="93"/>
      <c r="G118" s="58"/>
      <c r="H118" s="512">
        <f>'CO Log'!E10</f>
        <v>863980</v>
      </c>
      <c r="I118" s="513"/>
      <c r="J118" s="512">
        <f>K106</f>
        <v>97835.6</v>
      </c>
      <c r="K118" s="514"/>
    </row>
    <row r="120" spans="1:11" x14ac:dyDescent="0.2">
      <c r="A120" s="5" t="str">
        <f>Summary!$G$11</f>
        <v>PIPELINE PROJECT</v>
      </c>
    </row>
    <row r="125" spans="1:11" ht="16" x14ac:dyDescent="0.2">
      <c r="A125" s="192" t="s">
        <v>88</v>
      </c>
    </row>
    <row r="126" spans="1:11" x14ac:dyDescent="0.2">
      <c r="A126" s="5" t="s">
        <v>24</v>
      </c>
      <c r="B126" s="191" t="s">
        <v>1089</v>
      </c>
    </row>
    <row r="128" spans="1:11" x14ac:dyDescent="0.2">
      <c r="A128" s="5" t="s">
        <v>1</v>
      </c>
      <c r="B128" s="5" t="s">
        <v>105</v>
      </c>
    </row>
    <row r="129" spans="1:14" ht="16.5" customHeight="1" x14ac:dyDescent="0.2">
      <c r="A129" s="49"/>
      <c r="I129" s="2" t="s">
        <v>11</v>
      </c>
      <c r="J129" s="487">
        <v>42369</v>
      </c>
      <c r="K129" s="487"/>
    </row>
    <row r="130" spans="1:14" s="58" customFormat="1" ht="23.25" customHeight="1" x14ac:dyDescent="0.15">
      <c r="A130" s="50"/>
      <c r="B130" s="51"/>
      <c r="C130" s="52">
        <v>69435</v>
      </c>
      <c r="D130" s="53" t="s">
        <v>35</v>
      </c>
      <c r="E130" s="54">
        <v>12.443004248499999</v>
      </c>
      <c r="F130" s="55" t="s">
        <v>36</v>
      </c>
      <c r="G130" s="55" t="s">
        <v>27</v>
      </c>
      <c r="H130" s="55" t="s">
        <v>37</v>
      </c>
      <c r="I130" s="56" t="s">
        <v>38</v>
      </c>
      <c r="J130" s="56" t="s">
        <v>39</v>
      </c>
      <c r="K130" s="57" t="s">
        <v>40</v>
      </c>
    </row>
    <row r="131" spans="1:14" ht="13.5" customHeight="1" x14ac:dyDescent="0.2">
      <c r="A131" s="59" t="s">
        <v>84</v>
      </c>
      <c r="B131" s="60" t="s">
        <v>74</v>
      </c>
      <c r="C131" s="61" t="s">
        <v>6</v>
      </c>
      <c r="D131" s="62">
        <v>0.02</v>
      </c>
      <c r="E131" s="63">
        <f>$E$91*D131</f>
        <v>0.24886008497000001</v>
      </c>
      <c r="F131" s="317">
        <f t="shared" ref="F131:F144" si="15">G131+H131</f>
        <v>69435</v>
      </c>
      <c r="G131" s="64">
        <v>69435</v>
      </c>
      <c r="H131" s="70"/>
      <c r="I131" s="168">
        <f>H131*E131</f>
        <v>0</v>
      </c>
      <c r="J131" s="172">
        <v>17279.599999999999</v>
      </c>
      <c r="K131" s="170">
        <v>17279.599999999999</v>
      </c>
      <c r="M131" s="58"/>
      <c r="N131" s="58"/>
    </row>
    <row r="132" spans="1:14" ht="13.5" customHeight="1" x14ac:dyDescent="0.2">
      <c r="A132" s="65"/>
      <c r="B132" s="156" t="s">
        <v>75</v>
      </c>
      <c r="C132" s="71" t="s">
        <v>6</v>
      </c>
      <c r="D132" s="68">
        <v>0.08</v>
      </c>
      <c r="E132" s="69">
        <f>$E$91*D132</f>
        <v>0.99544033988000002</v>
      </c>
      <c r="F132" s="318">
        <f t="shared" si="15"/>
        <v>32600</v>
      </c>
      <c r="G132" s="70">
        <v>25100</v>
      </c>
      <c r="H132" s="70">
        <v>7500</v>
      </c>
      <c r="I132" s="171">
        <f t="shared" ref="I132:I139" si="16">H132*E132</f>
        <v>7465.8025490999999</v>
      </c>
      <c r="J132" s="172">
        <v>24985.55</v>
      </c>
      <c r="K132" s="173">
        <f t="shared" ref="K132:K137" si="17">SUM(I132:J132)</f>
        <v>32451.3525491</v>
      </c>
      <c r="M132" s="58"/>
      <c r="N132" s="58"/>
    </row>
    <row r="133" spans="1:14" ht="13.5" customHeight="1" x14ac:dyDescent="0.2">
      <c r="A133" s="65"/>
      <c r="B133" s="66" t="s">
        <v>215</v>
      </c>
      <c r="C133" s="67" t="s">
        <v>6</v>
      </c>
      <c r="D133" s="68">
        <v>7.0000000000000007E-2</v>
      </c>
      <c r="E133" s="69">
        <f>$E$91*D133</f>
        <v>0.87101029739500002</v>
      </c>
      <c r="F133" s="318">
        <f t="shared" si="15"/>
        <v>24400</v>
      </c>
      <c r="G133" s="70">
        <v>16100</v>
      </c>
      <c r="H133" s="70">
        <v>8300</v>
      </c>
      <c r="I133" s="171">
        <f t="shared" si="16"/>
        <v>7229.3854683785003</v>
      </c>
      <c r="J133" s="172">
        <v>14023.26</v>
      </c>
      <c r="K133" s="173">
        <f t="shared" si="17"/>
        <v>21252.645468378501</v>
      </c>
      <c r="M133" s="58"/>
    </row>
    <row r="134" spans="1:14" ht="13.5" customHeight="1" x14ac:dyDescent="0.2">
      <c r="A134" s="65"/>
      <c r="B134" s="66" t="s">
        <v>41</v>
      </c>
      <c r="C134" s="67" t="s">
        <v>6</v>
      </c>
      <c r="D134" s="68">
        <v>7.0000000000000007E-2</v>
      </c>
      <c r="E134" s="69">
        <f t="shared" ref="E134:E142" si="18">$E$91*D134</f>
        <v>0.87101029739500002</v>
      </c>
      <c r="F134" s="318">
        <f t="shared" si="15"/>
        <v>16100</v>
      </c>
      <c r="G134" s="70">
        <v>12000</v>
      </c>
      <c r="H134" s="70">
        <v>4100</v>
      </c>
      <c r="I134" s="171">
        <f t="shared" si="16"/>
        <v>3571.1422193194999</v>
      </c>
      <c r="J134" s="172">
        <v>10452.120000000001</v>
      </c>
      <c r="K134" s="173">
        <f t="shared" si="17"/>
        <v>14023.2622193195</v>
      </c>
    </row>
    <row r="135" spans="1:14" ht="13.5" customHeight="1" x14ac:dyDescent="0.2">
      <c r="A135" s="65"/>
      <c r="B135" s="66" t="s">
        <v>42</v>
      </c>
      <c r="C135" s="67" t="s">
        <v>6</v>
      </c>
      <c r="D135" s="68">
        <v>0.17</v>
      </c>
      <c r="E135" s="69">
        <f t="shared" si="18"/>
        <v>2.1153107222450003</v>
      </c>
      <c r="F135" s="318">
        <f t="shared" si="15"/>
        <v>12800</v>
      </c>
      <c r="G135" s="70">
        <v>9500</v>
      </c>
      <c r="H135" s="70">
        <v>3300</v>
      </c>
      <c r="I135" s="171">
        <f t="shared" si="16"/>
        <v>6980.5253834085006</v>
      </c>
      <c r="J135" s="172">
        <v>20095.45</v>
      </c>
      <c r="K135" s="173">
        <f t="shared" si="17"/>
        <v>27075.975383408502</v>
      </c>
    </row>
    <row r="136" spans="1:14" ht="13.5" customHeight="1" x14ac:dyDescent="0.2">
      <c r="A136" s="65"/>
      <c r="B136" s="66" t="s">
        <v>76</v>
      </c>
      <c r="C136" s="67" t="s">
        <v>6</v>
      </c>
      <c r="D136" s="68">
        <v>0.08</v>
      </c>
      <c r="E136" s="69">
        <f t="shared" si="18"/>
        <v>0.99544033988000002</v>
      </c>
      <c r="F136" s="318">
        <f t="shared" si="15"/>
        <v>6900</v>
      </c>
      <c r="G136" s="70">
        <v>3700</v>
      </c>
      <c r="H136" s="70">
        <v>3200</v>
      </c>
      <c r="I136" s="171">
        <f t="shared" si="16"/>
        <v>3185.4090876159999</v>
      </c>
      <c r="J136" s="172">
        <v>3683.13</v>
      </c>
      <c r="K136" s="173">
        <f t="shared" si="17"/>
        <v>6868.539087616</v>
      </c>
    </row>
    <row r="137" spans="1:14" ht="13.5" customHeight="1" x14ac:dyDescent="0.2">
      <c r="A137" s="65"/>
      <c r="B137" s="66" t="s">
        <v>77</v>
      </c>
      <c r="C137" s="67" t="s">
        <v>6</v>
      </c>
      <c r="D137" s="68">
        <v>7.0000000000000007E-2</v>
      </c>
      <c r="E137" s="69">
        <f t="shared" si="18"/>
        <v>0.87101029739500002</v>
      </c>
      <c r="F137" s="318">
        <f t="shared" si="15"/>
        <v>6900</v>
      </c>
      <c r="G137" s="70">
        <v>3700</v>
      </c>
      <c r="H137" s="70">
        <v>3200</v>
      </c>
      <c r="I137" s="171">
        <f t="shared" si="16"/>
        <v>2787.2329516640002</v>
      </c>
      <c r="J137" s="172">
        <v>3222.74</v>
      </c>
      <c r="K137" s="173">
        <f t="shared" si="17"/>
        <v>6009.972951664</v>
      </c>
    </row>
    <row r="138" spans="1:14" ht="13.5" customHeight="1" x14ac:dyDescent="0.2">
      <c r="A138" s="65"/>
      <c r="B138" s="66" t="s">
        <v>43</v>
      </c>
      <c r="C138" s="67" t="s">
        <v>6</v>
      </c>
      <c r="D138" s="68">
        <v>0.08</v>
      </c>
      <c r="E138" s="69">
        <f t="shared" si="18"/>
        <v>0.99544033988000002</v>
      </c>
      <c r="F138" s="318">
        <f t="shared" si="15"/>
        <v>6900</v>
      </c>
      <c r="G138" s="70">
        <v>2800</v>
      </c>
      <c r="H138" s="70">
        <v>4100</v>
      </c>
      <c r="I138" s="171">
        <f t="shared" si="16"/>
        <v>4081.3053935080002</v>
      </c>
      <c r="J138" s="172">
        <v>2787.23</v>
      </c>
      <c r="K138" s="173">
        <f>SUM(I138:J138)</f>
        <v>6868.5353935080002</v>
      </c>
    </row>
    <row r="139" spans="1:14" ht="13.5" customHeight="1" x14ac:dyDescent="0.2">
      <c r="A139" s="65"/>
      <c r="B139" s="66" t="s">
        <v>78</v>
      </c>
      <c r="C139" s="67" t="s">
        <v>6</v>
      </c>
      <c r="D139" s="68">
        <v>7.0000000000000007E-2</v>
      </c>
      <c r="E139" s="69">
        <f t="shared" si="18"/>
        <v>0.87101029739500002</v>
      </c>
      <c r="F139" s="318">
        <f t="shared" si="15"/>
        <v>3700</v>
      </c>
      <c r="G139" s="70">
        <v>1500</v>
      </c>
      <c r="H139" s="70">
        <v>2200</v>
      </c>
      <c r="I139" s="171">
        <f t="shared" si="16"/>
        <v>1916.222654269</v>
      </c>
      <c r="J139" s="172">
        <v>1306.52</v>
      </c>
      <c r="K139" s="173">
        <f t="shared" ref="K139:K144" si="19">SUM(I139:J139)</f>
        <v>3222.742654269</v>
      </c>
    </row>
    <row r="140" spans="1:14" ht="13.5" customHeight="1" x14ac:dyDescent="0.2">
      <c r="A140" s="65"/>
      <c r="B140" s="66" t="s">
        <v>44</v>
      </c>
      <c r="C140" s="67" t="s">
        <v>6</v>
      </c>
      <c r="D140" s="68">
        <v>7.0000000000000007E-2</v>
      </c>
      <c r="E140" s="69">
        <f t="shared" si="18"/>
        <v>0.87101029739500002</v>
      </c>
      <c r="F140" s="318">
        <f t="shared" si="15"/>
        <v>0</v>
      </c>
      <c r="G140" s="70"/>
      <c r="H140" s="70"/>
      <c r="I140" s="171">
        <f t="shared" ref="I140:I142" si="20">H140*E140</f>
        <v>0</v>
      </c>
      <c r="J140" s="172">
        <f t="shared" ref="J140:J144" si="21">G140*E140</f>
        <v>0</v>
      </c>
      <c r="K140" s="173">
        <f t="shared" si="19"/>
        <v>0</v>
      </c>
    </row>
    <row r="141" spans="1:14" ht="13.5" customHeight="1" x14ac:dyDescent="0.2">
      <c r="A141" s="65"/>
      <c r="B141" s="66" t="s">
        <v>79</v>
      </c>
      <c r="C141" s="67" t="s">
        <v>6</v>
      </c>
      <c r="D141" s="68">
        <v>0.05</v>
      </c>
      <c r="E141" s="69">
        <f t="shared" si="18"/>
        <v>0.62215021242500002</v>
      </c>
      <c r="F141" s="318">
        <f t="shared" si="15"/>
        <v>0</v>
      </c>
      <c r="G141" s="70"/>
      <c r="H141" s="70"/>
      <c r="I141" s="171">
        <f t="shared" si="20"/>
        <v>0</v>
      </c>
      <c r="J141" s="172">
        <f t="shared" si="21"/>
        <v>0</v>
      </c>
      <c r="K141" s="173">
        <f t="shared" si="19"/>
        <v>0</v>
      </c>
    </row>
    <row r="142" spans="1:14" ht="13.5" customHeight="1" x14ac:dyDescent="0.2">
      <c r="A142" s="65"/>
      <c r="B142" s="66" t="s">
        <v>80</v>
      </c>
      <c r="C142" s="71" t="s">
        <v>6</v>
      </c>
      <c r="D142" s="68">
        <v>0.09</v>
      </c>
      <c r="E142" s="69">
        <f t="shared" si="18"/>
        <v>1.1198703823649998</v>
      </c>
      <c r="F142" s="318">
        <f t="shared" si="15"/>
        <v>0</v>
      </c>
      <c r="G142" s="70"/>
      <c r="H142" s="70"/>
      <c r="I142" s="171">
        <f t="shared" si="20"/>
        <v>0</v>
      </c>
      <c r="J142" s="172">
        <f t="shared" si="21"/>
        <v>0</v>
      </c>
      <c r="K142" s="173">
        <f t="shared" si="19"/>
        <v>0</v>
      </c>
    </row>
    <row r="143" spans="1:14" ht="13.5" customHeight="1" x14ac:dyDescent="0.2">
      <c r="A143" s="65"/>
      <c r="B143" s="156" t="s">
        <v>81</v>
      </c>
      <c r="C143" s="71" t="s">
        <v>6</v>
      </c>
      <c r="D143" s="68">
        <v>0.02</v>
      </c>
      <c r="E143" s="69">
        <f>$E$91*D143</f>
        <v>0.24886008497000001</v>
      </c>
      <c r="F143" s="318">
        <f t="shared" si="15"/>
        <v>0</v>
      </c>
      <c r="G143" s="70"/>
      <c r="H143" s="70"/>
      <c r="I143" s="171">
        <f>H143*E143</f>
        <v>0</v>
      </c>
      <c r="J143" s="172">
        <f t="shared" si="21"/>
        <v>0</v>
      </c>
      <c r="K143" s="173">
        <f t="shared" si="19"/>
        <v>0</v>
      </c>
    </row>
    <row r="144" spans="1:14" ht="13.5" customHeight="1" thickBot="1" x14ac:dyDescent="0.25">
      <c r="A144" s="65"/>
      <c r="B144" s="66" t="s">
        <v>82</v>
      </c>
      <c r="C144" s="71" t="s">
        <v>6</v>
      </c>
      <c r="D144" s="68">
        <v>0.06</v>
      </c>
      <c r="E144" s="69">
        <f t="shared" ref="E144" si="22">$E$91*D144</f>
        <v>0.74658025490999991</v>
      </c>
      <c r="F144" s="318">
        <f t="shared" si="15"/>
        <v>0</v>
      </c>
      <c r="G144" s="70"/>
      <c r="H144" s="70"/>
      <c r="I144" s="171">
        <f t="shared" ref="I144" si="23">H144*E144</f>
        <v>0</v>
      </c>
      <c r="J144" s="172">
        <f t="shared" si="21"/>
        <v>0</v>
      </c>
      <c r="K144" s="173">
        <f t="shared" si="19"/>
        <v>0</v>
      </c>
    </row>
    <row r="145" spans="1:11" ht="13.5" customHeight="1" x14ac:dyDescent="0.2">
      <c r="A145" s="72"/>
      <c r="B145" s="73"/>
      <c r="C145" s="74"/>
      <c r="D145" s="75">
        <f>SUM(D131:D144)</f>
        <v>1</v>
      </c>
      <c r="E145" s="76">
        <f>SUM(E131:E144)</f>
        <v>12.443004248500001</v>
      </c>
      <c r="F145" s="77"/>
      <c r="G145" s="77"/>
      <c r="H145" s="78" t="s">
        <v>83</v>
      </c>
      <c r="I145" s="174">
        <f>SUM(I131:I144)</f>
        <v>37217.025707263499</v>
      </c>
      <c r="J145" s="174">
        <f>SUM(J131:J144)</f>
        <v>97835.6</v>
      </c>
      <c r="K145" s="175">
        <f>SUM(K131:K144)</f>
        <v>135052.62570726351</v>
      </c>
    </row>
    <row r="146" spans="1:11" ht="9.75" customHeight="1" x14ac:dyDescent="0.2">
      <c r="A146" s="79"/>
      <c r="B146" s="80"/>
      <c r="C146" s="81"/>
      <c r="D146" s="82"/>
      <c r="E146" s="83"/>
      <c r="F146" s="84"/>
      <c r="G146" s="84"/>
      <c r="H146" s="85"/>
      <c r="I146" s="176"/>
      <c r="J146" s="176"/>
      <c r="K146" s="176"/>
    </row>
    <row r="147" spans="1:11" ht="11.25" customHeight="1" x14ac:dyDescent="0.2">
      <c r="D147" s="86"/>
      <c r="E147" s="87"/>
      <c r="F147" s="88"/>
      <c r="G147" s="88"/>
      <c r="H147" s="89"/>
      <c r="I147" s="177"/>
      <c r="J147" s="177"/>
      <c r="K147" s="177"/>
    </row>
    <row r="148" spans="1:11" ht="13.5" customHeight="1" x14ac:dyDescent="0.2">
      <c r="A148" s="4" t="str">
        <f>Summary!$G$9</f>
        <v>Contractor</v>
      </c>
      <c r="D148" s="90"/>
      <c r="E148" s="91"/>
      <c r="F148" s="92"/>
      <c r="G148" s="88"/>
      <c r="H148" s="89"/>
      <c r="I148" s="177"/>
      <c r="J148" s="177"/>
      <c r="K148" s="177"/>
    </row>
    <row r="149" spans="1:11" ht="13.5" customHeight="1" x14ac:dyDescent="0.2">
      <c r="A149" s="79"/>
      <c r="B149" s="80"/>
      <c r="C149" s="81"/>
      <c r="D149" s="82"/>
      <c r="E149" s="83"/>
      <c r="F149" s="93"/>
      <c r="G149" s="93"/>
      <c r="H149" s="94"/>
      <c r="I149" s="95"/>
      <c r="J149" s="95"/>
      <c r="K149" s="95"/>
    </row>
    <row r="150" spans="1:11" ht="13.5" customHeight="1" x14ac:dyDescent="0.2">
      <c r="A150" s="79"/>
      <c r="C150" s="81"/>
      <c r="D150" s="82"/>
      <c r="E150" s="83"/>
      <c r="F150" s="93"/>
      <c r="G150" s="93"/>
      <c r="I150" s="95"/>
      <c r="J150" s="95"/>
      <c r="K150" s="95"/>
    </row>
    <row r="151" spans="1:11" x14ac:dyDescent="0.2">
      <c r="A151" s="79"/>
      <c r="B151" s="80"/>
      <c r="C151" s="81"/>
      <c r="D151" s="82"/>
      <c r="E151" s="83"/>
      <c r="F151" s="93"/>
      <c r="G151" s="93"/>
      <c r="I151" s="488"/>
      <c r="J151" s="488"/>
      <c r="K151" s="488"/>
    </row>
    <row r="152" spans="1:11" x14ac:dyDescent="0.2">
      <c r="A152" s="79"/>
      <c r="B152" s="80"/>
      <c r="C152" s="81"/>
      <c r="D152" s="82"/>
      <c r="E152" s="83"/>
      <c r="F152" s="93"/>
      <c r="G152" s="93"/>
      <c r="H152" s="94"/>
      <c r="I152" s="489" t="str">
        <f>Summary!$G$10</f>
        <v>Construction Manager</v>
      </c>
      <c r="J152" s="489"/>
      <c r="K152" s="489"/>
    </row>
    <row r="153" spans="1:11" ht="13.5" customHeight="1" x14ac:dyDescent="0.2">
      <c r="A153" s="79"/>
      <c r="C153" s="81"/>
      <c r="D153" s="82"/>
      <c r="E153" s="83"/>
      <c r="F153" s="93"/>
      <c r="G153" s="93"/>
      <c r="I153" s="95"/>
      <c r="J153" s="95"/>
      <c r="K153" s="95"/>
    </row>
    <row r="154" spans="1:11" x14ac:dyDescent="0.2">
      <c r="D154" s="82"/>
      <c r="E154" s="83"/>
      <c r="F154" s="93"/>
      <c r="I154" s="96"/>
      <c r="J154" s="96"/>
      <c r="K154" s="95"/>
    </row>
    <row r="156" spans="1:11" x14ac:dyDescent="0.2">
      <c r="A156" s="58"/>
      <c r="B156" s="58"/>
      <c r="C156" s="58"/>
      <c r="D156" s="315"/>
      <c r="E156" s="316"/>
      <c r="F156" s="93"/>
      <c r="G156" s="58"/>
      <c r="H156" s="515" t="s">
        <v>182</v>
      </c>
      <c r="I156" s="516"/>
      <c r="J156" s="515" t="s">
        <v>183</v>
      </c>
      <c r="K156" s="516"/>
    </row>
    <row r="157" spans="1:11" ht="14" customHeight="1" x14ac:dyDescent="0.2">
      <c r="A157" s="58"/>
      <c r="B157" s="58"/>
      <c r="C157" s="58"/>
      <c r="D157" s="315"/>
      <c r="E157" s="316"/>
      <c r="F157" s="93"/>
      <c r="G157" s="58"/>
      <c r="H157" s="512">
        <v>863980</v>
      </c>
      <c r="I157" s="513"/>
      <c r="J157" s="512">
        <f>K145</f>
        <v>135052.62570726351</v>
      </c>
      <c r="K157" s="514"/>
    </row>
    <row r="159" spans="1:11" x14ac:dyDescent="0.2">
      <c r="A159" s="5" t="str">
        <f>Summary!$G$11</f>
        <v>PIPELINE PROJECT</v>
      </c>
    </row>
    <row r="164" spans="1:14" ht="16" x14ac:dyDescent="0.2">
      <c r="A164" s="192" t="s">
        <v>88</v>
      </c>
    </row>
    <row r="165" spans="1:14" x14ac:dyDescent="0.2">
      <c r="A165" s="5" t="s">
        <v>24</v>
      </c>
      <c r="B165" s="191" t="s">
        <v>1089</v>
      </c>
    </row>
    <row r="167" spans="1:14" x14ac:dyDescent="0.2">
      <c r="A167" s="5" t="s">
        <v>1</v>
      </c>
      <c r="B167" s="5" t="s">
        <v>105</v>
      </c>
    </row>
    <row r="168" spans="1:14" ht="16.5" customHeight="1" x14ac:dyDescent="0.2">
      <c r="A168" s="49"/>
      <c r="I168" s="2" t="s">
        <v>11</v>
      </c>
      <c r="J168" s="487">
        <v>42384</v>
      </c>
      <c r="K168" s="487"/>
    </row>
    <row r="169" spans="1:14" s="58" customFormat="1" ht="23.25" customHeight="1" x14ac:dyDescent="0.2">
      <c r="A169" s="50"/>
      <c r="B169" s="51"/>
      <c r="C169" s="52">
        <v>69435</v>
      </c>
      <c r="D169" s="53" t="s">
        <v>35</v>
      </c>
      <c r="E169" s="54">
        <v>12.443004248499999</v>
      </c>
      <c r="F169" s="55" t="s">
        <v>36</v>
      </c>
      <c r="G169" s="55" t="s">
        <v>27</v>
      </c>
      <c r="H169" s="55" t="s">
        <v>37</v>
      </c>
      <c r="I169" s="56" t="s">
        <v>38</v>
      </c>
      <c r="J169" s="56" t="s">
        <v>39</v>
      </c>
      <c r="K169" s="57" t="s">
        <v>40</v>
      </c>
      <c r="M169"/>
    </row>
    <row r="170" spans="1:14" ht="13.5" customHeight="1" x14ac:dyDescent="0.2">
      <c r="A170" s="59" t="s">
        <v>84</v>
      </c>
      <c r="B170" s="60" t="s">
        <v>74</v>
      </c>
      <c r="C170" s="61" t="s">
        <v>6</v>
      </c>
      <c r="D170" s="62">
        <v>0.02</v>
      </c>
      <c r="E170" s="63">
        <f>$E$91*D170</f>
        <v>0.24886008497000001</v>
      </c>
      <c r="F170" s="317">
        <f t="shared" ref="F170:F183" si="24">G170+H170</f>
        <v>69435</v>
      </c>
      <c r="G170" s="64">
        <v>69435</v>
      </c>
      <c r="H170" s="70"/>
      <c r="I170" s="168">
        <f>H170*E170</f>
        <v>0</v>
      </c>
      <c r="J170" s="172">
        <v>17279.599999999999</v>
      </c>
      <c r="K170" s="170">
        <v>17279.599999999999</v>
      </c>
      <c r="N170" s="330"/>
    </row>
    <row r="171" spans="1:14" ht="13.5" customHeight="1" x14ac:dyDescent="0.2">
      <c r="A171" s="65"/>
      <c r="B171" s="156" t="s">
        <v>75</v>
      </c>
      <c r="C171" s="71" t="s">
        <v>6</v>
      </c>
      <c r="D171" s="68">
        <v>0.08</v>
      </c>
      <c r="E171" s="69">
        <f>$E$91*D171</f>
        <v>0.99544033988000002</v>
      </c>
      <c r="F171" s="318">
        <f t="shared" si="24"/>
        <v>48600</v>
      </c>
      <c r="G171" s="70">
        <v>32600</v>
      </c>
      <c r="H171" s="70">
        <v>16000</v>
      </c>
      <c r="I171" s="171">
        <f t="shared" ref="I171:I181" si="25">H171*E171</f>
        <v>15927.04543808</v>
      </c>
      <c r="J171" s="172">
        <v>32451.35</v>
      </c>
      <c r="K171" s="173">
        <f t="shared" ref="K171:K176" si="26">SUM(I171:J171)</f>
        <v>48378.395438079999</v>
      </c>
      <c r="N171" s="330"/>
    </row>
    <row r="172" spans="1:14" ht="13.5" customHeight="1" x14ac:dyDescent="0.2">
      <c r="A172" s="65"/>
      <c r="B172" s="66" t="s">
        <v>215</v>
      </c>
      <c r="C172" s="67" t="s">
        <v>6</v>
      </c>
      <c r="D172" s="68">
        <v>7.0000000000000007E-2</v>
      </c>
      <c r="E172" s="69">
        <f>$E$91*D172</f>
        <v>0.87101029739500002</v>
      </c>
      <c r="F172" s="318">
        <f t="shared" si="24"/>
        <v>40800</v>
      </c>
      <c r="G172" s="70">
        <v>24400</v>
      </c>
      <c r="H172" s="70">
        <v>16400</v>
      </c>
      <c r="I172" s="171">
        <f t="shared" si="25"/>
        <v>14284.568877277999</v>
      </c>
      <c r="J172" s="172">
        <v>21252.65</v>
      </c>
      <c r="K172" s="173">
        <f t="shared" si="26"/>
        <v>35537.218877277999</v>
      </c>
    </row>
    <row r="173" spans="1:14" ht="13.5" customHeight="1" x14ac:dyDescent="0.2">
      <c r="A173" s="65"/>
      <c r="B173" s="66" t="s">
        <v>41</v>
      </c>
      <c r="C173" s="67" t="s">
        <v>6</v>
      </c>
      <c r="D173" s="68">
        <v>7.0000000000000007E-2</v>
      </c>
      <c r="E173" s="69">
        <f t="shared" ref="E173:E181" si="27">$E$91*D173</f>
        <v>0.87101029739500002</v>
      </c>
      <c r="F173" s="318">
        <f t="shared" si="24"/>
        <v>32200</v>
      </c>
      <c r="G173" s="70">
        <v>16100</v>
      </c>
      <c r="H173" s="70">
        <v>16100</v>
      </c>
      <c r="I173" s="171">
        <f t="shared" si="25"/>
        <v>14023.2657880595</v>
      </c>
      <c r="J173" s="172">
        <v>14023.26</v>
      </c>
      <c r="K173" s="173">
        <f t="shared" si="26"/>
        <v>28046.525788059502</v>
      </c>
    </row>
    <row r="174" spans="1:14" ht="13.5" customHeight="1" x14ac:dyDescent="0.2">
      <c r="A174" s="65"/>
      <c r="B174" s="66" t="s">
        <v>42</v>
      </c>
      <c r="C174" s="67" t="s">
        <v>6</v>
      </c>
      <c r="D174" s="68">
        <v>0.17</v>
      </c>
      <c r="E174" s="69">
        <f t="shared" si="27"/>
        <v>2.1153107222450003</v>
      </c>
      <c r="F174" s="318">
        <f t="shared" si="24"/>
        <v>29100</v>
      </c>
      <c r="G174" s="70">
        <v>12800</v>
      </c>
      <c r="H174" s="70">
        <v>16300</v>
      </c>
      <c r="I174" s="171">
        <f t="shared" si="25"/>
        <v>34479.564772593505</v>
      </c>
      <c r="J174" s="172">
        <v>27075.98</v>
      </c>
      <c r="K174" s="173">
        <f t="shared" si="26"/>
        <v>61555.544772593508</v>
      </c>
    </row>
    <row r="175" spans="1:14" ht="13.5" customHeight="1" x14ac:dyDescent="0.2">
      <c r="A175" s="65"/>
      <c r="B175" s="66" t="s">
        <v>76</v>
      </c>
      <c r="C175" s="67" t="s">
        <v>6</v>
      </c>
      <c r="D175" s="68">
        <v>0.08</v>
      </c>
      <c r="E175" s="69">
        <f t="shared" si="27"/>
        <v>0.99544033988000002</v>
      </c>
      <c r="F175" s="318">
        <f t="shared" si="24"/>
        <v>21200</v>
      </c>
      <c r="G175" s="70">
        <v>6900</v>
      </c>
      <c r="H175" s="70">
        <v>14300</v>
      </c>
      <c r="I175" s="171">
        <f t="shared" si="25"/>
        <v>14234.796860284001</v>
      </c>
      <c r="J175" s="172">
        <v>6868.54</v>
      </c>
      <c r="K175" s="173">
        <f t="shared" si="26"/>
        <v>21103.336860284002</v>
      </c>
    </row>
    <row r="176" spans="1:14" ht="13.5" customHeight="1" x14ac:dyDescent="0.2">
      <c r="A176" s="65"/>
      <c r="B176" s="66" t="s">
        <v>77</v>
      </c>
      <c r="C176" s="67" t="s">
        <v>6</v>
      </c>
      <c r="D176" s="68">
        <v>7.0000000000000007E-2</v>
      </c>
      <c r="E176" s="69">
        <f t="shared" si="27"/>
        <v>0.87101029739500002</v>
      </c>
      <c r="F176" s="318">
        <f t="shared" si="24"/>
        <v>20400</v>
      </c>
      <c r="G176" s="70">
        <v>6900</v>
      </c>
      <c r="H176" s="70">
        <v>13500</v>
      </c>
      <c r="I176" s="171">
        <f t="shared" si="25"/>
        <v>11758.639014832501</v>
      </c>
      <c r="J176" s="172">
        <v>6009.97</v>
      </c>
      <c r="K176" s="173">
        <f t="shared" si="26"/>
        <v>17768.609014832502</v>
      </c>
    </row>
    <row r="177" spans="1:11" ht="13.5" customHeight="1" x14ac:dyDescent="0.2">
      <c r="A177" s="65"/>
      <c r="B177" s="66" t="s">
        <v>43</v>
      </c>
      <c r="C177" s="67" t="s">
        <v>6</v>
      </c>
      <c r="D177" s="68">
        <v>0.08</v>
      </c>
      <c r="E177" s="69">
        <f t="shared" si="27"/>
        <v>0.99544033988000002</v>
      </c>
      <c r="F177" s="318">
        <f t="shared" si="24"/>
        <v>20200</v>
      </c>
      <c r="G177" s="70">
        <v>6900</v>
      </c>
      <c r="H177" s="70">
        <v>13300</v>
      </c>
      <c r="I177" s="171">
        <f t="shared" si="25"/>
        <v>13239.356520404001</v>
      </c>
      <c r="J177" s="172">
        <v>6868.54</v>
      </c>
      <c r="K177" s="173">
        <f>SUM(I177:J177)</f>
        <v>20107.896520404</v>
      </c>
    </row>
    <row r="178" spans="1:11" ht="13.5" customHeight="1" x14ac:dyDescent="0.2">
      <c r="A178" s="65"/>
      <c r="B178" s="66" t="s">
        <v>78</v>
      </c>
      <c r="C178" s="67" t="s">
        <v>6</v>
      </c>
      <c r="D178" s="68">
        <v>7.0000000000000007E-2</v>
      </c>
      <c r="E178" s="69">
        <f t="shared" si="27"/>
        <v>0.87101029739500002</v>
      </c>
      <c r="F178" s="318">
        <f t="shared" si="24"/>
        <v>7600</v>
      </c>
      <c r="G178" s="70">
        <v>3700</v>
      </c>
      <c r="H178" s="70">
        <v>3900</v>
      </c>
      <c r="I178" s="171">
        <f t="shared" si="25"/>
        <v>3396.9401598405002</v>
      </c>
      <c r="J178" s="172">
        <v>3222.74</v>
      </c>
      <c r="K178" s="173">
        <f t="shared" ref="K178:K183" si="28">SUM(I178:J178)</f>
        <v>6619.6801598405</v>
      </c>
    </row>
    <row r="179" spans="1:11" ht="13.5" customHeight="1" x14ac:dyDescent="0.2">
      <c r="A179" s="65"/>
      <c r="B179" s="66" t="s">
        <v>44</v>
      </c>
      <c r="C179" s="67" t="s">
        <v>6</v>
      </c>
      <c r="D179" s="68">
        <v>7.0000000000000007E-2</v>
      </c>
      <c r="E179" s="69">
        <f t="shared" si="27"/>
        <v>0.87101029739500002</v>
      </c>
      <c r="F179" s="318">
        <f t="shared" si="24"/>
        <v>0</v>
      </c>
      <c r="G179" s="70"/>
      <c r="H179" s="70"/>
      <c r="I179" s="171">
        <f t="shared" si="25"/>
        <v>0</v>
      </c>
      <c r="J179" s="172">
        <f t="shared" ref="J179:J183" si="29">G179*E179</f>
        <v>0</v>
      </c>
      <c r="K179" s="173">
        <f t="shared" si="28"/>
        <v>0</v>
      </c>
    </row>
    <row r="180" spans="1:11" ht="13.5" customHeight="1" x14ac:dyDescent="0.2">
      <c r="A180" s="65"/>
      <c r="B180" s="66" t="s">
        <v>79</v>
      </c>
      <c r="C180" s="67" t="s">
        <v>6</v>
      </c>
      <c r="D180" s="68">
        <v>0.05</v>
      </c>
      <c r="E180" s="69">
        <f t="shared" si="27"/>
        <v>0.62215021242500002</v>
      </c>
      <c r="F180" s="318">
        <f t="shared" si="24"/>
        <v>0</v>
      </c>
      <c r="G180" s="70"/>
      <c r="H180" s="70"/>
      <c r="I180" s="171">
        <f t="shared" si="25"/>
        <v>0</v>
      </c>
      <c r="J180" s="172">
        <f t="shared" si="29"/>
        <v>0</v>
      </c>
      <c r="K180" s="173">
        <f t="shared" si="28"/>
        <v>0</v>
      </c>
    </row>
    <row r="181" spans="1:11" ht="13.5" customHeight="1" x14ac:dyDescent="0.2">
      <c r="A181" s="65"/>
      <c r="B181" s="66" t="s">
        <v>80</v>
      </c>
      <c r="C181" s="71" t="s">
        <v>6</v>
      </c>
      <c r="D181" s="68">
        <v>0.09</v>
      </c>
      <c r="E181" s="69">
        <f t="shared" si="27"/>
        <v>1.1198703823649998</v>
      </c>
      <c r="F181" s="318">
        <f t="shared" si="24"/>
        <v>0</v>
      </c>
      <c r="G181" s="70"/>
      <c r="H181" s="70"/>
      <c r="I181" s="171">
        <f t="shared" si="25"/>
        <v>0</v>
      </c>
      <c r="J181" s="172">
        <f t="shared" si="29"/>
        <v>0</v>
      </c>
      <c r="K181" s="173">
        <f t="shared" si="28"/>
        <v>0</v>
      </c>
    </row>
    <row r="182" spans="1:11" ht="13.5" customHeight="1" x14ac:dyDescent="0.2">
      <c r="A182" s="65"/>
      <c r="B182" s="156" t="s">
        <v>81</v>
      </c>
      <c r="C182" s="71" t="s">
        <v>6</v>
      </c>
      <c r="D182" s="68">
        <v>0.02</v>
      </c>
      <c r="E182" s="69">
        <f>$E$91*D182</f>
        <v>0.24886008497000001</v>
      </c>
      <c r="F182" s="318">
        <f t="shared" si="24"/>
        <v>0</v>
      </c>
      <c r="G182" s="70"/>
      <c r="H182" s="70"/>
      <c r="I182" s="171">
        <f>H182*E182</f>
        <v>0</v>
      </c>
      <c r="J182" s="172">
        <f t="shared" si="29"/>
        <v>0</v>
      </c>
      <c r="K182" s="173">
        <f t="shared" si="28"/>
        <v>0</v>
      </c>
    </row>
    <row r="183" spans="1:11" ht="13.5" customHeight="1" thickBot="1" x14ac:dyDescent="0.25">
      <c r="A183" s="65"/>
      <c r="B183" s="66" t="s">
        <v>82</v>
      </c>
      <c r="C183" s="71" t="s">
        <v>6</v>
      </c>
      <c r="D183" s="68">
        <v>0.06</v>
      </c>
      <c r="E183" s="69">
        <f t="shared" ref="E183" si="30">$E$91*D183</f>
        <v>0.74658025490999991</v>
      </c>
      <c r="F183" s="318">
        <f t="shared" si="24"/>
        <v>0</v>
      </c>
      <c r="G183" s="70"/>
      <c r="H183" s="70"/>
      <c r="I183" s="171">
        <f t="shared" ref="I183" si="31">H183*E183</f>
        <v>0</v>
      </c>
      <c r="J183" s="172">
        <f t="shared" si="29"/>
        <v>0</v>
      </c>
      <c r="K183" s="173">
        <f t="shared" si="28"/>
        <v>0</v>
      </c>
    </row>
    <row r="184" spans="1:11" ht="13.5" customHeight="1" x14ac:dyDescent="0.2">
      <c r="A184" s="72"/>
      <c r="B184" s="73"/>
      <c r="C184" s="74"/>
      <c r="D184" s="75">
        <f>SUM(D170:D183)</f>
        <v>1</v>
      </c>
      <c r="E184" s="76">
        <f>SUM(E170:E183)</f>
        <v>12.443004248500001</v>
      </c>
      <c r="F184" s="77"/>
      <c r="G184" s="77"/>
      <c r="H184" s="78" t="s">
        <v>83</v>
      </c>
      <c r="I184" s="174">
        <f>SUM(I170:I183)</f>
        <v>121344.17743137199</v>
      </c>
      <c r="J184" s="174">
        <f>SUM(J170:J183)</f>
        <v>135052.62999999998</v>
      </c>
      <c r="K184" s="175">
        <f>SUM(K170:K183)</f>
        <v>256396.80743137203</v>
      </c>
    </row>
    <row r="185" spans="1:11" ht="9.75" customHeight="1" x14ac:dyDescent="0.2">
      <c r="A185" s="79"/>
      <c r="B185" s="80"/>
      <c r="C185" s="81"/>
      <c r="D185" s="82"/>
      <c r="E185" s="83"/>
      <c r="F185" s="84"/>
      <c r="G185" s="84"/>
      <c r="H185" s="85"/>
      <c r="I185" s="176"/>
      <c r="J185" s="176"/>
      <c r="K185" s="176"/>
    </row>
    <row r="186" spans="1:11" ht="11.25" customHeight="1" x14ac:dyDescent="0.2">
      <c r="D186" s="86"/>
      <c r="E186" s="87"/>
      <c r="F186" s="88"/>
      <c r="G186" s="88"/>
      <c r="H186" s="89"/>
      <c r="I186" s="177"/>
      <c r="J186" s="177"/>
      <c r="K186" s="177"/>
    </row>
    <row r="187" spans="1:11" ht="13.5" customHeight="1" x14ac:dyDescent="0.2">
      <c r="A187" s="4" t="str">
        <f>Summary!$G$9</f>
        <v>Contractor</v>
      </c>
      <c r="D187" s="90"/>
      <c r="E187" s="91"/>
      <c r="F187" s="92"/>
      <c r="G187" s="88"/>
      <c r="H187" s="89"/>
      <c r="I187" s="177"/>
      <c r="J187" s="177"/>
      <c r="K187" s="177"/>
    </row>
    <row r="188" spans="1:11" ht="13.5" customHeight="1" x14ac:dyDescent="0.2">
      <c r="A188" s="79"/>
      <c r="B188" s="80"/>
      <c r="C188" s="81"/>
      <c r="D188" s="82"/>
      <c r="E188" s="83"/>
      <c r="F188" s="93"/>
      <c r="G188" s="93"/>
      <c r="H188" s="94"/>
      <c r="I188" s="95"/>
      <c r="J188" s="95"/>
      <c r="K188" s="95"/>
    </row>
    <row r="189" spans="1:11" ht="13.5" customHeight="1" x14ac:dyDescent="0.2">
      <c r="A189" s="79"/>
      <c r="C189" s="81"/>
      <c r="D189" s="82"/>
      <c r="E189" s="83"/>
      <c r="F189" s="93"/>
      <c r="G189" s="93"/>
      <c r="I189" s="95"/>
      <c r="J189" s="95"/>
      <c r="K189" s="95"/>
    </row>
    <row r="190" spans="1:11" x14ac:dyDescent="0.2">
      <c r="A190" s="79"/>
      <c r="B190" s="80"/>
      <c r="C190" s="81"/>
      <c r="D190" s="82"/>
      <c r="E190" s="83"/>
      <c r="F190" s="93"/>
      <c r="G190" s="93"/>
      <c r="I190" s="488"/>
      <c r="J190" s="488"/>
      <c r="K190" s="488"/>
    </row>
    <row r="191" spans="1:11" x14ac:dyDescent="0.2">
      <c r="A191" s="79"/>
      <c r="B191" s="80"/>
      <c r="C191" s="81"/>
      <c r="D191" s="82"/>
      <c r="E191" s="83"/>
      <c r="F191" s="93"/>
      <c r="G191" s="93"/>
      <c r="H191" s="94"/>
      <c r="I191" s="489" t="str">
        <f>Summary!$G$10</f>
        <v>Construction Manager</v>
      </c>
      <c r="J191" s="489"/>
      <c r="K191" s="489"/>
    </row>
    <row r="192" spans="1:11" ht="13.5" customHeight="1" x14ac:dyDescent="0.2">
      <c r="A192" s="79"/>
      <c r="C192" s="81"/>
      <c r="D192" s="82"/>
      <c r="E192" s="83"/>
      <c r="F192" s="93"/>
      <c r="G192" s="93"/>
      <c r="I192" s="95"/>
      <c r="J192" s="95"/>
      <c r="K192" s="95"/>
    </row>
    <row r="193" spans="1:11" x14ac:dyDescent="0.2">
      <c r="D193" s="82"/>
      <c r="E193" s="83"/>
      <c r="F193" s="93"/>
      <c r="I193" s="96"/>
      <c r="J193" s="96"/>
      <c r="K193" s="95"/>
    </row>
    <row r="195" spans="1:11" x14ac:dyDescent="0.2">
      <c r="A195" s="58"/>
      <c r="B195" s="58"/>
      <c r="C195" s="58"/>
      <c r="D195" s="315"/>
      <c r="E195" s="316"/>
      <c r="F195" s="93"/>
      <c r="G195" s="58"/>
      <c r="H195" s="515" t="s">
        <v>182</v>
      </c>
      <c r="I195" s="516"/>
      <c r="J195" s="515" t="s">
        <v>183</v>
      </c>
      <c r="K195" s="516"/>
    </row>
    <row r="196" spans="1:11" ht="14" customHeight="1" x14ac:dyDescent="0.2">
      <c r="A196" s="58"/>
      <c r="B196" s="58"/>
      <c r="C196" s="58"/>
      <c r="D196" s="315"/>
      <c r="E196" s="316"/>
      <c r="F196" s="93"/>
      <c r="G196" s="58"/>
      <c r="H196" s="512">
        <v>863980</v>
      </c>
      <c r="I196" s="513"/>
      <c r="J196" s="512">
        <f>K184</f>
        <v>256396.80743137203</v>
      </c>
      <c r="K196" s="514"/>
    </row>
    <row r="198" spans="1:11" x14ac:dyDescent="0.2">
      <c r="A198" s="5" t="str">
        <f>Summary!$G$11</f>
        <v>PIPELINE PROJECT</v>
      </c>
    </row>
    <row r="203" spans="1:11" ht="16" x14ac:dyDescent="0.2">
      <c r="A203" s="192" t="s">
        <v>88</v>
      </c>
    </row>
    <row r="204" spans="1:11" x14ac:dyDescent="0.2">
      <c r="A204" s="5" t="s">
        <v>24</v>
      </c>
      <c r="B204" s="191" t="s">
        <v>1089</v>
      </c>
    </row>
    <row r="206" spans="1:11" x14ac:dyDescent="0.2">
      <c r="A206" s="5" t="s">
        <v>1</v>
      </c>
      <c r="B206" s="5" t="s">
        <v>105</v>
      </c>
    </row>
    <row r="207" spans="1:11" ht="16.5" customHeight="1" x14ac:dyDescent="0.2">
      <c r="A207" s="49"/>
      <c r="I207" s="2" t="s">
        <v>11</v>
      </c>
      <c r="J207" s="487">
        <v>42400</v>
      </c>
      <c r="K207" s="487"/>
    </row>
    <row r="208" spans="1:11" s="58" customFormat="1" ht="23.25" customHeight="1" x14ac:dyDescent="0.15">
      <c r="A208" s="50"/>
      <c r="B208" s="51"/>
      <c r="C208" s="52">
        <v>69435</v>
      </c>
      <c r="D208" s="53" t="s">
        <v>35</v>
      </c>
      <c r="E208" s="54">
        <v>12.443004248499999</v>
      </c>
      <c r="F208" s="55" t="s">
        <v>36</v>
      </c>
      <c r="G208" s="55" t="s">
        <v>27</v>
      </c>
      <c r="H208" s="55" t="s">
        <v>37</v>
      </c>
      <c r="I208" s="56" t="s">
        <v>38</v>
      </c>
      <c r="J208" s="56" t="s">
        <v>39</v>
      </c>
      <c r="K208" s="57" t="s">
        <v>40</v>
      </c>
    </row>
    <row r="209" spans="1:14" ht="13.5" customHeight="1" x14ac:dyDescent="0.2">
      <c r="A209" s="59" t="s">
        <v>84</v>
      </c>
      <c r="B209" s="60" t="s">
        <v>74</v>
      </c>
      <c r="C209" s="61" t="s">
        <v>6</v>
      </c>
      <c r="D209" s="62">
        <v>0.02</v>
      </c>
      <c r="E209" s="63">
        <f>$E$91*D209</f>
        <v>0.24886008497000001</v>
      </c>
      <c r="F209" s="317">
        <f t="shared" ref="F209:F222" si="32">G209+H209</f>
        <v>69435</v>
      </c>
      <c r="G209" s="64">
        <v>69435</v>
      </c>
      <c r="H209" s="70"/>
      <c r="I209" s="168">
        <f>H209*E209</f>
        <v>0</v>
      </c>
      <c r="J209" s="172">
        <v>17279.599999999999</v>
      </c>
      <c r="K209" s="170">
        <v>17279.599999999999</v>
      </c>
      <c r="M209" s="58"/>
      <c r="N209" s="58"/>
    </row>
    <row r="210" spans="1:14" ht="13.5" customHeight="1" x14ac:dyDescent="0.2">
      <c r="A210" s="65"/>
      <c r="B210" s="156" t="s">
        <v>75</v>
      </c>
      <c r="C210" s="71" t="s">
        <v>6</v>
      </c>
      <c r="D210" s="68">
        <v>0.08</v>
      </c>
      <c r="E210" s="69">
        <f>$E$91*D210</f>
        <v>0.99544033988000002</v>
      </c>
      <c r="F210" s="318">
        <f t="shared" si="32"/>
        <v>59700</v>
      </c>
      <c r="G210" s="70">
        <v>48600</v>
      </c>
      <c r="H210" s="70">
        <v>11100</v>
      </c>
      <c r="I210" s="171">
        <f t="shared" ref="I210:I220" si="33">H210*E210</f>
        <v>11049.387772668</v>
      </c>
      <c r="J210" s="172">
        <v>48378.394999999997</v>
      </c>
      <c r="K210" s="173">
        <f t="shared" ref="K210:K215" si="34">SUM(I210:J210)</f>
        <v>59427.782772667997</v>
      </c>
      <c r="M210" s="58"/>
      <c r="N210" s="58"/>
    </row>
    <row r="211" spans="1:14" ht="13.5" customHeight="1" x14ac:dyDescent="0.2">
      <c r="A211" s="65"/>
      <c r="B211" s="66" t="s">
        <v>215</v>
      </c>
      <c r="C211" s="67" t="s">
        <v>6</v>
      </c>
      <c r="D211" s="68">
        <v>7.0000000000000007E-2</v>
      </c>
      <c r="E211" s="69">
        <f>$E$91*D211</f>
        <v>0.87101029739500002</v>
      </c>
      <c r="F211" s="318">
        <f t="shared" si="32"/>
        <v>51600</v>
      </c>
      <c r="G211" s="70">
        <v>40800</v>
      </c>
      <c r="H211" s="70">
        <v>10800</v>
      </c>
      <c r="I211" s="171">
        <f t="shared" si="33"/>
        <v>9406.9112118659996</v>
      </c>
      <c r="J211" s="172">
        <v>35537.22</v>
      </c>
      <c r="K211" s="173">
        <f t="shared" si="34"/>
        <v>44944.131211865999</v>
      </c>
      <c r="N211" s="58"/>
    </row>
    <row r="212" spans="1:14" ht="13.5" customHeight="1" x14ac:dyDescent="0.2">
      <c r="A212" s="65"/>
      <c r="B212" s="66" t="s">
        <v>41</v>
      </c>
      <c r="C212" s="67" t="s">
        <v>6</v>
      </c>
      <c r="D212" s="68">
        <v>7.0000000000000007E-2</v>
      </c>
      <c r="E212" s="69">
        <f t="shared" ref="E212:E220" si="35">$E$91*D212</f>
        <v>0.87101029739500002</v>
      </c>
      <c r="F212" s="318">
        <f t="shared" si="32"/>
        <v>47600</v>
      </c>
      <c r="G212" s="70">
        <v>32200</v>
      </c>
      <c r="H212" s="70">
        <v>15400</v>
      </c>
      <c r="I212" s="171">
        <f t="shared" si="33"/>
        <v>13413.558579883</v>
      </c>
      <c r="J212" s="172">
        <v>28046.525699999998</v>
      </c>
      <c r="K212" s="173">
        <f t="shared" si="34"/>
        <v>41460.084279882998</v>
      </c>
    </row>
    <row r="213" spans="1:14" ht="13.5" customHeight="1" x14ac:dyDescent="0.2">
      <c r="A213" s="65"/>
      <c r="B213" s="66" t="s">
        <v>42</v>
      </c>
      <c r="C213" s="67" t="s">
        <v>6</v>
      </c>
      <c r="D213" s="68">
        <v>0.17</v>
      </c>
      <c r="E213" s="69">
        <f t="shared" si="35"/>
        <v>2.1153107222450003</v>
      </c>
      <c r="F213" s="318">
        <f t="shared" si="32"/>
        <v>41900</v>
      </c>
      <c r="G213" s="70">
        <v>29100</v>
      </c>
      <c r="H213" s="70">
        <v>12800</v>
      </c>
      <c r="I213" s="171">
        <f t="shared" si="33"/>
        <v>27075.977244736005</v>
      </c>
      <c r="J213" s="172">
        <v>61555.54</v>
      </c>
      <c r="K213" s="173">
        <f t="shared" si="34"/>
        <v>88631.517244736009</v>
      </c>
    </row>
    <row r="214" spans="1:14" ht="13.5" customHeight="1" x14ac:dyDescent="0.2">
      <c r="A214" s="65"/>
      <c r="B214" s="66" t="s">
        <v>76</v>
      </c>
      <c r="C214" s="67" t="s">
        <v>6</v>
      </c>
      <c r="D214" s="68">
        <v>0.08</v>
      </c>
      <c r="E214" s="69">
        <f t="shared" si="35"/>
        <v>0.99544033988000002</v>
      </c>
      <c r="F214" s="318">
        <f t="shared" si="32"/>
        <v>36000</v>
      </c>
      <c r="G214" s="70">
        <v>21200</v>
      </c>
      <c r="H214" s="70">
        <v>14800</v>
      </c>
      <c r="I214" s="171">
        <f t="shared" si="33"/>
        <v>14732.517030224</v>
      </c>
      <c r="J214" s="172">
        <v>21103.34</v>
      </c>
      <c r="K214" s="173">
        <f t="shared" si="34"/>
        <v>35835.857030223997</v>
      </c>
    </row>
    <row r="215" spans="1:14" ht="13.5" customHeight="1" x14ac:dyDescent="0.2">
      <c r="A215" s="65"/>
      <c r="B215" s="66" t="s">
        <v>77</v>
      </c>
      <c r="C215" s="67" t="s">
        <v>6</v>
      </c>
      <c r="D215" s="68">
        <v>7.0000000000000007E-2</v>
      </c>
      <c r="E215" s="69">
        <f t="shared" si="35"/>
        <v>0.87101029739500002</v>
      </c>
      <c r="F215" s="318">
        <f t="shared" si="32"/>
        <v>36000</v>
      </c>
      <c r="G215" s="70">
        <v>20400</v>
      </c>
      <c r="H215" s="70">
        <v>15600</v>
      </c>
      <c r="I215" s="171">
        <f t="shared" si="33"/>
        <v>13587.760639362001</v>
      </c>
      <c r="J215" s="172">
        <v>17768.61</v>
      </c>
      <c r="K215" s="173">
        <f t="shared" si="34"/>
        <v>31356.370639362001</v>
      </c>
    </row>
    <row r="216" spans="1:14" ht="13.5" customHeight="1" x14ac:dyDescent="0.2">
      <c r="A216" s="65"/>
      <c r="B216" s="66" t="s">
        <v>43</v>
      </c>
      <c r="C216" s="67" t="s">
        <v>6</v>
      </c>
      <c r="D216" s="68">
        <v>0.08</v>
      </c>
      <c r="E216" s="69">
        <f t="shared" si="35"/>
        <v>0.99544033988000002</v>
      </c>
      <c r="F216" s="318">
        <f t="shared" si="32"/>
        <v>35900</v>
      </c>
      <c r="G216" s="70">
        <v>20200</v>
      </c>
      <c r="H216" s="70">
        <v>15700</v>
      </c>
      <c r="I216" s="171">
        <f t="shared" si="33"/>
        <v>15628.413336116</v>
      </c>
      <c r="J216" s="172">
        <v>20107.900000000001</v>
      </c>
      <c r="K216" s="173">
        <f>SUM(I216:J216)</f>
        <v>35736.313336116</v>
      </c>
    </row>
    <row r="217" spans="1:14" ht="13.5" customHeight="1" x14ac:dyDescent="0.2">
      <c r="A217" s="65"/>
      <c r="B217" s="66" t="s">
        <v>78</v>
      </c>
      <c r="C217" s="67" t="s">
        <v>6</v>
      </c>
      <c r="D217" s="68">
        <v>7.0000000000000007E-2</v>
      </c>
      <c r="E217" s="69">
        <f t="shared" si="35"/>
        <v>0.87101029739500002</v>
      </c>
      <c r="F217" s="318">
        <f t="shared" si="32"/>
        <v>14600</v>
      </c>
      <c r="G217" s="70">
        <v>7600</v>
      </c>
      <c r="H217" s="70">
        <v>7000</v>
      </c>
      <c r="I217" s="171">
        <f t="shared" si="33"/>
        <v>6097.0720817649999</v>
      </c>
      <c r="J217" s="172">
        <v>6619.68</v>
      </c>
      <c r="K217" s="173">
        <f t="shared" ref="K217:K222" si="36">SUM(I217:J217)</f>
        <v>12716.752081765</v>
      </c>
    </row>
    <row r="218" spans="1:14" ht="13.5" customHeight="1" x14ac:dyDescent="0.2">
      <c r="A218" s="65"/>
      <c r="B218" s="66" t="s">
        <v>44</v>
      </c>
      <c r="C218" s="67" t="s">
        <v>6</v>
      </c>
      <c r="D218" s="68">
        <v>7.0000000000000007E-2</v>
      </c>
      <c r="E218" s="69">
        <f t="shared" si="35"/>
        <v>0.87101029739500002</v>
      </c>
      <c r="F218" s="318">
        <f t="shared" si="32"/>
        <v>0</v>
      </c>
      <c r="G218" s="70"/>
      <c r="H218" s="70"/>
      <c r="I218" s="171">
        <f t="shared" si="33"/>
        <v>0</v>
      </c>
      <c r="J218" s="172">
        <f t="shared" ref="J218:J222" si="37">G218*E218</f>
        <v>0</v>
      </c>
      <c r="K218" s="173">
        <f t="shared" si="36"/>
        <v>0</v>
      </c>
    </row>
    <row r="219" spans="1:14" ht="13.5" customHeight="1" x14ac:dyDescent="0.2">
      <c r="A219" s="65"/>
      <c r="B219" s="66" t="s">
        <v>79</v>
      </c>
      <c r="C219" s="67" t="s">
        <v>6</v>
      </c>
      <c r="D219" s="68">
        <v>0.05</v>
      </c>
      <c r="E219" s="69">
        <f t="shared" si="35"/>
        <v>0.62215021242500002</v>
      </c>
      <c r="F219" s="318">
        <f t="shared" si="32"/>
        <v>0</v>
      </c>
      <c r="G219" s="70"/>
      <c r="H219" s="70"/>
      <c r="I219" s="171">
        <f t="shared" si="33"/>
        <v>0</v>
      </c>
      <c r="J219" s="172">
        <f t="shared" si="37"/>
        <v>0</v>
      </c>
      <c r="K219" s="173">
        <f t="shared" si="36"/>
        <v>0</v>
      </c>
    </row>
    <row r="220" spans="1:14" ht="13.5" customHeight="1" x14ac:dyDescent="0.2">
      <c r="A220" s="65"/>
      <c r="B220" s="66" t="s">
        <v>80</v>
      </c>
      <c r="C220" s="71" t="s">
        <v>6</v>
      </c>
      <c r="D220" s="68">
        <v>0.09</v>
      </c>
      <c r="E220" s="69">
        <f t="shared" si="35"/>
        <v>1.1198703823649998</v>
      </c>
      <c r="F220" s="318">
        <f t="shared" si="32"/>
        <v>0</v>
      </c>
      <c r="G220" s="70"/>
      <c r="H220" s="70"/>
      <c r="I220" s="171">
        <f t="shared" si="33"/>
        <v>0</v>
      </c>
      <c r="J220" s="172">
        <f t="shared" si="37"/>
        <v>0</v>
      </c>
      <c r="K220" s="173">
        <f t="shared" si="36"/>
        <v>0</v>
      </c>
    </row>
    <row r="221" spans="1:14" ht="13.5" customHeight="1" x14ac:dyDescent="0.2">
      <c r="A221" s="65"/>
      <c r="B221" s="156" t="s">
        <v>81</v>
      </c>
      <c r="C221" s="71" t="s">
        <v>6</v>
      </c>
      <c r="D221" s="68">
        <v>0.02</v>
      </c>
      <c r="E221" s="69">
        <f>$E$91*D221</f>
        <v>0.24886008497000001</v>
      </c>
      <c r="F221" s="318">
        <f t="shared" si="32"/>
        <v>0</v>
      </c>
      <c r="G221" s="70"/>
      <c r="H221" s="70"/>
      <c r="I221" s="171">
        <f>H221*E221</f>
        <v>0</v>
      </c>
      <c r="J221" s="172">
        <f t="shared" si="37"/>
        <v>0</v>
      </c>
      <c r="K221" s="173">
        <f t="shared" si="36"/>
        <v>0</v>
      </c>
    </row>
    <row r="222" spans="1:14" ht="13.5" customHeight="1" thickBot="1" x14ac:dyDescent="0.25">
      <c r="A222" s="65"/>
      <c r="B222" s="66" t="s">
        <v>82</v>
      </c>
      <c r="C222" s="71" t="s">
        <v>6</v>
      </c>
      <c r="D222" s="68">
        <v>0.06</v>
      </c>
      <c r="E222" s="69">
        <f t="shared" ref="E222" si="38">$E$91*D222</f>
        <v>0.74658025490999991</v>
      </c>
      <c r="F222" s="318">
        <f t="shared" si="32"/>
        <v>0</v>
      </c>
      <c r="G222" s="70"/>
      <c r="H222" s="70"/>
      <c r="I222" s="171">
        <f t="shared" ref="I222" si="39">H222*E222</f>
        <v>0</v>
      </c>
      <c r="J222" s="172">
        <f t="shared" si="37"/>
        <v>0</v>
      </c>
      <c r="K222" s="173">
        <f t="shared" si="36"/>
        <v>0</v>
      </c>
    </row>
    <row r="223" spans="1:14" ht="13.5" customHeight="1" x14ac:dyDescent="0.2">
      <c r="A223" s="72"/>
      <c r="B223" s="73"/>
      <c r="C223" s="74"/>
      <c r="D223" s="75">
        <f>SUM(D209:D222)</f>
        <v>1</v>
      </c>
      <c r="E223" s="76">
        <f>SUM(E209:E222)</f>
        <v>12.443004248500001</v>
      </c>
      <c r="F223" s="77"/>
      <c r="G223" s="77"/>
      <c r="H223" s="78" t="s">
        <v>83</v>
      </c>
      <c r="I223" s="174">
        <f>SUM(I209:I222)</f>
        <v>110991.59789662001</v>
      </c>
      <c r="J223" s="174">
        <f>SUM(J209:J222)</f>
        <v>256396.8107</v>
      </c>
      <c r="K223" s="175">
        <f>SUM(K209:K222)</f>
        <v>367388.40859661996</v>
      </c>
    </row>
    <row r="224" spans="1:14" ht="9.75" customHeight="1" x14ac:dyDescent="0.2">
      <c r="A224" s="79"/>
      <c r="B224" s="80"/>
      <c r="C224" s="81"/>
      <c r="D224" s="82"/>
      <c r="E224" s="83"/>
      <c r="F224" s="84"/>
      <c r="G224" s="84"/>
      <c r="H224" s="85"/>
      <c r="I224" s="176"/>
      <c r="J224" s="176"/>
      <c r="K224" s="176"/>
    </row>
    <row r="225" spans="1:11" ht="11.25" customHeight="1" x14ac:dyDescent="0.2">
      <c r="D225" s="86"/>
      <c r="E225" s="87"/>
      <c r="F225" s="88"/>
      <c r="G225" s="88"/>
      <c r="H225" s="89"/>
      <c r="I225" s="177"/>
      <c r="J225" s="177"/>
      <c r="K225" s="177"/>
    </row>
    <row r="226" spans="1:11" ht="13.5" customHeight="1" x14ac:dyDescent="0.2">
      <c r="A226" s="4" t="str">
        <f>Summary!$G$9</f>
        <v>Contractor</v>
      </c>
      <c r="D226" s="90"/>
      <c r="E226" s="91"/>
      <c r="F226" s="92"/>
      <c r="G226" s="88"/>
      <c r="H226" s="89"/>
      <c r="I226" s="177"/>
      <c r="J226" s="177"/>
      <c r="K226" s="177"/>
    </row>
    <row r="227" spans="1:11" ht="13.5" customHeight="1" x14ac:dyDescent="0.2">
      <c r="A227" s="79"/>
      <c r="B227" s="80"/>
      <c r="C227" s="81"/>
      <c r="D227" s="82"/>
      <c r="E227" s="83"/>
      <c r="F227" s="93"/>
      <c r="G227" s="93"/>
      <c r="H227" s="94"/>
      <c r="I227" s="95"/>
      <c r="J227" s="95"/>
      <c r="K227" s="95"/>
    </row>
    <row r="228" spans="1:11" ht="13.5" customHeight="1" x14ac:dyDescent="0.2">
      <c r="A228" s="79"/>
      <c r="C228" s="81"/>
      <c r="D228" s="82"/>
      <c r="E228" s="83"/>
      <c r="F228" s="93"/>
      <c r="G228" s="93"/>
      <c r="I228" s="95"/>
      <c r="J228" s="95"/>
      <c r="K228" s="95"/>
    </row>
    <row r="229" spans="1:11" x14ac:dyDescent="0.2">
      <c r="A229" s="79"/>
      <c r="B229" s="80"/>
      <c r="C229" s="81"/>
      <c r="D229" s="82"/>
      <c r="E229" s="83"/>
      <c r="F229" s="93"/>
      <c r="G229" s="93"/>
      <c r="I229" s="488"/>
      <c r="J229" s="488"/>
      <c r="K229" s="488"/>
    </row>
    <row r="230" spans="1:11" x14ac:dyDescent="0.2">
      <c r="A230" s="79"/>
      <c r="B230" s="80"/>
      <c r="C230" s="81"/>
      <c r="D230" s="82"/>
      <c r="E230" s="83"/>
      <c r="F230" s="93"/>
      <c r="G230" s="93"/>
      <c r="H230" s="94"/>
      <c r="I230" s="489" t="str">
        <f>Summary!$G$10</f>
        <v>Construction Manager</v>
      </c>
      <c r="J230" s="489"/>
      <c r="K230" s="489"/>
    </row>
    <row r="231" spans="1:11" ht="13.5" customHeight="1" x14ac:dyDescent="0.2">
      <c r="A231" s="79"/>
      <c r="C231" s="81"/>
      <c r="D231" s="82"/>
      <c r="E231" s="83"/>
      <c r="F231" s="93"/>
      <c r="G231" s="93"/>
      <c r="I231" s="95"/>
      <c r="J231" s="95"/>
      <c r="K231" s="95"/>
    </row>
    <row r="232" spans="1:11" x14ac:dyDescent="0.2">
      <c r="D232" s="82"/>
      <c r="E232" s="83"/>
      <c r="F232" s="93"/>
      <c r="I232" s="96"/>
      <c r="J232" s="96"/>
      <c r="K232" s="95"/>
    </row>
    <row r="234" spans="1:11" x14ac:dyDescent="0.2">
      <c r="A234" s="58"/>
      <c r="B234" s="58"/>
      <c r="C234" s="58"/>
      <c r="D234" s="315"/>
      <c r="E234" s="316"/>
      <c r="F234" s="93"/>
      <c r="G234" s="58"/>
      <c r="H234" s="515" t="s">
        <v>182</v>
      </c>
      <c r="I234" s="516"/>
      <c r="J234" s="515" t="s">
        <v>183</v>
      </c>
      <c r="K234" s="516"/>
    </row>
    <row r="235" spans="1:11" ht="14" customHeight="1" x14ac:dyDescent="0.2">
      <c r="A235" s="58"/>
      <c r="B235" s="58"/>
      <c r="C235" s="58"/>
      <c r="D235" s="315"/>
      <c r="E235" s="316"/>
      <c r="F235" s="93"/>
      <c r="G235" s="58"/>
      <c r="H235" s="512">
        <v>863980</v>
      </c>
      <c r="I235" s="513"/>
      <c r="J235" s="512">
        <f>K223</f>
        <v>367388.40859661996</v>
      </c>
      <c r="K235" s="514"/>
    </row>
    <row r="237" spans="1:11" x14ac:dyDescent="0.2">
      <c r="A237" s="5" t="str">
        <f>Summary!$G$11</f>
        <v>PIPELINE PROJECT</v>
      </c>
    </row>
    <row r="242" spans="1:14" ht="16" x14ac:dyDescent="0.2">
      <c r="A242" s="192" t="s">
        <v>88</v>
      </c>
    </row>
    <row r="243" spans="1:14" x14ac:dyDescent="0.2">
      <c r="A243" s="5" t="s">
        <v>24</v>
      </c>
      <c r="B243" s="191" t="s">
        <v>1089</v>
      </c>
    </row>
    <row r="245" spans="1:14" x14ac:dyDescent="0.2">
      <c r="A245" s="5" t="s">
        <v>1</v>
      </c>
      <c r="B245" s="5" t="s">
        <v>105</v>
      </c>
    </row>
    <row r="246" spans="1:14" ht="16.5" customHeight="1" x14ac:dyDescent="0.2">
      <c r="A246" s="49"/>
      <c r="I246" s="2" t="s">
        <v>11</v>
      </c>
      <c r="J246" s="487">
        <v>42415</v>
      </c>
      <c r="K246" s="487"/>
    </row>
    <row r="247" spans="1:14" s="58" customFormat="1" ht="23.25" customHeight="1" x14ac:dyDescent="0.15">
      <c r="A247" s="50"/>
      <c r="B247" s="51"/>
      <c r="C247" s="52">
        <v>69435</v>
      </c>
      <c r="D247" s="53" t="s">
        <v>35</v>
      </c>
      <c r="E247" s="54">
        <v>12.443004248499999</v>
      </c>
      <c r="F247" s="55" t="s">
        <v>36</v>
      </c>
      <c r="G247" s="55" t="s">
        <v>27</v>
      </c>
      <c r="H247" s="55" t="s">
        <v>37</v>
      </c>
      <c r="I247" s="56" t="s">
        <v>38</v>
      </c>
      <c r="J247" s="56" t="s">
        <v>39</v>
      </c>
      <c r="K247" s="57" t="s">
        <v>40</v>
      </c>
    </row>
    <row r="248" spans="1:14" ht="13.5" customHeight="1" x14ac:dyDescent="0.2">
      <c r="A248" s="59" t="s">
        <v>84</v>
      </c>
      <c r="B248" s="60" t="s">
        <v>74</v>
      </c>
      <c r="C248" s="61" t="s">
        <v>6</v>
      </c>
      <c r="D248" s="62">
        <v>0.02</v>
      </c>
      <c r="E248" s="63">
        <f>$E$91*D248</f>
        <v>0.24886008497000001</v>
      </c>
      <c r="F248" s="317">
        <f t="shared" ref="F248:F261" si="40">G248+H248</f>
        <v>69435</v>
      </c>
      <c r="G248" s="64">
        <v>69435</v>
      </c>
      <c r="H248" s="70"/>
      <c r="I248" s="168">
        <f>H248*E248</f>
        <v>0</v>
      </c>
      <c r="J248" s="172">
        <v>17279.599999999999</v>
      </c>
      <c r="K248" s="170">
        <v>17279.599999999999</v>
      </c>
      <c r="M248" s="58"/>
      <c r="N248" s="58"/>
    </row>
    <row r="249" spans="1:14" ht="13.5" customHeight="1" x14ac:dyDescent="0.2">
      <c r="A249" s="65"/>
      <c r="B249" s="156" t="s">
        <v>75</v>
      </c>
      <c r="C249" s="71" t="s">
        <v>6</v>
      </c>
      <c r="D249" s="68">
        <v>0.08</v>
      </c>
      <c r="E249" s="69">
        <f>$E$91*D249</f>
        <v>0.99544033988000002</v>
      </c>
      <c r="F249" s="318">
        <f t="shared" si="40"/>
        <v>69435</v>
      </c>
      <c r="G249" s="70">
        <v>59700</v>
      </c>
      <c r="H249" s="70">
        <v>9735</v>
      </c>
      <c r="I249" s="171">
        <f t="shared" ref="I249:I259" si="41">H249*E249</f>
        <v>9690.6117087317998</v>
      </c>
      <c r="J249" s="172">
        <v>59427.782772667997</v>
      </c>
      <c r="K249" s="173">
        <f t="shared" ref="K249:K254" si="42">SUM(I249:J249)</f>
        <v>69118.394481399795</v>
      </c>
      <c r="M249" s="58"/>
      <c r="N249" s="58"/>
    </row>
    <row r="250" spans="1:14" ht="13.5" customHeight="1" x14ac:dyDescent="0.2">
      <c r="A250" s="65"/>
      <c r="B250" s="66" t="s">
        <v>215</v>
      </c>
      <c r="C250" s="67" t="s">
        <v>6</v>
      </c>
      <c r="D250" s="68">
        <v>7.0000000000000007E-2</v>
      </c>
      <c r="E250" s="69">
        <f>$E$91*D250</f>
        <v>0.87101029739500002</v>
      </c>
      <c r="F250" s="318">
        <f t="shared" si="40"/>
        <v>64400</v>
      </c>
      <c r="G250" s="70">
        <v>51600</v>
      </c>
      <c r="H250" s="70">
        <v>12800</v>
      </c>
      <c r="I250" s="171">
        <f t="shared" si="41"/>
        <v>11148.931806656001</v>
      </c>
      <c r="J250" s="172">
        <v>44944.131211865999</v>
      </c>
      <c r="K250" s="173">
        <f t="shared" si="42"/>
        <v>56093.063018522</v>
      </c>
    </row>
    <row r="251" spans="1:14" ht="13.5" customHeight="1" x14ac:dyDescent="0.2">
      <c r="A251" s="65"/>
      <c r="B251" s="66" t="s">
        <v>41</v>
      </c>
      <c r="C251" s="67" t="s">
        <v>6</v>
      </c>
      <c r="D251" s="68">
        <v>7.0000000000000007E-2</v>
      </c>
      <c r="E251" s="69">
        <f t="shared" ref="E251:E259" si="43">$E$91*D251</f>
        <v>0.87101029739500002</v>
      </c>
      <c r="F251" s="318">
        <f t="shared" si="40"/>
        <v>58600</v>
      </c>
      <c r="G251" s="70">
        <v>47600</v>
      </c>
      <c r="H251" s="70">
        <v>11000</v>
      </c>
      <c r="I251" s="171">
        <f t="shared" si="41"/>
        <v>9581.1132713450006</v>
      </c>
      <c r="J251" s="172">
        <v>41460.084279882998</v>
      </c>
      <c r="K251" s="173">
        <f t="shared" si="42"/>
        <v>51041.197551227997</v>
      </c>
    </row>
    <row r="252" spans="1:14" ht="13.5" customHeight="1" x14ac:dyDescent="0.2">
      <c r="A252" s="65"/>
      <c r="B252" s="66" t="s">
        <v>42</v>
      </c>
      <c r="C252" s="67" t="s">
        <v>6</v>
      </c>
      <c r="D252" s="68">
        <v>0.17</v>
      </c>
      <c r="E252" s="69">
        <f t="shared" si="43"/>
        <v>2.1153107222450003</v>
      </c>
      <c r="F252" s="318">
        <f t="shared" si="40"/>
        <v>55900</v>
      </c>
      <c r="G252" s="70">
        <v>41900</v>
      </c>
      <c r="H252" s="70">
        <v>14000</v>
      </c>
      <c r="I252" s="171">
        <f t="shared" si="41"/>
        <v>29614.350111430005</v>
      </c>
      <c r="J252" s="172">
        <v>88631.517244736009</v>
      </c>
      <c r="K252" s="173">
        <f t="shared" si="42"/>
        <v>118245.86735616601</v>
      </c>
    </row>
    <row r="253" spans="1:14" ht="13.5" customHeight="1" x14ac:dyDescent="0.2">
      <c r="A253" s="65"/>
      <c r="B253" s="66" t="s">
        <v>76</v>
      </c>
      <c r="C253" s="67" t="s">
        <v>6</v>
      </c>
      <c r="D253" s="68">
        <v>0.08</v>
      </c>
      <c r="E253" s="69">
        <f t="shared" si="43"/>
        <v>0.99544033988000002</v>
      </c>
      <c r="F253" s="318">
        <f t="shared" si="40"/>
        <v>51800</v>
      </c>
      <c r="G253" s="70">
        <v>36000</v>
      </c>
      <c r="H253" s="70">
        <v>15800</v>
      </c>
      <c r="I253" s="171">
        <f t="shared" si="41"/>
        <v>15727.957370104001</v>
      </c>
      <c r="J253" s="172">
        <v>35835.857030223997</v>
      </c>
      <c r="K253" s="173">
        <f t="shared" si="42"/>
        <v>51563.814400327996</v>
      </c>
    </row>
    <row r="254" spans="1:14" ht="13.5" customHeight="1" x14ac:dyDescent="0.2">
      <c r="A254" s="65"/>
      <c r="B254" s="66" t="s">
        <v>77</v>
      </c>
      <c r="C254" s="67" t="s">
        <v>6</v>
      </c>
      <c r="D254" s="68">
        <v>7.0000000000000007E-2</v>
      </c>
      <c r="E254" s="69">
        <f t="shared" si="43"/>
        <v>0.87101029739500002</v>
      </c>
      <c r="F254" s="318">
        <f t="shared" si="40"/>
        <v>51800</v>
      </c>
      <c r="G254" s="70">
        <v>36000</v>
      </c>
      <c r="H254" s="70">
        <v>15800</v>
      </c>
      <c r="I254" s="171">
        <f t="shared" si="41"/>
        <v>13761.962698841</v>
      </c>
      <c r="J254" s="172">
        <v>31356.370639362001</v>
      </c>
      <c r="K254" s="173">
        <f t="shared" si="42"/>
        <v>45118.333338203003</v>
      </c>
    </row>
    <row r="255" spans="1:14" ht="13.5" customHeight="1" x14ac:dyDescent="0.2">
      <c r="A255" s="65"/>
      <c r="B255" s="66" t="s">
        <v>43</v>
      </c>
      <c r="C255" s="67" t="s">
        <v>6</v>
      </c>
      <c r="D255" s="68">
        <v>0.08</v>
      </c>
      <c r="E255" s="69">
        <f t="shared" si="43"/>
        <v>0.99544033988000002</v>
      </c>
      <c r="F255" s="318">
        <f t="shared" si="40"/>
        <v>51800</v>
      </c>
      <c r="G255" s="70">
        <v>35900</v>
      </c>
      <c r="H255" s="70">
        <v>15900</v>
      </c>
      <c r="I255" s="171">
        <f t="shared" si="41"/>
        <v>15827.501404092</v>
      </c>
      <c r="J255" s="172">
        <v>35736.313336116</v>
      </c>
      <c r="K255" s="173">
        <f>SUM(I255:J255)</f>
        <v>51563.814740207999</v>
      </c>
    </row>
    <row r="256" spans="1:14" ht="13.5" customHeight="1" x14ac:dyDescent="0.2">
      <c r="A256" s="65"/>
      <c r="B256" s="66" t="s">
        <v>78</v>
      </c>
      <c r="C256" s="67" t="s">
        <v>6</v>
      </c>
      <c r="D256" s="68">
        <v>7.0000000000000007E-2</v>
      </c>
      <c r="E256" s="69">
        <f t="shared" si="43"/>
        <v>0.87101029739500002</v>
      </c>
      <c r="F256" s="318">
        <f t="shared" si="40"/>
        <v>31800</v>
      </c>
      <c r="G256" s="70">
        <v>14600</v>
      </c>
      <c r="H256" s="70">
        <v>17200</v>
      </c>
      <c r="I256" s="171">
        <f t="shared" si="41"/>
        <v>14981.377115194</v>
      </c>
      <c r="J256" s="172">
        <v>12716.752081765</v>
      </c>
      <c r="K256" s="173">
        <f t="shared" ref="K256:K261" si="44">SUM(I256:J256)</f>
        <v>27698.129196959002</v>
      </c>
    </row>
    <row r="257" spans="1:11" ht="13.5" customHeight="1" x14ac:dyDescent="0.2">
      <c r="A257" s="65"/>
      <c r="B257" s="66" t="s">
        <v>44</v>
      </c>
      <c r="C257" s="67" t="s">
        <v>6</v>
      </c>
      <c r="D257" s="68">
        <v>7.0000000000000007E-2</v>
      </c>
      <c r="E257" s="69">
        <f t="shared" si="43"/>
        <v>0.87101029739500002</v>
      </c>
      <c r="F257" s="318">
        <f t="shared" si="40"/>
        <v>0</v>
      </c>
      <c r="G257" s="70"/>
      <c r="H257" s="70"/>
      <c r="I257" s="171">
        <f t="shared" si="41"/>
        <v>0</v>
      </c>
      <c r="J257" s="172">
        <f t="shared" ref="J257:J261" si="45">G257*E257</f>
        <v>0</v>
      </c>
      <c r="K257" s="173">
        <f t="shared" si="44"/>
        <v>0</v>
      </c>
    </row>
    <row r="258" spans="1:11" ht="13.5" customHeight="1" x14ac:dyDescent="0.2">
      <c r="A258" s="65"/>
      <c r="B258" s="66" t="s">
        <v>79</v>
      </c>
      <c r="C258" s="67" t="s">
        <v>6</v>
      </c>
      <c r="D258" s="68">
        <v>0.05</v>
      </c>
      <c r="E258" s="69">
        <f t="shared" si="43"/>
        <v>0.62215021242500002</v>
      </c>
      <c r="F258" s="318">
        <f t="shared" si="40"/>
        <v>0</v>
      </c>
      <c r="G258" s="70"/>
      <c r="H258" s="70"/>
      <c r="I258" s="171">
        <f t="shared" si="41"/>
        <v>0</v>
      </c>
      <c r="J258" s="172">
        <f t="shared" si="45"/>
        <v>0</v>
      </c>
      <c r="K258" s="173">
        <f t="shared" si="44"/>
        <v>0</v>
      </c>
    </row>
    <row r="259" spans="1:11" ht="13.5" customHeight="1" x14ac:dyDescent="0.2">
      <c r="A259" s="65"/>
      <c r="B259" s="66" t="s">
        <v>80</v>
      </c>
      <c r="C259" s="71" t="s">
        <v>6</v>
      </c>
      <c r="D259" s="68">
        <v>0.09</v>
      </c>
      <c r="E259" s="69">
        <f t="shared" si="43"/>
        <v>1.1198703823649998</v>
      </c>
      <c r="F259" s="318">
        <f t="shared" si="40"/>
        <v>2500</v>
      </c>
      <c r="G259" s="70"/>
      <c r="H259" s="70">
        <v>2500</v>
      </c>
      <c r="I259" s="171">
        <f t="shared" si="41"/>
        <v>2799.6759559124994</v>
      </c>
      <c r="J259" s="172">
        <f t="shared" si="45"/>
        <v>0</v>
      </c>
      <c r="K259" s="173">
        <f t="shared" si="44"/>
        <v>2799.6759559124994</v>
      </c>
    </row>
    <row r="260" spans="1:11" ht="13.5" customHeight="1" x14ac:dyDescent="0.2">
      <c r="A260" s="65"/>
      <c r="B260" s="156" t="s">
        <v>81</v>
      </c>
      <c r="C260" s="71" t="s">
        <v>6</v>
      </c>
      <c r="D260" s="68">
        <v>0.02</v>
      </c>
      <c r="E260" s="69">
        <f>$E$91*D260</f>
        <v>0.24886008497000001</v>
      </c>
      <c r="F260" s="318">
        <f t="shared" si="40"/>
        <v>0</v>
      </c>
      <c r="G260" s="70"/>
      <c r="H260" s="70"/>
      <c r="I260" s="171">
        <f>H260*E260</f>
        <v>0</v>
      </c>
      <c r="J260" s="172">
        <f t="shared" si="45"/>
        <v>0</v>
      </c>
      <c r="K260" s="173">
        <f t="shared" si="44"/>
        <v>0</v>
      </c>
    </row>
    <row r="261" spans="1:11" ht="13.5" customHeight="1" thickBot="1" x14ac:dyDescent="0.25">
      <c r="A261" s="65"/>
      <c r="B261" s="66" t="s">
        <v>82</v>
      </c>
      <c r="C261" s="71" t="s">
        <v>6</v>
      </c>
      <c r="D261" s="68">
        <v>0.06</v>
      </c>
      <c r="E261" s="69">
        <f t="shared" ref="E261" si="46">$E$91*D261</f>
        <v>0.74658025490999991</v>
      </c>
      <c r="F261" s="318">
        <f t="shared" si="40"/>
        <v>0</v>
      </c>
      <c r="G261" s="70"/>
      <c r="H261" s="70"/>
      <c r="I261" s="171">
        <f t="shared" ref="I261" si="47">H261*E261</f>
        <v>0</v>
      </c>
      <c r="J261" s="172">
        <f t="shared" si="45"/>
        <v>0</v>
      </c>
      <c r="K261" s="173">
        <f t="shared" si="44"/>
        <v>0</v>
      </c>
    </row>
    <row r="262" spans="1:11" ht="13.5" customHeight="1" x14ac:dyDescent="0.2">
      <c r="A262" s="72"/>
      <c r="B262" s="73"/>
      <c r="C262" s="74"/>
      <c r="D262" s="75">
        <f>SUM(D248:D261)</f>
        <v>1</v>
      </c>
      <c r="E262" s="76">
        <f>SUM(E248:E261)</f>
        <v>12.443004248500001</v>
      </c>
      <c r="F262" s="77"/>
      <c r="G262" s="77"/>
      <c r="H262" s="78" t="s">
        <v>83</v>
      </c>
      <c r="I262" s="174">
        <f>SUM(I248:I261)</f>
        <v>123133.48144230632</v>
      </c>
      <c r="J262" s="174">
        <f>SUM(J248:J261)</f>
        <v>367388.40859661996</v>
      </c>
      <c r="K262" s="175">
        <f>SUM(K248:K261)</f>
        <v>490521.89003892627</v>
      </c>
    </row>
    <row r="263" spans="1:11" ht="9.75" customHeight="1" x14ac:dyDescent="0.2">
      <c r="A263" s="79"/>
      <c r="B263" s="80"/>
      <c r="C263" s="81"/>
      <c r="D263" s="82"/>
      <c r="E263" s="83"/>
      <c r="F263" s="84"/>
      <c r="G263" s="84"/>
      <c r="H263" s="85"/>
      <c r="I263" s="176"/>
      <c r="J263" s="176"/>
      <c r="K263" s="176"/>
    </row>
    <row r="264" spans="1:11" ht="11.25" customHeight="1" x14ac:dyDescent="0.2">
      <c r="D264" s="86"/>
      <c r="E264" s="87"/>
      <c r="F264" s="88"/>
      <c r="G264" s="88"/>
      <c r="H264" s="89"/>
      <c r="I264" s="177"/>
      <c r="J264" s="177"/>
      <c r="K264" s="177"/>
    </row>
    <row r="265" spans="1:11" ht="13.5" customHeight="1" x14ac:dyDescent="0.2">
      <c r="A265" s="4" t="str">
        <f>Summary!$G$9</f>
        <v>Contractor</v>
      </c>
      <c r="D265" s="90"/>
      <c r="E265" s="91"/>
      <c r="F265" s="92"/>
      <c r="G265" s="88"/>
      <c r="H265" s="89"/>
      <c r="I265" s="177"/>
      <c r="J265" s="177"/>
      <c r="K265" s="177"/>
    </row>
    <row r="266" spans="1:11" ht="13.5" customHeight="1" x14ac:dyDescent="0.2">
      <c r="A266" s="79"/>
      <c r="B266" s="80"/>
      <c r="C266" s="81"/>
      <c r="D266" s="82"/>
      <c r="E266" s="83"/>
      <c r="F266" s="93"/>
      <c r="G266" s="93"/>
      <c r="H266" s="94"/>
      <c r="I266" s="95"/>
      <c r="J266" s="95"/>
      <c r="K266" s="95"/>
    </row>
    <row r="267" spans="1:11" ht="13.5" customHeight="1" x14ac:dyDescent="0.2">
      <c r="A267" s="79"/>
      <c r="C267" s="81"/>
      <c r="D267" s="82"/>
      <c r="E267" s="83"/>
      <c r="F267" s="93"/>
      <c r="G267" s="93"/>
      <c r="I267" s="95"/>
      <c r="J267" s="95"/>
      <c r="K267" s="95"/>
    </row>
    <row r="268" spans="1:11" x14ac:dyDescent="0.2">
      <c r="A268" s="79"/>
      <c r="B268" s="80"/>
      <c r="C268" s="81"/>
      <c r="D268" s="82"/>
      <c r="E268" s="83"/>
      <c r="F268" s="93"/>
      <c r="G268" s="93"/>
      <c r="I268" s="488"/>
      <c r="J268" s="488"/>
      <c r="K268" s="488"/>
    </row>
    <row r="269" spans="1:11" x14ac:dyDescent="0.2">
      <c r="A269" s="79"/>
      <c r="B269" s="80"/>
      <c r="C269" s="81"/>
      <c r="D269" s="82"/>
      <c r="E269" s="83"/>
      <c r="F269" s="93"/>
      <c r="G269" s="93"/>
      <c r="H269" s="94"/>
      <c r="I269" s="489" t="str">
        <f>Summary!$G$10</f>
        <v>Construction Manager</v>
      </c>
      <c r="J269" s="489"/>
      <c r="K269" s="489"/>
    </row>
    <row r="270" spans="1:11" ht="13.5" customHeight="1" x14ac:dyDescent="0.2">
      <c r="A270" s="79"/>
      <c r="C270" s="81"/>
      <c r="D270" s="82"/>
      <c r="E270" s="83"/>
      <c r="F270" s="93"/>
      <c r="G270" s="93"/>
      <c r="I270" s="95"/>
      <c r="J270" s="95"/>
      <c r="K270" s="95"/>
    </row>
    <row r="271" spans="1:11" x14ac:dyDescent="0.2">
      <c r="D271" s="82"/>
      <c r="E271" s="83"/>
      <c r="F271" s="93"/>
      <c r="I271" s="96"/>
      <c r="J271" s="96"/>
      <c r="K271" s="95"/>
    </row>
    <row r="273" spans="1:14" x14ac:dyDescent="0.2">
      <c r="A273" s="58"/>
      <c r="B273" s="58"/>
      <c r="C273" s="58"/>
      <c r="D273" s="315"/>
      <c r="E273" s="316"/>
      <c r="F273" s="93"/>
      <c r="G273" s="58"/>
      <c r="H273" s="515" t="s">
        <v>182</v>
      </c>
      <c r="I273" s="516"/>
      <c r="J273" s="515" t="s">
        <v>183</v>
      </c>
      <c r="K273" s="516"/>
    </row>
    <row r="274" spans="1:14" ht="14" customHeight="1" x14ac:dyDescent="0.2">
      <c r="A274" s="58"/>
      <c r="B274" s="58"/>
      <c r="C274" s="58"/>
      <c r="D274" s="315"/>
      <c r="E274" s="316"/>
      <c r="F274" s="93"/>
      <c r="G274" s="58"/>
      <c r="H274" s="512">
        <v>863980</v>
      </c>
      <c r="I274" s="513"/>
      <c r="J274" s="512">
        <f>K262</f>
        <v>490521.89003892627</v>
      </c>
      <c r="K274" s="514"/>
    </row>
    <row r="276" spans="1:14" x14ac:dyDescent="0.2">
      <c r="A276" s="5" t="str">
        <f>Summary!$G$11</f>
        <v>PIPELINE PROJECT</v>
      </c>
    </row>
    <row r="281" spans="1:14" ht="16" x14ac:dyDescent="0.2">
      <c r="A281" s="192" t="s">
        <v>88</v>
      </c>
    </row>
    <row r="282" spans="1:14" x14ac:dyDescent="0.2">
      <c r="A282" s="5" t="s">
        <v>24</v>
      </c>
      <c r="B282" s="191" t="s">
        <v>1089</v>
      </c>
    </row>
    <row r="284" spans="1:14" x14ac:dyDescent="0.2">
      <c r="A284" s="5" t="s">
        <v>1</v>
      </c>
      <c r="B284" s="5" t="s">
        <v>105</v>
      </c>
    </row>
    <row r="285" spans="1:14" ht="16.5" customHeight="1" x14ac:dyDescent="0.2">
      <c r="A285" s="49"/>
      <c r="I285" s="2" t="s">
        <v>11</v>
      </c>
      <c r="J285" s="487">
        <v>42429</v>
      </c>
      <c r="K285" s="487"/>
    </row>
    <row r="286" spans="1:14" s="58" customFormat="1" ht="23.25" customHeight="1" x14ac:dyDescent="0.15">
      <c r="A286" s="50"/>
      <c r="B286" s="51"/>
      <c r="C286" s="52">
        <v>69435</v>
      </c>
      <c r="D286" s="53" t="s">
        <v>35</v>
      </c>
      <c r="E286" s="54">
        <v>12.443004248499999</v>
      </c>
      <c r="F286" s="55" t="s">
        <v>36</v>
      </c>
      <c r="G286" s="55" t="s">
        <v>27</v>
      </c>
      <c r="H286" s="55" t="s">
        <v>37</v>
      </c>
      <c r="I286" s="56" t="s">
        <v>38</v>
      </c>
      <c r="J286" s="56" t="s">
        <v>39</v>
      </c>
      <c r="K286" s="57" t="s">
        <v>40</v>
      </c>
    </row>
    <row r="287" spans="1:14" ht="13.5" customHeight="1" x14ac:dyDescent="0.2">
      <c r="A287" s="59" t="s">
        <v>84</v>
      </c>
      <c r="B287" s="60" t="s">
        <v>74</v>
      </c>
      <c r="C287" s="61" t="s">
        <v>6</v>
      </c>
      <c r="D287" s="62">
        <v>0.02</v>
      </c>
      <c r="E287" s="63">
        <f>$E$91*D287</f>
        <v>0.24886008497000001</v>
      </c>
      <c r="F287" s="317">
        <f t="shared" ref="F287:F300" si="48">G287+H287</f>
        <v>69435</v>
      </c>
      <c r="G287" s="64">
        <v>69435</v>
      </c>
      <c r="H287" s="70"/>
      <c r="I287" s="168">
        <f>H287*E287</f>
        <v>0</v>
      </c>
      <c r="J287" s="172">
        <v>17279.599999999999</v>
      </c>
      <c r="K287" s="170">
        <v>17279.599999999999</v>
      </c>
      <c r="M287" s="58"/>
      <c r="N287" s="58"/>
    </row>
    <row r="288" spans="1:14" ht="13.5" customHeight="1" x14ac:dyDescent="0.2">
      <c r="A288" s="65"/>
      <c r="B288" s="156" t="s">
        <v>75</v>
      </c>
      <c r="C288" s="71" t="s">
        <v>6</v>
      </c>
      <c r="D288" s="68">
        <v>0.08</v>
      </c>
      <c r="E288" s="69">
        <f>$E$91*D288</f>
        <v>0.99544033988000002</v>
      </c>
      <c r="F288" s="318">
        <f t="shared" si="48"/>
        <v>69435</v>
      </c>
      <c r="G288" s="70">
        <v>69435</v>
      </c>
      <c r="H288" s="70"/>
      <c r="I288" s="171">
        <f t="shared" ref="I288:I298" si="49">H288*E288</f>
        <v>0</v>
      </c>
      <c r="J288" s="172">
        <v>69118.394481399795</v>
      </c>
      <c r="K288" s="173">
        <f t="shared" ref="K288:K293" si="50">SUM(I288:J288)</f>
        <v>69118.394481399795</v>
      </c>
      <c r="M288" s="58"/>
      <c r="N288" s="58"/>
    </row>
    <row r="289" spans="1:11" ht="13.5" customHeight="1" x14ac:dyDescent="0.2">
      <c r="A289" s="65"/>
      <c r="B289" s="66" t="s">
        <v>215</v>
      </c>
      <c r="C289" s="67" t="s">
        <v>6</v>
      </c>
      <c r="D289" s="68">
        <v>7.0000000000000007E-2</v>
      </c>
      <c r="E289" s="69">
        <f>$E$91*D289</f>
        <v>0.87101029739500002</v>
      </c>
      <c r="F289" s="318">
        <f t="shared" si="48"/>
        <v>69435</v>
      </c>
      <c r="G289" s="70">
        <v>64400</v>
      </c>
      <c r="H289" s="70">
        <v>5035</v>
      </c>
      <c r="I289" s="171">
        <f t="shared" si="49"/>
        <v>4385.5368473838253</v>
      </c>
      <c r="J289" s="172">
        <v>56093.063018522</v>
      </c>
      <c r="K289" s="173">
        <f t="shared" si="50"/>
        <v>60478.599865905824</v>
      </c>
    </row>
    <row r="290" spans="1:11" ht="13.5" customHeight="1" x14ac:dyDescent="0.2">
      <c r="A290" s="65"/>
      <c r="B290" s="66" t="s">
        <v>41</v>
      </c>
      <c r="C290" s="67" t="s">
        <v>6</v>
      </c>
      <c r="D290" s="68">
        <v>7.0000000000000007E-2</v>
      </c>
      <c r="E290" s="69">
        <f t="shared" ref="E290:E298" si="51">$E$91*D290</f>
        <v>0.87101029739500002</v>
      </c>
      <c r="F290" s="318">
        <f t="shared" si="48"/>
        <v>69435</v>
      </c>
      <c r="G290" s="70">
        <v>58600</v>
      </c>
      <c r="H290" s="70">
        <v>10835</v>
      </c>
      <c r="I290" s="171">
        <f t="shared" si="49"/>
        <v>9437.3965722748253</v>
      </c>
      <c r="J290" s="172">
        <v>51041.197551227997</v>
      </c>
      <c r="K290" s="173">
        <f t="shared" si="50"/>
        <v>60478.594123502822</v>
      </c>
    </row>
    <row r="291" spans="1:11" ht="13.5" customHeight="1" x14ac:dyDescent="0.2">
      <c r="A291" s="65"/>
      <c r="B291" s="66" t="s">
        <v>42</v>
      </c>
      <c r="C291" s="67" t="s">
        <v>6</v>
      </c>
      <c r="D291" s="68">
        <v>0.17</v>
      </c>
      <c r="E291" s="69">
        <f t="shared" si="51"/>
        <v>2.1153107222450003</v>
      </c>
      <c r="F291" s="318">
        <f t="shared" si="48"/>
        <v>69435</v>
      </c>
      <c r="G291" s="70">
        <v>55900</v>
      </c>
      <c r="H291" s="70">
        <v>13535</v>
      </c>
      <c r="I291" s="171">
        <f t="shared" si="49"/>
        <v>28630.730625586079</v>
      </c>
      <c r="J291" s="172">
        <v>118245.86735616601</v>
      </c>
      <c r="K291" s="173">
        <f t="shared" si="50"/>
        <v>146876.5979817521</v>
      </c>
    </row>
    <row r="292" spans="1:11" ht="13.5" customHeight="1" x14ac:dyDescent="0.2">
      <c r="A292" s="65"/>
      <c r="B292" s="66" t="s">
        <v>76</v>
      </c>
      <c r="C292" s="67" t="s">
        <v>6</v>
      </c>
      <c r="D292" s="68">
        <v>0.08</v>
      </c>
      <c r="E292" s="69">
        <f t="shared" si="51"/>
        <v>0.99544033988000002</v>
      </c>
      <c r="F292" s="318">
        <f t="shared" si="48"/>
        <v>67400</v>
      </c>
      <c r="G292" s="70">
        <v>51800</v>
      </c>
      <c r="H292" s="70">
        <v>15600</v>
      </c>
      <c r="I292" s="171">
        <f t="shared" si="49"/>
        <v>15528.869302128</v>
      </c>
      <c r="J292" s="172">
        <v>51563.814400327996</v>
      </c>
      <c r="K292" s="173">
        <f t="shared" si="50"/>
        <v>67092.683702455994</v>
      </c>
    </row>
    <row r="293" spans="1:11" ht="13.5" customHeight="1" x14ac:dyDescent="0.2">
      <c r="A293" s="65"/>
      <c r="B293" s="66" t="s">
        <v>77</v>
      </c>
      <c r="C293" s="67" t="s">
        <v>6</v>
      </c>
      <c r="D293" s="68">
        <v>7.0000000000000007E-2</v>
      </c>
      <c r="E293" s="69">
        <f t="shared" si="51"/>
        <v>0.87101029739500002</v>
      </c>
      <c r="F293" s="318">
        <f t="shared" si="48"/>
        <v>66900</v>
      </c>
      <c r="G293" s="70">
        <v>51800</v>
      </c>
      <c r="H293" s="70">
        <v>15100</v>
      </c>
      <c r="I293" s="171">
        <f t="shared" si="49"/>
        <v>13152.2554906645</v>
      </c>
      <c r="J293" s="172">
        <v>45118.333338203003</v>
      </c>
      <c r="K293" s="173">
        <f t="shared" si="50"/>
        <v>58270.588828867505</v>
      </c>
    </row>
    <row r="294" spans="1:11" ht="13.5" customHeight="1" x14ac:dyDescent="0.2">
      <c r="A294" s="65"/>
      <c r="B294" s="66" t="s">
        <v>43</v>
      </c>
      <c r="C294" s="67" t="s">
        <v>6</v>
      </c>
      <c r="D294" s="68">
        <v>0.08</v>
      </c>
      <c r="E294" s="69">
        <f t="shared" si="51"/>
        <v>0.99544033988000002</v>
      </c>
      <c r="F294" s="318">
        <f t="shared" si="48"/>
        <v>66500</v>
      </c>
      <c r="G294" s="70">
        <v>51800</v>
      </c>
      <c r="H294" s="70">
        <v>14700</v>
      </c>
      <c r="I294" s="171">
        <f t="shared" si="49"/>
        <v>14632.972996236</v>
      </c>
      <c r="J294" s="172">
        <v>51563.814740207999</v>
      </c>
      <c r="K294" s="173">
        <f>SUM(I294:J294)</f>
        <v>66196.787736444006</v>
      </c>
    </row>
    <row r="295" spans="1:11" ht="13.5" customHeight="1" x14ac:dyDescent="0.2">
      <c r="A295" s="65"/>
      <c r="B295" s="66" t="s">
        <v>78</v>
      </c>
      <c r="C295" s="67" t="s">
        <v>6</v>
      </c>
      <c r="D295" s="68">
        <v>7.0000000000000007E-2</v>
      </c>
      <c r="E295" s="69">
        <f t="shared" si="51"/>
        <v>0.87101029739500002</v>
      </c>
      <c r="F295" s="318">
        <f t="shared" si="48"/>
        <v>37700</v>
      </c>
      <c r="G295" s="70">
        <v>31800</v>
      </c>
      <c r="H295" s="70">
        <v>5900</v>
      </c>
      <c r="I295" s="171">
        <f t="shared" si="49"/>
        <v>5138.9607546305006</v>
      </c>
      <c r="J295" s="172">
        <v>27698.129196959002</v>
      </c>
      <c r="K295" s="173">
        <f t="shared" ref="K295:K300" si="52">SUM(I295:J295)</f>
        <v>32837.0899515895</v>
      </c>
    </row>
    <row r="296" spans="1:11" ht="13.5" customHeight="1" x14ac:dyDescent="0.2">
      <c r="A296" s="65"/>
      <c r="B296" s="66" t="s">
        <v>44</v>
      </c>
      <c r="C296" s="67" t="s">
        <v>6</v>
      </c>
      <c r="D296" s="68">
        <v>7.0000000000000007E-2</v>
      </c>
      <c r="E296" s="69">
        <f t="shared" si="51"/>
        <v>0.87101029739500002</v>
      </c>
      <c r="F296" s="318">
        <f t="shared" si="48"/>
        <v>0</v>
      </c>
      <c r="G296" s="70">
        <v>0</v>
      </c>
      <c r="H296" s="70"/>
      <c r="I296" s="171">
        <f t="shared" si="49"/>
        <v>0</v>
      </c>
      <c r="J296" s="172">
        <v>0</v>
      </c>
      <c r="K296" s="173">
        <f t="shared" si="52"/>
        <v>0</v>
      </c>
    </row>
    <row r="297" spans="1:11" ht="13.5" customHeight="1" x14ac:dyDescent="0.2">
      <c r="A297" s="65"/>
      <c r="B297" s="66" t="s">
        <v>79</v>
      </c>
      <c r="C297" s="67" t="s">
        <v>6</v>
      </c>
      <c r="D297" s="68">
        <v>0.05</v>
      </c>
      <c r="E297" s="69">
        <f t="shared" si="51"/>
        <v>0.62215021242500002</v>
      </c>
      <c r="F297" s="318">
        <f t="shared" si="48"/>
        <v>0</v>
      </c>
      <c r="G297" s="70">
        <v>0</v>
      </c>
      <c r="H297" s="70"/>
      <c r="I297" s="171">
        <f t="shared" si="49"/>
        <v>0</v>
      </c>
      <c r="J297" s="172">
        <v>0</v>
      </c>
      <c r="K297" s="173">
        <f t="shared" si="52"/>
        <v>0</v>
      </c>
    </row>
    <row r="298" spans="1:11" ht="13.5" customHeight="1" x14ac:dyDescent="0.2">
      <c r="A298" s="65"/>
      <c r="B298" s="66" t="s">
        <v>80</v>
      </c>
      <c r="C298" s="71" t="s">
        <v>6</v>
      </c>
      <c r="D298" s="68">
        <v>0.09</v>
      </c>
      <c r="E298" s="69">
        <f t="shared" si="51"/>
        <v>1.1198703823649998</v>
      </c>
      <c r="F298" s="318">
        <f t="shared" si="48"/>
        <v>10700</v>
      </c>
      <c r="G298" s="70">
        <v>2500</v>
      </c>
      <c r="H298" s="70">
        <v>8200</v>
      </c>
      <c r="I298" s="171">
        <f t="shared" si="49"/>
        <v>9182.9371353929982</v>
      </c>
      <c r="J298" s="172">
        <v>2799.6759559124994</v>
      </c>
      <c r="K298" s="173">
        <f t="shared" si="52"/>
        <v>11982.613091305499</v>
      </c>
    </row>
    <row r="299" spans="1:11" ht="13.5" customHeight="1" x14ac:dyDescent="0.2">
      <c r="A299" s="65"/>
      <c r="B299" s="156" t="s">
        <v>81</v>
      </c>
      <c r="C299" s="71" t="s">
        <v>6</v>
      </c>
      <c r="D299" s="68">
        <v>0.02</v>
      </c>
      <c r="E299" s="69">
        <f>$E$91*D299</f>
        <v>0.24886008497000001</v>
      </c>
      <c r="F299" s="318">
        <f t="shared" si="48"/>
        <v>0</v>
      </c>
      <c r="G299" s="70"/>
      <c r="H299" s="70"/>
      <c r="I299" s="171">
        <f>H299*E299</f>
        <v>0</v>
      </c>
      <c r="J299" s="172">
        <f t="shared" ref="J299:J300" si="53">G299*E299</f>
        <v>0</v>
      </c>
      <c r="K299" s="173">
        <f t="shared" si="52"/>
        <v>0</v>
      </c>
    </row>
    <row r="300" spans="1:11" ht="13.5" customHeight="1" thickBot="1" x14ac:dyDescent="0.25">
      <c r="A300" s="65"/>
      <c r="B300" s="66" t="s">
        <v>82</v>
      </c>
      <c r="C300" s="71" t="s">
        <v>6</v>
      </c>
      <c r="D300" s="68">
        <v>0.06</v>
      </c>
      <c r="E300" s="69">
        <f t="shared" ref="E300" si="54">$E$91*D300</f>
        <v>0.74658025490999991</v>
      </c>
      <c r="F300" s="318">
        <f t="shared" si="48"/>
        <v>0</v>
      </c>
      <c r="G300" s="70"/>
      <c r="H300" s="70"/>
      <c r="I300" s="171">
        <f t="shared" ref="I300" si="55">H300*E300</f>
        <v>0</v>
      </c>
      <c r="J300" s="172">
        <f t="shared" si="53"/>
        <v>0</v>
      </c>
      <c r="K300" s="173">
        <f t="shared" si="52"/>
        <v>0</v>
      </c>
    </row>
    <row r="301" spans="1:11" ht="13.5" customHeight="1" x14ac:dyDescent="0.2">
      <c r="A301" s="72"/>
      <c r="B301" s="73"/>
      <c r="C301" s="74"/>
      <c r="D301" s="75">
        <f>SUM(D287:D300)</f>
        <v>1</v>
      </c>
      <c r="E301" s="76">
        <f>SUM(E287:E300)</f>
        <v>12.443004248500001</v>
      </c>
      <c r="F301" s="77"/>
      <c r="G301" s="77"/>
      <c r="H301" s="78" t="s">
        <v>83</v>
      </c>
      <c r="I301" s="174">
        <f>SUM(I287:I300)</f>
        <v>100089.65972429674</v>
      </c>
      <c r="J301" s="174">
        <f>SUM(J287:J300)</f>
        <v>490521.89003892627</v>
      </c>
      <c r="K301" s="175">
        <f>SUM(K287:K300)</f>
        <v>590611.54976322304</v>
      </c>
    </row>
    <row r="302" spans="1:11" ht="9.75" customHeight="1" x14ac:dyDescent="0.2">
      <c r="A302" s="79"/>
      <c r="B302" s="80"/>
      <c r="C302" s="81"/>
      <c r="D302" s="82"/>
      <c r="E302" s="83"/>
      <c r="F302" s="84"/>
      <c r="G302" s="84"/>
      <c r="H302" s="85"/>
      <c r="I302" s="176"/>
      <c r="J302" s="176"/>
      <c r="K302" s="176"/>
    </row>
    <row r="303" spans="1:11" ht="11.25" customHeight="1" x14ac:dyDescent="0.2">
      <c r="D303" s="86"/>
      <c r="E303" s="87"/>
      <c r="F303" s="88"/>
      <c r="G303" s="88"/>
      <c r="H303" s="89"/>
      <c r="I303" s="177"/>
      <c r="J303" s="177"/>
      <c r="K303" s="177"/>
    </row>
    <row r="304" spans="1:11" ht="13.5" customHeight="1" x14ac:dyDescent="0.2">
      <c r="A304" s="4" t="str">
        <f>Summary!$G$9</f>
        <v>Contractor</v>
      </c>
      <c r="D304" s="90"/>
      <c r="E304" s="91"/>
      <c r="F304" s="92"/>
      <c r="G304" s="88"/>
      <c r="H304" s="89"/>
      <c r="I304" s="177"/>
      <c r="J304" s="177"/>
      <c r="K304" s="177"/>
    </row>
    <row r="305" spans="1:11" ht="13.5" customHeight="1" x14ac:dyDescent="0.2">
      <c r="A305" s="79"/>
      <c r="B305" s="80"/>
      <c r="C305" s="81"/>
      <c r="D305" s="82"/>
      <c r="E305" s="83"/>
      <c r="F305" s="93"/>
      <c r="G305" s="93"/>
      <c r="H305" s="94"/>
      <c r="I305" s="95"/>
      <c r="J305" s="95"/>
      <c r="K305" s="95"/>
    </row>
    <row r="306" spans="1:11" ht="13.5" customHeight="1" x14ac:dyDescent="0.2">
      <c r="A306" s="79"/>
      <c r="C306" s="81"/>
      <c r="D306" s="82"/>
      <c r="E306" s="83"/>
      <c r="F306" s="93"/>
      <c r="G306" s="93"/>
      <c r="I306" s="95"/>
      <c r="J306" s="95"/>
      <c r="K306" s="95"/>
    </row>
    <row r="307" spans="1:11" x14ac:dyDescent="0.2">
      <c r="A307" s="79"/>
      <c r="B307" s="80"/>
      <c r="C307" s="81"/>
      <c r="D307" s="82"/>
      <c r="E307" s="83"/>
      <c r="F307" s="93"/>
      <c r="G307" s="93"/>
      <c r="I307" s="488"/>
      <c r="J307" s="488"/>
      <c r="K307" s="488"/>
    </row>
    <row r="308" spans="1:11" x14ac:dyDescent="0.2">
      <c r="A308" s="79"/>
      <c r="B308" s="80"/>
      <c r="C308" s="81"/>
      <c r="D308" s="82"/>
      <c r="E308" s="83"/>
      <c r="F308" s="93"/>
      <c r="G308" s="93"/>
      <c r="H308" s="94"/>
      <c r="I308" s="489" t="str">
        <f>Summary!$G$10</f>
        <v>Construction Manager</v>
      </c>
      <c r="J308" s="489"/>
      <c r="K308" s="489"/>
    </row>
    <row r="309" spans="1:11" ht="13.5" customHeight="1" x14ac:dyDescent="0.2">
      <c r="A309" s="79"/>
      <c r="C309" s="81"/>
      <c r="D309" s="82"/>
      <c r="E309" s="83"/>
      <c r="F309" s="93"/>
      <c r="G309" s="93"/>
      <c r="I309" s="95"/>
      <c r="J309" s="95"/>
      <c r="K309" s="95"/>
    </row>
    <row r="310" spans="1:11" x14ac:dyDescent="0.2">
      <c r="D310" s="82"/>
      <c r="E310" s="83"/>
      <c r="F310" s="93"/>
      <c r="I310" s="96"/>
      <c r="J310" s="96"/>
      <c r="K310" s="95"/>
    </row>
    <row r="312" spans="1:11" x14ac:dyDescent="0.2">
      <c r="A312" s="58"/>
      <c r="B312" s="58"/>
      <c r="C312" s="58"/>
      <c r="D312" s="315"/>
      <c r="E312" s="316"/>
      <c r="F312" s="93"/>
      <c r="G312" s="58"/>
      <c r="H312" s="515" t="s">
        <v>182</v>
      </c>
      <c r="I312" s="516"/>
      <c r="J312" s="515" t="s">
        <v>183</v>
      </c>
      <c r="K312" s="516"/>
    </row>
    <row r="313" spans="1:11" ht="14" customHeight="1" x14ac:dyDescent="0.2">
      <c r="A313" s="58"/>
      <c r="B313" s="58"/>
      <c r="C313" s="58"/>
      <c r="D313" s="315"/>
      <c r="E313" s="316"/>
      <c r="F313" s="93"/>
      <c r="G313" s="58"/>
      <c r="H313" s="512">
        <v>863980</v>
      </c>
      <c r="I313" s="513"/>
      <c r="J313" s="512">
        <f>K301</f>
        <v>590611.54976322304</v>
      </c>
      <c r="K313" s="514"/>
    </row>
    <row r="315" spans="1:11" x14ac:dyDescent="0.2">
      <c r="A315" s="5" t="str">
        <f>Summary!$G$11</f>
        <v>PIPELINE PROJECT</v>
      </c>
    </row>
    <row r="320" spans="1:11" ht="16" x14ac:dyDescent="0.2">
      <c r="A320" s="192" t="s">
        <v>88</v>
      </c>
    </row>
    <row r="321" spans="1:14" x14ac:dyDescent="0.2">
      <c r="A321" s="5" t="s">
        <v>24</v>
      </c>
      <c r="B321" s="191" t="s">
        <v>1089</v>
      </c>
    </row>
    <row r="323" spans="1:14" x14ac:dyDescent="0.2">
      <c r="A323" s="5" t="s">
        <v>1</v>
      </c>
      <c r="B323" s="5" t="s">
        <v>105</v>
      </c>
    </row>
    <row r="324" spans="1:14" ht="16.5" customHeight="1" x14ac:dyDescent="0.2">
      <c r="A324" s="49"/>
      <c r="I324" s="2" t="s">
        <v>11</v>
      </c>
      <c r="J324" s="487">
        <v>42444</v>
      </c>
      <c r="K324" s="487"/>
    </row>
    <row r="325" spans="1:14" s="58" customFormat="1" ht="23.25" customHeight="1" x14ac:dyDescent="0.15">
      <c r="A325" s="50"/>
      <c r="B325" s="51"/>
      <c r="C325" s="52">
        <v>69435</v>
      </c>
      <c r="D325" s="53" t="s">
        <v>35</v>
      </c>
      <c r="E325" s="54">
        <v>12.443004248499999</v>
      </c>
      <c r="F325" s="55" t="s">
        <v>36</v>
      </c>
      <c r="G325" s="55" t="s">
        <v>27</v>
      </c>
      <c r="H325" s="55" t="s">
        <v>37</v>
      </c>
      <c r="I325" s="56" t="s">
        <v>38</v>
      </c>
      <c r="J325" s="56" t="s">
        <v>39</v>
      </c>
      <c r="K325" s="57" t="s">
        <v>40</v>
      </c>
    </row>
    <row r="326" spans="1:14" ht="13.5" customHeight="1" x14ac:dyDescent="0.2">
      <c r="A326" s="59" t="s">
        <v>84</v>
      </c>
      <c r="B326" s="60" t="s">
        <v>74</v>
      </c>
      <c r="C326" s="61" t="s">
        <v>6</v>
      </c>
      <c r="D326" s="62">
        <v>0.02</v>
      </c>
      <c r="E326" s="63">
        <f>$E$91*D326</f>
        <v>0.24886008497000001</v>
      </c>
      <c r="F326" s="317">
        <f t="shared" ref="F326:F339" si="56">G326+H326</f>
        <v>69435</v>
      </c>
      <c r="G326" s="64">
        <v>69435</v>
      </c>
      <c r="H326" s="70"/>
      <c r="I326" s="168">
        <f>H326*E326</f>
        <v>0</v>
      </c>
      <c r="J326" s="172">
        <v>17279.599999999999</v>
      </c>
      <c r="K326" s="170">
        <v>17279.599999999999</v>
      </c>
      <c r="M326" s="58"/>
      <c r="N326" s="58"/>
    </row>
    <row r="327" spans="1:14" ht="13.5" customHeight="1" x14ac:dyDescent="0.2">
      <c r="A327" s="65"/>
      <c r="B327" s="156" t="s">
        <v>75</v>
      </c>
      <c r="C327" s="71" t="s">
        <v>6</v>
      </c>
      <c r="D327" s="68">
        <v>0.08</v>
      </c>
      <c r="E327" s="69">
        <f>$E$91*D327</f>
        <v>0.99544033988000002</v>
      </c>
      <c r="F327" s="318">
        <f t="shared" si="56"/>
        <v>69435</v>
      </c>
      <c r="G327" s="70">
        <v>69435</v>
      </c>
      <c r="H327" s="70"/>
      <c r="I327" s="171">
        <f t="shared" ref="I327" si="57">H327*E327</f>
        <v>0</v>
      </c>
      <c r="J327" s="172">
        <v>69118.394481399795</v>
      </c>
      <c r="K327" s="173">
        <f>SUM(I327:J327)</f>
        <v>69118.394481399795</v>
      </c>
      <c r="M327" s="58"/>
      <c r="N327" s="58"/>
    </row>
    <row r="328" spans="1:14" ht="13.5" customHeight="1" x14ac:dyDescent="0.2">
      <c r="A328" s="65"/>
      <c r="B328" s="66" t="s">
        <v>215</v>
      </c>
      <c r="C328" s="67" t="s">
        <v>6</v>
      </c>
      <c r="D328" s="68">
        <v>7.0000000000000007E-2</v>
      </c>
      <c r="E328" s="69">
        <f>$E$91*D328</f>
        <v>0.87101029739500002</v>
      </c>
      <c r="F328" s="318">
        <f t="shared" si="56"/>
        <v>69435</v>
      </c>
      <c r="G328" s="70">
        <v>69435</v>
      </c>
      <c r="H328" s="70"/>
      <c r="I328" s="171">
        <f t="shared" ref="I328:I337" si="58">H328*E328</f>
        <v>0</v>
      </c>
      <c r="J328" s="172">
        <v>60478.599865905824</v>
      </c>
      <c r="K328" s="173">
        <f t="shared" ref="K328:K332" si="59">SUM(I328:J328)</f>
        <v>60478.599865905824</v>
      </c>
    </row>
    <row r="329" spans="1:14" ht="13.5" customHeight="1" x14ac:dyDescent="0.2">
      <c r="A329" s="65"/>
      <c r="B329" s="66" t="s">
        <v>41</v>
      </c>
      <c r="C329" s="67" t="s">
        <v>6</v>
      </c>
      <c r="D329" s="68">
        <v>7.0000000000000007E-2</v>
      </c>
      <c r="E329" s="69">
        <f t="shared" ref="E329:E337" si="60">$E$91*D329</f>
        <v>0.87101029739500002</v>
      </c>
      <c r="F329" s="318">
        <f t="shared" si="56"/>
        <v>69435</v>
      </c>
      <c r="G329" s="70">
        <v>69435</v>
      </c>
      <c r="H329" s="70"/>
      <c r="I329" s="171">
        <f t="shared" si="58"/>
        <v>0</v>
      </c>
      <c r="J329" s="172">
        <v>60478.594123502822</v>
      </c>
      <c r="K329" s="173">
        <f t="shared" si="59"/>
        <v>60478.594123502822</v>
      </c>
    </row>
    <row r="330" spans="1:14" ht="13.5" customHeight="1" x14ac:dyDescent="0.2">
      <c r="A330" s="65"/>
      <c r="B330" s="66" t="s">
        <v>42</v>
      </c>
      <c r="C330" s="67" t="s">
        <v>6</v>
      </c>
      <c r="D330" s="68">
        <v>0.17</v>
      </c>
      <c r="E330" s="69">
        <f t="shared" si="60"/>
        <v>2.1153107222450003</v>
      </c>
      <c r="F330" s="318">
        <f t="shared" si="56"/>
        <v>69435</v>
      </c>
      <c r="G330" s="70">
        <v>69435</v>
      </c>
      <c r="H330" s="70"/>
      <c r="I330" s="171">
        <f t="shared" si="58"/>
        <v>0</v>
      </c>
      <c r="J330" s="172">
        <v>146876.5979817521</v>
      </c>
      <c r="K330" s="173">
        <f t="shared" si="59"/>
        <v>146876.5979817521</v>
      </c>
    </row>
    <row r="331" spans="1:14" ht="13.5" customHeight="1" x14ac:dyDescent="0.2">
      <c r="A331" s="65"/>
      <c r="B331" s="66" t="s">
        <v>76</v>
      </c>
      <c r="C331" s="67" t="s">
        <v>6</v>
      </c>
      <c r="D331" s="68">
        <v>0.08</v>
      </c>
      <c r="E331" s="69">
        <f t="shared" si="60"/>
        <v>0.99544033988000002</v>
      </c>
      <c r="F331" s="318">
        <f t="shared" si="56"/>
        <v>69435</v>
      </c>
      <c r="G331" s="70">
        <v>67400</v>
      </c>
      <c r="H331" s="70">
        <v>2035</v>
      </c>
      <c r="I331" s="171">
        <f t="shared" si="58"/>
        <v>2025.7210916558001</v>
      </c>
      <c r="J331" s="172">
        <v>67092.683702455994</v>
      </c>
      <c r="K331" s="173">
        <f t="shared" si="59"/>
        <v>69118.40479411179</v>
      </c>
    </row>
    <row r="332" spans="1:14" ht="13.5" customHeight="1" x14ac:dyDescent="0.2">
      <c r="A332" s="65"/>
      <c r="B332" s="66" t="s">
        <v>77</v>
      </c>
      <c r="C332" s="67" t="s">
        <v>6</v>
      </c>
      <c r="D332" s="68">
        <v>7.0000000000000007E-2</v>
      </c>
      <c r="E332" s="69">
        <f t="shared" si="60"/>
        <v>0.87101029739500002</v>
      </c>
      <c r="F332" s="318">
        <f t="shared" si="56"/>
        <v>69435</v>
      </c>
      <c r="G332" s="70">
        <v>66900</v>
      </c>
      <c r="H332" s="70">
        <v>2535</v>
      </c>
      <c r="I332" s="171">
        <f t="shared" si="58"/>
        <v>2208.011103896325</v>
      </c>
      <c r="J332" s="172">
        <v>58270.588828867505</v>
      </c>
      <c r="K332" s="173">
        <f t="shared" si="59"/>
        <v>60478.599932763827</v>
      </c>
    </row>
    <row r="333" spans="1:14" ht="13.5" customHeight="1" x14ac:dyDescent="0.2">
      <c r="A333" s="65"/>
      <c r="B333" s="66" t="s">
        <v>43</v>
      </c>
      <c r="C333" s="67" t="s">
        <v>6</v>
      </c>
      <c r="D333" s="68">
        <v>0.08</v>
      </c>
      <c r="E333" s="69">
        <f t="shared" si="60"/>
        <v>0.99544033988000002</v>
      </c>
      <c r="F333" s="318">
        <f t="shared" si="56"/>
        <v>69435</v>
      </c>
      <c r="G333" s="70">
        <v>66500</v>
      </c>
      <c r="H333" s="70">
        <v>2935</v>
      </c>
      <c r="I333" s="171">
        <f t="shared" si="58"/>
        <v>2921.6173975478</v>
      </c>
      <c r="J333" s="172">
        <v>66196.787736444006</v>
      </c>
      <c r="K333" s="173">
        <f>SUM(I333:J333)</f>
        <v>69118.405133991808</v>
      </c>
    </row>
    <row r="334" spans="1:14" ht="13.5" customHeight="1" x14ac:dyDescent="0.2">
      <c r="A334" s="65"/>
      <c r="B334" s="66" t="s">
        <v>78</v>
      </c>
      <c r="C334" s="67" t="s">
        <v>6</v>
      </c>
      <c r="D334" s="68">
        <v>7.0000000000000007E-2</v>
      </c>
      <c r="E334" s="69">
        <f t="shared" si="60"/>
        <v>0.87101029739500002</v>
      </c>
      <c r="F334" s="318">
        <f t="shared" si="56"/>
        <v>48200</v>
      </c>
      <c r="G334" s="70">
        <v>37700</v>
      </c>
      <c r="H334" s="70">
        <v>10500</v>
      </c>
      <c r="I334" s="171">
        <f t="shared" si="58"/>
        <v>9145.6081226474998</v>
      </c>
      <c r="J334" s="172">
        <v>32837.0899515895</v>
      </c>
      <c r="K334" s="173">
        <f t="shared" ref="K334:K339" si="61">SUM(I334:J334)</f>
        <v>41982.698074237</v>
      </c>
    </row>
    <row r="335" spans="1:14" ht="13.5" customHeight="1" x14ac:dyDescent="0.2">
      <c r="A335" s="65"/>
      <c r="B335" s="66" t="s">
        <v>44</v>
      </c>
      <c r="C335" s="67" t="s">
        <v>6</v>
      </c>
      <c r="D335" s="68">
        <v>7.0000000000000007E-2</v>
      </c>
      <c r="E335" s="69">
        <f t="shared" si="60"/>
        <v>0.87101029739500002</v>
      </c>
      <c r="F335" s="318">
        <f t="shared" si="56"/>
        <v>0</v>
      </c>
      <c r="G335" s="70">
        <v>0</v>
      </c>
      <c r="H335" s="70"/>
      <c r="I335" s="171">
        <f t="shared" si="58"/>
        <v>0</v>
      </c>
      <c r="J335" s="172">
        <v>0</v>
      </c>
      <c r="K335" s="173">
        <f t="shared" si="61"/>
        <v>0</v>
      </c>
    </row>
    <row r="336" spans="1:14" ht="13.5" customHeight="1" x14ac:dyDescent="0.2">
      <c r="A336" s="65"/>
      <c r="B336" s="66" t="s">
        <v>79</v>
      </c>
      <c r="C336" s="67" t="s">
        <v>6</v>
      </c>
      <c r="D336" s="68">
        <v>0.05</v>
      </c>
      <c r="E336" s="69">
        <f t="shared" si="60"/>
        <v>0.62215021242500002</v>
      </c>
      <c r="F336" s="318">
        <f t="shared" si="56"/>
        <v>0</v>
      </c>
      <c r="G336" s="70">
        <v>0</v>
      </c>
      <c r="H336" s="70"/>
      <c r="I336" s="171">
        <f t="shared" si="58"/>
        <v>0</v>
      </c>
      <c r="J336" s="172">
        <v>0</v>
      </c>
      <c r="K336" s="173">
        <f t="shared" si="61"/>
        <v>0</v>
      </c>
    </row>
    <row r="337" spans="1:11" ht="13.5" customHeight="1" x14ac:dyDescent="0.2">
      <c r="A337" s="65"/>
      <c r="B337" s="66" t="s">
        <v>80</v>
      </c>
      <c r="C337" s="71" t="s">
        <v>6</v>
      </c>
      <c r="D337" s="68">
        <v>0.09</v>
      </c>
      <c r="E337" s="69">
        <f t="shared" si="60"/>
        <v>1.1198703823649998</v>
      </c>
      <c r="F337" s="318">
        <f t="shared" si="56"/>
        <v>17000</v>
      </c>
      <c r="G337" s="70">
        <v>10700</v>
      </c>
      <c r="H337" s="70">
        <v>6300</v>
      </c>
      <c r="I337" s="171">
        <f t="shared" si="58"/>
        <v>7055.1834088994992</v>
      </c>
      <c r="J337" s="172">
        <v>11982.613091305499</v>
      </c>
      <c r="K337" s="173">
        <f>SUM(I337:J337)</f>
        <v>19037.796500204997</v>
      </c>
    </row>
    <row r="338" spans="1:11" ht="13.5" customHeight="1" x14ac:dyDescent="0.2">
      <c r="A338" s="65"/>
      <c r="B338" s="156" t="s">
        <v>81</v>
      </c>
      <c r="C338" s="71" t="s">
        <v>6</v>
      </c>
      <c r="D338" s="68">
        <v>0.02</v>
      </c>
      <c r="E338" s="69">
        <f>$E$91*D338</f>
        <v>0.24886008497000001</v>
      </c>
      <c r="F338" s="318">
        <f t="shared" si="56"/>
        <v>0</v>
      </c>
      <c r="G338" s="70"/>
      <c r="H338" s="70"/>
      <c r="I338" s="171">
        <f>H338*E338</f>
        <v>0</v>
      </c>
      <c r="J338" s="172">
        <f t="shared" ref="J338:J339" si="62">G338*E338</f>
        <v>0</v>
      </c>
      <c r="K338" s="173">
        <f t="shared" si="61"/>
        <v>0</v>
      </c>
    </row>
    <row r="339" spans="1:11" ht="13.5" customHeight="1" thickBot="1" x14ac:dyDescent="0.25">
      <c r="A339" s="65"/>
      <c r="B339" s="66" t="s">
        <v>82</v>
      </c>
      <c r="C339" s="71" t="s">
        <v>6</v>
      </c>
      <c r="D339" s="68">
        <v>0.06</v>
      </c>
      <c r="E339" s="69">
        <f t="shared" ref="E339" si="63">$E$91*D339</f>
        <v>0.74658025490999991</v>
      </c>
      <c r="F339" s="318">
        <f t="shared" si="56"/>
        <v>0</v>
      </c>
      <c r="G339" s="70"/>
      <c r="H339" s="70"/>
      <c r="I339" s="171">
        <f t="shared" ref="I339" si="64">H339*E339</f>
        <v>0</v>
      </c>
      <c r="J339" s="172">
        <f t="shared" si="62"/>
        <v>0</v>
      </c>
      <c r="K339" s="173">
        <f t="shared" si="61"/>
        <v>0</v>
      </c>
    </row>
    <row r="340" spans="1:11" ht="13.5" customHeight="1" x14ac:dyDescent="0.2">
      <c r="A340" s="72"/>
      <c r="B340" s="73"/>
      <c r="C340" s="74"/>
      <c r="D340" s="75">
        <f>SUM(D326:D339)</f>
        <v>1</v>
      </c>
      <c r="E340" s="76">
        <f>SUM(E326:E339)</f>
        <v>12.443004248500001</v>
      </c>
      <c r="F340" s="77"/>
      <c r="G340" s="77"/>
      <c r="H340" s="78" t="s">
        <v>83</v>
      </c>
      <c r="I340" s="174">
        <f>SUM(I326:I339)</f>
        <v>23356.141124646925</v>
      </c>
      <c r="J340" s="174">
        <f>SUM(J326:J339)</f>
        <v>590611.54976322304</v>
      </c>
      <c r="K340" s="175">
        <f>SUM(K326:K339)</f>
        <v>613967.69088786992</v>
      </c>
    </row>
    <row r="341" spans="1:11" ht="9.75" customHeight="1" x14ac:dyDescent="0.2">
      <c r="A341" s="79"/>
      <c r="B341" s="80"/>
      <c r="C341" s="81"/>
      <c r="D341" s="82"/>
      <c r="E341" s="83"/>
      <c r="F341" s="84"/>
      <c r="G341" s="84"/>
      <c r="H341" s="85"/>
      <c r="I341" s="176"/>
      <c r="J341" s="176"/>
      <c r="K341" s="176"/>
    </row>
    <row r="342" spans="1:11" ht="11.25" customHeight="1" x14ac:dyDescent="0.2">
      <c r="D342" s="86"/>
      <c r="E342" s="87"/>
      <c r="F342" s="88"/>
      <c r="G342" s="88"/>
      <c r="H342" s="89"/>
      <c r="I342" s="177"/>
      <c r="J342" s="177"/>
      <c r="K342" s="177"/>
    </row>
    <row r="343" spans="1:11" ht="13.5" customHeight="1" x14ac:dyDescent="0.2">
      <c r="A343" s="4" t="str">
        <f>Summary!$G$9</f>
        <v>Contractor</v>
      </c>
      <c r="D343" s="90"/>
      <c r="E343" s="91"/>
      <c r="F343" s="92"/>
      <c r="G343" s="88"/>
      <c r="H343" s="89"/>
      <c r="I343" s="177"/>
      <c r="J343" s="177"/>
      <c r="K343" s="177"/>
    </row>
    <row r="344" spans="1:11" ht="13.5" customHeight="1" x14ac:dyDescent="0.2">
      <c r="A344" s="79"/>
      <c r="B344" s="80"/>
      <c r="C344" s="81"/>
      <c r="D344" s="82"/>
      <c r="E344" s="83"/>
      <c r="F344" s="93"/>
      <c r="G344" s="93"/>
      <c r="H344" s="94"/>
      <c r="I344" s="95"/>
      <c r="J344" s="95"/>
      <c r="K344" s="95"/>
    </row>
    <row r="345" spans="1:11" ht="13.5" customHeight="1" x14ac:dyDescent="0.2">
      <c r="A345" s="79"/>
      <c r="C345" s="81"/>
      <c r="D345" s="82"/>
      <c r="E345" s="83"/>
      <c r="F345" s="93"/>
      <c r="G345" s="93"/>
      <c r="I345" s="95"/>
      <c r="J345" s="95"/>
      <c r="K345" s="95"/>
    </row>
    <row r="346" spans="1:11" x14ac:dyDescent="0.2">
      <c r="A346" s="79"/>
      <c r="B346" s="80"/>
      <c r="C346" s="81"/>
      <c r="D346" s="82"/>
      <c r="E346" s="83"/>
      <c r="F346" s="93"/>
      <c r="G346" s="93"/>
      <c r="I346" s="488"/>
      <c r="J346" s="488"/>
      <c r="K346" s="488"/>
    </row>
    <row r="347" spans="1:11" x14ac:dyDescent="0.2">
      <c r="A347" s="79"/>
      <c r="B347" s="80"/>
      <c r="C347" s="81"/>
      <c r="D347" s="82"/>
      <c r="E347" s="83"/>
      <c r="F347" s="93"/>
      <c r="G347" s="93"/>
      <c r="H347" s="94"/>
      <c r="I347" s="489" t="str">
        <f>Summary!$G$10</f>
        <v>Construction Manager</v>
      </c>
      <c r="J347" s="489"/>
      <c r="K347" s="489"/>
    </row>
    <row r="348" spans="1:11" ht="13.5" customHeight="1" x14ac:dyDescent="0.2">
      <c r="A348" s="79"/>
      <c r="C348" s="81"/>
      <c r="D348" s="82"/>
      <c r="E348" s="83"/>
      <c r="F348" s="93"/>
      <c r="G348" s="93"/>
      <c r="I348" s="95"/>
      <c r="J348" s="95"/>
      <c r="K348" s="95"/>
    </row>
    <row r="349" spans="1:11" x14ac:dyDescent="0.2">
      <c r="D349" s="82"/>
      <c r="E349" s="83"/>
      <c r="F349" s="93"/>
      <c r="I349" s="96"/>
      <c r="J349" s="96"/>
      <c r="K349" s="95"/>
    </row>
    <row r="351" spans="1:11" x14ac:dyDescent="0.2">
      <c r="A351" s="58"/>
      <c r="B351" s="58"/>
      <c r="C351" s="58"/>
      <c r="D351" s="315"/>
      <c r="E351" s="316"/>
      <c r="F351" s="93"/>
      <c r="G351" s="58"/>
      <c r="H351" s="515" t="s">
        <v>182</v>
      </c>
      <c r="I351" s="516"/>
      <c r="J351" s="515" t="s">
        <v>183</v>
      </c>
      <c r="K351" s="516"/>
    </row>
    <row r="352" spans="1:11" ht="14" customHeight="1" x14ac:dyDescent="0.2">
      <c r="A352" s="58"/>
      <c r="B352" s="58"/>
      <c r="C352" s="58"/>
      <c r="D352" s="315"/>
      <c r="E352" s="316"/>
      <c r="F352" s="93"/>
      <c r="G352" s="58"/>
      <c r="H352" s="512">
        <v>863980</v>
      </c>
      <c r="I352" s="513"/>
      <c r="J352" s="512">
        <f>K340</f>
        <v>613967.69088786992</v>
      </c>
      <c r="K352" s="514"/>
    </row>
    <row r="354" spans="1:14" x14ac:dyDescent="0.2">
      <c r="A354" s="5" t="str">
        <f>Summary!$G$11</f>
        <v>PIPELINE PROJECT</v>
      </c>
    </row>
    <row r="359" spans="1:14" ht="16" x14ac:dyDescent="0.2">
      <c r="A359" s="192" t="s">
        <v>88</v>
      </c>
    </row>
    <row r="360" spans="1:14" x14ac:dyDescent="0.2">
      <c r="A360" s="5" t="s">
        <v>24</v>
      </c>
      <c r="B360" s="191" t="s">
        <v>1089</v>
      </c>
    </row>
    <row r="362" spans="1:14" x14ac:dyDescent="0.2">
      <c r="A362" s="5" t="s">
        <v>1</v>
      </c>
      <c r="B362" s="5" t="s">
        <v>105</v>
      </c>
    </row>
    <row r="363" spans="1:14" ht="16.5" customHeight="1" x14ac:dyDescent="0.2">
      <c r="A363" s="49"/>
      <c r="I363" s="2" t="s">
        <v>11</v>
      </c>
      <c r="J363" s="487">
        <v>42460</v>
      </c>
      <c r="K363" s="487"/>
    </row>
    <row r="364" spans="1:14" s="58" customFormat="1" ht="23.25" customHeight="1" x14ac:dyDescent="0.15">
      <c r="A364" s="50"/>
      <c r="B364" s="51"/>
      <c r="C364" s="52">
        <v>69435</v>
      </c>
      <c r="D364" s="53" t="s">
        <v>35</v>
      </c>
      <c r="E364" s="54">
        <v>12.443004248499999</v>
      </c>
      <c r="F364" s="55" t="s">
        <v>36</v>
      </c>
      <c r="G364" s="55" t="s">
        <v>27</v>
      </c>
      <c r="H364" s="55" t="s">
        <v>37</v>
      </c>
      <c r="I364" s="56" t="s">
        <v>38</v>
      </c>
      <c r="J364" s="56" t="s">
        <v>39</v>
      </c>
      <c r="K364" s="57" t="s">
        <v>40</v>
      </c>
    </row>
    <row r="365" spans="1:14" ht="13.5" customHeight="1" x14ac:dyDescent="0.2">
      <c r="A365" s="59" t="s">
        <v>84</v>
      </c>
      <c r="B365" s="60" t="s">
        <v>74</v>
      </c>
      <c r="C365" s="61" t="s">
        <v>6</v>
      </c>
      <c r="D365" s="62">
        <v>0.02</v>
      </c>
      <c r="E365" s="63">
        <f>$E$91*D365</f>
        <v>0.24886008497000001</v>
      </c>
      <c r="F365" s="317">
        <f t="shared" ref="F365:F378" si="65">G365+H365</f>
        <v>69435</v>
      </c>
      <c r="G365" s="64">
        <v>69435</v>
      </c>
      <c r="H365" s="70"/>
      <c r="I365" s="168">
        <f>H365*E365</f>
        <v>0</v>
      </c>
      <c r="J365" s="172">
        <v>17279.599999999999</v>
      </c>
      <c r="K365" s="170">
        <v>17279.599999999999</v>
      </c>
      <c r="M365" s="58"/>
      <c r="N365" s="58"/>
    </row>
    <row r="366" spans="1:14" ht="13.5" customHeight="1" x14ac:dyDescent="0.2">
      <c r="A366" s="65"/>
      <c r="B366" s="156" t="s">
        <v>75</v>
      </c>
      <c r="C366" s="71" t="s">
        <v>6</v>
      </c>
      <c r="D366" s="68">
        <v>0.08</v>
      </c>
      <c r="E366" s="69">
        <f>$E$91*D366</f>
        <v>0.99544033988000002</v>
      </c>
      <c r="F366" s="318">
        <f t="shared" si="65"/>
        <v>69435</v>
      </c>
      <c r="G366" s="70">
        <v>69435</v>
      </c>
      <c r="H366" s="70"/>
      <c r="I366" s="171">
        <f t="shared" ref="I366:I376" si="66">H366*E366</f>
        <v>0</v>
      </c>
      <c r="J366" s="172">
        <v>69118.394481399795</v>
      </c>
      <c r="K366" s="173">
        <f>SUM(I366:J366)</f>
        <v>69118.394481399795</v>
      </c>
      <c r="M366" s="58"/>
      <c r="N366" s="58"/>
    </row>
    <row r="367" spans="1:14" ht="13.5" customHeight="1" x14ac:dyDescent="0.2">
      <c r="A367" s="65"/>
      <c r="B367" s="66" t="s">
        <v>215</v>
      </c>
      <c r="C367" s="67" t="s">
        <v>6</v>
      </c>
      <c r="D367" s="68">
        <v>7.0000000000000007E-2</v>
      </c>
      <c r="E367" s="69">
        <f>$E$91*D367</f>
        <v>0.87101029739500002</v>
      </c>
      <c r="F367" s="318">
        <f t="shared" si="65"/>
        <v>69435</v>
      </c>
      <c r="G367" s="70">
        <v>69435</v>
      </c>
      <c r="H367" s="70"/>
      <c r="I367" s="171">
        <f t="shared" si="66"/>
        <v>0</v>
      </c>
      <c r="J367" s="172">
        <v>60478.599865905824</v>
      </c>
      <c r="K367" s="173">
        <f t="shared" ref="K367:K371" si="67">SUM(I367:J367)</f>
        <v>60478.599865905824</v>
      </c>
    </row>
    <row r="368" spans="1:14" ht="13.5" customHeight="1" x14ac:dyDescent="0.2">
      <c r="A368" s="65"/>
      <c r="B368" s="66" t="s">
        <v>41</v>
      </c>
      <c r="C368" s="67" t="s">
        <v>6</v>
      </c>
      <c r="D368" s="68">
        <v>7.0000000000000007E-2</v>
      </c>
      <c r="E368" s="69">
        <f t="shared" ref="E368:E376" si="68">$E$91*D368</f>
        <v>0.87101029739500002</v>
      </c>
      <c r="F368" s="318">
        <f t="shared" si="65"/>
        <v>69435</v>
      </c>
      <c r="G368" s="70">
        <v>69435</v>
      </c>
      <c r="H368" s="70"/>
      <c r="I368" s="171">
        <f t="shared" si="66"/>
        <v>0</v>
      </c>
      <c r="J368" s="172">
        <v>60478.594123502822</v>
      </c>
      <c r="K368" s="173">
        <f t="shared" si="67"/>
        <v>60478.594123502822</v>
      </c>
    </row>
    <row r="369" spans="1:11" ht="13.5" customHeight="1" x14ac:dyDescent="0.2">
      <c r="A369" s="65"/>
      <c r="B369" s="66" t="s">
        <v>42</v>
      </c>
      <c r="C369" s="67" t="s">
        <v>6</v>
      </c>
      <c r="D369" s="68">
        <v>0.17</v>
      </c>
      <c r="E369" s="69">
        <f t="shared" si="68"/>
        <v>2.1153107222450003</v>
      </c>
      <c r="F369" s="318">
        <f t="shared" si="65"/>
        <v>69435</v>
      </c>
      <c r="G369" s="70">
        <v>69435</v>
      </c>
      <c r="H369" s="70"/>
      <c r="I369" s="171">
        <f t="shared" si="66"/>
        <v>0</v>
      </c>
      <c r="J369" s="172">
        <v>146876.5979817521</v>
      </c>
      <c r="K369" s="173">
        <f t="shared" si="67"/>
        <v>146876.5979817521</v>
      </c>
    </row>
    <row r="370" spans="1:11" ht="13.5" customHeight="1" x14ac:dyDescent="0.2">
      <c r="A370" s="65"/>
      <c r="B370" s="66" t="s">
        <v>76</v>
      </c>
      <c r="C370" s="67" t="s">
        <v>6</v>
      </c>
      <c r="D370" s="68">
        <v>0.08</v>
      </c>
      <c r="E370" s="69">
        <f t="shared" si="68"/>
        <v>0.99544033988000002</v>
      </c>
      <c r="F370" s="318">
        <f t="shared" si="65"/>
        <v>69435</v>
      </c>
      <c r="G370" s="70">
        <v>69435</v>
      </c>
      <c r="H370" s="70"/>
      <c r="I370" s="171">
        <f t="shared" si="66"/>
        <v>0</v>
      </c>
      <c r="J370" s="172">
        <v>69118.40479411179</v>
      </c>
      <c r="K370" s="173">
        <f t="shared" si="67"/>
        <v>69118.40479411179</v>
      </c>
    </row>
    <row r="371" spans="1:11" ht="13.5" customHeight="1" x14ac:dyDescent="0.2">
      <c r="A371" s="65"/>
      <c r="B371" s="66" t="s">
        <v>77</v>
      </c>
      <c r="C371" s="67" t="s">
        <v>6</v>
      </c>
      <c r="D371" s="68">
        <v>7.0000000000000007E-2</v>
      </c>
      <c r="E371" s="69">
        <f t="shared" si="68"/>
        <v>0.87101029739500002</v>
      </c>
      <c r="F371" s="318">
        <f t="shared" si="65"/>
        <v>69435</v>
      </c>
      <c r="G371" s="70">
        <v>69435</v>
      </c>
      <c r="H371" s="70"/>
      <c r="I371" s="171">
        <f t="shared" si="66"/>
        <v>0</v>
      </c>
      <c r="J371" s="172">
        <v>60478.599932763827</v>
      </c>
      <c r="K371" s="173">
        <f t="shared" si="67"/>
        <v>60478.599932763827</v>
      </c>
    </row>
    <row r="372" spans="1:11" ht="13.5" customHeight="1" x14ac:dyDescent="0.2">
      <c r="A372" s="65"/>
      <c r="B372" s="66" t="s">
        <v>43</v>
      </c>
      <c r="C372" s="67" t="s">
        <v>6</v>
      </c>
      <c r="D372" s="68">
        <v>0.08</v>
      </c>
      <c r="E372" s="69">
        <f t="shared" si="68"/>
        <v>0.99544033988000002</v>
      </c>
      <c r="F372" s="318">
        <f t="shared" si="65"/>
        <v>69435</v>
      </c>
      <c r="G372" s="70">
        <v>69435</v>
      </c>
      <c r="H372" s="70"/>
      <c r="I372" s="171">
        <f t="shared" si="66"/>
        <v>0</v>
      </c>
      <c r="J372" s="172">
        <v>69118.405133991808</v>
      </c>
      <c r="K372" s="173">
        <f>SUM(I372:J372)</f>
        <v>69118.405133991808</v>
      </c>
    </row>
    <row r="373" spans="1:11" ht="13.5" customHeight="1" x14ac:dyDescent="0.2">
      <c r="A373" s="65"/>
      <c r="B373" s="66" t="s">
        <v>78</v>
      </c>
      <c r="C373" s="67" t="s">
        <v>6</v>
      </c>
      <c r="D373" s="68">
        <v>7.0000000000000007E-2</v>
      </c>
      <c r="E373" s="69">
        <f t="shared" si="68"/>
        <v>0.87101029739500002</v>
      </c>
      <c r="F373" s="318">
        <f t="shared" si="65"/>
        <v>65700</v>
      </c>
      <c r="G373" s="70">
        <v>48200</v>
      </c>
      <c r="H373" s="70">
        <f>'1.0 BaseLay'!H338</f>
        <v>17500</v>
      </c>
      <c r="I373" s="171">
        <f t="shared" si="66"/>
        <v>15242.6802044125</v>
      </c>
      <c r="J373" s="172">
        <v>41982.698074237</v>
      </c>
      <c r="K373" s="173">
        <f t="shared" ref="K373:K375" si="69">SUM(I373:J373)</f>
        <v>57225.378278649499</v>
      </c>
    </row>
    <row r="374" spans="1:11" ht="13.5" customHeight="1" x14ac:dyDescent="0.2">
      <c r="A374" s="65"/>
      <c r="B374" s="66" t="s">
        <v>44</v>
      </c>
      <c r="C374" s="67" t="s">
        <v>6</v>
      </c>
      <c r="D374" s="68">
        <v>7.0000000000000007E-2</v>
      </c>
      <c r="E374" s="69">
        <f t="shared" si="68"/>
        <v>0.87101029739500002</v>
      </c>
      <c r="F374" s="318">
        <f t="shared" si="65"/>
        <v>18100</v>
      </c>
      <c r="G374" s="70">
        <v>0</v>
      </c>
      <c r="H374" s="70">
        <f>'1.0 BaseLay'!H339</f>
        <v>18100</v>
      </c>
      <c r="I374" s="171">
        <f t="shared" si="66"/>
        <v>15765.286382849501</v>
      </c>
      <c r="J374" s="172">
        <v>0</v>
      </c>
      <c r="K374" s="173">
        <f t="shared" si="69"/>
        <v>15765.286382849501</v>
      </c>
    </row>
    <row r="375" spans="1:11" ht="13.5" customHeight="1" x14ac:dyDescent="0.2">
      <c r="A375" s="65"/>
      <c r="B375" s="66" t="s">
        <v>79</v>
      </c>
      <c r="C375" s="67" t="s">
        <v>6</v>
      </c>
      <c r="D375" s="68">
        <v>0.05</v>
      </c>
      <c r="E375" s="69">
        <f t="shared" si="68"/>
        <v>0.62215021242500002</v>
      </c>
      <c r="F375" s="318">
        <f t="shared" si="65"/>
        <v>0</v>
      </c>
      <c r="G375" s="70">
        <v>0</v>
      </c>
      <c r="H375" s="70">
        <f>'1.0 BaseLay'!H340</f>
        <v>0</v>
      </c>
      <c r="I375" s="171">
        <f t="shared" si="66"/>
        <v>0</v>
      </c>
      <c r="J375" s="172">
        <v>0</v>
      </c>
      <c r="K375" s="173">
        <f t="shared" si="69"/>
        <v>0</v>
      </c>
    </row>
    <row r="376" spans="1:11" ht="13.5" customHeight="1" x14ac:dyDescent="0.2">
      <c r="A376" s="65"/>
      <c r="B376" s="66" t="s">
        <v>80</v>
      </c>
      <c r="C376" s="71" t="s">
        <v>6</v>
      </c>
      <c r="D376" s="68">
        <v>0.09</v>
      </c>
      <c r="E376" s="69">
        <f t="shared" si="68"/>
        <v>1.1198703823649998</v>
      </c>
      <c r="F376" s="318">
        <f t="shared" si="65"/>
        <v>28600</v>
      </c>
      <c r="G376" s="70">
        <v>17000</v>
      </c>
      <c r="H376" s="70">
        <f>'1.0 BaseLay'!H341</f>
        <v>11600</v>
      </c>
      <c r="I376" s="171">
        <f t="shared" si="66"/>
        <v>12990.496435433997</v>
      </c>
      <c r="J376" s="172">
        <v>19037.796500204997</v>
      </c>
      <c r="K376" s="173">
        <f>SUM(I376:J376)</f>
        <v>32028.292935638994</v>
      </c>
    </row>
    <row r="377" spans="1:11" ht="13.5" customHeight="1" x14ac:dyDescent="0.2">
      <c r="A377" s="65"/>
      <c r="B377" s="156" t="s">
        <v>81</v>
      </c>
      <c r="C377" s="71" t="s">
        <v>6</v>
      </c>
      <c r="D377" s="68">
        <v>0.02</v>
      </c>
      <c r="E377" s="69">
        <f>$E$91*D377</f>
        <v>0.24886008497000001</v>
      </c>
      <c r="F377" s="318">
        <f t="shared" si="65"/>
        <v>0</v>
      </c>
      <c r="G377" s="70"/>
      <c r="H377" s="70"/>
      <c r="I377" s="171">
        <f>H377*E377</f>
        <v>0</v>
      </c>
      <c r="J377" s="172">
        <v>0</v>
      </c>
      <c r="K377" s="173">
        <f t="shared" ref="K377:K378" si="70">SUM(I377:J377)</f>
        <v>0</v>
      </c>
    </row>
    <row r="378" spans="1:11" ht="13.5" customHeight="1" thickBot="1" x14ac:dyDescent="0.25">
      <c r="A378" s="65"/>
      <c r="B378" s="66" t="s">
        <v>82</v>
      </c>
      <c r="C378" s="71" t="s">
        <v>6</v>
      </c>
      <c r="D378" s="68">
        <v>0.06</v>
      </c>
      <c r="E378" s="69">
        <f t="shared" ref="E378" si="71">$E$91*D378</f>
        <v>0.74658025490999991</v>
      </c>
      <c r="F378" s="318">
        <f t="shared" si="65"/>
        <v>0</v>
      </c>
      <c r="G378" s="70"/>
      <c r="H378" s="70"/>
      <c r="I378" s="171">
        <f t="shared" ref="I378" si="72">H378*E378</f>
        <v>0</v>
      </c>
      <c r="J378" s="172">
        <f t="shared" ref="J378" si="73">G378*E378</f>
        <v>0</v>
      </c>
      <c r="K378" s="173">
        <f t="shared" si="70"/>
        <v>0</v>
      </c>
    </row>
    <row r="379" spans="1:11" ht="13.5" customHeight="1" x14ac:dyDescent="0.2">
      <c r="A379" s="72"/>
      <c r="B379" s="73"/>
      <c r="C379" s="74"/>
      <c r="D379" s="75">
        <f>SUM(D365:D378)</f>
        <v>1</v>
      </c>
      <c r="E379" s="76">
        <f>SUM(E365:E378)</f>
        <v>12.443004248500001</v>
      </c>
      <c r="F379" s="77"/>
      <c r="G379" s="77"/>
      <c r="H379" s="78" t="s">
        <v>83</v>
      </c>
      <c r="I379" s="174">
        <f>SUM(I365:I378)</f>
        <v>43998.463022696</v>
      </c>
      <c r="J379" s="174">
        <f>SUM(J365:J378)</f>
        <v>613967.69088786992</v>
      </c>
      <c r="K379" s="175">
        <f>SUM(K365:K378)</f>
        <v>657966.153910566</v>
      </c>
    </row>
    <row r="380" spans="1:11" ht="9.75" customHeight="1" x14ac:dyDescent="0.2">
      <c r="A380" s="79"/>
      <c r="B380" s="80"/>
      <c r="C380" s="81"/>
      <c r="D380" s="82"/>
      <c r="E380" s="83"/>
      <c r="F380" s="84"/>
      <c r="G380" s="84"/>
      <c r="H380" s="85"/>
      <c r="I380" s="176"/>
      <c r="J380" s="176"/>
      <c r="K380" s="176"/>
    </row>
    <row r="381" spans="1:11" ht="11.25" customHeight="1" x14ac:dyDescent="0.2">
      <c r="D381" s="86"/>
      <c r="E381" s="87"/>
      <c r="F381" s="88"/>
      <c r="G381" s="88"/>
      <c r="H381" s="89"/>
      <c r="I381" s="177"/>
      <c r="J381" s="177"/>
      <c r="K381" s="177"/>
    </row>
    <row r="382" spans="1:11" ht="13.5" customHeight="1" x14ac:dyDescent="0.2">
      <c r="A382" s="4" t="str">
        <f>Summary!$G$9</f>
        <v>Contractor</v>
      </c>
      <c r="D382" s="90"/>
      <c r="E382" s="91"/>
      <c r="F382" s="92"/>
      <c r="G382" s="88"/>
      <c r="H382" s="89"/>
      <c r="I382" s="177"/>
      <c r="J382" s="177"/>
      <c r="K382" s="177"/>
    </row>
    <row r="383" spans="1:11" ht="13.5" customHeight="1" x14ac:dyDescent="0.2">
      <c r="A383" s="79"/>
      <c r="B383" s="80"/>
      <c r="C383" s="81"/>
      <c r="D383" s="82"/>
      <c r="E383" s="83"/>
      <c r="F383" s="93"/>
      <c r="G383" s="93"/>
      <c r="H383" s="94"/>
      <c r="I383" s="95"/>
      <c r="J383" s="95"/>
      <c r="K383" s="95"/>
    </row>
    <row r="384" spans="1:11" ht="13.5" customHeight="1" x14ac:dyDescent="0.2">
      <c r="A384" s="79"/>
      <c r="C384" s="81"/>
      <c r="D384" s="82"/>
      <c r="E384" s="83"/>
      <c r="F384" s="93"/>
      <c r="G384" s="93"/>
      <c r="I384" s="95"/>
      <c r="J384" s="95"/>
      <c r="K384" s="95"/>
    </row>
    <row r="385" spans="1:11" x14ac:dyDescent="0.2">
      <c r="A385" s="79"/>
      <c r="B385" s="80"/>
      <c r="C385" s="81"/>
      <c r="D385" s="82"/>
      <c r="E385" s="83"/>
      <c r="F385" s="93"/>
      <c r="G385" s="93"/>
      <c r="I385" s="488"/>
      <c r="J385" s="488"/>
      <c r="K385" s="488"/>
    </row>
    <row r="386" spans="1:11" x14ac:dyDescent="0.2">
      <c r="A386" s="79"/>
      <c r="B386" s="80"/>
      <c r="C386" s="81"/>
      <c r="D386" s="82"/>
      <c r="E386" s="83"/>
      <c r="F386" s="93"/>
      <c r="G386" s="93"/>
      <c r="H386" s="94"/>
      <c r="I386" s="489" t="str">
        <f>Summary!$G$10</f>
        <v>Construction Manager</v>
      </c>
      <c r="J386" s="489"/>
      <c r="K386" s="489"/>
    </row>
    <row r="387" spans="1:11" ht="13.5" customHeight="1" x14ac:dyDescent="0.2">
      <c r="A387" s="79"/>
      <c r="C387" s="81"/>
      <c r="D387" s="82"/>
      <c r="E387" s="83"/>
      <c r="F387" s="93"/>
      <c r="G387" s="93"/>
      <c r="I387" s="95"/>
      <c r="J387" s="95"/>
      <c r="K387" s="95"/>
    </row>
    <row r="388" spans="1:11" x14ac:dyDescent="0.2">
      <c r="D388" s="82"/>
      <c r="E388" s="83"/>
      <c r="F388" s="93"/>
      <c r="I388" s="96"/>
      <c r="J388" s="96"/>
      <c r="K388" s="95"/>
    </row>
    <row r="390" spans="1:11" x14ac:dyDescent="0.2">
      <c r="A390" s="58"/>
      <c r="B390" s="58"/>
      <c r="C390" s="58"/>
      <c r="D390" s="315"/>
      <c r="E390" s="316"/>
      <c r="F390" s="93"/>
      <c r="G390" s="58"/>
      <c r="H390" s="515" t="s">
        <v>182</v>
      </c>
      <c r="I390" s="516"/>
      <c r="J390" s="515" t="s">
        <v>183</v>
      </c>
      <c r="K390" s="516"/>
    </row>
    <row r="391" spans="1:11" ht="14" customHeight="1" x14ac:dyDescent="0.2">
      <c r="A391" s="58"/>
      <c r="B391" s="58"/>
      <c r="C391" s="58"/>
      <c r="D391" s="315"/>
      <c r="E391" s="316"/>
      <c r="F391" s="93"/>
      <c r="G391" s="58"/>
      <c r="H391" s="512">
        <v>863980</v>
      </c>
      <c r="I391" s="513"/>
      <c r="J391" s="512">
        <f>K379</f>
        <v>657966.153910566</v>
      </c>
      <c r="K391" s="514"/>
    </row>
    <row r="393" spans="1:11" x14ac:dyDescent="0.2">
      <c r="A393" s="5" t="str">
        <f>Summary!$G$11</f>
        <v>PIPELINE PROJECT</v>
      </c>
    </row>
    <row r="398" spans="1:11" ht="16" x14ac:dyDescent="0.2">
      <c r="A398" s="192" t="s">
        <v>88</v>
      </c>
    </row>
    <row r="399" spans="1:11" x14ac:dyDescent="0.2">
      <c r="A399" s="5" t="s">
        <v>24</v>
      </c>
      <c r="B399" s="191" t="s">
        <v>1089</v>
      </c>
    </row>
    <row r="401" spans="1:14" x14ac:dyDescent="0.2">
      <c r="A401" s="5" t="s">
        <v>1</v>
      </c>
      <c r="B401" s="5" t="s">
        <v>105</v>
      </c>
    </row>
    <row r="402" spans="1:14" ht="16.5" customHeight="1" x14ac:dyDescent="0.2">
      <c r="A402" s="49"/>
      <c r="I402" s="2" t="s">
        <v>11</v>
      </c>
      <c r="J402" s="487">
        <v>42475</v>
      </c>
      <c r="K402" s="487"/>
    </row>
    <row r="403" spans="1:14" s="58" customFormat="1" ht="23.25" customHeight="1" x14ac:dyDescent="0.15">
      <c r="A403" s="50"/>
      <c r="B403" s="51"/>
      <c r="C403" s="52">
        <v>69435</v>
      </c>
      <c r="D403" s="53" t="s">
        <v>35</v>
      </c>
      <c r="E403" s="54">
        <v>12.443004248499999</v>
      </c>
      <c r="F403" s="55" t="s">
        <v>36</v>
      </c>
      <c r="G403" s="55" t="s">
        <v>27</v>
      </c>
      <c r="H403" s="55" t="s">
        <v>37</v>
      </c>
      <c r="I403" s="56" t="s">
        <v>38</v>
      </c>
      <c r="J403" s="56" t="s">
        <v>39</v>
      </c>
      <c r="K403" s="57" t="s">
        <v>40</v>
      </c>
    </row>
    <row r="404" spans="1:14" ht="13.5" customHeight="1" x14ac:dyDescent="0.2">
      <c r="A404" s="59" t="s">
        <v>84</v>
      </c>
      <c r="B404" s="60" t="s">
        <v>74</v>
      </c>
      <c r="C404" s="61" t="s">
        <v>6</v>
      </c>
      <c r="D404" s="62">
        <v>0.02</v>
      </c>
      <c r="E404" s="63">
        <f>$E$91*D404</f>
        <v>0.24886008497000001</v>
      </c>
      <c r="F404" s="317">
        <f t="shared" ref="F404:F417" si="74">G404+H404</f>
        <v>69435</v>
      </c>
      <c r="G404" s="64">
        <v>69435</v>
      </c>
      <c r="H404" s="70"/>
      <c r="I404" s="168">
        <f>H404*E404</f>
        <v>0</v>
      </c>
      <c r="J404" s="172">
        <v>17279.599999999999</v>
      </c>
      <c r="K404" s="170">
        <v>17279.599999999999</v>
      </c>
      <c r="M404" s="58"/>
      <c r="N404" s="58"/>
    </row>
    <row r="405" spans="1:14" ht="13.5" customHeight="1" x14ac:dyDescent="0.2">
      <c r="A405" s="65"/>
      <c r="B405" s="156" t="s">
        <v>75</v>
      </c>
      <c r="C405" s="71" t="s">
        <v>6</v>
      </c>
      <c r="D405" s="68">
        <v>0.08</v>
      </c>
      <c r="E405" s="69">
        <f>$E$91*D405</f>
        <v>0.99544033988000002</v>
      </c>
      <c r="F405" s="318">
        <f t="shared" si="74"/>
        <v>69435</v>
      </c>
      <c r="G405" s="70">
        <v>69435</v>
      </c>
      <c r="H405" s="70"/>
      <c r="I405" s="171">
        <f t="shared" ref="I405:I415" si="75">H405*E405</f>
        <v>0</v>
      </c>
      <c r="J405" s="172">
        <v>69118.394481399795</v>
      </c>
      <c r="K405" s="173">
        <f>SUM(I405:J405)</f>
        <v>69118.394481399795</v>
      </c>
      <c r="M405" s="58"/>
      <c r="N405" s="58"/>
    </row>
    <row r="406" spans="1:14" ht="13.5" customHeight="1" x14ac:dyDescent="0.2">
      <c r="A406" s="65"/>
      <c r="B406" s="66" t="s">
        <v>215</v>
      </c>
      <c r="C406" s="67" t="s">
        <v>6</v>
      </c>
      <c r="D406" s="68">
        <v>7.0000000000000007E-2</v>
      </c>
      <c r="E406" s="69">
        <f>$E$91*D406</f>
        <v>0.87101029739500002</v>
      </c>
      <c r="F406" s="318">
        <f t="shared" si="74"/>
        <v>69435</v>
      </c>
      <c r="G406" s="70">
        <v>69435</v>
      </c>
      <c r="H406" s="70"/>
      <c r="I406" s="171">
        <f t="shared" si="75"/>
        <v>0</v>
      </c>
      <c r="J406" s="172">
        <v>60478.599865905824</v>
      </c>
      <c r="K406" s="173">
        <f t="shared" ref="K406:K410" si="76">SUM(I406:J406)</f>
        <v>60478.599865905824</v>
      </c>
    </row>
    <row r="407" spans="1:14" ht="13.5" customHeight="1" x14ac:dyDescent="0.2">
      <c r="A407" s="65"/>
      <c r="B407" s="66" t="s">
        <v>41</v>
      </c>
      <c r="C407" s="67" t="s">
        <v>6</v>
      </c>
      <c r="D407" s="68">
        <v>7.0000000000000007E-2</v>
      </c>
      <c r="E407" s="69">
        <f t="shared" ref="E407:E415" si="77">$E$91*D407</f>
        <v>0.87101029739500002</v>
      </c>
      <c r="F407" s="318">
        <f t="shared" si="74"/>
        <v>69435</v>
      </c>
      <c r="G407" s="70">
        <v>69435</v>
      </c>
      <c r="H407" s="70"/>
      <c r="I407" s="171">
        <f t="shared" si="75"/>
        <v>0</v>
      </c>
      <c r="J407" s="172">
        <v>60478.594123502822</v>
      </c>
      <c r="K407" s="173">
        <f t="shared" si="76"/>
        <v>60478.594123502822</v>
      </c>
    </row>
    <row r="408" spans="1:14" ht="13.5" customHeight="1" x14ac:dyDescent="0.2">
      <c r="A408" s="65"/>
      <c r="B408" s="66" t="s">
        <v>42</v>
      </c>
      <c r="C408" s="67" t="s">
        <v>6</v>
      </c>
      <c r="D408" s="68">
        <v>0.17</v>
      </c>
      <c r="E408" s="69">
        <f t="shared" si="77"/>
        <v>2.1153107222450003</v>
      </c>
      <c r="F408" s="318">
        <f t="shared" si="74"/>
        <v>69435</v>
      </c>
      <c r="G408" s="70">
        <v>69435</v>
      </c>
      <c r="H408" s="70"/>
      <c r="I408" s="171">
        <f t="shared" si="75"/>
        <v>0</v>
      </c>
      <c r="J408" s="172">
        <v>146876.5979817521</v>
      </c>
      <c r="K408" s="173">
        <f t="shared" si="76"/>
        <v>146876.5979817521</v>
      </c>
    </row>
    <row r="409" spans="1:14" ht="13.5" customHeight="1" x14ac:dyDescent="0.2">
      <c r="A409" s="65"/>
      <c r="B409" s="66" t="s">
        <v>76</v>
      </c>
      <c r="C409" s="67" t="s">
        <v>6</v>
      </c>
      <c r="D409" s="68">
        <v>0.08</v>
      </c>
      <c r="E409" s="69">
        <f t="shared" si="77"/>
        <v>0.99544033988000002</v>
      </c>
      <c r="F409" s="318">
        <f t="shared" si="74"/>
        <v>69435</v>
      </c>
      <c r="G409" s="70">
        <v>69435</v>
      </c>
      <c r="H409" s="70"/>
      <c r="I409" s="171">
        <f t="shared" si="75"/>
        <v>0</v>
      </c>
      <c r="J409" s="172">
        <v>69118.40479411179</v>
      </c>
      <c r="K409" s="173">
        <f t="shared" si="76"/>
        <v>69118.40479411179</v>
      </c>
    </row>
    <row r="410" spans="1:14" ht="13.5" customHeight="1" x14ac:dyDescent="0.2">
      <c r="A410" s="65"/>
      <c r="B410" s="66" t="s">
        <v>77</v>
      </c>
      <c r="C410" s="67" t="s">
        <v>6</v>
      </c>
      <c r="D410" s="68">
        <v>7.0000000000000007E-2</v>
      </c>
      <c r="E410" s="69">
        <f t="shared" si="77"/>
        <v>0.87101029739500002</v>
      </c>
      <c r="F410" s="318">
        <f t="shared" si="74"/>
        <v>69435</v>
      </c>
      <c r="G410" s="70">
        <v>69435</v>
      </c>
      <c r="H410" s="70"/>
      <c r="I410" s="171">
        <f t="shared" si="75"/>
        <v>0</v>
      </c>
      <c r="J410" s="172">
        <v>60478.599932763827</v>
      </c>
      <c r="K410" s="173">
        <f t="shared" si="76"/>
        <v>60478.599932763827</v>
      </c>
    </row>
    <row r="411" spans="1:14" ht="13.5" customHeight="1" x14ac:dyDescent="0.2">
      <c r="A411" s="65"/>
      <c r="B411" s="66" t="s">
        <v>43</v>
      </c>
      <c r="C411" s="67" t="s">
        <v>6</v>
      </c>
      <c r="D411" s="68">
        <v>0.08</v>
      </c>
      <c r="E411" s="69">
        <f t="shared" si="77"/>
        <v>0.99544033988000002</v>
      </c>
      <c r="F411" s="318">
        <f t="shared" si="74"/>
        <v>69435</v>
      </c>
      <c r="G411" s="70">
        <v>69435</v>
      </c>
      <c r="H411" s="70"/>
      <c r="I411" s="171">
        <f t="shared" si="75"/>
        <v>0</v>
      </c>
      <c r="J411" s="172">
        <v>69118.405133991808</v>
      </c>
      <c r="K411" s="173">
        <f>SUM(I411:J411)</f>
        <v>69118.405133991808</v>
      </c>
    </row>
    <row r="412" spans="1:14" ht="13.5" customHeight="1" x14ac:dyDescent="0.2">
      <c r="A412" s="65"/>
      <c r="B412" s="66" t="s">
        <v>78</v>
      </c>
      <c r="C412" s="67" t="s">
        <v>6</v>
      </c>
      <c r="D412" s="68">
        <v>7.0000000000000007E-2</v>
      </c>
      <c r="E412" s="69">
        <f t="shared" si="77"/>
        <v>0.87101029739500002</v>
      </c>
      <c r="F412" s="318">
        <f t="shared" si="74"/>
        <v>69335</v>
      </c>
      <c r="G412" s="70">
        <v>65700</v>
      </c>
      <c r="H412" s="70">
        <f>'1.0 BaseLay'!H373</f>
        <v>3635</v>
      </c>
      <c r="I412" s="171">
        <f t="shared" si="75"/>
        <v>3166.1224310308253</v>
      </c>
      <c r="J412" s="484">
        <v>57225.378278649499</v>
      </c>
      <c r="K412" s="173">
        <f t="shared" ref="K412:K414" si="78">SUM(I412:J412)</f>
        <v>60391.500709680324</v>
      </c>
      <c r="L412" s="330" t="s">
        <v>1076</v>
      </c>
    </row>
    <row r="413" spans="1:14" ht="13.5" customHeight="1" x14ac:dyDescent="0.2">
      <c r="A413" s="65"/>
      <c r="B413" s="66" t="s">
        <v>44</v>
      </c>
      <c r="C413" s="67" t="s">
        <v>6</v>
      </c>
      <c r="D413" s="68">
        <v>7.0000000000000007E-2</v>
      </c>
      <c r="E413" s="69">
        <f t="shared" si="77"/>
        <v>0.87101029739500002</v>
      </c>
      <c r="F413" s="318">
        <f t="shared" si="74"/>
        <v>41000</v>
      </c>
      <c r="G413" s="70">
        <v>18100</v>
      </c>
      <c r="H413" s="70">
        <f>'1.0 BaseLay'!H374</f>
        <v>22900</v>
      </c>
      <c r="I413" s="171">
        <f t="shared" si="75"/>
        <v>19946.135810345502</v>
      </c>
      <c r="J413" s="172">
        <v>0</v>
      </c>
      <c r="K413" s="173">
        <f t="shared" si="78"/>
        <v>19946.135810345502</v>
      </c>
    </row>
    <row r="414" spans="1:14" ht="13.5" customHeight="1" x14ac:dyDescent="0.2">
      <c r="A414" s="65"/>
      <c r="B414" s="66" t="s">
        <v>79</v>
      </c>
      <c r="C414" s="67" t="s">
        <v>6</v>
      </c>
      <c r="D414" s="68">
        <v>0.05</v>
      </c>
      <c r="E414" s="69">
        <f t="shared" si="77"/>
        <v>0.62215021242500002</v>
      </c>
      <c r="F414" s="318">
        <f t="shared" si="74"/>
        <v>0</v>
      </c>
      <c r="G414" s="70">
        <v>0</v>
      </c>
      <c r="H414" s="70">
        <f>'1.0 BaseLay'!H375</f>
        <v>0</v>
      </c>
      <c r="I414" s="171">
        <f t="shared" si="75"/>
        <v>0</v>
      </c>
      <c r="J414" s="172">
        <v>0</v>
      </c>
      <c r="K414" s="173">
        <f t="shared" si="78"/>
        <v>0</v>
      </c>
    </row>
    <row r="415" spans="1:14" ht="13.5" customHeight="1" x14ac:dyDescent="0.2">
      <c r="A415" s="65"/>
      <c r="B415" s="66" t="s">
        <v>80</v>
      </c>
      <c r="C415" s="71" t="s">
        <v>6</v>
      </c>
      <c r="D415" s="68">
        <v>0.09</v>
      </c>
      <c r="E415" s="69">
        <f t="shared" si="77"/>
        <v>1.1198703823649998</v>
      </c>
      <c r="F415" s="318">
        <f t="shared" si="74"/>
        <v>47900</v>
      </c>
      <c r="G415" s="70">
        <v>28600</v>
      </c>
      <c r="H415" s="70">
        <f>'1.0 BaseLay'!H376</f>
        <v>19300</v>
      </c>
      <c r="I415" s="171">
        <f t="shared" si="75"/>
        <v>21613.498379644498</v>
      </c>
      <c r="J415" s="172">
        <v>19037.796500204997</v>
      </c>
      <c r="K415" s="173">
        <f>SUM(I415:J415)</f>
        <v>40651.294879849491</v>
      </c>
    </row>
    <row r="416" spans="1:14" ht="13.5" customHeight="1" x14ac:dyDescent="0.2">
      <c r="A416" s="65"/>
      <c r="B416" s="156" t="s">
        <v>81</v>
      </c>
      <c r="C416" s="71" t="s">
        <v>6</v>
      </c>
      <c r="D416" s="68">
        <v>0.02</v>
      </c>
      <c r="E416" s="69">
        <f>$E$91*D416</f>
        <v>0.24886008497000001</v>
      </c>
      <c r="F416" s="318">
        <f t="shared" si="74"/>
        <v>0</v>
      </c>
      <c r="G416" s="70"/>
      <c r="H416" s="70"/>
      <c r="I416" s="171">
        <f>H416*E416</f>
        <v>0</v>
      </c>
      <c r="J416" s="172">
        <v>0</v>
      </c>
      <c r="K416" s="173">
        <f t="shared" ref="K416:K417" si="79">SUM(I416:J416)</f>
        <v>0</v>
      </c>
    </row>
    <row r="417" spans="1:11" ht="13.5" customHeight="1" thickBot="1" x14ac:dyDescent="0.25">
      <c r="A417" s="65"/>
      <c r="B417" s="66" t="s">
        <v>82</v>
      </c>
      <c r="C417" s="71" t="s">
        <v>6</v>
      </c>
      <c r="D417" s="68">
        <v>0.06</v>
      </c>
      <c r="E417" s="69">
        <f t="shared" ref="E417" si="80">$E$91*D417</f>
        <v>0.74658025490999991</v>
      </c>
      <c r="F417" s="318">
        <f t="shared" si="74"/>
        <v>0</v>
      </c>
      <c r="G417" s="70"/>
      <c r="H417" s="70"/>
      <c r="I417" s="171">
        <f t="shared" ref="I417" si="81">H417*E417</f>
        <v>0</v>
      </c>
      <c r="J417" s="172">
        <f t="shared" ref="J417" si="82">G417*E417</f>
        <v>0</v>
      </c>
      <c r="K417" s="173">
        <f t="shared" si="79"/>
        <v>0</v>
      </c>
    </row>
    <row r="418" spans="1:11" ht="13.5" customHeight="1" x14ac:dyDescent="0.2">
      <c r="A418" s="72"/>
      <c r="B418" s="73"/>
      <c r="C418" s="74"/>
      <c r="D418" s="75">
        <f>SUM(D404:D417)</f>
        <v>1</v>
      </c>
      <c r="E418" s="76">
        <f>SUM(E404:E417)</f>
        <v>12.443004248500001</v>
      </c>
      <c r="F418" s="77"/>
      <c r="G418" s="77"/>
      <c r="H418" s="78" t="s">
        <v>83</v>
      </c>
      <c r="I418" s="174">
        <f>SUM(I404:I417)</f>
        <v>44725.756621020824</v>
      </c>
      <c r="J418" s="174">
        <f>SUM(J404:J417)</f>
        <v>629210.37109228247</v>
      </c>
      <c r="K418" s="175">
        <f>SUM(K404:K417)</f>
        <v>673936.12771330343</v>
      </c>
    </row>
    <row r="419" spans="1:11" ht="9.75" customHeight="1" x14ac:dyDescent="0.2">
      <c r="A419" s="79"/>
      <c r="B419" s="80"/>
      <c r="C419" s="81"/>
      <c r="D419" s="82"/>
      <c r="E419" s="83"/>
      <c r="F419" s="84"/>
      <c r="G419" s="84"/>
      <c r="H419" s="85"/>
      <c r="I419" s="176"/>
      <c r="J419" s="176"/>
      <c r="K419" s="176"/>
    </row>
    <row r="420" spans="1:11" ht="11.25" customHeight="1" x14ac:dyDescent="0.2">
      <c r="D420" s="86"/>
      <c r="E420" s="87"/>
      <c r="F420" s="88"/>
      <c r="G420" s="88"/>
      <c r="H420" s="89"/>
      <c r="I420" s="177"/>
      <c r="J420" s="177"/>
      <c r="K420" s="177"/>
    </row>
    <row r="421" spans="1:11" ht="13.5" customHeight="1" x14ac:dyDescent="0.2">
      <c r="A421" s="4" t="str">
        <f>Summary!$G$9</f>
        <v>Contractor</v>
      </c>
      <c r="D421" s="90"/>
      <c r="E421" s="91"/>
      <c r="F421" s="92"/>
      <c r="G421" s="88"/>
      <c r="H421" s="89"/>
      <c r="I421" s="177"/>
      <c r="J421" s="177"/>
      <c r="K421" s="177"/>
    </row>
    <row r="422" spans="1:11" ht="13.5" customHeight="1" x14ac:dyDescent="0.2">
      <c r="A422" s="79"/>
      <c r="B422" s="80"/>
      <c r="C422" s="81"/>
      <c r="D422" s="82"/>
      <c r="E422" s="83"/>
      <c r="F422" s="93"/>
      <c r="G422" s="93"/>
      <c r="H422" s="94"/>
      <c r="I422" s="95"/>
      <c r="J422" s="95"/>
      <c r="K422" s="95"/>
    </row>
    <row r="423" spans="1:11" ht="13.5" customHeight="1" x14ac:dyDescent="0.2">
      <c r="A423" s="79"/>
      <c r="C423" s="81"/>
      <c r="D423" s="82"/>
      <c r="E423" s="83"/>
      <c r="F423" s="93"/>
      <c r="G423" s="93"/>
      <c r="I423" s="95"/>
      <c r="J423" s="95"/>
      <c r="K423" s="95"/>
    </row>
    <row r="424" spans="1:11" x14ac:dyDescent="0.2">
      <c r="A424" s="79"/>
      <c r="B424" s="80"/>
      <c r="C424" s="81"/>
      <c r="D424" s="82"/>
      <c r="E424" s="83"/>
      <c r="F424" s="93"/>
      <c r="G424" s="93"/>
      <c r="I424" s="488"/>
      <c r="J424" s="488"/>
      <c r="K424" s="488"/>
    </row>
    <row r="425" spans="1:11" x14ac:dyDescent="0.2">
      <c r="A425" s="79"/>
      <c r="B425" s="80"/>
      <c r="C425" s="81"/>
      <c r="D425" s="82"/>
      <c r="E425" s="83"/>
      <c r="F425" s="93"/>
      <c r="G425" s="93"/>
      <c r="H425" s="94"/>
      <c r="I425" s="489" t="str">
        <f>Summary!$G$10</f>
        <v>Construction Manager</v>
      </c>
      <c r="J425" s="489"/>
      <c r="K425" s="489"/>
    </row>
    <row r="426" spans="1:11" ht="13.5" customHeight="1" x14ac:dyDescent="0.2">
      <c r="A426" s="79"/>
      <c r="C426" s="81"/>
      <c r="D426" s="82"/>
      <c r="E426" s="83"/>
      <c r="F426" s="93"/>
      <c r="G426" s="93"/>
      <c r="I426" s="95"/>
      <c r="J426" s="95"/>
      <c r="K426" s="95"/>
    </row>
    <row r="427" spans="1:11" x14ac:dyDescent="0.2">
      <c r="D427" s="82"/>
      <c r="E427" s="83"/>
      <c r="F427" s="93"/>
      <c r="I427" s="96"/>
      <c r="J427" s="96"/>
      <c r="K427" s="95"/>
    </row>
    <row r="429" spans="1:11" x14ac:dyDescent="0.2">
      <c r="A429" s="58"/>
      <c r="B429" s="58"/>
      <c r="C429" s="58"/>
      <c r="D429" s="315"/>
      <c r="E429" s="316"/>
      <c r="F429" s="93"/>
      <c r="G429" s="58"/>
      <c r="H429" s="515" t="s">
        <v>182</v>
      </c>
      <c r="I429" s="516"/>
      <c r="J429" s="515" t="s">
        <v>183</v>
      </c>
      <c r="K429" s="516"/>
    </row>
    <row r="430" spans="1:11" ht="14" customHeight="1" x14ac:dyDescent="0.2">
      <c r="A430" s="58"/>
      <c r="B430" s="58"/>
      <c r="C430" s="58"/>
      <c r="D430" s="315"/>
      <c r="E430" s="316"/>
      <c r="F430" s="93"/>
      <c r="G430" s="58"/>
      <c r="H430" s="512">
        <v>863980</v>
      </c>
      <c r="I430" s="513"/>
      <c r="J430" s="512">
        <f>K418</f>
        <v>673936.12771330343</v>
      </c>
      <c r="K430" s="514"/>
    </row>
    <row r="432" spans="1:11" x14ac:dyDescent="0.2">
      <c r="A432" s="5" t="str">
        <f>Summary!$G$11</f>
        <v>PIPELINE PROJECT</v>
      </c>
    </row>
    <row r="437" spans="1:14" ht="16" x14ac:dyDescent="0.2">
      <c r="A437" s="192" t="s">
        <v>88</v>
      </c>
    </row>
    <row r="438" spans="1:14" x14ac:dyDescent="0.2">
      <c r="A438" s="5" t="s">
        <v>24</v>
      </c>
      <c r="B438" s="191" t="s">
        <v>1089</v>
      </c>
    </row>
    <row r="440" spans="1:14" x14ac:dyDescent="0.2">
      <c r="A440" s="5" t="s">
        <v>1</v>
      </c>
      <c r="B440" s="5" t="s">
        <v>105</v>
      </c>
    </row>
    <row r="441" spans="1:14" ht="16.5" customHeight="1" x14ac:dyDescent="0.2">
      <c r="A441" s="49"/>
      <c r="I441" s="2" t="s">
        <v>11</v>
      </c>
      <c r="J441" s="487">
        <v>42490</v>
      </c>
      <c r="K441" s="487"/>
    </row>
    <row r="442" spans="1:14" s="58" customFormat="1" ht="23.25" customHeight="1" x14ac:dyDescent="0.15">
      <c r="A442" s="50"/>
      <c r="B442" s="51"/>
      <c r="C442" s="52">
        <v>69435</v>
      </c>
      <c r="D442" s="53" t="s">
        <v>35</v>
      </c>
      <c r="E442" s="54">
        <v>12.443004248499999</v>
      </c>
      <c r="F442" s="55" t="s">
        <v>36</v>
      </c>
      <c r="G442" s="55" t="s">
        <v>27</v>
      </c>
      <c r="H442" s="55" t="s">
        <v>37</v>
      </c>
      <c r="I442" s="56" t="s">
        <v>38</v>
      </c>
      <c r="J442" s="56" t="s">
        <v>39</v>
      </c>
      <c r="K442" s="57" t="s">
        <v>40</v>
      </c>
    </row>
    <row r="443" spans="1:14" ht="13.5" customHeight="1" x14ac:dyDescent="0.2">
      <c r="A443" s="59" t="s">
        <v>84</v>
      </c>
      <c r="B443" s="60" t="s">
        <v>74</v>
      </c>
      <c r="C443" s="61" t="s">
        <v>6</v>
      </c>
      <c r="D443" s="62">
        <v>0.02</v>
      </c>
      <c r="E443" s="63">
        <f>$E$91*D443</f>
        <v>0.24886008497000001</v>
      </c>
      <c r="F443" s="317">
        <f t="shared" ref="F443:F456" si="83">G443+H443</f>
        <v>69435</v>
      </c>
      <c r="G443" s="64">
        <v>69435</v>
      </c>
      <c r="H443" s="70"/>
      <c r="I443" s="168">
        <f>H443*E443</f>
        <v>0</v>
      </c>
      <c r="J443" s="172">
        <v>17279.599999999999</v>
      </c>
      <c r="K443" s="170">
        <v>17279.599999999999</v>
      </c>
      <c r="M443" s="58"/>
      <c r="N443" s="58"/>
    </row>
    <row r="444" spans="1:14" ht="13.5" customHeight="1" x14ac:dyDescent="0.2">
      <c r="A444" s="65"/>
      <c r="B444" s="156" t="s">
        <v>75</v>
      </c>
      <c r="C444" s="71" t="s">
        <v>6</v>
      </c>
      <c r="D444" s="68">
        <v>0.08</v>
      </c>
      <c r="E444" s="69">
        <f>$E$91*D444</f>
        <v>0.99544033988000002</v>
      </c>
      <c r="F444" s="318">
        <f t="shared" si="83"/>
        <v>69435</v>
      </c>
      <c r="G444" s="70">
        <v>69435</v>
      </c>
      <c r="H444" s="70"/>
      <c r="I444" s="171">
        <f t="shared" ref="I444:I454" si="84">H444*E444</f>
        <v>0</v>
      </c>
      <c r="J444" s="172">
        <v>69118.394481399795</v>
      </c>
      <c r="K444" s="173">
        <f>SUM(I444:J444)</f>
        <v>69118.394481399795</v>
      </c>
      <c r="M444" s="58"/>
      <c r="N444" s="58"/>
    </row>
    <row r="445" spans="1:14" ht="13.5" customHeight="1" x14ac:dyDescent="0.2">
      <c r="A445" s="65"/>
      <c r="B445" s="66" t="s">
        <v>215</v>
      </c>
      <c r="C445" s="67" t="s">
        <v>6</v>
      </c>
      <c r="D445" s="68">
        <v>7.0000000000000007E-2</v>
      </c>
      <c r="E445" s="69">
        <f>$E$91*D445</f>
        <v>0.87101029739500002</v>
      </c>
      <c r="F445" s="318">
        <f t="shared" si="83"/>
        <v>69435</v>
      </c>
      <c r="G445" s="70">
        <v>69435</v>
      </c>
      <c r="H445" s="70"/>
      <c r="I445" s="171">
        <f t="shared" si="84"/>
        <v>0</v>
      </c>
      <c r="J445" s="172">
        <v>60478.599865905824</v>
      </c>
      <c r="K445" s="173">
        <f t="shared" ref="K445:K449" si="85">SUM(I445:J445)</f>
        <v>60478.599865905824</v>
      </c>
    </row>
    <row r="446" spans="1:14" ht="13.5" customHeight="1" x14ac:dyDescent="0.2">
      <c r="A446" s="65"/>
      <c r="B446" s="66" t="s">
        <v>41</v>
      </c>
      <c r="C446" s="67" t="s">
        <v>6</v>
      </c>
      <c r="D446" s="68">
        <v>7.0000000000000007E-2</v>
      </c>
      <c r="E446" s="69">
        <f t="shared" ref="E446:E454" si="86">$E$91*D446</f>
        <v>0.87101029739500002</v>
      </c>
      <c r="F446" s="318">
        <f t="shared" si="83"/>
        <v>69435</v>
      </c>
      <c r="G446" s="70">
        <v>69435</v>
      </c>
      <c r="H446" s="70"/>
      <c r="I446" s="171">
        <f t="shared" si="84"/>
        <v>0</v>
      </c>
      <c r="J446" s="172">
        <v>60478.594123502822</v>
      </c>
      <c r="K446" s="173">
        <f t="shared" si="85"/>
        <v>60478.594123502822</v>
      </c>
    </row>
    <row r="447" spans="1:14" ht="13.5" customHeight="1" x14ac:dyDescent="0.2">
      <c r="A447" s="65"/>
      <c r="B447" s="66" t="s">
        <v>42</v>
      </c>
      <c r="C447" s="67" t="s">
        <v>6</v>
      </c>
      <c r="D447" s="68">
        <v>0.17</v>
      </c>
      <c r="E447" s="69">
        <f t="shared" si="86"/>
        <v>2.1153107222450003</v>
      </c>
      <c r="F447" s="318">
        <f t="shared" si="83"/>
        <v>69435</v>
      </c>
      <c r="G447" s="70">
        <v>69435</v>
      </c>
      <c r="H447" s="70"/>
      <c r="I447" s="171">
        <f t="shared" si="84"/>
        <v>0</v>
      </c>
      <c r="J447" s="172">
        <v>146876.5979817521</v>
      </c>
      <c r="K447" s="173">
        <f t="shared" si="85"/>
        <v>146876.5979817521</v>
      </c>
    </row>
    <row r="448" spans="1:14" ht="13.5" customHeight="1" x14ac:dyDescent="0.2">
      <c r="A448" s="65"/>
      <c r="B448" s="66" t="s">
        <v>76</v>
      </c>
      <c r="C448" s="67" t="s">
        <v>6</v>
      </c>
      <c r="D448" s="68">
        <v>0.08</v>
      </c>
      <c r="E448" s="69">
        <f t="shared" si="86"/>
        <v>0.99544033988000002</v>
      </c>
      <c r="F448" s="318">
        <f t="shared" si="83"/>
        <v>69435</v>
      </c>
      <c r="G448" s="70">
        <v>69435</v>
      </c>
      <c r="H448" s="70"/>
      <c r="I448" s="171">
        <f t="shared" si="84"/>
        <v>0</v>
      </c>
      <c r="J448" s="172">
        <v>69118.40479411179</v>
      </c>
      <c r="K448" s="173">
        <f t="shared" si="85"/>
        <v>69118.40479411179</v>
      </c>
    </row>
    <row r="449" spans="1:12" ht="13.5" customHeight="1" x14ac:dyDescent="0.2">
      <c r="A449" s="65"/>
      <c r="B449" s="66" t="s">
        <v>77</v>
      </c>
      <c r="C449" s="67" t="s">
        <v>6</v>
      </c>
      <c r="D449" s="68">
        <v>7.0000000000000007E-2</v>
      </c>
      <c r="E449" s="69">
        <f t="shared" si="86"/>
        <v>0.87101029739500002</v>
      </c>
      <c r="F449" s="318">
        <f t="shared" si="83"/>
        <v>69435</v>
      </c>
      <c r="G449" s="70">
        <v>69435</v>
      </c>
      <c r="H449" s="70"/>
      <c r="I449" s="171">
        <f t="shared" si="84"/>
        <v>0</v>
      </c>
      <c r="J449" s="172">
        <v>60478.599932763827</v>
      </c>
      <c r="K449" s="173">
        <f t="shared" si="85"/>
        <v>60478.599932763827</v>
      </c>
    </row>
    <row r="450" spans="1:12" ht="13.5" customHeight="1" x14ac:dyDescent="0.2">
      <c r="A450" s="65"/>
      <c r="B450" s="66" t="s">
        <v>43</v>
      </c>
      <c r="C450" s="67" t="s">
        <v>6</v>
      </c>
      <c r="D450" s="68">
        <v>0.08</v>
      </c>
      <c r="E450" s="69">
        <f t="shared" si="86"/>
        <v>0.99544033988000002</v>
      </c>
      <c r="F450" s="318">
        <f t="shared" si="83"/>
        <v>69435</v>
      </c>
      <c r="G450" s="70">
        <v>69435</v>
      </c>
      <c r="H450" s="70"/>
      <c r="I450" s="171">
        <f t="shared" si="84"/>
        <v>0</v>
      </c>
      <c r="J450" s="172">
        <v>69118.405133991808</v>
      </c>
      <c r="K450" s="173">
        <f>SUM(I450:J450)</f>
        <v>69118.405133991808</v>
      </c>
    </row>
    <row r="451" spans="1:12" ht="13.5" customHeight="1" x14ac:dyDescent="0.2">
      <c r="A451" s="65"/>
      <c r="B451" s="66" t="s">
        <v>78</v>
      </c>
      <c r="C451" s="67" t="s">
        <v>6</v>
      </c>
      <c r="D451" s="68">
        <v>7.0000000000000007E-2</v>
      </c>
      <c r="E451" s="69">
        <f t="shared" si="86"/>
        <v>0.87101029739500002</v>
      </c>
      <c r="F451" s="318">
        <f t="shared" si="83"/>
        <v>69435</v>
      </c>
      <c r="G451" s="70">
        <v>69335</v>
      </c>
      <c r="H451" s="70">
        <f>'1.0 BaseLay'!H408</f>
        <v>100</v>
      </c>
      <c r="I451" s="171">
        <f t="shared" si="84"/>
        <v>87.101029739500007</v>
      </c>
      <c r="J451" s="172">
        <v>60391.500709680324</v>
      </c>
      <c r="K451" s="173">
        <f t="shared" ref="K451:K453" si="87">SUM(I451:J451)</f>
        <v>60478.601739419821</v>
      </c>
      <c r="L451" s="330" t="s">
        <v>1076</v>
      </c>
    </row>
    <row r="452" spans="1:12" ht="13.5" customHeight="1" x14ac:dyDescent="0.2">
      <c r="A452" s="65"/>
      <c r="B452" s="66" t="s">
        <v>44</v>
      </c>
      <c r="C452" s="67" t="s">
        <v>6</v>
      </c>
      <c r="D452" s="68">
        <v>7.0000000000000007E-2</v>
      </c>
      <c r="E452" s="69">
        <f t="shared" si="86"/>
        <v>0.87101029739500002</v>
      </c>
      <c r="F452" s="318">
        <f t="shared" si="83"/>
        <v>69435</v>
      </c>
      <c r="G452" s="70">
        <v>41000</v>
      </c>
      <c r="H452" s="70">
        <f>'1.0 BaseLay'!H409</f>
        <v>28435</v>
      </c>
      <c r="I452" s="171">
        <f t="shared" si="84"/>
        <v>24767.177806426826</v>
      </c>
      <c r="J452" s="172">
        <v>19946.135810345502</v>
      </c>
      <c r="K452" s="173">
        <f t="shared" si="87"/>
        <v>44713.313616772328</v>
      </c>
    </row>
    <row r="453" spans="1:12" ht="13.5" customHeight="1" x14ac:dyDescent="0.2">
      <c r="A453" s="65"/>
      <c r="B453" s="66" t="s">
        <v>79</v>
      </c>
      <c r="C453" s="67" t="s">
        <v>6</v>
      </c>
      <c r="D453" s="68">
        <v>0.05</v>
      </c>
      <c r="E453" s="69">
        <f t="shared" si="86"/>
        <v>0.62215021242500002</v>
      </c>
      <c r="F453" s="318">
        <f t="shared" si="83"/>
        <v>69435</v>
      </c>
      <c r="G453" s="70">
        <v>0</v>
      </c>
      <c r="H453" s="70">
        <f>'1.0 BaseLay'!H410</f>
        <v>69435</v>
      </c>
      <c r="I453" s="171">
        <f t="shared" si="84"/>
        <v>43198.999999729873</v>
      </c>
      <c r="J453" s="172">
        <v>0</v>
      </c>
      <c r="K453" s="173">
        <f t="shared" si="87"/>
        <v>43198.999999729873</v>
      </c>
    </row>
    <row r="454" spans="1:12" ht="13.5" customHeight="1" x14ac:dyDescent="0.2">
      <c r="A454" s="65"/>
      <c r="B454" s="66" t="s">
        <v>80</v>
      </c>
      <c r="C454" s="71" t="s">
        <v>6</v>
      </c>
      <c r="D454" s="68">
        <v>0.09</v>
      </c>
      <c r="E454" s="69">
        <f t="shared" si="86"/>
        <v>1.1198703823649998</v>
      </c>
      <c r="F454" s="318">
        <f t="shared" si="83"/>
        <v>58300</v>
      </c>
      <c r="G454" s="70">
        <v>47900</v>
      </c>
      <c r="H454" s="70">
        <f>'1.0 BaseLay'!H411</f>
        <v>10400</v>
      </c>
      <c r="I454" s="171">
        <f t="shared" si="84"/>
        <v>11646.651976595998</v>
      </c>
      <c r="J454" s="172">
        <v>40651.294879849491</v>
      </c>
      <c r="K454" s="173">
        <f>SUM(I454:J454)</f>
        <v>52297.946856445487</v>
      </c>
    </row>
    <row r="455" spans="1:12" ht="13.5" customHeight="1" x14ac:dyDescent="0.2">
      <c r="A455" s="65"/>
      <c r="B455" s="156" t="s">
        <v>81</v>
      </c>
      <c r="C455" s="71" t="s">
        <v>6</v>
      </c>
      <c r="D455" s="68">
        <v>0.02</v>
      </c>
      <c r="E455" s="69">
        <f>$E$91*D455</f>
        <v>0.24886008497000001</v>
      </c>
      <c r="F455" s="318">
        <f t="shared" si="83"/>
        <v>34418</v>
      </c>
      <c r="G455" s="70"/>
      <c r="H455" s="70">
        <f>'1.0 BaseLay'!H412</f>
        <v>34418</v>
      </c>
      <c r="I455" s="171">
        <f>H455*E455</f>
        <v>8565.2664044974608</v>
      </c>
      <c r="J455" s="172">
        <v>0</v>
      </c>
      <c r="K455" s="173">
        <f t="shared" ref="K455:K456" si="88">SUM(I455:J455)</f>
        <v>8565.2664044974608</v>
      </c>
    </row>
    <row r="456" spans="1:12" ht="13.5" customHeight="1" thickBot="1" x14ac:dyDescent="0.25">
      <c r="A456" s="65"/>
      <c r="B456" s="66" t="s">
        <v>82</v>
      </c>
      <c r="C456" s="71" t="s">
        <v>6</v>
      </c>
      <c r="D456" s="68">
        <v>0.06</v>
      </c>
      <c r="E456" s="69">
        <f t="shared" ref="E456" si="89">$E$91*D456</f>
        <v>0.74658025490999991</v>
      </c>
      <c r="F456" s="318">
        <f t="shared" si="83"/>
        <v>0</v>
      </c>
      <c r="G456" s="70"/>
      <c r="H456" s="70"/>
      <c r="I456" s="171">
        <f t="shared" ref="I456" si="90">H456*E456</f>
        <v>0</v>
      </c>
      <c r="J456" s="172">
        <f t="shared" ref="J456" si="91">G456*E456</f>
        <v>0</v>
      </c>
      <c r="K456" s="173">
        <f t="shared" si="88"/>
        <v>0</v>
      </c>
    </row>
    <row r="457" spans="1:12" ht="13.5" customHeight="1" x14ac:dyDescent="0.2">
      <c r="A457" s="72"/>
      <c r="B457" s="73"/>
      <c r="C457" s="74"/>
      <c r="D457" s="75">
        <f>SUM(D443:D456)</f>
        <v>1</v>
      </c>
      <c r="E457" s="76">
        <f>SUM(E443:E456)</f>
        <v>12.443004248500001</v>
      </c>
      <c r="F457" s="77"/>
      <c r="G457" s="77"/>
      <c r="H457" s="78" t="s">
        <v>83</v>
      </c>
      <c r="I457" s="174">
        <f>SUM(I443:I456)</f>
        <v>88265.197216989662</v>
      </c>
      <c r="J457" s="174">
        <f>SUM(J443:J456)</f>
        <v>673936.12771330343</v>
      </c>
      <c r="K457" s="175">
        <f>SUM(K443:K456)</f>
        <v>762201.32493029302</v>
      </c>
    </row>
    <row r="458" spans="1:12" ht="9.75" customHeight="1" x14ac:dyDescent="0.2">
      <c r="A458" s="79"/>
      <c r="B458" s="80"/>
      <c r="C458" s="81"/>
      <c r="D458" s="82"/>
      <c r="E458" s="83"/>
      <c r="F458" s="84"/>
      <c r="G458" s="84"/>
      <c r="H458" s="85"/>
      <c r="I458" s="176"/>
      <c r="J458" s="176"/>
      <c r="K458" s="176"/>
    </row>
    <row r="459" spans="1:12" ht="11.25" customHeight="1" x14ac:dyDescent="0.2">
      <c r="D459" s="86"/>
      <c r="E459" s="87"/>
      <c r="F459" s="88"/>
      <c r="G459" s="88"/>
      <c r="H459" s="89"/>
      <c r="I459" s="177"/>
      <c r="J459" s="177"/>
      <c r="K459" s="177"/>
    </row>
    <row r="460" spans="1:12" ht="13.5" customHeight="1" x14ac:dyDescent="0.2">
      <c r="A460" s="4" t="str">
        <f>Summary!$G$9</f>
        <v>Contractor</v>
      </c>
      <c r="D460" s="90"/>
      <c r="E460" s="91"/>
      <c r="F460" s="92"/>
      <c r="G460" s="88"/>
      <c r="H460" s="89"/>
      <c r="I460" s="177"/>
      <c r="J460" s="177"/>
      <c r="K460" s="177"/>
    </row>
    <row r="461" spans="1:12" ht="13.5" customHeight="1" x14ac:dyDescent="0.2">
      <c r="A461" s="79"/>
      <c r="B461" s="80"/>
      <c r="C461" s="81"/>
      <c r="D461" s="82"/>
      <c r="E461" s="83"/>
      <c r="F461" s="93"/>
      <c r="G461" s="93"/>
      <c r="H461" s="94"/>
      <c r="I461" s="95"/>
      <c r="J461" s="95"/>
      <c r="K461" s="95"/>
    </row>
    <row r="462" spans="1:12" ht="13.5" customHeight="1" x14ac:dyDescent="0.2">
      <c r="A462" s="79"/>
      <c r="C462" s="81"/>
      <c r="D462" s="82"/>
      <c r="E462" s="83"/>
      <c r="F462" s="93"/>
      <c r="G462" s="93"/>
      <c r="I462" s="95"/>
      <c r="J462" s="95"/>
      <c r="K462" s="95"/>
    </row>
    <row r="463" spans="1:12" x14ac:dyDescent="0.2">
      <c r="A463" s="79"/>
      <c r="B463" s="80"/>
      <c r="C463" s="81"/>
      <c r="D463" s="82"/>
      <c r="E463" s="83"/>
      <c r="F463" s="93"/>
      <c r="G463" s="93"/>
      <c r="I463" s="488"/>
      <c r="J463" s="488"/>
      <c r="K463" s="488"/>
    </row>
    <row r="464" spans="1:12" x14ac:dyDescent="0.2">
      <c r="A464" s="79"/>
      <c r="B464" s="80"/>
      <c r="C464" s="81"/>
      <c r="D464" s="82"/>
      <c r="E464" s="83"/>
      <c r="F464" s="93"/>
      <c r="G464" s="93"/>
      <c r="H464" s="94"/>
      <c r="I464" s="489" t="str">
        <f>Summary!$G$10</f>
        <v>Construction Manager</v>
      </c>
      <c r="J464" s="489"/>
      <c r="K464" s="489"/>
    </row>
    <row r="465" spans="1:11" ht="13.5" customHeight="1" x14ac:dyDescent="0.2">
      <c r="A465" s="79"/>
      <c r="C465" s="81"/>
      <c r="D465" s="82"/>
      <c r="E465" s="83"/>
      <c r="F465" s="93"/>
      <c r="G465" s="93"/>
      <c r="I465" s="95"/>
      <c r="J465" s="95"/>
      <c r="K465" s="95"/>
    </row>
    <row r="466" spans="1:11" x14ac:dyDescent="0.2">
      <c r="D466" s="82"/>
      <c r="E466" s="83"/>
      <c r="F466" s="93"/>
      <c r="I466" s="96"/>
      <c r="J466" s="96"/>
      <c r="K466" s="95"/>
    </row>
    <row r="468" spans="1:11" x14ac:dyDescent="0.2">
      <c r="A468" s="58"/>
      <c r="B468" s="58"/>
      <c r="C468" s="58"/>
      <c r="D468" s="315"/>
      <c r="E468" s="316"/>
      <c r="F468" s="93"/>
      <c r="G468" s="58"/>
      <c r="H468" s="515" t="s">
        <v>182</v>
      </c>
      <c r="I468" s="516"/>
      <c r="J468" s="515" t="s">
        <v>183</v>
      </c>
      <c r="K468" s="516"/>
    </row>
    <row r="469" spans="1:11" ht="14" customHeight="1" x14ac:dyDescent="0.2">
      <c r="A469" s="58"/>
      <c r="B469" s="58"/>
      <c r="C469" s="58"/>
      <c r="D469" s="315"/>
      <c r="E469" s="316"/>
      <c r="F469" s="93"/>
      <c r="G469" s="58"/>
      <c r="H469" s="512">
        <v>863980</v>
      </c>
      <c r="I469" s="513"/>
      <c r="J469" s="512">
        <f>K457</f>
        <v>762201.32493029302</v>
      </c>
      <c r="K469" s="514"/>
    </row>
    <row r="471" spans="1:11" x14ac:dyDescent="0.2">
      <c r="A471" s="5" t="str">
        <f>Summary!$G$11</f>
        <v>PIPELINE PROJECT</v>
      </c>
    </row>
    <row r="476" spans="1:11" ht="16" x14ac:dyDescent="0.2">
      <c r="A476" s="192" t="s">
        <v>88</v>
      </c>
    </row>
    <row r="477" spans="1:11" x14ac:dyDescent="0.2">
      <c r="A477" s="5" t="s">
        <v>24</v>
      </c>
      <c r="B477" s="191" t="s">
        <v>1089</v>
      </c>
    </row>
    <row r="479" spans="1:11" x14ac:dyDescent="0.2">
      <c r="A479" s="5" t="s">
        <v>1</v>
      </c>
      <c r="B479" s="5" t="s">
        <v>105</v>
      </c>
    </row>
    <row r="480" spans="1:11" ht="16.5" customHeight="1" x14ac:dyDescent="0.2">
      <c r="A480" s="49"/>
      <c r="I480" s="2" t="s">
        <v>11</v>
      </c>
      <c r="J480" s="487">
        <f>Summary!$G$3</f>
        <v>42505</v>
      </c>
      <c r="K480" s="487"/>
    </row>
    <row r="481" spans="1:14" s="58" customFormat="1" ht="23.25" customHeight="1" x14ac:dyDescent="0.15">
      <c r="A481" s="50"/>
      <c r="B481" s="51"/>
      <c r="C481" s="52">
        <v>69435</v>
      </c>
      <c r="D481" s="53" t="s">
        <v>35</v>
      </c>
      <c r="E481" s="54">
        <v>12.443004248499999</v>
      </c>
      <c r="F481" s="55" t="s">
        <v>36</v>
      </c>
      <c r="G481" s="55" t="s">
        <v>27</v>
      </c>
      <c r="H481" s="55" t="s">
        <v>37</v>
      </c>
      <c r="I481" s="56" t="s">
        <v>38</v>
      </c>
      <c r="J481" s="56" t="s">
        <v>39</v>
      </c>
      <c r="K481" s="57" t="s">
        <v>40</v>
      </c>
    </row>
    <row r="482" spans="1:14" ht="13.5" customHeight="1" x14ac:dyDescent="0.2">
      <c r="A482" s="59" t="s">
        <v>84</v>
      </c>
      <c r="B482" s="60" t="s">
        <v>74</v>
      </c>
      <c r="C482" s="61" t="s">
        <v>6</v>
      </c>
      <c r="D482" s="62">
        <v>0.02</v>
      </c>
      <c r="E482" s="63">
        <f>$E$91*D482</f>
        <v>0.24886008497000001</v>
      </c>
      <c r="F482" s="317">
        <f t="shared" ref="F482:F495" si="92">G482+H482</f>
        <v>69435</v>
      </c>
      <c r="G482" s="64">
        <v>69435</v>
      </c>
      <c r="H482" s="70"/>
      <c r="I482" s="168">
        <f>H482*E482</f>
        <v>0</v>
      </c>
      <c r="J482" s="172">
        <f t="shared" ref="J482:J493" si="93">G482*E482</f>
        <v>17279.599999891951</v>
      </c>
      <c r="K482" s="173">
        <f>SUM(I482:J482)</f>
        <v>17279.599999891951</v>
      </c>
      <c r="M482" s="58"/>
      <c r="N482" s="58"/>
    </row>
    <row r="483" spans="1:14" ht="13.5" customHeight="1" x14ac:dyDescent="0.2">
      <c r="A483" s="65"/>
      <c r="B483" s="156" t="s">
        <v>75</v>
      </c>
      <c r="C483" s="71" t="s">
        <v>6</v>
      </c>
      <c r="D483" s="68">
        <v>0.08</v>
      </c>
      <c r="E483" s="69">
        <f>$E$91*D483</f>
        <v>0.99544033988000002</v>
      </c>
      <c r="F483" s="318">
        <f t="shared" si="92"/>
        <v>69435</v>
      </c>
      <c r="G483" s="70">
        <v>69435</v>
      </c>
      <c r="H483" s="70"/>
      <c r="I483" s="171">
        <f t="shared" ref="I483:I493" si="94">H483*E483</f>
        <v>0</v>
      </c>
      <c r="J483" s="172">
        <f t="shared" si="93"/>
        <v>69118.399999567802</v>
      </c>
      <c r="K483" s="173">
        <f t="shared" ref="K483:K494" si="95">SUM(I483:J483)</f>
        <v>69118.399999567802</v>
      </c>
      <c r="M483" s="58"/>
      <c r="N483" s="58"/>
    </row>
    <row r="484" spans="1:14" ht="13.5" customHeight="1" x14ac:dyDescent="0.2">
      <c r="A484" s="65"/>
      <c r="B484" s="66" t="s">
        <v>215</v>
      </c>
      <c r="C484" s="67" t="s">
        <v>6</v>
      </c>
      <c r="D484" s="68">
        <v>7.0000000000000007E-2</v>
      </c>
      <c r="E484" s="69">
        <f>$E$91*D484</f>
        <v>0.87101029739500002</v>
      </c>
      <c r="F484" s="318">
        <f t="shared" si="92"/>
        <v>69435</v>
      </c>
      <c r="G484" s="70">
        <v>69435</v>
      </c>
      <c r="H484" s="70"/>
      <c r="I484" s="171">
        <f t="shared" si="94"/>
        <v>0</v>
      </c>
      <c r="J484" s="172">
        <f t="shared" si="93"/>
        <v>60478.599999621823</v>
      </c>
      <c r="K484" s="173">
        <f t="shared" si="95"/>
        <v>60478.599999621823</v>
      </c>
    </row>
    <row r="485" spans="1:14" ht="13.5" customHeight="1" x14ac:dyDescent="0.2">
      <c r="A485" s="65"/>
      <c r="B485" s="66" t="s">
        <v>41</v>
      </c>
      <c r="C485" s="67" t="s">
        <v>6</v>
      </c>
      <c r="D485" s="68">
        <v>7.0000000000000007E-2</v>
      </c>
      <c r="E485" s="69">
        <f t="shared" ref="E485:E493" si="96">$E$91*D485</f>
        <v>0.87101029739500002</v>
      </c>
      <c r="F485" s="318">
        <f t="shared" si="92"/>
        <v>69435</v>
      </c>
      <c r="G485" s="70">
        <v>69435</v>
      </c>
      <c r="H485" s="70"/>
      <c r="I485" s="171">
        <f t="shared" si="94"/>
        <v>0</v>
      </c>
      <c r="J485" s="172">
        <f t="shared" si="93"/>
        <v>60478.599999621823</v>
      </c>
      <c r="K485" s="173">
        <f t="shared" si="95"/>
        <v>60478.599999621823</v>
      </c>
    </row>
    <row r="486" spans="1:14" ht="13.5" customHeight="1" x14ac:dyDescent="0.2">
      <c r="A486" s="65"/>
      <c r="B486" s="66" t="s">
        <v>42</v>
      </c>
      <c r="C486" s="67" t="s">
        <v>6</v>
      </c>
      <c r="D486" s="68">
        <v>0.17</v>
      </c>
      <c r="E486" s="69">
        <f t="shared" si="96"/>
        <v>2.1153107222450003</v>
      </c>
      <c r="F486" s="318">
        <f t="shared" si="92"/>
        <v>69435</v>
      </c>
      <c r="G486" s="70">
        <v>69435</v>
      </c>
      <c r="H486" s="70"/>
      <c r="I486" s="171">
        <f t="shared" si="94"/>
        <v>0</v>
      </c>
      <c r="J486" s="172">
        <f t="shared" si="93"/>
        <v>146876.59999908161</v>
      </c>
      <c r="K486" s="173">
        <f t="shared" si="95"/>
        <v>146876.59999908161</v>
      </c>
    </row>
    <row r="487" spans="1:14" ht="13.5" customHeight="1" x14ac:dyDescent="0.2">
      <c r="A487" s="65"/>
      <c r="B487" s="66" t="s">
        <v>76</v>
      </c>
      <c r="C487" s="67" t="s">
        <v>6</v>
      </c>
      <c r="D487" s="68">
        <v>0.08</v>
      </c>
      <c r="E487" s="69">
        <f t="shared" si="96"/>
        <v>0.99544033988000002</v>
      </c>
      <c r="F487" s="318">
        <f t="shared" si="92"/>
        <v>69435</v>
      </c>
      <c r="G487" s="70">
        <v>69435</v>
      </c>
      <c r="H487" s="70"/>
      <c r="I487" s="171">
        <f t="shared" si="94"/>
        <v>0</v>
      </c>
      <c r="J487" s="172">
        <f t="shared" si="93"/>
        <v>69118.399999567802</v>
      </c>
      <c r="K487" s="173">
        <f t="shared" si="95"/>
        <v>69118.399999567802</v>
      </c>
    </row>
    <row r="488" spans="1:14" ht="13.5" customHeight="1" x14ac:dyDescent="0.2">
      <c r="A488" s="65"/>
      <c r="B488" s="66" t="s">
        <v>77</v>
      </c>
      <c r="C488" s="67" t="s">
        <v>6</v>
      </c>
      <c r="D488" s="68">
        <v>7.0000000000000007E-2</v>
      </c>
      <c r="E488" s="69">
        <f t="shared" si="96"/>
        <v>0.87101029739500002</v>
      </c>
      <c r="F488" s="318">
        <f t="shared" si="92"/>
        <v>69435</v>
      </c>
      <c r="G488" s="70">
        <v>69435</v>
      </c>
      <c r="H488" s="70"/>
      <c r="I488" s="171">
        <f t="shared" si="94"/>
        <v>0</v>
      </c>
      <c r="J488" s="172">
        <f t="shared" si="93"/>
        <v>60478.599999621823</v>
      </c>
      <c r="K488" s="173">
        <f t="shared" si="95"/>
        <v>60478.599999621823</v>
      </c>
    </row>
    <row r="489" spans="1:14" ht="13.5" customHeight="1" x14ac:dyDescent="0.2">
      <c r="A489" s="65"/>
      <c r="B489" s="66" t="s">
        <v>43</v>
      </c>
      <c r="C489" s="67" t="s">
        <v>6</v>
      </c>
      <c r="D489" s="68">
        <v>0.08</v>
      </c>
      <c r="E489" s="69">
        <f t="shared" si="96"/>
        <v>0.99544033988000002</v>
      </c>
      <c r="F489" s="318">
        <f t="shared" si="92"/>
        <v>69435</v>
      </c>
      <c r="G489" s="70">
        <v>69435</v>
      </c>
      <c r="H489" s="70"/>
      <c r="I489" s="171">
        <f t="shared" si="94"/>
        <v>0</v>
      </c>
      <c r="J489" s="172">
        <f t="shared" si="93"/>
        <v>69118.399999567802</v>
      </c>
      <c r="K489" s="173">
        <f t="shared" si="95"/>
        <v>69118.399999567802</v>
      </c>
    </row>
    <row r="490" spans="1:14" ht="13.5" customHeight="1" x14ac:dyDescent="0.2">
      <c r="A490" s="65"/>
      <c r="B490" s="66" t="s">
        <v>78</v>
      </c>
      <c r="C490" s="67" t="s">
        <v>6</v>
      </c>
      <c r="D490" s="68">
        <v>7.0000000000000007E-2</v>
      </c>
      <c r="E490" s="69">
        <f t="shared" si="96"/>
        <v>0.87101029739500002</v>
      </c>
      <c r="F490" s="318">
        <f t="shared" si="92"/>
        <v>69435</v>
      </c>
      <c r="G490" s="70">
        <v>69435</v>
      </c>
      <c r="H490" s="70"/>
      <c r="I490" s="171">
        <f t="shared" si="94"/>
        <v>0</v>
      </c>
      <c r="J490" s="172">
        <f t="shared" si="93"/>
        <v>60478.599999621823</v>
      </c>
      <c r="K490" s="173">
        <f t="shared" si="95"/>
        <v>60478.599999621823</v>
      </c>
    </row>
    <row r="491" spans="1:14" ht="13.5" customHeight="1" x14ac:dyDescent="0.2">
      <c r="A491" s="65"/>
      <c r="B491" s="66" t="s">
        <v>44</v>
      </c>
      <c r="C491" s="67" t="s">
        <v>6</v>
      </c>
      <c r="D491" s="68">
        <v>7.0000000000000007E-2</v>
      </c>
      <c r="E491" s="69">
        <f t="shared" si="96"/>
        <v>0.87101029739500002</v>
      </c>
      <c r="F491" s="318">
        <f t="shared" si="92"/>
        <v>69435</v>
      </c>
      <c r="G491" s="70">
        <v>69435</v>
      </c>
      <c r="H491" s="70"/>
      <c r="I491" s="171">
        <f t="shared" si="94"/>
        <v>0</v>
      </c>
      <c r="J491" s="172">
        <f t="shared" si="93"/>
        <v>60478.599999621823</v>
      </c>
      <c r="K491" s="173">
        <f t="shared" si="95"/>
        <v>60478.599999621823</v>
      </c>
    </row>
    <row r="492" spans="1:14" ht="13.5" customHeight="1" x14ac:dyDescent="0.2">
      <c r="A492" s="65"/>
      <c r="B492" s="66" t="s">
        <v>79</v>
      </c>
      <c r="C492" s="67" t="s">
        <v>6</v>
      </c>
      <c r="D492" s="68">
        <v>0.05</v>
      </c>
      <c r="E492" s="69">
        <f t="shared" si="96"/>
        <v>0.62215021242500002</v>
      </c>
      <c r="F492" s="318">
        <f t="shared" si="92"/>
        <v>69435</v>
      </c>
      <c r="G492" s="70">
        <v>69435</v>
      </c>
      <c r="H492" s="70"/>
      <c r="I492" s="171">
        <f t="shared" si="94"/>
        <v>0</v>
      </c>
      <c r="J492" s="172">
        <f t="shared" si="93"/>
        <v>43198.999999729873</v>
      </c>
      <c r="K492" s="173">
        <f t="shared" si="95"/>
        <v>43198.999999729873</v>
      </c>
    </row>
    <row r="493" spans="1:14" ht="13.5" customHeight="1" x14ac:dyDescent="0.2">
      <c r="A493" s="65"/>
      <c r="B493" s="66" t="s">
        <v>80</v>
      </c>
      <c r="C493" s="71" t="s">
        <v>6</v>
      </c>
      <c r="D493" s="68">
        <v>0.09</v>
      </c>
      <c r="E493" s="69">
        <f t="shared" si="96"/>
        <v>1.1198703823649998</v>
      </c>
      <c r="F493" s="318">
        <f t="shared" si="92"/>
        <v>58300</v>
      </c>
      <c r="G493" s="70">
        <v>58300</v>
      </c>
      <c r="H493" s="70"/>
      <c r="I493" s="171">
        <f t="shared" si="94"/>
        <v>0</v>
      </c>
      <c r="J493" s="172">
        <f t="shared" si="93"/>
        <v>65288.443291879492</v>
      </c>
      <c r="K493" s="173">
        <f t="shared" si="95"/>
        <v>65288.443291879492</v>
      </c>
    </row>
    <row r="494" spans="1:14" ht="13.5" customHeight="1" x14ac:dyDescent="0.2">
      <c r="A494" s="65"/>
      <c r="B494" s="156" t="s">
        <v>81</v>
      </c>
      <c r="C494" s="71" t="s">
        <v>6</v>
      </c>
      <c r="D494" s="68">
        <v>0.02</v>
      </c>
      <c r="E494" s="69">
        <f>$E$91*D494</f>
        <v>0.24886008497000001</v>
      </c>
      <c r="F494" s="318">
        <f t="shared" si="92"/>
        <v>52077</v>
      </c>
      <c r="G494" s="70">
        <v>34418</v>
      </c>
      <c r="H494" s="70">
        <v>17659</v>
      </c>
      <c r="I494" s="171">
        <f>H494*E494</f>
        <v>4394.6202404852302</v>
      </c>
      <c r="J494" s="172">
        <f>G494*E494</f>
        <v>8565.2664044974608</v>
      </c>
      <c r="K494" s="173">
        <f t="shared" si="95"/>
        <v>12959.886644982691</v>
      </c>
    </row>
    <row r="495" spans="1:14" ht="13.5" customHeight="1" thickBot="1" x14ac:dyDescent="0.25">
      <c r="A495" s="65"/>
      <c r="B495" s="66" t="s">
        <v>82</v>
      </c>
      <c r="C495" s="71" t="s">
        <v>6</v>
      </c>
      <c r="D495" s="68">
        <v>0.06</v>
      </c>
      <c r="E495" s="69">
        <f t="shared" ref="E495" si="97">$E$91*D495</f>
        <v>0.74658025490999991</v>
      </c>
      <c r="F495" s="318">
        <f t="shared" si="92"/>
        <v>0</v>
      </c>
      <c r="G495" s="70"/>
      <c r="H495" s="70"/>
      <c r="I495" s="171">
        <f t="shared" ref="I495" si="98">H495*E495</f>
        <v>0</v>
      </c>
      <c r="J495" s="172">
        <f t="shared" ref="J495" si="99">G495*E495</f>
        <v>0</v>
      </c>
      <c r="K495" s="173">
        <f t="shared" ref="K495" si="100">SUM(I495:J495)</f>
        <v>0</v>
      </c>
    </row>
    <row r="496" spans="1:14" ht="13.5" customHeight="1" x14ac:dyDescent="0.2">
      <c r="A496" s="72"/>
      <c r="B496" s="73"/>
      <c r="C496" s="74"/>
      <c r="D496" s="75">
        <f>SUM(D482:D495)</f>
        <v>1</v>
      </c>
      <c r="E496" s="76">
        <f>SUM(E482:E495)</f>
        <v>12.443004248500001</v>
      </c>
      <c r="F496" s="77"/>
      <c r="G496" s="77"/>
      <c r="H496" s="78" t="s">
        <v>83</v>
      </c>
      <c r="I496" s="174">
        <f>SUM(I482:I495)</f>
        <v>4394.6202404852302</v>
      </c>
      <c r="J496" s="174">
        <f>SUM(J482:J495)</f>
        <v>790957.10969189298</v>
      </c>
      <c r="K496" s="175">
        <f>SUM(K482:K495)</f>
        <v>795351.72993237828</v>
      </c>
    </row>
    <row r="497" spans="1:11" ht="9.75" customHeight="1" x14ac:dyDescent="0.2">
      <c r="A497" s="79"/>
      <c r="B497" s="80"/>
      <c r="C497" s="81"/>
      <c r="D497" s="82"/>
      <c r="E497" s="83"/>
      <c r="F497" s="84"/>
      <c r="G497" s="84"/>
      <c r="H497" s="85"/>
      <c r="I497" s="176"/>
      <c r="J497" s="176"/>
      <c r="K497" s="176"/>
    </row>
    <row r="498" spans="1:11" ht="11.25" customHeight="1" x14ac:dyDescent="0.2">
      <c r="D498" s="86"/>
      <c r="E498" s="87"/>
      <c r="F498" s="88"/>
      <c r="G498" s="88"/>
      <c r="H498" s="89"/>
      <c r="I498" s="177"/>
      <c r="J498" s="177"/>
      <c r="K498" s="177"/>
    </row>
    <row r="499" spans="1:11" ht="13.5" customHeight="1" x14ac:dyDescent="0.2">
      <c r="A499" s="4" t="str">
        <f>Summary!$G$9</f>
        <v>Contractor</v>
      </c>
      <c r="D499" s="90"/>
      <c r="E499" s="91"/>
      <c r="F499" s="92"/>
      <c r="G499" s="88"/>
      <c r="H499" s="89"/>
      <c r="I499" s="177"/>
      <c r="J499" s="177"/>
      <c r="K499" s="177"/>
    </row>
    <row r="500" spans="1:11" ht="13.5" customHeight="1" x14ac:dyDescent="0.2">
      <c r="A500" s="79"/>
      <c r="B500" s="80"/>
      <c r="C500" s="81"/>
      <c r="D500" s="82"/>
      <c r="E500" s="83"/>
      <c r="F500" s="93"/>
      <c r="G500" s="93"/>
      <c r="H500" s="94"/>
      <c r="I500" s="95"/>
      <c r="J500" s="95"/>
      <c r="K500" s="95"/>
    </row>
    <row r="501" spans="1:11" ht="13.5" customHeight="1" x14ac:dyDescent="0.2">
      <c r="A501" s="79"/>
      <c r="C501" s="81"/>
      <c r="D501" s="82"/>
      <c r="E501" s="83"/>
      <c r="F501" s="93"/>
      <c r="G501" s="93"/>
      <c r="I501" s="95"/>
      <c r="J501" s="95"/>
      <c r="K501" s="95"/>
    </row>
    <row r="502" spans="1:11" x14ac:dyDescent="0.2">
      <c r="A502" s="79"/>
      <c r="B502" s="80"/>
      <c r="C502" s="81"/>
      <c r="D502" s="82"/>
      <c r="E502" s="83"/>
      <c r="F502" s="93"/>
      <c r="G502" s="93"/>
      <c r="I502" s="488"/>
      <c r="J502" s="488"/>
      <c r="K502" s="488"/>
    </row>
    <row r="503" spans="1:11" x14ac:dyDescent="0.2">
      <c r="A503" s="79"/>
      <c r="B503" s="80"/>
      <c r="C503" s="81"/>
      <c r="D503" s="82"/>
      <c r="E503" s="83"/>
      <c r="F503" s="93"/>
      <c r="G503" s="93"/>
      <c r="H503" s="94"/>
      <c r="I503" s="489" t="str">
        <f>Summary!$G$10</f>
        <v>Construction Manager</v>
      </c>
      <c r="J503" s="489"/>
      <c r="K503" s="489"/>
    </row>
    <row r="504" spans="1:11" ht="13.5" customHeight="1" x14ac:dyDescent="0.2">
      <c r="A504" s="79"/>
      <c r="C504" s="81"/>
      <c r="D504" s="82"/>
      <c r="E504" s="83"/>
      <c r="F504" s="93"/>
      <c r="G504" s="93"/>
      <c r="I504" s="95"/>
      <c r="J504" s="95"/>
      <c r="K504" s="95"/>
    </row>
    <row r="505" spans="1:11" x14ac:dyDescent="0.2">
      <c r="D505" s="82"/>
      <c r="E505" s="83"/>
      <c r="F505" s="93"/>
      <c r="I505" s="96"/>
      <c r="J505" s="96"/>
      <c r="K505" s="95"/>
    </row>
    <row r="507" spans="1:11" x14ac:dyDescent="0.2">
      <c r="A507" s="58"/>
      <c r="B507" s="58"/>
      <c r="C507" s="58"/>
      <c r="D507" s="315"/>
      <c r="E507" s="316"/>
      <c r="F507" s="93"/>
      <c r="G507" s="58"/>
      <c r="H507" s="515" t="s">
        <v>182</v>
      </c>
      <c r="I507" s="516"/>
      <c r="J507" s="515" t="s">
        <v>183</v>
      </c>
      <c r="K507" s="516"/>
    </row>
    <row r="508" spans="1:11" ht="14" customHeight="1" x14ac:dyDescent="0.2">
      <c r="A508" s="58"/>
      <c r="B508" s="58"/>
      <c r="C508" s="58"/>
      <c r="D508" s="315"/>
      <c r="E508" s="316"/>
      <c r="F508" s="93"/>
      <c r="G508" s="58"/>
      <c r="H508" s="512">
        <v>863980</v>
      </c>
      <c r="I508" s="513"/>
      <c r="J508" s="512">
        <f>K496</f>
        <v>795351.72993237828</v>
      </c>
      <c r="K508" s="514"/>
    </row>
  </sheetData>
  <mergeCells count="91">
    <mergeCell ref="H508:I508"/>
    <mergeCell ref="J508:K508"/>
    <mergeCell ref="J480:K480"/>
    <mergeCell ref="I502:K502"/>
    <mergeCell ref="I503:K503"/>
    <mergeCell ref="H507:I507"/>
    <mergeCell ref="J507:K507"/>
    <mergeCell ref="H469:I469"/>
    <mergeCell ref="J469:K469"/>
    <mergeCell ref="J441:K441"/>
    <mergeCell ref="I463:K463"/>
    <mergeCell ref="I464:K464"/>
    <mergeCell ref="H468:I468"/>
    <mergeCell ref="J468:K468"/>
    <mergeCell ref="H430:I430"/>
    <mergeCell ref="J430:K430"/>
    <mergeCell ref="J402:K402"/>
    <mergeCell ref="I424:K424"/>
    <mergeCell ref="I425:K425"/>
    <mergeCell ref="H429:I429"/>
    <mergeCell ref="J429:K429"/>
    <mergeCell ref="H352:I352"/>
    <mergeCell ref="J352:K352"/>
    <mergeCell ref="J324:K324"/>
    <mergeCell ref="I346:K346"/>
    <mergeCell ref="I347:K347"/>
    <mergeCell ref="H351:I351"/>
    <mergeCell ref="J351:K351"/>
    <mergeCell ref="H313:I313"/>
    <mergeCell ref="J313:K313"/>
    <mergeCell ref="J285:K285"/>
    <mergeCell ref="I307:K307"/>
    <mergeCell ref="I308:K308"/>
    <mergeCell ref="H312:I312"/>
    <mergeCell ref="J312:K312"/>
    <mergeCell ref="H235:I235"/>
    <mergeCell ref="J235:K235"/>
    <mergeCell ref="J207:K207"/>
    <mergeCell ref="I229:K229"/>
    <mergeCell ref="I230:K230"/>
    <mergeCell ref="H234:I234"/>
    <mergeCell ref="J234:K234"/>
    <mergeCell ref="H196:I196"/>
    <mergeCell ref="J196:K196"/>
    <mergeCell ref="J168:K168"/>
    <mergeCell ref="I190:K190"/>
    <mergeCell ref="I191:K191"/>
    <mergeCell ref="H195:I195"/>
    <mergeCell ref="J195:K195"/>
    <mergeCell ref="H78:I78"/>
    <mergeCell ref="J78:K78"/>
    <mergeCell ref="J50:K50"/>
    <mergeCell ref="I72:K72"/>
    <mergeCell ref="I73:K73"/>
    <mergeCell ref="H77:I77"/>
    <mergeCell ref="J77:K77"/>
    <mergeCell ref="H38:I38"/>
    <mergeCell ref="J38:K38"/>
    <mergeCell ref="J10:K10"/>
    <mergeCell ref="I32:K32"/>
    <mergeCell ref="I33:K33"/>
    <mergeCell ref="H37:I37"/>
    <mergeCell ref="J37:K37"/>
    <mergeCell ref="H118:I118"/>
    <mergeCell ref="J118:K118"/>
    <mergeCell ref="J90:K90"/>
    <mergeCell ref="I112:K112"/>
    <mergeCell ref="I113:K113"/>
    <mergeCell ref="H117:I117"/>
    <mergeCell ref="J117:K117"/>
    <mergeCell ref="H157:I157"/>
    <mergeCell ref="J157:K157"/>
    <mergeCell ref="J129:K129"/>
    <mergeCell ref="I151:K151"/>
    <mergeCell ref="I152:K152"/>
    <mergeCell ref="H156:I156"/>
    <mergeCell ref="J156:K156"/>
    <mergeCell ref="H274:I274"/>
    <mergeCell ref="J274:K274"/>
    <mergeCell ref="J246:K246"/>
    <mergeCell ref="I268:K268"/>
    <mergeCell ref="I269:K269"/>
    <mergeCell ref="H273:I273"/>
    <mergeCell ref="J273:K273"/>
    <mergeCell ref="H391:I391"/>
    <mergeCell ref="J391:K391"/>
    <mergeCell ref="J363:K363"/>
    <mergeCell ref="I385:K385"/>
    <mergeCell ref="I386:K386"/>
    <mergeCell ref="H390:I390"/>
    <mergeCell ref="J390:K390"/>
  </mergeCells>
  <phoneticPr fontId="26" type="noConversion"/>
  <pageMargins left="0.71" right="0.71" top="0.75000000000000011" bottom="0.75000000000000011" header="0.31" footer="0.31"/>
  <pageSetup scale="90" orientation="landscape" verticalDpi="1200"/>
  <rowBreaks count="8" manualBreakCount="8">
    <brk id="80" max="16383" man="1"/>
    <brk id="197" max="16383" man="1"/>
    <brk id="236" max="16383" man="1"/>
    <brk id="275" max="16383" man="1"/>
    <brk id="314" max="16383" man="1"/>
    <brk id="353" max="16383" man="1"/>
    <brk id="392" max="16383" man="1"/>
    <brk id="509" max="16383" man="1"/>
  </rowBreaks>
  <colBreaks count="1" manualBreakCount="1"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E43"/>
  <sheetViews>
    <sheetView workbookViewId="0">
      <selection activeCell="C76" sqref="C76"/>
    </sheetView>
  </sheetViews>
  <sheetFormatPr baseColWidth="10" defaultColWidth="8.83203125" defaultRowHeight="15" x14ac:dyDescent="0.2"/>
  <cols>
    <col min="1" max="1" width="10" customWidth="1"/>
    <col min="2" max="2" width="36.33203125" customWidth="1"/>
    <col min="3" max="5" width="14.83203125" customWidth="1"/>
  </cols>
  <sheetData>
    <row r="1" spans="1:5" x14ac:dyDescent="0.2">
      <c r="A1" s="5" t="str">
        <f>Summary!G11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104</v>
      </c>
    </row>
    <row r="16" spans="1:5" x14ac:dyDescent="0.2">
      <c r="D16" s="2" t="s">
        <v>11</v>
      </c>
      <c r="E16" s="3">
        <f>Summary!G3</f>
        <v>42505</v>
      </c>
    </row>
    <row r="17" spans="1:5" x14ac:dyDescent="0.2">
      <c r="A17" s="5" t="s">
        <v>1</v>
      </c>
      <c r="B17" s="4" t="s">
        <v>162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x14ac:dyDescent="0.2">
      <c r="A20" s="124"/>
      <c r="B20" s="125"/>
      <c r="C20" s="15"/>
      <c r="D20" s="15"/>
      <c r="E20" s="139">
        <f>C20+D20</f>
        <v>0</v>
      </c>
    </row>
    <row r="21" spans="1:5" x14ac:dyDescent="0.2">
      <c r="A21" s="126"/>
      <c r="B21" s="21"/>
      <c r="C21" s="127">
        <v>25000</v>
      </c>
      <c r="D21" s="127"/>
      <c r="E21" s="127">
        <f t="shared" ref="E21:E30" si="0">C21+D21</f>
        <v>25000</v>
      </c>
    </row>
    <row r="22" spans="1:5" ht="14.5" customHeight="1" x14ac:dyDescent="0.2">
      <c r="A22" s="126"/>
      <c r="B22" s="21"/>
      <c r="C22" s="127">
        <v>25000</v>
      </c>
      <c r="D22" s="127"/>
      <c r="E22" s="127">
        <f t="shared" si="0"/>
        <v>25000</v>
      </c>
    </row>
    <row r="23" spans="1:5" ht="14.5" customHeight="1" x14ac:dyDescent="0.2">
      <c r="A23" s="126"/>
      <c r="B23" s="21"/>
      <c r="C23" s="127"/>
      <c r="D23" s="127"/>
      <c r="E23" s="140">
        <f t="shared" si="0"/>
        <v>0</v>
      </c>
    </row>
    <row r="24" spans="1:5" x14ac:dyDescent="0.2">
      <c r="A24" s="149"/>
      <c r="B24" s="36"/>
      <c r="C24" s="127"/>
      <c r="D24" s="127"/>
      <c r="E24" s="140">
        <f t="shared" si="0"/>
        <v>0</v>
      </c>
    </row>
    <row r="25" spans="1:5" x14ac:dyDescent="0.2">
      <c r="A25" s="149"/>
      <c r="B25" s="36"/>
      <c r="C25" s="127"/>
      <c r="D25" s="127"/>
      <c r="E25" s="140">
        <f t="shared" si="0"/>
        <v>0</v>
      </c>
    </row>
    <row r="26" spans="1:5" x14ac:dyDescent="0.2">
      <c r="A26" s="149"/>
      <c r="B26" s="36"/>
      <c r="C26" s="127"/>
      <c r="D26" s="127"/>
      <c r="E26" s="140">
        <f t="shared" si="0"/>
        <v>0</v>
      </c>
    </row>
    <row r="27" spans="1:5" x14ac:dyDescent="0.2">
      <c r="A27" s="149"/>
      <c r="B27" s="36"/>
      <c r="C27" s="127"/>
      <c r="D27" s="127"/>
      <c r="E27" s="140">
        <f t="shared" si="0"/>
        <v>0</v>
      </c>
    </row>
    <row r="28" spans="1:5" x14ac:dyDescent="0.2">
      <c r="A28" s="150"/>
      <c r="B28" s="146"/>
      <c r="C28" s="147"/>
      <c r="D28" s="147"/>
      <c r="E28" s="148">
        <f t="shared" si="0"/>
        <v>0</v>
      </c>
    </row>
    <row r="29" spans="1:5" x14ac:dyDescent="0.2">
      <c r="A29" s="150"/>
      <c r="B29" s="146"/>
      <c r="C29" s="147"/>
      <c r="D29" s="147"/>
      <c r="E29" s="127">
        <f t="shared" si="0"/>
        <v>0</v>
      </c>
    </row>
    <row r="30" spans="1:5" x14ac:dyDescent="0.2">
      <c r="A30" s="153"/>
      <c r="B30" s="131"/>
      <c r="C30" s="132"/>
      <c r="D30" s="147"/>
      <c r="E30" s="127">
        <f t="shared" si="0"/>
        <v>0</v>
      </c>
    </row>
    <row r="31" spans="1:5" x14ac:dyDescent="0.2">
      <c r="A31" s="6"/>
      <c r="B31" s="345" t="s">
        <v>12</v>
      </c>
      <c r="C31" s="141">
        <f>SUM(C20:C30)</f>
        <v>50000</v>
      </c>
      <c r="D31" s="141">
        <f>SUM(D20:D30)</f>
        <v>0</v>
      </c>
      <c r="E31" s="133">
        <f>SUM(E20:E30)</f>
        <v>50000</v>
      </c>
    </row>
    <row r="33" spans="1:5" x14ac:dyDescent="0.2">
      <c r="A33" t="str">
        <f>Summary!G9</f>
        <v>Contractor</v>
      </c>
    </row>
    <row r="34" spans="1:5" x14ac:dyDescent="0.2">
      <c r="D34" s="5"/>
    </row>
    <row r="36" spans="1:5" x14ac:dyDescent="0.2">
      <c r="C36" s="488"/>
      <c r="D36" s="488"/>
      <c r="E36" s="488"/>
    </row>
    <row r="37" spans="1:5" x14ac:dyDescent="0.2">
      <c r="C37" s="489" t="str">
        <f>Summary!G10</f>
        <v>Construction Manager</v>
      </c>
      <c r="D37" s="489"/>
      <c r="E37" s="489"/>
    </row>
    <row r="42" spans="1:5" x14ac:dyDescent="0.2">
      <c r="A42" s="58"/>
      <c r="B42" s="58"/>
      <c r="D42" s="320" t="s">
        <v>182</v>
      </c>
      <c r="E42" s="320" t="s">
        <v>183</v>
      </c>
    </row>
    <row r="43" spans="1:5" ht="14" customHeight="1" x14ac:dyDescent="0.2">
      <c r="A43" s="58"/>
      <c r="B43" s="58"/>
      <c r="D43" s="319">
        <v>7088.55</v>
      </c>
      <c r="E43" s="331">
        <f>E31</f>
        <v>50000</v>
      </c>
    </row>
  </sheetData>
  <mergeCells count="2">
    <mergeCell ref="C36:E36"/>
    <mergeCell ref="C37:E37"/>
  </mergeCells>
  <phoneticPr fontId="26" type="noConversion"/>
  <pageMargins left="0.70000000000000007" right="0.70000000000000007" top="1.3405511811023623" bottom="0.75000000000000011" header="0.30000000000000004" footer="0.30000000000000004"/>
  <pageSetup scale="93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32"/>
  <sheetViews>
    <sheetView topLeftCell="A81" workbookViewId="0">
      <selection activeCell="B103" sqref="B103"/>
    </sheetView>
  </sheetViews>
  <sheetFormatPr baseColWidth="10" defaultColWidth="8.83203125" defaultRowHeight="15" x14ac:dyDescent="0.2"/>
  <cols>
    <col min="1" max="1" width="12.83203125" customWidth="1"/>
    <col min="2" max="2" width="33.83203125" customWidth="1"/>
    <col min="3" max="3" width="13.5" customWidth="1"/>
    <col min="4" max="4" width="15.5" customWidth="1"/>
    <col min="5" max="5" width="14.33203125" customWidth="1"/>
    <col min="7" max="7" width="15" customWidth="1"/>
    <col min="10" max="10" width="13.66406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1090</v>
      </c>
    </row>
    <row r="16" spans="1:5" x14ac:dyDescent="0.2">
      <c r="D16" s="2" t="s">
        <v>64</v>
      </c>
      <c r="E16" s="3">
        <v>42384</v>
      </c>
    </row>
    <row r="17" spans="1:14" x14ac:dyDescent="0.2">
      <c r="A17" s="5" t="s">
        <v>1</v>
      </c>
      <c r="B17" s="4" t="s">
        <v>311</v>
      </c>
    </row>
    <row r="19" spans="1:14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  <c r="J19" s="154" t="s">
        <v>418</v>
      </c>
      <c r="K19">
        <v>8590.84</v>
      </c>
      <c r="L19">
        <v>12</v>
      </c>
      <c r="N19">
        <f>K19*L19</f>
        <v>103090.08</v>
      </c>
    </row>
    <row r="20" spans="1:14" ht="14.5" customHeight="1" x14ac:dyDescent="0.2">
      <c r="A20" s="124" t="s">
        <v>421</v>
      </c>
      <c r="B20" s="125" t="s">
        <v>416</v>
      </c>
      <c r="C20" s="15">
        <v>257725.2</v>
      </c>
      <c r="D20" s="15"/>
      <c r="E20" s="15">
        <f>C20+D20</f>
        <v>257725.2</v>
      </c>
      <c r="J20" s="154" t="s">
        <v>309</v>
      </c>
      <c r="K20">
        <v>8590.84</v>
      </c>
      <c r="L20">
        <v>18</v>
      </c>
      <c r="N20">
        <f>K20*L20</f>
        <v>154635.12</v>
      </c>
    </row>
    <row r="21" spans="1:14" x14ac:dyDescent="0.2">
      <c r="A21" s="126" t="s">
        <v>419</v>
      </c>
      <c r="B21" s="21" t="s">
        <v>417</v>
      </c>
      <c r="C21" s="127">
        <v>51545.04</v>
      </c>
      <c r="D21" s="127"/>
      <c r="E21" s="127">
        <f>C21+D21</f>
        <v>51545.04</v>
      </c>
      <c r="J21" t="s">
        <v>419</v>
      </c>
      <c r="K21">
        <v>8590.84</v>
      </c>
      <c r="L21">
        <v>6</v>
      </c>
      <c r="N21">
        <f>K21*L21</f>
        <v>51545.04</v>
      </c>
    </row>
    <row r="22" spans="1:14" x14ac:dyDescent="0.2">
      <c r="A22" s="126" t="s">
        <v>420</v>
      </c>
      <c r="B22" s="21" t="s">
        <v>422</v>
      </c>
      <c r="C22" s="127">
        <v>77317.56</v>
      </c>
      <c r="D22" s="127"/>
      <c r="E22" s="127">
        <f>C22+D22</f>
        <v>77317.56</v>
      </c>
      <c r="J22" t="s">
        <v>420</v>
      </c>
      <c r="K22">
        <v>8590.84</v>
      </c>
      <c r="L22">
        <v>9</v>
      </c>
      <c r="N22">
        <f>K22*L22</f>
        <v>77317.56</v>
      </c>
    </row>
    <row r="23" spans="1:14" ht="14.5" customHeight="1" x14ac:dyDescent="0.2">
      <c r="A23" s="126"/>
      <c r="B23" s="21"/>
      <c r="C23" s="127"/>
      <c r="D23" s="127"/>
      <c r="E23" s="127"/>
      <c r="N23">
        <f>SUM(N19:N22)</f>
        <v>386587.8</v>
      </c>
    </row>
    <row r="24" spans="1:14" x14ac:dyDescent="0.2">
      <c r="A24" s="129"/>
      <c r="B24" s="36"/>
      <c r="C24" s="127"/>
      <c r="D24" s="127"/>
      <c r="E24" s="127"/>
    </row>
    <row r="25" spans="1:14" x14ac:dyDescent="0.2">
      <c r="A25" s="129"/>
      <c r="B25" s="36"/>
      <c r="C25" s="127"/>
      <c r="D25" s="127"/>
      <c r="E25" s="127"/>
    </row>
    <row r="26" spans="1:14" x14ac:dyDescent="0.2">
      <c r="A26" s="129"/>
      <c r="B26" s="36"/>
      <c r="C26" s="127"/>
      <c r="D26" s="127"/>
      <c r="E26" s="127"/>
    </row>
    <row r="27" spans="1:14" x14ac:dyDescent="0.2">
      <c r="A27" s="129"/>
      <c r="B27" s="36"/>
      <c r="C27" s="127"/>
      <c r="D27" s="127"/>
      <c r="E27" s="127"/>
    </row>
    <row r="28" spans="1:14" x14ac:dyDescent="0.2">
      <c r="A28" s="130"/>
      <c r="B28" s="131"/>
      <c r="C28" s="132"/>
      <c r="D28" s="132"/>
      <c r="E28" s="132"/>
    </row>
    <row r="29" spans="1:14" x14ac:dyDescent="0.2">
      <c r="A29" s="6"/>
      <c r="B29" s="345" t="s">
        <v>12</v>
      </c>
      <c r="C29" s="141">
        <f>SUM(C20:C28)</f>
        <v>386587.8</v>
      </c>
      <c r="D29" s="141">
        <f>SUM(D20:D28)</f>
        <v>0</v>
      </c>
      <c r="E29" s="133">
        <f>SUM(E20:E28)</f>
        <v>386587.8</v>
      </c>
    </row>
    <row r="31" spans="1:14" x14ac:dyDescent="0.2">
      <c r="A31" t="str">
        <f>Summary!$G$9</f>
        <v>Contractor</v>
      </c>
    </row>
    <row r="32" spans="1:14" x14ac:dyDescent="0.2">
      <c r="D32" s="5"/>
    </row>
    <row r="34" spans="1:5" x14ac:dyDescent="0.2">
      <c r="C34" s="488"/>
      <c r="D34" s="488"/>
      <c r="E34" s="488"/>
    </row>
    <row r="35" spans="1:5" x14ac:dyDescent="0.2">
      <c r="C35" s="489" t="str">
        <f>Summary!$G$10</f>
        <v>Construction Manager</v>
      </c>
      <c r="D35" s="489"/>
      <c r="E35" s="489"/>
    </row>
    <row r="42" spans="1:5" x14ac:dyDescent="0.2">
      <c r="D42" s="370" t="s">
        <v>182</v>
      </c>
      <c r="E42" s="320" t="s">
        <v>183</v>
      </c>
    </row>
    <row r="43" spans="1:5" x14ac:dyDescent="0.2">
      <c r="D43" s="381">
        <v>670085.52</v>
      </c>
      <c r="E43" s="381">
        <f>E29</f>
        <v>386587.8</v>
      </c>
    </row>
    <row r="45" spans="1:5" x14ac:dyDescent="0.2">
      <c r="A45" s="5" t="str">
        <f>Summary!$G$11</f>
        <v>PIPELINE PROJECT</v>
      </c>
    </row>
    <row r="57" spans="1:14" ht="16" x14ac:dyDescent="0.2">
      <c r="A57" s="192" t="s">
        <v>88</v>
      </c>
    </row>
    <row r="58" spans="1:14" x14ac:dyDescent="0.2">
      <c r="A58" s="5" t="s">
        <v>24</v>
      </c>
      <c r="B58" s="191" t="s">
        <v>1090</v>
      </c>
    </row>
    <row r="60" spans="1:14" x14ac:dyDescent="0.2">
      <c r="D60" s="2" t="s">
        <v>64</v>
      </c>
      <c r="E60" s="3">
        <v>42400</v>
      </c>
    </row>
    <row r="61" spans="1:14" x14ac:dyDescent="0.2">
      <c r="A61" s="5" t="s">
        <v>1</v>
      </c>
      <c r="B61" s="4" t="s">
        <v>311</v>
      </c>
    </row>
    <row r="63" spans="1:14" x14ac:dyDescent="0.2">
      <c r="A63" s="9" t="s">
        <v>19</v>
      </c>
      <c r="B63" s="10" t="s">
        <v>2</v>
      </c>
      <c r="C63" s="11" t="s">
        <v>37</v>
      </c>
      <c r="D63" s="11" t="s">
        <v>27</v>
      </c>
      <c r="E63" s="12" t="s">
        <v>22</v>
      </c>
      <c r="J63" s="154" t="s">
        <v>418</v>
      </c>
      <c r="K63">
        <v>8590.84</v>
      </c>
      <c r="L63">
        <v>12</v>
      </c>
      <c r="N63">
        <f>K63*L63</f>
        <v>103090.08</v>
      </c>
    </row>
    <row r="64" spans="1:14" ht="14.5" customHeight="1" x14ac:dyDescent="0.2">
      <c r="A64" s="124" t="s">
        <v>421</v>
      </c>
      <c r="B64" s="125" t="s">
        <v>416</v>
      </c>
      <c r="C64" s="127"/>
      <c r="D64" s="15">
        <v>257725.2</v>
      </c>
      <c r="E64" s="15">
        <f>C64+D64</f>
        <v>257725.2</v>
      </c>
      <c r="J64" s="154" t="s">
        <v>309</v>
      </c>
      <c r="K64">
        <v>8590.84</v>
      </c>
      <c r="L64">
        <v>18</v>
      </c>
      <c r="N64">
        <f>K64*L64</f>
        <v>154635.12</v>
      </c>
    </row>
    <row r="65" spans="1:14" x14ac:dyDescent="0.2">
      <c r="A65" s="126" t="s">
        <v>419</v>
      </c>
      <c r="B65" s="21" t="s">
        <v>417</v>
      </c>
      <c r="C65" s="127"/>
      <c r="D65" s="127">
        <v>51545.04</v>
      </c>
      <c r="E65" s="127">
        <f>C65+D65</f>
        <v>51545.04</v>
      </c>
      <c r="J65" t="s">
        <v>419</v>
      </c>
      <c r="K65">
        <v>8590.84</v>
      </c>
      <c r="L65">
        <v>6</v>
      </c>
      <c r="N65">
        <f>K65*L65</f>
        <v>51545.04</v>
      </c>
    </row>
    <row r="66" spans="1:14" x14ac:dyDescent="0.2">
      <c r="A66" s="126" t="s">
        <v>420</v>
      </c>
      <c r="B66" s="21" t="s">
        <v>422</v>
      </c>
      <c r="C66" s="127"/>
      <c r="D66" s="127">
        <v>77317.56</v>
      </c>
      <c r="E66" s="127">
        <f>C66+D66</f>
        <v>77317.56</v>
      </c>
      <c r="J66" t="s">
        <v>420</v>
      </c>
      <c r="K66">
        <v>8590.84</v>
      </c>
      <c r="L66">
        <v>9</v>
      </c>
      <c r="N66">
        <f>K66*L66</f>
        <v>77317.56</v>
      </c>
    </row>
    <row r="67" spans="1:14" ht="14.5" customHeight="1" x14ac:dyDescent="0.2">
      <c r="A67" s="126" t="s">
        <v>479</v>
      </c>
      <c r="B67" s="21" t="s">
        <v>480</v>
      </c>
      <c r="C67" s="127">
        <v>51545.04</v>
      </c>
      <c r="D67" s="127"/>
      <c r="E67" s="127">
        <f>C67+D67</f>
        <v>51545.04</v>
      </c>
      <c r="J67" t="s">
        <v>479</v>
      </c>
      <c r="K67">
        <v>8590.84</v>
      </c>
      <c r="L67">
        <v>6</v>
      </c>
      <c r="N67">
        <f>K67*L67</f>
        <v>51545.04</v>
      </c>
    </row>
    <row r="68" spans="1:14" x14ac:dyDescent="0.2">
      <c r="A68" s="129"/>
      <c r="B68" s="36"/>
      <c r="C68" s="127"/>
      <c r="D68" s="127"/>
      <c r="E68" s="127"/>
    </row>
    <row r="69" spans="1:14" x14ac:dyDescent="0.2">
      <c r="A69" s="129"/>
      <c r="B69" s="36"/>
      <c r="C69" s="127"/>
      <c r="D69" s="127"/>
      <c r="E69" s="127"/>
      <c r="N69">
        <f>SUM(N63:N68)</f>
        <v>438132.83999999997</v>
      </c>
    </row>
    <row r="70" spans="1:14" x14ac:dyDescent="0.2">
      <c r="A70" s="129"/>
      <c r="B70" s="36"/>
      <c r="C70" s="127"/>
      <c r="D70" s="127"/>
      <c r="E70" s="127"/>
    </row>
    <row r="71" spans="1:14" x14ac:dyDescent="0.2">
      <c r="A71" s="129"/>
      <c r="B71" s="36"/>
      <c r="C71" s="127"/>
      <c r="D71" s="127"/>
      <c r="E71" s="127"/>
    </row>
    <row r="72" spans="1:14" x14ac:dyDescent="0.2">
      <c r="A72" s="130"/>
      <c r="B72" s="131"/>
      <c r="C72" s="132"/>
      <c r="D72" s="132"/>
      <c r="E72" s="132"/>
    </row>
    <row r="73" spans="1:14" x14ac:dyDescent="0.2">
      <c r="A73" s="6"/>
      <c r="B73" s="345" t="s">
        <v>12</v>
      </c>
      <c r="C73" s="141">
        <f>SUM(C64:C72)</f>
        <v>51545.04</v>
      </c>
      <c r="D73" s="141">
        <f>SUM(D64:D72)</f>
        <v>386587.8</v>
      </c>
      <c r="E73" s="133">
        <f>SUM(E64:E72)</f>
        <v>438132.83999999997</v>
      </c>
    </row>
    <row r="75" spans="1:14" x14ac:dyDescent="0.2">
      <c r="A75" t="str">
        <f>Summary!$G$9</f>
        <v>Contractor</v>
      </c>
    </row>
    <row r="76" spans="1:14" x14ac:dyDescent="0.2">
      <c r="D76" s="5"/>
    </row>
    <row r="78" spans="1:14" x14ac:dyDescent="0.2">
      <c r="C78" s="488"/>
      <c r="D78" s="488"/>
      <c r="E78" s="488"/>
    </row>
    <row r="79" spans="1:14" x14ac:dyDescent="0.2">
      <c r="C79" s="489" t="str">
        <f>Summary!$G$10</f>
        <v>Construction Manager</v>
      </c>
      <c r="D79" s="489"/>
      <c r="E79" s="489"/>
    </row>
    <row r="86" spans="1:5" x14ac:dyDescent="0.2">
      <c r="D86" s="370" t="s">
        <v>182</v>
      </c>
      <c r="E86" s="320" t="s">
        <v>183</v>
      </c>
    </row>
    <row r="87" spans="1:5" x14ac:dyDescent="0.2">
      <c r="D87" s="381">
        <v>670085.52</v>
      </c>
      <c r="E87" s="381">
        <f>E73</f>
        <v>438132.83999999997</v>
      </c>
    </row>
    <row r="89" spans="1:5" x14ac:dyDescent="0.2">
      <c r="A89" s="5" t="str">
        <f>Summary!$G$11</f>
        <v>PIPELINE PROJECT</v>
      </c>
    </row>
    <row r="101" spans="1:5" ht="16" x14ac:dyDescent="0.2">
      <c r="A101" s="192" t="s">
        <v>88</v>
      </c>
    </row>
    <row r="102" spans="1:5" x14ac:dyDescent="0.2">
      <c r="A102" s="5" t="s">
        <v>24</v>
      </c>
      <c r="B102" s="191" t="s">
        <v>1090</v>
      </c>
    </row>
    <row r="104" spans="1:5" x14ac:dyDescent="0.2">
      <c r="D104" s="2" t="s">
        <v>64</v>
      </c>
      <c r="E104" s="3">
        <f>Summary!$G$3</f>
        <v>42505</v>
      </c>
    </row>
    <row r="105" spans="1:5" x14ac:dyDescent="0.2">
      <c r="A105" s="5" t="s">
        <v>1</v>
      </c>
      <c r="B105" s="4" t="s">
        <v>311</v>
      </c>
    </row>
    <row r="107" spans="1:5" x14ac:dyDescent="0.2">
      <c r="A107" s="9" t="s">
        <v>19</v>
      </c>
      <c r="B107" s="10" t="s">
        <v>2</v>
      </c>
      <c r="C107" s="11" t="s">
        <v>37</v>
      </c>
      <c r="D107" s="11" t="s">
        <v>27</v>
      </c>
      <c r="E107" s="12" t="s">
        <v>22</v>
      </c>
    </row>
    <row r="108" spans="1:5" ht="14.5" customHeight="1" x14ac:dyDescent="0.2">
      <c r="A108" s="124" t="s">
        <v>421</v>
      </c>
      <c r="B108" s="125" t="s">
        <v>416</v>
      </c>
      <c r="C108" s="127"/>
      <c r="D108" s="15">
        <v>257725.2</v>
      </c>
      <c r="E108" s="15">
        <f>C108+D108</f>
        <v>257725.2</v>
      </c>
    </row>
    <row r="109" spans="1:5" x14ac:dyDescent="0.2">
      <c r="A109" s="126" t="s">
        <v>419</v>
      </c>
      <c r="B109" s="21" t="s">
        <v>417</v>
      </c>
      <c r="C109" s="127"/>
      <c r="D109" s="127">
        <v>51545.04</v>
      </c>
      <c r="E109" s="127">
        <f>C109+D109</f>
        <v>51545.04</v>
      </c>
    </row>
    <row r="110" spans="1:5" x14ac:dyDescent="0.2">
      <c r="A110" s="126" t="s">
        <v>420</v>
      </c>
      <c r="B110" s="21" t="s">
        <v>422</v>
      </c>
      <c r="C110" s="127"/>
      <c r="D110" s="127">
        <v>77317.56</v>
      </c>
      <c r="E110" s="127">
        <f>C110+D110</f>
        <v>77317.56</v>
      </c>
    </row>
    <row r="111" spans="1:5" ht="14.5" customHeight="1" x14ac:dyDescent="0.2">
      <c r="A111" s="126" t="s">
        <v>479</v>
      </c>
      <c r="B111" s="21" t="s">
        <v>480</v>
      </c>
      <c r="C111" s="127"/>
      <c r="D111" s="127">
        <v>51545.04</v>
      </c>
      <c r="E111" s="127">
        <f>C111+D111</f>
        <v>51545.04</v>
      </c>
    </row>
    <row r="112" spans="1:5" x14ac:dyDescent="0.2">
      <c r="A112" s="129"/>
      <c r="B112" s="36"/>
      <c r="C112" s="127"/>
      <c r="D112" s="127"/>
      <c r="E112" s="127"/>
    </row>
    <row r="113" spans="1:5" x14ac:dyDescent="0.2">
      <c r="A113" s="129"/>
      <c r="B113" s="36"/>
      <c r="C113" s="127"/>
      <c r="D113" s="127"/>
      <c r="E113" s="127"/>
    </row>
    <row r="114" spans="1:5" x14ac:dyDescent="0.2">
      <c r="A114" s="129"/>
      <c r="B114" s="36"/>
      <c r="C114" s="127"/>
      <c r="D114" s="127"/>
      <c r="E114" s="127"/>
    </row>
    <row r="115" spans="1:5" x14ac:dyDescent="0.2">
      <c r="A115" s="129"/>
      <c r="B115" s="36"/>
      <c r="C115" s="127"/>
      <c r="D115" s="127"/>
      <c r="E115" s="127"/>
    </row>
    <row r="116" spans="1:5" x14ac:dyDescent="0.2">
      <c r="A116" s="130"/>
      <c r="B116" s="131"/>
      <c r="C116" s="132"/>
      <c r="D116" s="132"/>
      <c r="E116" s="132"/>
    </row>
    <row r="117" spans="1:5" x14ac:dyDescent="0.2">
      <c r="A117" s="6"/>
      <c r="B117" s="345" t="s">
        <v>12</v>
      </c>
      <c r="C117" s="141">
        <f>SUM(C108:C116)</f>
        <v>0</v>
      </c>
      <c r="D117" s="141">
        <f>SUM(D108:D116)</f>
        <v>438132.83999999997</v>
      </c>
      <c r="E117" s="133">
        <f>SUM(E108:E116)</f>
        <v>438132.83999999997</v>
      </c>
    </row>
    <row r="119" spans="1:5" x14ac:dyDescent="0.2">
      <c r="A119" t="str">
        <f>Summary!$G$9</f>
        <v>Contractor</v>
      </c>
    </row>
    <row r="120" spans="1:5" x14ac:dyDescent="0.2">
      <c r="D120" s="5"/>
    </row>
    <row r="122" spans="1:5" x14ac:dyDescent="0.2">
      <c r="C122" s="488"/>
      <c r="D122" s="488"/>
      <c r="E122" s="488"/>
    </row>
    <row r="123" spans="1:5" x14ac:dyDescent="0.2">
      <c r="C123" s="489" t="str">
        <f>Summary!$G$10</f>
        <v>Construction Manager</v>
      </c>
      <c r="D123" s="489"/>
      <c r="E123" s="489"/>
    </row>
    <row r="130" spans="4:5" x14ac:dyDescent="0.2">
      <c r="D130" s="370" t="s">
        <v>182</v>
      </c>
      <c r="E130" s="320" t="s">
        <v>183</v>
      </c>
    </row>
    <row r="131" spans="4:5" x14ac:dyDescent="0.2">
      <c r="D131" s="381">
        <v>670085.52</v>
      </c>
      <c r="E131" s="381">
        <f>E117</f>
        <v>438132.83999999997</v>
      </c>
    </row>
    <row r="132" spans="4:5" x14ac:dyDescent="0.2">
      <c r="E132" t="s">
        <v>134</v>
      </c>
    </row>
  </sheetData>
  <mergeCells count="6">
    <mergeCell ref="C123:E123"/>
    <mergeCell ref="C34:E34"/>
    <mergeCell ref="C35:E35"/>
    <mergeCell ref="C78:E78"/>
    <mergeCell ref="C79:E79"/>
    <mergeCell ref="C122:E122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rowBreaks count="1" manualBreakCount="1">
    <brk id="44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56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10" customWidth="1"/>
    <col min="2" max="2" width="39.5" customWidth="1"/>
    <col min="3" max="3" width="12.664062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2" spans="1:5" x14ac:dyDescent="0.2">
      <c r="A2" s="5"/>
    </row>
    <row r="3" spans="1:5" x14ac:dyDescent="0.2">
      <c r="A3" s="5"/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1091</v>
      </c>
    </row>
    <row r="16" spans="1:5" x14ac:dyDescent="0.2">
      <c r="D16" s="2" t="s">
        <v>64</v>
      </c>
      <c r="E16" s="3">
        <v>42353</v>
      </c>
    </row>
    <row r="17" spans="1:5" x14ac:dyDescent="0.2">
      <c r="A17" s="5" t="s">
        <v>1</v>
      </c>
      <c r="B17" s="4" t="s">
        <v>310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/>
      <c r="B20" s="125"/>
      <c r="C20" s="15"/>
      <c r="D20" s="15"/>
      <c r="E20" s="139"/>
    </row>
    <row r="21" spans="1:5" x14ac:dyDescent="0.2">
      <c r="A21" s="126">
        <v>42353</v>
      </c>
      <c r="B21" s="21" t="s">
        <v>336</v>
      </c>
      <c r="C21" s="127">
        <v>25357.5</v>
      </c>
      <c r="D21" s="127"/>
      <c r="E21" s="127">
        <f>C21+D21</f>
        <v>25357.5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25357.5</v>
      </c>
      <c r="D29" s="141">
        <f>SUM(D20:D28)</f>
        <v>0</v>
      </c>
      <c r="E29" s="133">
        <f>SUM(E20:E28)</f>
        <v>25357.5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5" x14ac:dyDescent="0.2">
      <c r="C34" s="488"/>
      <c r="D34" s="488"/>
      <c r="E34" s="488"/>
    </row>
    <row r="35" spans="1:5" x14ac:dyDescent="0.2">
      <c r="C35" s="489" t="str">
        <f>Summary!$G$10</f>
        <v>Construction Manager</v>
      </c>
      <c r="D35" s="489"/>
      <c r="E35" s="489"/>
    </row>
    <row r="37" spans="1:5" x14ac:dyDescent="0.2">
      <c r="A37" s="5" t="str">
        <f>Summary!$G$11</f>
        <v>PIPELINE PROJECT</v>
      </c>
    </row>
    <row r="38" spans="1:5" x14ac:dyDescent="0.2">
      <c r="A38" s="5"/>
    </row>
    <row r="39" spans="1:5" x14ac:dyDescent="0.2">
      <c r="A39" s="5"/>
    </row>
    <row r="49" spans="1:5" ht="16" x14ac:dyDescent="0.2">
      <c r="A49" s="192" t="s">
        <v>88</v>
      </c>
    </row>
    <row r="50" spans="1:5" x14ac:dyDescent="0.2">
      <c r="A50" s="5" t="s">
        <v>24</v>
      </c>
      <c r="B50" s="191" t="s">
        <v>1091</v>
      </c>
    </row>
    <row r="52" spans="1:5" x14ac:dyDescent="0.2">
      <c r="D52" s="2" t="s">
        <v>64</v>
      </c>
      <c r="E52" s="3">
        <v>42369</v>
      </c>
    </row>
    <row r="53" spans="1:5" x14ac:dyDescent="0.2">
      <c r="A53" s="5" t="s">
        <v>1</v>
      </c>
      <c r="B53" s="4" t="s">
        <v>310</v>
      </c>
    </row>
    <row r="55" spans="1:5" x14ac:dyDescent="0.2">
      <c r="A55" s="9" t="s">
        <v>19</v>
      </c>
      <c r="B55" s="10" t="s">
        <v>2</v>
      </c>
      <c r="C55" s="11" t="s">
        <v>37</v>
      </c>
      <c r="D55" s="11" t="s">
        <v>27</v>
      </c>
      <c r="E55" s="12" t="s">
        <v>22</v>
      </c>
    </row>
    <row r="56" spans="1:5" ht="14.5" customHeight="1" x14ac:dyDescent="0.2">
      <c r="A56" s="124"/>
      <c r="B56" s="125"/>
      <c r="C56" s="15"/>
      <c r="D56" s="15"/>
      <c r="E56" s="139"/>
    </row>
    <row r="57" spans="1:5" x14ac:dyDescent="0.2">
      <c r="A57" s="126">
        <v>42353</v>
      </c>
      <c r="B57" s="21" t="s">
        <v>336</v>
      </c>
      <c r="C57" s="127"/>
      <c r="D57" s="127">
        <v>25357.5</v>
      </c>
      <c r="E57" s="127">
        <f>C57+D57</f>
        <v>25357.5</v>
      </c>
    </row>
    <row r="58" spans="1:5" x14ac:dyDescent="0.2">
      <c r="A58" s="126">
        <f>E52</f>
        <v>42369</v>
      </c>
      <c r="B58" s="21" t="s">
        <v>384</v>
      </c>
      <c r="C58" s="127">
        <v>8820</v>
      </c>
      <c r="D58" s="127"/>
      <c r="E58" s="127">
        <f t="shared" ref="E58" si="0">C58+D58</f>
        <v>8820</v>
      </c>
    </row>
    <row r="59" spans="1:5" ht="14.5" customHeight="1" x14ac:dyDescent="0.2">
      <c r="A59" s="126"/>
      <c r="B59" s="21"/>
      <c r="C59" s="127"/>
      <c r="D59" s="127"/>
      <c r="E59" s="127"/>
    </row>
    <row r="60" spans="1:5" x14ac:dyDescent="0.2">
      <c r="A60" s="129"/>
      <c r="B60" s="36"/>
      <c r="C60" s="127"/>
      <c r="D60" s="127"/>
      <c r="E60" s="127"/>
    </row>
    <row r="61" spans="1:5" x14ac:dyDescent="0.2">
      <c r="A61" s="129"/>
      <c r="B61" s="36"/>
      <c r="C61" s="127"/>
      <c r="D61" s="127"/>
      <c r="E61" s="127"/>
    </row>
    <row r="62" spans="1:5" x14ac:dyDescent="0.2">
      <c r="A62" s="129"/>
      <c r="B62" s="36"/>
      <c r="C62" s="127"/>
      <c r="D62" s="127"/>
      <c r="E62" s="127"/>
    </row>
    <row r="63" spans="1:5" x14ac:dyDescent="0.2">
      <c r="A63" s="129"/>
      <c r="B63" s="36"/>
      <c r="C63" s="127"/>
      <c r="D63" s="127"/>
      <c r="E63" s="127"/>
    </row>
    <row r="64" spans="1:5" x14ac:dyDescent="0.2">
      <c r="A64" s="130"/>
      <c r="B64" s="131"/>
      <c r="C64" s="132"/>
      <c r="D64" s="132"/>
      <c r="E64" s="132"/>
    </row>
    <row r="65" spans="1:7" x14ac:dyDescent="0.2">
      <c r="A65" s="6"/>
      <c r="B65" s="345" t="s">
        <v>12</v>
      </c>
      <c r="C65" s="141">
        <f>SUM(C56:C64)</f>
        <v>8820</v>
      </c>
      <c r="D65" s="141">
        <f>SUM(D56:D64)</f>
        <v>25357.5</v>
      </c>
      <c r="E65" s="133">
        <f>SUM(E56:E64)</f>
        <v>34177.5</v>
      </c>
    </row>
    <row r="67" spans="1:7" x14ac:dyDescent="0.2">
      <c r="A67" t="str">
        <f>Summary!$G$9</f>
        <v>Contractor</v>
      </c>
    </row>
    <row r="68" spans="1:7" x14ac:dyDescent="0.2">
      <c r="D68" s="5"/>
    </row>
    <row r="70" spans="1:7" x14ac:dyDescent="0.2">
      <c r="C70" s="488"/>
      <c r="D70" s="488"/>
      <c r="E70" s="488"/>
    </row>
    <row r="71" spans="1:7" x14ac:dyDescent="0.2">
      <c r="C71" s="489" t="str">
        <f>Summary!$G$10</f>
        <v>Construction Manager</v>
      </c>
      <c r="D71" s="489"/>
      <c r="E71" s="489"/>
    </row>
    <row r="73" spans="1:7" x14ac:dyDescent="0.2">
      <c r="A73" s="58"/>
      <c r="B73" s="58"/>
      <c r="C73" s="58"/>
      <c r="D73" s="315"/>
      <c r="E73" s="316"/>
      <c r="F73" s="93"/>
      <c r="G73" s="58"/>
    </row>
    <row r="74" spans="1:7" ht="14" customHeight="1" x14ac:dyDescent="0.2">
      <c r="A74" s="58"/>
      <c r="B74" s="58"/>
      <c r="C74" s="58"/>
      <c r="D74" s="315"/>
      <c r="E74" s="316"/>
      <c r="F74" s="93"/>
      <c r="G74" s="58"/>
    </row>
    <row r="78" spans="1:7" x14ac:dyDescent="0.2">
      <c r="D78" s="370" t="s">
        <v>182</v>
      </c>
      <c r="E78" s="370" t="s">
        <v>183</v>
      </c>
    </row>
    <row r="79" spans="1:7" x14ac:dyDescent="0.2">
      <c r="D79" s="381">
        <v>103635</v>
      </c>
      <c r="E79" s="331">
        <f>E65</f>
        <v>34177.5</v>
      </c>
    </row>
    <row r="81" spans="1:5" x14ac:dyDescent="0.2">
      <c r="A81" s="5" t="str">
        <f>Summary!$G$11</f>
        <v>PIPELINE PROJECT</v>
      </c>
    </row>
    <row r="82" spans="1:5" x14ac:dyDescent="0.2">
      <c r="A82" s="5"/>
    </row>
    <row r="83" spans="1:5" x14ac:dyDescent="0.2">
      <c r="A83" s="5"/>
    </row>
    <row r="93" spans="1:5" ht="16" x14ac:dyDescent="0.2">
      <c r="A93" s="192" t="s">
        <v>88</v>
      </c>
    </row>
    <row r="94" spans="1:5" x14ac:dyDescent="0.2">
      <c r="A94" s="5" t="s">
        <v>24</v>
      </c>
      <c r="B94" s="191" t="s">
        <v>1091</v>
      </c>
    </row>
    <row r="96" spans="1:5" x14ac:dyDescent="0.2">
      <c r="D96" s="2" t="s">
        <v>64</v>
      </c>
      <c r="E96" s="3">
        <v>42384</v>
      </c>
    </row>
    <row r="97" spans="1:5" x14ac:dyDescent="0.2">
      <c r="A97" s="5" t="s">
        <v>1</v>
      </c>
      <c r="B97" s="4" t="s">
        <v>310</v>
      </c>
    </row>
    <row r="99" spans="1:5" x14ac:dyDescent="0.2">
      <c r="A99" s="9" t="s">
        <v>19</v>
      </c>
      <c r="B99" s="10" t="s">
        <v>2</v>
      </c>
      <c r="C99" s="11" t="s">
        <v>37</v>
      </c>
      <c r="D99" s="11" t="s">
        <v>27</v>
      </c>
      <c r="E99" s="12" t="s">
        <v>22</v>
      </c>
    </row>
    <row r="100" spans="1:5" ht="14.5" customHeight="1" x14ac:dyDescent="0.2">
      <c r="A100" s="124"/>
      <c r="B100" s="125"/>
      <c r="C100" s="15"/>
      <c r="D100" s="15"/>
      <c r="E100" s="139"/>
    </row>
    <row r="101" spans="1:5" ht="14" customHeight="1" x14ac:dyDescent="0.2">
      <c r="A101" s="126">
        <v>42353</v>
      </c>
      <c r="B101" s="21" t="s">
        <v>414</v>
      </c>
      <c r="C101" s="127"/>
      <c r="D101" s="127">
        <v>25357.5</v>
      </c>
      <c r="E101" s="127">
        <f>C101+D101</f>
        <v>25357.5</v>
      </c>
    </row>
    <row r="102" spans="1:5" x14ac:dyDescent="0.2">
      <c r="A102" s="126">
        <v>42369</v>
      </c>
      <c r="B102" s="21" t="s">
        <v>413</v>
      </c>
      <c r="C102" s="127"/>
      <c r="D102" s="127">
        <v>8820</v>
      </c>
      <c r="E102" s="127">
        <f t="shared" ref="E102:E103" si="1">C102+D102</f>
        <v>8820</v>
      </c>
    </row>
    <row r="103" spans="1:5" ht="14.5" customHeight="1" x14ac:dyDescent="0.2">
      <c r="A103" s="126">
        <v>42384</v>
      </c>
      <c r="B103" s="21" t="s">
        <v>412</v>
      </c>
      <c r="C103" s="127">
        <v>23152.5</v>
      </c>
      <c r="D103" s="127"/>
      <c r="E103" s="127">
        <f t="shared" si="1"/>
        <v>23152.5</v>
      </c>
    </row>
    <row r="104" spans="1:5" x14ac:dyDescent="0.2">
      <c r="A104" s="129"/>
      <c r="B104" s="36"/>
      <c r="C104" s="127"/>
      <c r="D104" s="127"/>
      <c r="E104" s="127"/>
    </row>
    <row r="105" spans="1:5" x14ac:dyDescent="0.2">
      <c r="A105" s="129"/>
      <c r="B105" s="36"/>
      <c r="C105" s="127"/>
      <c r="D105" s="127"/>
      <c r="E105" s="127"/>
    </row>
    <row r="106" spans="1:5" x14ac:dyDescent="0.2">
      <c r="A106" s="129"/>
      <c r="B106" s="36"/>
      <c r="C106" s="127"/>
      <c r="D106" s="127"/>
      <c r="E106" s="127"/>
    </row>
    <row r="107" spans="1:5" x14ac:dyDescent="0.2">
      <c r="A107" s="129"/>
      <c r="B107" s="36"/>
      <c r="C107" s="127"/>
      <c r="D107" s="127"/>
      <c r="E107" s="127"/>
    </row>
    <row r="108" spans="1:5" x14ac:dyDescent="0.2">
      <c r="A108" s="130"/>
      <c r="B108" s="131"/>
      <c r="C108" s="132"/>
      <c r="D108" s="132"/>
      <c r="E108" s="132"/>
    </row>
    <row r="109" spans="1:5" x14ac:dyDescent="0.2">
      <c r="A109" s="6"/>
      <c r="B109" s="345" t="s">
        <v>12</v>
      </c>
      <c r="C109" s="141">
        <f>SUM(C100:C108)</f>
        <v>23152.5</v>
      </c>
      <c r="D109" s="141">
        <f>SUM(D100:D108)</f>
        <v>34177.5</v>
      </c>
      <c r="E109" s="133">
        <f>SUM(E100:E108)</f>
        <v>57330</v>
      </c>
    </row>
    <row r="111" spans="1:5" x14ac:dyDescent="0.2">
      <c r="A111" t="str">
        <f>Summary!$G$9</f>
        <v>Contractor</v>
      </c>
    </row>
    <row r="112" spans="1:5" x14ac:dyDescent="0.2">
      <c r="D112" s="5"/>
    </row>
    <row r="114" spans="1:7" x14ac:dyDescent="0.2">
      <c r="C114" s="488"/>
      <c r="D114" s="488"/>
      <c r="E114" s="488"/>
    </row>
    <row r="115" spans="1:7" x14ac:dyDescent="0.2">
      <c r="C115" s="489" t="str">
        <f>Summary!$G$10</f>
        <v>Construction Manager</v>
      </c>
      <c r="D115" s="489"/>
      <c r="E115" s="489"/>
    </row>
    <row r="117" spans="1:7" x14ac:dyDescent="0.2">
      <c r="A117" s="58"/>
      <c r="B117" s="58"/>
      <c r="C117" s="58"/>
      <c r="D117" s="315"/>
      <c r="E117" s="316"/>
      <c r="F117" s="93"/>
      <c r="G117" s="58"/>
    </row>
    <row r="118" spans="1:7" ht="14" customHeight="1" x14ac:dyDescent="0.2">
      <c r="A118" s="58"/>
      <c r="B118" s="58"/>
      <c r="C118" s="58"/>
      <c r="D118" s="315"/>
      <c r="E118" s="316"/>
      <c r="F118" s="93"/>
      <c r="G118" s="58"/>
    </row>
    <row r="122" spans="1:7" x14ac:dyDescent="0.2">
      <c r="D122" s="370" t="s">
        <v>182</v>
      </c>
      <c r="E122" s="320" t="s">
        <v>183</v>
      </c>
    </row>
    <row r="123" spans="1:7" x14ac:dyDescent="0.2">
      <c r="D123" s="381">
        <v>103635</v>
      </c>
      <c r="E123" s="381">
        <f>E109</f>
        <v>57330</v>
      </c>
    </row>
    <row r="125" spans="1:7" x14ac:dyDescent="0.2">
      <c r="A125" s="5" t="str">
        <f>Summary!$G$11</f>
        <v>PIPELINE PROJECT</v>
      </c>
    </row>
    <row r="126" spans="1:7" x14ac:dyDescent="0.2">
      <c r="A126" s="5"/>
    </row>
    <row r="127" spans="1:7" x14ac:dyDescent="0.2">
      <c r="A127" s="5"/>
    </row>
    <row r="137" spans="1:5" ht="16" x14ac:dyDescent="0.2">
      <c r="A137" s="192" t="s">
        <v>88</v>
      </c>
    </row>
    <row r="138" spans="1:5" x14ac:dyDescent="0.2">
      <c r="A138" s="5" t="s">
        <v>24</v>
      </c>
      <c r="B138" s="191" t="s">
        <v>1091</v>
      </c>
    </row>
    <row r="140" spans="1:5" x14ac:dyDescent="0.2">
      <c r="D140" s="2" t="s">
        <v>64</v>
      </c>
      <c r="E140" s="3">
        <v>42400</v>
      </c>
    </row>
    <row r="141" spans="1:5" x14ac:dyDescent="0.2">
      <c r="A141" s="5" t="s">
        <v>1</v>
      </c>
      <c r="B141" s="4" t="s">
        <v>310</v>
      </c>
    </row>
    <row r="143" spans="1:5" x14ac:dyDescent="0.2">
      <c r="A143" s="9" t="s">
        <v>19</v>
      </c>
      <c r="B143" s="10" t="s">
        <v>2</v>
      </c>
      <c r="C143" s="11" t="s">
        <v>37</v>
      </c>
      <c r="D143" s="11" t="s">
        <v>27</v>
      </c>
      <c r="E143" s="12" t="s">
        <v>22</v>
      </c>
    </row>
    <row r="144" spans="1:5" ht="14.5" customHeight="1" x14ac:dyDescent="0.2">
      <c r="A144" s="124"/>
      <c r="B144" s="125"/>
      <c r="C144" s="15"/>
      <c r="D144" s="15"/>
      <c r="E144" s="139"/>
    </row>
    <row r="145" spans="1:5" ht="14" customHeight="1" x14ac:dyDescent="0.2">
      <c r="A145" s="126">
        <v>42353</v>
      </c>
      <c r="B145" s="21" t="s">
        <v>414</v>
      </c>
      <c r="C145" s="127"/>
      <c r="D145" s="127">
        <v>25357.5</v>
      </c>
      <c r="E145" s="127">
        <f>C145+D145</f>
        <v>25357.5</v>
      </c>
    </row>
    <row r="146" spans="1:5" x14ac:dyDescent="0.2">
      <c r="A146" s="126">
        <v>42369</v>
      </c>
      <c r="B146" s="21" t="s">
        <v>445</v>
      </c>
      <c r="C146" s="127"/>
      <c r="D146" s="127">
        <v>8820</v>
      </c>
      <c r="E146" s="127">
        <f t="shared" ref="E146:E148" si="2">C146+D146</f>
        <v>8820</v>
      </c>
    </row>
    <row r="147" spans="1:5" ht="14.5" customHeight="1" x14ac:dyDescent="0.2">
      <c r="A147" s="126">
        <v>42384</v>
      </c>
      <c r="B147" s="21" t="s">
        <v>446</v>
      </c>
      <c r="C147" s="127"/>
      <c r="D147" s="127">
        <v>23152.5</v>
      </c>
      <c r="E147" s="127">
        <f t="shared" si="2"/>
        <v>23152.5</v>
      </c>
    </row>
    <row r="148" spans="1:5" x14ac:dyDescent="0.2">
      <c r="A148" s="149">
        <v>42393</v>
      </c>
      <c r="B148" s="21" t="s">
        <v>447</v>
      </c>
      <c r="C148" s="127">
        <v>31972.5</v>
      </c>
      <c r="D148" s="127"/>
      <c r="E148" s="127">
        <f t="shared" si="2"/>
        <v>31972.5</v>
      </c>
    </row>
    <row r="149" spans="1:5" x14ac:dyDescent="0.2">
      <c r="A149" s="129"/>
      <c r="B149" s="36"/>
      <c r="C149" s="127"/>
      <c r="D149" s="127"/>
      <c r="E149" s="127"/>
    </row>
    <row r="150" spans="1:5" x14ac:dyDescent="0.2">
      <c r="A150" s="129"/>
      <c r="B150" s="36"/>
      <c r="C150" s="127"/>
      <c r="D150" s="127"/>
      <c r="E150" s="127"/>
    </row>
    <row r="151" spans="1:5" x14ac:dyDescent="0.2">
      <c r="A151" s="129"/>
      <c r="B151" s="36"/>
      <c r="C151" s="127"/>
      <c r="D151" s="127"/>
      <c r="E151" s="127"/>
    </row>
    <row r="152" spans="1:5" x14ac:dyDescent="0.2">
      <c r="A152" s="130"/>
      <c r="B152" s="131"/>
      <c r="C152" s="132"/>
      <c r="D152" s="132"/>
      <c r="E152" s="132"/>
    </row>
    <row r="153" spans="1:5" x14ac:dyDescent="0.2">
      <c r="A153" s="6"/>
      <c r="B153" s="345" t="s">
        <v>12</v>
      </c>
      <c r="C153" s="141">
        <f>SUM(C144:C152)</f>
        <v>31972.5</v>
      </c>
      <c r="D153" s="141">
        <f>SUM(D144:D152)</f>
        <v>57330</v>
      </c>
      <c r="E153" s="133">
        <f>SUM(E144:E152)</f>
        <v>89302.5</v>
      </c>
    </row>
    <row r="155" spans="1:5" x14ac:dyDescent="0.2">
      <c r="A155" t="str">
        <f>Summary!$G$9</f>
        <v>Contractor</v>
      </c>
    </row>
    <row r="156" spans="1:5" x14ac:dyDescent="0.2">
      <c r="D156" s="5"/>
    </row>
    <row r="158" spans="1:5" x14ac:dyDescent="0.2">
      <c r="C158" s="488"/>
      <c r="D158" s="488"/>
      <c r="E158" s="488"/>
    </row>
    <row r="159" spans="1:5" x14ac:dyDescent="0.2">
      <c r="C159" s="489" t="str">
        <f>Summary!$G$10</f>
        <v>Construction Manager</v>
      </c>
      <c r="D159" s="489"/>
      <c r="E159" s="489"/>
    </row>
    <row r="161" spans="1:7" x14ac:dyDescent="0.2">
      <c r="A161" s="58"/>
      <c r="B161" s="58"/>
      <c r="C161" s="58"/>
      <c r="D161" s="315"/>
      <c r="E161" s="316"/>
      <c r="F161" s="93"/>
      <c r="G161" s="58"/>
    </row>
    <row r="162" spans="1:7" ht="14" customHeight="1" x14ac:dyDescent="0.2">
      <c r="A162" s="58"/>
      <c r="B162" s="58"/>
      <c r="C162" s="58"/>
      <c r="D162" s="315"/>
      <c r="E162" s="316"/>
      <c r="F162" s="93"/>
      <c r="G162" s="58"/>
    </row>
    <row r="166" spans="1:7" x14ac:dyDescent="0.2">
      <c r="D166" s="370" t="s">
        <v>182</v>
      </c>
      <c r="E166" s="320" t="s">
        <v>183</v>
      </c>
    </row>
    <row r="167" spans="1:7" x14ac:dyDescent="0.2">
      <c r="D167" s="381">
        <v>103635</v>
      </c>
      <c r="E167" s="381">
        <f>E153</f>
        <v>89302.5</v>
      </c>
    </row>
    <row r="169" spans="1:7" x14ac:dyDescent="0.2">
      <c r="A169" s="5" t="str">
        <f>Summary!$G$11</f>
        <v>PIPELINE PROJECT</v>
      </c>
    </row>
    <row r="170" spans="1:7" x14ac:dyDescent="0.2">
      <c r="A170" s="5"/>
    </row>
    <row r="171" spans="1:7" x14ac:dyDescent="0.2">
      <c r="A171" s="5"/>
    </row>
    <row r="181" spans="1:5" ht="16" x14ac:dyDescent="0.2">
      <c r="A181" s="192" t="s">
        <v>88</v>
      </c>
    </row>
    <row r="182" spans="1:5" x14ac:dyDescent="0.2">
      <c r="A182" s="5" t="s">
        <v>24</v>
      </c>
      <c r="B182" s="191" t="s">
        <v>1091</v>
      </c>
    </row>
    <row r="184" spans="1:5" x14ac:dyDescent="0.2">
      <c r="D184" s="2" t="s">
        <v>64</v>
      </c>
      <c r="E184" s="3">
        <v>42415</v>
      </c>
    </row>
    <row r="185" spans="1:5" x14ac:dyDescent="0.2">
      <c r="A185" s="5" t="s">
        <v>1</v>
      </c>
      <c r="B185" s="4" t="s">
        <v>310</v>
      </c>
    </row>
    <row r="187" spans="1:5" x14ac:dyDescent="0.2">
      <c r="A187" s="9" t="s">
        <v>19</v>
      </c>
      <c r="B187" s="10" t="s">
        <v>2</v>
      </c>
      <c r="C187" s="11" t="s">
        <v>37</v>
      </c>
      <c r="D187" s="11" t="s">
        <v>27</v>
      </c>
      <c r="E187" s="12" t="s">
        <v>22</v>
      </c>
    </row>
    <row r="188" spans="1:5" ht="14.5" customHeight="1" x14ac:dyDescent="0.2">
      <c r="A188" s="124"/>
      <c r="B188" s="125"/>
      <c r="C188" s="15"/>
      <c r="D188" s="15"/>
      <c r="E188" s="139"/>
    </row>
    <row r="189" spans="1:5" ht="14" customHeight="1" x14ac:dyDescent="0.2">
      <c r="A189" s="126">
        <v>42353</v>
      </c>
      <c r="B189" s="21" t="s">
        <v>414</v>
      </c>
      <c r="C189" s="127"/>
      <c r="D189" s="127">
        <v>25357.5</v>
      </c>
      <c r="E189" s="127">
        <f>C189+D189</f>
        <v>25357.5</v>
      </c>
    </row>
    <row r="190" spans="1:5" x14ac:dyDescent="0.2">
      <c r="A190" s="126">
        <v>42369</v>
      </c>
      <c r="B190" s="21" t="s">
        <v>445</v>
      </c>
      <c r="C190" s="127"/>
      <c r="D190" s="127">
        <v>8820</v>
      </c>
      <c r="E190" s="127">
        <f t="shared" ref="E190:E193" si="3">C190+D190</f>
        <v>8820</v>
      </c>
    </row>
    <row r="191" spans="1:5" ht="14.5" customHeight="1" x14ac:dyDescent="0.2">
      <c r="A191" s="126">
        <v>42384</v>
      </c>
      <c r="B191" s="21" t="s">
        <v>446</v>
      </c>
      <c r="C191" s="127"/>
      <c r="D191" s="127">
        <v>23152.5</v>
      </c>
      <c r="E191" s="127">
        <f t="shared" si="3"/>
        <v>23152.5</v>
      </c>
    </row>
    <row r="192" spans="1:5" x14ac:dyDescent="0.2">
      <c r="A192" s="149">
        <v>42393</v>
      </c>
      <c r="B192" s="21" t="s">
        <v>447</v>
      </c>
      <c r="C192" s="127"/>
      <c r="D192" s="127">
        <v>31972.5</v>
      </c>
      <c r="E192" s="127">
        <f t="shared" si="3"/>
        <v>31972.5</v>
      </c>
    </row>
    <row r="193" spans="1:7" x14ac:dyDescent="0.2">
      <c r="A193" s="149">
        <v>42415</v>
      </c>
      <c r="B193" s="21" t="s">
        <v>615</v>
      </c>
      <c r="C193" s="127">
        <v>14332.5</v>
      </c>
      <c r="D193" s="127"/>
      <c r="E193" s="127">
        <f t="shared" si="3"/>
        <v>14332.5</v>
      </c>
    </row>
    <row r="194" spans="1:7" x14ac:dyDescent="0.2">
      <c r="A194" s="129"/>
      <c r="B194" s="36"/>
      <c r="C194" s="127"/>
      <c r="D194" s="127"/>
      <c r="E194" s="127"/>
    </row>
    <row r="195" spans="1:7" x14ac:dyDescent="0.2">
      <c r="A195" s="129"/>
      <c r="B195" s="36"/>
      <c r="C195" s="127"/>
      <c r="D195" s="127"/>
      <c r="E195" s="127"/>
    </row>
    <row r="196" spans="1:7" x14ac:dyDescent="0.2">
      <c r="A196" s="130"/>
      <c r="B196" s="131"/>
      <c r="C196" s="132"/>
      <c r="D196" s="132"/>
      <c r="E196" s="132"/>
    </row>
    <row r="197" spans="1:7" x14ac:dyDescent="0.2">
      <c r="A197" s="6"/>
      <c r="B197" s="345" t="s">
        <v>12</v>
      </c>
      <c r="C197" s="141">
        <f>SUM(C188:C196)</f>
        <v>14332.5</v>
      </c>
      <c r="D197" s="141">
        <f>SUM(D188:D196)</f>
        <v>89302.5</v>
      </c>
      <c r="E197" s="133">
        <f>SUM(E188:E196)</f>
        <v>103635</v>
      </c>
    </row>
    <row r="199" spans="1:7" x14ac:dyDescent="0.2">
      <c r="A199" t="str">
        <f>Summary!$G$9</f>
        <v>Contractor</v>
      </c>
    </row>
    <row r="200" spans="1:7" x14ac:dyDescent="0.2">
      <c r="D200" s="5"/>
    </row>
    <row r="202" spans="1:7" x14ac:dyDescent="0.2">
      <c r="C202" s="488"/>
      <c r="D202" s="488"/>
      <c r="E202" s="488"/>
    </row>
    <row r="203" spans="1:7" x14ac:dyDescent="0.2">
      <c r="C203" s="489" t="str">
        <f>Summary!$G$10</f>
        <v>Construction Manager</v>
      </c>
      <c r="D203" s="489"/>
      <c r="E203" s="489"/>
    </row>
    <row r="205" spans="1:7" x14ac:dyDescent="0.2">
      <c r="A205" s="58"/>
      <c r="B205" s="58"/>
      <c r="C205" s="58"/>
      <c r="D205" s="315"/>
      <c r="E205" s="316"/>
      <c r="F205" s="93"/>
      <c r="G205" s="58"/>
    </row>
    <row r="206" spans="1:7" ht="14" customHeight="1" x14ac:dyDescent="0.2">
      <c r="A206" s="58"/>
      <c r="B206" s="58"/>
      <c r="C206" s="58"/>
      <c r="D206" s="315"/>
      <c r="E206" s="316"/>
      <c r="F206" s="93"/>
      <c r="G206" s="58"/>
    </row>
    <row r="210" spans="1:5" x14ac:dyDescent="0.2">
      <c r="D210" s="370" t="s">
        <v>182</v>
      </c>
      <c r="E210" s="320" t="s">
        <v>183</v>
      </c>
    </row>
    <row r="211" spans="1:5" x14ac:dyDescent="0.2">
      <c r="D211" s="381">
        <v>103635</v>
      </c>
      <c r="E211" s="381">
        <f>E197</f>
        <v>103635</v>
      </c>
    </row>
    <row r="213" spans="1:5" x14ac:dyDescent="0.2">
      <c r="A213" s="5" t="str">
        <f>Summary!$G$11</f>
        <v>PIPELINE PROJECT</v>
      </c>
    </row>
    <row r="214" spans="1:5" x14ac:dyDescent="0.2">
      <c r="A214" s="5"/>
    </row>
    <row r="215" spans="1:5" x14ac:dyDescent="0.2">
      <c r="A215" s="5"/>
    </row>
    <row r="225" spans="1:5" ht="16" x14ac:dyDescent="0.2">
      <c r="A225" s="192" t="s">
        <v>88</v>
      </c>
    </row>
    <row r="226" spans="1:5" x14ac:dyDescent="0.2">
      <c r="A226" s="5" t="s">
        <v>24</v>
      </c>
      <c r="B226" s="191" t="s">
        <v>1091</v>
      </c>
    </row>
    <row r="228" spans="1:5" x14ac:dyDescent="0.2">
      <c r="D228" s="2" t="s">
        <v>64</v>
      </c>
      <c r="E228" s="3">
        <f>Summary!$G$3</f>
        <v>42505</v>
      </c>
    </row>
    <row r="229" spans="1:5" x14ac:dyDescent="0.2">
      <c r="A229" s="5" t="s">
        <v>1</v>
      </c>
      <c r="B229" s="4" t="s">
        <v>310</v>
      </c>
    </row>
    <row r="231" spans="1:5" x14ac:dyDescent="0.2">
      <c r="A231" s="9" t="s">
        <v>19</v>
      </c>
      <c r="B231" s="10" t="s">
        <v>2</v>
      </c>
      <c r="C231" s="11" t="s">
        <v>37</v>
      </c>
      <c r="D231" s="11" t="s">
        <v>27</v>
      </c>
      <c r="E231" s="12" t="s">
        <v>22</v>
      </c>
    </row>
    <row r="232" spans="1:5" ht="14.5" customHeight="1" x14ac:dyDescent="0.2">
      <c r="A232" s="124"/>
      <c r="B232" s="125"/>
      <c r="C232" s="15"/>
      <c r="D232" s="15"/>
      <c r="E232" s="139"/>
    </row>
    <row r="233" spans="1:5" ht="14" customHeight="1" x14ac:dyDescent="0.2">
      <c r="A233" s="126">
        <v>42353</v>
      </c>
      <c r="B233" s="21" t="s">
        <v>414</v>
      </c>
      <c r="C233" s="127"/>
      <c r="D233" s="127">
        <v>25357.5</v>
      </c>
      <c r="E233" s="127">
        <f>C233+D233</f>
        <v>25357.5</v>
      </c>
    </row>
    <row r="234" spans="1:5" x14ac:dyDescent="0.2">
      <c r="A234" s="126">
        <v>42369</v>
      </c>
      <c r="B234" s="21" t="s">
        <v>445</v>
      </c>
      <c r="C234" s="127"/>
      <c r="D234" s="127">
        <v>8820</v>
      </c>
      <c r="E234" s="127">
        <f t="shared" ref="E234:E237" si="4">C234+D234</f>
        <v>8820</v>
      </c>
    </row>
    <row r="235" spans="1:5" ht="14.5" customHeight="1" x14ac:dyDescent="0.2">
      <c r="A235" s="126">
        <v>42384</v>
      </c>
      <c r="B235" s="21" t="s">
        <v>446</v>
      </c>
      <c r="C235" s="127"/>
      <c r="D235" s="127">
        <v>23152.5</v>
      </c>
      <c r="E235" s="127">
        <f t="shared" si="4"/>
        <v>23152.5</v>
      </c>
    </row>
    <row r="236" spans="1:5" x14ac:dyDescent="0.2">
      <c r="A236" s="149">
        <v>42393</v>
      </c>
      <c r="B236" s="21" t="s">
        <v>447</v>
      </c>
      <c r="C236" s="127"/>
      <c r="D236" s="127">
        <v>31972.5</v>
      </c>
      <c r="E236" s="127">
        <f t="shared" si="4"/>
        <v>31972.5</v>
      </c>
    </row>
    <row r="237" spans="1:5" x14ac:dyDescent="0.2">
      <c r="A237" s="149">
        <v>42415</v>
      </c>
      <c r="B237" s="21" t="s">
        <v>615</v>
      </c>
      <c r="C237" s="127"/>
      <c r="D237" s="127">
        <v>14332.5</v>
      </c>
      <c r="E237" s="127">
        <f t="shared" si="4"/>
        <v>14332.5</v>
      </c>
    </row>
    <row r="238" spans="1:5" x14ac:dyDescent="0.2">
      <c r="A238" s="129"/>
      <c r="B238" s="36"/>
      <c r="C238" s="127"/>
      <c r="D238" s="127"/>
      <c r="E238" s="127"/>
    </row>
    <row r="239" spans="1:5" x14ac:dyDescent="0.2">
      <c r="A239" s="129"/>
      <c r="B239" s="36"/>
      <c r="C239" s="127"/>
      <c r="D239" s="127"/>
      <c r="E239" s="127"/>
    </row>
    <row r="240" spans="1:5" x14ac:dyDescent="0.2">
      <c r="A240" s="130"/>
      <c r="B240" s="131"/>
      <c r="C240" s="132"/>
      <c r="D240" s="132"/>
      <c r="E240" s="132"/>
    </row>
    <row r="241" spans="1:7" x14ac:dyDescent="0.2">
      <c r="A241" s="6"/>
      <c r="B241" s="345" t="s">
        <v>12</v>
      </c>
      <c r="C241" s="141">
        <f>SUM(C232:C240)</f>
        <v>0</v>
      </c>
      <c r="D241" s="141">
        <f>SUM(D232:D240)</f>
        <v>103635</v>
      </c>
      <c r="E241" s="133">
        <f>SUM(E232:E240)</f>
        <v>103635</v>
      </c>
    </row>
    <row r="243" spans="1:7" x14ac:dyDescent="0.2">
      <c r="A243" t="str">
        <f>Summary!$G$9</f>
        <v>Contractor</v>
      </c>
    </row>
    <row r="244" spans="1:7" x14ac:dyDescent="0.2">
      <c r="D244" s="5"/>
    </row>
    <row r="246" spans="1:7" x14ac:dyDescent="0.2">
      <c r="C246" s="488"/>
      <c r="D246" s="488"/>
      <c r="E246" s="488"/>
    </row>
    <row r="247" spans="1:7" x14ac:dyDescent="0.2">
      <c r="C247" s="489" t="str">
        <f>Summary!$G$10</f>
        <v>Construction Manager</v>
      </c>
      <c r="D247" s="489"/>
      <c r="E247" s="489"/>
    </row>
    <row r="249" spans="1:7" x14ac:dyDescent="0.2">
      <c r="A249" s="58"/>
      <c r="B249" s="58"/>
      <c r="C249" s="58"/>
      <c r="D249" s="315"/>
      <c r="E249" s="316"/>
      <c r="F249" s="93"/>
      <c r="G249" s="58"/>
    </row>
    <row r="250" spans="1:7" ht="14" customHeight="1" x14ac:dyDescent="0.2">
      <c r="A250" s="58"/>
      <c r="B250" s="58"/>
      <c r="C250" s="58"/>
      <c r="D250" s="315"/>
      <c r="E250" s="316"/>
      <c r="F250" s="93"/>
      <c r="G250" s="58"/>
    </row>
    <row r="254" spans="1:7" x14ac:dyDescent="0.2">
      <c r="D254" s="370" t="s">
        <v>182</v>
      </c>
      <c r="E254" s="320" t="s">
        <v>183</v>
      </c>
    </row>
    <row r="255" spans="1:7" x14ac:dyDescent="0.2">
      <c r="D255" s="381">
        <v>103635</v>
      </c>
      <c r="E255" s="381">
        <f>E241</f>
        <v>103635</v>
      </c>
    </row>
    <row r="256" spans="1:7" x14ac:dyDescent="0.2">
      <c r="E256" t="s">
        <v>134</v>
      </c>
    </row>
  </sheetData>
  <mergeCells count="12">
    <mergeCell ref="C246:E246"/>
    <mergeCell ref="C247:E247"/>
    <mergeCell ref="C34:E34"/>
    <mergeCell ref="C35:E35"/>
    <mergeCell ref="C70:E70"/>
    <mergeCell ref="C71:E71"/>
    <mergeCell ref="C114:E114"/>
    <mergeCell ref="C202:E202"/>
    <mergeCell ref="C203:E203"/>
    <mergeCell ref="C158:E158"/>
    <mergeCell ref="C159:E159"/>
    <mergeCell ref="C115:E115"/>
  </mergeCells>
  <phoneticPr fontId="26" type="noConversion"/>
  <pageMargins left="0.70000000000000007" right="0.70000000000000007" top="1.3405511811023623" bottom="0.75000000000000011" header="0.30000000000000004" footer="0.30000000000000004"/>
  <pageSetup scale="92" orientation="portrait" verticalDpi="1200"/>
  <rowBreaks count="5" manualBreakCount="5">
    <brk id="36" max="16383" man="1"/>
    <brk id="80" max="16383" man="1"/>
    <brk id="124" max="16383" man="1"/>
    <brk id="168" max="16383" man="1"/>
    <brk id="257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2"/>
  <sheetViews>
    <sheetView topLeftCell="A29" workbookViewId="0">
      <selection activeCell="B50" sqref="B50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483</v>
      </c>
    </row>
    <row r="16" spans="1:5" x14ac:dyDescent="0.2">
      <c r="D16" s="2" t="s">
        <v>11</v>
      </c>
      <c r="E16" s="3">
        <v>42353</v>
      </c>
    </row>
    <row r="17" spans="1:5" x14ac:dyDescent="0.2">
      <c r="A17" s="5" t="s">
        <v>1</v>
      </c>
      <c r="B17" s="4" t="s">
        <v>1092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42353</v>
      </c>
      <c r="B20" s="125" t="s">
        <v>312</v>
      </c>
      <c r="C20" s="15">
        <v>555229.22</v>
      </c>
      <c r="D20" s="15"/>
      <c r="E20" s="15">
        <f>C20+D20</f>
        <v>555229.22</v>
      </c>
    </row>
    <row r="21" spans="1:5" x14ac:dyDescent="0.2">
      <c r="A21" s="126"/>
      <c r="B21" s="21"/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555229.22</v>
      </c>
      <c r="D29" s="141">
        <f>SUM(D20:D28)</f>
        <v>0</v>
      </c>
      <c r="E29" s="133">
        <f>SUM(E20:E28)</f>
        <v>555229.22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5" x14ac:dyDescent="0.2">
      <c r="C34" s="488"/>
      <c r="D34" s="488"/>
      <c r="E34" s="488"/>
    </row>
    <row r="35" spans="1:5" x14ac:dyDescent="0.2">
      <c r="C35" s="489" t="str">
        <f>Summary!$G$10</f>
        <v>Construction Manager</v>
      </c>
      <c r="D35" s="489"/>
      <c r="E35" s="489"/>
    </row>
    <row r="37" spans="1:5" x14ac:dyDescent="0.2">
      <c r="A37" s="5" t="str">
        <f>Summary!$G$11</f>
        <v>PIPELINE PROJECT</v>
      </c>
    </row>
    <row r="49" spans="1:5" ht="16" x14ac:dyDescent="0.2">
      <c r="A49" s="192" t="s">
        <v>88</v>
      </c>
    </row>
    <row r="50" spans="1:5" x14ac:dyDescent="0.2">
      <c r="A50" s="5" t="s">
        <v>24</v>
      </c>
      <c r="B50" s="191" t="s">
        <v>483</v>
      </c>
    </row>
    <row r="52" spans="1:5" x14ac:dyDescent="0.2">
      <c r="D52" s="2" t="s">
        <v>11</v>
      </c>
      <c r="E52" s="3">
        <f>Summary!$G$3</f>
        <v>42505</v>
      </c>
    </row>
    <row r="53" spans="1:5" x14ac:dyDescent="0.2">
      <c r="A53" s="5" t="s">
        <v>1</v>
      </c>
      <c r="B53" s="4" t="s">
        <v>252</v>
      </c>
    </row>
    <row r="55" spans="1:5" x14ac:dyDescent="0.2">
      <c r="A55" s="9" t="s">
        <v>19</v>
      </c>
      <c r="B55" s="10" t="s">
        <v>2</v>
      </c>
      <c r="C55" s="11" t="s">
        <v>37</v>
      </c>
      <c r="D55" s="11" t="s">
        <v>27</v>
      </c>
      <c r="E55" s="12" t="s">
        <v>22</v>
      </c>
    </row>
    <row r="56" spans="1:5" ht="14.5" customHeight="1" x14ac:dyDescent="0.2">
      <c r="A56" s="124">
        <v>42369</v>
      </c>
      <c r="B56" s="125" t="s">
        <v>312</v>
      </c>
      <c r="C56" s="15"/>
      <c r="D56" s="15">
        <v>555229.22</v>
      </c>
      <c r="E56" s="15">
        <f>C56+D56</f>
        <v>555229.22</v>
      </c>
    </row>
    <row r="57" spans="1:5" x14ac:dyDescent="0.2">
      <c r="A57" s="126"/>
      <c r="B57" s="21"/>
      <c r="C57" s="127"/>
      <c r="D57" s="127"/>
      <c r="E57" s="127"/>
    </row>
    <row r="58" spans="1:5" x14ac:dyDescent="0.2">
      <c r="A58" s="126"/>
      <c r="B58" s="21"/>
      <c r="C58" s="127"/>
      <c r="D58" s="127"/>
      <c r="E58" s="127"/>
    </row>
    <row r="59" spans="1:5" ht="14.5" customHeight="1" x14ac:dyDescent="0.2">
      <c r="A59" s="126"/>
      <c r="B59" s="21"/>
      <c r="C59" s="128"/>
      <c r="D59" s="127"/>
      <c r="E59" s="127"/>
    </row>
    <row r="60" spans="1:5" x14ac:dyDescent="0.2">
      <c r="A60" s="129"/>
      <c r="B60" s="36"/>
      <c r="C60" s="127"/>
      <c r="D60" s="127"/>
      <c r="E60" s="127"/>
    </row>
    <row r="61" spans="1:5" x14ac:dyDescent="0.2">
      <c r="A61" s="129"/>
      <c r="B61" s="36"/>
      <c r="C61" s="127"/>
      <c r="D61" s="127"/>
      <c r="E61" s="127"/>
    </row>
    <row r="62" spans="1:5" x14ac:dyDescent="0.2">
      <c r="A62" s="129"/>
      <c r="B62" s="36"/>
      <c r="C62" s="127"/>
      <c r="D62" s="127"/>
      <c r="E62" s="127"/>
    </row>
    <row r="63" spans="1:5" x14ac:dyDescent="0.2">
      <c r="A63" s="129"/>
      <c r="B63" s="36"/>
      <c r="C63" s="127"/>
      <c r="D63" s="127"/>
      <c r="E63" s="127"/>
    </row>
    <row r="64" spans="1:5" x14ac:dyDescent="0.2">
      <c r="A64" s="130"/>
      <c r="B64" s="131"/>
      <c r="C64" s="132"/>
      <c r="D64" s="132"/>
      <c r="E64" s="132"/>
    </row>
    <row r="65" spans="1:5" x14ac:dyDescent="0.2">
      <c r="A65" s="6"/>
      <c r="B65" s="345" t="s">
        <v>12</v>
      </c>
      <c r="C65" s="141">
        <f>SUM(C56:C64)</f>
        <v>0</v>
      </c>
      <c r="D65" s="141">
        <f>SUM(D56:D64)</f>
        <v>555229.22</v>
      </c>
      <c r="E65" s="133">
        <f>SUM(E56:E64)</f>
        <v>555229.22</v>
      </c>
    </row>
    <row r="67" spans="1:5" x14ac:dyDescent="0.2">
      <c r="A67" t="str">
        <f>Summary!$G$9</f>
        <v>Contractor</v>
      </c>
    </row>
    <row r="68" spans="1:5" x14ac:dyDescent="0.2">
      <c r="D68" s="5"/>
    </row>
    <row r="70" spans="1:5" x14ac:dyDescent="0.2">
      <c r="C70" s="488"/>
      <c r="D70" s="488"/>
      <c r="E70" s="488"/>
    </row>
    <row r="71" spans="1:5" x14ac:dyDescent="0.2">
      <c r="C71" s="489" t="str">
        <f>Summary!$G$10</f>
        <v>Construction Manager</v>
      </c>
      <c r="D71" s="489"/>
      <c r="E71" s="489"/>
    </row>
    <row r="72" spans="1:5" x14ac:dyDescent="0.2">
      <c r="E72" t="s">
        <v>134</v>
      </c>
    </row>
  </sheetData>
  <mergeCells count="4">
    <mergeCell ref="C34:E34"/>
    <mergeCell ref="C35:E35"/>
    <mergeCell ref="C70:E70"/>
    <mergeCell ref="C71:E71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5"/>
  <sheetViews>
    <sheetView topLeftCell="A22" workbookViewId="0">
      <selection activeCell="C18" sqref="C18"/>
    </sheetView>
  </sheetViews>
  <sheetFormatPr baseColWidth="10" defaultColWidth="8.83203125" defaultRowHeight="15" x14ac:dyDescent="0.2"/>
  <cols>
    <col min="1" max="2" width="10" customWidth="1"/>
    <col min="3" max="3" width="36" customWidth="1"/>
    <col min="4" max="6" width="13.83203125" customWidth="1"/>
  </cols>
  <sheetData>
    <row r="1" spans="1:6" x14ac:dyDescent="0.2">
      <c r="A1" s="5" t="str">
        <f>Summary!$G$11</f>
        <v>PIPELINE PROJECT</v>
      </c>
      <c r="B1" s="5"/>
    </row>
    <row r="13" spans="1:6" ht="16" x14ac:dyDescent="0.2">
      <c r="A13" s="161" t="s">
        <v>92</v>
      </c>
      <c r="B13" s="161"/>
    </row>
    <row r="14" spans="1:6" x14ac:dyDescent="0.2">
      <c r="A14" s="5" t="s">
        <v>24</v>
      </c>
      <c r="B14" s="160" t="s">
        <v>1093</v>
      </c>
    </row>
    <row r="16" spans="1:6" x14ac:dyDescent="0.2">
      <c r="E16" s="2" t="s">
        <v>11</v>
      </c>
      <c r="F16" s="3">
        <f>Summary!$G$3</f>
        <v>42505</v>
      </c>
    </row>
    <row r="17" spans="1:6" x14ac:dyDescent="0.2">
      <c r="A17" t="s">
        <v>1</v>
      </c>
      <c r="B17" s="4" t="s">
        <v>91</v>
      </c>
    </row>
    <row r="19" spans="1:6" x14ac:dyDescent="0.2">
      <c r="A19" s="9" t="s">
        <v>19</v>
      </c>
      <c r="B19" s="11" t="s">
        <v>93</v>
      </c>
      <c r="C19" s="10" t="s">
        <v>2</v>
      </c>
      <c r="D19" s="11" t="s">
        <v>37</v>
      </c>
      <c r="E19" s="11" t="s">
        <v>27</v>
      </c>
      <c r="F19" s="12" t="s">
        <v>22</v>
      </c>
    </row>
    <row r="20" spans="1:6" x14ac:dyDescent="0.2">
      <c r="A20" s="124"/>
      <c r="B20" s="354"/>
      <c r="C20" s="125"/>
      <c r="D20" s="178"/>
      <c r="E20" s="178"/>
      <c r="F20" s="179">
        <f>D20+E20</f>
        <v>0</v>
      </c>
    </row>
    <row r="21" spans="1:6" x14ac:dyDescent="0.2">
      <c r="A21" s="126">
        <v>42353</v>
      </c>
      <c r="B21" s="355" t="s">
        <v>335</v>
      </c>
      <c r="C21" s="21" t="s">
        <v>266</v>
      </c>
      <c r="D21" s="180">
        <v>36802.67</v>
      </c>
      <c r="E21" s="180"/>
      <c r="F21" s="180">
        <f t="shared" ref="F21:F34" si="0">D21+E21</f>
        <v>36802.67</v>
      </c>
    </row>
    <row r="22" spans="1:6" ht="14.5" customHeight="1" x14ac:dyDescent="0.2">
      <c r="A22" s="126"/>
      <c r="B22" s="355" t="s">
        <v>262</v>
      </c>
      <c r="C22" s="21" t="s">
        <v>263</v>
      </c>
      <c r="D22" s="180">
        <v>22800.690400000003</v>
      </c>
      <c r="E22" s="180"/>
      <c r="F22" s="180">
        <f t="shared" si="0"/>
        <v>22800.690400000003</v>
      </c>
    </row>
    <row r="23" spans="1:6" ht="14.5" customHeight="1" x14ac:dyDescent="0.2">
      <c r="A23" s="126"/>
      <c r="B23" s="355" t="s">
        <v>323</v>
      </c>
      <c r="C23" s="21" t="s">
        <v>313</v>
      </c>
      <c r="D23" s="180">
        <v>80356.7</v>
      </c>
      <c r="E23" s="180"/>
      <c r="F23" s="181">
        <f t="shared" si="0"/>
        <v>80356.7</v>
      </c>
    </row>
    <row r="24" spans="1:6" x14ac:dyDescent="0.2">
      <c r="A24" s="149"/>
      <c r="B24" s="356" t="s">
        <v>333</v>
      </c>
      <c r="C24" s="36" t="s">
        <v>326</v>
      </c>
      <c r="D24" s="180">
        <v>840</v>
      </c>
      <c r="E24" s="180"/>
      <c r="F24" s="181">
        <f>D24+E24</f>
        <v>840</v>
      </c>
    </row>
    <row r="25" spans="1:6" x14ac:dyDescent="0.2">
      <c r="A25" s="149"/>
      <c r="B25" s="355" t="s">
        <v>322</v>
      </c>
      <c r="C25" s="21" t="s">
        <v>314</v>
      </c>
      <c r="D25" s="180">
        <v>10720</v>
      </c>
      <c r="E25" s="180"/>
      <c r="F25" s="181">
        <f t="shared" si="0"/>
        <v>10720</v>
      </c>
    </row>
    <row r="26" spans="1:6" x14ac:dyDescent="0.2">
      <c r="A26" s="149"/>
      <c r="B26" s="356"/>
      <c r="C26" s="36"/>
      <c r="D26" s="180"/>
      <c r="E26" s="180"/>
      <c r="F26" s="181">
        <f t="shared" si="0"/>
        <v>0</v>
      </c>
    </row>
    <row r="27" spans="1:6" x14ac:dyDescent="0.2">
      <c r="A27" s="149"/>
      <c r="B27" s="356"/>
      <c r="C27" s="36"/>
      <c r="D27" s="180"/>
      <c r="E27" s="180"/>
      <c r="F27" s="181">
        <f t="shared" si="0"/>
        <v>0</v>
      </c>
    </row>
    <row r="28" spans="1:6" x14ac:dyDescent="0.2">
      <c r="A28" s="149"/>
      <c r="B28" s="356"/>
      <c r="C28" s="36"/>
      <c r="D28" s="180"/>
      <c r="E28" s="180"/>
      <c r="F28" s="181">
        <f t="shared" si="0"/>
        <v>0</v>
      </c>
    </row>
    <row r="29" spans="1:6" x14ac:dyDescent="0.2">
      <c r="A29" s="149"/>
      <c r="B29" s="356"/>
      <c r="C29" s="36"/>
      <c r="D29" s="180"/>
      <c r="E29" s="180"/>
      <c r="F29" s="181">
        <f t="shared" si="0"/>
        <v>0</v>
      </c>
    </row>
    <row r="30" spans="1:6" x14ac:dyDescent="0.2">
      <c r="A30" s="149"/>
      <c r="B30" s="356"/>
      <c r="C30" s="36"/>
      <c r="D30" s="180"/>
      <c r="E30" s="180"/>
      <c r="F30" s="181">
        <f t="shared" si="0"/>
        <v>0</v>
      </c>
    </row>
    <row r="31" spans="1:6" x14ac:dyDescent="0.2">
      <c r="A31" s="149"/>
      <c r="B31" s="356"/>
      <c r="C31" s="36"/>
      <c r="D31" s="180"/>
      <c r="E31" s="180"/>
      <c r="F31" s="181">
        <f t="shared" si="0"/>
        <v>0</v>
      </c>
    </row>
    <row r="32" spans="1:6" x14ac:dyDescent="0.2">
      <c r="A32" s="150"/>
      <c r="B32" s="357"/>
      <c r="C32" s="146"/>
      <c r="D32" s="182"/>
      <c r="E32" s="182"/>
      <c r="F32" s="183">
        <f t="shared" si="0"/>
        <v>0</v>
      </c>
    </row>
    <row r="33" spans="1:6" x14ac:dyDescent="0.2">
      <c r="A33" s="150"/>
      <c r="B33" s="357"/>
      <c r="C33" s="146"/>
      <c r="D33" s="182"/>
      <c r="E33" s="182"/>
      <c r="F33" s="180">
        <f t="shared" si="0"/>
        <v>0</v>
      </c>
    </row>
    <row r="34" spans="1:6" x14ac:dyDescent="0.2">
      <c r="A34" s="153"/>
      <c r="B34" s="358"/>
      <c r="C34" s="131"/>
      <c r="D34" s="184"/>
      <c r="E34" s="182"/>
      <c r="F34" s="180">
        <f t="shared" si="0"/>
        <v>0</v>
      </c>
    </row>
    <row r="35" spans="1:6" x14ac:dyDescent="0.2">
      <c r="A35" s="6"/>
      <c r="B35" s="6"/>
      <c r="C35" s="185" t="s">
        <v>12</v>
      </c>
      <c r="D35" s="185">
        <f>SUM(D20:D34)</f>
        <v>151520.06040000002</v>
      </c>
      <c r="E35" s="185">
        <f>SUM(E20:E34)</f>
        <v>0</v>
      </c>
      <c r="F35" s="186">
        <f>SUM(F20:F34)</f>
        <v>151520.06040000002</v>
      </c>
    </row>
    <row r="37" spans="1:6" x14ac:dyDescent="0.2">
      <c r="A37" t="str">
        <f>Summary!$G$9</f>
        <v>Contractor</v>
      </c>
    </row>
    <row r="38" spans="1:6" x14ac:dyDescent="0.2">
      <c r="E38" s="5"/>
    </row>
    <row r="39" spans="1:6" x14ac:dyDescent="0.2">
      <c r="A39" s="5" t="str">
        <f>Summary!$G$11</f>
        <v>PIPELINE PROJECT</v>
      </c>
      <c r="B39" s="5"/>
    </row>
    <row r="51" spans="1:6" ht="16" x14ac:dyDescent="0.2">
      <c r="A51" s="161" t="s">
        <v>92</v>
      </c>
      <c r="B51" s="161"/>
    </row>
    <row r="52" spans="1:6" x14ac:dyDescent="0.2">
      <c r="A52" s="5" t="s">
        <v>24</v>
      </c>
      <c r="B52" s="160" t="s">
        <v>1093</v>
      </c>
    </row>
    <row r="54" spans="1:6" x14ac:dyDescent="0.2">
      <c r="E54" s="2" t="s">
        <v>11</v>
      </c>
      <c r="F54" s="3">
        <v>42369</v>
      </c>
    </row>
    <row r="55" spans="1:6" x14ac:dyDescent="0.2">
      <c r="A55" t="s">
        <v>1</v>
      </c>
      <c r="B55" s="4" t="s">
        <v>91</v>
      </c>
    </row>
    <row r="57" spans="1:6" x14ac:dyDescent="0.2">
      <c r="A57" s="9" t="s">
        <v>19</v>
      </c>
      <c r="B57" s="11" t="s">
        <v>93</v>
      </c>
      <c r="C57" s="10" t="s">
        <v>2</v>
      </c>
      <c r="D57" s="11" t="s">
        <v>37</v>
      </c>
      <c r="E57" s="11" t="s">
        <v>27</v>
      </c>
      <c r="F57" s="12" t="s">
        <v>22</v>
      </c>
    </row>
    <row r="58" spans="1:6" x14ac:dyDescent="0.2">
      <c r="A58" s="124"/>
      <c r="B58" s="354"/>
      <c r="C58" s="125"/>
      <c r="D58" s="178"/>
      <c r="E58" s="178"/>
      <c r="F58" s="179">
        <f>D58+E58</f>
        <v>0</v>
      </c>
    </row>
    <row r="59" spans="1:6" x14ac:dyDescent="0.2">
      <c r="A59" s="126">
        <f>F54</f>
        <v>42369</v>
      </c>
      <c r="B59" s="355" t="s">
        <v>335</v>
      </c>
      <c r="C59" s="21" t="s">
        <v>266</v>
      </c>
      <c r="D59" s="180"/>
      <c r="E59" s="180">
        <v>36802.67</v>
      </c>
      <c r="F59" s="180">
        <f t="shared" ref="F59:F61" si="1">D59+E59</f>
        <v>36802.67</v>
      </c>
    </row>
    <row r="60" spans="1:6" ht="14.5" customHeight="1" x14ac:dyDescent="0.2">
      <c r="A60" s="126"/>
      <c r="B60" s="355" t="s">
        <v>262</v>
      </c>
      <c r="C60" s="21" t="s">
        <v>263</v>
      </c>
      <c r="D60" s="180">
        <v>20915.762799999524</v>
      </c>
      <c r="E60" s="180">
        <v>22800.690400000003</v>
      </c>
      <c r="F60" s="180">
        <f t="shared" si="1"/>
        <v>43716.453199999523</v>
      </c>
    </row>
    <row r="61" spans="1:6" ht="14.5" customHeight="1" x14ac:dyDescent="0.2">
      <c r="A61" s="126"/>
      <c r="B61" s="355" t="s">
        <v>323</v>
      </c>
      <c r="C61" s="21" t="s">
        <v>313</v>
      </c>
      <c r="D61" s="180"/>
      <c r="E61" s="180">
        <v>80356.7</v>
      </c>
      <c r="F61" s="181">
        <f t="shared" si="1"/>
        <v>80356.7</v>
      </c>
    </row>
    <row r="62" spans="1:6" x14ac:dyDescent="0.2">
      <c r="A62" s="149"/>
      <c r="B62" s="356" t="s">
        <v>333</v>
      </c>
      <c r="C62" s="36" t="s">
        <v>326</v>
      </c>
      <c r="D62" s="180">
        <v>468</v>
      </c>
      <c r="E62" s="180">
        <v>840</v>
      </c>
      <c r="F62" s="181">
        <f>D62+E62</f>
        <v>1308</v>
      </c>
    </row>
    <row r="63" spans="1:6" x14ac:dyDescent="0.2">
      <c r="A63" s="149"/>
      <c r="B63" s="355" t="s">
        <v>322</v>
      </c>
      <c r="C63" s="21" t="s">
        <v>314</v>
      </c>
      <c r="D63" s="180"/>
      <c r="E63" s="180">
        <v>10720</v>
      </c>
      <c r="F63" s="181">
        <f t="shared" ref="F63:F72" si="2">D63+E63</f>
        <v>10720</v>
      </c>
    </row>
    <row r="64" spans="1:6" x14ac:dyDescent="0.2">
      <c r="A64" s="149"/>
      <c r="B64" s="356" t="s">
        <v>273</v>
      </c>
      <c r="C64" s="36" t="s">
        <v>274</v>
      </c>
      <c r="D64" s="180">
        <v>71442</v>
      </c>
      <c r="E64" s="180"/>
      <c r="F64" s="181">
        <f t="shared" si="2"/>
        <v>71442</v>
      </c>
    </row>
    <row r="65" spans="1:6" x14ac:dyDescent="0.2">
      <c r="A65" s="149"/>
      <c r="B65" s="356"/>
      <c r="C65" s="36"/>
      <c r="D65" s="180"/>
      <c r="E65" s="180"/>
      <c r="F65" s="181">
        <f t="shared" si="2"/>
        <v>0</v>
      </c>
    </row>
    <row r="66" spans="1:6" x14ac:dyDescent="0.2">
      <c r="A66" s="149"/>
      <c r="B66" s="356"/>
      <c r="C66" s="36"/>
      <c r="D66" s="180"/>
      <c r="E66" s="180"/>
      <c r="F66" s="181">
        <f t="shared" si="2"/>
        <v>0</v>
      </c>
    </row>
    <row r="67" spans="1:6" x14ac:dyDescent="0.2">
      <c r="A67" s="149"/>
      <c r="B67" s="356"/>
      <c r="C67" s="36"/>
      <c r="D67" s="180"/>
      <c r="E67" s="180"/>
      <c r="F67" s="181">
        <f t="shared" si="2"/>
        <v>0</v>
      </c>
    </row>
    <row r="68" spans="1:6" x14ac:dyDescent="0.2">
      <c r="A68" s="149"/>
      <c r="B68" s="356"/>
      <c r="C68" s="36"/>
      <c r="D68" s="180"/>
      <c r="E68" s="180"/>
      <c r="F68" s="181">
        <f t="shared" si="2"/>
        <v>0</v>
      </c>
    </row>
    <row r="69" spans="1:6" x14ac:dyDescent="0.2">
      <c r="A69" s="149"/>
      <c r="B69" s="356"/>
      <c r="C69" s="36"/>
      <c r="D69" s="180"/>
      <c r="E69" s="180"/>
      <c r="F69" s="181">
        <f t="shared" si="2"/>
        <v>0</v>
      </c>
    </row>
    <row r="70" spans="1:6" x14ac:dyDescent="0.2">
      <c r="A70" s="150"/>
      <c r="B70" s="357"/>
      <c r="C70" s="146"/>
      <c r="D70" s="182"/>
      <c r="E70" s="182"/>
      <c r="F70" s="183">
        <f t="shared" si="2"/>
        <v>0</v>
      </c>
    </row>
    <row r="71" spans="1:6" x14ac:dyDescent="0.2">
      <c r="A71" s="150"/>
      <c r="B71" s="357"/>
      <c r="C71" s="146"/>
      <c r="D71" s="182"/>
      <c r="E71" s="182"/>
      <c r="F71" s="180">
        <f t="shared" si="2"/>
        <v>0</v>
      </c>
    </row>
    <row r="72" spans="1:6" x14ac:dyDescent="0.2">
      <c r="A72" s="153"/>
      <c r="B72" s="358"/>
      <c r="C72" s="131"/>
      <c r="D72" s="184"/>
      <c r="E72" s="182"/>
      <c r="F72" s="180">
        <f t="shared" si="2"/>
        <v>0</v>
      </c>
    </row>
    <row r="73" spans="1:6" x14ac:dyDescent="0.2">
      <c r="A73" s="6"/>
      <c r="B73" s="6"/>
      <c r="C73" s="185" t="s">
        <v>12</v>
      </c>
      <c r="D73" s="185">
        <f>SUM(D58:D72)</f>
        <v>92825.762799999531</v>
      </c>
      <c r="E73" s="185">
        <f>SUM(E58:E72)</f>
        <v>151520.06040000002</v>
      </c>
      <c r="F73" s="186">
        <f>SUM(F58:F72)</f>
        <v>244345.82319999952</v>
      </c>
    </row>
    <row r="75" spans="1:6" x14ac:dyDescent="0.2">
      <c r="A75" t="str">
        <f>Summary!$G$9</f>
        <v>Contractor</v>
      </c>
    </row>
  </sheetData>
  <pageMargins left="1.8811023622047243" right="0.70000000000000007" top="0.55259842519685043" bottom="0.75000000000000011" header="0.30000000000000004" footer="0.30000000000000004"/>
  <pageSetup scale="86" orientation="landscape" verticalDpi="1200"/>
  <rowBreaks count="1" manualBreakCount="1">
    <brk id="38" max="16383" man="1"/>
  </rowBreaks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40"/>
  <sheetViews>
    <sheetView workbookViewId="0">
      <selection activeCell="A15" sqref="A15"/>
    </sheetView>
  </sheetViews>
  <sheetFormatPr baseColWidth="10" defaultColWidth="8.83203125" defaultRowHeight="15" x14ac:dyDescent="0.2"/>
  <cols>
    <col min="1" max="2" width="10" customWidth="1"/>
    <col min="3" max="3" width="36" customWidth="1"/>
    <col min="4" max="6" width="13.83203125" customWidth="1"/>
  </cols>
  <sheetData>
    <row r="1" spans="1:6" x14ac:dyDescent="0.2">
      <c r="A1" s="5" t="str">
        <f>Summary!$G$11</f>
        <v>PIPELINE PROJECT</v>
      </c>
      <c r="B1" s="5"/>
    </row>
    <row r="13" spans="1:6" ht="16" x14ac:dyDescent="0.2">
      <c r="A13" s="161" t="s">
        <v>92</v>
      </c>
      <c r="B13" s="161"/>
    </row>
    <row r="14" spans="1:6" x14ac:dyDescent="0.2">
      <c r="A14" s="5" t="s">
        <v>24</v>
      </c>
      <c r="B14" s="160" t="s">
        <v>1094</v>
      </c>
    </row>
    <row r="16" spans="1:6" x14ac:dyDescent="0.2">
      <c r="E16" s="2" t="s">
        <v>11</v>
      </c>
      <c r="F16" s="3">
        <v>42384</v>
      </c>
    </row>
    <row r="17" spans="1:6" x14ac:dyDescent="0.2">
      <c r="A17" t="s">
        <v>1</v>
      </c>
      <c r="B17" s="4" t="s">
        <v>91</v>
      </c>
    </row>
    <row r="19" spans="1:6" x14ac:dyDescent="0.2">
      <c r="A19" s="9" t="s">
        <v>19</v>
      </c>
      <c r="B19" s="11" t="s">
        <v>93</v>
      </c>
      <c r="C19" s="10" t="s">
        <v>2</v>
      </c>
      <c r="D19" s="11" t="s">
        <v>37</v>
      </c>
      <c r="E19" s="11" t="s">
        <v>27</v>
      </c>
      <c r="F19" s="12" t="s">
        <v>22</v>
      </c>
    </row>
    <row r="20" spans="1:6" x14ac:dyDescent="0.2">
      <c r="A20" s="124"/>
      <c r="B20" s="354"/>
      <c r="C20" s="125"/>
      <c r="D20" s="178"/>
      <c r="E20" s="178"/>
      <c r="F20" s="179"/>
    </row>
    <row r="21" spans="1:6" x14ac:dyDescent="0.2">
      <c r="A21" s="126">
        <f>F16</f>
        <v>42384</v>
      </c>
      <c r="B21" s="355" t="s">
        <v>335</v>
      </c>
      <c r="C21" s="21" t="s">
        <v>266</v>
      </c>
      <c r="D21" s="180">
        <v>19134.689999999999</v>
      </c>
      <c r="E21" s="180"/>
      <c r="F21" s="180">
        <f t="shared" ref="F21:F26" si="0">D21+E21</f>
        <v>19134.689999999999</v>
      </c>
    </row>
    <row r="22" spans="1:6" ht="14.5" customHeight="1" x14ac:dyDescent="0.2">
      <c r="A22" s="126"/>
      <c r="B22" s="355" t="s">
        <v>262</v>
      </c>
      <c r="C22" s="21" t="s">
        <v>263</v>
      </c>
      <c r="D22" s="180">
        <v>21351.076000000208</v>
      </c>
      <c r="E22" s="180"/>
      <c r="F22" s="181">
        <f t="shared" si="0"/>
        <v>21351.076000000208</v>
      </c>
    </row>
    <row r="23" spans="1:6" ht="14.5" customHeight="1" x14ac:dyDescent="0.2">
      <c r="A23" s="126"/>
      <c r="B23" s="355" t="s">
        <v>323</v>
      </c>
      <c r="C23" s="21" t="s">
        <v>313</v>
      </c>
      <c r="D23" s="180">
        <v>9408</v>
      </c>
      <c r="E23" s="180"/>
      <c r="F23" s="181">
        <f t="shared" si="0"/>
        <v>9408</v>
      </c>
    </row>
    <row r="24" spans="1:6" x14ac:dyDescent="0.2">
      <c r="A24" s="149"/>
      <c r="B24" s="356" t="s">
        <v>333</v>
      </c>
      <c r="C24" s="36" t="s">
        <v>326</v>
      </c>
      <c r="D24" s="180"/>
      <c r="E24" s="180"/>
      <c r="F24" s="181">
        <f t="shared" si="0"/>
        <v>0</v>
      </c>
    </row>
    <row r="25" spans="1:6" x14ac:dyDescent="0.2">
      <c r="A25" s="149"/>
      <c r="B25" s="355" t="s">
        <v>322</v>
      </c>
      <c r="C25" s="21" t="s">
        <v>314</v>
      </c>
      <c r="D25" s="180"/>
      <c r="E25" s="180"/>
      <c r="F25" s="181">
        <f t="shared" si="0"/>
        <v>0</v>
      </c>
    </row>
    <row r="26" spans="1:6" x14ac:dyDescent="0.2">
      <c r="A26" s="149"/>
      <c r="B26" s="356" t="s">
        <v>273</v>
      </c>
      <c r="C26" s="36" t="s">
        <v>274</v>
      </c>
      <c r="D26" s="180">
        <v>36450</v>
      </c>
      <c r="E26" s="180"/>
      <c r="F26" s="181">
        <f t="shared" si="0"/>
        <v>36450</v>
      </c>
    </row>
    <row r="27" spans="1:6" x14ac:dyDescent="0.2">
      <c r="A27" s="149"/>
      <c r="B27" s="356"/>
      <c r="C27" s="36"/>
      <c r="D27" s="180"/>
      <c r="E27" s="180"/>
      <c r="F27" s="181">
        <f t="shared" ref="F27:F34" si="1">D27+E27</f>
        <v>0</v>
      </c>
    </row>
    <row r="28" spans="1:6" x14ac:dyDescent="0.2">
      <c r="A28" s="149"/>
      <c r="B28" s="356"/>
      <c r="C28" s="36"/>
      <c r="D28" s="180"/>
      <c r="E28" s="180"/>
      <c r="F28" s="181">
        <f t="shared" si="1"/>
        <v>0</v>
      </c>
    </row>
    <row r="29" spans="1:6" x14ac:dyDescent="0.2">
      <c r="A29" s="149"/>
      <c r="B29" s="356"/>
      <c r="C29" s="36"/>
      <c r="D29" s="180"/>
      <c r="E29" s="180"/>
      <c r="F29" s="181">
        <f t="shared" si="1"/>
        <v>0</v>
      </c>
    </row>
    <row r="30" spans="1:6" x14ac:dyDescent="0.2">
      <c r="A30" s="149"/>
      <c r="B30" s="356"/>
      <c r="C30" s="36"/>
      <c r="D30" s="180"/>
      <c r="E30" s="180"/>
      <c r="F30" s="181">
        <f t="shared" si="1"/>
        <v>0</v>
      </c>
    </row>
    <row r="31" spans="1:6" x14ac:dyDescent="0.2">
      <c r="A31" s="149"/>
      <c r="B31" s="356"/>
      <c r="C31" s="36"/>
      <c r="D31" s="180"/>
      <c r="E31" s="180"/>
      <c r="F31" s="181">
        <f t="shared" si="1"/>
        <v>0</v>
      </c>
    </row>
    <row r="32" spans="1:6" x14ac:dyDescent="0.2">
      <c r="A32" s="150"/>
      <c r="B32" s="357"/>
      <c r="C32" s="146"/>
      <c r="D32" s="182"/>
      <c r="E32" s="182"/>
      <c r="F32" s="183">
        <f t="shared" si="1"/>
        <v>0</v>
      </c>
    </row>
    <row r="33" spans="1:6" x14ac:dyDescent="0.2">
      <c r="A33" s="150"/>
      <c r="B33" s="357"/>
      <c r="C33" s="146"/>
      <c r="D33" s="182"/>
      <c r="E33" s="182"/>
      <c r="F33" s="180">
        <f t="shared" si="1"/>
        <v>0</v>
      </c>
    </row>
    <row r="34" spans="1:6" x14ac:dyDescent="0.2">
      <c r="A34" s="153"/>
      <c r="B34" s="358"/>
      <c r="C34" s="131"/>
      <c r="D34" s="184"/>
      <c r="E34" s="182"/>
      <c r="F34" s="180">
        <f t="shared" si="1"/>
        <v>0</v>
      </c>
    </row>
    <row r="35" spans="1:6" x14ac:dyDescent="0.2">
      <c r="A35" s="6"/>
      <c r="B35" s="6"/>
      <c r="C35" s="185" t="s">
        <v>12</v>
      </c>
      <c r="D35" s="185">
        <f>SUM(D20:D34)</f>
        <v>86343.766000000207</v>
      </c>
      <c r="E35" s="185">
        <f>SUM(E20:E34)</f>
        <v>0</v>
      </c>
      <c r="F35" s="186">
        <f>SUM(F20:F34)</f>
        <v>86343.766000000207</v>
      </c>
    </row>
    <row r="37" spans="1:6" x14ac:dyDescent="0.2">
      <c r="A37" t="str">
        <f>Summary!$G$9</f>
        <v>Contractor</v>
      </c>
    </row>
    <row r="39" spans="1:6" x14ac:dyDescent="0.2">
      <c r="D39" s="517"/>
      <c r="E39" s="517"/>
      <c r="F39" s="517"/>
    </row>
    <row r="40" spans="1:6" x14ac:dyDescent="0.2">
      <c r="D40" s="489"/>
      <c r="E40" s="489"/>
      <c r="F40" s="489"/>
    </row>
  </sheetData>
  <mergeCells count="2">
    <mergeCell ref="D39:F39"/>
    <mergeCell ref="D40:F40"/>
  </mergeCells>
  <phoneticPr fontId="26" type="noConversion"/>
  <pageMargins left="1.8811023622047243" right="0.70000000000000007" top="0.55259842519685043" bottom="0.75000000000000011" header="0.30000000000000004" footer="0.30000000000000004"/>
  <pageSetup scale="86" orientation="landscape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64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10" customWidth="1"/>
    <col min="2" max="2" width="35.66406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484</v>
      </c>
    </row>
    <row r="16" spans="1:5" x14ac:dyDescent="0.2">
      <c r="D16" s="2" t="s">
        <v>11</v>
      </c>
      <c r="E16" s="3">
        <v>42400</v>
      </c>
    </row>
    <row r="17" spans="1:5" x14ac:dyDescent="0.2">
      <c r="A17" s="5" t="s">
        <v>1</v>
      </c>
      <c r="B17" s="4" t="s">
        <v>493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42400</v>
      </c>
      <c r="B20" s="125" t="s">
        <v>470</v>
      </c>
      <c r="C20" s="15">
        <v>4889.75</v>
      </c>
      <c r="D20" s="15"/>
      <c r="E20" s="139">
        <f>C20+D20</f>
        <v>4889.75</v>
      </c>
    </row>
    <row r="21" spans="1:5" x14ac:dyDescent="0.2">
      <c r="A21" s="126"/>
      <c r="B21" s="21" t="s">
        <v>539</v>
      </c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4889.75</v>
      </c>
      <c r="D29" s="141">
        <f>SUM(D20:D28)</f>
        <v>0</v>
      </c>
      <c r="E29" s="133">
        <f>SUM(E20:E28)</f>
        <v>4889.75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20000</v>
      </c>
      <c r="E40" s="381">
        <f>E29</f>
        <v>4889.75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484</v>
      </c>
    </row>
    <row r="57" spans="1:5" x14ac:dyDescent="0.2">
      <c r="D57" s="2" t="s">
        <v>11</v>
      </c>
      <c r="E57" s="3">
        <v>42415</v>
      </c>
    </row>
    <row r="58" spans="1:5" x14ac:dyDescent="0.2">
      <c r="A58" s="5" t="s">
        <v>1</v>
      </c>
      <c r="B58" s="4" t="s">
        <v>493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42415</v>
      </c>
      <c r="B61" s="125" t="s">
        <v>470</v>
      </c>
      <c r="C61" s="15"/>
      <c r="D61" s="15">
        <v>4889.75</v>
      </c>
      <c r="E61" s="139">
        <f>C61+D61</f>
        <v>4889.75</v>
      </c>
    </row>
    <row r="62" spans="1:5" x14ac:dyDescent="0.2">
      <c r="A62" s="126"/>
      <c r="B62" s="21" t="s">
        <v>613</v>
      </c>
      <c r="C62" s="127">
        <v>10369.43</v>
      </c>
      <c r="D62" s="127"/>
      <c r="E62" s="127">
        <f>D62+C62</f>
        <v>10369.43</v>
      </c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10369.43</v>
      </c>
      <c r="D70" s="141">
        <f>SUM(D61:D69)</f>
        <v>4889.75</v>
      </c>
      <c r="E70" s="133">
        <f>SUM(E61:E69)</f>
        <v>15259.18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20000</v>
      </c>
      <c r="E81" s="381">
        <f>E70</f>
        <v>15259.18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484</v>
      </c>
    </row>
    <row r="98" spans="1:5" x14ac:dyDescent="0.2">
      <c r="D98" s="2" t="s">
        <v>11</v>
      </c>
      <c r="E98" s="3">
        <v>42460</v>
      </c>
    </row>
    <row r="99" spans="1:5" x14ac:dyDescent="0.2">
      <c r="A99" s="5" t="s">
        <v>1</v>
      </c>
      <c r="B99" s="4" t="s">
        <v>493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42400</v>
      </c>
      <c r="B102" s="125" t="s">
        <v>470</v>
      </c>
      <c r="C102" s="15"/>
      <c r="D102" s="15">
        <v>4889.75</v>
      </c>
      <c r="E102" s="139">
        <f>C102+D102</f>
        <v>4889.75</v>
      </c>
    </row>
    <row r="103" spans="1:5" x14ac:dyDescent="0.2">
      <c r="A103" s="126"/>
      <c r="B103" s="21" t="s">
        <v>539</v>
      </c>
      <c r="C103" s="127"/>
      <c r="D103" s="127"/>
      <c r="E103" s="127"/>
    </row>
    <row r="104" spans="1:5" x14ac:dyDescent="0.2">
      <c r="A104" s="126">
        <v>42429</v>
      </c>
      <c r="B104" s="21" t="s">
        <v>470</v>
      </c>
      <c r="C104" s="127"/>
      <c r="D104" s="127">
        <v>10369.43</v>
      </c>
      <c r="E104" s="127">
        <f>D104+C104</f>
        <v>10369.43</v>
      </c>
    </row>
    <row r="105" spans="1:5" ht="14.5" customHeight="1" x14ac:dyDescent="0.2">
      <c r="A105" s="126"/>
      <c r="B105" s="21" t="s">
        <v>613</v>
      </c>
      <c r="C105" s="127"/>
      <c r="D105" s="127"/>
      <c r="E105" s="127"/>
    </row>
    <row r="106" spans="1:5" x14ac:dyDescent="0.2">
      <c r="A106" s="149">
        <v>42460</v>
      </c>
      <c r="B106" s="21" t="s">
        <v>470</v>
      </c>
      <c r="C106" s="127">
        <v>3550.07</v>
      </c>
      <c r="D106" s="127"/>
      <c r="E106" s="127">
        <f>D106+C106</f>
        <v>3550.07</v>
      </c>
    </row>
    <row r="107" spans="1:5" x14ac:dyDescent="0.2">
      <c r="A107" s="129"/>
      <c r="B107" s="21" t="s">
        <v>869</v>
      </c>
      <c r="C107" s="128"/>
      <c r="D107" s="127"/>
      <c r="E107" s="127"/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3550.07</v>
      </c>
      <c r="D111" s="141">
        <f>SUM(D102:D110)</f>
        <v>15259.18</v>
      </c>
      <c r="E111" s="133">
        <f>SUM(E102:E110)</f>
        <v>18809.25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20" t="s">
        <v>183</v>
      </c>
      <c r="F121" s="93"/>
    </row>
    <row r="122" spans="1:11" ht="14" customHeight="1" x14ac:dyDescent="0.2">
      <c r="A122" s="58"/>
      <c r="B122" s="58"/>
      <c r="D122" s="381">
        <v>20000</v>
      </c>
      <c r="E122" s="381">
        <f>E111</f>
        <v>18809.25</v>
      </c>
      <c r="F122" s="93"/>
    </row>
    <row r="123" spans="1:11" x14ac:dyDescent="0.2">
      <c r="F123" s="93"/>
    </row>
    <row r="124" spans="1:11" x14ac:dyDescent="0.2">
      <c r="A124" s="5" t="str">
        <f>Summary!$G$11</f>
        <v>PIPELINE PROJECT</v>
      </c>
    </row>
    <row r="136" spans="1:5" ht="16" x14ac:dyDescent="0.2">
      <c r="A136" s="192" t="s">
        <v>88</v>
      </c>
    </row>
    <row r="137" spans="1:5" x14ac:dyDescent="0.2">
      <c r="A137" s="5" t="s">
        <v>24</v>
      </c>
      <c r="B137" s="191" t="s">
        <v>484</v>
      </c>
    </row>
    <row r="139" spans="1:5" x14ac:dyDescent="0.2">
      <c r="D139" s="2" t="s">
        <v>11</v>
      </c>
      <c r="E139" s="3">
        <f>Summary!$G$3</f>
        <v>42505</v>
      </c>
    </row>
    <row r="140" spans="1:5" x14ac:dyDescent="0.2">
      <c r="A140" s="5" t="s">
        <v>1</v>
      </c>
      <c r="B140" s="4" t="s">
        <v>493</v>
      </c>
    </row>
    <row r="142" spans="1:5" x14ac:dyDescent="0.2">
      <c r="A142" s="9" t="s">
        <v>19</v>
      </c>
      <c r="B142" s="10" t="s">
        <v>2</v>
      </c>
      <c r="C142" s="11" t="s">
        <v>37</v>
      </c>
      <c r="D142" s="11" t="s">
        <v>27</v>
      </c>
      <c r="E142" s="12" t="s">
        <v>22</v>
      </c>
    </row>
    <row r="143" spans="1:5" ht="14.5" customHeight="1" x14ac:dyDescent="0.2">
      <c r="A143" s="124">
        <v>42400</v>
      </c>
      <c r="B143" s="125" t="s">
        <v>470</v>
      </c>
      <c r="C143" s="15"/>
      <c r="D143" s="15">
        <v>4889.75</v>
      </c>
      <c r="E143" s="139">
        <f>C143+D143</f>
        <v>4889.75</v>
      </c>
    </row>
    <row r="144" spans="1:5" x14ac:dyDescent="0.2">
      <c r="A144" s="126"/>
      <c r="B144" s="21" t="s">
        <v>539</v>
      </c>
      <c r="C144" s="127"/>
      <c r="D144" s="127"/>
      <c r="E144" s="127"/>
    </row>
    <row r="145" spans="1:11" x14ac:dyDescent="0.2">
      <c r="A145" s="126">
        <v>42429</v>
      </c>
      <c r="B145" s="21" t="s">
        <v>470</v>
      </c>
      <c r="C145" s="127"/>
      <c r="D145" s="127">
        <v>10369.43</v>
      </c>
      <c r="E145" s="127">
        <f>D145+C145</f>
        <v>10369.43</v>
      </c>
    </row>
    <row r="146" spans="1:11" ht="14.5" customHeight="1" x14ac:dyDescent="0.2">
      <c r="A146" s="126"/>
      <c r="B146" s="21" t="s">
        <v>613</v>
      </c>
      <c r="C146" s="127"/>
      <c r="D146" s="127"/>
      <c r="E146" s="127"/>
    </row>
    <row r="147" spans="1:11" x14ac:dyDescent="0.2">
      <c r="A147" s="149">
        <v>42460</v>
      </c>
      <c r="B147" s="21" t="s">
        <v>470</v>
      </c>
      <c r="C147" s="127"/>
      <c r="D147" s="127">
        <v>3550.07</v>
      </c>
      <c r="E147" s="127">
        <f>D147+C147</f>
        <v>3550.07</v>
      </c>
    </row>
    <row r="148" spans="1:11" x14ac:dyDescent="0.2">
      <c r="A148" s="129"/>
      <c r="B148" s="21" t="s">
        <v>869</v>
      </c>
      <c r="C148" s="128"/>
      <c r="D148" s="127"/>
      <c r="E148" s="127"/>
    </row>
    <row r="149" spans="1:11" x14ac:dyDescent="0.2">
      <c r="A149" s="129"/>
      <c r="B149" s="36"/>
      <c r="C149" s="127"/>
      <c r="D149" s="127"/>
      <c r="E149" s="127"/>
    </row>
    <row r="150" spans="1:11" x14ac:dyDescent="0.2">
      <c r="A150" s="129"/>
      <c r="B150" s="36"/>
      <c r="C150" s="127"/>
      <c r="D150" s="127"/>
      <c r="E150" s="127"/>
    </row>
    <row r="151" spans="1:11" x14ac:dyDescent="0.2">
      <c r="A151" s="130"/>
      <c r="B151" s="131"/>
      <c r="C151" s="132"/>
      <c r="D151" s="132"/>
      <c r="E151" s="132"/>
    </row>
    <row r="152" spans="1:11" x14ac:dyDescent="0.2">
      <c r="A152" s="6"/>
      <c r="B152" s="345" t="s">
        <v>12</v>
      </c>
      <c r="C152" s="141">
        <f>SUM(C143:C151)</f>
        <v>0</v>
      </c>
      <c r="D152" s="141">
        <f>SUM(D143:D151)</f>
        <v>18809.25</v>
      </c>
      <c r="E152" s="133">
        <f>SUM(E143:E151)</f>
        <v>18809.25</v>
      </c>
    </row>
    <row r="154" spans="1:11" x14ac:dyDescent="0.2">
      <c r="A154" t="str">
        <f>Summary!$G$9</f>
        <v>Contractor</v>
      </c>
    </row>
    <row r="155" spans="1:11" x14ac:dyDescent="0.2">
      <c r="D155" s="5"/>
    </row>
    <row r="157" spans="1:11" x14ac:dyDescent="0.2">
      <c r="C157" s="488"/>
      <c r="D157" s="488"/>
      <c r="E157" s="488"/>
    </row>
    <row r="158" spans="1:11" x14ac:dyDescent="0.2">
      <c r="C158" s="489" t="str">
        <f>Summary!$G$10</f>
        <v>Construction Manager</v>
      </c>
      <c r="D158" s="489"/>
      <c r="E158" s="489"/>
    </row>
    <row r="159" spans="1:11" ht="13.5" customHeight="1" x14ac:dyDescent="0.2">
      <c r="A159" s="79"/>
      <c r="C159" s="81"/>
      <c r="D159" s="82"/>
      <c r="E159" s="83"/>
      <c r="F159" s="93"/>
      <c r="G159" s="93"/>
      <c r="I159" s="95"/>
      <c r="J159" s="95"/>
      <c r="K159" s="95"/>
    </row>
    <row r="160" spans="1:11" x14ac:dyDescent="0.2">
      <c r="D160" s="82"/>
      <c r="E160" s="83"/>
      <c r="F160" s="93"/>
      <c r="I160" s="96"/>
      <c r="J160" s="96"/>
      <c r="K160" s="95"/>
    </row>
    <row r="161" spans="1:6" x14ac:dyDescent="0.2">
      <c r="F161" s="93"/>
    </row>
    <row r="162" spans="1:6" x14ac:dyDescent="0.2">
      <c r="A162" s="58"/>
      <c r="B162" s="58"/>
      <c r="D162" s="392" t="s">
        <v>182</v>
      </c>
      <c r="E162" s="320" t="s">
        <v>183</v>
      </c>
      <c r="F162" s="93"/>
    </row>
    <row r="163" spans="1:6" ht="14" customHeight="1" x14ac:dyDescent="0.2">
      <c r="A163" s="58"/>
      <c r="B163" s="58"/>
      <c r="D163" s="381">
        <v>20000</v>
      </c>
      <c r="E163" s="381">
        <f>E152</f>
        <v>18809.25</v>
      </c>
      <c r="F163" s="93"/>
    </row>
    <row r="164" spans="1:6" x14ac:dyDescent="0.2">
      <c r="E164" t="s">
        <v>134</v>
      </c>
      <c r="F164" s="93"/>
    </row>
  </sheetData>
  <mergeCells count="8">
    <mergeCell ref="C157:E157"/>
    <mergeCell ref="C158:E158"/>
    <mergeCell ref="C117:E117"/>
    <mergeCell ref="C34:E34"/>
    <mergeCell ref="C35:E35"/>
    <mergeCell ref="C75:E75"/>
    <mergeCell ref="C76:E76"/>
    <mergeCell ref="C116:E116"/>
  </mergeCells>
  <phoneticPr fontId="26" type="noConversion"/>
  <pageMargins left="2.4674015748031497" right="0.70000000000000007" top="0.74944881889763793" bottom="0.75000000000000011" header="0.30000000000000004" footer="0.30000000000000004"/>
  <pageSetup scale="79" orientation="landscape" verticalDpi="1200"/>
  <rowBreaks count="2" manualBreakCount="2">
    <brk id="41" max="16383" man="1"/>
    <brk id="81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123"/>
  <sheetViews>
    <sheetView workbookViewId="0">
      <selection activeCell="B100" sqref="B100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485</v>
      </c>
    </row>
    <row r="16" spans="1:5" x14ac:dyDescent="0.2">
      <c r="D16" s="2" t="s">
        <v>11</v>
      </c>
      <c r="E16" s="3">
        <v>42400</v>
      </c>
    </row>
    <row r="17" spans="1:5" x14ac:dyDescent="0.2">
      <c r="A17" s="5" t="s">
        <v>1</v>
      </c>
      <c r="B17" s="4" t="s">
        <v>1095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42400</v>
      </c>
      <c r="B20" s="125" t="s">
        <v>532</v>
      </c>
      <c r="C20" s="15">
        <v>41482.800000000003</v>
      </c>
      <c r="D20" s="15"/>
      <c r="E20" s="139">
        <f>C20+D20</f>
        <v>41482.800000000003</v>
      </c>
    </row>
    <row r="21" spans="1:5" x14ac:dyDescent="0.2">
      <c r="A21" s="126"/>
      <c r="B21" s="21" t="s">
        <v>533</v>
      </c>
      <c r="C21" s="127"/>
      <c r="D21" s="127"/>
      <c r="E21" s="127"/>
    </row>
    <row r="22" spans="1:5" x14ac:dyDescent="0.2">
      <c r="A22" s="126"/>
      <c r="B22" s="21" t="s">
        <v>534</v>
      </c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41482.800000000003</v>
      </c>
      <c r="D29" s="141">
        <f>SUM(D20:D28)</f>
        <v>0</v>
      </c>
      <c r="E29" s="133">
        <f>SUM(E20:E28)</f>
        <v>41482.800000000003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80000</v>
      </c>
      <c r="E40" s="381">
        <f>E29</f>
        <v>41482.800000000003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485</v>
      </c>
    </row>
    <row r="57" spans="1:5" x14ac:dyDescent="0.2">
      <c r="D57" s="2" t="s">
        <v>11</v>
      </c>
      <c r="E57" s="3">
        <v>42415</v>
      </c>
    </row>
    <row r="58" spans="1:5" x14ac:dyDescent="0.2">
      <c r="A58" s="5" t="s">
        <v>1</v>
      </c>
      <c r="B58" s="4" t="s">
        <v>1095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42400</v>
      </c>
      <c r="B61" s="125" t="s">
        <v>532</v>
      </c>
      <c r="C61" s="15"/>
      <c r="D61" s="15">
        <v>41482.800000000003</v>
      </c>
      <c r="E61" s="139">
        <f>C61+D61</f>
        <v>41482.800000000003</v>
      </c>
    </row>
    <row r="62" spans="1:5" x14ac:dyDescent="0.2">
      <c r="A62" s="126"/>
      <c r="B62" s="21" t="s">
        <v>533</v>
      </c>
      <c r="C62" s="127"/>
      <c r="D62" s="127"/>
      <c r="E62" s="127"/>
    </row>
    <row r="63" spans="1:5" x14ac:dyDescent="0.2">
      <c r="A63" s="126"/>
      <c r="B63" s="21" t="s">
        <v>534</v>
      </c>
      <c r="C63" s="127"/>
      <c r="D63" s="127"/>
      <c r="E63" s="127"/>
    </row>
    <row r="64" spans="1:5" ht="14.5" customHeight="1" x14ac:dyDescent="0.2">
      <c r="A64" s="126">
        <v>42415</v>
      </c>
      <c r="B64" s="21" t="s">
        <v>532</v>
      </c>
      <c r="C64" s="140">
        <v>38517.199999999997</v>
      </c>
      <c r="D64" s="127"/>
      <c r="E64" s="127">
        <f>D64+C64</f>
        <v>38517.199999999997</v>
      </c>
    </row>
    <row r="65" spans="1:11" x14ac:dyDescent="0.2">
      <c r="A65" s="129"/>
      <c r="B65" s="36" t="s">
        <v>594</v>
      </c>
      <c r="C65" s="127"/>
      <c r="D65" s="127"/>
      <c r="E65" s="127"/>
    </row>
    <row r="66" spans="1:11" x14ac:dyDescent="0.2">
      <c r="A66" s="129"/>
      <c r="B66" s="398" t="s">
        <v>622</v>
      </c>
      <c r="C66" s="127"/>
      <c r="D66" s="127"/>
      <c r="E66" s="127"/>
    </row>
    <row r="67" spans="1:11" x14ac:dyDescent="0.2">
      <c r="A67" s="129"/>
      <c r="B67" s="398" t="s">
        <v>623</v>
      </c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38517.199999999997</v>
      </c>
      <c r="D70" s="141">
        <f>SUM(D61:D69)</f>
        <v>41482.800000000003</v>
      </c>
      <c r="E70" s="133">
        <f>SUM(E61:E69)</f>
        <v>80000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80000</v>
      </c>
      <c r="E81" s="381">
        <f>E70</f>
        <v>80000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485</v>
      </c>
    </row>
    <row r="98" spans="1:5" x14ac:dyDescent="0.2">
      <c r="D98" s="2" t="s">
        <v>11</v>
      </c>
      <c r="E98" s="3">
        <f>Summary!$G$3</f>
        <v>42505</v>
      </c>
    </row>
    <row r="99" spans="1:5" x14ac:dyDescent="0.2">
      <c r="A99" s="5" t="s">
        <v>1</v>
      </c>
      <c r="B99" s="4" t="s">
        <v>1095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42400</v>
      </c>
      <c r="B102" s="125" t="s">
        <v>532</v>
      </c>
      <c r="C102" s="15"/>
      <c r="D102" s="15">
        <v>41482.800000000003</v>
      </c>
      <c r="E102" s="139">
        <f>C102+D102</f>
        <v>41482.800000000003</v>
      </c>
    </row>
    <row r="103" spans="1:5" x14ac:dyDescent="0.2">
      <c r="A103" s="126"/>
      <c r="B103" s="21" t="s">
        <v>533</v>
      </c>
      <c r="C103" s="127"/>
      <c r="D103" s="127"/>
      <c r="E103" s="127"/>
    </row>
    <row r="104" spans="1:5" x14ac:dyDescent="0.2">
      <c r="A104" s="126"/>
      <c r="B104" s="21" t="s">
        <v>534</v>
      </c>
      <c r="C104" s="127"/>
      <c r="D104" s="127"/>
      <c r="E104" s="127"/>
    </row>
    <row r="105" spans="1:5" ht="14.5" customHeight="1" x14ac:dyDescent="0.2">
      <c r="A105" s="126">
        <v>42415</v>
      </c>
      <c r="B105" s="21" t="s">
        <v>532</v>
      </c>
      <c r="C105" s="127"/>
      <c r="D105" s="127">
        <v>38517.199999999997</v>
      </c>
      <c r="E105" s="127">
        <f>D105+C105</f>
        <v>38517.199999999997</v>
      </c>
    </row>
    <row r="106" spans="1:5" x14ac:dyDescent="0.2">
      <c r="A106" s="129"/>
      <c r="B106" s="36" t="s">
        <v>594</v>
      </c>
      <c r="C106" s="127"/>
      <c r="D106" s="127"/>
      <c r="E106" s="127"/>
    </row>
    <row r="107" spans="1:5" x14ac:dyDescent="0.2">
      <c r="A107" s="129"/>
      <c r="B107" s="398" t="s">
        <v>622</v>
      </c>
      <c r="C107" s="127"/>
      <c r="D107" s="127"/>
      <c r="E107" s="127"/>
    </row>
    <row r="108" spans="1:5" x14ac:dyDescent="0.2">
      <c r="A108" s="129"/>
      <c r="B108" s="398" t="s">
        <v>623</v>
      </c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0</v>
      </c>
      <c r="D111" s="141">
        <f>SUM(D102:D110)</f>
        <v>80000</v>
      </c>
      <c r="E111" s="133">
        <f>SUM(E102:E110)</f>
        <v>80000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80000</v>
      </c>
      <c r="E122" s="381">
        <f>E111</f>
        <v>80000</v>
      </c>
      <c r="F122" s="93"/>
    </row>
    <row r="123" spans="1:11" x14ac:dyDescent="0.2">
      <c r="E123" t="s">
        <v>134</v>
      </c>
      <c r="F123" s="93"/>
    </row>
  </sheetData>
  <mergeCells count="6">
    <mergeCell ref="C117:E117"/>
    <mergeCell ref="C34:E34"/>
    <mergeCell ref="C35:E35"/>
    <mergeCell ref="C75:E75"/>
    <mergeCell ref="C76:E76"/>
    <mergeCell ref="C116:E116"/>
  </mergeCells>
  <phoneticPr fontId="26" type="noConversion"/>
  <pageMargins left="1.2900000000000003" right="0.70000000000000007" top="1.34" bottom="0.75000000000000011" header="0.30000000000000004" footer="0.30000000000000004"/>
  <pageSetup scale="79" orientation="landscape" verticalDpi="1200"/>
  <rowBreaks count="2" manualBreakCount="2">
    <brk id="41" max="16383" man="1"/>
    <brk id="81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64"/>
  <sheetViews>
    <sheetView topLeftCell="A80"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6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1096</v>
      </c>
    </row>
    <row r="16" spans="1:5" x14ac:dyDescent="0.2">
      <c r="D16" s="2" t="s">
        <v>11</v>
      </c>
      <c r="E16" s="3">
        <v>42400</v>
      </c>
    </row>
    <row r="17" spans="1:5" x14ac:dyDescent="0.2">
      <c r="A17" s="5" t="s">
        <v>1</v>
      </c>
      <c r="B17" s="4" t="s">
        <v>492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42400</v>
      </c>
      <c r="B20" s="125" t="s">
        <v>424</v>
      </c>
      <c r="C20" s="15">
        <v>18307.84</v>
      </c>
      <c r="D20" s="15"/>
      <c r="E20" s="139">
        <f>C20+D20</f>
        <v>18307.84</v>
      </c>
    </row>
    <row r="21" spans="1:5" x14ac:dyDescent="0.2">
      <c r="A21" s="126"/>
      <c r="B21" s="21" t="s">
        <v>540</v>
      </c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18307.84</v>
      </c>
      <c r="D29" s="141">
        <f>SUM(D20:D28)</f>
        <v>0</v>
      </c>
      <c r="E29" s="133">
        <f>SUM(E20:E28)</f>
        <v>18307.84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60000</v>
      </c>
      <c r="E40" s="381">
        <f>E29</f>
        <v>18307.84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1096</v>
      </c>
    </row>
    <row r="57" spans="1:5" x14ac:dyDescent="0.2">
      <c r="D57" s="2" t="s">
        <v>11</v>
      </c>
      <c r="E57" s="3">
        <v>42415</v>
      </c>
    </row>
    <row r="58" spans="1:5" x14ac:dyDescent="0.2">
      <c r="A58" s="5" t="s">
        <v>1</v>
      </c>
      <c r="B58" s="4" t="s">
        <v>492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42415</v>
      </c>
      <c r="B61" s="125" t="s">
        <v>424</v>
      </c>
      <c r="C61" s="15"/>
      <c r="D61" s="15">
        <v>18307.84</v>
      </c>
      <c r="E61" s="139">
        <f>C61+D61</f>
        <v>18307.84</v>
      </c>
    </row>
    <row r="62" spans="1:5" x14ac:dyDescent="0.2">
      <c r="A62" s="126"/>
      <c r="B62" s="21" t="s">
        <v>627</v>
      </c>
      <c r="C62" s="127">
        <v>28369.24</v>
      </c>
      <c r="D62" s="127"/>
      <c r="E62" s="127">
        <f>D62+C62</f>
        <v>28369.24</v>
      </c>
    </row>
    <row r="63" spans="1:5" x14ac:dyDescent="0.2">
      <c r="A63" s="126"/>
      <c r="B63" s="21" t="s">
        <v>628</v>
      </c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28369.24</v>
      </c>
      <c r="D70" s="141">
        <f>SUM(D61:D69)</f>
        <v>18307.84</v>
      </c>
      <c r="E70" s="133">
        <f>SUM(E61:E69)</f>
        <v>46677.08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60000</v>
      </c>
      <c r="E81" s="381">
        <f>E70</f>
        <v>46677.08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1096</v>
      </c>
    </row>
    <row r="98" spans="1:5" x14ac:dyDescent="0.2">
      <c r="D98" s="2" t="s">
        <v>11</v>
      </c>
      <c r="E98" s="3">
        <v>42429</v>
      </c>
    </row>
    <row r="99" spans="1:5" x14ac:dyDescent="0.2">
      <c r="A99" s="5" t="s">
        <v>1</v>
      </c>
      <c r="B99" s="4" t="s">
        <v>492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42400</v>
      </c>
      <c r="B102" s="125" t="s">
        <v>633</v>
      </c>
      <c r="C102" s="15"/>
      <c r="D102" s="15">
        <v>18307.84</v>
      </c>
      <c r="E102" s="139">
        <f>C102+D102</f>
        <v>18307.84</v>
      </c>
    </row>
    <row r="103" spans="1:5" x14ac:dyDescent="0.2">
      <c r="A103" s="126">
        <v>42415</v>
      </c>
      <c r="B103" s="21" t="s">
        <v>634</v>
      </c>
      <c r="C103" s="127"/>
      <c r="D103" s="127">
        <v>28369.24</v>
      </c>
      <c r="E103" s="127">
        <f>D103+C103</f>
        <v>28369.24</v>
      </c>
    </row>
    <row r="104" spans="1:5" x14ac:dyDescent="0.2">
      <c r="A104" s="126"/>
      <c r="B104" s="21" t="s">
        <v>635</v>
      </c>
      <c r="C104" s="127"/>
      <c r="D104" s="127"/>
      <c r="E104" s="127"/>
    </row>
    <row r="105" spans="1:5" ht="14.5" customHeight="1" x14ac:dyDescent="0.2">
      <c r="A105" s="126">
        <v>42429</v>
      </c>
      <c r="B105" s="21" t="s">
        <v>718</v>
      </c>
      <c r="C105" s="127">
        <v>13079.3</v>
      </c>
      <c r="D105" s="127"/>
      <c r="E105" s="127">
        <f t="shared" ref="E105" si="0">D105+C105</f>
        <v>13079.3</v>
      </c>
    </row>
    <row r="106" spans="1:5" x14ac:dyDescent="0.2">
      <c r="A106" s="129"/>
      <c r="B106" s="36"/>
      <c r="C106" s="127"/>
      <c r="D106" s="127"/>
      <c r="E106" s="127"/>
    </row>
    <row r="107" spans="1:5" x14ac:dyDescent="0.2">
      <c r="A107" s="129"/>
      <c r="B107" s="36"/>
      <c r="C107" s="127"/>
      <c r="D107" s="127"/>
      <c r="E107" s="127"/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13079.3</v>
      </c>
      <c r="D111" s="141">
        <f>SUM(D102:D110)</f>
        <v>46677.08</v>
      </c>
      <c r="E111" s="133">
        <f>SUM(E102:E110)</f>
        <v>59756.380000000005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60000</v>
      </c>
      <c r="E122" s="381">
        <f>E111</f>
        <v>59756.380000000005</v>
      </c>
      <c r="F122" s="93"/>
    </row>
    <row r="123" spans="1:11" x14ac:dyDescent="0.2">
      <c r="F123" s="93"/>
    </row>
    <row r="124" spans="1:11" x14ac:dyDescent="0.2">
      <c r="A124" s="5" t="str">
        <f>Summary!$G$11</f>
        <v>PIPELINE PROJECT</v>
      </c>
    </row>
    <row r="136" spans="1:5" ht="16" x14ac:dyDescent="0.2">
      <c r="A136" s="192" t="s">
        <v>88</v>
      </c>
    </row>
    <row r="137" spans="1:5" x14ac:dyDescent="0.2">
      <c r="A137" s="5" t="s">
        <v>24</v>
      </c>
      <c r="B137" s="518" t="s">
        <v>1096</v>
      </c>
    </row>
    <row r="139" spans="1:5" x14ac:dyDescent="0.2">
      <c r="D139" s="2" t="s">
        <v>11</v>
      </c>
      <c r="E139" s="3">
        <f>Summary!$G$3</f>
        <v>42505</v>
      </c>
    </row>
    <row r="140" spans="1:5" x14ac:dyDescent="0.2">
      <c r="A140" s="5" t="s">
        <v>1</v>
      </c>
      <c r="B140" s="4" t="s">
        <v>492</v>
      </c>
    </row>
    <row r="142" spans="1:5" x14ac:dyDescent="0.2">
      <c r="A142" s="9" t="s">
        <v>19</v>
      </c>
      <c r="B142" s="10" t="s">
        <v>2</v>
      </c>
      <c r="C142" s="11" t="s">
        <v>37</v>
      </c>
      <c r="D142" s="11" t="s">
        <v>27</v>
      </c>
      <c r="E142" s="12" t="s">
        <v>22</v>
      </c>
    </row>
    <row r="143" spans="1:5" ht="14.5" customHeight="1" x14ac:dyDescent="0.2">
      <c r="A143" s="124">
        <v>42400</v>
      </c>
      <c r="B143" s="125" t="s">
        <v>633</v>
      </c>
      <c r="C143" s="15"/>
      <c r="D143" s="15">
        <v>18307.84</v>
      </c>
      <c r="E143" s="139">
        <f>C143+D143</f>
        <v>18307.84</v>
      </c>
    </row>
    <row r="144" spans="1:5" x14ac:dyDescent="0.2">
      <c r="A144" s="126">
        <v>42415</v>
      </c>
      <c r="B144" s="21" t="s">
        <v>634</v>
      </c>
      <c r="C144" s="127"/>
      <c r="D144" s="127">
        <v>28369.24</v>
      </c>
      <c r="E144" s="127">
        <f>D144+C144</f>
        <v>28369.24</v>
      </c>
    </row>
    <row r="145" spans="1:11" x14ac:dyDescent="0.2">
      <c r="A145" s="126"/>
      <c r="B145" s="21" t="s">
        <v>635</v>
      </c>
      <c r="C145" s="127"/>
      <c r="D145" s="127"/>
      <c r="E145" s="127"/>
    </row>
    <row r="146" spans="1:11" ht="14.5" customHeight="1" x14ac:dyDescent="0.2">
      <c r="A146" s="126">
        <v>42429</v>
      </c>
      <c r="B146" s="21" t="s">
        <v>718</v>
      </c>
      <c r="C146" s="127"/>
      <c r="D146" s="127">
        <v>13079.3</v>
      </c>
      <c r="E146" s="127">
        <f t="shared" ref="E146" si="1">D146+C146</f>
        <v>13079.3</v>
      </c>
    </row>
    <row r="147" spans="1:11" x14ac:dyDescent="0.2">
      <c r="A147" s="129"/>
      <c r="B147" s="36"/>
      <c r="C147" s="127"/>
      <c r="D147" s="127"/>
      <c r="E147" s="127"/>
    </row>
    <row r="148" spans="1:11" x14ac:dyDescent="0.2">
      <c r="A148" s="129"/>
      <c r="B148" s="36"/>
      <c r="C148" s="127"/>
      <c r="D148" s="127"/>
      <c r="E148" s="127"/>
    </row>
    <row r="149" spans="1:11" x14ac:dyDescent="0.2">
      <c r="A149" s="129"/>
      <c r="B149" s="36"/>
      <c r="C149" s="127"/>
      <c r="D149" s="127"/>
      <c r="E149" s="127"/>
    </row>
    <row r="150" spans="1:11" x14ac:dyDescent="0.2">
      <c r="A150" s="129"/>
      <c r="B150" s="36"/>
      <c r="C150" s="127"/>
      <c r="D150" s="127"/>
      <c r="E150" s="127"/>
    </row>
    <row r="151" spans="1:11" x14ac:dyDescent="0.2">
      <c r="A151" s="130"/>
      <c r="B151" s="131"/>
      <c r="C151" s="132"/>
      <c r="D151" s="132"/>
      <c r="E151" s="132"/>
    </row>
    <row r="152" spans="1:11" x14ac:dyDescent="0.2">
      <c r="A152" s="6"/>
      <c r="B152" s="345" t="s">
        <v>12</v>
      </c>
      <c r="C152" s="141">
        <f>SUM(C143:C151)</f>
        <v>0</v>
      </c>
      <c r="D152" s="141">
        <f>SUM(D143:D151)</f>
        <v>59756.380000000005</v>
      </c>
      <c r="E152" s="133">
        <f>SUM(E143:E151)</f>
        <v>59756.380000000005</v>
      </c>
    </row>
    <row r="154" spans="1:11" x14ac:dyDescent="0.2">
      <c r="A154" t="str">
        <f>Summary!$G$9</f>
        <v>Contractor</v>
      </c>
    </row>
    <row r="155" spans="1:11" x14ac:dyDescent="0.2">
      <c r="D155" s="5"/>
    </row>
    <row r="157" spans="1:11" x14ac:dyDescent="0.2">
      <c r="C157" s="488"/>
      <c r="D157" s="488"/>
      <c r="E157" s="488"/>
    </row>
    <row r="158" spans="1:11" x14ac:dyDescent="0.2">
      <c r="C158" s="489" t="str">
        <f>Summary!$G$10</f>
        <v>Construction Manager</v>
      </c>
      <c r="D158" s="489"/>
      <c r="E158" s="489"/>
    </row>
    <row r="159" spans="1:11" ht="13.5" customHeight="1" x14ac:dyDescent="0.2">
      <c r="A159" s="79"/>
      <c r="C159" s="81"/>
      <c r="D159" s="82"/>
      <c r="E159" s="83"/>
      <c r="F159" s="93"/>
      <c r="G159" s="93"/>
      <c r="I159" s="95"/>
      <c r="J159" s="95"/>
      <c r="K159" s="95"/>
    </row>
    <row r="160" spans="1:11" x14ac:dyDescent="0.2">
      <c r="D160" s="82"/>
      <c r="E160" s="83"/>
      <c r="F160" s="93"/>
      <c r="I160" s="96"/>
      <c r="J160" s="96"/>
      <c r="K160" s="95"/>
    </row>
    <row r="161" spans="1:6" x14ac:dyDescent="0.2">
      <c r="F161" s="93"/>
    </row>
    <row r="162" spans="1:6" x14ac:dyDescent="0.2">
      <c r="A162" s="58"/>
      <c r="B162" s="58"/>
      <c r="D162" s="392" t="s">
        <v>182</v>
      </c>
      <c r="E162" s="393" t="s">
        <v>183</v>
      </c>
      <c r="F162" s="93"/>
    </row>
    <row r="163" spans="1:6" ht="14" customHeight="1" x14ac:dyDescent="0.2">
      <c r="A163" s="58"/>
      <c r="B163" s="58"/>
      <c r="D163" s="381">
        <v>60000</v>
      </c>
      <c r="E163" s="381">
        <f>E152</f>
        <v>59756.380000000005</v>
      </c>
      <c r="F163" s="93"/>
    </row>
    <row r="164" spans="1:6" x14ac:dyDescent="0.2">
      <c r="E164" t="s">
        <v>134</v>
      </c>
      <c r="F164" s="93"/>
    </row>
  </sheetData>
  <mergeCells count="8">
    <mergeCell ref="C157:E157"/>
    <mergeCell ref="C158:E158"/>
    <mergeCell ref="C117:E117"/>
    <mergeCell ref="C34:E34"/>
    <mergeCell ref="C35:E35"/>
    <mergeCell ref="C75:E75"/>
    <mergeCell ref="C76:E76"/>
    <mergeCell ref="C116:E116"/>
  </mergeCells>
  <phoneticPr fontId="26" type="noConversion"/>
  <pageMargins left="2.2737007874015749" right="0.70000000000000007" top="1.34" bottom="0.75000000000000011" header="0.30000000000000004" footer="0.30000000000000004"/>
  <pageSetup scale="79" orientation="landscape" verticalDpi="1200"/>
  <rowBreaks count="2" manualBreakCount="2">
    <brk id="41" max="16383" man="1"/>
    <brk id="81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41"/>
  <sheetViews>
    <sheetView workbookViewId="0">
      <selection activeCell="F31" sqref="F31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1097</v>
      </c>
    </row>
    <row r="16" spans="1:5" x14ac:dyDescent="0.2">
      <c r="D16" s="2" t="s">
        <v>11</v>
      </c>
      <c r="E16" s="3">
        <f>Summary!$G$3</f>
        <v>42505</v>
      </c>
    </row>
    <row r="17" spans="1:5" x14ac:dyDescent="0.2">
      <c r="A17" s="5" t="s">
        <v>1</v>
      </c>
      <c r="B17" s="4" t="s">
        <v>244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/>
      <c r="B20" s="125"/>
      <c r="C20" s="15"/>
      <c r="D20" s="15"/>
      <c r="E20" s="139">
        <f>C20+D20</f>
        <v>0</v>
      </c>
    </row>
    <row r="21" spans="1:5" x14ac:dyDescent="0.2">
      <c r="A21" s="126"/>
      <c r="B21" s="21"/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0</v>
      </c>
      <c r="D29" s="141">
        <f>SUM(D20:D28)</f>
        <v>0</v>
      </c>
      <c r="E29" s="133">
        <f>SUM(E20:E28)</f>
        <v>0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25000</v>
      </c>
      <c r="E40" s="381">
        <f>E29</f>
        <v>0</v>
      </c>
      <c r="F40" s="93"/>
    </row>
    <row r="41" spans="1:11" x14ac:dyDescent="0.2">
      <c r="F41" s="93"/>
    </row>
  </sheetData>
  <mergeCells count="2">
    <mergeCell ref="C34:E34"/>
    <mergeCell ref="C35:E35"/>
  </mergeCells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82"/>
  <sheetViews>
    <sheetView workbookViewId="0">
      <selection activeCell="D10" sqref="D8:D10"/>
    </sheetView>
  </sheetViews>
  <sheetFormatPr baseColWidth="10" defaultColWidth="8.83203125" defaultRowHeight="15" x14ac:dyDescent="0.2"/>
  <cols>
    <col min="1" max="1" width="10" customWidth="1"/>
    <col min="2" max="2" width="36.3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487</v>
      </c>
    </row>
    <row r="16" spans="1:5" x14ac:dyDescent="0.2">
      <c r="D16" s="2" t="s">
        <v>11</v>
      </c>
      <c r="E16" s="3">
        <v>42400</v>
      </c>
    </row>
    <row r="17" spans="1:5" x14ac:dyDescent="0.2">
      <c r="A17" s="5" t="s">
        <v>1</v>
      </c>
      <c r="B17" s="4" t="s">
        <v>249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42400</v>
      </c>
      <c r="B20" s="125" t="s">
        <v>535</v>
      </c>
      <c r="C20" s="15">
        <v>3397.2</v>
      </c>
      <c r="D20" s="15"/>
      <c r="E20" s="139">
        <f>C20+D20</f>
        <v>3397.2</v>
      </c>
    </row>
    <row r="21" spans="1:5" x14ac:dyDescent="0.2">
      <c r="A21" s="126"/>
      <c r="B21" s="21" t="s">
        <v>537</v>
      </c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3397.2</v>
      </c>
      <c r="D29" s="141">
        <f>SUM(D20:D28)</f>
        <v>0</v>
      </c>
      <c r="E29" s="133">
        <f>SUM(E20:E28)</f>
        <v>3397.2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4250.2</v>
      </c>
      <c r="E40" s="381">
        <f>E29</f>
        <v>3397.2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1098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249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42400</v>
      </c>
      <c r="B61" s="125" t="s">
        <v>535</v>
      </c>
      <c r="C61" s="15"/>
      <c r="D61" s="15">
        <v>3397.2</v>
      </c>
      <c r="E61" s="139">
        <f>C61+D61</f>
        <v>3397.2</v>
      </c>
    </row>
    <row r="62" spans="1:5" x14ac:dyDescent="0.2">
      <c r="A62" s="126"/>
      <c r="B62" s="21" t="s">
        <v>537</v>
      </c>
      <c r="C62" s="127"/>
      <c r="D62" s="127"/>
      <c r="E62" s="127"/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3397.2</v>
      </c>
      <c r="E70" s="133">
        <f>SUM(E61:E69)</f>
        <v>3397.2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4250.2</v>
      </c>
      <c r="E81" s="381">
        <f>E70</f>
        <v>3397.2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82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0" customWidth="1"/>
    <col min="2" max="2" width="37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488</v>
      </c>
    </row>
    <row r="16" spans="1:5" x14ac:dyDescent="0.2">
      <c r="D16" s="2" t="s">
        <v>11</v>
      </c>
      <c r="E16" s="3">
        <v>42400</v>
      </c>
    </row>
    <row r="17" spans="1:5" x14ac:dyDescent="0.2">
      <c r="A17" s="5" t="s">
        <v>1</v>
      </c>
      <c r="B17" s="4" t="s">
        <v>536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42400</v>
      </c>
      <c r="B20" s="125" t="s">
        <v>538</v>
      </c>
      <c r="C20" s="15">
        <v>686.9</v>
      </c>
      <c r="D20" s="15"/>
      <c r="E20" s="139">
        <f>C20+D20</f>
        <v>686.9</v>
      </c>
    </row>
    <row r="21" spans="1:5" x14ac:dyDescent="0.2">
      <c r="A21" s="126"/>
      <c r="B21" s="21"/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686.9</v>
      </c>
      <c r="D29" s="141">
        <f>SUM(D20:D28)</f>
        <v>0</v>
      </c>
      <c r="E29" s="133">
        <f>SUM(E20:E28)</f>
        <v>686.9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2070.7800000000002</v>
      </c>
      <c r="E40" s="381">
        <f>E29</f>
        <v>686.9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488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536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42400</v>
      </c>
      <c r="B61" s="125" t="s">
        <v>538</v>
      </c>
      <c r="C61" s="15"/>
      <c r="D61" s="15">
        <v>686.9</v>
      </c>
      <c r="E61" s="139">
        <f>C61+D61</f>
        <v>686.9</v>
      </c>
    </row>
    <row r="62" spans="1:5" x14ac:dyDescent="0.2">
      <c r="A62" s="126"/>
      <c r="B62" s="21" t="s">
        <v>562</v>
      </c>
      <c r="C62" s="127"/>
      <c r="D62" s="127"/>
      <c r="E62" s="127"/>
    </row>
    <row r="63" spans="1:5" x14ac:dyDescent="0.2">
      <c r="A63" s="126"/>
      <c r="B63" s="21" t="s">
        <v>822</v>
      </c>
      <c r="C63" s="127">
        <v>1867.18</v>
      </c>
      <c r="D63" s="127"/>
      <c r="E63" s="127"/>
    </row>
    <row r="64" spans="1:5" ht="14.5" customHeight="1" x14ac:dyDescent="0.2">
      <c r="A64" s="126"/>
      <c r="B64" s="21" t="s">
        <v>823</v>
      </c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1867.18</v>
      </c>
      <c r="D70" s="141">
        <f>SUM(D61:D69)</f>
        <v>686.9</v>
      </c>
      <c r="E70" s="133">
        <f>SUM(E61:E69)</f>
        <v>686.9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2070.7800000000002</v>
      </c>
      <c r="E81" s="331">
        <f>E70</f>
        <v>686.9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CFFCC"/>
  </sheetPr>
  <dimension ref="A1:K284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1099</v>
      </c>
    </row>
    <row r="16" spans="1:5" x14ac:dyDescent="0.2">
      <c r="D16" s="2" t="s">
        <v>11</v>
      </c>
      <c r="E16" s="3">
        <v>42415</v>
      </c>
    </row>
    <row r="17" spans="1:5" x14ac:dyDescent="0.2">
      <c r="A17" s="5" t="s">
        <v>1</v>
      </c>
      <c r="B17" s="4" t="s">
        <v>477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42382</v>
      </c>
      <c r="B20" s="125" t="s">
        <v>616</v>
      </c>
      <c r="C20" s="15">
        <v>1985.36</v>
      </c>
      <c r="D20" s="15"/>
      <c r="E20" s="139">
        <f>C20+D20</f>
        <v>1985.36</v>
      </c>
    </row>
    <row r="21" spans="1:5" x14ac:dyDescent="0.2">
      <c r="A21" s="126">
        <v>42359</v>
      </c>
      <c r="B21" s="21" t="s">
        <v>617</v>
      </c>
      <c r="C21" s="127">
        <v>1978.2</v>
      </c>
      <c r="D21" s="127"/>
      <c r="E21" s="127">
        <f t="shared" ref="E21:E24" si="0">C21+D21</f>
        <v>1978.2</v>
      </c>
    </row>
    <row r="22" spans="1:5" ht="14.5" customHeight="1" x14ac:dyDescent="0.2">
      <c r="A22" s="126">
        <v>42358</v>
      </c>
      <c r="B22" s="21" t="s">
        <v>619</v>
      </c>
      <c r="C22" s="128">
        <v>2167.1999999999998</v>
      </c>
      <c r="D22" s="127"/>
      <c r="E22" s="127">
        <f t="shared" si="0"/>
        <v>2167.1999999999998</v>
      </c>
    </row>
    <row r="23" spans="1:5" x14ac:dyDescent="0.2">
      <c r="A23" s="149">
        <v>42358</v>
      </c>
      <c r="B23" s="21" t="s">
        <v>618</v>
      </c>
      <c r="C23" s="127">
        <v>2167.1999999999998</v>
      </c>
      <c r="D23" s="127"/>
      <c r="E23" s="127">
        <f t="shared" si="0"/>
        <v>2167.1999999999998</v>
      </c>
    </row>
    <row r="24" spans="1:5" x14ac:dyDescent="0.2">
      <c r="A24" s="149">
        <v>42411</v>
      </c>
      <c r="B24" s="36" t="s">
        <v>620</v>
      </c>
      <c r="C24" s="127">
        <v>231.94</v>
      </c>
      <c r="D24" s="127"/>
      <c r="E24" s="127">
        <f t="shared" si="0"/>
        <v>231.94</v>
      </c>
    </row>
    <row r="25" spans="1:5" x14ac:dyDescent="0.2">
      <c r="A25" s="126">
        <v>42341</v>
      </c>
      <c r="B25" s="21" t="s">
        <v>614</v>
      </c>
      <c r="C25" s="127">
        <v>945</v>
      </c>
      <c r="D25" s="127"/>
      <c r="E25" s="127">
        <f>C25+D25</f>
        <v>945</v>
      </c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9474.9</v>
      </c>
      <c r="D29" s="141">
        <f>SUM(D20:D28)</f>
        <v>0</v>
      </c>
      <c r="E29" s="133">
        <f>SUM(E20:E28)</f>
        <v>9474.9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50000</v>
      </c>
      <c r="E40" s="381">
        <f>E29</f>
        <v>9474.9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1099</v>
      </c>
    </row>
    <row r="57" spans="1:5" x14ac:dyDescent="0.2">
      <c r="D57" s="2" t="s">
        <v>11</v>
      </c>
      <c r="E57" s="3">
        <v>42444</v>
      </c>
    </row>
    <row r="58" spans="1:5" x14ac:dyDescent="0.2">
      <c r="A58" s="5" t="s">
        <v>1</v>
      </c>
      <c r="B58" s="4" t="s">
        <v>477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42382</v>
      </c>
      <c r="B61" s="125" t="s">
        <v>616</v>
      </c>
      <c r="C61" s="15"/>
      <c r="D61" s="15">
        <v>1985.36</v>
      </c>
      <c r="E61" s="139">
        <f>C61+D61</f>
        <v>1985.36</v>
      </c>
    </row>
    <row r="62" spans="1:5" x14ac:dyDescent="0.2">
      <c r="A62" s="126">
        <v>42359</v>
      </c>
      <c r="B62" s="21" t="s">
        <v>617</v>
      </c>
      <c r="C62" s="127"/>
      <c r="D62" s="127">
        <v>1978.2</v>
      </c>
      <c r="E62" s="127">
        <f t="shared" ref="E62:E65" si="1">C62+D62</f>
        <v>1978.2</v>
      </c>
    </row>
    <row r="63" spans="1:5" ht="14.5" customHeight="1" x14ac:dyDescent="0.2">
      <c r="A63" s="126">
        <v>42358</v>
      </c>
      <c r="B63" s="21" t="s">
        <v>619</v>
      </c>
      <c r="C63" s="128"/>
      <c r="D63" s="127">
        <v>2167.1999999999998</v>
      </c>
      <c r="E63" s="127">
        <f t="shared" si="1"/>
        <v>2167.1999999999998</v>
      </c>
    </row>
    <row r="64" spans="1:5" x14ac:dyDescent="0.2">
      <c r="A64" s="149">
        <v>42358</v>
      </c>
      <c r="B64" s="21" t="s">
        <v>618</v>
      </c>
      <c r="C64" s="127"/>
      <c r="D64" s="127">
        <v>2167.1999999999998</v>
      </c>
      <c r="E64" s="127">
        <f t="shared" si="1"/>
        <v>2167.1999999999998</v>
      </c>
    </row>
    <row r="65" spans="1:11" x14ac:dyDescent="0.2">
      <c r="A65" s="149">
        <v>42411</v>
      </c>
      <c r="B65" s="36" t="s">
        <v>620</v>
      </c>
      <c r="C65" s="127"/>
      <c r="D65" s="127">
        <v>231.94</v>
      </c>
      <c r="E65" s="127">
        <f t="shared" si="1"/>
        <v>231.94</v>
      </c>
    </row>
    <row r="66" spans="1:11" x14ac:dyDescent="0.2">
      <c r="A66" s="126">
        <v>42341</v>
      </c>
      <c r="B66" s="21" t="s">
        <v>733</v>
      </c>
      <c r="C66" s="127"/>
      <c r="D66" s="127">
        <v>945</v>
      </c>
      <c r="E66" s="127">
        <f>C66+D66</f>
        <v>945</v>
      </c>
    </row>
    <row r="67" spans="1:11" x14ac:dyDescent="0.2">
      <c r="A67" s="126"/>
      <c r="B67" s="21" t="s">
        <v>734</v>
      </c>
      <c r="C67" s="127"/>
      <c r="D67" s="127"/>
      <c r="E67" s="127"/>
    </row>
    <row r="68" spans="1:11" x14ac:dyDescent="0.2">
      <c r="A68" s="126">
        <v>42444</v>
      </c>
      <c r="B68" s="21" t="s">
        <v>562</v>
      </c>
      <c r="C68" s="127">
        <v>1867.18</v>
      </c>
      <c r="D68" s="127"/>
      <c r="E68" s="127">
        <f t="shared" ref="E68" si="2">C68+D68</f>
        <v>1867.18</v>
      </c>
    </row>
    <row r="69" spans="1:11" x14ac:dyDescent="0.2">
      <c r="A69" s="129"/>
      <c r="B69" s="36" t="s">
        <v>824</v>
      </c>
      <c r="C69" s="127"/>
      <c r="D69" s="127"/>
      <c r="E69" s="127"/>
    </row>
    <row r="70" spans="1:11" x14ac:dyDescent="0.2">
      <c r="A70" s="129"/>
      <c r="B70" s="36" t="s">
        <v>825</v>
      </c>
      <c r="C70" s="127"/>
      <c r="D70" s="127"/>
      <c r="E70" s="127"/>
    </row>
    <row r="71" spans="1:11" x14ac:dyDescent="0.2">
      <c r="A71" s="130"/>
      <c r="B71" s="131"/>
      <c r="C71" s="132"/>
      <c r="D71" s="132"/>
      <c r="E71" s="132"/>
    </row>
    <row r="72" spans="1:11" x14ac:dyDescent="0.2">
      <c r="A72" s="6"/>
      <c r="B72" s="345" t="s">
        <v>12</v>
      </c>
      <c r="C72" s="141">
        <f>SUM(C61:C71)</f>
        <v>1867.18</v>
      </c>
      <c r="D72" s="141">
        <f>SUM(D61:D71)</f>
        <v>9474.9</v>
      </c>
      <c r="E72" s="133">
        <f>SUM(E61:E71)</f>
        <v>11342.08</v>
      </c>
    </row>
    <row r="74" spans="1:11" x14ac:dyDescent="0.2">
      <c r="A74" t="str">
        <f>Summary!$G$9</f>
        <v>Contractor</v>
      </c>
    </row>
    <row r="75" spans="1:11" x14ac:dyDescent="0.2">
      <c r="D75" s="5"/>
    </row>
    <row r="77" spans="1:11" x14ac:dyDescent="0.2">
      <c r="C77" s="488"/>
      <c r="D77" s="488"/>
      <c r="E77" s="488"/>
    </row>
    <row r="78" spans="1:11" x14ac:dyDescent="0.2">
      <c r="C78" s="489" t="str">
        <f>Summary!$G$10</f>
        <v>Construction Manager</v>
      </c>
      <c r="D78" s="489"/>
      <c r="E78" s="489"/>
    </row>
    <row r="79" spans="1:11" ht="13.5" customHeight="1" x14ac:dyDescent="0.2">
      <c r="A79" s="79"/>
      <c r="C79" s="81"/>
      <c r="D79" s="82"/>
      <c r="E79" s="83"/>
      <c r="F79" s="93"/>
      <c r="G79" s="93"/>
      <c r="I79" s="95"/>
      <c r="J79" s="95"/>
      <c r="K79" s="95"/>
    </row>
    <row r="80" spans="1:11" x14ac:dyDescent="0.2">
      <c r="D80" s="82"/>
      <c r="E80" s="83"/>
      <c r="F80" s="93"/>
      <c r="I80" s="96"/>
      <c r="J80" s="96"/>
      <c r="K80" s="95"/>
    </row>
    <row r="81" spans="1:6" x14ac:dyDescent="0.2">
      <c r="F81" s="93"/>
    </row>
    <row r="82" spans="1:6" x14ac:dyDescent="0.2">
      <c r="A82" s="58"/>
      <c r="B82" s="58"/>
      <c r="D82" s="392" t="s">
        <v>182</v>
      </c>
      <c r="E82" s="393" t="s">
        <v>183</v>
      </c>
      <c r="F82" s="93"/>
    </row>
    <row r="83" spans="1:6" ht="14" customHeight="1" x14ac:dyDescent="0.2">
      <c r="A83" s="58"/>
      <c r="B83" s="58"/>
      <c r="D83" s="381">
        <v>50000</v>
      </c>
      <c r="E83" s="381">
        <f>E72</f>
        <v>11342.08</v>
      </c>
      <c r="F83" s="93"/>
    </row>
    <row r="84" spans="1:6" x14ac:dyDescent="0.2">
      <c r="F84" s="93"/>
    </row>
    <row r="85" spans="1:6" x14ac:dyDescent="0.2">
      <c r="A85" s="5" t="str">
        <f>Summary!$G$11</f>
        <v>PIPELINE PROJECT</v>
      </c>
    </row>
    <row r="97" spans="1:5" ht="16" x14ac:dyDescent="0.2">
      <c r="A97" s="192" t="s">
        <v>88</v>
      </c>
    </row>
    <row r="98" spans="1:5" x14ac:dyDescent="0.2">
      <c r="A98" s="5" t="s">
        <v>24</v>
      </c>
    </row>
    <row r="99" spans="1:5" x14ac:dyDescent="0.2">
      <c r="B99" s="191" t="s">
        <v>1099</v>
      </c>
    </row>
    <row r="100" spans="1:5" x14ac:dyDescent="0.2">
      <c r="D100" s="2" t="s">
        <v>11</v>
      </c>
      <c r="E100" s="3">
        <v>42460</v>
      </c>
    </row>
    <row r="101" spans="1:5" x14ac:dyDescent="0.2">
      <c r="A101" s="5" t="s">
        <v>1</v>
      </c>
      <c r="B101" s="4" t="s">
        <v>477</v>
      </c>
    </row>
    <row r="103" spans="1:5" x14ac:dyDescent="0.2">
      <c r="A103" s="9" t="s">
        <v>19</v>
      </c>
      <c r="B103" s="10" t="s">
        <v>2</v>
      </c>
      <c r="C103" s="11" t="s">
        <v>37</v>
      </c>
      <c r="D103" s="11" t="s">
        <v>27</v>
      </c>
      <c r="E103" s="12" t="s">
        <v>22</v>
      </c>
    </row>
    <row r="104" spans="1:5" ht="14.5" customHeight="1" x14ac:dyDescent="0.2">
      <c r="A104" s="124">
        <v>42382</v>
      </c>
      <c r="B104" s="125" t="s">
        <v>616</v>
      </c>
      <c r="C104" s="15"/>
      <c r="D104" s="15">
        <v>1985.36</v>
      </c>
      <c r="E104" s="139">
        <f>C104+D104</f>
        <v>1985.36</v>
      </c>
    </row>
    <row r="105" spans="1:5" x14ac:dyDescent="0.2">
      <c r="A105" s="126">
        <v>42359</v>
      </c>
      <c r="B105" s="21" t="s">
        <v>617</v>
      </c>
      <c r="C105" s="127"/>
      <c r="D105" s="127">
        <v>1978.2</v>
      </c>
      <c r="E105" s="127">
        <f t="shared" ref="E105:E108" si="3">C105+D105</f>
        <v>1978.2</v>
      </c>
    </row>
    <row r="106" spans="1:5" ht="14.5" customHeight="1" x14ac:dyDescent="0.2">
      <c r="A106" s="126">
        <v>42358</v>
      </c>
      <c r="B106" s="21" t="s">
        <v>619</v>
      </c>
      <c r="C106" s="128"/>
      <c r="D106" s="127">
        <v>2167.1999999999998</v>
      </c>
      <c r="E106" s="127">
        <f t="shared" si="3"/>
        <v>2167.1999999999998</v>
      </c>
    </row>
    <row r="107" spans="1:5" x14ac:dyDescent="0.2">
      <c r="A107" s="149">
        <v>42358</v>
      </c>
      <c r="B107" s="21" t="s">
        <v>618</v>
      </c>
      <c r="C107" s="127"/>
      <c r="D107" s="127">
        <v>2167.1999999999998</v>
      </c>
      <c r="E107" s="127">
        <f t="shared" si="3"/>
        <v>2167.1999999999998</v>
      </c>
    </row>
    <row r="108" spans="1:5" x14ac:dyDescent="0.2">
      <c r="A108" s="149">
        <v>42411</v>
      </c>
      <c r="B108" s="36" t="s">
        <v>620</v>
      </c>
      <c r="C108" s="127"/>
      <c r="D108" s="127">
        <v>231.94</v>
      </c>
      <c r="E108" s="127">
        <f t="shared" si="3"/>
        <v>231.94</v>
      </c>
    </row>
    <row r="109" spans="1:5" x14ac:dyDescent="0.2">
      <c r="A109" s="126">
        <v>42341</v>
      </c>
      <c r="B109" s="21" t="s">
        <v>733</v>
      </c>
      <c r="C109" s="127"/>
      <c r="D109" s="127">
        <v>945</v>
      </c>
      <c r="E109" s="127">
        <f>C109+D109</f>
        <v>945</v>
      </c>
    </row>
    <row r="110" spans="1:5" x14ac:dyDescent="0.2">
      <c r="A110" s="126"/>
      <c r="B110" s="21" t="s">
        <v>734</v>
      </c>
      <c r="C110" s="127"/>
      <c r="D110" s="127"/>
      <c r="E110" s="127"/>
    </row>
    <row r="111" spans="1:5" x14ac:dyDescent="0.2">
      <c r="A111" s="126">
        <v>42444</v>
      </c>
      <c r="B111" s="21" t="s">
        <v>562</v>
      </c>
      <c r="C111" s="127"/>
      <c r="D111" s="127">
        <v>1867.18</v>
      </c>
      <c r="E111" s="127">
        <f t="shared" ref="E111:E112" si="4">C111+D111</f>
        <v>1867.18</v>
      </c>
    </row>
    <row r="112" spans="1:5" x14ac:dyDescent="0.2">
      <c r="A112" s="149">
        <v>42460</v>
      </c>
      <c r="B112" s="36" t="s">
        <v>896</v>
      </c>
      <c r="C112" s="127">
        <v>3195.16</v>
      </c>
      <c r="D112" s="127"/>
      <c r="E112" s="127">
        <f t="shared" si="4"/>
        <v>3195.16</v>
      </c>
    </row>
    <row r="113" spans="1:11" x14ac:dyDescent="0.2">
      <c r="A113" s="149"/>
      <c r="B113" s="36" t="s">
        <v>897</v>
      </c>
      <c r="C113" s="127"/>
      <c r="D113" s="127"/>
      <c r="E113" s="127"/>
    </row>
    <row r="114" spans="1:11" x14ac:dyDescent="0.2">
      <c r="A114" s="149"/>
      <c r="B114" s="36" t="s">
        <v>895</v>
      </c>
      <c r="C114" s="127"/>
      <c r="D114" s="127"/>
      <c r="E114" s="127"/>
    </row>
    <row r="115" spans="1:11" x14ac:dyDescent="0.2">
      <c r="A115" s="149"/>
      <c r="B115" s="36"/>
      <c r="C115" s="127"/>
      <c r="D115" s="127"/>
      <c r="E115" s="127"/>
    </row>
    <row r="116" spans="1:11" x14ac:dyDescent="0.2">
      <c r="A116" s="153"/>
      <c r="B116" s="131"/>
      <c r="C116" s="132"/>
      <c r="D116" s="132"/>
      <c r="E116" s="132"/>
    </row>
    <row r="117" spans="1:11" x14ac:dyDescent="0.2">
      <c r="A117" s="6"/>
      <c r="B117" s="345" t="s">
        <v>12</v>
      </c>
      <c r="C117" s="141">
        <f>SUM(C104:C116)</f>
        <v>3195.16</v>
      </c>
      <c r="D117" s="141">
        <f>SUM(D104:D116)</f>
        <v>11342.08</v>
      </c>
      <c r="E117" s="133">
        <f>SUM(E104:E116)</f>
        <v>14537.24</v>
      </c>
    </row>
    <row r="119" spans="1:11" x14ac:dyDescent="0.2">
      <c r="A119" t="str">
        <f>Summary!$G$9</f>
        <v>Contractor</v>
      </c>
    </row>
    <row r="120" spans="1:11" x14ac:dyDescent="0.2">
      <c r="D120" s="5"/>
    </row>
    <row r="122" spans="1:11" x14ac:dyDescent="0.2">
      <c r="C122" s="488"/>
      <c r="D122" s="488"/>
      <c r="E122" s="488"/>
    </row>
    <row r="123" spans="1:11" x14ac:dyDescent="0.2">
      <c r="C123" s="489" t="str">
        <f>Summary!$G$10</f>
        <v>Construction Manager</v>
      </c>
      <c r="D123" s="489"/>
      <c r="E123" s="489"/>
    </row>
    <row r="124" spans="1:11" ht="13.5" customHeight="1" x14ac:dyDescent="0.2">
      <c r="A124" s="79"/>
      <c r="C124" s="81"/>
      <c r="D124" s="82"/>
      <c r="E124" s="83"/>
      <c r="F124" s="93"/>
      <c r="G124" s="93"/>
      <c r="I124" s="95"/>
      <c r="J124" s="95"/>
      <c r="K124" s="95"/>
    </row>
    <row r="125" spans="1:11" x14ac:dyDescent="0.2">
      <c r="D125" s="82"/>
      <c r="E125" s="83"/>
      <c r="F125" s="93"/>
      <c r="I125" s="96"/>
      <c r="J125" s="96"/>
      <c r="K125" s="95"/>
    </row>
    <row r="126" spans="1:11" x14ac:dyDescent="0.2">
      <c r="F126" s="93"/>
    </row>
    <row r="127" spans="1:11" x14ac:dyDescent="0.2">
      <c r="A127" s="58"/>
      <c r="B127" s="58"/>
      <c r="D127" s="392" t="s">
        <v>182</v>
      </c>
      <c r="E127" s="393" t="s">
        <v>183</v>
      </c>
      <c r="F127" s="93"/>
    </row>
    <row r="128" spans="1:11" ht="14" customHeight="1" x14ac:dyDescent="0.2">
      <c r="A128" s="58"/>
      <c r="B128" s="58"/>
      <c r="D128" s="381">
        <v>50000</v>
      </c>
      <c r="E128" s="381">
        <f>E117</f>
        <v>14537.24</v>
      </c>
      <c r="F128" s="93"/>
    </row>
    <row r="129" spans="1:6" x14ac:dyDescent="0.2">
      <c r="F129" s="93"/>
    </row>
    <row r="130" spans="1:6" x14ac:dyDescent="0.2">
      <c r="A130" s="5" t="str">
        <f>Summary!$G$11</f>
        <v>PIPELINE PROJECT</v>
      </c>
    </row>
    <row r="142" spans="1:6" ht="16" x14ac:dyDescent="0.2">
      <c r="A142" s="192" t="s">
        <v>88</v>
      </c>
    </row>
    <row r="143" spans="1:6" x14ac:dyDescent="0.2">
      <c r="A143" s="5" t="s">
        <v>24</v>
      </c>
      <c r="B143" s="191" t="s">
        <v>1099</v>
      </c>
    </row>
    <row r="145" spans="1:5" x14ac:dyDescent="0.2">
      <c r="D145" s="2" t="s">
        <v>11</v>
      </c>
      <c r="E145" s="3">
        <v>42475</v>
      </c>
    </row>
    <row r="146" spans="1:5" x14ac:dyDescent="0.2">
      <c r="A146" s="5" t="s">
        <v>1</v>
      </c>
      <c r="B146" s="4" t="s">
        <v>477</v>
      </c>
    </row>
    <row r="148" spans="1:5" x14ac:dyDescent="0.2">
      <c r="A148" s="9" t="s">
        <v>19</v>
      </c>
      <c r="B148" s="10" t="s">
        <v>2</v>
      </c>
      <c r="C148" s="11" t="s">
        <v>37</v>
      </c>
      <c r="D148" s="11" t="s">
        <v>27</v>
      </c>
      <c r="E148" s="12" t="s">
        <v>22</v>
      </c>
    </row>
    <row r="149" spans="1:5" ht="14.5" customHeight="1" x14ac:dyDescent="0.2">
      <c r="A149" s="124">
        <v>42382</v>
      </c>
      <c r="B149" s="125" t="s">
        <v>616</v>
      </c>
      <c r="C149" s="15"/>
      <c r="D149" s="15">
        <v>1985.36</v>
      </c>
      <c r="E149" s="139">
        <f>C149+D149</f>
        <v>1985.36</v>
      </c>
    </row>
    <row r="150" spans="1:5" x14ac:dyDescent="0.2">
      <c r="A150" s="126">
        <v>42359</v>
      </c>
      <c r="B150" s="21" t="s">
        <v>617</v>
      </c>
      <c r="C150" s="127"/>
      <c r="D150" s="127">
        <v>1978.2</v>
      </c>
      <c r="E150" s="127">
        <f t="shared" ref="E150:E153" si="5">C150+D150</f>
        <v>1978.2</v>
      </c>
    </row>
    <row r="151" spans="1:5" ht="14.5" customHeight="1" x14ac:dyDescent="0.2">
      <c r="A151" s="126">
        <v>42358</v>
      </c>
      <c r="B151" s="21" t="s">
        <v>619</v>
      </c>
      <c r="C151" s="128"/>
      <c r="D151" s="127">
        <v>2167.1999999999998</v>
      </c>
      <c r="E151" s="127">
        <f t="shared" si="5"/>
        <v>2167.1999999999998</v>
      </c>
    </row>
    <row r="152" spans="1:5" x14ac:dyDescent="0.2">
      <c r="A152" s="149">
        <v>42358</v>
      </c>
      <c r="B152" s="21" t="s">
        <v>618</v>
      </c>
      <c r="C152" s="127"/>
      <c r="D152" s="127">
        <v>2167.1999999999998</v>
      </c>
      <c r="E152" s="127">
        <f t="shared" si="5"/>
        <v>2167.1999999999998</v>
      </c>
    </row>
    <row r="153" spans="1:5" x14ac:dyDescent="0.2">
      <c r="A153" s="149">
        <v>42411</v>
      </c>
      <c r="B153" s="36" t="s">
        <v>620</v>
      </c>
      <c r="C153" s="127"/>
      <c r="D153" s="127">
        <v>231.94</v>
      </c>
      <c r="E153" s="127">
        <f t="shared" si="5"/>
        <v>231.94</v>
      </c>
    </row>
    <row r="154" spans="1:5" x14ac:dyDescent="0.2">
      <c r="A154" s="126">
        <v>42341</v>
      </c>
      <c r="B154" s="21" t="s">
        <v>733</v>
      </c>
      <c r="C154" s="127"/>
      <c r="D154" s="127">
        <v>945</v>
      </c>
      <c r="E154" s="127">
        <f>C154+D154</f>
        <v>945</v>
      </c>
    </row>
    <row r="155" spans="1:5" x14ac:dyDescent="0.2">
      <c r="A155" s="126"/>
      <c r="B155" s="21" t="s">
        <v>734</v>
      </c>
      <c r="C155" s="127"/>
      <c r="D155" s="127"/>
      <c r="E155" s="127"/>
    </row>
    <row r="156" spans="1:5" x14ac:dyDescent="0.2">
      <c r="A156" s="126">
        <v>42444</v>
      </c>
      <c r="B156" s="21" t="s">
        <v>562</v>
      </c>
      <c r="C156" s="127"/>
      <c r="D156" s="127">
        <v>1867.18</v>
      </c>
      <c r="E156" s="127">
        <f t="shared" ref="E156:E157" si="6">C156+D156</f>
        <v>1867.18</v>
      </c>
    </row>
    <row r="157" spans="1:5" x14ac:dyDescent="0.2">
      <c r="A157" s="149">
        <v>42460</v>
      </c>
      <c r="B157" s="36" t="s">
        <v>896</v>
      </c>
      <c r="C157" s="127"/>
      <c r="D157" s="127">
        <v>3195.16</v>
      </c>
      <c r="E157" s="127">
        <f t="shared" si="6"/>
        <v>3195.16</v>
      </c>
    </row>
    <row r="158" spans="1:5" x14ac:dyDescent="0.2">
      <c r="A158" s="149"/>
      <c r="B158" s="36" t="s">
        <v>897</v>
      </c>
      <c r="C158" s="127"/>
      <c r="D158" s="127"/>
      <c r="E158" s="127"/>
    </row>
    <row r="159" spans="1:5" x14ac:dyDescent="0.2">
      <c r="A159" s="149"/>
      <c r="B159" s="36" t="s">
        <v>895</v>
      </c>
      <c r="C159" s="127"/>
      <c r="D159" s="127"/>
      <c r="E159" s="127"/>
    </row>
    <row r="160" spans="1:5" x14ac:dyDescent="0.2">
      <c r="A160" s="149">
        <v>42475</v>
      </c>
      <c r="B160" s="36" t="s">
        <v>976</v>
      </c>
      <c r="C160" s="127">
        <v>1829.63</v>
      </c>
      <c r="D160" s="127"/>
      <c r="E160" s="127">
        <f>C160+D160</f>
        <v>1829.63</v>
      </c>
    </row>
    <row r="161" spans="1:11" x14ac:dyDescent="0.2">
      <c r="A161" s="149"/>
      <c r="B161" s="36" t="s">
        <v>977</v>
      </c>
      <c r="C161" s="127">
        <v>850.5</v>
      </c>
      <c r="D161" s="127"/>
      <c r="E161" s="127">
        <f t="shared" ref="E161:E162" si="7">C161+D161</f>
        <v>850.5</v>
      </c>
    </row>
    <row r="162" spans="1:11" x14ac:dyDescent="0.2">
      <c r="A162" s="149"/>
      <c r="B162" s="36" t="s">
        <v>978</v>
      </c>
      <c r="C162" s="127">
        <v>1639.92</v>
      </c>
      <c r="D162" s="127"/>
      <c r="E162" s="127">
        <f t="shared" si="7"/>
        <v>1639.92</v>
      </c>
    </row>
    <row r="163" spans="1:11" x14ac:dyDescent="0.2">
      <c r="A163" s="149"/>
      <c r="B163" s="36"/>
      <c r="C163" s="127"/>
      <c r="D163" s="127"/>
      <c r="E163" s="127"/>
    </row>
    <row r="164" spans="1:11" x14ac:dyDescent="0.2">
      <c r="A164" s="153"/>
      <c r="B164" s="131"/>
      <c r="C164" s="132"/>
      <c r="D164" s="132"/>
      <c r="E164" s="132"/>
    </row>
    <row r="165" spans="1:11" x14ac:dyDescent="0.2">
      <c r="A165" s="6"/>
      <c r="B165" s="345" t="s">
        <v>12</v>
      </c>
      <c r="C165" s="141">
        <f>SUM(C149:C164)</f>
        <v>4320.05</v>
      </c>
      <c r="D165" s="141">
        <f>SUM(D149:D164)</f>
        <v>14537.24</v>
      </c>
      <c r="E165" s="133">
        <f>SUM(E149:E164)</f>
        <v>18857.29</v>
      </c>
    </row>
    <row r="167" spans="1:11" x14ac:dyDescent="0.2">
      <c r="A167" t="str">
        <f>Summary!$G$9</f>
        <v>Contractor</v>
      </c>
    </row>
    <row r="168" spans="1:11" x14ac:dyDescent="0.2">
      <c r="D168" s="5"/>
    </row>
    <row r="170" spans="1:11" x14ac:dyDescent="0.2">
      <c r="C170" s="488"/>
      <c r="D170" s="488"/>
      <c r="E170" s="488"/>
    </row>
    <row r="171" spans="1:11" x14ac:dyDescent="0.2">
      <c r="C171" s="489" t="str">
        <f>Summary!$G$10</f>
        <v>Construction Manager</v>
      </c>
      <c r="D171" s="489"/>
      <c r="E171" s="489"/>
    </row>
    <row r="172" spans="1:11" ht="13.5" customHeight="1" x14ac:dyDescent="0.2">
      <c r="A172" s="79"/>
      <c r="C172" s="81"/>
      <c r="D172" s="82"/>
      <c r="E172" s="83"/>
      <c r="F172" s="93"/>
      <c r="G172" s="93"/>
      <c r="I172" s="95"/>
      <c r="J172" s="95"/>
      <c r="K172" s="95"/>
    </row>
    <row r="173" spans="1:11" x14ac:dyDescent="0.2">
      <c r="D173" s="82"/>
      <c r="E173" s="83"/>
      <c r="F173" s="93"/>
      <c r="I173" s="96"/>
      <c r="J173" s="96"/>
      <c r="K173" s="95"/>
    </row>
    <row r="174" spans="1:11" x14ac:dyDescent="0.2">
      <c r="F174" s="93"/>
    </row>
    <row r="175" spans="1:11" x14ac:dyDescent="0.2">
      <c r="A175" s="58"/>
      <c r="B175" s="58"/>
      <c r="D175" s="392" t="s">
        <v>182</v>
      </c>
      <c r="E175" s="393" t="s">
        <v>183</v>
      </c>
      <c r="F175" s="93"/>
    </row>
    <row r="176" spans="1:11" ht="14" customHeight="1" x14ac:dyDescent="0.2">
      <c r="A176" s="58"/>
      <c r="B176" s="58"/>
      <c r="D176" s="381">
        <v>50000</v>
      </c>
      <c r="E176" s="381">
        <f>E165</f>
        <v>18857.29</v>
      </c>
      <c r="F176" s="93"/>
    </row>
    <row r="177" spans="1:6" x14ac:dyDescent="0.2">
      <c r="F177" s="93"/>
    </row>
    <row r="178" spans="1:6" x14ac:dyDescent="0.2">
      <c r="A178" s="5" t="str">
        <f>Summary!$G$11</f>
        <v>PIPELINE PROJECT</v>
      </c>
    </row>
    <row r="190" spans="1:6" ht="16" x14ac:dyDescent="0.2">
      <c r="A190" s="192" t="s">
        <v>88</v>
      </c>
    </row>
    <row r="191" spans="1:6" x14ac:dyDescent="0.2">
      <c r="A191" s="5" t="s">
        <v>24</v>
      </c>
      <c r="B191" s="191" t="s">
        <v>1099</v>
      </c>
    </row>
    <row r="193" spans="1:5" x14ac:dyDescent="0.2">
      <c r="D193" s="2" t="s">
        <v>11</v>
      </c>
      <c r="E193" s="3">
        <v>42490</v>
      </c>
    </row>
    <row r="194" spans="1:5" x14ac:dyDescent="0.2">
      <c r="A194" s="5" t="s">
        <v>1</v>
      </c>
      <c r="B194" s="4" t="s">
        <v>477</v>
      </c>
    </row>
    <row r="196" spans="1:5" x14ac:dyDescent="0.2">
      <c r="A196" s="9" t="s">
        <v>19</v>
      </c>
      <c r="B196" s="10" t="s">
        <v>2</v>
      </c>
      <c r="C196" s="11" t="s">
        <v>37</v>
      </c>
      <c r="D196" s="11" t="s">
        <v>27</v>
      </c>
      <c r="E196" s="12" t="s">
        <v>22</v>
      </c>
    </row>
    <row r="197" spans="1:5" ht="14.5" customHeight="1" x14ac:dyDescent="0.2">
      <c r="A197" s="124">
        <v>42382</v>
      </c>
      <c r="B197" s="125" t="s">
        <v>616</v>
      </c>
      <c r="C197" s="15"/>
      <c r="D197" s="15">
        <v>1985.36</v>
      </c>
      <c r="E197" s="139">
        <f>C197+D197</f>
        <v>1985.36</v>
      </c>
    </row>
    <row r="198" spans="1:5" x14ac:dyDescent="0.2">
      <c r="A198" s="126">
        <v>42359</v>
      </c>
      <c r="B198" s="21" t="s">
        <v>617</v>
      </c>
      <c r="C198" s="127"/>
      <c r="D198" s="127">
        <v>1978.2</v>
      </c>
      <c r="E198" s="127">
        <f t="shared" ref="E198:E201" si="8">C198+D198</f>
        <v>1978.2</v>
      </c>
    </row>
    <row r="199" spans="1:5" ht="14.5" customHeight="1" x14ac:dyDescent="0.2">
      <c r="A199" s="126">
        <v>42358</v>
      </c>
      <c r="B199" s="21" t="s">
        <v>619</v>
      </c>
      <c r="C199" s="128"/>
      <c r="D199" s="127">
        <v>2167.1999999999998</v>
      </c>
      <c r="E199" s="127">
        <f t="shared" si="8"/>
        <v>2167.1999999999998</v>
      </c>
    </row>
    <row r="200" spans="1:5" x14ac:dyDescent="0.2">
      <c r="A200" s="149">
        <v>42358</v>
      </c>
      <c r="B200" s="21" t="s">
        <v>618</v>
      </c>
      <c r="C200" s="127"/>
      <c r="D200" s="127">
        <v>2167.1999999999998</v>
      </c>
      <c r="E200" s="127">
        <f t="shared" si="8"/>
        <v>2167.1999999999998</v>
      </c>
    </row>
    <row r="201" spans="1:5" x14ac:dyDescent="0.2">
      <c r="A201" s="149">
        <v>42411</v>
      </c>
      <c r="B201" s="36" t="s">
        <v>620</v>
      </c>
      <c r="C201" s="127"/>
      <c r="D201" s="127">
        <v>231.94</v>
      </c>
      <c r="E201" s="127">
        <f t="shared" si="8"/>
        <v>231.94</v>
      </c>
    </row>
    <row r="202" spans="1:5" x14ac:dyDescent="0.2">
      <c r="A202" s="126">
        <v>42341</v>
      </c>
      <c r="B202" s="21" t="s">
        <v>733</v>
      </c>
      <c r="C202" s="127"/>
      <c r="D202" s="127">
        <v>945</v>
      </c>
      <c r="E202" s="127">
        <f>C202+D202</f>
        <v>945</v>
      </c>
    </row>
    <row r="203" spans="1:5" x14ac:dyDescent="0.2">
      <c r="A203" s="126"/>
      <c r="B203" s="21" t="s">
        <v>734</v>
      </c>
      <c r="C203" s="127"/>
      <c r="D203" s="127"/>
      <c r="E203" s="127"/>
    </row>
    <row r="204" spans="1:5" x14ac:dyDescent="0.2">
      <c r="A204" s="126">
        <v>42444</v>
      </c>
      <c r="B204" s="21" t="s">
        <v>562</v>
      </c>
      <c r="C204" s="127"/>
      <c r="D204" s="127">
        <v>1867.18</v>
      </c>
      <c r="E204" s="127">
        <f t="shared" ref="E204:E205" si="9">C204+D204</f>
        <v>1867.18</v>
      </c>
    </row>
    <row r="205" spans="1:5" x14ac:dyDescent="0.2">
      <c r="A205" s="149">
        <v>42460</v>
      </c>
      <c r="B205" s="36" t="s">
        <v>896</v>
      </c>
      <c r="C205" s="127"/>
      <c r="D205" s="127">
        <v>3195.16</v>
      </c>
      <c r="E205" s="127">
        <f t="shared" si="9"/>
        <v>3195.16</v>
      </c>
    </row>
    <row r="206" spans="1:5" x14ac:dyDescent="0.2">
      <c r="A206" s="149"/>
      <c r="B206" s="36" t="s">
        <v>897</v>
      </c>
      <c r="C206" s="127"/>
      <c r="D206" s="127"/>
      <c r="E206" s="127"/>
    </row>
    <row r="207" spans="1:5" x14ac:dyDescent="0.2">
      <c r="A207" s="149"/>
      <c r="B207" s="36" t="s">
        <v>895</v>
      </c>
      <c r="C207" s="127"/>
      <c r="D207" s="127"/>
      <c r="E207" s="127"/>
    </row>
    <row r="208" spans="1:5" x14ac:dyDescent="0.2">
      <c r="A208" s="149">
        <v>42475</v>
      </c>
      <c r="B208" s="36" t="s">
        <v>976</v>
      </c>
      <c r="C208" s="127"/>
      <c r="D208" s="127">
        <v>1829.63</v>
      </c>
      <c r="E208" s="127">
        <f>C208+D208</f>
        <v>1829.63</v>
      </c>
    </row>
    <row r="209" spans="1:11" x14ac:dyDescent="0.2">
      <c r="A209" s="149"/>
      <c r="B209" s="36" t="s">
        <v>977</v>
      </c>
      <c r="C209" s="127"/>
      <c r="D209" s="127">
        <v>850.5</v>
      </c>
      <c r="E209" s="127">
        <f t="shared" ref="E209:E215" si="10">C209+D209</f>
        <v>850.5</v>
      </c>
    </row>
    <row r="210" spans="1:11" x14ac:dyDescent="0.2">
      <c r="A210" s="149"/>
      <c r="B210" s="36" t="s">
        <v>978</v>
      </c>
      <c r="C210" s="127"/>
      <c r="D210" s="127">
        <v>1639.92</v>
      </c>
      <c r="E210" s="127">
        <f t="shared" si="10"/>
        <v>1639.92</v>
      </c>
    </row>
    <row r="211" spans="1:11" x14ac:dyDescent="0.2">
      <c r="A211" s="149">
        <v>42490</v>
      </c>
      <c r="B211" s="36" t="s">
        <v>1000</v>
      </c>
      <c r="C211" s="127">
        <v>924</v>
      </c>
      <c r="D211" s="127"/>
      <c r="E211" s="127">
        <f t="shared" si="10"/>
        <v>924</v>
      </c>
    </row>
    <row r="212" spans="1:11" x14ac:dyDescent="0.2">
      <c r="A212" s="149"/>
      <c r="B212" s="36" t="s">
        <v>1001</v>
      </c>
      <c r="C212" s="127">
        <v>924</v>
      </c>
      <c r="D212" s="127"/>
      <c r="E212" s="127">
        <f t="shared" si="10"/>
        <v>924</v>
      </c>
    </row>
    <row r="213" spans="1:11" x14ac:dyDescent="0.2">
      <c r="A213" s="149"/>
      <c r="B213" s="36" t="s">
        <v>1002</v>
      </c>
      <c r="C213" s="127">
        <v>4784.76</v>
      </c>
      <c r="D213" s="127"/>
      <c r="E213" s="127">
        <f t="shared" si="10"/>
        <v>4784.76</v>
      </c>
    </row>
    <row r="214" spans="1:11" x14ac:dyDescent="0.2">
      <c r="A214" s="149"/>
      <c r="B214" s="36" t="s">
        <v>1003</v>
      </c>
      <c r="C214" s="127">
        <v>2817.88</v>
      </c>
      <c r="D214" s="127"/>
      <c r="E214" s="127">
        <f t="shared" si="10"/>
        <v>2817.88</v>
      </c>
    </row>
    <row r="215" spans="1:11" x14ac:dyDescent="0.2">
      <c r="A215" s="149"/>
      <c r="B215" s="36" t="s">
        <v>1004</v>
      </c>
      <c r="C215" s="127">
        <v>1500.96</v>
      </c>
      <c r="D215" s="127"/>
      <c r="E215" s="127">
        <f t="shared" si="10"/>
        <v>1500.96</v>
      </c>
    </row>
    <row r="216" spans="1:11" x14ac:dyDescent="0.2">
      <c r="A216" s="153"/>
      <c r="B216" s="131"/>
      <c r="C216" s="132"/>
      <c r="D216" s="132"/>
      <c r="E216" s="132"/>
    </row>
    <row r="217" spans="1:11" x14ac:dyDescent="0.2">
      <c r="A217" s="6"/>
      <c r="B217" s="345" t="s">
        <v>12</v>
      </c>
      <c r="C217" s="141">
        <f>SUM(C197:C216)</f>
        <v>10951.599999999999</v>
      </c>
      <c r="D217" s="141">
        <f>SUM(D197:D216)</f>
        <v>18857.29</v>
      </c>
      <c r="E217" s="133">
        <f>SUM(E197:E216)</f>
        <v>29808.890000000003</v>
      </c>
    </row>
    <row r="219" spans="1:11" x14ac:dyDescent="0.2">
      <c r="A219" t="str">
        <f>Summary!$G$9</f>
        <v>Contractor</v>
      </c>
    </row>
    <row r="220" spans="1:11" x14ac:dyDescent="0.2">
      <c r="D220" s="5"/>
    </row>
    <row r="222" spans="1:11" x14ac:dyDescent="0.2">
      <c r="C222" s="488"/>
      <c r="D222" s="488"/>
      <c r="E222" s="488"/>
    </row>
    <row r="223" spans="1:11" x14ac:dyDescent="0.2">
      <c r="C223" s="489" t="str">
        <f>Summary!$G$10</f>
        <v>Construction Manager</v>
      </c>
      <c r="D223" s="489"/>
      <c r="E223" s="489"/>
    </row>
    <row r="224" spans="1:11" ht="13.5" customHeight="1" x14ac:dyDescent="0.2">
      <c r="A224" s="79"/>
      <c r="C224" s="81"/>
      <c r="D224" s="82"/>
      <c r="E224" s="83"/>
      <c r="F224" s="93"/>
      <c r="G224" s="93"/>
      <c r="I224" s="95"/>
      <c r="J224" s="95"/>
      <c r="K224" s="95"/>
    </row>
    <row r="225" spans="1:11" x14ac:dyDescent="0.2">
      <c r="D225" s="82"/>
      <c r="E225" s="83"/>
      <c r="F225" s="93"/>
      <c r="I225" s="96"/>
      <c r="J225" s="96"/>
      <c r="K225" s="95"/>
    </row>
    <row r="226" spans="1:11" x14ac:dyDescent="0.2">
      <c r="F226" s="93"/>
    </row>
    <row r="227" spans="1:11" x14ac:dyDescent="0.2">
      <c r="A227" s="58"/>
      <c r="B227" s="58"/>
      <c r="D227" s="392" t="s">
        <v>182</v>
      </c>
      <c r="E227" s="393" t="s">
        <v>183</v>
      </c>
      <c r="F227" s="93"/>
    </row>
    <row r="228" spans="1:11" ht="14" customHeight="1" x14ac:dyDescent="0.2">
      <c r="A228" s="58"/>
      <c r="B228" s="58"/>
      <c r="D228" s="381">
        <v>50000</v>
      </c>
      <c r="E228" s="381">
        <f>E217</f>
        <v>29808.890000000003</v>
      </c>
      <c r="F228" s="93"/>
    </row>
    <row r="229" spans="1:11" x14ac:dyDescent="0.2">
      <c r="F229" s="93"/>
    </row>
    <row r="230" spans="1:11" x14ac:dyDescent="0.2">
      <c r="A230" s="5" t="str">
        <f>Summary!$G$11</f>
        <v>PIPELINE PROJECT</v>
      </c>
    </row>
    <row r="242" spans="1:5" ht="16" x14ac:dyDescent="0.2">
      <c r="A242" s="192" t="s">
        <v>88</v>
      </c>
    </row>
    <row r="243" spans="1:5" x14ac:dyDescent="0.2">
      <c r="A243" s="5" t="s">
        <v>24</v>
      </c>
      <c r="B243" s="191" t="s">
        <v>1099</v>
      </c>
    </row>
    <row r="245" spans="1:5" x14ac:dyDescent="0.2">
      <c r="D245" s="2" t="s">
        <v>11</v>
      </c>
      <c r="E245" s="3">
        <f>Summary!$G$3</f>
        <v>42505</v>
      </c>
    </row>
    <row r="246" spans="1:5" x14ac:dyDescent="0.2">
      <c r="A246" s="5" t="s">
        <v>1</v>
      </c>
      <c r="B246" s="4" t="s">
        <v>477</v>
      </c>
    </row>
    <row r="248" spans="1:5" x14ac:dyDescent="0.2">
      <c r="A248" s="9" t="s">
        <v>19</v>
      </c>
      <c r="B248" s="10" t="s">
        <v>2</v>
      </c>
      <c r="C248" s="11" t="s">
        <v>37</v>
      </c>
      <c r="D248" s="11" t="s">
        <v>27</v>
      </c>
      <c r="E248" s="12" t="s">
        <v>22</v>
      </c>
    </row>
    <row r="249" spans="1:5" ht="14.5" customHeight="1" x14ac:dyDescent="0.2">
      <c r="A249" s="124">
        <v>42382</v>
      </c>
      <c r="B249" s="125" t="s">
        <v>616</v>
      </c>
      <c r="C249" s="15"/>
      <c r="D249" s="15">
        <v>1985.36</v>
      </c>
      <c r="E249" s="139">
        <f>C249+D249</f>
        <v>1985.36</v>
      </c>
    </row>
    <row r="250" spans="1:5" x14ac:dyDescent="0.2">
      <c r="A250" s="126">
        <v>42359</v>
      </c>
      <c r="B250" s="21" t="s">
        <v>617</v>
      </c>
      <c r="C250" s="127"/>
      <c r="D250" s="127">
        <v>1978.2</v>
      </c>
      <c r="E250" s="127">
        <f t="shared" ref="E250:E253" si="11">C250+D250</f>
        <v>1978.2</v>
      </c>
    </row>
    <row r="251" spans="1:5" ht="14.5" customHeight="1" x14ac:dyDescent="0.2">
      <c r="A251" s="126">
        <v>42358</v>
      </c>
      <c r="B251" s="21" t="s">
        <v>619</v>
      </c>
      <c r="C251" s="128"/>
      <c r="D251" s="127">
        <v>2167.1999999999998</v>
      </c>
      <c r="E251" s="127">
        <f t="shared" si="11"/>
        <v>2167.1999999999998</v>
      </c>
    </row>
    <row r="252" spans="1:5" x14ac:dyDescent="0.2">
      <c r="A252" s="149">
        <v>42358</v>
      </c>
      <c r="B252" s="21" t="s">
        <v>618</v>
      </c>
      <c r="C252" s="127"/>
      <c r="D252" s="127">
        <v>2167.1999999999998</v>
      </c>
      <c r="E252" s="127">
        <f t="shared" si="11"/>
        <v>2167.1999999999998</v>
      </c>
    </row>
    <row r="253" spans="1:5" x14ac:dyDescent="0.2">
      <c r="A253" s="149">
        <v>42411</v>
      </c>
      <c r="B253" s="36" t="s">
        <v>620</v>
      </c>
      <c r="C253" s="127"/>
      <c r="D253" s="127">
        <v>231.94</v>
      </c>
      <c r="E253" s="127">
        <f t="shared" si="11"/>
        <v>231.94</v>
      </c>
    </row>
    <row r="254" spans="1:5" x14ac:dyDescent="0.2">
      <c r="A254" s="126">
        <v>42341</v>
      </c>
      <c r="B254" s="21" t="s">
        <v>733</v>
      </c>
      <c r="C254" s="127"/>
      <c r="D254" s="127">
        <v>945</v>
      </c>
      <c r="E254" s="127">
        <f>C254+D254</f>
        <v>945</v>
      </c>
    </row>
    <row r="255" spans="1:5" x14ac:dyDescent="0.2">
      <c r="A255" s="126"/>
      <c r="B255" s="21" t="s">
        <v>734</v>
      </c>
      <c r="C255" s="127"/>
      <c r="D255" s="127"/>
      <c r="E255" s="127"/>
    </row>
    <row r="256" spans="1:5" x14ac:dyDescent="0.2">
      <c r="A256" s="126">
        <v>42444</v>
      </c>
      <c r="B256" s="21" t="s">
        <v>562</v>
      </c>
      <c r="C256" s="127"/>
      <c r="D256" s="127">
        <v>1867.18</v>
      </c>
      <c r="E256" s="127">
        <f t="shared" ref="E256:E257" si="12">C256+D256</f>
        <v>1867.18</v>
      </c>
    </row>
    <row r="257" spans="1:5" x14ac:dyDescent="0.2">
      <c r="A257" s="149">
        <v>42460</v>
      </c>
      <c r="B257" s="36" t="s">
        <v>896</v>
      </c>
      <c r="C257" s="127"/>
      <c r="D257" s="127">
        <v>3195.16</v>
      </c>
      <c r="E257" s="127">
        <f t="shared" si="12"/>
        <v>3195.16</v>
      </c>
    </row>
    <row r="258" spans="1:5" x14ac:dyDescent="0.2">
      <c r="A258" s="149"/>
      <c r="B258" s="36" t="s">
        <v>897</v>
      </c>
      <c r="C258" s="127"/>
      <c r="D258" s="127"/>
      <c r="E258" s="127"/>
    </row>
    <row r="259" spans="1:5" x14ac:dyDescent="0.2">
      <c r="A259" s="149"/>
      <c r="B259" s="36" t="s">
        <v>895</v>
      </c>
      <c r="C259" s="127"/>
      <c r="D259" s="127"/>
      <c r="E259" s="127"/>
    </row>
    <row r="260" spans="1:5" x14ac:dyDescent="0.2">
      <c r="A260" s="149">
        <v>42475</v>
      </c>
      <c r="B260" s="36" t="s">
        <v>976</v>
      </c>
      <c r="C260" s="127"/>
      <c r="D260" s="127">
        <v>1829.63</v>
      </c>
      <c r="E260" s="127">
        <f>C260+D260</f>
        <v>1829.63</v>
      </c>
    </row>
    <row r="261" spans="1:5" x14ac:dyDescent="0.2">
      <c r="A261" s="149"/>
      <c r="B261" s="36" t="s">
        <v>977</v>
      </c>
      <c r="C261" s="127"/>
      <c r="D261" s="127">
        <v>850.5</v>
      </c>
      <c r="E261" s="127">
        <f t="shared" ref="E261:E270" si="13">C261+D261</f>
        <v>850.5</v>
      </c>
    </row>
    <row r="262" spans="1:5" x14ac:dyDescent="0.2">
      <c r="A262" s="149"/>
      <c r="B262" s="36" t="s">
        <v>978</v>
      </c>
      <c r="C262" s="127"/>
      <c r="D262" s="127">
        <v>1639.92</v>
      </c>
      <c r="E262" s="127">
        <f t="shared" si="13"/>
        <v>1639.92</v>
      </c>
    </row>
    <row r="263" spans="1:5" x14ac:dyDescent="0.2">
      <c r="A263" s="149">
        <v>42490</v>
      </c>
      <c r="B263" s="36" t="s">
        <v>1000</v>
      </c>
      <c r="C263" s="127"/>
      <c r="D263" s="127">
        <v>924</v>
      </c>
      <c r="E263" s="127">
        <f t="shared" si="13"/>
        <v>924</v>
      </c>
    </row>
    <row r="264" spans="1:5" x14ac:dyDescent="0.2">
      <c r="A264" s="149"/>
      <c r="B264" s="36" t="s">
        <v>1001</v>
      </c>
      <c r="C264" s="127"/>
      <c r="D264" s="127">
        <v>924</v>
      </c>
      <c r="E264" s="127">
        <f t="shared" si="13"/>
        <v>924</v>
      </c>
    </row>
    <row r="265" spans="1:5" x14ac:dyDescent="0.2">
      <c r="A265" s="149"/>
      <c r="B265" s="36" t="s">
        <v>1002</v>
      </c>
      <c r="C265" s="127"/>
      <c r="D265" s="127">
        <v>4784.76</v>
      </c>
      <c r="E265" s="127">
        <f t="shared" si="13"/>
        <v>4784.76</v>
      </c>
    </row>
    <row r="266" spans="1:5" x14ac:dyDescent="0.2">
      <c r="A266" s="149"/>
      <c r="B266" s="36" t="s">
        <v>1003</v>
      </c>
      <c r="C266" s="127"/>
      <c r="D266" s="127">
        <v>2817.88</v>
      </c>
      <c r="E266" s="127">
        <f t="shared" si="13"/>
        <v>2817.88</v>
      </c>
    </row>
    <row r="267" spans="1:5" x14ac:dyDescent="0.2">
      <c r="A267" s="149"/>
      <c r="B267" s="36" t="s">
        <v>1004</v>
      </c>
      <c r="C267" s="127"/>
      <c r="D267" s="127">
        <v>1500.96</v>
      </c>
      <c r="E267" s="127">
        <f t="shared" si="13"/>
        <v>1500.96</v>
      </c>
    </row>
    <row r="268" spans="1:5" x14ac:dyDescent="0.2">
      <c r="A268" s="150">
        <v>42505</v>
      </c>
      <c r="B268" s="146" t="s">
        <v>1068</v>
      </c>
      <c r="C268" s="147">
        <v>939.4</v>
      </c>
      <c r="D268" s="147"/>
      <c r="E268" s="127">
        <f t="shared" si="13"/>
        <v>939.4</v>
      </c>
    </row>
    <row r="269" spans="1:5" x14ac:dyDescent="0.2">
      <c r="A269" s="150"/>
      <c r="B269" s="146" t="s">
        <v>1069</v>
      </c>
      <c r="C269" s="147">
        <v>829.66</v>
      </c>
      <c r="D269" s="147"/>
      <c r="E269" s="127">
        <f t="shared" si="13"/>
        <v>829.66</v>
      </c>
    </row>
    <row r="270" spans="1:5" x14ac:dyDescent="0.2">
      <c r="A270" s="150"/>
      <c r="B270" s="146" t="s">
        <v>1070</v>
      </c>
      <c r="C270" s="147">
        <v>469.7</v>
      </c>
      <c r="D270" s="147"/>
      <c r="E270" s="127">
        <f t="shared" si="13"/>
        <v>469.7</v>
      </c>
    </row>
    <row r="271" spans="1:5" x14ac:dyDescent="0.2">
      <c r="A271" s="153"/>
      <c r="B271" s="131"/>
      <c r="C271" s="132"/>
      <c r="D271" s="132"/>
      <c r="E271" s="132"/>
    </row>
    <row r="272" spans="1:5" x14ac:dyDescent="0.2">
      <c r="A272" s="6"/>
      <c r="B272" s="345" t="s">
        <v>12</v>
      </c>
      <c r="C272" s="141">
        <f>SUM(C249:C271)</f>
        <v>2238.7599999999998</v>
      </c>
      <c r="D272" s="141">
        <f>SUM(D249:D271)</f>
        <v>29808.890000000003</v>
      </c>
      <c r="E272" s="133">
        <f>SUM(E249:E271)</f>
        <v>32047.650000000005</v>
      </c>
    </row>
    <row r="274" spans="1:11" x14ac:dyDescent="0.2">
      <c r="A274" t="str">
        <f>Summary!$G$9</f>
        <v>Contractor</v>
      </c>
    </row>
    <row r="275" spans="1:11" x14ac:dyDescent="0.2">
      <c r="D275" s="5"/>
    </row>
    <row r="277" spans="1:11" x14ac:dyDescent="0.2">
      <c r="C277" s="488"/>
      <c r="D277" s="488"/>
      <c r="E277" s="488"/>
    </row>
    <row r="278" spans="1:11" x14ac:dyDescent="0.2">
      <c r="C278" s="489" t="str">
        <f>Summary!$G$10</f>
        <v>Construction Manager</v>
      </c>
      <c r="D278" s="489"/>
      <c r="E278" s="489"/>
    </row>
    <row r="279" spans="1:11" ht="13.5" customHeight="1" x14ac:dyDescent="0.2">
      <c r="A279" s="79"/>
      <c r="C279" s="81"/>
      <c r="D279" s="82"/>
      <c r="E279" s="83"/>
      <c r="F279" s="93"/>
      <c r="G279" s="93"/>
      <c r="I279" s="95"/>
      <c r="J279" s="95"/>
      <c r="K279" s="95"/>
    </row>
    <row r="280" spans="1:11" x14ac:dyDescent="0.2">
      <c r="D280" s="82"/>
      <c r="E280" s="83"/>
      <c r="F280" s="93"/>
      <c r="I280" s="96"/>
      <c r="J280" s="96"/>
      <c r="K280" s="95"/>
    </row>
    <row r="281" spans="1:11" x14ac:dyDescent="0.2">
      <c r="F281" s="93"/>
    </row>
    <row r="282" spans="1:11" x14ac:dyDescent="0.2">
      <c r="A282" s="58"/>
      <c r="B282" s="58"/>
      <c r="D282" s="392" t="s">
        <v>182</v>
      </c>
      <c r="E282" s="393" t="s">
        <v>183</v>
      </c>
      <c r="F282" s="93"/>
    </row>
    <row r="283" spans="1:11" ht="14" customHeight="1" x14ac:dyDescent="0.2">
      <c r="A283" s="58"/>
      <c r="B283" s="58"/>
      <c r="D283" s="381">
        <v>50000</v>
      </c>
      <c r="E283" s="381">
        <f>E272</f>
        <v>32047.650000000005</v>
      </c>
      <c r="F283" s="93"/>
    </row>
    <row r="284" spans="1:11" x14ac:dyDescent="0.2">
      <c r="F284" s="93"/>
    </row>
  </sheetData>
  <mergeCells count="12">
    <mergeCell ref="C277:E277"/>
    <mergeCell ref="C278:E278"/>
    <mergeCell ref="C222:E222"/>
    <mergeCell ref="C223:E223"/>
    <mergeCell ref="C170:E170"/>
    <mergeCell ref="C171:E171"/>
    <mergeCell ref="C123:E123"/>
    <mergeCell ref="C34:E34"/>
    <mergeCell ref="C35:E35"/>
    <mergeCell ref="C77:E77"/>
    <mergeCell ref="C78:E78"/>
    <mergeCell ref="C122:E122"/>
  </mergeCells>
  <phoneticPr fontId="26" type="noConversion"/>
  <pageMargins left="1.2868503937007876" right="0.70000000000000007" top="1.7337007874015748" bottom="0.75000000000000011" header="0.30000000000000004" footer="0.30000000000000004"/>
  <pageSetup scale="69" orientation="portrait" verticalDpi="1200"/>
  <rowBreaks count="6" manualBreakCount="6">
    <brk id="41" max="16383" man="1"/>
    <brk id="84" max="16383" man="1"/>
    <brk id="129" max="16383" man="1"/>
    <brk id="176" max="16383" man="1"/>
    <brk id="229" max="16383" man="1"/>
    <brk id="283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82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0" customWidth="1"/>
    <col min="2" max="2" width="37.16406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1100</v>
      </c>
    </row>
    <row r="16" spans="1:5" x14ac:dyDescent="0.2">
      <c r="D16" s="2" t="s">
        <v>11</v>
      </c>
      <c r="E16" s="3">
        <v>42400</v>
      </c>
    </row>
    <row r="17" spans="1:5" x14ac:dyDescent="0.2">
      <c r="A17" s="5" t="s">
        <v>1</v>
      </c>
      <c r="B17" s="4" t="s">
        <v>478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42350</v>
      </c>
      <c r="B20" s="125" t="s">
        <v>541</v>
      </c>
      <c r="C20" s="15">
        <v>5706</v>
      </c>
      <c r="D20" s="15"/>
      <c r="E20" s="139">
        <f>C20+D20</f>
        <v>5706</v>
      </c>
    </row>
    <row r="21" spans="1:5" x14ac:dyDescent="0.2">
      <c r="A21" s="126"/>
      <c r="B21" s="21" t="s">
        <v>1101</v>
      </c>
      <c r="C21" s="127">
        <f>C20*0.05</f>
        <v>285.3</v>
      </c>
      <c r="D21" s="127"/>
      <c r="E21" s="127">
        <f>C21+D21</f>
        <v>285.3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5991.3</v>
      </c>
      <c r="D29" s="141">
        <f>SUM(D20:D28)</f>
        <v>0</v>
      </c>
      <c r="E29" s="133">
        <f>SUM(E20:E28)</f>
        <v>5991.3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5991.3</v>
      </c>
      <c r="E40" s="381">
        <f>E29</f>
        <v>5991.3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1100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478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42350</v>
      </c>
      <c r="B61" s="125" t="s">
        <v>541</v>
      </c>
      <c r="C61" s="15"/>
      <c r="D61" s="15">
        <v>5706</v>
      </c>
      <c r="E61" s="139">
        <f>C61+D61</f>
        <v>5706</v>
      </c>
    </row>
    <row r="62" spans="1:5" x14ac:dyDescent="0.2">
      <c r="A62" s="126"/>
      <c r="B62" s="21" t="s">
        <v>1101</v>
      </c>
      <c r="C62" s="127"/>
      <c r="D62" s="127">
        <f>D61*0.05</f>
        <v>285.3</v>
      </c>
      <c r="E62" s="127">
        <f>C62+D62</f>
        <v>285.3</v>
      </c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5991.3</v>
      </c>
      <c r="E70" s="133">
        <f>SUM(E61:E69)</f>
        <v>5991.3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5991.3</v>
      </c>
      <c r="E81" s="381">
        <f>E70</f>
        <v>5991.3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127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10" customWidth="1"/>
    <col min="2" max="2" width="37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511</v>
      </c>
    </row>
    <row r="16" spans="1:5" x14ac:dyDescent="0.2">
      <c r="D16" s="2" t="s">
        <v>11</v>
      </c>
      <c r="E16" s="3">
        <v>42400</v>
      </c>
    </row>
    <row r="17" spans="1:5" x14ac:dyDescent="0.2">
      <c r="A17" s="5" t="s">
        <v>1</v>
      </c>
      <c r="B17" s="4" t="s">
        <v>1102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42400</v>
      </c>
      <c r="B20" s="125" t="s">
        <v>543</v>
      </c>
      <c r="C20" s="15">
        <v>5027.1899999999996</v>
      </c>
      <c r="D20" s="15"/>
      <c r="E20" s="139">
        <f>C20+D20</f>
        <v>5027.1899999999996</v>
      </c>
    </row>
    <row r="21" spans="1:5" x14ac:dyDescent="0.2">
      <c r="A21" s="126"/>
      <c r="B21" s="21" t="s">
        <v>544</v>
      </c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5027.1899999999996</v>
      </c>
      <c r="D29" s="141">
        <f>SUM(D20:D28)</f>
        <v>0</v>
      </c>
      <c r="E29" s="133">
        <f>SUM(E20:E28)</f>
        <v>5027.1899999999996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19408</v>
      </c>
      <c r="E40" s="381">
        <f>E29</f>
        <v>5027.1899999999996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511</v>
      </c>
    </row>
    <row r="57" spans="1:5" x14ac:dyDescent="0.2">
      <c r="D57" s="2" t="s">
        <v>11</v>
      </c>
      <c r="E57" s="3">
        <v>42429</v>
      </c>
    </row>
    <row r="58" spans="1:5" x14ac:dyDescent="0.2">
      <c r="A58" s="5" t="s">
        <v>1</v>
      </c>
      <c r="B58" s="4" t="s">
        <v>1102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42400</v>
      </c>
      <c r="B61" s="125" t="s">
        <v>543</v>
      </c>
      <c r="C61" s="15"/>
      <c r="D61" s="15">
        <v>5027.1899999999996</v>
      </c>
      <c r="E61" s="139">
        <f>C61+D61</f>
        <v>5027.1899999999996</v>
      </c>
    </row>
    <row r="62" spans="1:5" x14ac:dyDescent="0.2">
      <c r="A62" s="126"/>
      <c r="B62" s="21" t="s">
        <v>544</v>
      </c>
      <c r="C62" s="127"/>
      <c r="D62" s="127"/>
      <c r="E62" s="127"/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>
        <v>42424</v>
      </c>
      <c r="B64" s="21" t="s">
        <v>683</v>
      </c>
      <c r="C64" s="128">
        <v>562.89</v>
      </c>
      <c r="D64" s="127"/>
      <c r="E64" s="127">
        <f>C64+D64</f>
        <v>562.89</v>
      </c>
    </row>
    <row r="65" spans="1:11" x14ac:dyDescent="0.2">
      <c r="A65" s="129"/>
      <c r="B65" s="21" t="s">
        <v>684</v>
      </c>
      <c r="C65" s="127"/>
      <c r="D65" s="127"/>
      <c r="E65" s="127"/>
    </row>
    <row r="66" spans="1:11" x14ac:dyDescent="0.2">
      <c r="A66" s="149">
        <v>42425</v>
      </c>
      <c r="B66" s="21" t="s">
        <v>683</v>
      </c>
      <c r="C66" s="127">
        <v>368.79</v>
      </c>
      <c r="D66" s="127"/>
      <c r="E66" s="127">
        <f>C66+D66</f>
        <v>368.79</v>
      </c>
    </row>
    <row r="67" spans="1:11" x14ac:dyDescent="0.2">
      <c r="A67" s="129"/>
      <c r="B67" s="21" t="s">
        <v>685</v>
      </c>
      <c r="C67" s="127"/>
      <c r="D67" s="127"/>
      <c r="E67" s="127"/>
    </row>
    <row r="68" spans="1:11" x14ac:dyDescent="0.2">
      <c r="A68" s="129"/>
      <c r="B68" s="36" t="s">
        <v>738</v>
      </c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931.68000000000006</v>
      </c>
      <c r="D70" s="141">
        <f>SUM(D61:D69)</f>
        <v>5027.1899999999996</v>
      </c>
      <c r="E70" s="133">
        <f>SUM(E61:E69)</f>
        <v>5958.87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19408</v>
      </c>
      <c r="E81" s="381">
        <f>E70</f>
        <v>5958.87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511</v>
      </c>
    </row>
    <row r="98" spans="1:5" x14ac:dyDescent="0.2">
      <c r="D98" s="2" t="s">
        <v>11</v>
      </c>
      <c r="E98" s="3">
        <f>Summary!$G$3</f>
        <v>42505</v>
      </c>
    </row>
    <row r="99" spans="1:5" x14ac:dyDescent="0.2">
      <c r="A99" s="5" t="s">
        <v>1</v>
      </c>
      <c r="B99" s="4" t="s">
        <v>1102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42400</v>
      </c>
      <c r="B102" s="125" t="s">
        <v>543</v>
      </c>
      <c r="C102" s="15"/>
      <c r="D102" s="15">
        <v>5027.1899999999996</v>
      </c>
      <c r="E102" s="139">
        <f>C102+D102</f>
        <v>5027.1899999999996</v>
      </c>
    </row>
    <row r="103" spans="1:5" x14ac:dyDescent="0.2">
      <c r="A103" s="126"/>
      <c r="B103" s="21" t="s">
        <v>544</v>
      </c>
      <c r="C103" s="127"/>
      <c r="D103" s="127"/>
      <c r="E103" s="127"/>
    </row>
    <row r="104" spans="1:5" ht="14.5" customHeight="1" x14ac:dyDescent="0.2">
      <c r="A104" s="126">
        <v>42424</v>
      </c>
      <c r="B104" s="21" t="s">
        <v>683</v>
      </c>
      <c r="C104" s="128"/>
      <c r="D104" s="127">
        <v>562.89</v>
      </c>
      <c r="E104" s="127">
        <f>C104+D104</f>
        <v>562.89</v>
      </c>
    </row>
    <row r="105" spans="1:5" x14ac:dyDescent="0.2">
      <c r="A105" s="129"/>
      <c r="B105" s="21" t="s">
        <v>684</v>
      </c>
      <c r="C105" s="127"/>
      <c r="D105" s="127"/>
      <c r="E105" s="127"/>
    </row>
    <row r="106" spans="1:5" x14ac:dyDescent="0.2">
      <c r="A106" s="149">
        <v>42425</v>
      </c>
      <c r="B106" s="21" t="s">
        <v>683</v>
      </c>
      <c r="C106" s="127"/>
      <c r="D106" s="127">
        <v>368.79</v>
      </c>
      <c r="E106" s="127">
        <f>C106+D106</f>
        <v>368.79</v>
      </c>
    </row>
    <row r="107" spans="1:5" x14ac:dyDescent="0.2">
      <c r="A107" s="129"/>
      <c r="B107" s="21" t="s">
        <v>685</v>
      </c>
      <c r="C107" s="127"/>
      <c r="D107" s="127"/>
      <c r="E107" s="127"/>
    </row>
    <row r="108" spans="1:5" x14ac:dyDescent="0.2">
      <c r="A108" s="126"/>
      <c r="B108" s="21"/>
      <c r="C108" s="127"/>
      <c r="D108" s="127"/>
      <c r="E108" s="127"/>
    </row>
    <row r="109" spans="1:5" ht="14.5" customHeight="1" x14ac:dyDescent="0.2">
      <c r="A109" s="126"/>
      <c r="B109" s="21"/>
      <c r="C109" s="127"/>
      <c r="D109" s="127"/>
      <c r="E109" s="127"/>
    </row>
    <row r="110" spans="1:5" x14ac:dyDescent="0.2">
      <c r="A110" s="126"/>
      <c r="B110" s="21"/>
      <c r="C110" s="127"/>
      <c r="D110" s="127"/>
      <c r="E110" s="127"/>
    </row>
    <row r="111" spans="1:5" x14ac:dyDescent="0.2">
      <c r="A111" s="126"/>
      <c r="B111" s="21"/>
      <c r="C111" s="127"/>
      <c r="D111" s="127"/>
      <c r="E111" s="127"/>
    </row>
    <row r="112" spans="1:5" x14ac:dyDescent="0.2">
      <c r="A112" s="126"/>
      <c r="B112" s="21"/>
      <c r="C112" s="127"/>
      <c r="D112" s="127"/>
      <c r="E112" s="127"/>
    </row>
    <row r="113" spans="1:11" x14ac:dyDescent="0.2">
      <c r="A113" s="129"/>
      <c r="B113" s="36" t="s">
        <v>738</v>
      </c>
      <c r="C113" s="127"/>
      <c r="D113" s="127"/>
      <c r="E113" s="127"/>
    </row>
    <row r="114" spans="1:11" x14ac:dyDescent="0.2">
      <c r="A114" s="130"/>
      <c r="B114" s="131"/>
      <c r="C114" s="132"/>
      <c r="D114" s="132"/>
      <c r="E114" s="132"/>
    </row>
    <row r="115" spans="1:11" x14ac:dyDescent="0.2">
      <c r="A115" s="6"/>
      <c r="B115" s="345" t="s">
        <v>12</v>
      </c>
      <c r="C115" s="141">
        <f>SUM(C102:C114)</f>
        <v>0</v>
      </c>
      <c r="D115" s="141">
        <f>SUM(D102:D114)</f>
        <v>5958.87</v>
      </c>
      <c r="E115" s="133">
        <f>SUM(E102:E114)</f>
        <v>5958.87</v>
      </c>
    </row>
    <row r="117" spans="1:11" x14ac:dyDescent="0.2">
      <c r="A117" t="str">
        <f>Summary!$G$9</f>
        <v>Contractor</v>
      </c>
    </row>
    <row r="118" spans="1:11" x14ac:dyDescent="0.2">
      <c r="D118" s="5"/>
    </row>
    <row r="120" spans="1:11" x14ac:dyDescent="0.2">
      <c r="C120" s="488"/>
      <c r="D120" s="488"/>
      <c r="E120" s="488"/>
    </row>
    <row r="121" spans="1:11" x14ac:dyDescent="0.2">
      <c r="C121" s="489" t="str">
        <f>Summary!$G$10</f>
        <v>Construction Manager</v>
      </c>
      <c r="D121" s="489"/>
      <c r="E121" s="489"/>
    </row>
    <row r="122" spans="1:11" ht="13.5" customHeight="1" x14ac:dyDescent="0.2">
      <c r="A122" s="79"/>
      <c r="C122" s="81"/>
      <c r="D122" s="82"/>
      <c r="E122" s="83"/>
      <c r="F122" s="93"/>
      <c r="G122" s="93"/>
      <c r="I122" s="95"/>
      <c r="J122" s="95"/>
      <c r="K122" s="95"/>
    </row>
    <row r="123" spans="1:11" x14ac:dyDescent="0.2">
      <c r="D123" s="82"/>
      <c r="E123" s="83"/>
      <c r="F123" s="93"/>
      <c r="I123" s="96"/>
      <c r="J123" s="96"/>
      <c r="K123" s="95"/>
    </row>
    <row r="124" spans="1:11" x14ac:dyDescent="0.2">
      <c r="F124" s="93"/>
    </row>
    <row r="125" spans="1:11" x14ac:dyDescent="0.2">
      <c r="A125" s="58"/>
      <c r="B125" s="58"/>
      <c r="D125" s="392" t="s">
        <v>182</v>
      </c>
      <c r="E125" s="393" t="s">
        <v>183</v>
      </c>
      <c r="F125" s="93"/>
    </row>
    <row r="126" spans="1:11" ht="14" customHeight="1" x14ac:dyDescent="0.2">
      <c r="A126" s="58"/>
      <c r="B126" s="58"/>
      <c r="D126" s="381">
        <v>19408</v>
      </c>
      <c r="E126" s="381">
        <f>E115</f>
        <v>5958.87</v>
      </c>
      <c r="F126" s="93"/>
    </row>
    <row r="127" spans="1:11" x14ac:dyDescent="0.2">
      <c r="F127" s="93"/>
    </row>
  </sheetData>
  <mergeCells count="6">
    <mergeCell ref="C121:E121"/>
    <mergeCell ref="C34:E34"/>
    <mergeCell ref="C35:E35"/>
    <mergeCell ref="C75:E75"/>
    <mergeCell ref="C76:E76"/>
    <mergeCell ref="C120:E120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rowBreaks count="1" manualBreakCount="1">
    <brk id="41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82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4.6640625" customWidth="1"/>
    <col min="5" max="5" width="13.16406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510</v>
      </c>
    </row>
    <row r="16" spans="1:5" x14ac:dyDescent="0.2">
      <c r="D16" s="2" t="s">
        <v>11</v>
      </c>
      <c r="E16" s="3">
        <v>42429</v>
      </c>
    </row>
    <row r="17" spans="1:5" x14ac:dyDescent="0.2">
      <c r="A17" s="5" t="s">
        <v>1</v>
      </c>
      <c r="B17" s="4" t="s">
        <v>512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42376</v>
      </c>
      <c r="B20" s="125" t="s">
        <v>686</v>
      </c>
      <c r="C20" s="15">
        <v>23684.06</v>
      </c>
      <c r="D20" s="15"/>
      <c r="E20" s="139">
        <f>C20+D20</f>
        <v>23684.06</v>
      </c>
    </row>
    <row r="21" spans="1:5" x14ac:dyDescent="0.2">
      <c r="A21" s="126"/>
      <c r="B21" s="21"/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23684.06</v>
      </c>
      <c r="D29" s="141">
        <f>SUM(D20:D28)</f>
        <v>0</v>
      </c>
      <c r="E29" s="133">
        <f>SUM(E20:E28)</f>
        <v>23684.06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23684.06</v>
      </c>
      <c r="E40" s="381">
        <f>E29</f>
        <v>23684.06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510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512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42376</v>
      </c>
      <c r="B61" s="125" t="s">
        <v>686</v>
      </c>
      <c r="C61" s="15"/>
      <c r="D61" s="15">
        <v>23684.06</v>
      </c>
      <c r="E61" s="139">
        <f>C61+D61</f>
        <v>23684.06</v>
      </c>
    </row>
    <row r="62" spans="1:5" x14ac:dyDescent="0.2">
      <c r="A62" s="126"/>
      <c r="B62" s="21"/>
      <c r="C62" s="127"/>
      <c r="D62" s="127"/>
      <c r="E62" s="127"/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23684.06</v>
      </c>
      <c r="E70" s="133">
        <f>SUM(E61:E69)</f>
        <v>23684.06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23684.06</v>
      </c>
      <c r="E81" s="381">
        <f>E70</f>
        <v>23684.06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82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" customWidth="1"/>
    <col min="4" max="4" width="1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509</v>
      </c>
    </row>
    <row r="16" spans="1:5" x14ac:dyDescent="0.2">
      <c r="D16" s="2" t="s">
        <v>11</v>
      </c>
      <c r="E16" s="3">
        <v>42444</v>
      </c>
    </row>
    <row r="17" spans="1:5" x14ac:dyDescent="0.2">
      <c r="A17" s="5" t="s">
        <v>1</v>
      </c>
      <c r="B17" s="4" t="s">
        <v>500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/>
      <c r="B20" s="125"/>
      <c r="C20" s="15"/>
      <c r="D20" s="15"/>
      <c r="E20" s="139"/>
    </row>
    <row r="21" spans="1:5" x14ac:dyDescent="0.2">
      <c r="A21" s="126">
        <v>42444</v>
      </c>
      <c r="B21" s="21" t="s">
        <v>827</v>
      </c>
      <c r="C21" s="127">
        <v>4410</v>
      </c>
      <c r="D21" s="127"/>
      <c r="E21" s="127">
        <f>C21+D21</f>
        <v>4410</v>
      </c>
    </row>
    <row r="22" spans="1:5" x14ac:dyDescent="0.2">
      <c r="A22" s="126"/>
      <c r="B22" s="21" t="s">
        <v>826</v>
      </c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4410</v>
      </c>
      <c r="D29" s="141">
        <f>SUM(D20:D28)</f>
        <v>0</v>
      </c>
      <c r="E29" s="133">
        <f>SUM(E20:E28)</f>
        <v>4410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5040</v>
      </c>
      <c r="E40" s="381">
        <f>E29</f>
        <v>4410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509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500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/>
      <c r="B61" s="125"/>
      <c r="C61" s="15"/>
      <c r="D61" s="15"/>
      <c r="E61" s="139"/>
    </row>
    <row r="62" spans="1:5" x14ac:dyDescent="0.2">
      <c r="A62" s="126">
        <v>42444</v>
      </c>
      <c r="B62" s="21" t="s">
        <v>827</v>
      </c>
      <c r="C62" s="127"/>
      <c r="D62" s="127">
        <v>4410</v>
      </c>
      <c r="E62" s="127">
        <f>C62+D62</f>
        <v>4410</v>
      </c>
    </row>
    <row r="63" spans="1:5" x14ac:dyDescent="0.2">
      <c r="A63" s="126"/>
      <c r="B63" s="21" t="s">
        <v>826</v>
      </c>
      <c r="C63" s="127"/>
      <c r="D63" s="127"/>
      <c r="E63" s="127">
        <f>C63+D63</f>
        <v>0</v>
      </c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4410</v>
      </c>
      <c r="E70" s="133">
        <f>SUM(E61:E69)</f>
        <v>4410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5040</v>
      </c>
      <c r="E81" s="381">
        <f>E70</f>
        <v>4410</v>
      </c>
      <c r="F81" s="93"/>
    </row>
    <row r="82" spans="1:6" x14ac:dyDescent="0.2"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82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0" customWidth="1"/>
    <col min="2" max="2" width="37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508</v>
      </c>
    </row>
    <row r="16" spans="1:5" x14ac:dyDescent="0.2">
      <c r="D16" s="2" t="s">
        <v>11</v>
      </c>
      <c r="E16" s="3">
        <v>42400</v>
      </c>
    </row>
    <row r="17" spans="1:5" x14ac:dyDescent="0.2">
      <c r="A17" s="5" t="s">
        <v>1</v>
      </c>
      <c r="B17" s="4" t="s">
        <v>1103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42400</v>
      </c>
      <c r="B20" s="125" t="s">
        <v>545</v>
      </c>
      <c r="C20" s="15">
        <v>88667.520000000004</v>
      </c>
      <c r="D20" s="15"/>
      <c r="E20" s="139">
        <f>C20+D20</f>
        <v>88667.520000000004</v>
      </c>
    </row>
    <row r="21" spans="1:5" x14ac:dyDescent="0.2">
      <c r="A21" s="126"/>
      <c r="B21" s="21" t="s">
        <v>546</v>
      </c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88667.520000000004</v>
      </c>
      <c r="D29" s="141">
        <f>SUM(D20:D28)</f>
        <v>0</v>
      </c>
      <c r="E29" s="133">
        <f>SUM(E20:E28)</f>
        <v>88667.520000000004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88667.520000000004</v>
      </c>
      <c r="E40" s="381">
        <f>E29</f>
        <v>88667.520000000004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508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1103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42400</v>
      </c>
      <c r="B61" s="125" t="s">
        <v>545</v>
      </c>
      <c r="C61" s="15"/>
      <c r="D61" s="15">
        <v>88667.520000000004</v>
      </c>
      <c r="E61" s="139">
        <f>C61+D61</f>
        <v>88667.520000000004</v>
      </c>
    </row>
    <row r="62" spans="1:5" x14ac:dyDescent="0.2">
      <c r="A62" s="126"/>
      <c r="B62" s="21" t="s">
        <v>546</v>
      </c>
      <c r="C62" s="127"/>
      <c r="D62" s="127"/>
      <c r="E62" s="127"/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88667.520000000004</v>
      </c>
      <c r="E70" s="133">
        <f>SUM(E61:E69)</f>
        <v>88667.520000000004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88667.520000000004</v>
      </c>
      <c r="E81" s="381">
        <f>E70</f>
        <v>88667.520000000004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82"/>
  <sheetViews>
    <sheetView workbookViewId="0">
      <selection activeCell="B54" sqref="B5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530</v>
      </c>
    </row>
    <row r="16" spans="1:5" x14ac:dyDescent="0.2">
      <c r="D16" s="2" t="s">
        <v>11</v>
      </c>
      <c r="E16" s="3">
        <v>42415</v>
      </c>
    </row>
    <row r="17" spans="1:5" x14ac:dyDescent="0.2">
      <c r="A17" s="5" t="s">
        <v>1</v>
      </c>
      <c r="B17" s="4" t="s">
        <v>1105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42357</v>
      </c>
      <c r="B20" s="125" t="s">
        <v>1106</v>
      </c>
      <c r="C20" s="15">
        <v>21412.1</v>
      </c>
      <c r="D20" s="15"/>
      <c r="E20" s="139">
        <f>C20+D20</f>
        <v>21412.1</v>
      </c>
    </row>
    <row r="21" spans="1:5" x14ac:dyDescent="0.2">
      <c r="A21" s="126">
        <v>42358</v>
      </c>
      <c r="B21" s="21" t="s">
        <v>1107</v>
      </c>
      <c r="C21" s="127">
        <v>32413.119999999999</v>
      </c>
      <c r="D21" s="127"/>
      <c r="E21" s="127">
        <f>C21+D21</f>
        <v>32413.119999999999</v>
      </c>
    </row>
    <row r="22" spans="1:5" x14ac:dyDescent="0.2">
      <c r="A22" s="126">
        <v>42359</v>
      </c>
      <c r="B22" s="21" t="s">
        <v>1108</v>
      </c>
      <c r="C22" s="127">
        <v>6407.16</v>
      </c>
      <c r="D22" s="127"/>
      <c r="E22" s="127">
        <f>C22+D22</f>
        <v>6407.16</v>
      </c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60232.380000000005</v>
      </c>
      <c r="D29" s="141">
        <f>SUM(D20:D28)</f>
        <v>0</v>
      </c>
      <c r="E29" s="133">
        <f>SUM(E20:E28)</f>
        <v>60232.380000000005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65808.36</v>
      </c>
      <c r="E40" s="381">
        <f>E29</f>
        <v>60232.380000000005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530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1104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42357</v>
      </c>
      <c r="B61" s="125" t="s">
        <v>1106</v>
      </c>
      <c r="C61" s="15"/>
      <c r="D61" s="15">
        <v>21412.1</v>
      </c>
      <c r="E61" s="139">
        <f>C61+D61</f>
        <v>21412.1</v>
      </c>
    </row>
    <row r="62" spans="1:5" x14ac:dyDescent="0.2">
      <c r="A62" s="126">
        <v>42358</v>
      </c>
      <c r="B62" s="21" t="s">
        <v>1107</v>
      </c>
      <c r="C62" s="127"/>
      <c r="D62" s="127">
        <v>32413.119999999999</v>
      </c>
      <c r="E62" s="127">
        <f>C62+D62</f>
        <v>32413.119999999999</v>
      </c>
    </row>
    <row r="63" spans="1:5" x14ac:dyDescent="0.2">
      <c r="A63" s="126">
        <v>42359</v>
      </c>
      <c r="B63" s="21" t="s">
        <v>1108</v>
      </c>
      <c r="C63" s="127"/>
      <c r="D63" s="127">
        <v>6407.16</v>
      </c>
      <c r="E63" s="127">
        <f>C63+D63</f>
        <v>6407.16</v>
      </c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60232.380000000005</v>
      </c>
      <c r="E70" s="133">
        <f>SUM(E61:E69)</f>
        <v>60232.380000000005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65808.36</v>
      </c>
      <c r="E81" s="381">
        <f>E70</f>
        <v>60232.380000000005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2.0737007874015747" right="0.70000000000000007" top="1.34" bottom="0.75000000000000011" header="0.30000000000000004" footer="0.30000000000000004"/>
  <pageSetup scale="81" orientation="landscape" verticalDpi="1200"/>
  <rowBreaks count="1" manualBreakCount="1">
    <brk id="40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82"/>
  <sheetViews>
    <sheetView workbookViewId="0">
      <selection activeCell="F18" sqref="F18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531</v>
      </c>
    </row>
    <row r="16" spans="1:5" x14ac:dyDescent="0.2">
      <c r="D16" s="2" t="s">
        <v>11</v>
      </c>
      <c r="E16" s="3">
        <v>42415</v>
      </c>
    </row>
    <row r="17" spans="1:5" x14ac:dyDescent="0.2">
      <c r="A17" s="5" t="s">
        <v>1</v>
      </c>
      <c r="B17" s="4" t="s">
        <v>561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42387</v>
      </c>
      <c r="B20" s="125" t="s">
        <v>561</v>
      </c>
      <c r="C20" s="15">
        <v>215562.16</v>
      </c>
      <c r="D20" s="15"/>
      <c r="E20" s="139">
        <f>C20+D20</f>
        <v>215562.16</v>
      </c>
    </row>
    <row r="21" spans="1:5" x14ac:dyDescent="0.2">
      <c r="A21" s="126"/>
      <c r="B21" s="21"/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215562.16</v>
      </c>
      <c r="D29" s="141">
        <f>SUM(D20:D28)</f>
        <v>0</v>
      </c>
      <c r="E29" s="133">
        <f>SUM(E20:E28)</f>
        <v>215562.16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215855.08</v>
      </c>
      <c r="E40" s="381">
        <f>E29</f>
        <v>215562.16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531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561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42387</v>
      </c>
      <c r="B61" s="125" t="s">
        <v>561</v>
      </c>
      <c r="C61" s="15"/>
      <c r="D61" s="15">
        <v>215562.16</v>
      </c>
      <c r="E61" s="139">
        <f>C61+D61</f>
        <v>215562.16</v>
      </c>
    </row>
    <row r="62" spans="1:5" x14ac:dyDescent="0.2">
      <c r="A62" s="126"/>
      <c r="B62" s="21"/>
      <c r="C62" s="127"/>
      <c r="D62" s="127"/>
      <c r="E62" s="127"/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215562.16</v>
      </c>
      <c r="E70" s="133">
        <f>SUM(E61:E69)</f>
        <v>215562.16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215855.08</v>
      </c>
      <c r="E81" s="381">
        <f>E70</f>
        <v>215562.16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0.70000000000000007" right="0.70000000000000007" top="1.3405511811023623" bottom="0.75000000000000011" header="0.30000000000000004" footer="0.30000000000000004"/>
  <pageSetup scale="93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123"/>
  <sheetViews>
    <sheetView workbookViewId="0">
      <selection activeCell="G16" sqref="G16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570</v>
      </c>
    </row>
    <row r="16" spans="1:5" x14ac:dyDescent="0.2">
      <c r="D16" s="2" t="s">
        <v>11</v>
      </c>
      <c r="E16" s="3">
        <v>42444</v>
      </c>
    </row>
    <row r="17" spans="1:5" x14ac:dyDescent="0.2">
      <c r="A17" s="5" t="s">
        <v>1</v>
      </c>
      <c r="B17" s="4" t="s">
        <v>567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42444</v>
      </c>
      <c r="B20" s="125" t="s">
        <v>567</v>
      </c>
      <c r="C20" s="15">
        <v>76263.460000000006</v>
      </c>
      <c r="D20" s="15"/>
      <c r="E20" s="139">
        <f>C20+D20</f>
        <v>76263.460000000006</v>
      </c>
    </row>
    <row r="21" spans="1:5" x14ac:dyDescent="0.2">
      <c r="A21" s="126"/>
      <c r="B21" s="21"/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76263.460000000006</v>
      </c>
      <c r="D29" s="141">
        <f>SUM(D20:D28)</f>
        <v>0</v>
      </c>
      <c r="E29" s="133">
        <f>SUM(E20:E28)</f>
        <v>76263.460000000006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359953.32</v>
      </c>
      <c r="E40" s="381">
        <f>E29</f>
        <v>76263.460000000006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570</v>
      </c>
    </row>
    <row r="57" spans="1:5" x14ac:dyDescent="0.2">
      <c r="D57" s="2" t="s">
        <v>11</v>
      </c>
      <c r="E57" s="3">
        <v>42460</v>
      </c>
    </row>
    <row r="58" spans="1:5" x14ac:dyDescent="0.2">
      <c r="A58" s="5" t="s">
        <v>1</v>
      </c>
      <c r="B58" s="4" t="s">
        <v>567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42444</v>
      </c>
      <c r="B61" s="125" t="s">
        <v>567</v>
      </c>
      <c r="C61" s="15"/>
      <c r="D61" s="15">
        <v>76263.460000000006</v>
      </c>
      <c r="E61" s="139">
        <f>C61+D61</f>
        <v>76263.460000000006</v>
      </c>
    </row>
    <row r="62" spans="1:5" x14ac:dyDescent="0.2">
      <c r="A62" s="126">
        <v>42460</v>
      </c>
      <c r="B62" s="21" t="s">
        <v>567</v>
      </c>
      <c r="C62" s="127">
        <v>283629.82</v>
      </c>
      <c r="D62" s="127"/>
      <c r="E62" s="127">
        <f>D62+C62</f>
        <v>283629.82</v>
      </c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283629.82</v>
      </c>
      <c r="D70" s="141">
        <f>SUM(D61:D69)</f>
        <v>76263.460000000006</v>
      </c>
      <c r="E70" s="133">
        <f>SUM(E61:E69)</f>
        <v>359893.28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359953.32</v>
      </c>
      <c r="E81" s="381">
        <f>E70</f>
        <v>359893.28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570</v>
      </c>
    </row>
    <row r="98" spans="1:5" x14ac:dyDescent="0.2">
      <c r="D98" s="2" t="s">
        <v>11</v>
      </c>
      <c r="E98" s="3">
        <f>Summary!$G$3</f>
        <v>42505</v>
      </c>
    </row>
    <row r="99" spans="1:5" x14ac:dyDescent="0.2">
      <c r="A99" s="5" t="s">
        <v>1</v>
      </c>
      <c r="B99" s="4" t="s">
        <v>567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42444</v>
      </c>
      <c r="B102" s="125" t="s">
        <v>567</v>
      </c>
      <c r="C102" s="15"/>
      <c r="D102" s="15">
        <v>76263.460000000006</v>
      </c>
      <c r="E102" s="139">
        <f>C102+D102</f>
        <v>76263.460000000006</v>
      </c>
    </row>
    <row r="103" spans="1:5" x14ac:dyDescent="0.2">
      <c r="A103" s="126">
        <v>42460</v>
      </c>
      <c r="B103" s="21" t="s">
        <v>567</v>
      </c>
      <c r="C103" s="127"/>
      <c r="D103" s="127">
        <v>283629.82</v>
      </c>
      <c r="E103" s="127">
        <f>D103+C103</f>
        <v>283629.82</v>
      </c>
    </row>
    <row r="104" spans="1:5" x14ac:dyDescent="0.2">
      <c r="A104" s="126"/>
      <c r="B104" s="21"/>
      <c r="C104" s="127"/>
      <c r="D104" s="127"/>
      <c r="E104" s="127"/>
    </row>
    <row r="105" spans="1:5" ht="14.5" customHeight="1" x14ac:dyDescent="0.2">
      <c r="A105" s="126"/>
      <c r="B105" s="21"/>
      <c r="C105" s="128"/>
      <c r="D105" s="127"/>
      <c r="E105" s="127"/>
    </row>
    <row r="106" spans="1:5" x14ac:dyDescent="0.2">
      <c r="A106" s="129"/>
      <c r="B106" s="36"/>
      <c r="C106" s="127"/>
      <c r="D106" s="127"/>
      <c r="E106" s="127"/>
    </row>
    <row r="107" spans="1:5" x14ac:dyDescent="0.2">
      <c r="A107" s="129"/>
      <c r="B107" s="36"/>
      <c r="C107" s="127"/>
      <c r="D107" s="127"/>
      <c r="E107" s="127"/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0</v>
      </c>
      <c r="D111" s="141">
        <f>SUM(D102:D110)</f>
        <v>359893.28</v>
      </c>
      <c r="E111" s="133">
        <f>SUM(E102:E110)</f>
        <v>359893.28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359953.32</v>
      </c>
      <c r="E122" s="381">
        <f>E111</f>
        <v>359893.28</v>
      </c>
      <c r="F122" s="93"/>
    </row>
    <row r="123" spans="1:11" x14ac:dyDescent="0.2">
      <c r="E123" t="s">
        <v>134</v>
      </c>
      <c r="F123" s="93"/>
    </row>
  </sheetData>
  <mergeCells count="6">
    <mergeCell ref="C117:E117"/>
    <mergeCell ref="C34:E34"/>
    <mergeCell ref="C35:E35"/>
    <mergeCell ref="C75:E75"/>
    <mergeCell ref="C76:E76"/>
    <mergeCell ref="C116:E116"/>
  </mergeCells>
  <phoneticPr fontId="26" type="noConversion"/>
  <pageMargins left="0.70000000000000007" right="0.70000000000000007" top="1.3405511811023623" bottom="0.75000000000000011" header="0.30000000000000004" footer="0.30000000000000004"/>
  <pageSetup scale="93" orientation="portrait" verticalDpi="1200"/>
  <rowBreaks count="2" manualBreakCount="2">
    <brk id="41" max="16383" man="1"/>
    <brk id="123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171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8.33203125" customWidth="1"/>
    <col min="3" max="3" width="13.5" customWidth="1"/>
    <col min="4" max="4" width="14.8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1109</v>
      </c>
    </row>
    <row r="16" spans="1:5" x14ac:dyDescent="0.2">
      <c r="D16" s="2" t="s">
        <v>11</v>
      </c>
      <c r="E16" s="3">
        <v>42460</v>
      </c>
    </row>
    <row r="17" spans="1:5" x14ac:dyDescent="0.2">
      <c r="A17" s="5" t="s">
        <v>1</v>
      </c>
      <c r="B17" s="4" t="s">
        <v>857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42460</v>
      </c>
      <c r="B20" s="111" t="s">
        <v>858</v>
      </c>
      <c r="C20" s="15"/>
      <c r="D20" s="15"/>
      <c r="E20" s="139"/>
    </row>
    <row r="21" spans="1:5" x14ac:dyDescent="0.2">
      <c r="A21" s="126"/>
      <c r="B21" s="444" t="s">
        <v>861</v>
      </c>
      <c r="C21" s="127">
        <v>190859.76</v>
      </c>
      <c r="D21" s="127"/>
      <c r="E21" s="127">
        <f>D21+C21</f>
        <v>190859.76</v>
      </c>
    </row>
    <row r="22" spans="1:5" x14ac:dyDescent="0.2">
      <c r="A22" s="126"/>
      <c r="B22" s="444" t="s">
        <v>862</v>
      </c>
      <c r="C22" s="127"/>
      <c r="D22" s="127"/>
      <c r="E22" s="127">
        <f t="shared" ref="E22:E25" si="0">D22+C22</f>
        <v>0</v>
      </c>
    </row>
    <row r="23" spans="1:5" ht="14.5" customHeight="1" x14ac:dyDescent="0.2">
      <c r="A23" s="126"/>
      <c r="B23" s="444" t="s">
        <v>863</v>
      </c>
      <c r="C23" s="128"/>
      <c r="D23" s="127"/>
      <c r="E23" s="127">
        <f t="shared" si="0"/>
        <v>0</v>
      </c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49">
        <v>42460</v>
      </c>
      <c r="B25" s="398" t="s">
        <v>865</v>
      </c>
      <c r="C25" s="127">
        <v>1201072.32</v>
      </c>
      <c r="D25" s="127"/>
      <c r="E25" s="127">
        <f t="shared" si="0"/>
        <v>1201072.32</v>
      </c>
    </row>
    <row r="26" spans="1:5" x14ac:dyDescent="0.2">
      <c r="A26" s="129"/>
      <c r="B26" s="36" t="s">
        <v>864</v>
      </c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1391932.08</v>
      </c>
      <c r="D29" s="141">
        <f>SUM(D20:D28)</f>
        <v>0</v>
      </c>
      <c r="E29" s="133">
        <f>SUM(E20:E28)</f>
        <v>1391932.08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20" t="s">
        <v>183</v>
      </c>
      <c r="F39" s="93"/>
    </row>
    <row r="40" spans="1:11" ht="14" customHeight="1" x14ac:dyDescent="0.2">
      <c r="A40" s="58"/>
      <c r="B40" s="58"/>
      <c r="D40" s="381">
        <v>1964511.36</v>
      </c>
      <c r="E40" s="381">
        <f>E29</f>
        <v>1391932.08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1109</v>
      </c>
    </row>
    <row r="57" spans="1:5" x14ac:dyDescent="0.2">
      <c r="D57" s="2" t="s">
        <v>11</v>
      </c>
      <c r="E57" s="3">
        <v>42475</v>
      </c>
    </row>
    <row r="58" spans="1:5" x14ac:dyDescent="0.2">
      <c r="A58" s="5" t="s">
        <v>1</v>
      </c>
      <c r="B58" s="4" t="s">
        <v>857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42460</v>
      </c>
      <c r="B61" s="111" t="s">
        <v>858</v>
      </c>
      <c r="C61" s="15"/>
      <c r="D61" s="15"/>
      <c r="E61" s="139"/>
    </row>
    <row r="62" spans="1:5" x14ac:dyDescent="0.2">
      <c r="A62" s="126"/>
      <c r="B62" s="444" t="s">
        <v>861</v>
      </c>
      <c r="C62" s="127"/>
      <c r="D62" s="127">
        <v>190859.76</v>
      </c>
      <c r="E62" s="127">
        <f>D62+C62</f>
        <v>190859.76</v>
      </c>
    </row>
    <row r="63" spans="1:5" ht="14.5" customHeight="1" x14ac:dyDescent="0.2">
      <c r="A63" s="126"/>
      <c r="B63" s="444" t="s">
        <v>863</v>
      </c>
      <c r="C63" s="128"/>
      <c r="D63" s="127"/>
      <c r="E63" s="127"/>
    </row>
    <row r="64" spans="1:5" x14ac:dyDescent="0.2">
      <c r="A64" s="129"/>
      <c r="B64" s="36"/>
      <c r="C64" s="127"/>
      <c r="D64" s="127"/>
      <c r="E64" s="127"/>
    </row>
    <row r="65" spans="1:11" x14ac:dyDescent="0.2">
      <c r="A65" s="149">
        <v>42460</v>
      </c>
      <c r="B65" s="398" t="s">
        <v>865</v>
      </c>
      <c r="C65" s="127"/>
      <c r="D65" s="127">
        <v>1201072.32</v>
      </c>
      <c r="E65" s="127">
        <f t="shared" ref="E65" si="1">D65+C65</f>
        <v>1201072.32</v>
      </c>
    </row>
    <row r="66" spans="1:11" x14ac:dyDescent="0.2">
      <c r="A66" s="129"/>
      <c r="B66" s="36" t="s">
        <v>864</v>
      </c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49">
        <v>42475</v>
      </c>
      <c r="B68" s="398" t="s">
        <v>858</v>
      </c>
      <c r="C68" s="127"/>
      <c r="D68" s="127"/>
      <c r="E68" s="127"/>
    </row>
    <row r="69" spans="1:11" x14ac:dyDescent="0.2">
      <c r="A69" s="129"/>
      <c r="B69" s="461" t="s">
        <v>862</v>
      </c>
      <c r="C69" s="127">
        <v>381719.52</v>
      </c>
      <c r="D69" s="127"/>
      <c r="E69" s="127">
        <f>C69+D69</f>
        <v>381719.52</v>
      </c>
    </row>
    <row r="70" spans="1:11" x14ac:dyDescent="0.2">
      <c r="A70" s="130"/>
      <c r="B70" s="131"/>
      <c r="C70" s="132"/>
      <c r="D70" s="132"/>
      <c r="E70" s="132"/>
    </row>
    <row r="71" spans="1:11" x14ac:dyDescent="0.2">
      <c r="A71" s="6"/>
      <c r="B71" s="345" t="s">
        <v>12</v>
      </c>
      <c r="C71" s="141">
        <f>SUM(C61:C70)</f>
        <v>381719.52</v>
      </c>
      <c r="D71" s="141">
        <f>SUM(D61:D70)</f>
        <v>1391932.08</v>
      </c>
      <c r="E71" s="133">
        <f>SUM(E61:E70)</f>
        <v>1773651.6</v>
      </c>
    </row>
    <row r="73" spans="1:11" x14ac:dyDescent="0.2">
      <c r="A73" t="str">
        <f>Summary!$G$9</f>
        <v>Contractor</v>
      </c>
    </row>
    <row r="74" spans="1:11" x14ac:dyDescent="0.2">
      <c r="D74" s="5"/>
    </row>
    <row r="76" spans="1:11" x14ac:dyDescent="0.2">
      <c r="C76" s="488"/>
      <c r="D76" s="488"/>
      <c r="E76" s="488"/>
    </row>
    <row r="77" spans="1:11" x14ac:dyDescent="0.2">
      <c r="C77" s="489" t="str">
        <f>Summary!$G$10</f>
        <v>Construction Manager</v>
      </c>
      <c r="D77" s="489"/>
      <c r="E77" s="489"/>
    </row>
    <row r="78" spans="1:11" ht="13.5" customHeight="1" x14ac:dyDescent="0.2">
      <c r="A78" s="79"/>
      <c r="C78" s="81"/>
      <c r="D78" s="82"/>
      <c r="E78" s="83"/>
      <c r="F78" s="93"/>
      <c r="G78" s="93"/>
      <c r="I78" s="95"/>
      <c r="J78" s="95"/>
      <c r="K78" s="95"/>
    </row>
    <row r="79" spans="1:11" x14ac:dyDescent="0.2">
      <c r="D79" s="82"/>
      <c r="E79" s="83"/>
      <c r="F79" s="93"/>
      <c r="I79" s="96"/>
      <c r="J79" s="96"/>
      <c r="K79" s="95"/>
    </row>
    <row r="80" spans="1:11" x14ac:dyDescent="0.2">
      <c r="F80" s="93"/>
    </row>
    <row r="81" spans="1:6" x14ac:dyDescent="0.2">
      <c r="A81" s="58"/>
      <c r="B81" s="58"/>
      <c r="D81" s="392" t="s">
        <v>182</v>
      </c>
      <c r="E81" s="320" t="s">
        <v>183</v>
      </c>
      <c r="F81" s="93"/>
    </row>
    <row r="82" spans="1:6" ht="14" customHeight="1" x14ac:dyDescent="0.2">
      <c r="A82" s="58"/>
      <c r="B82" s="58"/>
      <c r="D82" s="381">
        <v>1964511.36</v>
      </c>
      <c r="E82" s="381">
        <f>E71</f>
        <v>1773651.6</v>
      </c>
      <c r="F82" s="93"/>
    </row>
    <row r="83" spans="1:6" x14ac:dyDescent="0.2">
      <c r="F83" s="93"/>
    </row>
    <row r="84" spans="1:6" x14ac:dyDescent="0.2">
      <c r="A84" s="5" t="str">
        <f>Summary!$G$11</f>
        <v>PIPELINE PROJECT</v>
      </c>
    </row>
    <row r="96" spans="1:6" ht="16" x14ac:dyDescent="0.2">
      <c r="A96" s="192" t="s">
        <v>88</v>
      </c>
    </row>
    <row r="97" spans="1:5" x14ac:dyDescent="0.2">
      <c r="A97" s="5" t="s">
        <v>24</v>
      </c>
      <c r="B97" s="191" t="s">
        <v>1109</v>
      </c>
    </row>
    <row r="99" spans="1:5" x14ac:dyDescent="0.2">
      <c r="D99" s="2" t="s">
        <v>11</v>
      </c>
      <c r="E99" s="3">
        <v>42490</v>
      </c>
    </row>
    <row r="100" spans="1:5" x14ac:dyDescent="0.2">
      <c r="A100" s="5" t="s">
        <v>1</v>
      </c>
      <c r="B100" s="4" t="s">
        <v>857</v>
      </c>
    </row>
    <row r="102" spans="1:5" x14ac:dyDescent="0.2">
      <c r="A102" s="9" t="s">
        <v>19</v>
      </c>
      <c r="B102" s="10" t="s">
        <v>2</v>
      </c>
      <c r="C102" s="11" t="s">
        <v>37</v>
      </c>
      <c r="D102" s="11" t="s">
        <v>27</v>
      </c>
      <c r="E102" s="12" t="s">
        <v>22</v>
      </c>
    </row>
    <row r="103" spans="1:5" ht="14.5" customHeight="1" x14ac:dyDescent="0.2">
      <c r="A103" s="124">
        <v>42460</v>
      </c>
      <c r="B103" s="111" t="s">
        <v>858</v>
      </c>
      <c r="C103" s="15"/>
      <c r="D103" s="15"/>
      <c r="E103" s="139"/>
    </row>
    <row r="104" spans="1:5" x14ac:dyDescent="0.2">
      <c r="A104" s="126"/>
      <c r="B104" s="444" t="s">
        <v>861</v>
      </c>
      <c r="C104" s="127"/>
      <c r="D104" s="127">
        <v>190859.76</v>
      </c>
      <c r="E104" s="127">
        <f>D104+C104</f>
        <v>190859.76</v>
      </c>
    </row>
    <row r="105" spans="1:5" x14ac:dyDescent="0.2">
      <c r="A105" s="129"/>
      <c r="B105" s="36"/>
      <c r="C105" s="127"/>
      <c r="D105" s="127"/>
      <c r="E105" s="127"/>
    </row>
    <row r="106" spans="1:5" x14ac:dyDescent="0.2">
      <c r="A106" s="149">
        <v>42460</v>
      </c>
      <c r="B106" s="398" t="s">
        <v>865</v>
      </c>
      <c r="C106" s="127"/>
      <c r="D106" s="127"/>
      <c r="E106" s="127"/>
    </row>
    <row r="107" spans="1:5" x14ac:dyDescent="0.2">
      <c r="A107" s="129"/>
      <c r="B107" s="36" t="s">
        <v>864</v>
      </c>
      <c r="C107" s="127"/>
      <c r="D107" s="127">
        <v>1201072.32</v>
      </c>
      <c r="E107" s="127">
        <f t="shared" ref="E107" si="2">D107+C107</f>
        <v>1201072.32</v>
      </c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49">
        <v>42475</v>
      </c>
      <c r="B109" s="398" t="s">
        <v>858</v>
      </c>
      <c r="C109" s="127"/>
      <c r="D109" s="127"/>
      <c r="E109" s="127"/>
    </row>
    <row r="110" spans="1:5" x14ac:dyDescent="0.2">
      <c r="A110" s="129"/>
      <c r="B110" s="461" t="s">
        <v>862</v>
      </c>
      <c r="C110" s="127"/>
      <c r="D110" s="127">
        <v>381719.52</v>
      </c>
      <c r="E110" s="127">
        <f>C110+D110</f>
        <v>381719.52</v>
      </c>
    </row>
    <row r="111" spans="1:5" x14ac:dyDescent="0.2">
      <c r="A111" s="129"/>
      <c r="B111" s="36"/>
      <c r="C111" s="127"/>
      <c r="D111" s="127"/>
      <c r="E111" s="127"/>
    </row>
    <row r="112" spans="1:5" x14ac:dyDescent="0.2">
      <c r="A112" s="149">
        <v>42490</v>
      </c>
      <c r="B112" s="398" t="s">
        <v>858</v>
      </c>
      <c r="C112" s="127">
        <v>190859.76</v>
      </c>
      <c r="D112" s="127"/>
      <c r="E112" s="127">
        <f>C112+D112</f>
        <v>190859.76</v>
      </c>
    </row>
    <row r="113" spans="1:11" x14ac:dyDescent="0.2">
      <c r="A113" s="129"/>
      <c r="B113" s="461" t="s">
        <v>999</v>
      </c>
      <c r="C113" s="127"/>
      <c r="D113" s="127"/>
      <c r="E113" s="127"/>
    </row>
    <row r="114" spans="1:11" x14ac:dyDescent="0.2">
      <c r="A114" s="130"/>
      <c r="B114" s="131"/>
      <c r="C114" s="132"/>
      <c r="D114" s="132"/>
      <c r="E114" s="132"/>
    </row>
    <row r="115" spans="1:11" x14ac:dyDescent="0.2">
      <c r="A115" s="6"/>
      <c r="B115" s="345" t="s">
        <v>12</v>
      </c>
      <c r="C115" s="141">
        <f>SUM(C103:C114)</f>
        <v>190859.76</v>
      </c>
      <c r="D115" s="141">
        <f>SUM(D103:D114)</f>
        <v>1773651.6</v>
      </c>
      <c r="E115" s="133">
        <f>SUM(E103:E114)</f>
        <v>1964511.36</v>
      </c>
    </row>
    <row r="117" spans="1:11" x14ac:dyDescent="0.2">
      <c r="A117" t="str">
        <f>Summary!$G$9</f>
        <v>Contractor</v>
      </c>
    </row>
    <row r="118" spans="1:11" x14ac:dyDescent="0.2">
      <c r="D118" s="5"/>
    </row>
    <row r="120" spans="1:11" x14ac:dyDescent="0.2">
      <c r="C120" s="488"/>
      <c r="D120" s="488"/>
      <c r="E120" s="488"/>
    </row>
    <row r="121" spans="1:11" x14ac:dyDescent="0.2">
      <c r="C121" s="489" t="str">
        <f>Summary!$G$10</f>
        <v>Construction Manager</v>
      </c>
      <c r="D121" s="489"/>
      <c r="E121" s="489"/>
    </row>
    <row r="122" spans="1:11" ht="13.5" customHeight="1" x14ac:dyDescent="0.2">
      <c r="A122" s="79"/>
      <c r="C122" s="81"/>
      <c r="D122" s="82"/>
      <c r="E122" s="83"/>
      <c r="F122" s="93"/>
      <c r="G122" s="93"/>
      <c r="I122" s="95"/>
      <c r="J122" s="95"/>
      <c r="K122" s="95"/>
    </row>
    <row r="123" spans="1:11" x14ac:dyDescent="0.2">
      <c r="D123" s="82"/>
      <c r="E123" s="83"/>
      <c r="F123" s="93"/>
      <c r="I123" s="96"/>
      <c r="J123" s="96"/>
      <c r="K123" s="95"/>
    </row>
    <row r="124" spans="1:11" x14ac:dyDescent="0.2">
      <c r="F124" s="93"/>
    </row>
    <row r="125" spans="1:11" x14ac:dyDescent="0.2">
      <c r="A125" s="58"/>
      <c r="B125" s="58"/>
      <c r="D125" s="392" t="s">
        <v>182</v>
      </c>
      <c r="E125" s="320" t="s">
        <v>183</v>
      </c>
      <c r="F125" s="93"/>
    </row>
    <row r="126" spans="1:11" ht="14" customHeight="1" x14ac:dyDescent="0.2">
      <c r="A126" s="58"/>
      <c r="B126" s="58"/>
      <c r="D126" s="381">
        <v>1964511.36</v>
      </c>
      <c r="E126" s="381">
        <f>E115</f>
        <v>1964511.36</v>
      </c>
      <c r="F126" s="93"/>
    </row>
    <row r="127" spans="1:11" x14ac:dyDescent="0.2">
      <c r="F127" s="93"/>
    </row>
    <row r="128" spans="1:11" x14ac:dyDescent="0.2">
      <c r="A128" s="5" t="str">
        <f>Summary!$G$11</f>
        <v>PIPELINE PROJECT</v>
      </c>
    </row>
    <row r="140" spans="1:5" ht="16" x14ac:dyDescent="0.2">
      <c r="A140" s="192" t="s">
        <v>88</v>
      </c>
    </row>
    <row r="141" spans="1:5" x14ac:dyDescent="0.2">
      <c r="A141" s="5" t="s">
        <v>24</v>
      </c>
      <c r="B141" s="191" t="s">
        <v>1109</v>
      </c>
    </row>
    <row r="143" spans="1:5" x14ac:dyDescent="0.2">
      <c r="D143" s="2" t="s">
        <v>11</v>
      </c>
      <c r="E143" s="3">
        <f>Summary!$G$3</f>
        <v>42505</v>
      </c>
    </row>
    <row r="144" spans="1:5" x14ac:dyDescent="0.2">
      <c r="A144" s="5" t="s">
        <v>1</v>
      </c>
      <c r="B144" s="4" t="s">
        <v>857</v>
      </c>
    </row>
    <row r="146" spans="1:5" x14ac:dyDescent="0.2">
      <c r="A146" s="9" t="s">
        <v>19</v>
      </c>
      <c r="B146" s="10" t="s">
        <v>2</v>
      </c>
      <c r="C146" s="11" t="s">
        <v>37</v>
      </c>
      <c r="D146" s="11" t="s">
        <v>27</v>
      </c>
      <c r="E146" s="12" t="s">
        <v>22</v>
      </c>
    </row>
    <row r="147" spans="1:5" ht="14.5" customHeight="1" x14ac:dyDescent="0.2">
      <c r="A147" s="124">
        <v>42460</v>
      </c>
      <c r="B147" s="111" t="s">
        <v>858</v>
      </c>
      <c r="C147" s="15"/>
      <c r="D147" s="15"/>
      <c r="E147" s="139"/>
    </row>
    <row r="148" spans="1:5" x14ac:dyDescent="0.2">
      <c r="A148" s="126"/>
      <c r="B148" s="444" t="s">
        <v>861</v>
      </c>
      <c r="C148" s="127"/>
      <c r="D148" s="127">
        <v>190859.76</v>
      </c>
      <c r="E148" s="127">
        <f>D148+C148</f>
        <v>190859.76</v>
      </c>
    </row>
    <row r="149" spans="1:5" x14ac:dyDescent="0.2">
      <c r="A149" s="129"/>
      <c r="B149" s="36"/>
      <c r="C149" s="127"/>
      <c r="D149" s="127"/>
      <c r="E149" s="127"/>
    </row>
    <row r="150" spans="1:5" x14ac:dyDescent="0.2">
      <c r="A150" s="149">
        <v>42460</v>
      </c>
      <c r="B150" s="398" t="s">
        <v>865</v>
      </c>
      <c r="C150" s="127"/>
      <c r="D150" s="127"/>
      <c r="E150" s="127"/>
    </row>
    <row r="151" spans="1:5" x14ac:dyDescent="0.2">
      <c r="A151" s="129"/>
      <c r="B151" s="36" t="s">
        <v>864</v>
      </c>
      <c r="C151" s="127"/>
      <c r="D151" s="127">
        <v>1201072.32</v>
      </c>
      <c r="E151" s="127">
        <f t="shared" ref="E151" si="3">D151+C151</f>
        <v>1201072.32</v>
      </c>
    </row>
    <row r="152" spans="1:5" x14ac:dyDescent="0.2">
      <c r="A152" s="129"/>
      <c r="B152" s="36"/>
      <c r="C152" s="127"/>
      <c r="D152" s="127"/>
      <c r="E152" s="127"/>
    </row>
    <row r="153" spans="1:5" x14ac:dyDescent="0.2">
      <c r="A153" s="149">
        <v>42475</v>
      </c>
      <c r="B153" s="398" t="s">
        <v>858</v>
      </c>
      <c r="C153" s="127"/>
      <c r="D153" s="127"/>
      <c r="E153" s="127"/>
    </row>
    <row r="154" spans="1:5" x14ac:dyDescent="0.2">
      <c r="A154" s="129"/>
      <c r="B154" s="461" t="s">
        <v>862</v>
      </c>
      <c r="C154" s="127"/>
      <c r="D154" s="127">
        <v>381719.52</v>
      </c>
      <c r="E154" s="127">
        <f>C154+D154</f>
        <v>381719.52</v>
      </c>
    </row>
    <row r="155" spans="1:5" x14ac:dyDescent="0.2">
      <c r="A155" s="129"/>
      <c r="B155" s="36"/>
      <c r="C155" s="127"/>
      <c r="D155" s="127"/>
      <c r="E155" s="127"/>
    </row>
    <row r="156" spans="1:5" x14ac:dyDescent="0.2">
      <c r="A156" s="149">
        <v>42490</v>
      </c>
      <c r="B156" s="398" t="s">
        <v>858</v>
      </c>
      <c r="C156" s="127"/>
      <c r="D156" s="127">
        <v>190859.76</v>
      </c>
      <c r="E156" s="127">
        <f>C156+D156</f>
        <v>190859.76</v>
      </c>
    </row>
    <row r="157" spans="1:5" x14ac:dyDescent="0.2">
      <c r="A157" s="129"/>
      <c r="B157" s="461" t="s">
        <v>999</v>
      </c>
      <c r="C157" s="127"/>
      <c r="D157" s="127"/>
      <c r="E157" s="127"/>
    </row>
    <row r="158" spans="1:5" x14ac:dyDescent="0.2">
      <c r="A158" s="130"/>
      <c r="B158" s="131"/>
      <c r="C158" s="132"/>
      <c r="D158" s="132"/>
      <c r="E158" s="132"/>
    </row>
    <row r="159" spans="1:5" x14ac:dyDescent="0.2">
      <c r="A159" s="6"/>
      <c r="B159" s="345" t="s">
        <v>12</v>
      </c>
      <c r="C159" s="141">
        <f>SUM(C147:C158)</f>
        <v>0</v>
      </c>
      <c r="D159" s="141">
        <f>SUM(D147:D158)</f>
        <v>1964511.36</v>
      </c>
      <c r="E159" s="133">
        <f>SUM(E147:E158)</f>
        <v>1964511.36</v>
      </c>
    </row>
    <row r="161" spans="1:11" x14ac:dyDescent="0.2">
      <c r="A161" t="str">
        <f>Summary!$G$9</f>
        <v>Contractor</v>
      </c>
    </row>
    <row r="162" spans="1:11" x14ac:dyDescent="0.2">
      <c r="D162" s="5"/>
    </row>
    <row r="164" spans="1:11" x14ac:dyDescent="0.2">
      <c r="C164" s="488"/>
      <c r="D164" s="488"/>
      <c r="E164" s="488"/>
    </row>
    <row r="165" spans="1:11" x14ac:dyDescent="0.2">
      <c r="C165" s="489" t="str">
        <f>Summary!$G$10</f>
        <v>Construction Manager</v>
      </c>
      <c r="D165" s="489"/>
      <c r="E165" s="489"/>
    </row>
    <row r="166" spans="1:11" ht="13.5" customHeight="1" x14ac:dyDescent="0.2">
      <c r="A166" s="79"/>
      <c r="C166" s="81"/>
      <c r="D166" s="82"/>
      <c r="E166" s="83"/>
      <c r="F166" s="93"/>
      <c r="G166" s="93"/>
      <c r="I166" s="95"/>
      <c r="J166" s="95"/>
      <c r="K166" s="95"/>
    </row>
    <row r="167" spans="1:11" x14ac:dyDescent="0.2">
      <c r="D167" s="82"/>
      <c r="E167" s="83"/>
      <c r="F167" s="93"/>
      <c r="I167" s="96"/>
      <c r="J167" s="96"/>
      <c r="K167" s="95"/>
    </row>
    <row r="168" spans="1:11" x14ac:dyDescent="0.2">
      <c r="F168" s="93"/>
    </row>
    <row r="169" spans="1:11" x14ac:dyDescent="0.2">
      <c r="A169" s="58"/>
      <c r="B169" s="58"/>
      <c r="D169" s="392" t="s">
        <v>182</v>
      </c>
      <c r="E169" s="320" t="s">
        <v>183</v>
      </c>
      <c r="F169" s="93"/>
    </row>
    <row r="170" spans="1:11" ht="14" customHeight="1" x14ac:dyDescent="0.2">
      <c r="A170" s="58"/>
      <c r="B170" s="58"/>
      <c r="D170" s="381">
        <v>1964511.36</v>
      </c>
      <c r="E170" s="381">
        <f>E159</f>
        <v>1964511.36</v>
      </c>
      <c r="F170" s="93"/>
    </row>
    <row r="171" spans="1:11" x14ac:dyDescent="0.2">
      <c r="E171" t="s">
        <v>134</v>
      </c>
      <c r="F171" s="93"/>
    </row>
  </sheetData>
  <mergeCells count="8">
    <mergeCell ref="C164:E164"/>
    <mergeCell ref="C165:E165"/>
    <mergeCell ref="C121:E121"/>
    <mergeCell ref="C34:E34"/>
    <mergeCell ref="C35:E35"/>
    <mergeCell ref="C76:E76"/>
    <mergeCell ref="C77:E77"/>
    <mergeCell ref="C120:E120"/>
  </mergeCells>
  <phoneticPr fontId="26" type="noConversion"/>
  <pageMargins left="0.70000000000000007" right="0.70000000000000007" top="1.3405511811023623" bottom="0.75000000000000011" header="0.30000000000000004" footer="0.30000000000000004"/>
  <pageSetup scale="93" orientation="portrait" verticalDpi="1200"/>
  <rowBreaks count="2" manualBreakCount="2">
    <brk id="41" max="16383" man="1"/>
    <brk id="171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40"/>
  <sheetViews>
    <sheetView workbookViewId="0">
      <selection activeCell="C17" sqref="C17"/>
    </sheetView>
  </sheetViews>
  <sheetFormatPr baseColWidth="10" defaultColWidth="8.83203125" defaultRowHeight="15" x14ac:dyDescent="0.2"/>
  <cols>
    <col min="1" max="2" width="10" customWidth="1"/>
    <col min="3" max="3" width="36" customWidth="1"/>
    <col min="4" max="6" width="13.83203125" customWidth="1"/>
  </cols>
  <sheetData>
    <row r="1" spans="1:6" x14ac:dyDescent="0.2">
      <c r="A1" s="5" t="str">
        <f>Summary!$G$11</f>
        <v>PIPELINE PROJECT</v>
      </c>
      <c r="B1" s="5"/>
    </row>
    <row r="13" spans="1:6" ht="16" x14ac:dyDescent="0.2">
      <c r="A13" s="161" t="s">
        <v>92</v>
      </c>
      <c r="B13" s="161"/>
    </row>
    <row r="14" spans="1:6" x14ac:dyDescent="0.2">
      <c r="A14" s="5" t="s">
        <v>24</v>
      </c>
      <c r="B14" s="160" t="s">
        <v>1110</v>
      </c>
    </row>
    <row r="16" spans="1:6" x14ac:dyDescent="0.2">
      <c r="E16" s="2" t="s">
        <v>11</v>
      </c>
      <c r="F16" s="3">
        <v>42400</v>
      </c>
    </row>
    <row r="17" spans="1:6" x14ac:dyDescent="0.2">
      <c r="A17" t="s">
        <v>1</v>
      </c>
      <c r="B17" s="4" t="s">
        <v>91</v>
      </c>
    </row>
    <row r="19" spans="1:6" x14ac:dyDescent="0.2">
      <c r="A19" s="9" t="s">
        <v>19</v>
      </c>
      <c r="B19" s="11" t="s">
        <v>93</v>
      </c>
      <c r="C19" s="10" t="s">
        <v>2</v>
      </c>
      <c r="D19" s="11" t="s">
        <v>37</v>
      </c>
      <c r="E19" s="11" t="s">
        <v>27</v>
      </c>
      <c r="F19" s="12" t="s">
        <v>22</v>
      </c>
    </row>
    <row r="20" spans="1:6" x14ac:dyDescent="0.2">
      <c r="A20" s="124"/>
      <c r="B20" s="354"/>
      <c r="C20" s="125"/>
      <c r="D20" s="178"/>
      <c r="E20" s="178"/>
      <c r="F20" s="179"/>
    </row>
    <row r="21" spans="1:6" x14ac:dyDescent="0.2">
      <c r="A21" s="126">
        <v>42400</v>
      </c>
      <c r="B21" s="355" t="s">
        <v>335</v>
      </c>
      <c r="C21" s="21" t="s">
        <v>266</v>
      </c>
      <c r="D21" s="180">
        <v>1914.8</v>
      </c>
      <c r="E21" s="180"/>
      <c r="F21" s="180">
        <f t="shared" ref="F21:F34" si="0">D21+E21</f>
        <v>1914.8</v>
      </c>
    </row>
    <row r="22" spans="1:6" ht="14.5" customHeight="1" x14ac:dyDescent="0.2">
      <c r="A22" s="126"/>
      <c r="B22" s="355" t="s">
        <v>262</v>
      </c>
      <c r="C22" s="21" t="s">
        <v>263</v>
      </c>
      <c r="D22" s="180">
        <v>22816.42</v>
      </c>
      <c r="E22" s="180"/>
      <c r="F22" s="181">
        <f t="shared" si="0"/>
        <v>22816.42</v>
      </c>
    </row>
    <row r="23" spans="1:6" ht="14.5" customHeight="1" x14ac:dyDescent="0.2">
      <c r="A23" s="126"/>
      <c r="B23" s="355" t="s">
        <v>529</v>
      </c>
      <c r="C23" s="21" t="s">
        <v>313</v>
      </c>
      <c r="D23" s="180">
        <v>17472</v>
      </c>
      <c r="E23" s="180"/>
      <c r="F23" s="181">
        <f t="shared" si="0"/>
        <v>17472</v>
      </c>
    </row>
    <row r="24" spans="1:6" x14ac:dyDescent="0.2">
      <c r="A24" s="149"/>
      <c r="B24" s="356" t="s">
        <v>273</v>
      </c>
      <c r="C24" s="36" t="s">
        <v>274</v>
      </c>
      <c r="D24" s="180">
        <v>38880</v>
      </c>
      <c r="E24" s="180"/>
      <c r="F24" s="181">
        <f t="shared" si="0"/>
        <v>38880</v>
      </c>
    </row>
    <row r="25" spans="1:6" x14ac:dyDescent="0.2">
      <c r="A25" s="149"/>
      <c r="B25" s="356" t="s">
        <v>522</v>
      </c>
      <c r="C25" s="36" t="s">
        <v>526</v>
      </c>
      <c r="D25" s="180">
        <v>4500</v>
      </c>
      <c r="E25" s="180"/>
      <c r="F25" s="181">
        <f t="shared" si="0"/>
        <v>4500</v>
      </c>
    </row>
    <row r="26" spans="1:6" x14ac:dyDescent="0.2">
      <c r="A26" s="149"/>
      <c r="B26" s="356"/>
      <c r="C26" s="36"/>
      <c r="D26" s="180"/>
      <c r="E26" s="180"/>
      <c r="F26" s="181">
        <f t="shared" si="0"/>
        <v>0</v>
      </c>
    </row>
    <row r="27" spans="1:6" x14ac:dyDescent="0.2">
      <c r="A27" s="149"/>
      <c r="B27" s="356"/>
      <c r="C27" s="36"/>
      <c r="D27" s="180"/>
      <c r="E27" s="180"/>
      <c r="F27" s="181">
        <f t="shared" si="0"/>
        <v>0</v>
      </c>
    </row>
    <row r="28" spans="1:6" x14ac:dyDescent="0.2">
      <c r="A28" s="149"/>
      <c r="B28" s="356"/>
      <c r="C28" s="36"/>
      <c r="D28" s="180"/>
      <c r="E28" s="180"/>
      <c r="F28" s="181">
        <f t="shared" si="0"/>
        <v>0</v>
      </c>
    </row>
    <row r="29" spans="1:6" x14ac:dyDescent="0.2">
      <c r="A29" s="149"/>
      <c r="B29" s="356"/>
      <c r="C29" s="36"/>
      <c r="D29" s="180"/>
      <c r="E29" s="180"/>
      <c r="F29" s="181">
        <f t="shared" si="0"/>
        <v>0</v>
      </c>
    </row>
    <row r="30" spans="1:6" x14ac:dyDescent="0.2">
      <c r="A30" s="149"/>
      <c r="B30" s="356"/>
      <c r="C30" s="36"/>
      <c r="D30" s="180"/>
      <c r="E30" s="180"/>
      <c r="F30" s="181">
        <f t="shared" si="0"/>
        <v>0</v>
      </c>
    </row>
    <row r="31" spans="1:6" x14ac:dyDescent="0.2">
      <c r="A31" s="149"/>
      <c r="B31" s="356"/>
      <c r="C31" s="36"/>
      <c r="D31" s="180"/>
      <c r="E31" s="180"/>
      <c r="F31" s="181">
        <f t="shared" si="0"/>
        <v>0</v>
      </c>
    </row>
    <row r="32" spans="1:6" x14ac:dyDescent="0.2">
      <c r="A32" s="150"/>
      <c r="B32" s="357"/>
      <c r="C32" s="146"/>
      <c r="D32" s="182"/>
      <c r="E32" s="182"/>
      <c r="F32" s="183">
        <f t="shared" si="0"/>
        <v>0</v>
      </c>
    </row>
    <row r="33" spans="1:6" x14ac:dyDescent="0.2">
      <c r="A33" s="150"/>
      <c r="B33" s="357"/>
      <c r="C33" s="146"/>
      <c r="D33" s="182"/>
      <c r="E33" s="182"/>
      <c r="F33" s="180">
        <f t="shared" si="0"/>
        <v>0</v>
      </c>
    </row>
    <row r="34" spans="1:6" x14ac:dyDescent="0.2">
      <c r="A34" s="153"/>
      <c r="B34" s="358"/>
      <c r="C34" s="131"/>
      <c r="D34" s="184"/>
      <c r="E34" s="182"/>
      <c r="F34" s="180">
        <f t="shared" si="0"/>
        <v>0</v>
      </c>
    </row>
    <row r="35" spans="1:6" x14ac:dyDescent="0.2">
      <c r="A35" s="6"/>
      <c r="B35" s="6"/>
      <c r="C35" s="185" t="s">
        <v>12</v>
      </c>
      <c r="D35" s="185">
        <f>SUM(D20:D34)</f>
        <v>85583.22</v>
      </c>
      <c r="E35" s="185">
        <f>SUM(E20:E34)</f>
        <v>0</v>
      </c>
      <c r="F35" s="186">
        <f>SUM(F20:F34)</f>
        <v>85583.22</v>
      </c>
    </row>
    <row r="37" spans="1:6" x14ac:dyDescent="0.2">
      <c r="A37" t="str">
        <f>Summary!$G$9</f>
        <v>Contractor</v>
      </c>
    </row>
    <row r="39" spans="1:6" x14ac:dyDescent="0.2">
      <c r="D39" s="517"/>
      <c r="E39" s="517"/>
      <c r="F39" s="517"/>
    </row>
    <row r="40" spans="1:6" x14ac:dyDescent="0.2">
      <c r="D40" s="489"/>
      <c r="E40" s="489"/>
      <c r="F40" s="489"/>
    </row>
  </sheetData>
  <mergeCells count="2">
    <mergeCell ref="D39:F39"/>
    <mergeCell ref="D40:F40"/>
  </mergeCells>
  <phoneticPr fontId="26" type="noConversion"/>
  <pageMargins left="1.2900000000000003" right="0.70000000000000007" top="2.3174015748031493" bottom="0.75000000000000011" header="0.30000000000000004" footer="0.30000000000000004"/>
  <pageSetup scale="72" orientation="portrait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123"/>
  <sheetViews>
    <sheetView topLeftCell="A42"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1111</v>
      </c>
    </row>
    <row r="16" spans="1:5" x14ac:dyDescent="0.2">
      <c r="D16" s="2" t="s">
        <v>11</v>
      </c>
      <c r="E16" s="3">
        <v>42429</v>
      </c>
    </row>
    <row r="17" spans="1:5" x14ac:dyDescent="0.2">
      <c r="A17" s="5" t="s">
        <v>1</v>
      </c>
      <c r="B17" s="4" t="s">
        <v>1112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42429</v>
      </c>
      <c r="B20" s="125" t="s">
        <v>735</v>
      </c>
      <c r="C20" s="15"/>
      <c r="D20" s="15"/>
      <c r="E20" s="139"/>
    </row>
    <row r="21" spans="1:5" x14ac:dyDescent="0.2">
      <c r="A21" s="126"/>
      <c r="B21" s="21" t="s">
        <v>736</v>
      </c>
      <c r="C21" s="127">
        <v>78334.63</v>
      </c>
      <c r="D21" s="127"/>
      <c r="E21" s="127">
        <f>C21+D21</f>
        <v>78334.63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78334.63</v>
      </c>
      <c r="D29" s="141">
        <f>SUM(D20:D28)</f>
        <v>0</v>
      </c>
      <c r="E29" s="133">
        <f>SUM(E20:E28)</f>
        <v>78334.63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200000</v>
      </c>
      <c r="E40" s="381">
        <f>E29</f>
        <v>78334.63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1111</v>
      </c>
    </row>
    <row r="57" spans="1:5" x14ac:dyDescent="0.2">
      <c r="D57" s="2" t="s">
        <v>11</v>
      </c>
      <c r="E57" s="3">
        <v>42444</v>
      </c>
    </row>
    <row r="58" spans="1:5" x14ac:dyDescent="0.2">
      <c r="A58" s="5" t="s">
        <v>1</v>
      </c>
      <c r="B58" s="4" t="s">
        <v>1112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42429</v>
      </c>
      <c r="B61" s="125" t="s">
        <v>1112</v>
      </c>
      <c r="C61" s="15"/>
      <c r="D61" s="15">
        <v>78334.63</v>
      </c>
      <c r="E61" s="127">
        <f>C61+D61</f>
        <v>78334.63</v>
      </c>
    </row>
    <row r="62" spans="1:5" x14ac:dyDescent="0.2">
      <c r="A62" s="126">
        <v>42444</v>
      </c>
      <c r="B62" s="21" t="s">
        <v>837</v>
      </c>
      <c r="C62" s="127">
        <v>3649.1</v>
      </c>
      <c r="D62" s="127"/>
      <c r="E62" s="127">
        <f>C62+D62</f>
        <v>3649.1</v>
      </c>
    </row>
    <row r="63" spans="1:5" x14ac:dyDescent="0.2">
      <c r="A63" s="126"/>
      <c r="B63" s="21" t="s">
        <v>838</v>
      </c>
      <c r="C63" s="127">
        <v>3037.13</v>
      </c>
      <c r="D63" s="127"/>
      <c r="E63" s="127">
        <f>C63+D63</f>
        <v>3037.13</v>
      </c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6686.23</v>
      </c>
      <c r="D70" s="141">
        <f>SUM(D61:D69)</f>
        <v>78334.63</v>
      </c>
      <c r="E70" s="133">
        <f>SUM(E61:E69)</f>
        <v>85020.860000000015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200000</v>
      </c>
      <c r="E81" s="381">
        <f>E70</f>
        <v>85020.860000000015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1111</v>
      </c>
    </row>
    <row r="98" spans="1:5" x14ac:dyDescent="0.2">
      <c r="D98" s="2" t="s">
        <v>11</v>
      </c>
      <c r="E98" s="3">
        <f>Summary!$G$3</f>
        <v>42505</v>
      </c>
    </row>
    <row r="99" spans="1:5" x14ac:dyDescent="0.2">
      <c r="A99" s="5" t="s">
        <v>1</v>
      </c>
      <c r="B99" s="4" t="s">
        <v>1112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42429</v>
      </c>
      <c r="B102" s="125" t="s">
        <v>1112</v>
      </c>
      <c r="C102" s="15"/>
      <c r="D102" s="15">
        <v>78334.63</v>
      </c>
      <c r="E102" s="127">
        <f>C102+D102</f>
        <v>78334.63</v>
      </c>
    </row>
    <row r="103" spans="1:5" x14ac:dyDescent="0.2">
      <c r="A103" s="126">
        <v>42444</v>
      </c>
      <c r="B103" s="21" t="s">
        <v>837</v>
      </c>
      <c r="C103" s="128"/>
      <c r="D103" s="127">
        <v>3649.1</v>
      </c>
      <c r="E103" s="127">
        <f>C103+D103</f>
        <v>3649.1</v>
      </c>
    </row>
    <row r="104" spans="1:5" x14ac:dyDescent="0.2">
      <c r="A104" s="126"/>
      <c r="B104" s="21" t="s">
        <v>838</v>
      </c>
      <c r="C104" s="128"/>
      <c r="D104" s="127">
        <v>3037.13</v>
      </c>
      <c r="E104" s="127">
        <f>C104+D104</f>
        <v>3037.13</v>
      </c>
    </row>
    <row r="105" spans="1:5" ht="14.5" customHeight="1" x14ac:dyDescent="0.2">
      <c r="A105" s="126"/>
      <c r="B105" s="21"/>
      <c r="C105" s="128"/>
      <c r="D105" s="127"/>
      <c r="E105" s="127"/>
    </row>
    <row r="106" spans="1:5" x14ac:dyDescent="0.2">
      <c r="A106" s="129"/>
      <c r="B106" s="36"/>
      <c r="C106" s="127"/>
      <c r="D106" s="127"/>
      <c r="E106" s="127"/>
    </row>
    <row r="107" spans="1:5" x14ac:dyDescent="0.2">
      <c r="A107" s="129"/>
      <c r="B107" s="36"/>
      <c r="C107" s="127"/>
      <c r="D107" s="127"/>
      <c r="E107" s="127"/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0</v>
      </c>
      <c r="D111" s="141">
        <f>SUM(D102:D110)</f>
        <v>85020.860000000015</v>
      </c>
      <c r="E111" s="133">
        <f>SUM(E102:E110)</f>
        <v>85020.860000000015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200000</v>
      </c>
      <c r="E122" s="381">
        <f>E111</f>
        <v>85020.860000000015</v>
      </c>
      <c r="F122" s="93"/>
    </row>
    <row r="123" spans="1:11" x14ac:dyDescent="0.2">
      <c r="E123" t="s">
        <v>134</v>
      </c>
      <c r="F123" s="93"/>
    </row>
  </sheetData>
  <mergeCells count="6">
    <mergeCell ref="C117:E117"/>
    <mergeCell ref="C34:E34"/>
    <mergeCell ref="C35:E35"/>
    <mergeCell ref="C75:E75"/>
    <mergeCell ref="C76:E76"/>
    <mergeCell ref="C116:E116"/>
  </mergeCells>
  <phoneticPr fontId="26" type="noConversion"/>
  <pageMargins left="1.095748031496063" right="0.70000000000000007" top="1.34" bottom="0.75000000000000011" header="0.30000000000000004" footer="0.30000000000000004"/>
  <pageSetup scale="81" orientation="portrait" verticalDpi="1200"/>
  <rowBreaks count="1" manualBreakCount="1">
    <brk id="40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40"/>
  <sheetViews>
    <sheetView workbookViewId="0">
      <selection activeCell="E10" sqref="E10"/>
    </sheetView>
  </sheetViews>
  <sheetFormatPr baseColWidth="10" defaultColWidth="8.83203125" defaultRowHeight="15" x14ac:dyDescent="0.2"/>
  <cols>
    <col min="1" max="2" width="10" customWidth="1"/>
    <col min="3" max="3" width="36" customWidth="1"/>
    <col min="4" max="6" width="13.83203125" customWidth="1"/>
  </cols>
  <sheetData>
    <row r="1" spans="1:6" x14ac:dyDescent="0.2">
      <c r="A1" s="5" t="str">
        <f>Summary!$G$11</f>
        <v>PIPELINE PROJECT</v>
      </c>
      <c r="B1" s="5"/>
    </row>
    <row r="13" spans="1:6" ht="16" x14ac:dyDescent="0.2">
      <c r="A13" s="161" t="s">
        <v>92</v>
      </c>
      <c r="B13" s="161"/>
    </row>
    <row r="14" spans="1:6" x14ac:dyDescent="0.2">
      <c r="A14" s="5" t="s">
        <v>1114</v>
      </c>
      <c r="B14" s="160" t="s">
        <v>1113</v>
      </c>
    </row>
    <row r="16" spans="1:6" x14ac:dyDescent="0.2">
      <c r="E16" s="2" t="s">
        <v>11</v>
      </c>
      <c r="F16" s="3">
        <v>42415</v>
      </c>
    </row>
    <row r="17" spans="1:6" x14ac:dyDescent="0.2">
      <c r="A17" t="s">
        <v>1</v>
      </c>
      <c r="B17" s="4" t="s">
        <v>91</v>
      </c>
    </row>
    <row r="19" spans="1:6" x14ac:dyDescent="0.2">
      <c r="A19" s="9" t="s">
        <v>19</v>
      </c>
      <c r="B19" s="11" t="s">
        <v>93</v>
      </c>
      <c r="C19" s="10" t="s">
        <v>2</v>
      </c>
      <c r="D19" s="11" t="s">
        <v>37</v>
      </c>
      <c r="E19" s="11" t="s">
        <v>27</v>
      </c>
      <c r="F19" s="12" t="s">
        <v>22</v>
      </c>
    </row>
    <row r="20" spans="1:6" x14ac:dyDescent="0.2">
      <c r="A20" s="124"/>
      <c r="B20" s="354"/>
      <c r="C20" s="125"/>
      <c r="D20" s="178"/>
      <c r="E20" s="178"/>
      <c r="F20" s="179"/>
    </row>
    <row r="21" spans="1:6" x14ac:dyDescent="0.2">
      <c r="A21" s="126">
        <v>42415</v>
      </c>
      <c r="B21" s="355" t="s">
        <v>335</v>
      </c>
      <c r="C21" s="21" t="s">
        <v>266</v>
      </c>
      <c r="D21" s="180">
        <v>4031.8</v>
      </c>
      <c r="E21" s="180"/>
      <c r="F21" s="180">
        <f t="shared" ref="F21:F34" si="0">D21+E21</f>
        <v>4031.8</v>
      </c>
    </row>
    <row r="22" spans="1:6" ht="14.5" customHeight="1" x14ac:dyDescent="0.2">
      <c r="A22" s="126"/>
      <c r="B22" s="355" t="s">
        <v>262</v>
      </c>
      <c r="C22" s="21" t="s">
        <v>263</v>
      </c>
      <c r="D22" s="180">
        <v>79893.2</v>
      </c>
      <c r="E22" s="180"/>
      <c r="F22" s="181">
        <f t="shared" si="0"/>
        <v>79893.2</v>
      </c>
    </row>
    <row r="23" spans="1:6" ht="14.5" customHeight="1" x14ac:dyDescent="0.2">
      <c r="A23" s="126"/>
      <c r="B23" s="355" t="s">
        <v>611</v>
      </c>
      <c r="C23" s="21" t="s">
        <v>313</v>
      </c>
      <c r="D23" s="180">
        <v>27328</v>
      </c>
      <c r="E23" s="180"/>
      <c r="F23" s="181">
        <f t="shared" si="0"/>
        <v>27328</v>
      </c>
    </row>
    <row r="24" spans="1:6" x14ac:dyDescent="0.2">
      <c r="A24" s="149"/>
      <c r="B24" s="356" t="s">
        <v>517</v>
      </c>
      <c r="C24" s="36" t="s">
        <v>612</v>
      </c>
      <c r="D24" s="180">
        <v>7780</v>
      </c>
      <c r="E24" s="180"/>
      <c r="F24" s="181">
        <f>D24+E24</f>
        <v>7780</v>
      </c>
    </row>
    <row r="25" spans="1:6" x14ac:dyDescent="0.2">
      <c r="A25" s="149"/>
      <c r="B25" s="356" t="s">
        <v>273</v>
      </c>
      <c r="C25" s="36" t="s">
        <v>274</v>
      </c>
      <c r="D25" s="180">
        <v>12150</v>
      </c>
      <c r="E25" s="180"/>
      <c r="F25" s="181">
        <f t="shared" si="0"/>
        <v>12150</v>
      </c>
    </row>
    <row r="26" spans="1:6" x14ac:dyDescent="0.2">
      <c r="A26" s="149"/>
      <c r="B26" s="356"/>
      <c r="C26" s="36"/>
      <c r="D26" s="180"/>
      <c r="E26" s="180"/>
      <c r="F26" s="181">
        <f t="shared" si="0"/>
        <v>0</v>
      </c>
    </row>
    <row r="27" spans="1:6" x14ac:dyDescent="0.2">
      <c r="A27" s="149"/>
      <c r="B27" s="356"/>
      <c r="C27" s="36"/>
      <c r="D27" s="180"/>
      <c r="E27" s="180"/>
      <c r="F27" s="181">
        <f t="shared" si="0"/>
        <v>0</v>
      </c>
    </row>
    <row r="28" spans="1:6" x14ac:dyDescent="0.2">
      <c r="A28" s="149"/>
      <c r="B28" s="356"/>
      <c r="C28" s="36"/>
      <c r="D28" s="180"/>
      <c r="E28" s="180"/>
      <c r="F28" s="181">
        <f t="shared" si="0"/>
        <v>0</v>
      </c>
    </row>
    <row r="29" spans="1:6" x14ac:dyDescent="0.2">
      <c r="A29" s="149"/>
      <c r="B29" s="356"/>
      <c r="C29" s="36"/>
      <c r="D29" s="180"/>
      <c r="E29" s="180"/>
      <c r="F29" s="181">
        <f t="shared" si="0"/>
        <v>0</v>
      </c>
    </row>
    <row r="30" spans="1:6" x14ac:dyDescent="0.2">
      <c r="A30" s="149"/>
      <c r="B30" s="356"/>
      <c r="C30" s="36"/>
      <c r="D30" s="180"/>
      <c r="E30" s="180"/>
      <c r="F30" s="181">
        <f t="shared" si="0"/>
        <v>0</v>
      </c>
    </row>
    <row r="31" spans="1:6" x14ac:dyDescent="0.2">
      <c r="A31" s="149"/>
      <c r="B31" s="356"/>
      <c r="C31" s="36"/>
      <c r="D31" s="180"/>
      <c r="E31" s="180"/>
      <c r="F31" s="181">
        <f t="shared" si="0"/>
        <v>0</v>
      </c>
    </row>
    <row r="32" spans="1:6" x14ac:dyDescent="0.2">
      <c r="A32" s="150"/>
      <c r="B32" s="357"/>
      <c r="C32" s="146"/>
      <c r="D32" s="182"/>
      <c r="E32" s="182"/>
      <c r="F32" s="183">
        <f t="shared" si="0"/>
        <v>0</v>
      </c>
    </row>
    <row r="33" spans="1:6" x14ac:dyDescent="0.2">
      <c r="A33" s="150"/>
      <c r="B33" s="357"/>
      <c r="C33" s="146"/>
      <c r="D33" s="182"/>
      <c r="E33" s="182"/>
      <c r="F33" s="180">
        <f t="shared" si="0"/>
        <v>0</v>
      </c>
    </row>
    <row r="34" spans="1:6" x14ac:dyDescent="0.2">
      <c r="A34" s="153"/>
      <c r="B34" s="358"/>
      <c r="C34" s="131"/>
      <c r="D34" s="184"/>
      <c r="E34" s="182"/>
      <c r="F34" s="180">
        <f t="shared" si="0"/>
        <v>0</v>
      </c>
    </row>
    <row r="35" spans="1:6" x14ac:dyDescent="0.2">
      <c r="A35" s="6"/>
      <c r="B35" s="6"/>
      <c r="C35" s="185" t="s">
        <v>12</v>
      </c>
      <c r="D35" s="185">
        <f>SUM(D20:D34)</f>
        <v>131183</v>
      </c>
      <c r="E35" s="185">
        <f>SUM(E20:E34)</f>
        <v>0</v>
      </c>
      <c r="F35" s="186">
        <f>SUM(F20:F34)</f>
        <v>131183</v>
      </c>
    </row>
    <row r="37" spans="1:6" x14ac:dyDescent="0.2">
      <c r="A37" t="str">
        <f>Summary!$G$9</f>
        <v>Contractor</v>
      </c>
    </row>
    <row r="39" spans="1:6" x14ac:dyDescent="0.2">
      <c r="D39" s="517"/>
      <c r="E39" s="517"/>
      <c r="F39" s="517"/>
    </row>
    <row r="40" spans="1:6" x14ac:dyDescent="0.2">
      <c r="D40" s="489"/>
      <c r="E40" s="489"/>
      <c r="F40" s="489"/>
    </row>
  </sheetData>
  <mergeCells count="2">
    <mergeCell ref="D39:F39"/>
    <mergeCell ref="D40:F40"/>
  </mergeCells>
  <phoneticPr fontId="26" type="noConversion"/>
  <pageMargins left="1.2900000000000003" right="0.70000000000000007" top="2.3174015748031493" bottom="0.75000000000000011" header="0.30000000000000004" footer="0.30000000000000004"/>
  <pageSetup scale="72" orientation="portrait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82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1115</v>
      </c>
    </row>
    <row r="16" spans="1:5" x14ac:dyDescent="0.2">
      <c r="D16" s="2" t="s">
        <v>11</v>
      </c>
      <c r="E16" s="3">
        <v>42429</v>
      </c>
    </row>
    <row r="17" spans="1:5" x14ac:dyDescent="0.2">
      <c r="A17" s="5" t="s">
        <v>1</v>
      </c>
      <c r="B17" s="4" t="s">
        <v>652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42429</v>
      </c>
      <c r="B20" s="125" t="s">
        <v>719</v>
      </c>
      <c r="C20" s="15"/>
      <c r="D20" s="15"/>
      <c r="E20" s="139"/>
    </row>
    <row r="21" spans="1:5" x14ac:dyDescent="0.2">
      <c r="A21" s="126"/>
      <c r="B21" s="21" t="s">
        <v>720</v>
      </c>
      <c r="C21" s="127">
        <v>22059.31</v>
      </c>
      <c r="D21" s="127"/>
      <c r="E21" s="127">
        <f>C21+D21</f>
        <v>22059.31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22059.31</v>
      </c>
      <c r="D29" s="141">
        <f>SUM(D20:D28)</f>
        <v>0</v>
      </c>
      <c r="E29" s="133">
        <f>SUM(E20:E28)</f>
        <v>22059.31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22069.31</v>
      </c>
      <c r="E40" s="381">
        <f>E29</f>
        <v>22059.31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1115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652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42429</v>
      </c>
      <c r="B61" s="125" t="s">
        <v>719</v>
      </c>
      <c r="C61" s="15"/>
      <c r="D61" s="15"/>
      <c r="E61" s="139"/>
    </row>
    <row r="62" spans="1:5" x14ac:dyDescent="0.2">
      <c r="A62" s="126"/>
      <c r="B62" s="21" t="s">
        <v>720</v>
      </c>
      <c r="C62" s="127"/>
      <c r="D62" s="127">
        <v>22059.31</v>
      </c>
      <c r="E62" s="127">
        <f>C62+D62</f>
        <v>22059.31</v>
      </c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22059.31</v>
      </c>
      <c r="E70" s="133">
        <f>SUM(E61:E69)</f>
        <v>22059.31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22069.31</v>
      </c>
      <c r="E81" s="381">
        <f>E70</f>
        <v>22059.31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2.0779527559055118" right="0.70000000000000007" top="1.34" bottom="0.75000000000000011" header="0.30000000000000004" footer="0.30000000000000004"/>
  <pageSetup scale="81" orientation="landscape" verticalDpi="1200"/>
  <rowBreaks count="1" manualBreakCount="1">
    <brk id="40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207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1116</v>
      </c>
    </row>
    <row r="16" spans="1:5" x14ac:dyDescent="0.2">
      <c r="D16" s="2" t="s">
        <v>11</v>
      </c>
      <c r="E16" s="3">
        <v>42429</v>
      </c>
    </row>
    <row r="17" spans="1:5" x14ac:dyDescent="0.2">
      <c r="A17" s="5" t="s">
        <v>1</v>
      </c>
      <c r="B17" s="4" t="s">
        <v>726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42429</v>
      </c>
      <c r="B20" s="125" t="s">
        <v>726</v>
      </c>
      <c r="C20" s="15"/>
      <c r="D20" s="15"/>
      <c r="E20" s="139"/>
    </row>
    <row r="21" spans="1:5" x14ac:dyDescent="0.2">
      <c r="A21" s="126"/>
      <c r="B21" s="21" t="s">
        <v>727</v>
      </c>
      <c r="C21" s="127">
        <v>55125</v>
      </c>
      <c r="D21" s="127"/>
      <c r="E21" s="127">
        <f>C21+D21</f>
        <v>55125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55125</v>
      </c>
      <c r="D29" s="141">
        <f>SUM(D20:D28)</f>
        <v>0</v>
      </c>
      <c r="E29" s="133">
        <f>SUM(E20:E28)</f>
        <v>55125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150785.25</v>
      </c>
      <c r="E40" s="381">
        <f>E29</f>
        <v>55125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1116</v>
      </c>
    </row>
    <row r="57" spans="1:5" x14ac:dyDescent="0.2">
      <c r="D57" s="2" t="s">
        <v>11</v>
      </c>
      <c r="E57" s="3">
        <v>42444</v>
      </c>
    </row>
    <row r="58" spans="1:5" x14ac:dyDescent="0.2">
      <c r="A58" s="5" t="s">
        <v>1</v>
      </c>
      <c r="B58" s="4" t="s">
        <v>726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42429</v>
      </c>
      <c r="B61" s="125" t="s">
        <v>726</v>
      </c>
      <c r="C61" s="15"/>
      <c r="D61" s="15">
        <v>55125</v>
      </c>
      <c r="E61" s="127">
        <f>C61+D61</f>
        <v>55125</v>
      </c>
    </row>
    <row r="62" spans="1:5" x14ac:dyDescent="0.2">
      <c r="A62" s="126"/>
      <c r="B62" s="21" t="s">
        <v>727</v>
      </c>
      <c r="C62" s="127"/>
      <c r="D62" s="127"/>
      <c r="E62" s="127"/>
    </row>
    <row r="63" spans="1:5" x14ac:dyDescent="0.2">
      <c r="A63" s="126">
        <v>42444</v>
      </c>
      <c r="B63" s="21" t="s">
        <v>726</v>
      </c>
      <c r="C63" s="127">
        <v>34177.5</v>
      </c>
      <c r="D63" s="127"/>
      <c r="E63" s="127">
        <f>C63+D63</f>
        <v>34177.5</v>
      </c>
    </row>
    <row r="64" spans="1:5" ht="14.5" customHeight="1" x14ac:dyDescent="0.2">
      <c r="A64" s="126"/>
      <c r="B64" s="21" t="s">
        <v>794</v>
      </c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34177.5</v>
      </c>
      <c r="D70" s="141">
        <f>SUM(D61:D69)</f>
        <v>55125</v>
      </c>
      <c r="E70" s="133">
        <f>SUM(E61:E69)</f>
        <v>89302.5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150785.25</v>
      </c>
      <c r="E81" s="381">
        <f>E70</f>
        <v>89302.5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1116</v>
      </c>
    </row>
    <row r="98" spans="1:5" x14ac:dyDescent="0.2">
      <c r="D98" s="2" t="s">
        <v>11</v>
      </c>
      <c r="E98" s="3">
        <v>42460</v>
      </c>
    </row>
    <row r="99" spans="1:5" x14ac:dyDescent="0.2">
      <c r="A99" s="5" t="s">
        <v>1</v>
      </c>
      <c r="B99" s="4" t="s">
        <v>726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42429</v>
      </c>
      <c r="B102" s="125" t="s">
        <v>726</v>
      </c>
      <c r="C102" s="15"/>
      <c r="D102" s="15">
        <v>55125</v>
      </c>
      <c r="E102" s="127">
        <f>C102+D102</f>
        <v>55125</v>
      </c>
    </row>
    <row r="103" spans="1:5" x14ac:dyDescent="0.2">
      <c r="A103" s="126"/>
      <c r="B103" s="21" t="s">
        <v>727</v>
      </c>
      <c r="C103" s="127"/>
      <c r="D103" s="127"/>
      <c r="E103" s="127"/>
    </row>
    <row r="104" spans="1:5" x14ac:dyDescent="0.2">
      <c r="A104" s="126">
        <v>42444</v>
      </c>
      <c r="B104" s="21" t="s">
        <v>726</v>
      </c>
      <c r="C104" s="127"/>
      <c r="D104" s="127">
        <v>34177.5</v>
      </c>
      <c r="E104" s="127">
        <f>C104+D104</f>
        <v>34177.5</v>
      </c>
    </row>
    <row r="105" spans="1:5" ht="14.5" customHeight="1" x14ac:dyDescent="0.2">
      <c r="A105" s="126"/>
      <c r="B105" s="21" t="s">
        <v>794</v>
      </c>
      <c r="C105" s="128"/>
      <c r="D105" s="127"/>
      <c r="E105" s="127"/>
    </row>
    <row r="106" spans="1:5" x14ac:dyDescent="0.2">
      <c r="A106" s="126">
        <v>42460</v>
      </c>
      <c r="B106" s="21" t="s">
        <v>726</v>
      </c>
      <c r="C106" s="127">
        <v>31710</v>
      </c>
      <c r="D106" s="127"/>
      <c r="E106" s="127">
        <f t="shared" ref="E106" si="0">C106+D106</f>
        <v>31710</v>
      </c>
    </row>
    <row r="107" spans="1:5" x14ac:dyDescent="0.2">
      <c r="A107" s="126"/>
      <c r="B107" s="21" t="s">
        <v>890</v>
      </c>
      <c r="C107" s="127"/>
      <c r="D107" s="127"/>
      <c r="E107" s="127"/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31710</v>
      </c>
      <c r="D111" s="141">
        <f>SUM(D102:D110)</f>
        <v>89302.5</v>
      </c>
      <c r="E111" s="133">
        <f>SUM(E102:E110)</f>
        <v>121012.5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150785.25</v>
      </c>
      <c r="E122" s="381">
        <f>E111</f>
        <v>121012.5</v>
      </c>
      <c r="F122" s="93"/>
    </row>
    <row r="123" spans="1:11" x14ac:dyDescent="0.2">
      <c r="F123" s="93"/>
    </row>
    <row r="124" spans="1:11" x14ac:dyDescent="0.2">
      <c r="A124" s="5" t="str">
        <f>Summary!$G$11</f>
        <v>PIPELINE PROJECT</v>
      </c>
    </row>
    <row r="136" spans="1:5" ht="16" x14ac:dyDescent="0.2">
      <c r="A136" s="192" t="s">
        <v>88</v>
      </c>
    </row>
    <row r="137" spans="1:5" x14ac:dyDescent="0.2">
      <c r="A137" s="5" t="s">
        <v>24</v>
      </c>
      <c r="B137" s="191" t="s">
        <v>1116</v>
      </c>
    </row>
    <row r="139" spans="1:5" x14ac:dyDescent="0.2">
      <c r="D139" s="2" t="s">
        <v>11</v>
      </c>
      <c r="E139" s="3">
        <v>42475</v>
      </c>
    </row>
    <row r="140" spans="1:5" x14ac:dyDescent="0.2">
      <c r="A140" s="5" t="s">
        <v>1</v>
      </c>
      <c r="B140" s="4" t="s">
        <v>726</v>
      </c>
    </row>
    <row r="142" spans="1:5" x14ac:dyDescent="0.2">
      <c r="A142" s="9" t="s">
        <v>19</v>
      </c>
      <c r="B142" s="10" t="s">
        <v>2</v>
      </c>
      <c r="C142" s="11" t="s">
        <v>37</v>
      </c>
      <c r="D142" s="11" t="s">
        <v>27</v>
      </c>
      <c r="E142" s="12" t="s">
        <v>22</v>
      </c>
    </row>
    <row r="143" spans="1:5" ht="14.5" customHeight="1" x14ac:dyDescent="0.2">
      <c r="A143" s="124">
        <v>42429</v>
      </c>
      <c r="B143" s="125" t="s">
        <v>726</v>
      </c>
      <c r="C143" s="15"/>
      <c r="D143" s="15">
        <v>55125</v>
      </c>
      <c r="E143" s="127">
        <f>C143+D143</f>
        <v>55125</v>
      </c>
    </row>
    <row r="144" spans="1:5" x14ac:dyDescent="0.2">
      <c r="A144" s="126"/>
      <c r="B144" s="21" t="s">
        <v>727</v>
      </c>
      <c r="C144" s="127"/>
      <c r="D144" s="127"/>
      <c r="E144" s="127"/>
    </row>
    <row r="145" spans="1:11" x14ac:dyDescent="0.2">
      <c r="A145" s="126">
        <v>42444</v>
      </c>
      <c r="B145" s="21" t="s">
        <v>726</v>
      </c>
      <c r="C145" s="127"/>
      <c r="D145" s="127">
        <v>34177.5</v>
      </c>
      <c r="E145" s="127">
        <f>C145+D145</f>
        <v>34177.5</v>
      </c>
    </row>
    <row r="146" spans="1:11" ht="14.5" customHeight="1" x14ac:dyDescent="0.2">
      <c r="A146" s="126"/>
      <c r="B146" s="21" t="s">
        <v>794</v>
      </c>
      <c r="C146" s="128"/>
      <c r="D146" s="127"/>
      <c r="E146" s="127"/>
    </row>
    <row r="147" spans="1:11" x14ac:dyDescent="0.2">
      <c r="A147" s="126">
        <v>42460</v>
      </c>
      <c r="B147" s="21" t="s">
        <v>726</v>
      </c>
      <c r="C147" s="127"/>
      <c r="D147" s="127">
        <v>31710</v>
      </c>
      <c r="E147" s="127">
        <f t="shared" ref="E147" si="1">C147+D147</f>
        <v>31710</v>
      </c>
    </row>
    <row r="148" spans="1:11" x14ac:dyDescent="0.2">
      <c r="A148" s="126"/>
      <c r="B148" s="21" t="s">
        <v>890</v>
      </c>
      <c r="C148" s="127"/>
      <c r="D148" s="127"/>
      <c r="E148" s="127"/>
    </row>
    <row r="149" spans="1:11" x14ac:dyDescent="0.2">
      <c r="A149" s="149">
        <v>42475</v>
      </c>
      <c r="B149" s="21" t="s">
        <v>726</v>
      </c>
      <c r="C149" s="127">
        <v>16537.5</v>
      </c>
      <c r="D149" s="127"/>
      <c r="E149" s="127">
        <f>D149+C149</f>
        <v>16537.5</v>
      </c>
    </row>
    <row r="150" spans="1:11" x14ac:dyDescent="0.2">
      <c r="A150" s="129"/>
      <c r="B150" s="21" t="s">
        <v>971</v>
      </c>
      <c r="C150" s="127"/>
      <c r="D150" s="127"/>
      <c r="E150" s="127"/>
    </row>
    <row r="151" spans="1:11" x14ac:dyDescent="0.2">
      <c r="A151" s="130"/>
      <c r="B151" s="131"/>
      <c r="C151" s="132"/>
      <c r="D151" s="132"/>
      <c r="E151" s="132"/>
    </row>
    <row r="152" spans="1:11" x14ac:dyDescent="0.2">
      <c r="A152" s="6"/>
      <c r="B152" s="345" t="s">
        <v>12</v>
      </c>
      <c r="C152" s="141">
        <f>SUM(C143:C151)</f>
        <v>16537.5</v>
      </c>
      <c r="D152" s="141">
        <f>SUM(D143:D151)</f>
        <v>121012.5</v>
      </c>
      <c r="E152" s="133">
        <f>SUM(E143:E151)</f>
        <v>137550</v>
      </c>
    </row>
    <row r="154" spans="1:11" x14ac:dyDescent="0.2">
      <c r="A154" t="str">
        <f>Summary!$G$9</f>
        <v>Contractor</v>
      </c>
    </row>
    <row r="155" spans="1:11" x14ac:dyDescent="0.2">
      <c r="D155" s="5"/>
    </row>
    <row r="157" spans="1:11" x14ac:dyDescent="0.2">
      <c r="C157" s="488"/>
      <c r="D157" s="488"/>
      <c r="E157" s="488"/>
    </row>
    <row r="158" spans="1:11" x14ac:dyDescent="0.2">
      <c r="C158" s="489" t="str">
        <f>Summary!$G$10</f>
        <v>Construction Manager</v>
      </c>
      <c r="D158" s="489"/>
      <c r="E158" s="489"/>
    </row>
    <row r="159" spans="1:11" ht="13.5" customHeight="1" x14ac:dyDescent="0.2">
      <c r="A159" s="79"/>
      <c r="C159" s="81"/>
      <c r="D159" s="82"/>
      <c r="E159" s="83"/>
      <c r="F159" s="93"/>
      <c r="G159" s="93"/>
      <c r="I159" s="95"/>
      <c r="J159" s="95"/>
      <c r="K159" s="95"/>
    </row>
    <row r="160" spans="1:11" x14ac:dyDescent="0.2">
      <c r="D160" s="82"/>
      <c r="E160" s="83"/>
      <c r="F160" s="93"/>
      <c r="I160" s="96"/>
      <c r="J160" s="96"/>
      <c r="K160" s="95"/>
    </row>
    <row r="161" spans="1:6" x14ac:dyDescent="0.2">
      <c r="F161" s="93"/>
    </row>
    <row r="162" spans="1:6" x14ac:dyDescent="0.2">
      <c r="A162" s="58"/>
      <c r="B162" s="58"/>
      <c r="D162" s="392" t="s">
        <v>182</v>
      </c>
      <c r="E162" s="393" t="s">
        <v>183</v>
      </c>
      <c r="F162" s="93"/>
    </row>
    <row r="163" spans="1:6" ht="14" customHeight="1" x14ac:dyDescent="0.2">
      <c r="A163" s="58"/>
      <c r="B163" s="58"/>
      <c r="D163" s="381">
        <v>150785.25</v>
      </c>
      <c r="E163" s="381">
        <f>E152</f>
        <v>137550</v>
      </c>
      <c r="F163" s="93"/>
    </row>
    <row r="164" spans="1:6" x14ac:dyDescent="0.2">
      <c r="F164" s="93"/>
    </row>
    <row r="165" spans="1:6" x14ac:dyDescent="0.2">
      <c r="A165" s="5" t="str">
        <f>Summary!$G$11</f>
        <v>PIPELINE PROJECT</v>
      </c>
    </row>
    <row r="177" spans="1:5" ht="16" x14ac:dyDescent="0.2">
      <c r="A177" s="192" t="s">
        <v>88</v>
      </c>
    </row>
    <row r="178" spans="1:5" x14ac:dyDescent="0.2">
      <c r="A178" s="5" t="s">
        <v>24</v>
      </c>
      <c r="B178" s="191" t="s">
        <v>1116</v>
      </c>
    </row>
    <row r="180" spans="1:5" x14ac:dyDescent="0.2">
      <c r="D180" s="2" t="s">
        <v>11</v>
      </c>
      <c r="E180" s="3">
        <f>Summary!$G$3</f>
        <v>42505</v>
      </c>
    </row>
    <row r="181" spans="1:5" x14ac:dyDescent="0.2">
      <c r="A181" s="5" t="s">
        <v>1</v>
      </c>
      <c r="B181" s="4" t="s">
        <v>726</v>
      </c>
    </row>
    <row r="183" spans="1:5" x14ac:dyDescent="0.2">
      <c r="A183" s="9" t="s">
        <v>19</v>
      </c>
      <c r="B183" s="10" t="s">
        <v>2</v>
      </c>
      <c r="C183" s="11" t="s">
        <v>37</v>
      </c>
      <c r="D183" s="11" t="s">
        <v>27</v>
      </c>
      <c r="E183" s="12" t="s">
        <v>22</v>
      </c>
    </row>
    <row r="184" spans="1:5" ht="14.5" customHeight="1" x14ac:dyDescent="0.2">
      <c r="A184" s="124">
        <v>42429</v>
      </c>
      <c r="B184" s="125" t="s">
        <v>726</v>
      </c>
      <c r="C184" s="15"/>
      <c r="D184" s="15">
        <v>55125</v>
      </c>
      <c r="E184" s="127">
        <f>C184+D184</f>
        <v>55125</v>
      </c>
    </row>
    <row r="185" spans="1:5" x14ac:dyDescent="0.2">
      <c r="A185" s="126"/>
      <c r="B185" s="21" t="s">
        <v>727</v>
      </c>
      <c r="C185" s="127"/>
      <c r="D185" s="127"/>
      <c r="E185" s="127"/>
    </row>
    <row r="186" spans="1:5" x14ac:dyDescent="0.2">
      <c r="A186" s="126">
        <v>42444</v>
      </c>
      <c r="B186" s="21" t="s">
        <v>726</v>
      </c>
      <c r="C186" s="127"/>
      <c r="D186" s="127">
        <v>34177.5</v>
      </c>
      <c r="E186" s="127">
        <f>C186+D186</f>
        <v>34177.5</v>
      </c>
    </row>
    <row r="187" spans="1:5" ht="14.5" customHeight="1" x14ac:dyDescent="0.2">
      <c r="A187" s="126"/>
      <c r="B187" s="21" t="s">
        <v>794</v>
      </c>
      <c r="C187" s="128"/>
      <c r="D187" s="127"/>
      <c r="E187" s="127"/>
    </row>
    <row r="188" spans="1:5" x14ac:dyDescent="0.2">
      <c r="A188" s="126">
        <v>42460</v>
      </c>
      <c r="B188" s="21" t="s">
        <v>726</v>
      </c>
      <c r="C188" s="127"/>
      <c r="D188" s="127">
        <v>31710</v>
      </c>
      <c r="E188" s="127">
        <f t="shared" ref="E188" si="2">C188+D188</f>
        <v>31710</v>
      </c>
    </row>
    <row r="189" spans="1:5" x14ac:dyDescent="0.2">
      <c r="A189" s="126"/>
      <c r="B189" s="21" t="s">
        <v>890</v>
      </c>
      <c r="C189" s="127"/>
      <c r="D189" s="127"/>
      <c r="E189" s="127"/>
    </row>
    <row r="190" spans="1:5" x14ac:dyDescent="0.2">
      <c r="A190" s="149">
        <v>42475</v>
      </c>
      <c r="B190" s="21" t="s">
        <v>726</v>
      </c>
      <c r="C190" s="127"/>
      <c r="D190" s="127">
        <v>16537.5</v>
      </c>
      <c r="E190" s="127">
        <f>D190+C190</f>
        <v>16537.5</v>
      </c>
    </row>
    <row r="191" spans="1:5" x14ac:dyDescent="0.2">
      <c r="A191" s="129"/>
      <c r="B191" s="21" t="s">
        <v>971</v>
      </c>
      <c r="C191" s="127"/>
      <c r="D191" s="127"/>
      <c r="E191" s="127"/>
    </row>
    <row r="192" spans="1:5" x14ac:dyDescent="0.2">
      <c r="A192" s="149">
        <v>42490</v>
      </c>
      <c r="B192" s="21" t="s">
        <v>726</v>
      </c>
      <c r="C192" s="127"/>
      <c r="D192" s="127"/>
      <c r="E192" s="127">
        <f>D192+C192</f>
        <v>0</v>
      </c>
    </row>
    <row r="193" spans="1:11" x14ac:dyDescent="0.2">
      <c r="A193" s="129"/>
      <c r="B193" s="21" t="s">
        <v>992</v>
      </c>
      <c r="C193" s="127"/>
      <c r="D193" s="127"/>
      <c r="E193" s="127"/>
    </row>
    <row r="194" spans="1:11" x14ac:dyDescent="0.2">
      <c r="A194" s="130"/>
      <c r="B194" s="131"/>
      <c r="C194" s="132"/>
      <c r="D194" s="132"/>
      <c r="E194" s="132"/>
    </row>
    <row r="195" spans="1:11" x14ac:dyDescent="0.2">
      <c r="A195" s="6"/>
      <c r="B195" s="345" t="s">
        <v>12</v>
      </c>
      <c r="C195" s="141">
        <f>SUM(C184:C194)</f>
        <v>0</v>
      </c>
      <c r="D195" s="141">
        <f>SUM(D184:D194)</f>
        <v>137550</v>
      </c>
      <c r="E195" s="133">
        <f>SUM(E184:E194)</f>
        <v>137550</v>
      </c>
    </row>
    <row r="197" spans="1:11" x14ac:dyDescent="0.2">
      <c r="A197" t="str">
        <f>Summary!$G$9</f>
        <v>Contractor</v>
      </c>
    </row>
    <row r="198" spans="1:11" x14ac:dyDescent="0.2">
      <c r="D198" s="5"/>
    </row>
    <row r="200" spans="1:11" x14ac:dyDescent="0.2">
      <c r="C200" s="488"/>
      <c r="D200" s="488"/>
      <c r="E200" s="488"/>
    </row>
    <row r="201" spans="1:11" x14ac:dyDescent="0.2">
      <c r="C201" s="489" t="str">
        <f>Summary!$G$10</f>
        <v>Construction Manager</v>
      </c>
      <c r="D201" s="489"/>
      <c r="E201" s="489"/>
    </row>
    <row r="202" spans="1:11" ht="13.5" customHeight="1" x14ac:dyDescent="0.2">
      <c r="A202" s="79"/>
      <c r="C202" s="81"/>
      <c r="D202" s="82"/>
      <c r="E202" s="83"/>
      <c r="F202" s="93"/>
      <c r="G202" s="93"/>
      <c r="I202" s="95"/>
      <c r="J202" s="95"/>
      <c r="K202" s="95"/>
    </row>
    <row r="203" spans="1:11" x14ac:dyDescent="0.2">
      <c r="D203" s="82"/>
      <c r="E203" s="83"/>
      <c r="F203" s="93"/>
      <c r="I203" s="96"/>
      <c r="J203" s="96"/>
      <c r="K203" s="95"/>
    </row>
    <row r="204" spans="1:11" x14ac:dyDescent="0.2">
      <c r="F204" s="93"/>
    </row>
    <row r="205" spans="1:11" x14ac:dyDescent="0.2">
      <c r="A205" s="58"/>
      <c r="B205" s="58"/>
      <c r="D205" s="392" t="s">
        <v>182</v>
      </c>
      <c r="E205" s="393" t="s">
        <v>183</v>
      </c>
      <c r="F205" s="93"/>
    </row>
    <row r="206" spans="1:11" ht="14" customHeight="1" x14ac:dyDescent="0.2">
      <c r="A206" s="58"/>
      <c r="B206" s="58"/>
      <c r="D206" s="381">
        <v>150785.25</v>
      </c>
      <c r="E206" s="381">
        <f>E195</f>
        <v>137550</v>
      </c>
      <c r="F206" s="93"/>
    </row>
    <row r="207" spans="1:11" x14ac:dyDescent="0.2">
      <c r="E207" t="s">
        <v>134</v>
      </c>
      <c r="F207" s="93"/>
    </row>
  </sheetData>
  <mergeCells count="10">
    <mergeCell ref="C200:E200"/>
    <mergeCell ref="C201:E201"/>
    <mergeCell ref="C157:E157"/>
    <mergeCell ref="C158:E158"/>
    <mergeCell ref="C117:E117"/>
    <mergeCell ref="C34:E34"/>
    <mergeCell ref="C35:E35"/>
    <mergeCell ref="C75:E75"/>
    <mergeCell ref="C76:E76"/>
    <mergeCell ref="C116:E116"/>
  </mergeCells>
  <phoneticPr fontId="26" type="noConversion"/>
  <pageMargins left="0.70204724409448827" right="0.70000000000000007" top="1.34" bottom="0.75000000000000011" header="0.30000000000000004" footer="0.30000000000000004"/>
  <pageSetup scale="81" orientation="portrait" verticalDpi="1200"/>
  <rowBreaks count="4" manualBreakCount="4">
    <brk id="40" max="16383" man="1"/>
    <brk id="82" max="16383" man="1"/>
    <brk id="123" max="16383" man="1"/>
    <brk id="207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82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1117</v>
      </c>
    </row>
    <row r="16" spans="1:5" x14ac:dyDescent="0.2">
      <c r="D16" s="2" t="s">
        <v>11</v>
      </c>
      <c r="E16" s="3">
        <v>42429</v>
      </c>
    </row>
    <row r="17" spans="1:5" x14ac:dyDescent="0.2">
      <c r="A17" s="5" t="s">
        <v>1</v>
      </c>
      <c r="B17" s="4" t="s">
        <v>728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42429</v>
      </c>
      <c r="B20" s="125" t="s">
        <v>728</v>
      </c>
      <c r="C20" s="15"/>
      <c r="D20" s="15"/>
      <c r="E20" s="139"/>
    </row>
    <row r="21" spans="1:5" x14ac:dyDescent="0.2">
      <c r="A21" s="126"/>
      <c r="B21" s="111" t="s">
        <v>729</v>
      </c>
      <c r="C21" s="127">
        <v>2965.6</v>
      </c>
      <c r="D21" s="127"/>
      <c r="E21" s="127">
        <f>C21+D21</f>
        <v>2965.6</v>
      </c>
    </row>
    <row r="22" spans="1:5" x14ac:dyDescent="0.2">
      <c r="A22" s="126"/>
      <c r="B22" s="111" t="s">
        <v>730</v>
      </c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2965.6</v>
      </c>
      <c r="D29" s="141">
        <f>SUM(D20:D28)</f>
        <v>0</v>
      </c>
      <c r="E29" s="133">
        <f>SUM(E20:E28)</f>
        <v>2965.6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2965.6</v>
      </c>
      <c r="E40" s="381">
        <f>E29</f>
        <v>2965.6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1117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728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42429</v>
      </c>
      <c r="B61" s="125" t="s">
        <v>728</v>
      </c>
      <c r="C61" s="15"/>
      <c r="D61" s="15"/>
      <c r="E61" s="139"/>
    </row>
    <row r="62" spans="1:5" x14ac:dyDescent="0.2">
      <c r="A62" s="126"/>
      <c r="B62" s="111" t="s">
        <v>729</v>
      </c>
      <c r="C62" s="127"/>
      <c r="D62" s="127">
        <v>2965.6</v>
      </c>
      <c r="E62" s="127">
        <f>C62+D62</f>
        <v>2965.6</v>
      </c>
    </row>
    <row r="63" spans="1:5" x14ac:dyDescent="0.2">
      <c r="A63" s="126"/>
      <c r="B63" s="111" t="s">
        <v>730</v>
      </c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2965.6</v>
      </c>
      <c r="E70" s="133">
        <f>SUM(E61:E69)</f>
        <v>2965.6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2965.6</v>
      </c>
      <c r="E81" s="381">
        <f>E70</f>
        <v>2965.6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2.2762992125984254" right="0.70000000000000007" top="1.1431496062992128" bottom="0.75000000000000011" header="0.30000000000000004" footer="0.30000000000000004"/>
  <pageSetup scale="81" orientation="landscape" verticalDpi="1200"/>
  <rowBreaks count="1" manualBreakCount="1">
    <brk id="40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211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1118</v>
      </c>
    </row>
    <row r="16" spans="1:5" x14ac:dyDescent="0.2">
      <c r="D16" s="2" t="s">
        <v>11</v>
      </c>
      <c r="E16" s="3">
        <v>42429</v>
      </c>
    </row>
    <row r="17" spans="1:5" x14ac:dyDescent="0.2">
      <c r="A17" s="5" t="s">
        <v>1</v>
      </c>
      <c r="B17" s="4" t="s">
        <v>731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42429</v>
      </c>
      <c r="B20" s="125" t="s">
        <v>731</v>
      </c>
      <c r="C20" s="15"/>
      <c r="D20" s="15"/>
      <c r="E20" s="139"/>
    </row>
    <row r="21" spans="1:5" x14ac:dyDescent="0.2">
      <c r="A21" s="126"/>
      <c r="B21" s="21" t="s">
        <v>732</v>
      </c>
      <c r="C21" s="127">
        <v>14188.83</v>
      </c>
      <c r="D21" s="127"/>
      <c r="E21" s="127">
        <f>C21+D21</f>
        <v>14188.83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14188.83</v>
      </c>
      <c r="D29" s="141">
        <f>SUM(D20:D28)</f>
        <v>0</v>
      </c>
      <c r="E29" s="133">
        <f>SUM(E20:E28)</f>
        <v>14188.83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165080.95999999999</v>
      </c>
      <c r="E40" s="381">
        <f>E29</f>
        <v>14188.83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1118</v>
      </c>
    </row>
    <row r="57" spans="1:5" x14ac:dyDescent="0.2">
      <c r="D57" s="2" t="s">
        <v>11</v>
      </c>
      <c r="E57" s="3">
        <v>42460</v>
      </c>
    </row>
    <row r="58" spans="1:5" x14ac:dyDescent="0.2">
      <c r="A58" s="5" t="s">
        <v>1</v>
      </c>
      <c r="B58" s="4" t="s">
        <v>731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42429</v>
      </c>
      <c r="B61" s="125" t="s">
        <v>731</v>
      </c>
      <c r="C61" s="15"/>
      <c r="D61" s="15"/>
      <c r="E61" s="139"/>
    </row>
    <row r="62" spans="1:5" x14ac:dyDescent="0.2">
      <c r="A62" s="126"/>
      <c r="B62" s="410" t="s">
        <v>929</v>
      </c>
      <c r="C62" s="127"/>
      <c r="D62" s="127">
        <v>14188.83</v>
      </c>
      <c r="E62" s="127">
        <f>C62+D62</f>
        <v>14188.83</v>
      </c>
    </row>
    <row r="63" spans="1:5" x14ac:dyDescent="0.2">
      <c r="A63" s="126">
        <v>42460</v>
      </c>
      <c r="B63" s="456" t="s">
        <v>731</v>
      </c>
      <c r="C63" s="127">
        <v>66930.13</v>
      </c>
      <c r="D63" s="127"/>
      <c r="E63" s="127">
        <f>C63+D63</f>
        <v>66930.13</v>
      </c>
    </row>
    <row r="64" spans="1:5" ht="14.5" customHeight="1" x14ac:dyDescent="0.2">
      <c r="A64" s="126"/>
      <c r="B64" s="21" t="s">
        <v>930</v>
      </c>
      <c r="C64" s="128"/>
      <c r="D64" s="127"/>
      <c r="E64" s="127"/>
    </row>
    <row r="65" spans="1:11" x14ac:dyDescent="0.2">
      <c r="A65" s="129"/>
      <c r="B65" s="36" t="s">
        <v>931</v>
      </c>
      <c r="C65" s="127"/>
      <c r="D65" s="127"/>
      <c r="E65" s="127"/>
    </row>
    <row r="66" spans="1:11" x14ac:dyDescent="0.2">
      <c r="A66" s="129"/>
      <c r="B66" s="36" t="s">
        <v>932</v>
      </c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66930.13</v>
      </c>
      <c r="D70" s="141">
        <f>SUM(D61:D69)</f>
        <v>14188.83</v>
      </c>
      <c r="E70" s="133">
        <f>SUM(E61:E69)</f>
        <v>81118.960000000006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165080.95999999999</v>
      </c>
      <c r="E81" s="381">
        <f>E70</f>
        <v>81118.960000000006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1118</v>
      </c>
    </row>
    <row r="98" spans="1:5" x14ac:dyDescent="0.2">
      <c r="D98" s="2" t="s">
        <v>11</v>
      </c>
      <c r="E98" s="3">
        <v>42475</v>
      </c>
    </row>
    <row r="99" spans="1:5" x14ac:dyDescent="0.2">
      <c r="A99" s="5" t="s">
        <v>1</v>
      </c>
      <c r="B99" s="4" t="s">
        <v>731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42429</v>
      </c>
      <c r="B102" s="125" t="s">
        <v>731</v>
      </c>
      <c r="C102" s="15"/>
      <c r="D102" s="127">
        <v>14188.83</v>
      </c>
      <c r="E102" s="127">
        <f>C102+D102</f>
        <v>14188.83</v>
      </c>
    </row>
    <row r="103" spans="1:5" x14ac:dyDescent="0.2">
      <c r="A103" s="126"/>
      <c r="B103" s="410" t="s">
        <v>929</v>
      </c>
      <c r="C103" s="127"/>
      <c r="D103" s="127"/>
      <c r="E103" s="127"/>
    </row>
    <row r="104" spans="1:5" x14ac:dyDescent="0.2">
      <c r="A104" s="126">
        <v>42460</v>
      </c>
      <c r="B104" s="456" t="s">
        <v>731</v>
      </c>
      <c r="C104" s="127"/>
      <c r="D104" s="127">
        <v>66930.13</v>
      </c>
      <c r="E104" s="127">
        <f>C104+D104</f>
        <v>66930.13</v>
      </c>
    </row>
    <row r="105" spans="1:5" ht="14.5" customHeight="1" x14ac:dyDescent="0.2">
      <c r="A105" s="126"/>
      <c r="B105" s="21" t="s">
        <v>930</v>
      </c>
      <c r="C105" s="128"/>
      <c r="D105" s="127"/>
      <c r="E105" s="127"/>
    </row>
    <row r="106" spans="1:5" x14ac:dyDescent="0.2">
      <c r="A106" s="129"/>
      <c r="B106" s="36" t="s">
        <v>931</v>
      </c>
      <c r="C106" s="127"/>
      <c r="D106" s="127"/>
      <c r="E106" s="127"/>
    </row>
    <row r="107" spans="1:5" x14ac:dyDescent="0.2">
      <c r="A107" s="129"/>
      <c r="B107" s="36" t="s">
        <v>932</v>
      </c>
      <c r="C107" s="127"/>
      <c r="D107" s="127"/>
      <c r="E107" s="127"/>
    </row>
    <row r="108" spans="1:5" x14ac:dyDescent="0.2">
      <c r="A108" s="129">
        <v>42475</v>
      </c>
      <c r="B108" s="36" t="s">
        <v>731</v>
      </c>
      <c r="C108" s="127">
        <v>47362.37</v>
      </c>
      <c r="D108" s="127"/>
      <c r="E108" s="127">
        <f>D108+C108</f>
        <v>47362.37</v>
      </c>
    </row>
    <row r="109" spans="1:5" x14ac:dyDescent="0.2">
      <c r="A109" s="129"/>
      <c r="B109" s="36" t="s">
        <v>973</v>
      </c>
      <c r="C109" s="127"/>
      <c r="D109" s="127"/>
      <c r="E109" s="127"/>
    </row>
    <row r="110" spans="1:5" x14ac:dyDescent="0.2">
      <c r="A110" s="130"/>
      <c r="B110" s="131" t="s">
        <v>972</v>
      </c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47362.37</v>
      </c>
      <c r="D111" s="141">
        <f>SUM(D102:D110)</f>
        <v>81118.960000000006</v>
      </c>
      <c r="E111" s="133">
        <f>SUM(E102:E110)</f>
        <v>128481.33000000002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165080.95999999999</v>
      </c>
      <c r="E122" s="381">
        <f>E111</f>
        <v>128481.33000000002</v>
      </c>
      <c r="F122" s="93"/>
    </row>
    <row r="123" spans="1:11" x14ac:dyDescent="0.2">
      <c r="F123" s="93"/>
    </row>
    <row r="124" spans="1:11" x14ac:dyDescent="0.2">
      <c r="A124" s="5" t="str">
        <f>Summary!$G$11</f>
        <v>PIPELINE PROJECT</v>
      </c>
    </row>
    <row r="136" spans="1:5" ht="16" x14ac:dyDescent="0.2">
      <c r="A136" s="192" t="s">
        <v>88</v>
      </c>
    </row>
    <row r="137" spans="1:5" x14ac:dyDescent="0.2">
      <c r="A137" s="5" t="s">
        <v>24</v>
      </c>
      <c r="B137" s="191" t="s">
        <v>1118</v>
      </c>
    </row>
    <row r="139" spans="1:5" x14ac:dyDescent="0.2">
      <c r="D139" s="2" t="s">
        <v>11</v>
      </c>
      <c r="E139" s="3">
        <v>42490</v>
      </c>
    </row>
    <row r="140" spans="1:5" x14ac:dyDescent="0.2">
      <c r="A140" s="5" t="s">
        <v>1</v>
      </c>
      <c r="B140" s="4" t="s">
        <v>731</v>
      </c>
    </row>
    <row r="142" spans="1:5" x14ac:dyDescent="0.2">
      <c r="A142" s="9" t="s">
        <v>19</v>
      </c>
      <c r="B142" s="10" t="s">
        <v>2</v>
      </c>
      <c r="C142" s="11" t="s">
        <v>37</v>
      </c>
      <c r="D142" s="11" t="s">
        <v>27</v>
      </c>
      <c r="E142" s="12" t="s">
        <v>22</v>
      </c>
    </row>
    <row r="143" spans="1:5" ht="14.5" customHeight="1" x14ac:dyDescent="0.2">
      <c r="A143" s="124">
        <v>42429</v>
      </c>
      <c r="B143" s="125" t="s">
        <v>731</v>
      </c>
      <c r="C143" s="15"/>
      <c r="D143" s="127">
        <v>14188.83</v>
      </c>
      <c r="E143" s="127">
        <f>C143+D143</f>
        <v>14188.83</v>
      </c>
    </row>
    <row r="144" spans="1:5" x14ac:dyDescent="0.2">
      <c r="A144" s="126"/>
      <c r="B144" s="410" t="s">
        <v>929</v>
      </c>
      <c r="C144" s="127"/>
      <c r="D144" s="127"/>
      <c r="E144" s="127"/>
    </row>
    <row r="145" spans="1:5" x14ac:dyDescent="0.2">
      <c r="A145" s="126">
        <v>42460</v>
      </c>
      <c r="B145" s="456" t="s">
        <v>731</v>
      </c>
      <c r="C145" s="127"/>
      <c r="D145" s="127">
        <v>66930.13</v>
      </c>
      <c r="E145" s="127">
        <f>C145+D145</f>
        <v>66930.13</v>
      </c>
    </row>
    <row r="146" spans="1:5" ht="14.5" customHeight="1" x14ac:dyDescent="0.2">
      <c r="A146" s="126"/>
      <c r="B146" s="21" t="s">
        <v>930</v>
      </c>
      <c r="C146" s="128"/>
      <c r="D146" s="127"/>
      <c r="E146" s="127"/>
    </row>
    <row r="147" spans="1:5" x14ac:dyDescent="0.2">
      <c r="A147" s="129"/>
      <c r="B147" s="36" t="s">
        <v>931</v>
      </c>
      <c r="C147" s="127"/>
      <c r="D147" s="127"/>
      <c r="E147" s="127"/>
    </row>
    <row r="148" spans="1:5" x14ac:dyDescent="0.2">
      <c r="A148" s="129"/>
      <c r="B148" s="36" t="s">
        <v>932</v>
      </c>
      <c r="C148" s="127"/>
      <c r="D148" s="127"/>
      <c r="E148" s="127"/>
    </row>
    <row r="149" spans="1:5" x14ac:dyDescent="0.2">
      <c r="A149" s="149">
        <v>42475</v>
      </c>
      <c r="B149" s="36" t="s">
        <v>731</v>
      </c>
      <c r="C149" s="127"/>
      <c r="D149" s="127">
        <v>47362.37</v>
      </c>
      <c r="E149" s="127">
        <f>D149+C149</f>
        <v>47362.37</v>
      </c>
    </row>
    <row r="150" spans="1:5" x14ac:dyDescent="0.2">
      <c r="A150" s="129"/>
      <c r="B150" s="36" t="s">
        <v>973</v>
      </c>
      <c r="C150" s="127"/>
      <c r="D150" s="127"/>
      <c r="E150" s="127"/>
    </row>
    <row r="151" spans="1:5" x14ac:dyDescent="0.2">
      <c r="A151" s="464"/>
      <c r="B151" s="146" t="s">
        <v>972</v>
      </c>
      <c r="C151" s="147"/>
      <c r="D151" s="147"/>
      <c r="E151" s="147"/>
    </row>
    <row r="152" spans="1:5" x14ac:dyDescent="0.2">
      <c r="A152" s="149">
        <v>42490</v>
      </c>
      <c r="B152" s="36" t="s">
        <v>731</v>
      </c>
      <c r="C152" s="127">
        <v>36559.870000000003</v>
      </c>
      <c r="D152" s="127"/>
      <c r="E152" s="127">
        <f>D152+C152</f>
        <v>36559.870000000003</v>
      </c>
    </row>
    <row r="153" spans="1:5" x14ac:dyDescent="0.2">
      <c r="A153" s="129"/>
      <c r="B153" s="36" t="s">
        <v>1014</v>
      </c>
      <c r="C153" s="127"/>
      <c r="D153" s="127"/>
      <c r="E153" s="127"/>
    </row>
    <row r="154" spans="1:5" x14ac:dyDescent="0.2">
      <c r="A154" s="130"/>
      <c r="B154" s="131"/>
      <c r="C154" s="132"/>
      <c r="D154" s="132"/>
      <c r="E154" s="132"/>
    </row>
    <row r="155" spans="1:5" x14ac:dyDescent="0.2">
      <c r="A155" s="6"/>
      <c r="B155" s="345" t="s">
        <v>12</v>
      </c>
      <c r="C155" s="141">
        <f>SUM(C143:C154)</f>
        <v>36559.870000000003</v>
      </c>
      <c r="D155" s="141">
        <f>SUM(D143:D154)</f>
        <v>128481.33000000002</v>
      </c>
      <c r="E155" s="133">
        <f>SUM(E143:E154)</f>
        <v>165041.20000000001</v>
      </c>
    </row>
    <row r="157" spans="1:5" x14ac:dyDescent="0.2">
      <c r="A157" t="str">
        <f>Summary!$G$9</f>
        <v>Contractor</v>
      </c>
    </row>
    <row r="158" spans="1:5" x14ac:dyDescent="0.2">
      <c r="D158" s="5"/>
    </row>
    <row r="160" spans="1:5" x14ac:dyDescent="0.2">
      <c r="C160" s="488"/>
      <c r="D160" s="488"/>
      <c r="E160" s="488"/>
    </row>
    <row r="161" spans="1:11" x14ac:dyDescent="0.2">
      <c r="C161" s="489" t="str">
        <f>Summary!$G$10</f>
        <v>Construction Manager</v>
      </c>
      <c r="D161" s="489"/>
      <c r="E161" s="489"/>
    </row>
    <row r="162" spans="1:11" ht="13.5" customHeight="1" x14ac:dyDescent="0.2">
      <c r="A162" s="79"/>
      <c r="C162" s="81"/>
      <c r="D162" s="82"/>
      <c r="E162" s="83"/>
      <c r="F162" s="93"/>
      <c r="G162" s="93"/>
      <c r="I162" s="95"/>
      <c r="J162" s="95"/>
      <c r="K162" s="95"/>
    </row>
    <row r="163" spans="1:11" x14ac:dyDescent="0.2">
      <c r="D163" s="82"/>
      <c r="E163" s="83"/>
      <c r="F163" s="93"/>
      <c r="I163" s="96"/>
      <c r="J163" s="96"/>
      <c r="K163" s="95"/>
    </row>
    <row r="164" spans="1:11" x14ac:dyDescent="0.2">
      <c r="F164" s="93"/>
    </row>
    <row r="165" spans="1:11" x14ac:dyDescent="0.2">
      <c r="A165" s="58"/>
      <c r="B165" s="58"/>
      <c r="D165" s="392" t="s">
        <v>182</v>
      </c>
      <c r="E165" s="393" t="s">
        <v>183</v>
      </c>
      <c r="F165" s="93"/>
    </row>
    <row r="166" spans="1:11" ht="14" customHeight="1" x14ac:dyDescent="0.2">
      <c r="A166" s="58"/>
      <c r="B166" s="58"/>
      <c r="D166" s="381">
        <v>165080.95999999999</v>
      </c>
      <c r="E166" s="381">
        <f>E155</f>
        <v>165041.20000000001</v>
      </c>
      <c r="F166" s="93"/>
    </row>
    <row r="167" spans="1:11" x14ac:dyDescent="0.2">
      <c r="F167" s="93"/>
    </row>
    <row r="168" spans="1:11" x14ac:dyDescent="0.2">
      <c r="A168" s="5" t="str">
        <f>Summary!$G$11</f>
        <v>PIPELINE PROJECT</v>
      </c>
    </row>
    <row r="180" spans="1:5" ht="16" x14ac:dyDescent="0.2">
      <c r="A180" s="192" t="s">
        <v>88</v>
      </c>
    </row>
    <row r="181" spans="1:5" x14ac:dyDescent="0.2">
      <c r="A181" s="5" t="s">
        <v>24</v>
      </c>
      <c r="B181" s="191" t="s">
        <v>1118</v>
      </c>
    </row>
    <row r="183" spans="1:5" x14ac:dyDescent="0.2">
      <c r="D183" s="2" t="s">
        <v>11</v>
      </c>
      <c r="E183" s="3">
        <f>Summary!$G$3</f>
        <v>42505</v>
      </c>
    </row>
    <row r="184" spans="1:5" x14ac:dyDescent="0.2">
      <c r="A184" s="5" t="s">
        <v>1</v>
      </c>
      <c r="B184" s="4" t="s">
        <v>731</v>
      </c>
    </row>
    <row r="186" spans="1:5" x14ac:dyDescent="0.2">
      <c r="A186" s="9" t="s">
        <v>19</v>
      </c>
      <c r="B186" s="10" t="s">
        <v>2</v>
      </c>
      <c r="C186" s="11" t="s">
        <v>37</v>
      </c>
      <c r="D186" s="11" t="s">
        <v>27</v>
      </c>
      <c r="E186" s="12" t="s">
        <v>22</v>
      </c>
    </row>
    <row r="187" spans="1:5" ht="14.5" customHeight="1" x14ac:dyDescent="0.2">
      <c r="A187" s="124">
        <v>42429</v>
      </c>
      <c r="B187" s="125" t="s">
        <v>731</v>
      </c>
      <c r="C187" s="15"/>
      <c r="D187" s="127">
        <v>14188.83</v>
      </c>
      <c r="E187" s="127">
        <f>C187+D187</f>
        <v>14188.83</v>
      </c>
    </row>
    <row r="188" spans="1:5" x14ac:dyDescent="0.2">
      <c r="A188" s="126"/>
      <c r="B188" s="410" t="s">
        <v>929</v>
      </c>
      <c r="C188" s="127"/>
      <c r="D188" s="127"/>
      <c r="E188" s="127"/>
    </row>
    <row r="189" spans="1:5" x14ac:dyDescent="0.2">
      <c r="A189" s="126">
        <v>42460</v>
      </c>
      <c r="B189" s="456" t="s">
        <v>731</v>
      </c>
      <c r="C189" s="127"/>
      <c r="D189" s="127">
        <v>66930.13</v>
      </c>
      <c r="E189" s="127">
        <f>C189+D189</f>
        <v>66930.13</v>
      </c>
    </row>
    <row r="190" spans="1:5" ht="14.5" customHeight="1" x14ac:dyDescent="0.2">
      <c r="A190" s="126"/>
      <c r="B190" s="21" t="s">
        <v>930</v>
      </c>
      <c r="C190" s="128"/>
      <c r="D190" s="127"/>
      <c r="E190" s="127"/>
    </row>
    <row r="191" spans="1:5" x14ac:dyDescent="0.2">
      <c r="A191" s="129"/>
      <c r="B191" s="36" t="s">
        <v>931</v>
      </c>
      <c r="C191" s="127"/>
      <c r="D191" s="127"/>
      <c r="E191" s="127"/>
    </row>
    <row r="192" spans="1:5" x14ac:dyDescent="0.2">
      <c r="A192" s="129"/>
      <c r="B192" s="36" t="s">
        <v>932</v>
      </c>
      <c r="C192" s="127"/>
      <c r="D192" s="127"/>
      <c r="E192" s="127"/>
    </row>
    <row r="193" spans="1:11" x14ac:dyDescent="0.2">
      <c r="A193" s="149">
        <v>42475</v>
      </c>
      <c r="B193" s="36" t="s">
        <v>731</v>
      </c>
      <c r="C193" s="127"/>
      <c r="D193" s="127">
        <v>47362.37</v>
      </c>
      <c r="E193" s="127">
        <f>D193+C193</f>
        <v>47362.37</v>
      </c>
    </row>
    <row r="194" spans="1:11" x14ac:dyDescent="0.2">
      <c r="A194" s="129"/>
      <c r="B194" s="36" t="s">
        <v>973</v>
      </c>
      <c r="C194" s="127"/>
      <c r="D194" s="127"/>
      <c r="E194" s="127"/>
    </row>
    <row r="195" spans="1:11" x14ac:dyDescent="0.2">
      <c r="A195" s="464"/>
      <c r="B195" s="146" t="s">
        <v>972</v>
      </c>
      <c r="C195" s="147"/>
      <c r="D195" s="147"/>
      <c r="E195" s="147"/>
    </row>
    <row r="196" spans="1:11" x14ac:dyDescent="0.2">
      <c r="A196" s="149">
        <v>42490</v>
      </c>
      <c r="B196" s="36" t="s">
        <v>731</v>
      </c>
      <c r="C196" s="147"/>
      <c r="D196" s="127">
        <v>36559.870000000003</v>
      </c>
      <c r="E196" s="127">
        <f>D196+C196</f>
        <v>36559.870000000003</v>
      </c>
    </row>
    <row r="197" spans="1:11" x14ac:dyDescent="0.2">
      <c r="A197" s="129"/>
      <c r="B197" s="36" t="s">
        <v>1014</v>
      </c>
      <c r="C197" s="127"/>
      <c r="D197" s="127"/>
      <c r="E197" s="127"/>
    </row>
    <row r="198" spans="1:11" x14ac:dyDescent="0.2">
      <c r="A198" s="130"/>
      <c r="B198" s="131"/>
      <c r="C198" s="132"/>
      <c r="D198" s="132"/>
      <c r="E198" s="132"/>
    </row>
    <row r="199" spans="1:11" x14ac:dyDescent="0.2">
      <c r="A199" s="6"/>
      <c r="B199" s="345" t="s">
        <v>12</v>
      </c>
      <c r="C199" s="141">
        <f>SUM(C187:C198)</f>
        <v>0</v>
      </c>
      <c r="D199" s="141">
        <f>SUM(D187:D198)</f>
        <v>165041.20000000001</v>
      </c>
      <c r="E199" s="133">
        <f>SUM(E187:E198)</f>
        <v>165041.20000000001</v>
      </c>
    </row>
    <row r="201" spans="1:11" x14ac:dyDescent="0.2">
      <c r="A201" t="str">
        <f>Summary!$G$9</f>
        <v>Contractor</v>
      </c>
    </row>
    <row r="202" spans="1:11" x14ac:dyDescent="0.2">
      <c r="D202" s="5"/>
    </row>
    <row r="204" spans="1:11" x14ac:dyDescent="0.2">
      <c r="C204" s="488"/>
      <c r="D204" s="488"/>
      <c r="E204" s="488"/>
    </row>
    <row r="205" spans="1:11" x14ac:dyDescent="0.2">
      <c r="C205" s="489" t="str">
        <f>Summary!$G$10</f>
        <v>Construction Manager</v>
      </c>
      <c r="D205" s="489"/>
      <c r="E205" s="489"/>
    </row>
    <row r="206" spans="1:11" ht="13.5" customHeight="1" x14ac:dyDescent="0.2">
      <c r="A206" s="79"/>
      <c r="C206" s="81"/>
      <c r="D206" s="82"/>
      <c r="E206" s="83"/>
      <c r="F206" s="93"/>
      <c r="G206" s="93"/>
      <c r="I206" s="95"/>
      <c r="J206" s="95"/>
      <c r="K206" s="95"/>
    </row>
    <row r="207" spans="1:11" x14ac:dyDescent="0.2">
      <c r="D207" s="82"/>
      <c r="E207" s="83"/>
      <c r="F207" s="93"/>
      <c r="I207" s="96"/>
      <c r="J207" s="96"/>
      <c r="K207" s="95"/>
    </row>
    <row r="208" spans="1:11" x14ac:dyDescent="0.2">
      <c r="F208" s="93"/>
    </row>
    <row r="209" spans="1:6" x14ac:dyDescent="0.2">
      <c r="A209" s="58"/>
      <c r="B209" s="58"/>
      <c r="D209" s="392" t="s">
        <v>182</v>
      </c>
      <c r="E209" s="393" t="s">
        <v>183</v>
      </c>
      <c r="F209" s="93"/>
    </row>
    <row r="210" spans="1:6" ht="14" customHeight="1" x14ac:dyDescent="0.2">
      <c r="A210" s="58"/>
      <c r="B210" s="58"/>
      <c r="D210" s="381">
        <v>165080.95999999999</v>
      </c>
      <c r="E210" s="381">
        <f>E199</f>
        <v>165041.20000000001</v>
      </c>
      <c r="F210" s="93"/>
    </row>
    <row r="211" spans="1:6" x14ac:dyDescent="0.2">
      <c r="E211" t="s">
        <v>134</v>
      </c>
      <c r="F211" s="93"/>
    </row>
  </sheetData>
  <mergeCells count="10">
    <mergeCell ref="C204:E204"/>
    <mergeCell ref="C205:E205"/>
    <mergeCell ref="C160:E160"/>
    <mergeCell ref="C161:E161"/>
    <mergeCell ref="C117:E117"/>
    <mergeCell ref="C34:E34"/>
    <mergeCell ref="C35:E35"/>
    <mergeCell ref="C75:E75"/>
    <mergeCell ref="C76:E76"/>
    <mergeCell ref="C116:E116"/>
  </mergeCells>
  <phoneticPr fontId="26" type="noConversion"/>
  <pageMargins left="1.1037007874015747" right="0.70000000000000007" top="1.1400000000000001" bottom="0.75000000000000011" header="0.30000000000000004" footer="0.30000000000000004"/>
  <pageSetup scale="77" orientation="portrait" verticalDpi="1200"/>
  <rowBreaks count="3" manualBreakCount="3">
    <brk id="41" max="16383" man="1"/>
    <brk id="82" max="16383" man="1"/>
    <brk id="211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82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1119</v>
      </c>
    </row>
    <row r="16" spans="1:5" x14ac:dyDescent="0.2">
      <c r="D16" s="2" t="s">
        <v>11</v>
      </c>
      <c r="E16" s="3">
        <v>42444</v>
      </c>
    </row>
    <row r="17" spans="1:5" x14ac:dyDescent="0.2">
      <c r="A17" s="5" t="s">
        <v>1</v>
      </c>
      <c r="B17" s="4" t="s">
        <v>716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42444</v>
      </c>
      <c r="B20" s="125" t="s">
        <v>785</v>
      </c>
      <c r="C20" s="15"/>
      <c r="D20" s="15"/>
      <c r="E20" s="139"/>
    </row>
    <row r="21" spans="1:5" x14ac:dyDescent="0.2">
      <c r="A21" s="126"/>
      <c r="B21" s="21" t="s">
        <v>786</v>
      </c>
      <c r="C21" s="127">
        <v>5512.5</v>
      </c>
      <c r="D21" s="127"/>
      <c r="E21" s="127">
        <f>C21+D21</f>
        <v>5512.5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5512.5</v>
      </c>
      <c r="D29" s="141">
        <f>SUM(D20:D28)</f>
        <v>0</v>
      </c>
      <c r="E29" s="133">
        <f>SUM(E20:E28)</f>
        <v>5512.5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5512.5</v>
      </c>
      <c r="E40" s="381">
        <f>E29</f>
        <v>5512.5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1119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716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42444</v>
      </c>
      <c r="B61" s="125" t="s">
        <v>785</v>
      </c>
      <c r="C61" s="15"/>
      <c r="D61" s="15"/>
      <c r="E61" s="139"/>
    </row>
    <row r="62" spans="1:5" x14ac:dyDescent="0.2">
      <c r="A62" s="126"/>
      <c r="B62" s="21" t="s">
        <v>786</v>
      </c>
      <c r="C62" s="127"/>
      <c r="D62" s="127">
        <v>5512.5</v>
      </c>
      <c r="E62" s="127">
        <f>C62+D62</f>
        <v>5512.5</v>
      </c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5512.5</v>
      </c>
      <c r="E70" s="133">
        <f>SUM(E61:E69)</f>
        <v>5512.5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5512.5</v>
      </c>
      <c r="E81" s="381">
        <f>E70</f>
        <v>5512.5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1" manualBreakCount="1">
    <brk id="85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40"/>
  <sheetViews>
    <sheetView workbookViewId="0">
      <selection activeCell="C17" sqref="C17"/>
    </sheetView>
  </sheetViews>
  <sheetFormatPr baseColWidth="10" defaultColWidth="8.83203125" defaultRowHeight="15" x14ac:dyDescent="0.2"/>
  <cols>
    <col min="1" max="2" width="10" customWidth="1"/>
    <col min="3" max="3" width="36" customWidth="1"/>
    <col min="4" max="6" width="13.83203125" customWidth="1"/>
  </cols>
  <sheetData>
    <row r="1" spans="1:6" x14ac:dyDescent="0.2">
      <c r="A1" s="5" t="str">
        <f>Summary!$G$11</f>
        <v>PIPELINE PROJECT</v>
      </c>
      <c r="B1" s="5"/>
    </row>
    <row r="13" spans="1:6" ht="16" x14ac:dyDescent="0.2">
      <c r="A13" s="161" t="s">
        <v>92</v>
      </c>
      <c r="B13" s="161"/>
    </row>
    <row r="14" spans="1:6" x14ac:dyDescent="0.2">
      <c r="A14" s="5" t="s">
        <v>24</v>
      </c>
      <c r="B14" s="160" t="s">
        <v>1120</v>
      </c>
    </row>
    <row r="16" spans="1:6" x14ac:dyDescent="0.2">
      <c r="E16" s="2" t="s">
        <v>11</v>
      </c>
      <c r="F16" s="3">
        <v>42429</v>
      </c>
    </row>
    <row r="17" spans="1:6" x14ac:dyDescent="0.2">
      <c r="A17" t="s">
        <v>1</v>
      </c>
      <c r="B17" s="4" t="s">
        <v>91</v>
      </c>
    </row>
    <row r="19" spans="1:6" x14ac:dyDescent="0.2">
      <c r="A19" s="9" t="s">
        <v>19</v>
      </c>
      <c r="B19" s="11" t="s">
        <v>93</v>
      </c>
      <c r="C19" s="10" t="s">
        <v>2</v>
      </c>
      <c r="D19" s="11" t="s">
        <v>37</v>
      </c>
      <c r="E19" s="11" t="s">
        <v>27</v>
      </c>
      <c r="F19" s="12" t="s">
        <v>22</v>
      </c>
    </row>
    <row r="20" spans="1:6" x14ac:dyDescent="0.2">
      <c r="A20" s="124"/>
      <c r="B20" s="354"/>
      <c r="C20" s="125"/>
      <c r="D20" s="178"/>
      <c r="E20" s="178"/>
      <c r="F20" s="179"/>
    </row>
    <row r="21" spans="1:6" x14ac:dyDescent="0.2">
      <c r="A21" s="126">
        <f>F16</f>
        <v>42429</v>
      </c>
      <c r="B21" s="355" t="s">
        <v>335</v>
      </c>
      <c r="C21" s="21" t="s">
        <v>266</v>
      </c>
      <c r="D21" s="180">
        <v>35207.68</v>
      </c>
      <c r="E21" s="180"/>
      <c r="F21" s="180">
        <f t="shared" ref="F21:F34" si="0">D21+E21</f>
        <v>35207.68</v>
      </c>
    </row>
    <row r="22" spans="1:6" ht="14.5" customHeight="1" x14ac:dyDescent="0.2">
      <c r="A22" s="126"/>
      <c r="B22" s="355" t="s">
        <v>262</v>
      </c>
      <c r="C22" s="21" t="s">
        <v>263</v>
      </c>
      <c r="D22" s="180">
        <v>460059.58</v>
      </c>
      <c r="E22" s="180"/>
      <c r="F22" s="181">
        <f t="shared" si="0"/>
        <v>460059.58</v>
      </c>
    </row>
    <row r="23" spans="1:6" ht="14.5" customHeight="1" x14ac:dyDescent="0.2">
      <c r="A23" s="126"/>
      <c r="B23" s="355" t="s">
        <v>746</v>
      </c>
      <c r="C23" s="21" t="s">
        <v>748</v>
      </c>
      <c r="D23" s="180">
        <v>24102.400000000001</v>
      </c>
      <c r="E23" s="180"/>
      <c r="F23" s="181">
        <f t="shared" si="0"/>
        <v>24102.400000000001</v>
      </c>
    </row>
    <row r="24" spans="1:6" x14ac:dyDescent="0.2">
      <c r="A24" s="149"/>
      <c r="B24" s="355" t="s">
        <v>747</v>
      </c>
      <c r="C24" s="21" t="s">
        <v>749</v>
      </c>
      <c r="D24" s="180">
        <v>26763.98</v>
      </c>
      <c r="E24" s="180"/>
      <c r="F24" s="181">
        <f>D24+E24</f>
        <v>26763.98</v>
      </c>
    </row>
    <row r="25" spans="1:6" x14ac:dyDescent="0.2">
      <c r="A25" s="149"/>
      <c r="B25" s="355" t="s">
        <v>611</v>
      </c>
      <c r="C25" s="21" t="s">
        <v>750</v>
      </c>
      <c r="D25" s="180">
        <v>75801.600000000006</v>
      </c>
      <c r="E25" s="180"/>
      <c r="F25" s="181">
        <f t="shared" si="0"/>
        <v>75801.600000000006</v>
      </c>
    </row>
    <row r="26" spans="1:6" x14ac:dyDescent="0.2">
      <c r="A26" s="149"/>
      <c r="B26" s="356" t="s">
        <v>517</v>
      </c>
      <c r="C26" s="36" t="s">
        <v>612</v>
      </c>
      <c r="D26" s="180">
        <v>3890</v>
      </c>
      <c r="E26" s="180"/>
      <c r="F26" s="181">
        <f t="shared" si="0"/>
        <v>3890</v>
      </c>
    </row>
    <row r="27" spans="1:6" x14ac:dyDescent="0.2">
      <c r="A27" s="149"/>
      <c r="B27" s="356" t="s">
        <v>522</v>
      </c>
      <c r="C27" s="36" t="s">
        <v>751</v>
      </c>
      <c r="D27" s="180">
        <v>20050</v>
      </c>
      <c r="E27" s="180"/>
      <c r="F27" s="181">
        <f t="shared" si="0"/>
        <v>20050</v>
      </c>
    </row>
    <row r="28" spans="1:6" x14ac:dyDescent="0.2">
      <c r="A28" s="149"/>
      <c r="B28" s="356"/>
      <c r="C28" s="36" t="s">
        <v>752</v>
      </c>
      <c r="D28" s="180"/>
      <c r="E28" s="180"/>
      <c r="F28" s="181">
        <f t="shared" si="0"/>
        <v>0</v>
      </c>
    </row>
    <row r="29" spans="1:6" x14ac:dyDescent="0.2">
      <c r="A29" s="149"/>
      <c r="B29" s="356"/>
      <c r="C29" s="36"/>
      <c r="D29" s="180"/>
      <c r="E29" s="180"/>
      <c r="F29" s="181">
        <f t="shared" si="0"/>
        <v>0</v>
      </c>
    </row>
    <row r="30" spans="1:6" x14ac:dyDescent="0.2">
      <c r="A30" s="149"/>
      <c r="B30" s="356"/>
      <c r="C30" s="36"/>
      <c r="D30" s="180"/>
      <c r="E30" s="180"/>
      <c r="F30" s="181">
        <f t="shared" si="0"/>
        <v>0</v>
      </c>
    </row>
    <row r="31" spans="1:6" x14ac:dyDescent="0.2">
      <c r="A31" s="149"/>
      <c r="B31" s="356"/>
      <c r="C31" s="36"/>
      <c r="D31" s="180"/>
      <c r="E31" s="180"/>
      <c r="F31" s="181">
        <f t="shared" si="0"/>
        <v>0</v>
      </c>
    </row>
    <row r="32" spans="1:6" x14ac:dyDescent="0.2">
      <c r="A32" s="150"/>
      <c r="B32" s="357"/>
      <c r="C32" s="146"/>
      <c r="D32" s="182"/>
      <c r="E32" s="182"/>
      <c r="F32" s="183">
        <f t="shared" si="0"/>
        <v>0</v>
      </c>
    </row>
    <row r="33" spans="1:6" x14ac:dyDescent="0.2">
      <c r="A33" s="150"/>
      <c r="B33" s="357"/>
      <c r="C33" s="146"/>
      <c r="D33" s="182"/>
      <c r="E33" s="182"/>
      <c r="F33" s="180">
        <f t="shared" si="0"/>
        <v>0</v>
      </c>
    </row>
    <row r="34" spans="1:6" x14ac:dyDescent="0.2">
      <c r="A34" s="153"/>
      <c r="B34" s="358"/>
      <c r="C34" s="131"/>
      <c r="D34" s="184"/>
      <c r="E34" s="182"/>
      <c r="F34" s="180">
        <f t="shared" si="0"/>
        <v>0</v>
      </c>
    </row>
    <row r="35" spans="1:6" x14ac:dyDescent="0.2">
      <c r="A35" s="6"/>
      <c r="B35" s="6"/>
      <c r="C35" s="185" t="s">
        <v>12</v>
      </c>
      <c r="D35" s="185">
        <f>SUM(D20:D34)</f>
        <v>645875.24</v>
      </c>
      <c r="E35" s="185">
        <f>SUM(E20:E34)</f>
        <v>0</v>
      </c>
      <c r="F35" s="186">
        <f>SUM(F20:F34)</f>
        <v>645875.24</v>
      </c>
    </row>
    <row r="37" spans="1:6" x14ac:dyDescent="0.2">
      <c r="A37" t="str">
        <f>Summary!$G$9</f>
        <v>Contractor</v>
      </c>
    </row>
    <row r="39" spans="1:6" x14ac:dyDescent="0.2">
      <c r="D39" s="517"/>
      <c r="E39" s="517"/>
      <c r="F39" s="517"/>
    </row>
    <row r="40" spans="1:6" x14ac:dyDescent="0.2">
      <c r="D40" s="489"/>
      <c r="E40" s="489"/>
      <c r="F40" s="489"/>
    </row>
  </sheetData>
  <mergeCells count="2">
    <mergeCell ref="D39:F39"/>
    <mergeCell ref="D40:F40"/>
  </mergeCells>
  <phoneticPr fontId="26" type="noConversion"/>
  <pageMargins left="1.2900000000000003" right="0.70000000000000007" top="2.3174015748031493" bottom="0.75000000000000011" header="0.30000000000000004" footer="0.30000000000000004"/>
  <pageSetup scale="72" orientation="portrait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40"/>
  <sheetViews>
    <sheetView workbookViewId="0">
      <selection activeCell="A15" sqref="A15"/>
    </sheetView>
  </sheetViews>
  <sheetFormatPr baseColWidth="10" defaultColWidth="8.83203125" defaultRowHeight="15" x14ac:dyDescent="0.2"/>
  <cols>
    <col min="1" max="2" width="10" customWidth="1"/>
    <col min="3" max="3" width="36" customWidth="1"/>
    <col min="4" max="6" width="13.83203125" customWidth="1"/>
  </cols>
  <sheetData>
    <row r="1" spans="1:6" x14ac:dyDescent="0.2">
      <c r="A1" s="5" t="str">
        <f>Summary!$G$11</f>
        <v>PIPELINE PROJECT</v>
      </c>
      <c r="B1" s="5"/>
    </row>
    <row r="13" spans="1:6" ht="16" x14ac:dyDescent="0.2">
      <c r="A13" s="161" t="s">
        <v>92</v>
      </c>
      <c r="B13" s="161"/>
    </row>
    <row r="14" spans="1:6" x14ac:dyDescent="0.2">
      <c r="A14" s="5" t="s">
        <v>24</v>
      </c>
      <c r="B14" s="160" t="s">
        <v>1121</v>
      </c>
    </row>
    <row r="16" spans="1:6" x14ac:dyDescent="0.2">
      <c r="E16" s="2" t="s">
        <v>11</v>
      </c>
      <c r="F16" s="3">
        <v>42444</v>
      </c>
    </row>
    <row r="17" spans="1:6" x14ac:dyDescent="0.2">
      <c r="A17" t="s">
        <v>1</v>
      </c>
      <c r="B17" s="4" t="s">
        <v>91</v>
      </c>
    </row>
    <row r="19" spans="1:6" x14ac:dyDescent="0.2">
      <c r="A19" s="9" t="s">
        <v>19</v>
      </c>
      <c r="B19" s="11" t="s">
        <v>93</v>
      </c>
      <c r="C19" s="10" t="s">
        <v>2</v>
      </c>
      <c r="D19" s="11" t="s">
        <v>37</v>
      </c>
      <c r="E19" s="11" t="s">
        <v>27</v>
      </c>
      <c r="F19" s="12" t="s">
        <v>22</v>
      </c>
    </row>
    <row r="20" spans="1:6" x14ac:dyDescent="0.2">
      <c r="A20" s="124"/>
      <c r="B20" s="354"/>
      <c r="C20" s="125"/>
      <c r="D20" s="178"/>
      <c r="E20" s="178"/>
      <c r="F20" s="179"/>
    </row>
    <row r="21" spans="1:6" x14ac:dyDescent="0.2">
      <c r="A21" s="126">
        <v>42444</v>
      </c>
      <c r="B21" s="355" t="s">
        <v>335</v>
      </c>
      <c r="C21" s="21" t="s">
        <v>266</v>
      </c>
      <c r="D21" s="180">
        <v>3361.32</v>
      </c>
      <c r="E21" s="180"/>
      <c r="F21" s="180">
        <f t="shared" ref="F21:F34" si="0">D21+E21</f>
        <v>3361.32</v>
      </c>
    </row>
    <row r="22" spans="1:6" ht="14.5" customHeight="1" x14ac:dyDescent="0.2">
      <c r="A22" s="126"/>
      <c r="B22" s="355" t="s">
        <v>262</v>
      </c>
      <c r="C22" s="21" t="s">
        <v>263</v>
      </c>
      <c r="D22" s="180">
        <v>243353.65999999834</v>
      </c>
      <c r="E22" s="180"/>
      <c r="F22" s="181">
        <f t="shared" si="0"/>
        <v>243353.65999999834</v>
      </c>
    </row>
    <row r="23" spans="1:6" x14ac:dyDescent="0.2">
      <c r="A23" s="149"/>
      <c r="B23" s="355" t="s">
        <v>611</v>
      </c>
      <c r="C23" s="21" t="s">
        <v>750</v>
      </c>
      <c r="D23" s="180">
        <v>5880</v>
      </c>
      <c r="E23" s="180"/>
      <c r="F23" s="181">
        <f t="shared" si="0"/>
        <v>5880</v>
      </c>
    </row>
    <row r="24" spans="1:6" x14ac:dyDescent="0.2">
      <c r="A24" s="149"/>
      <c r="B24" s="356" t="s">
        <v>522</v>
      </c>
      <c r="C24" s="36" t="s">
        <v>751</v>
      </c>
      <c r="D24" s="180">
        <v>31899.9987</v>
      </c>
      <c r="E24" s="180"/>
      <c r="F24" s="181">
        <f t="shared" si="0"/>
        <v>31899.9987</v>
      </c>
    </row>
    <row r="25" spans="1:6" x14ac:dyDescent="0.2">
      <c r="A25" s="149"/>
      <c r="B25" s="356"/>
      <c r="C25" s="36" t="s">
        <v>821</v>
      </c>
      <c r="D25" s="180"/>
      <c r="E25" s="180"/>
      <c r="F25" s="181">
        <f t="shared" si="0"/>
        <v>0</v>
      </c>
    </row>
    <row r="26" spans="1:6" ht="14.5" customHeight="1" x14ac:dyDescent="0.2">
      <c r="A26" s="126"/>
      <c r="B26" s="355"/>
      <c r="C26" s="21"/>
      <c r="D26" s="180"/>
      <c r="E26" s="180"/>
      <c r="F26" s="181">
        <f>D26+E26</f>
        <v>0</v>
      </c>
    </row>
    <row r="27" spans="1:6" x14ac:dyDescent="0.2">
      <c r="A27" s="149"/>
      <c r="B27" s="355"/>
      <c r="C27" s="21"/>
      <c r="D27" s="180"/>
      <c r="E27" s="180"/>
      <c r="F27" s="181">
        <f>D27+E27</f>
        <v>0</v>
      </c>
    </row>
    <row r="28" spans="1:6" x14ac:dyDescent="0.2">
      <c r="A28" s="149"/>
      <c r="B28" s="356"/>
      <c r="C28" s="36"/>
      <c r="D28" s="180"/>
      <c r="E28" s="180"/>
      <c r="F28" s="181">
        <f t="shared" si="0"/>
        <v>0</v>
      </c>
    </row>
    <row r="29" spans="1:6" x14ac:dyDescent="0.2">
      <c r="A29" s="149"/>
      <c r="B29" s="356"/>
      <c r="C29" s="36"/>
      <c r="D29" s="180"/>
      <c r="E29" s="180"/>
      <c r="F29" s="181">
        <f t="shared" si="0"/>
        <v>0</v>
      </c>
    </row>
    <row r="30" spans="1:6" x14ac:dyDescent="0.2">
      <c r="A30" s="149"/>
      <c r="B30" s="356"/>
      <c r="C30" s="36"/>
      <c r="D30" s="180"/>
      <c r="E30" s="180"/>
      <c r="F30" s="181">
        <f t="shared" si="0"/>
        <v>0</v>
      </c>
    </row>
    <row r="31" spans="1:6" x14ac:dyDescent="0.2">
      <c r="A31" s="149"/>
      <c r="B31" s="356"/>
      <c r="C31" s="36"/>
      <c r="D31" s="180"/>
      <c r="E31" s="180"/>
      <c r="F31" s="181">
        <f t="shared" si="0"/>
        <v>0</v>
      </c>
    </row>
    <row r="32" spans="1:6" x14ac:dyDescent="0.2">
      <c r="A32" s="150"/>
      <c r="B32" s="357"/>
      <c r="C32" s="146"/>
      <c r="D32" s="182"/>
      <c r="E32" s="182"/>
      <c r="F32" s="183">
        <f t="shared" si="0"/>
        <v>0</v>
      </c>
    </row>
    <row r="33" spans="1:6" x14ac:dyDescent="0.2">
      <c r="A33" s="150"/>
      <c r="B33" s="357"/>
      <c r="C33" s="146"/>
      <c r="D33" s="182"/>
      <c r="E33" s="182"/>
      <c r="F33" s="180">
        <f t="shared" si="0"/>
        <v>0</v>
      </c>
    </row>
    <row r="34" spans="1:6" x14ac:dyDescent="0.2">
      <c r="A34" s="153"/>
      <c r="B34" s="358"/>
      <c r="C34" s="131"/>
      <c r="D34" s="184"/>
      <c r="E34" s="182"/>
      <c r="F34" s="180">
        <f t="shared" si="0"/>
        <v>0</v>
      </c>
    </row>
    <row r="35" spans="1:6" x14ac:dyDescent="0.2">
      <c r="A35" s="6"/>
      <c r="B35" s="6"/>
      <c r="C35" s="185" t="s">
        <v>12</v>
      </c>
      <c r="D35" s="185">
        <f>SUM(D20:D34)</f>
        <v>284494.97869999835</v>
      </c>
      <c r="E35" s="185">
        <f>SUM(E20:E34)</f>
        <v>0</v>
      </c>
      <c r="F35" s="186">
        <f>SUM(F20:F34)</f>
        <v>284494.97869999835</v>
      </c>
    </row>
    <row r="37" spans="1:6" x14ac:dyDescent="0.2">
      <c r="A37" t="str">
        <f>Summary!$G$9</f>
        <v>Contractor</v>
      </c>
    </row>
    <row r="39" spans="1:6" x14ac:dyDescent="0.2">
      <c r="D39" s="517"/>
      <c r="E39" s="517"/>
      <c r="F39" s="517"/>
    </row>
    <row r="40" spans="1:6" x14ac:dyDescent="0.2">
      <c r="D40" s="489"/>
      <c r="E40" s="489"/>
      <c r="F40" s="489"/>
    </row>
  </sheetData>
  <mergeCells count="2">
    <mergeCell ref="D39:F39"/>
    <mergeCell ref="D40:F40"/>
  </mergeCells>
  <phoneticPr fontId="26" type="noConversion"/>
  <pageMargins left="1.2900000000000003" right="0.70000000000000007" top="2.3174015748031493" bottom="0.75000000000000011" header="0.30000000000000004" footer="0.30000000000000004"/>
  <pageSetup scale="72" orientation="portrait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82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1122</v>
      </c>
    </row>
    <row r="16" spans="1:5" x14ac:dyDescent="0.2">
      <c r="D16" s="2" t="s">
        <v>11</v>
      </c>
      <c r="E16" s="3">
        <v>42444</v>
      </c>
    </row>
    <row r="17" spans="1:5" x14ac:dyDescent="0.2">
      <c r="A17" s="5" t="s">
        <v>1</v>
      </c>
      <c r="B17" s="4" t="s">
        <v>605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42444</v>
      </c>
      <c r="B20" s="125" t="s">
        <v>828</v>
      </c>
      <c r="C20" s="15">
        <v>42875.6</v>
      </c>
      <c r="D20" s="15"/>
      <c r="E20" s="127">
        <f>C20+D20</f>
        <v>42875.6</v>
      </c>
    </row>
    <row r="21" spans="1:5" x14ac:dyDescent="0.2">
      <c r="A21" s="126"/>
      <c r="B21" s="21"/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42875.6</v>
      </c>
      <c r="D29" s="141">
        <f>SUM(D20:D28)</f>
        <v>0</v>
      </c>
      <c r="E29" s="133">
        <f>SUM(E20:E28)</f>
        <v>42875.6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67500</v>
      </c>
      <c r="E40" s="381">
        <f>E29</f>
        <v>42875.6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1122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605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42444</v>
      </c>
      <c r="B61" s="125" t="s">
        <v>828</v>
      </c>
      <c r="C61" s="15"/>
      <c r="D61" s="15">
        <v>42875.6</v>
      </c>
      <c r="E61" s="127">
        <f>C61+D61</f>
        <v>42875.6</v>
      </c>
    </row>
    <row r="62" spans="1:5" x14ac:dyDescent="0.2">
      <c r="A62" s="126"/>
      <c r="B62" s="21"/>
      <c r="C62" s="127"/>
      <c r="D62" s="127"/>
      <c r="E62" s="127"/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42875.6</v>
      </c>
      <c r="E70" s="133">
        <f>SUM(E61:E69)</f>
        <v>42875.6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67500</v>
      </c>
      <c r="E81" s="381">
        <f>E70</f>
        <v>42875.6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1" manualBreakCount="1">
    <brk id="85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CCFFCC"/>
  </sheetPr>
  <dimension ref="A1:K164"/>
  <sheetViews>
    <sheetView topLeftCell="A32" workbookViewId="0">
      <selection activeCell="B18" sqref="B18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1123</v>
      </c>
    </row>
    <row r="16" spans="1:5" x14ac:dyDescent="0.2">
      <c r="D16" s="2" t="s">
        <v>11</v>
      </c>
      <c r="E16" s="3">
        <v>42444</v>
      </c>
    </row>
    <row r="17" spans="1:5" x14ac:dyDescent="0.2">
      <c r="A17" s="5" t="s">
        <v>1</v>
      </c>
      <c r="B17" s="4" t="s">
        <v>1124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42444</v>
      </c>
      <c r="B20" s="125" t="s">
        <v>1127</v>
      </c>
      <c r="C20" s="15">
        <v>122366.91</v>
      </c>
      <c r="D20" s="15"/>
      <c r="E20" s="127">
        <f>C20+D20</f>
        <v>122366.91</v>
      </c>
    </row>
    <row r="21" spans="1:5" x14ac:dyDescent="0.2">
      <c r="A21" s="126"/>
      <c r="B21" s="21"/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122366.91</v>
      </c>
      <c r="D29" s="141">
        <f>SUM(D20:D28)</f>
        <v>0</v>
      </c>
      <c r="E29" s="133">
        <f>SUM(E20:E28)</f>
        <v>122366.91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197366.91</v>
      </c>
      <c r="E40" s="381">
        <f>E29</f>
        <v>122366.91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1123</v>
      </c>
    </row>
    <row r="57" spans="1:5" x14ac:dyDescent="0.2">
      <c r="D57" s="2" t="s">
        <v>11</v>
      </c>
      <c r="E57" s="3">
        <v>42460</v>
      </c>
    </row>
    <row r="58" spans="1:5" x14ac:dyDescent="0.2">
      <c r="A58" s="5" t="s">
        <v>1</v>
      </c>
      <c r="B58" s="4" t="s">
        <v>1124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42444</v>
      </c>
      <c r="B61" s="125" t="s">
        <v>1127</v>
      </c>
      <c r="C61" s="15"/>
      <c r="D61" s="15">
        <v>122366.91</v>
      </c>
      <c r="E61" s="127">
        <f>C61+D61</f>
        <v>122366.91</v>
      </c>
    </row>
    <row r="62" spans="1:5" x14ac:dyDescent="0.2">
      <c r="A62" s="126">
        <v>42460</v>
      </c>
      <c r="B62" s="21" t="s">
        <v>894</v>
      </c>
      <c r="C62" s="127">
        <v>67863.740000000005</v>
      </c>
      <c r="D62" s="127"/>
      <c r="E62" s="127">
        <f>D62+C62</f>
        <v>67863.740000000005</v>
      </c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67863.740000000005</v>
      </c>
      <c r="D70" s="141">
        <f>SUM(D61:D69)</f>
        <v>122366.91</v>
      </c>
      <c r="E70" s="133">
        <f>SUM(E61:E69)</f>
        <v>190230.65000000002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197366.91</v>
      </c>
      <c r="E81" s="381">
        <f>E70</f>
        <v>190230.65000000002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518" t="s">
        <v>1123</v>
      </c>
    </row>
    <row r="98" spans="1:5" x14ac:dyDescent="0.2">
      <c r="D98" s="2" t="s">
        <v>11</v>
      </c>
      <c r="E98" s="3">
        <v>42475</v>
      </c>
    </row>
    <row r="99" spans="1:5" x14ac:dyDescent="0.2">
      <c r="A99" s="5" t="s">
        <v>1</v>
      </c>
      <c r="B99" s="4" t="s">
        <v>1124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42444</v>
      </c>
      <c r="B102" s="125" t="s">
        <v>1127</v>
      </c>
      <c r="C102" s="15"/>
      <c r="D102" s="15">
        <v>122366.91</v>
      </c>
      <c r="E102" s="127">
        <f>C102+D102</f>
        <v>122366.91</v>
      </c>
    </row>
    <row r="103" spans="1:5" x14ac:dyDescent="0.2">
      <c r="A103" s="126">
        <v>42460</v>
      </c>
      <c r="B103" s="21" t="s">
        <v>894</v>
      </c>
      <c r="C103" s="127"/>
      <c r="D103" s="127">
        <v>67863.740000000005</v>
      </c>
      <c r="E103" s="127">
        <f>D103+C103</f>
        <v>67863.740000000005</v>
      </c>
    </row>
    <row r="104" spans="1:5" x14ac:dyDescent="0.2">
      <c r="A104" s="126">
        <v>42475</v>
      </c>
      <c r="B104" s="21" t="s">
        <v>1128</v>
      </c>
      <c r="C104" s="127">
        <v>5479.88</v>
      </c>
      <c r="D104" s="127"/>
      <c r="E104" s="127">
        <f>D104+C104</f>
        <v>5479.88</v>
      </c>
    </row>
    <row r="105" spans="1:5" ht="14.5" customHeight="1" x14ac:dyDescent="0.2">
      <c r="A105" s="126"/>
      <c r="B105" s="21"/>
      <c r="C105" s="128"/>
      <c r="D105" s="127"/>
      <c r="E105" s="127"/>
    </row>
    <row r="106" spans="1:5" x14ac:dyDescent="0.2">
      <c r="A106" s="129"/>
      <c r="B106" s="36"/>
      <c r="C106" s="127"/>
      <c r="D106" s="127"/>
      <c r="E106" s="127"/>
    </row>
    <row r="107" spans="1:5" x14ac:dyDescent="0.2">
      <c r="A107" s="129"/>
      <c r="B107" s="36"/>
      <c r="C107" s="127"/>
      <c r="D107" s="127"/>
      <c r="E107" s="127"/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5479.88</v>
      </c>
      <c r="D111" s="141">
        <f>SUM(D102:D110)</f>
        <v>190230.65000000002</v>
      </c>
      <c r="E111" s="133">
        <f>SUM(E102:E110)</f>
        <v>195710.53000000003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197366.91</v>
      </c>
      <c r="E122" s="381">
        <f>E111</f>
        <v>195710.53000000003</v>
      </c>
      <c r="F122" s="93"/>
    </row>
    <row r="123" spans="1:11" x14ac:dyDescent="0.2">
      <c r="F123" s="93"/>
    </row>
    <row r="124" spans="1:11" x14ac:dyDescent="0.2">
      <c r="A124" s="5" t="str">
        <f>Summary!$G$11</f>
        <v>PIPELINE PROJECT</v>
      </c>
    </row>
    <row r="136" spans="1:5" ht="16" x14ac:dyDescent="0.2">
      <c r="A136" s="192" t="s">
        <v>88</v>
      </c>
    </row>
    <row r="137" spans="1:5" x14ac:dyDescent="0.2">
      <c r="A137" s="5" t="s">
        <v>24</v>
      </c>
      <c r="B137" s="191" t="s">
        <v>1123</v>
      </c>
    </row>
    <row r="139" spans="1:5" x14ac:dyDescent="0.2">
      <c r="D139" s="2" t="s">
        <v>11</v>
      </c>
      <c r="E139" s="3">
        <f>Summary!$G$3</f>
        <v>42505</v>
      </c>
    </row>
    <row r="140" spans="1:5" x14ac:dyDescent="0.2">
      <c r="A140" s="5" t="s">
        <v>1</v>
      </c>
      <c r="B140" s="4" t="s">
        <v>1124</v>
      </c>
    </row>
    <row r="142" spans="1:5" x14ac:dyDescent="0.2">
      <c r="A142" s="9" t="s">
        <v>19</v>
      </c>
      <c r="B142" s="10" t="s">
        <v>2</v>
      </c>
      <c r="C142" s="11" t="s">
        <v>37</v>
      </c>
      <c r="D142" s="11" t="s">
        <v>27</v>
      </c>
      <c r="E142" s="12" t="s">
        <v>22</v>
      </c>
    </row>
    <row r="143" spans="1:5" ht="14.5" customHeight="1" x14ac:dyDescent="0.2">
      <c r="A143" s="124">
        <v>42444</v>
      </c>
      <c r="B143" s="125" t="s">
        <v>1125</v>
      </c>
      <c r="C143" s="15"/>
      <c r="D143" s="15">
        <v>122366.91</v>
      </c>
      <c r="E143" s="127">
        <f>C143+D143</f>
        <v>122366.91</v>
      </c>
    </row>
    <row r="144" spans="1:5" x14ac:dyDescent="0.2">
      <c r="A144" s="126">
        <v>42460</v>
      </c>
      <c r="B144" s="21" t="s">
        <v>894</v>
      </c>
      <c r="C144" s="127"/>
      <c r="D144" s="127">
        <v>67863.740000000005</v>
      </c>
      <c r="E144" s="127">
        <f>D144+C144</f>
        <v>67863.740000000005</v>
      </c>
    </row>
    <row r="145" spans="1:11" x14ac:dyDescent="0.2">
      <c r="A145" s="126">
        <v>42475</v>
      </c>
      <c r="B145" s="21" t="s">
        <v>1126</v>
      </c>
      <c r="C145" s="127"/>
      <c r="D145" s="127">
        <v>5479.88</v>
      </c>
      <c r="E145" s="127">
        <f>D145+C145</f>
        <v>5479.88</v>
      </c>
    </row>
    <row r="146" spans="1:11" ht="14.5" customHeight="1" x14ac:dyDescent="0.2">
      <c r="A146" s="126">
        <v>42505</v>
      </c>
      <c r="B146" s="21" t="s">
        <v>1067</v>
      </c>
      <c r="C146" s="128">
        <v>1480.14</v>
      </c>
      <c r="D146" s="127"/>
      <c r="E146" s="127">
        <f>D146+C146</f>
        <v>1480.14</v>
      </c>
    </row>
    <row r="147" spans="1:11" x14ac:dyDescent="0.2">
      <c r="A147" s="129"/>
      <c r="B147" s="36"/>
      <c r="C147" s="127"/>
      <c r="D147" s="127"/>
      <c r="E147" s="127"/>
    </row>
    <row r="148" spans="1:11" x14ac:dyDescent="0.2">
      <c r="A148" s="129"/>
      <c r="B148" s="36"/>
      <c r="C148" s="127"/>
      <c r="D148" s="127"/>
      <c r="E148" s="127"/>
    </row>
    <row r="149" spans="1:11" x14ac:dyDescent="0.2">
      <c r="A149" s="129"/>
      <c r="B149" s="36"/>
      <c r="C149" s="127"/>
      <c r="D149" s="127"/>
      <c r="E149" s="127"/>
    </row>
    <row r="150" spans="1:11" x14ac:dyDescent="0.2">
      <c r="A150" s="129"/>
      <c r="B150" s="36"/>
      <c r="C150" s="127"/>
      <c r="D150" s="127"/>
      <c r="E150" s="127"/>
    </row>
    <row r="151" spans="1:11" x14ac:dyDescent="0.2">
      <c r="A151" s="130"/>
      <c r="B151" s="131"/>
      <c r="C151" s="132"/>
      <c r="D151" s="132"/>
      <c r="E151" s="132"/>
    </row>
    <row r="152" spans="1:11" x14ac:dyDescent="0.2">
      <c r="A152" s="6"/>
      <c r="B152" s="345" t="s">
        <v>12</v>
      </c>
      <c r="C152" s="141">
        <f>SUM(C143:C151)</f>
        <v>1480.14</v>
      </c>
      <c r="D152" s="141">
        <f>SUM(D143:D151)</f>
        <v>195710.53000000003</v>
      </c>
      <c r="E152" s="133">
        <f>SUM(E143:E151)</f>
        <v>197190.67000000004</v>
      </c>
    </row>
    <row r="154" spans="1:11" x14ac:dyDescent="0.2">
      <c r="A154" t="str">
        <f>Summary!$G$9</f>
        <v>Contractor</v>
      </c>
    </row>
    <row r="155" spans="1:11" x14ac:dyDescent="0.2">
      <c r="D155" s="5"/>
    </row>
    <row r="157" spans="1:11" x14ac:dyDescent="0.2">
      <c r="C157" s="488"/>
      <c r="D157" s="488"/>
      <c r="E157" s="488"/>
    </row>
    <row r="158" spans="1:11" x14ac:dyDescent="0.2">
      <c r="C158" s="489" t="str">
        <f>Summary!$G$10</f>
        <v>Construction Manager</v>
      </c>
      <c r="D158" s="489"/>
      <c r="E158" s="489"/>
    </row>
    <row r="159" spans="1:11" ht="13.5" customHeight="1" x14ac:dyDescent="0.2">
      <c r="A159" s="79"/>
      <c r="C159" s="81"/>
      <c r="D159" s="82"/>
      <c r="E159" s="83"/>
      <c r="F159" s="93"/>
      <c r="G159" s="93"/>
      <c r="I159" s="95"/>
      <c r="J159" s="95"/>
      <c r="K159" s="95"/>
    </row>
    <row r="160" spans="1:11" x14ac:dyDescent="0.2">
      <c r="D160" s="82"/>
      <c r="E160" s="83"/>
      <c r="F160" s="93"/>
      <c r="I160" s="96"/>
      <c r="J160" s="96"/>
      <c r="K160" s="95"/>
    </row>
    <row r="161" spans="1:6" x14ac:dyDescent="0.2">
      <c r="F161" s="93"/>
    </row>
    <row r="162" spans="1:6" x14ac:dyDescent="0.2">
      <c r="A162" s="58"/>
      <c r="B162" s="58"/>
      <c r="D162" s="392" t="s">
        <v>182</v>
      </c>
      <c r="E162" s="393" t="s">
        <v>183</v>
      </c>
      <c r="F162" s="93"/>
    </row>
    <row r="163" spans="1:6" ht="14" customHeight="1" x14ac:dyDescent="0.2">
      <c r="A163" s="58"/>
      <c r="B163" s="58"/>
      <c r="D163" s="381">
        <v>197366.91</v>
      </c>
      <c r="E163" s="381">
        <f>E152</f>
        <v>197190.67000000004</v>
      </c>
      <c r="F163" s="93"/>
    </row>
    <row r="164" spans="1:6" x14ac:dyDescent="0.2">
      <c r="F164" s="93"/>
    </row>
  </sheetData>
  <mergeCells count="8">
    <mergeCell ref="C157:E157"/>
    <mergeCell ref="C158:E158"/>
    <mergeCell ref="C117:E117"/>
    <mergeCell ref="C34:E34"/>
    <mergeCell ref="C35:E35"/>
    <mergeCell ref="C75:E75"/>
    <mergeCell ref="C76:E76"/>
    <mergeCell ref="C116:E11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3" manualBreakCount="3">
    <brk id="41" max="16383" man="1"/>
    <brk id="82" max="16383" man="1"/>
    <brk id="164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82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1129</v>
      </c>
    </row>
    <row r="16" spans="1:5" x14ac:dyDescent="0.2">
      <c r="D16" s="2" t="s">
        <v>11</v>
      </c>
      <c r="E16" s="3">
        <v>42444</v>
      </c>
    </row>
    <row r="17" spans="1:5" x14ac:dyDescent="0.2">
      <c r="A17" s="5" t="s">
        <v>1</v>
      </c>
      <c r="B17" s="4" t="s">
        <v>810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42444</v>
      </c>
      <c r="B20" s="125" t="s">
        <v>843</v>
      </c>
      <c r="C20" s="15">
        <v>5805.78</v>
      </c>
      <c r="D20" s="15"/>
      <c r="E20" s="127">
        <f>C20+D20</f>
        <v>5805.78</v>
      </c>
    </row>
    <row r="21" spans="1:5" x14ac:dyDescent="0.2">
      <c r="A21" s="126"/>
      <c r="B21" s="21" t="s">
        <v>829</v>
      </c>
      <c r="C21" s="127"/>
      <c r="D21" s="127"/>
      <c r="E21" s="127"/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5805.78</v>
      </c>
      <c r="D29" s="141">
        <f>SUM(D20:D28)</f>
        <v>0</v>
      </c>
      <c r="E29" s="133">
        <f>SUM(E20:E28)</f>
        <v>5805.78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9805.7800000000007</v>
      </c>
      <c r="E40" s="381">
        <f>E29</f>
        <v>5805.78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1129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810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42444</v>
      </c>
      <c r="B61" s="125" t="s">
        <v>843</v>
      </c>
      <c r="C61" s="15"/>
      <c r="D61" s="15">
        <v>5805.78</v>
      </c>
      <c r="E61" s="127">
        <f>C61+D61</f>
        <v>5805.78</v>
      </c>
    </row>
    <row r="62" spans="1:5" x14ac:dyDescent="0.2">
      <c r="A62" s="126"/>
      <c r="B62" s="21" t="s">
        <v>829</v>
      </c>
      <c r="C62" s="127"/>
      <c r="D62" s="127"/>
      <c r="E62" s="127"/>
    </row>
    <row r="63" spans="1:5" x14ac:dyDescent="0.2">
      <c r="A63" s="126"/>
      <c r="B63" s="21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5805.78</v>
      </c>
      <c r="E70" s="133">
        <f>SUM(E61:E69)</f>
        <v>5805.78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9805.7800000000007</v>
      </c>
      <c r="E81" s="381">
        <f>E70</f>
        <v>5805.78</v>
      </c>
      <c r="F81" s="93"/>
    </row>
    <row r="82" spans="1:6" x14ac:dyDescent="0.2"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1" manualBreakCount="1">
    <brk id="85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82"/>
  <sheetViews>
    <sheetView workbookViewId="0">
      <selection activeCell="F19" sqref="F19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1131</v>
      </c>
    </row>
    <row r="16" spans="1:5" x14ac:dyDescent="0.2">
      <c r="D16" s="2" t="s">
        <v>11</v>
      </c>
      <c r="E16" s="3">
        <v>42460</v>
      </c>
    </row>
    <row r="17" spans="1:5" x14ac:dyDescent="0.2">
      <c r="A17" s="5" t="s">
        <v>1</v>
      </c>
      <c r="B17" s="4" t="s">
        <v>918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42460</v>
      </c>
      <c r="B20" s="125" t="s">
        <v>919</v>
      </c>
      <c r="C20" s="15">
        <v>84077.7</v>
      </c>
      <c r="D20" s="15"/>
      <c r="E20" s="127">
        <f>C20+D20</f>
        <v>84077.7</v>
      </c>
    </row>
    <row r="21" spans="1:5" x14ac:dyDescent="0.2">
      <c r="A21" s="126"/>
      <c r="B21" s="21" t="s">
        <v>920</v>
      </c>
      <c r="C21" s="127"/>
      <c r="D21" s="127"/>
      <c r="E21" s="127"/>
    </row>
    <row r="22" spans="1:5" x14ac:dyDescent="0.2">
      <c r="A22" s="126"/>
      <c r="B22" s="455" t="s">
        <v>921</v>
      </c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84077.7</v>
      </c>
      <c r="D29" s="141">
        <f>SUM(D20:D28)</f>
        <v>0</v>
      </c>
      <c r="E29" s="133">
        <f>SUM(E20:E28)</f>
        <v>84077.7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104077.7</v>
      </c>
      <c r="E40" s="381">
        <f>E29</f>
        <v>84077.7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1130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918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42460</v>
      </c>
      <c r="B61" s="125" t="s">
        <v>919</v>
      </c>
      <c r="C61" s="15"/>
      <c r="D61" s="15">
        <v>84077.7</v>
      </c>
      <c r="E61" s="127">
        <f>C61+D61</f>
        <v>84077.7</v>
      </c>
    </row>
    <row r="62" spans="1:5" x14ac:dyDescent="0.2">
      <c r="A62" s="126"/>
      <c r="B62" s="21" t="s">
        <v>920</v>
      </c>
      <c r="C62" s="127"/>
      <c r="D62" s="127"/>
      <c r="E62" s="127"/>
    </row>
    <row r="63" spans="1:5" x14ac:dyDescent="0.2">
      <c r="A63" s="126"/>
      <c r="B63" s="455" t="s">
        <v>921</v>
      </c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84077.7</v>
      </c>
      <c r="E70" s="133">
        <f>SUM(E61:E69)</f>
        <v>84077.7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104077.7</v>
      </c>
      <c r="E81" s="381">
        <f>E70</f>
        <v>84077.7</v>
      </c>
      <c r="F81" s="93"/>
    </row>
    <row r="82" spans="1:6" x14ac:dyDescent="0.2"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1" manualBreakCount="1">
    <brk id="85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123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1132</v>
      </c>
    </row>
    <row r="16" spans="1:5" x14ac:dyDescent="0.2">
      <c r="D16" s="2" t="s">
        <v>11</v>
      </c>
      <c r="E16" s="3">
        <v>42460</v>
      </c>
    </row>
    <row r="17" spans="1:5" x14ac:dyDescent="0.2">
      <c r="A17" s="5" t="s">
        <v>1</v>
      </c>
      <c r="B17" s="4" t="s">
        <v>883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42460</v>
      </c>
      <c r="B20" s="125" t="s">
        <v>926</v>
      </c>
      <c r="C20" s="15">
        <v>8411.6299999999992</v>
      </c>
      <c r="D20" s="15"/>
      <c r="E20" s="127">
        <f>C20+D20</f>
        <v>8411.6299999999992</v>
      </c>
    </row>
    <row r="21" spans="1:5" x14ac:dyDescent="0.2">
      <c r="A21" s="126"/>
      <c r="B21" s="21" t="s">
        <v>927</v>
      </c>
      <c r="C21" s="127"/>
      <c r="D21" s="127"/>
      <c r="E21" s="127"/>
    </row>
    <row r="22" spans="1:5" x14ac:dyDescent="0.2">
      <c r="A22" s="126"/>
      <c r="B22" s="455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8411.6299999999992</v>
      </c>
      <c r="D29" s="141">
        <f>SUM(D20:D28)</f>
        <v>0</v>
      </c>
      <c r="E29" s="133">
        <f>SUM(E20:E28)</f>
        <v>8411.6299999999992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10000</v>
      </c>
      <c r="E40" s="381">
        <f>E29</f>
        <v>8411.6299999999992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1132</v>
      </c>
    </row>
    <row r="57" spans="1:5" x14ac:dyDescent="0.2">
      <c r="D57" s="2" t="s">
        <v>11</v>
      </c>
      <c r="E57" s="3">
        <v>42490</v>
      </c>
    </row>
    <row r="58" spans="1:5" x14ac:dyDescent="0.2">
      <c r="A58" s="5" t="s">
        <v>1</v>
      </c>
      <c r="B58" s="4" t="s">
        <v>883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42460</v>
      </c>
      <c r="B61" s="125" t="s">
        <v>926</v>
      </c>
      <c r="C61" s="15"/>
      <c r="D61" s="15">
        <v>8411.6299999999992</v>
      </c>
      <c r="E61" s="127">
        <f>C61+D61</f>
        <v>8411.6299999999992</v>
      </c>
    </row>
    <row r="62" spans="1:5" x14ac:dyDescent="0.2">
      <c r="A62" s="126"/>
      <c r="B62" s="21" t="s">
        <v>927</v>
      </c>
      <c r="C62" s="127"/>
      <c r="D62" s="127"/>
      <c r="E62" s="127"/>
    </row>
    <row r="63" spans="1:5" x14ac:dyDescent="0.2">
      <c r="A63" s="126">
        <v>42490</v>
      </c>
      <c r="B63" s="455" t="s">
        <v>926</v>
      </c>
      <c r="C63" s="127">
        <v>511.97</v>
      </c>
      <c r="D63" s="127"/>
      <c r="E63" s="127">
        <f>D63+C63</f>
        <v>511.97</v>
      </c>
    </row>
    <row r="64" spans="1:5" ht="14.5" customHeight="1" x14ac:dyDescent="0.2">
      <c r="A64" s="126"/>
      <c r="B64" s="21" t="s">
        <v>993</v>
      </c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511.97</v>
      </c>
      <c r="D70" s="141">
        <f>SUM(D61:D69)</f>
        <v>8411.6299999999992</v>
      </c>
      <c r="E70" s="133">
        <f>SUM(E61:E69)</f>
        <v>8923.5999999999985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10000</v>
      </c>
      <c r="E81" s="381">
        <f>E70</f>
        <v>8923.5999999999985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1132</v>
      </c>
    </row>
    <row r="98" spans="1:5" x14ac:dyDescent="0.2">
      <c r="D98" s="2" t="s">
        <v>11</v>
      </c>
      <c r="E98" s="3">
        <f>Summary!$G$3</f>
        <v>42505</v>
      </c>
    </row>
    <row r="99" spans="1:5" x14ac:dyDescent="0.2">
      <c r="A99" s="5" t="s">
        <v>1</v>
      </c>
      <c r="B99" s="4" t="s">
        <v>883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42460</v>
      </c>
      <c r="B102" s="125" t="s">
        <v>926</v>
      </c>
      <c r="C102" s="15"/>
      <c r="D102" s="15">
        <v>8411.6299999999992</v>
      </c>
      <c r="E102" s="127">
        <f>C102+D102</f>
        <v>8411.6299999999992</v>
      </c>
    </row>
    <row r="103" spans="1:5" x14ac:dyDescent="0.2">
      <c r="A103" s="126"/>
      <c r="B103" s="21" t="s">
        <v>927</v>
      </c>
      <c r="C103" s="127"/>
      <c r="D103" s="127"/>
      <c r="E103" s="127"/>
    </row>
    <row r="104" spans="1:5" x14ac:dyDescent="0.2">
      <c r="A104" s="126">
        <v>42490</v>
      </c>
      <c r="B104" s="455" t="s">
        <v>926</v>
      </c>
      <c r="C104" s="127"/>
      <c r="D104" s="127">
        <v>511.97</v>
      </c>
      <c r="E104" s="127">
        <f>D104+C104</f>
        <v>511.97</v>
      </c>
    </row>
    <row r="105" spans="1:5" ht="14.5" customHeight="1" x14ac:dyDescent="0.2">
      <c r="A105" s="126"/>
      <c r="B105" s="21" t="s">
        <v>993</v>
      </c>
      <c r="C105" s="128"/>
      <c r="D105" s="127"/>
      <c r="E105" s="127"/>
    </row>
    <row r="106" spans="1:5" x14ac:dyDescent="0.2">
      <c r="A106" s="129"/>
      <c r="B106" s="36"/>
      <c r="C106" s="127"/>
      <c r="D106" s="127"/>
      <c r="E106" s="127"/>
    </row>
    <row r="107" spans="1:5" x14ac:dyDescent="0.2">
      <c r="A107" s="129"/>
      <c r="B107" s="36"/>
      <c r="C107" s="127"/>
      <c r="D107" s="127"/>
      <c r="E107" s="127"/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0</v>
      </c>
      <c r="D111" s="141">
        <f>SUM(D102:D110)</f>
        <v>8923.5999999999985</v>
      </c>
      <c r="E111" s="133">
        <f>SUM(E102:E110)</f>
        <v>8923.5999999999985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10000</v>
      </c>
      <c r="E122" s="381">
        <f>E111</f>
        <v>8923.5999999999985</v>
      </c>
      <c r="F122" s="93"/>
    </row>
    <row r="123" spans="1:11" x14ac:dyDescent="0.2">
      <c r="F123" s="93"/>
    </row>
  </sheetData>
  <mergeCells count="6">
    <mergeCell ref="C117:E117"/>
    <mergeCell ref="C34:E34"/>
    <mergeCell ref="C35:E35"/>
    <mergeCell ref="C75:E75"/>
    <mergeCell ref="C76:E76"/>
    <mergeCell ref="C116:E11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2" manualBreakCount="2">
    <brk id="41" max="16383" man="1"/>
    <brk id="126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40"/>
  <sheetViews>
    <sheetView workbookViewId="0">
      <selection activeCell="D16" sqref="D16"/>
    </sheetView>
  </sheetViews>
  <sheetFormatPr baseColWidth="10" defaultColWidth="8.83203125" defaultRowHeight="15" x14ac:dyDescent="0.2"/>
  <cols>
    <col min="1" max="2" width="10" customWidth="1"/>
    <col min="3" max="3" width="36" customWidth="1"/>
    <col min="4" max="6" width="13.83203125" customWidth="1"/>
  </cols>
  <sheetData>
    <row r="1" spans="1:6" x14ac:dyDescent="0.2">
      <c r="A1" s="5" t="str">
        <f>Summary!$G$11</f>
        <v>PIPELINE PROJECT</v>
      </c>
      <c r="B1" s="5"/>
    </row>
    <row r="13" spans="1:6" ht="16" x14ac:dyDescent="0.2">
      <c r="A13" s="161" t="s">
        <v>92</v>
      </c>
      <c r="B13" s="161"/>
    </row>
    <row r="14" spans="1:6" x14ac:dyDescent="0.2">
      <c r="A14" s="5" t="s">
        <v>24</v>
      </c>
      <c r="B14" s="160" t="s">
        <v>1133</v>
      </c>
    </row>
    <row r="16" spans="1:6" x14ac:dyDescent="0.2">
      <c r="E16" s="2" t="s">
        <v>11</v>
      </c>
      <c r="F16" s="3">
        <v>42460</v>
      </c>
    </row>
    <row r="17" spans="1:6" x14ac:dyDescent="0.2">
      <c r="A17" t="s">
        <v>1</v>
      </c>
      <c r="B17" s="4" t="s">
        <v>91</v>
      </c>
    </row>
    <row r="19" spans="1:6" x14ac:dyDescent="0.2">
      <c r="A19" s="9" t="s">
        <v>19</v>
      </c>
      <c r="B19" s="11" t="s">
        <v>93</v>
      </c>
      <c r="C19" s="10" t="s">
        <v>2</v>
      </c>
      <c r="D19" s="11" t="s">
        <v>37</v>
      </c>
      <c r="E19" s="11" t="s">
        <v>27</v>
      </c>
      <c r="F19" s="12" t="s">
        <v>22</v>
      </c>
    </row>
    <row r="20" spans="1:6" x14ac:dyDescent="0.2">
      <c r="A20" s="124"/>
      <c r="B20" s="354"/>
      <c r="C20" s="125"/>
      <c r="D20" s="178"/>
      <c r="E20" s="178"/>
      <c r="F20" s="179"/>
    </row>
    <row r="21" spans="1:6" x14ac:dyDescent="0.2">
      <c r="A21" s="126">
        <v>42460</v>
      </c>
      <c r="B21" s="355" t="s">
        <v>262</v>
      </c>
      <c r="C21" s="21" t="s">
        <v>889</v>
      </c>
      <c r="D21" s="180">
        <v>59762.28</v>
      </c>
      <c r="E21" s="180"/>
      <c r="F21" s="180">
        <f t="shared" ref="F21:F34" si="0">D21+E21</f>
        <v>59762.28</v>
      </c>
    </row>
    <row r="22" spans="1:6" ht="14.5" customHeight="1" x14ac:dyDescent="0.2">
      <c r="A22" s="126"/>
      <c r="B22" s="355" t="s">
        <v>273</v>
      </c>
      <c r="C22" s="21" t="s">
        <v>274</v>
      </c>
      <c r="D22" s="180">
        <v>6291</v>
      </c>
      <c r="E22" s="180"/>
      <c r="F22" s="181">
        <f t="shared" si="0"/>
        <v>6291</v>
      </c>
    </row>
    <row r="23" spans="1:6" x14ac:dyDescent="0.2">
      <c r="A23" s="149"/>
      <c r="B23" s="356"/>
      <c r="C23" s="36"/>
      <c r="D23" s="180"/>
      <c r="E23" s="180"/>
      <c r="F23" s="181">
        <f t="shared" si="0"/>
        <v>0</v>
      </c>
    </row>
    <row r="24" spans="1:6" x14ac:dyDescent="0.2">
      <c r="A24" s="149"/>
      <c r="B24" s="356"/>
      <c r="C24" s="36"/>
      <c r="D24" s="180"/>
      <c r="E24" s="180"/>
      <c r="F24" s="181">
        <f t="shared" si="0"/>
        <v>0</v>
      </c>
    </row>
    <row r="25" spans="1:6" x14ac:dyDescent="0.2">
      <c r="A25" s="149"/>
      <c r="B25" s="356"/>
      <c r="C25" s="21"/>
      <c r="D25" s="180"/>
      <c r="E25" s="180"/>
      <c r="F25" s="181">
        <f t="shared" si="0"/>
        <v>0</v>
      </c>
    </row>
    <row r="26" spans="1:6" ht="14.5" customHeight="1" x14ac:dyDescent="0.2">
      <c r="A26" s="126"/>
      <c r="B26" s="355"/>
      <c r="C26" s="21"/>
      <c r="D26" s="180"/>
      <c r="E26" s="180"/>
      <c r="F26" s="181">
        <f>D26+E26</f>
        <v>0</v>
      </c>
    </row>
    <row r="27" spans="1:6" x14ac:dyDescent="0.2">
      <c r="A27" s="149"/>
      <c r="B27" s="355"/>
      <c r="C27" s="21"/>
      <c r="D27" s="180"/>
      <c r="E27" s="180"/>
      <c r="F27" s="181">
        <f>D27+E27</f>
        <v>0</v>
      </c>
    </row>
    <row r="28" spans="1:6" x14ac:dyDescent="0.2">
      <c r="A28" s="149"/>
      <c r="B28" s="356"/>
      <c r="C28" s="36"/>
      <c r="D28" s="180"/>
      <c r="E28" s="180"/>
      <c r="F28" s="181">
        <f t="shared" si="0"/>
        <v>0</v>
      </c>
    </row>
    <row r="29" spans="1:6" x14ac:dyDescent="0.2">
      <c r="A29" s="149"/>
      <c r="B29" s="356"/>
      <c r="C29" s="36"/>
      <c r="D29" s="180"/>
      <c r="E29" s="180"/>
      <c r="F29" s="181">
        <f t="shared" si="0"/>
        <v>0</v>
      </c>
    </row>
    <row r="30" spans="1:6" x14ac:dyDescent="0.2">
      <c r="A30" s="149"/>
      <c r="B30" s="356"/>
      <c r="C30" s="36"/>
      <c r="D30" s="180"/>
      <c r="E30" s="180"/>
      <c r="F30" s="181">
        <f t="shared" si="0"/>
        <v>0</v>
      </c>
    </row>
    <row r="31" spans="1:6" x14ac:dyDescent="0.2">
      <c r="A31" s="149"/>
      <c r="B31" s="356"/>
      <c r="C31" s="36"/>
      <c r="D31" s="180"/>
      <c r="E31" s="180"/>
      <c r="F31" s="181">
        <f t="shared" si="0"/>
        <v>0</v>
      </c>
    </row>
    <row r="32" spans="1:6" x14ac:dyDescent="0.2">
      <c r="A32" s="150"/>
      <c r="B32" s="357"/>
      <c r="C32" s="146"/>
      <c r="D32" s="182"/>
      <c r="E32" s="182"/>
      <c r="F32" s="183">
        <f t="shared" si="0"/>
        <v>0</v>
      </c>
    </row>
    <row r="33" spans="1:6" x14ac:dyDescent="0.2">
      <c r="A33" s="150"/>
      <c r="B33" s="357"/>
      <c r="C33" s="146"/>
      <c r="D33" s="182"/>
      <c r="E33" s="182"/>
      <c r="F33" s="180">
        <f t="shared" si="0"/>
        <v>0</v>
      </c>
    </row>
    <row r="34" spans="1:6" x14ac:dyDescent="0.2">
      <c r="A34" s="153"/>
      <c r="B34" s="358"/>
      <c r="C34" s="131"/>
      <c r="D34" s="184"/>
      <c r="E34" s="182"/>
      <c r="F34" s="180">
        <f t="shared" si="0"/>
        <v>0</v>
      </c>
    </row>
    <row r="35" spans="1:6" x14ac:dyDescent="0.2">
      <c r="A35" s="6"/>
      <c r="B35" s="6"/>
      <c r="C35" s="185" t="s">
        <v>12</v>
      </c>
      <c r="D35" s="185">
        <f>SUM(D20:D34)</f>
        <v>66053.279999999999</v>
      </c>
      <c r="E35" s="185">
        <f>SUM(E20:E34)</f>
        <v>0</v>
      </c>
      <c r="F35" s="186">
        <f>SUM(F20:F34)</f>
        <v>66053.279999999999</v>
      </c>
    </row>
    <row r="37" spans="1:6" x14ac:dyDescent="0.2">
      <c r="A37" t="str">
        <f>Summary!$G$9</f>
        <v>Contractor</v>
      </c>
    </row>
    <row r="39" spans="1:6" x14ac:dyDescent="0.2">
      <c r="D39" s="517"/>
      <c r="E39" s="517"/>
      <c r="F39" s="517"/>
    </row>
    <row r="40" spans="1:6" x14ac:dyDescent="0.2">
      <c r="D40" s="489"/>
      <c r="E40" s="489"/>
      <c r="F40" s="489"/>
    </row>
  </sheetData>
  <mergeCells count="2">
    <mergeCell ref="D39:F39"/>
    <mergeCell ref="D40:F40"/>
  </mergeCells>
  <phoneticPr fontId="26" type="noConversion"/>
  <pageMargins left="1.2900000000000003" right="0.70000000000000007" top="2.3174015748031493" bottom="0.75000000000000011" header="0.30000000000000004" footer="0.30000000000000004"/>
  <pageSetup scale="72" orientation="portrait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123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1134</v>
      </c>
    </row>
    <row r="16" spans="1:5" x14ac:dyDescent="0.2">
      <c r="D16" s="2" t="s">
        <v>11</v>
      </c>
      <c r="E16" s="3">
        <v>42460</v>
      </c>
    </row>
    <row r="17" spans="1:5" x14ac:dyDescent="0.2">
      <c r="A17" s="5" t="s">
        <v>1</v>
      </c>
      <c r="B17" s="4" t="s">
        <v>915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42460</v>
      </c>
      <c r="B20" s="125" t="s">
        <v>915</v>
      </c>
      <c r="C20" s="15">
        <v>9370.5499999999993</v>
      </c>
      <c r="D20" s="15"/>
      <c r="E20" s="127">
        <f>C20+D20</f>
        <v>9370.5499999999993</v>
      </c>
    </row>
    <row r="21" spans="1:5" x14ac:dyDescent="0.2">
      <c r="A21" s="126"/>
      <c r="B21" s="21" t="s">
        <v>928</v>
      </c>
      <c r="C21" s="127"/>
      <c r="D21" s="127"/>
      <c r="E21" s="127"/>
    </row>
    <row r="22" spans="1:5" x14ac:dyDescent="0.2">
      <c r="A22" s="126"/>
      <c r="B22" s="455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9370.5499999999993</v>
      </c>
      <c r="D29" s="141">
        <f>SUM(D20:D28)</f>
        <v>0</v>
      </c>
      <c r="E29" s="133">
        <f>SUM(E20:E28)</f>
        <v>9370.5499999999993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80000</v>
      </c>
      <c r="E40" s="381">
        <f>E29</f>
        <v>9370.5499999999993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1134</v>
      </c>
    </row>
    <row r="57" spans="1:5" x14ac:dyDescent="0.2">
      <c r="D57" s="2" t="s">
        <v>11</v>
      </c>
      <c r="E57" s="3">
        <v>42475</v>
      </c>
    </row>
    <row r="58" spans="1:5" x14ac:dyDescent="0.2">
      <c r="A58" s="5" t="s">
        <v>1</v>
      </c>
      <c r="B58" s="4" t="s">
        <v>915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42460</v>
      </c>
      <c r="B61" s="125" t="s">
        <v>915</v>
      </c>
      <c r="C61" s="15"/>
      <c r="D61" s="15">
        <v>9370.5499999999993</v>
      </c>
      <c r="E61" s="127">
        <f>C61+D61</f>
        <v>9370.5499999999993</v>
      </c>
    </row>
    <row r="62" spans="1:5" x14ac:dyDescent="0.2">
      <c r="A62" s="126"/>
      <c r="B62" s="21"/>
      <c r="C62" s="127"/>
      <c r="D62" s="127"/>
      <c r="E62" s="127"/>
    </row>
    <row r="63" spans="1:5" x14ac:dyDescent="0.2">
      <c r="A63" s="126">
        <v>42475</v>
      </c>
      <c r="B63" s="455" t="s">
        <v>915</v>
      </c>
      <c r="C63" s="127">
        <v>56999.37</v>
      </c>
      <c r="D63" s="127"/>
      <c r="E63" s="127">
        <f>C63+D63</f>
        <v>56999.37</v>
      </c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56999.37</v>
      </c>
      <c r="D70" s="141">
        <f>SUM(D61:D69)</f>
        <v>9370.5499999999993</v>
      </c>
      <c r="E70" s="133">
        <f>SUM(E61:E69)</f>
        <v>66369.919999999998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80000</v>
      </c>
      <c r="E81" s="381">
        <f>E70</f>
        <v>66369.919999999998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1134</v>
      </c>
    </row>
    <row r="98" spans="1:5" x14ac:dyDescent="0.2">
      <c r="D98" s="2" t="s">
        <v>11</v>
      </c>
      <c r="E98" s="3">
        <f>Summary!$G$3</f>
        <v>42505</v>
      </c>
    </row>
    <row r="99" spans="1:5" x14ac:dyDescent="0.2">
      <c r="A99" s="5" t="s">
        <v>1</v>
      </c>
      <c r="B99" s="4" t="s">
        <v>915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42460</v>
      </c>
      <c r="B102" s="125" t="s">
        <v>915</v>
      </c>
      <c r="C102" s="15"/>
      <c r="D102" s="15">
        <v>9370.5499999999993</v>
      </c>
      <c r="E102" s="127">
        <f>C102+D102</f>
        <v>9370.5499999999993</v>
      </c>
    </row>
    <row r="103" spans="1:5" x14ac:dyDescent="0.2">
      <c r="A103" s="126"/>
      <c r="B103" s="21"/>
      <c r="C103" s="127"/>
      <c r="D103" s="127"/>
      <c r="E103" s="127"/>
    </row>
    <row r="104" spans="1:5" x14ac:dyDescent="0.2">
      <c r="A104" s="126">
        <v>42475</v>
      </c>
      <c r="B104" s="455" t="s">
        <v>915</v>
      </c>
      <c r="C104" s="127"/>
      <c r="D104" s="127">
        <v>56999.37</v>
      </c>
      <c r="E104" s="127">
        <f>C104+D104</f>
        <v>56999.37</v>
      </c>
    </row>
    <row r="105" spans="1:5" ht="14.5" customHeight="1" x14ac:dyDescent="0.2">
      <c r="A105" s="126"/>
      <c r="B105" s="21"/>
      <c r="C105" s="128"/>
      <c r="D105" s="127"/>
      <c r="E105" s="127"/>
    </row>
    <row r="106" spans="1:5" x14ac:dyDescent="0.2">
      <c r="A106" s="129"/>
      <c r="B106" s="36"/>
      <c r="C106" s="127"/>
      <c r="D106" s="127"/>
      <c r="E106" s="127"/>
    </row>
    <row r="107" spans="1:5" x14ac:dyDescent="0.2">
      <c r="A107" s="129"/>
      <c r="B107" s="36"/>
      <c r="C107" s="127"/>
      <c r="D107" s="127"/>
      <c r="E107" s="127"/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0</v>
      </c>
      <c r="D111" s="141">
        <f>SUM(D102:D110)</f>
        <v>66369.919999999998</v>
      </c>
      <c r="E111" s="133">
        <f>SUM(E102:E110)</f>
        <v>66369.919999999998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80000</v>
      </c>
      <c r="E122" s="381">
        <f>E111</f>
        <v>66369.919999999998</v>
      </c>
      <c r="F122" s="93"/>
    </row>
    <row r="123" spans="1:11" x14ac:dyDescent="0.2">
      <c r="E123" t="s">
        <v>134</v>
      </c>
      <c r="F123" s="93"/>
    </row>
  </sheetData>
  <mergeCells count="6">
    <mergeCell ref="C117:E117"/>
    <mergeCell ref="C34:E34"/>
    <mergeCell ref="C35:E35"/>
    <mergeCell ref="C75:E75"/>
    <mergeCell ref="C76:E76"/>
    <mergeCell ref="C116:E11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2" manualBreakCount="2">
    <brk id="41" max="16383" man="1"/>
    <brk id="123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123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1135</v>
      </c>
    </row>
    <row r="16" spans="1:5" x14ac:dyDescent="0.2">
      <c r="D16" s="2" t="s">
        <v>11</v>
      </c>
      <c r="E16" s="3">
        <v>42460</v>
      </c>
    </row>
    <row r="17" spans="1:5" x14ac:dyDescent="0.2">
      <c r="A17" s="5" t="s">
        <v>1</v>
      </c>
      <c r="B17" s="4" t="s">
        <v>916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42460</v>
      </c>
      <c r="B20" s="125" t="s">
        <v>916</v>
      </c>
      <c r="C20" s="15">
        <v>94936.83</v>
      </c>
      <c r="D20" s="15"/>
      <c r="E20" s="127">
        <f>C20+D20</f>
        <v>94936.83</v>
      </c>
    </row>
    <row r="21" spans="1:5" x14ac:dyDescent="0.2">
      <c r="A21" s="126"/>
      <c r="B21" s="21" t="s">
        <v>922</v>
      </c>
      <c r="C21" s="127"/>
      <c r="D21" s="127"/>
      <c r="E21" s="127"/>
    </row>
    <row r="22" spans="1:5" x14ac:dyDescent="0.2">
      <c r="A22" s="126"/>
      <c r="B22" s="455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94936.83</v>
      </c>
      <c r="D29" s="141">
        <f>SUM(D20:D28)</f>
        <v>0</v>
      </c>
      <c r="E29" s="133">
        <f>SUM(E20:E28)</f>
        <v>94936.83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122491.4</v>
      </c>
      <c r="E40" s="381">
        <f>E29</f>
        <v>94936.83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1135</v>
      </c>
    </row>
    <row r="57" spans="1:5" x14ac:dyDescent="0.2">
      <c r="D57" s="2" t="s">
        <v>11</v>
      </c>
      <c r="E57" s="3">
        <v>42475</v>
      </c>
    </row>
    <row r="58" spans="1:5" x14ac:dyDescent="0.2">
      <c r="A58" s="5" t="s">
        <v>1</v>
      </c>
      <c r="B58" s="4" t="s">
        <v>916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42460</v>
      </c>
      <c r="B61" s="125" t="s">
        <v>916</v>
      </c>
      <c r="C61" s="15"/>
      <c r="D61" s="15">
        <v>94936.83</v>
      </c>
      <c r="E61" s="127">
        <f>C61+D61</f>
        <v>94936.83</v>
      </c>
    </row>
    <row r="62" spans="1:5" x14ac:dyDescent="0.2">
      <c r="A62" s="126"/>
      <c r="B62" s="21" t="s">
        <v>922</v>
      </c>
      <c r="C62" s="127"/>
      <c r="D62" s="127"/>
      <c r="E62" s="127"/>
    </row>
    <row r="63" spans="1:5" x14ac:dyDescent="0.2">
      <c r="A63" s="126">
        <v>42475</v>
      </c>
      <c r="B63" s="455" t="s">
        <v>916</v>
      </c>
      <c r="C63" s="127">
        <v>6215.08</v>
      </c>
      <c r="D63" s="127"/>
      <c r="E63" s="127">
        <f>C63+D63</f>
        <v>6215.08</v>
      </c>
    </row>
    <row r="64" spans="1:5" ht="14.5" customHeight="1" x14ac:dyDescent="0.2">
      <c r="A64" s="126"/>
      <c r="B64" s="21" t="s">
        <v>975</v>
      </c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6215.08</v>
      </c>
      <c r="D70" s="141">
        <f>SUM(D61:D69)</f>
        <v>94936.83</v>
      </c>
      <c r="E70" s="133">
        <f>SUM(E61:E69)</f>
        <v>101151.91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122491.4</v>
      </c>
      <c r="E81" s="381">
        <f>E70</f>
        <v>101151.91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1135</v>
      </c>
    </row>
    <row r="98" spans="1:5" x14ac:dyDescent="0.2">
      <c r="D98" s="2" t="s">
        <v>11</v>
      </c>
      <c r="E98" s="3">
        <f>Summary!$G$3</f>
        <v>42505</v>
      </c>
    </row>
    <row r="99" spans="1:5" x14ac:dyDescent="0.2">
      <c r="A99" s="5" t="s">
        <v>1</v>
      </c>
      <c r="B99" s="4" t="s">
        <v>916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42460</v>
      </c>
      <c r="B102" s="125" t="s">
        <v>916</v>
      </c>
      <c r="C102" s="15"/>
      <c r="D102" s="15">
        <v>94936.83</v>
      </c>
      <c r="E102" s="127">
        <f>C102+D102</f>
        <v>94936.83</v>
      </c>
    </row>
    <row r="103" spans="1:5" x14ac:dyDescent="0.2">
      <c r="A103" s="126"/>
      <c r="B103" s="21" t="s">
        <v>922</v>
      </c>
      <c r="C103" s="127"/>
      <c r="D103" s="127"/>
      <c r="E103" s="127"/>
    </row>
    <row r="104" spans="1:5" x14ac:dyDescent="0.2">
      <c r="A104" s="126">
        <v>42475</v>
      </c>
      <c r="B104" s="455" t="s">
        <v>916</v>
      </c>
      <c r="C104" s="127"/>
      <c r="D104" s="127">
        <v>6215.08</v>
      </c>
      <c r="E104" s="127">
        <f>C104+D104</f>
        <v>6215.08</v>
      </c>
    </row>
    <row r="105" spans="1:5" ht="14.5" customHeight="1" x14ac:dyDescent="0.2">
      <c r="A105" s="126"/>
      <c r="B105" s="21" t="s">
        <v>975</v>
      </c>
      <c r="C105" s="128"/>
      <c r="D105" s="127"/>
      <c r="E105" s="127"/>
    </row>
    <row r="106" spans="1:5" x14ac:dyDescent="0.2">
      <c r="A106" s="129"/>
      <c r="B106" s="36"/>
      <c r="C106" s="127"/>
      <c r="D106" s="127"/>
      <c r="E106" s="127"/>
    </row>
    <row r="107" spans="1:5" x14ac:dyDescent="0.2">
      <c r="A107" s="129"/>
      <c r="B107" s="36"/>
      <c r="C107" s="127"/>
      <c r="D107" s="127"/>
      <c r="E107" s="127"/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0</v>
      </c>
      <c r="D111" s="141">
        <f>SUM(D102:D110)</f>
        <v>101151.91</v>
      </c>
      <c r="E111" s="133">
        <f>SUM(E102:E110)</f>
        <v>101151.91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122491.4</v>
      </c>
      <c r="E122" s="381">
        <f>E111</f>
        <v>101151.91</v>
      </c>
      <c r="F122" s="93"/>
    </row>
    <row r="123" spans="1:11" x14ac:dyDescent="0.2">
      <c r="E123" t="s">
        <v>134</v>
      </c>
      <c r="F123" s="93"/>
    </row>
  </sheetData>
  <mergeCells count="6">
    <mergeCell ref="C117:E117"/>
    <mergeCell ref="C34:E34"/>
    <mergeCell ref="C35:E35"/>
    <mergeCell ref="C75:E75"/>
    <mergeCell ref="C76:E76"/>
    <mergeCell ref="C116:E11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2" manualBreakCount="2">
    <brk id="41" max="16383" man="1"/>
    <brk id="123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123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1136</v>
      </c>
    </row>
    <row r="16" spans="1:5" x14ac:dyDescent="0.2">
      <c r="D16" s="2" t="s">
        <v>11</v>
      </c>
      <c r="E16" s="3">
        <v>42460</v>
      </c>
    </row>
    <row r="17" spans="1:5" x14ac:dyDescent="0.2">
      <c r="A17" s="5" t="s">
        <v>1</v>
      </c>
      <c r="B17" s="4" t="s">
        <v>924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42460</v>
      </c>
      <c r="B20" s="125" t="s">
        <v>924</v>
      </c>
      <c r="C20" s="15">
        <v>23420.68</v>
      </c>
      <c r="D20" s="15"/>
      <c r="E20" s="127">
        <f>C20+D20</f>
        <v>23420.68</v>
      </c>
    </row>
    <row r="21" spans="1:5" x14ac:dyDescent="0.2">
      <c r="A21" s="126"/>
      <c r="B21" s="21" t="s">
        <v>925</v>
      </c>
      <c r="C21" s="127"/>
      <c r="D21" s="127"/>
      <c r="E21" s="127"/>
    </row>
    <row r="22" spans="1:5" x14ac:dyDescent="0.2">
      <c r="A22" s="126"/>
      <c r="B22" s="455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23420.68</v>
      </c>
      <c r="D29" s="141">
        <f>SUM(D20:D28)</f>
        <v>0</v>
      </c>
      <c r="E29" s="133">
        <f>SUM(E20:E28)</f>
        <v>23420.68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54750.6</v>
      </c>
      <c r="E40" s="381">
        <f>E29</f>
        <v>23420.68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1136</v>
      </c>
    </row>
    <row r="57" spans="1:5" x14ac:dyDescent="0.2">
      <c r="D57" s="2" t="s">
        <v>11</v>
      </c>
      <c r="E57" s="3">
        <v>42475</v>
      </c>
    </row>
    <row r="58" spans="1:5" x14ac:dyDescent="0.2">
      <c r="A58" s="5" t="s">
        <v>1</v>
      </c>
      <c r="B58" s="4" t="s">
        <v>924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42460</v>
      </c>
      <c r="B61" s="125" t="s">
        <v>924</v>
      </c>
      <c r="C61" s="15"/>
      <c r="D61" s="15">
        <v>23420.68</v>
      </c>
      <c r="E61" s="127">
        <f>C61+D61</f>
        <v>23420.68</v>
      </c>
    </row>
    <row r="62" spans="1:5" x14ac:dyDescent="0.2">
      <c r="A62" s="126"/>
      <c r="B62" s="21" t="s">
        <v>925</v>
      </c>
      <c r="C62" s="127"/>
      <c r="D62" s="127"/>
      <c r="E62" s="127"/>
    </row>
    <row r="63" spans="1:5" x14ac:dyDescent="0.2">
      <c r="A63" s="126">
        <v>42475</v>
      </c>
      <c r="B63" s="455" t="s">
        <v>924</v>
      </c>
      <c r="C63" s="127">
        <v>8670.08</v>
      </c>
      <c r="D63" s="127"/>
      <c r="E63" s="127">
        <f>C63+D63</f>
        <v>8670.08</v>
      </c>
    </row>
    <row r="64" spans="1:5" ht="14.5" customHeight="1" x14ac:dyDescent="0.2">
      <c r="A64" s="126"/>
      <c r="B64" s="21" t="s">
        <v>974</v>
      </c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8670.08</v>
      </c>
      <c r="D70" s="141">
        <f>SUM(D61:D69)</f>
        <v>23420.68</v>
      </c>
      <c r="E70" s="133">
        <f>SUM(E61:E69)</f>
        <v>32090.760000000002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54750.6</v>
      </c>
      <c r="E81" s="381">
        <f>E70</f>
        <v>32090.760000000002</v>
      </c>
      <c r="F81" s="93"/>
    </row>
    <row r="82" spans="1:6" x14ac:dyDescent="0.2">
      <c r="F82" s="93"/>
    </row>
    <row r="83" spans="1:6" x14ac:dyDescent="0.2">
      <c r="A83" s="5" t="str">
        <f>Summary!$G$11</f>
        <v>PIPELINE PROJECT</v>
      </c>
    </row>
    <row r="95" spans="1:6" ht="16" x14ac:dyDescent="0.2">
      <c r="A95" s="192" t="s">
        <v>88</v>
      </c>
    </row>
    <row r="96" spans="1:6" x14ac:dyDescent="0.2">
      <c r="A96" s="5" t="s">
        <v>24</v>
      </c>
      <c r="B96" s="191" t="s">
        <v>1136</v>
      </c>
    </row>
    <row r="98" spans="1:5" x14ac:dyDescent="0.2">
      <c r="D98" s="2" t="s">
        <v>11</v>
      </c>
      <c r="E98" s="3">
        <f>Summary!$G$3</f>
        <v>42505</v>
      </c>
    </row>
    <row r="99" spans="1:5" x14ac:dyDescent="0.2">
      <c r="A99" s="5" t="s">
        <v>1</v>
      </c>
      <c r="B99" s="4" t="s">
        <v>924</v>
      </c>
    </row>
    <row r="101" spans="1:5" x14ac:dyDescent="0.2">
      <c r="A101" s="9" t="s">
        <v>19</v>
      </c>
      <c r="B101" s="10" t="s">
        <v>2</v>
      </c>
      <c r="C101" s="11" t="s">
        <v>37</v>
      </c>
      <c r="D101" s="11" t="s">
        <v>27</v>
      </c>
      <c r="E101" s="12" t="s">
        <v>22</v>
      </c>
    </row>
    <row r="102" spans="1:5" ht="14.5" customHeight="1" x14ac:dyDescent="0.2">
      <c r="A102" s="124">
        <v>42460</v>
      </c>
      <c r="B102" s="125" t="s">
        <v>924</v>
      </c>
      <c r="C102" s="15"/>
      <c r="D102" s="15">
        <v>23420.68</v>
      </c>
      <c r="E102" s="127">
        <f>C102+D102</f>
        <v>23420.68</v>
      </c>
    </row>
    <row r="103" spans="1:5" x14ac:dyDescent="0.2">
      <c r="A103" s="126"/>
      <c r="B103" s="21" t="s">
        <v>925</v>
      </c>
      <c r="C103" s="127"/>
      <c r="D103" s="127"/>
      <c r="E103" s="127"/>
    </row>
    <row r="104" spans="1:5" x14ac:dyDescent="0.2">
      <c r="A104" s="126">
        <v>42475</v>
      </c>
      <c r="B104" s="455" t="s">
        <v>924</v>
      </c>
      <c r="C104" s="127"/>
      <c r="D104" s="127">
        <v>8670.08</v>
      </c>
      <c r="E104" s="127">
        <f>C104+D104</f>
        <v>8670.08</v>
      </c>
    </row>
    <row r="105" spans="1:5" ht="14.5" customHeight="1" x14ac:dyDescent="0.2">
      <c r="A105" s="126"/>
      <c r="B105" s="21" t="s">
        <v>974</v>
      </c>
      <c r="C105" s="128"/>
      <c r="D105" s="127"/>
      <c r="E105" s="127"/>
    </row>
    <row r="106" spans="1:5" x14ac:dyDescent="0.2">
      <c r="A106" s="129"/>
      <c r="B106" s="36"/>
      <c r="C106" s="127"/>
      <c r="D106" s="127"/>
      <c r="E106" s="127"/>
    </row>
    <row r="107" spans="1:5" x14ac:dyDescent="0.2">
      <c r="A107" s="129"/>
      <c r="B107" s="36"/>
      <c r="C107" s="127"/>
      <c r="D107" s="127"/>
      <c r="E107" s="127"/>
    </row>
    <row r="108" spans="1:5" x14ac:dyDescent="0.2">
      <c r="A108" s="129"/>
      <c r="B108" s="36"/>
      <c r="C108" s="127"/>
      <c r="D108" s="127"/>
      <c r="E108" s="127"/>
    </row>
    <row r="109" spans="1:5" x14ac:dyDescent="0.2">
      <c r="A109" s="129"/>
      <c r="B109" s="36"/>
      <c r="C109" s="127"/>
      <c r="D109" s="127"/>
      <c r="E109" s="127"/>
    </row>
    <row r="110" spans="1:5" x14ac:dyDescent="0.2">
      <c r="A110" s="130"/>
      <c r="B110" s="131"/>
      <c r="C110" s="132"/>
      <c r="D110" s="132"/>
      <c r="E110" s="132"/>
    </row>
    <row r="111" spans="1:5" x14ac:dyDescent="0.2">
      <c r="A111" s="6"/>
      <c r="B111" s="345" t="s">
        <v>12</v>
      </c>
      <c r="C111" s="141">
        <f>SUM(C102:C110)</f>
        <v>0</v>
      </c>
      <c r="D111" s="141">
        <f>SUM(D102:D110)</f>
        <v>32090.760000000002</v>
      </c>
      <c r="E111" s="133">
        <f>SUM(E102:E110)</f>
        <v>32090.760000000002</v>
      </c>
    </row>
    <row r="113" spans="1:11" x14ac:dyDescent="0.2">
      <c r="A113" t="str">
        <f>Summary!$G$9</f>
        <v>Contractor</v>
      </c>
    </row>
    <row r="114" spans="1:11" x14ac:dyDescent="0.2">
      <c r="D114" s="5"/>
    </row>
    <row r="116" spans="1:11" x14ac:dyDescent="0.2">
      <c r="C116" s="488"/>
      <c r="D116" s="488"/>
      <c r="E116" s="488"/>
    </row>
    <row r="117" spans="1:11" x14ac:dyDescent="0.2">
      <c r="C117" s="489" t="str">
        <f>Summary!$G$10</f>
        <v>Construction Manager</v>
      </c>
      <c r="D117" s="489"/>
      <c r="E117" s="489"/>
    </row>
    <row r="118" spans="1:11" ht="13.5" customHeight="1" x14ac:dyDescent="0.2">
      <c r="A118" s="79"/>
      <c r="C118" s="81"/>
      <c r="D118" s="82"/>
      <c r="E118" s="83"/>
      <c r="F118" s="93"/>
      <c r="G118" s="93"/>
      <c r="I118" s="95"/>
      <c r="J118" s="95"/>
      <c r="K118" s="95"/>
    </row>
    <row r="119" spans="1:11" x14ac:dyDescent="0.2">
      <c r="D119" s="82"/>
      <c r="E119" s="83"/>
      <c r="F119" s="93"/>
      <c r="I119" s="96"/>
      <c r="J119" s="96"/>
      <c r="K119" s="95"/>
    </row>
    <row r="120" spans="1:11" x14ac:dyDescent="0.2">
      <c r="F120" s="93"/>
    </row>
    <row r="121" spans="1:11" x14ac:dyDescent="0.2">
      <c r="A121" s="58"/>
      <c r="B121" s="58"/>
      <c r="D121" s="392" t="s">
        <v>182</v>
      </c>
      <c r="E121" s="393" t="s">
        <v>183</v>
      </c>
      <c r="F121" s="93"/>
    </row>
    <row r="122" spans="1:11" ht="14" customHeight="1" x14ac:dyDescent="0.2">
      <c r="A122" s="58"/>
      <c r="B122" s="58"/>
      <c r="D122" s="381">
        <v>54750.6</v>
      </c>
      <c r="E122" s="381">
        <f>E111</f>
        <v>32090.760000000002</v>
      </c>
      <c r="F122" s="93"/>
    </row>
    <row r="123" spans="1:11" x14ac:dyDescent="0.2">
      <c r="F123" s="93"/>
    </row>
  </sheetData>
  <mergeCells count="6">
    <mergeCell ref="C117:E117"/>
    <mergeCell ref="C34:E34"/>
    <mergeCell ref="C35:E35"/>
    <mergeCell ref="C75:E75"/>
    <mergeCell ref="C76:E76"/>
    <mergeCell ref="C116:E11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2" manualBreakCount="2">
    <brk id="41" max="16383" man="1"/>
    <brk id="123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40"/>
  <sheetViews>
    <sheetView workbookViewId="0">
      <selection activeCell="B15" sqref="B15"/>
    </sheetView>
  </sheetViews>
  <sheetFormatPr baseColWidth="10" defaultColWidth="8.83203125" defaultRowHeight="15" x14ac:dyDescent="0.2"/>
  <cols>
    <col min="1" max="2" width="10" customWidth="1"/>
    <col min="3" max="3" width="36" customWidth="1"/>
    <col min="4" max="6" width="13.83203125" customWidth="1"/>
  </cols>
  <sheetData>
    <row r="1" spans="1:6" x14ac:dyDescent="0.2">
      <c r="A1" s="5" t="str">
        <f>Summary!$G$11</f>
        <v>PIPELINE PROJECT</v>
      </c>
      <c r="B1" s="5"/>
    </row>
    <row r="13" spans="1:6" ht="16" x14ac:dyDescent="0.2">
      <c r="A13" s="161" t="s">
        <v>92</v>
      </c>
      <c r="B13" s="161"/>
    </row>
    <row r="14" spans="1:6" x14ac:dyDescent="0.2">
      <c r="A14" s="5" t="s">
        <v>1114</v>
      </c>
      <c r="B14" s="160" t="s">
        <v>1137</v>
      </c>
    </row>
    <row r="16" spans="1:6" x14ac:dyDescent="0.2">
      <c r="E16" s="2" t="s">
        <v>11</v>
      </c>
      <c r="F16" s="3">
        <v>42475</v>
      </c>
    </row>
    <row r="17" spans="1:6" x14ac:dyDescent="0.2">
      <c r="A17" t="s">
        <v>1</v>
      </c>
      <c r="B17" s="4" t="s">
        <v>91</v>
      </c>
    </row>
    <row r="19" spans="1:6" x14ac:dyDescent="0.2">
      <c r="A19" s="9" t="s">
        <v>19</v>
      </c>
      <c r="B19" s="11" t="s">
        <v>93</v>
      </c>
      <c r="C19" s="10" t="s">
        <v>2</v>
      </c>
      <c r="D19" s="11" t="s">
        <v>37</v>
      </c>
      <c r="E19" s="11" t="s">
        <v>27</v>
      </c>
      <c r="F19" s="12" t="s">
        <v>22</v>
      </c>
    </row>
    <row r="20" spans="1:6" x14ac:dyDescent="0.2">
      <c r="A20" s="124"/>
      <c r="B20" s="354"/>
      <c r="C20" s="125"/>
      <c r="D20" s="178"/>
      <c r="E20" s="178"/>
      <c r="F20" s="179"/>
    </row>
    <row r="21" spans="1:6" x14ac:dyDescent="0.2">
      <c r="A21" s="126">
        <v>42475</v>
      </c>
      <c r="B21" s="355" t="s">
        <v>262</v>
      </c>
      <c r="C21" s="21" t="s">
        <v>889</v>
      </c>
      <c r="D21" s="180">
        <v>39456.959999999999</v>
      </c>
      <c r="E21" s="180"/>
      <c r="F21" s="180">
        <f t="shared" ref="F21:F34" si="0">D21+E21</f>
        <v>39456.959999999999</v>
      </c>
    </row>
    <row r="22" spans="1:6" x14ac:dyDescent="0.2">
      <c r="A22" s="149"/>
      <c r="B22" s="355" t="s">
        <v>611</v>
      </c>
      <c r="C22" s="21" t="s">
        <v>750</v>
      </c>
      <c r="D22" s="180">
        <v>101168.76</v>
      </c>
      <c r="E22" s="180"/>
      <c r="F22" s="181">
        <f>D22+E22</f>
        <v>101168.76</v>
      </c>
    </row>
    <row r="23" spans="1:6" x14ac:dyDescent="0.2">
      <c r="A23" s="149"/>
      <c r="B23" s="356" t="s">
        <v>949</v>
      </c>
      <c r="C23" s="36" t="s">
        <v>950</v>
      </c>
      <c r="D23" s="180">
        <v>8876.4</v>
      </c>
      <c r="E23" s="180"/>
      <c r="F23" s="181">
        <f>D23+E23</f>
        <v>8876.4</v>
      </c>
    </row>
    <row r="24" spans="1:6" ht="14.5" customHeight="1" x14ac:dyDescent="0.2">
      <c r="A24" s="126"/>
      <c r="B24" s="355" t="s">
        <v>273</v>
      </c>
      <c r="C24" s="21" t="s">
        <v>274</v>
      </c>
      <c r="D24" s="180">
        <v>5737.5</v>
      </c>
      <c r="E24" s="180"/>
      <c r="F24" s="181">
        <f t="shared" si="0"/>
        <v>5737.5</v>
      </c>
    </row>
    <row r="25" spans="1:6" x14ac:dyDescent="0.2">
      <c r="A25" s="149"/>
      <c r="B25" s="356"/>
      <c r="C25" s="21"/>
      <c r="D25" s="180"/>
      <c r="E25" s="180"/>
      <c r="F25" s="181">
        <f t="shared" si="0"/>
        <v>0</v>
      </c>
    </row>
    <row r="26" spans="1:6" ht="14.5" customHeight="1" x14ac:dyDescent="0.2">
      <c r="A26" s="126"/>
      <c r="B26" s="355"/>
      <c r="C26" s="21"/>
      <c r="D26" s="180"/>
      <c r="E26" s="180"/>
      <c r="F26" s="181">
        <f>D26+E26</f>
        <v>0</v>
      </c>
    </row>
    <row r="27" spans="1:6" x14ac:dyDescent="0.2">
      <c r="A27" s="149"/>
      <c r="B27" s="355"/>
      <c r="C27" s="21"/>
      <c r="D27" s="180"/>
      <c r="E27" s="180"/>
      <c r="F27" s="181">
        <f>D27+E27</f>
        <v>0</v>
      </c>
    </row>
    <row r="28" spans="1:6" x14ac:dyDescent="0.2">
      <c r="A28" s="149"/>
      <c r="B28" s="356"/>
      <c r="C28" s="36"/>
      <c r="D28" s="180"/>
      <c r="E28" s="180"/>
      <c r="F28" s="181">
        <f t="shared" si="0"/>
        <v>0</v>
      </c>
    </row>
    <row r="29" spans="1:6" x14ac:dyDescent="0.2">
      <c r="A29" s="149"/>
      <c r="B29" s="356"/>
      <c r="C29" s="36"/>
      <c r="D29" s="180"/>
      <c r="E29" s="180"/>
      <c r="F29" s="181">
        <f t="shared" si="0"/>
        <v>0</v>
      </c>
    </row>
    <row r="30" spans="1:6" x14ac:dyDescent="0.2">
      <c r="A30" s="149"/>
      <c r="B30" s="356"/>
      <c r="C30" s="36"/>
      <c r="D30" s="180"/>
      <c r="E30" s="180"/>
      <c r="F30" s="181">
        <f t="shared" si="0"/>
        <v>0</v>
      </c>
    </row>
    <row r="31" spans="1:6" x14ac:dyDescent="0.2">
      <c r="A31" s="149"/>
      <c r="B31" s="356"/>
      <c r="C31" s="36"/>
      <c r="D31" s="180"/>
      <c r="E31" s="180"/>
      <c r="F31" s="181">
        <f t="shared" si="0"/>
        <v>0</v>
      </c>
    </row>
    <row r="32" spans="1:6" x14ac:dyDescent="0.2">
      <c r="A32" s="150"/>
      <c r="B32" s="357"/>
      <c r="C32" s="146"/>
      <c r="D32" s="182"/>
      <c r="E32" s="182"/>
      <c r="F32" s="183">
        <f t="shared" si="0"/>
        <v>0</v>
      </c>
    </row>
    <row r="33" spans="1:6" x14ac:dyDescent="0.2">
      <c r="A33" s="150"/>
      <c r="B33" s="357"/>
      <c r="C33" s="146"/>
      <c r="D33" s="182"/>
      <c r="E33" s="182"/>
      <c r="F33" s="180">
        <f t="shared" si="0"/>
        <v>0</v>
      </c>
    </row>
    <row r="34" spans="1:6" x14ac:dyDescent="0.2">
      <c r="A34" s="153"/>
      <c r="B34" s="358"/>
      <c r="C34" s="131"/>
      <c r="D34" s="184"/>
      <c r="E34" s="182"/>
      <c r="F34" s="180">
        <f t="shared" si="0"/>
        <v>0</v>
      </c>
    </row>
    <row r="35" spans="1:6" x14ac:dyDescent="0.2">
      <c r="A35" s="6"/>
      <c r="B35" s="6"/>
      <c r="C35" s="185" t="s">
        <v>12</v>
      </c>
      <c r="D35" s="185">
        <f>SUM(D20:D34)</f>
        <v>155239.62</v>
      </c>
      <c r="E35" s="185">
        <f>SUM(E20:E34)</f>
        <v>0</v>
      </c>
      <c r="F35" s="186">
        <f>SUM(F20:F34)</f>
        <v>155239.62</v>
      </c>
    </row>
    <row r="37" spans="1:6" x14ac:dyDescent="0.2">
      <c r="A37" t="str">
        <f>Summary!$G$9</f>
        <v>Contractor</v>
      </c>
    </row>
    <row r="39" spans="1:6" x14ac:dyDescent="0.2">
      <c r="D39" s="517"/>
      <c r="E39" s="517"/>
      <c r="F39" s="517"/>
    </row>
    <row r="40" spans="1:6" x14ac:dyDescent="0.2">
      <c r="D40" s="489"/>
      <c r="E40" s="489"/>
      <c r="F40" s="489"/>
    </row>
  </sheetData>
  <mergeCells count="2">
    <mergeCell ref="D39:F39"/>
    <mergeCell ref="D40:F40"/>
  </mergeCells>
  <phoneticPr fontId="26" type="noConversion"/>
  <pageMargins left="1.2900000000000003" right="0.70000000000000007" top="2.3174015748031493" bottom="0.75000000000000011" header="0.30000000000000004" footer="0.30000000000000004"/>
  <pageSetup scale="72" orientation="portrait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82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1138</v>
      </c>
    </row>
    <row r="16" spans="1:5" x14ac:dyDescent="0.2">
      <c r="D16" s="2" t="s">
        <v>11</v>
      </c>
      <c r="E16" s="3">
        <v>42475</v>
      </c>
    </row>
    <row r="17" spans="1:5" x14ac:dyDescent="0.2">
      <c r="A17" s="5" t="s">
        <v>1</v>
      </c>
      <c r="B17" s="4" t="s">
        <v>965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42475</v>
      </c>
      <c r="B20" s="125" t="s">
        <v>965</v>
      </c>
      <c r="C20" s="15">
        <v>62260</v>
      </c>
      <c r="D20" s="15"/>
      <c r="E20" s="127">
        <f>C20+D20</f>
        <v>62260</v>
      </c>
    </row>
    <row r="21" spans="1:5" x14ac:dyDescent="0.2">
      <c r="A21" s="126"/>
      <c r="B21" s="21"/>
      <c r="C21" s="127"/>
      <c r="D21" s="127"/>
      <c r="E21" s="127"/>
    </row>
    <row r="22" spans="1:5" x14ac:dyDescent="0.2">
      <c r="A22" s="126"/>
      <c r="B22" s="455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62260</v>
      </c>
      <c r="D29" s="141">
        <f>SUM(D20:D28)</f>
        <v>0</v>
      </c>
      <c r="E29" s="133">
        <f>SUM(E20:E28)</f>
        <v>62260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62260</v>
      </c>
      <c r="E40" s="381">
        <f>E29</f>
        <v>62260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1138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965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42475</v>
      </c>
      <c r="B61" s="125" t="s">
        <v>965</v>
      </c>
      <c r="C61" s="15"/>
      <c r="D61" s="15">
        <v>62260</v>
      </c>
      <c r="E61" s="127">
        <f>C61+D61</f>
        <v>62260</v>
      </c>
    </row>
    <row r="62" spans="1:5" x14ac:dyDescent="0.2">
      <c r="A62" s="126"/>
      <c r="B62" s="21"/>
      <c r="C62" s="127"/>
      <c r="D62" s="127"/>
      <c r="E62" s="127"/>
    </row>
    <row r="63" spans="1:5" x14ac:dyDescent="0.2">
      <c r="A63" s="126"/>
      <c r="B63" s="455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62260</v>
      </c>
      <c r="E70" s="133">
        <f>SUM(E61:E69)</f>
        <v>62260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62260</v>
      </c>
      <c r="E81" s="381">
        <f>E70</f>
        <v>62260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1" manualBreakCount="1">
    <brk id="82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82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1142</v>
      </c>
    </row>
    <row r="16" spans="1:5" x14ac:dyDescent="0.2">
      <c r="D16" s="2" t="s">
        <v>11</v>
      </c>
      <c r="E16" s="3">
        <v>42475</v>
      </c>
    </row>
    <row r="17" spans="1:5" x14ac:dyDescent="0.2">
      <c r="A17" s="5" t="s">
        <v>1</v>
      </c>
      <c r="B17" s="4" t="s">
        <v>1143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>
        <v>42475</v>
      </c>
      <c r="B20" s="125" t="s">
        <v>1141</v>
      </c>
      <c r="C20" s="15">
        <v>169946.08</v>
      </c>
      <c r="D20" s="15"/>
      <c r="E20" s="127">
        <f>C20+D20</f>
        <v>169946.08</v>
      </c>
    </row>
    <row r="21" spans="1:5" x14ac:dyDescent="0.2">
      <c r="A21" s="126"/>
      <c r="B21" s="21"/>
      <c r="C21" s="127"/>
      <c r="D21" s="127"/>
      <c r="E21" s="127"/>
    </row>
    <row r="22" spans="1:5" x14ac:dyDescent="0.2">
      <c r="A22" s="126"/>
      <c r="B22" s="455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169946.08</v>
      </c>
      <c r="D29" s="141">
        <f>SUM(D20:D28)</f>
        <v>0</v>
      </c>
      <c r="E29" s="133">
        <f>SUM(E20:E28)</f>
        <v>169946.08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169946.08</v>
      </c>
      <c r="E40" s="381">
        <f>E29</f>
        <v>169946.08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1139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1140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>
        <v>42475</v>
      </c>
      <c r="B61" s="125" t="s">
        <v>1141</v>
      </c>
      <c r="C61" s="15"/>
      <c r="D61" s="15">
        <v>169946.08</v>
      </c>
      <c r="E61" s="127">
        <f>C61+D61</f>
        <v>169946.08</v>
      </c>
    </row>
    <row r="62" spans="1:5" x14ac:dyDescent="0.2">
      <c r="A62" s="126"/>
      <c r="B62" s="21"/>
      <c r="C62" s="127"/>
      <c r="D62" s="127"/>
      <c r="E62" s="127"/>
    </row>
    <row r="63" spans="1:5" x14ac:dyDescent="0.2">
      <c r="A63" s="126"/>
      <c r="B63" s="455"/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169946.08</v>
      </c>
      <c r="E70" s="133">
        <f>SUM(E61:E69)</f>
        <v>169946.08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169946.08</v>
      </c>
      <c r="E81" s="381">
        <f>E70</f>
        <v>169946.08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1.1000000000000001" right="0.70000000000000007" top="1.9237007874015748" bottom="0.75000000000000011" header="0.30000000000000004" footer="0.30000000000000004"/>
  <pageSetup scale="77" orientation="portrait" verticalDpi="1200"/>
  <rowBreaks count="1" manualBreakCount="1">
    <brk id="82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40"/>
  <sheetViews>
    <sheetView workbookViewId="0">
      <selection activeCell="D16" sqref="D16"/>
    </sheetView>
  </sheetViews>
  <sheetFormatPr baseColWidth="10" defaultColWidth="8.83203125" defaultRowHeight="15" x14ac:dyDescent="0.2"/>
  <cols>
    <col min="1" max="2" width="10" customWidth="1"/>
    <col min="3" max="3" width="36" customWidth="1"/>
    <col min="4" max="6" width="13.83203125" customWidth="1"/>
  </cols>
  <sheetData>
    <row r="1" spans="1:6" x14ac:dyDescent="0.2">
      <c r="A1" s="5" t="str">
        <f>Summary!$G$11</f>
        <v>PIPELINE PROJECT</v>
      </c>
      <c r="B1" s="5"/>
    </row>
    <row r="13" spans="1:6" ht="16" x14ac:dyDescent="0.2">
      <c r="A13" s="161" t="s">
        <v>92</v>
      </c>
      <c r="B13" s="161"/>
    </row>
    <row r="14" spans="1:6" x14ac:dyDescent="0.2">
      <c r="A14" s="5" t="s">
        <v>1114</v>
      </c>
      <c r="B14" s="160" t="s">
        <v>1144</v>
      </c>
    </row>
    <row r="16" spans="1:6" x14ac:dyDescent="0.2">
      <c r="E16" s="2" t="s">
        <v>11</v>
      </c>
      <c r="F16" s="3">
        <v>42490</v>
      </c>
    </row>
    <row r="17" spans="1:6" x14ac:dyDescent="0.2">
      <c r="A17" t="s">
        <v>1</v>
      </c>
      <c r="B17" s="4" t="s">
        <v>91</v>
      </c>
    </row>
    <row r="19" spans="1:6" x14ac:dyDescent="0.2">
      <c r="A19" s="9" t="s">
        <v>19</v>
      </c>
      <c r="B19" s="11" t="s">
        <v>93</v>
      </c>
      <c r="C19" s="10" t="s">
        <v>2</v>
      </c>
      <c r="D19" s="11" t="s">
        <v>37</v>
      </c>
      <c r="E19" s="11" t="s">
        <v>27</v>
      </c>
      <c r="F19" s="12" t="s">
        <v>22</v>
      </c>
    </row>
    <row r="20" spans="1:6" x14ac:dyDescent="0.2">
      <c r="A20" s="124"/>
      <c r="B20" s="354"/>
      <c r="C20" s="125"/>
      <c r="D20" s="178"/>
      <c r="E20" s="178"/>
      <c r="F20" s="179"/>
    </row>
    <row r="21" spans="1:6" x14ac:dyDescent="0.2">
      <c r="A21" s="126">
        <v>42490</v>
      </c>
      <c r="B21" s="355" t="s">
        <v>1005</v>
      </c>
      <c r="C21" s="21" t="s">
        <v>1006</v>
      </c>
      <c r="D21" s="180">
        <v>75833.960000000006</v>
      </c>
      <c r="E21" s="180"/>
      <c r="F21" s="180">
        <f t="shared" ref="F21:F34" si="0">D21+E21</f>
        <v>75833.960000000006</v>
      </c>
    </row>
    <row r="22" spans="1:6" x14ac:dyDescent="0.2">
      <c r="A22" s="149"/>
      <c r="B22" s="355" t="s">
        <v>325</v>
      </c>
      <c r="C22" s="21" t="s">
        <v>1007</v>
      </c>
      <c r="D22" s="180">
        <v>284.346</v>
      </c>
      <c r="E22" s="180"/>
      <c r="F22" s="181">
        <f>D22+E22</f>
        <v>284.346</v>
      </c>
    </row>
    <row r="23" spans="1:6" x14ac:dyDescent="0.2">
      <c r="A23" s="149"/>
      <c r="B23" s="355" t="s">
        <v>273</v>
      </c>
      <c r="C23" s="21" t="s">
        <v>274</v>
      </c>
      <c r="D23" s="180">
        <v>1530</v>
      </c>
      <c r="E23" s="180"/>
      <c r="F23" s="181">
        <f>D23+E23</f>
        <v>1530</v>
      </c>
    </row>
    <row r="24" spans="1:6" ht="14.5" customHeight="1" x14ac:dyDescent="0.2">
      <c r="A24" s="126"/>
      <c r="B24" s="355" t="s">
        <v>522</v>
      </c>
      <c r="C24" s="21" t="s">
        <v>1008</v>
      </c>
      <c r="D24" s="180">
        <v>18000</v>
      </c>
      <c r="E24" s="180"/>
      <c r="F24" s="181">
        <f t="shared" si="0"/>
        <v>18000</v>
      </c>
    </row>
    <row r="25" spans="1:6" x14ac:dyDescent="0.2">
      <c r="A25" s="149"/>
      <c r="B25" s="356"/>
      <c r="C25" s="21"/>
      <c r="D25" s="180"/>
      <c r="E25" s="180"/>
      <c r="F25" s="181">
        <f t="shared" si="0"/>
        <v>0</v>
      </c>
    </row>
    <row r="26" spans="1:6" ht="14.5" customHeight="1" x14ac:dyDescent="0.2">
      <c r="A26" s="126"/>
      <c r="B26" s="355"/>
      <c r="C26" s="21"/>
      <c r="D26" s="180"/>
      <c r="E26" s="180"/>
      <c r="F26" s="181">
        <f>D26+E26</f>
        <v>0</v>
      </c>
    </row>
    <row r="27" spans="1:6" x14ac:dyDescent="0.2">
      <c r="A27" s="149"/>
      <c r="B27" s="355"/>
      <c r="C27" s="21"/>
      <c r="D27" s="180"/>
      <c r="E27" s="180"/>
      <c r="F27" s="181">
        <f>D27+E27</f>
        <v>0</v>
      </c>
    </row>
    <row r="28" spans="1:6" x14ac:dyDescent="0.2">
      <c r="A28" s="149"/>
      <c r="B28" s="356"/>
      <c r="C28" s="36"/>
      <c r="D28" s="180"/>
      <c r="E28" s="180"/>
      <c r="F28" s="181">
        <f t="shared" si="0"/>
        <v>0</v>
      </c>
    </row>
    <row r="29" spans="1:6" x14ac:dyDescent="0.2">
      <c r="A29" s="149"/>
      <c r="B29" s="356"/>
      <c r="C29" s="36"/>
      <c r="D29" s="180"/>
      <c r="E29" s="180"/>
      <c r="F29" s="181">
        <f t="shared" si="0"/>
        <v>0</v>
      </c>
    </row>
    <row r="30" spans="1:6" x14ac:dyDescent="0.2">
      <c r="A30" s="149"/>
      <c r="B30" s="356"/>
      <c r="C30" s="36"/>
      <c r="D30" s="180"/>
      <c r="E30" s="180"/>
      <c r="F30" s="181">
        <f t="shared" si="0"/>
        <v>0</v>
      </c>
    </row>
    <row r="31" spans="1:6" x14ac:dyDescent="0.2">
      <c r="A31" s="149"/>
      <c r="B31" s="356"/>
      <c r="C31" s="36"/>
      <c r="D31" s="180"/>
      <c r="E31" s="180"/>
      <c r="F31" s="181">
        <f t="shared" si="0"/>
        <v>0</v>
      </c>
    </row>
    <row r="32" spans="1:6" x14ac:dyDescent="0.2">
      <c r="A32" s="150"/>
      <c r="B32" s="357"/>
      <c r="C32" s="146"/>
      <c r="D32" s="182"/>
      <c r="E32" s="182"/>
      <c r="F32" s="183">
        <f t="shared" si="0"/>
        <v>0</v>
      </c>
    </row>
    <row r="33" spans="1:6" x14ac:dyDescent="0.2">
      <c r="A33" s="150"/>
      <c r="B33" s="357"/>
      <c r="C33" s="146"/>
      <c r="D33" s="182"/>
      <c r="E33" s="182"/>
      <c r="F33" s="180">
        <f t="shared" si="0"/>
        <v>0</v>
      </c>
    </row>
    <row r="34" spans="1:6" x14ac:dyDescent="0.2">
      <c r="A34" s="153"/>
      <c r="B34" s="358"/>
      <c r="C34" s="131"/>
      <c r="D34" s="184"/>
      <c r="E34" s="182"/>
      <c r="F34" s="180">
        <f t="shared" si="0"/>
        <v>0</v>
      </c>
    </row>
    <row r="35" spans="1:6" x14ac:dyDescent="0.2">
      <c r="A35" s="6"/>
      <c r="B35" s="6"/>
      <c r="C35" s="185" t="s">
        <v>12</v>
      </c>
      <c r="D35" s="185">
        <f>SUM(D20:D34)</f>
        <v>95648.306000000011</v>
      </c>
      <c r="E35" s="185">
        <f>SUM(E20:E34)</f>
        <v>0</v>
      </c>
      <c r="F35" s="186">
        <f>SUM(F20:F34)</f>
        <v>95648.306000000011</v>
      </c>
    </row>
    <row r="37" spans="1:6" x14ac:dyDescent="0.2">
      <c r="A37" t="str">
        <f>Summary!$G$9</f>
        <v>Contractor</v>
      </c>
    </row>
    <row r="39" spans="1:6" x14ac:dyDescent="0.2">
      <c r="D39" s="517"/>
      <c r="E39" s="517"/>
      <c r="F39" s="517"/>
    </row>
    <row r="40" spans="1:6" x14ac:dyDescent="0.2">
      <c r="D40" s="489"/>
      <c r="E40" s="489"/>
      <c r="F40" s="489"/>
    </row>
  </sheetData>
  <mergeCells count="2">
    <mergeCell ref="D39:F39"/>
    <mergeCell ref="D40:F40"/>
  </mergeCells>
  <phoneticPr fontId="26" type="noConversion"/>
  <pageMargins left="1.2900000000000003" right="0.70000000000000007" top="2.3174015748031493" bottom="0.75000000000000011" header="0.30000000000000004" footer="0.30000000000000004"/>
  <pageSetup scale="72" orientation="portrait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82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" customWidth="1"/>
    <col min="4" max="4" width="1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1145</v>
      </c>
    </row>
    <row r="16" spans="1:5" x14ac:dyDescent="0.2">
      <c r="D16" s="2" t="s">
        <v>11</v>
      </c>
      <c r="E16" s="3">
        <v>42490</v>
      </c>
    </row>
    <row r="17" spans="1:5" x14ac:dyDescent="0.2">
      <c r="A17" s="5" t="s">
        <v>1</v>
      </c>
      <c r="B17" s="4" t="s">
        <v>1011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/>
      <c r="B20" s="125"/>
      <c r="C20" s="15"/>
      <c r="D20" s="15"/>
      <c r="E20" s="139"/>
    </row>
    <row r="21" spans="1:5" x14ac:dyDescent="0.2">
      <c r="A21" s="126">
        <v>42490</v>
      </c>
      <c r="B21" s="21" t="s">
        <v>1013</v>
      </c>
      <c r="C21" s="127">
        <v>5040</v>
      </c>
      <c r="D21" s="127"/>
      <c r="E21" s="127">
        <f>C21+D21</f>
        <v>5040</v>
      </c>
    </row>
    <row r="22" spans="1:5" x14ac:dyDescent="0.2">
      <c r="A22" s="126"/>
      <c r="B22" s="21" t="s">
        <v>1012</v>
      </c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5040</v>
      </c>
      <c r="D29" s="141">
        <f>SUM(D20:D28)</f>
        <v>0</v>
      </c>
      <c r="E29" s="133">
        <f>SUM(E20:E28)</f>
        <v>5040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5040</v>
      </c>
      <c r="E40" s="381">
        <f>E29</f>
        <v>5040</v>
      </c>
      <c r="F40" s="93"/>
    </row>
    <row r="41" spans="1:11" x14ac:dyDescent="0.2">
      <c r="F41" s="93"/>
    </row>
    <row r="42" spans="1:11" x14ac:dyDescent="0.2">
      <c r="A42" s="5" t="str">
        <f>Summary!$G$11</f>
        <v>PIPELINE PROJECT</v>
      </c>
    </row>
    <row r="54" spans="1:5" ht="16" x14ac:dyDescent="0.2">
      <c r="A54" s="192" t="s">
        <v>88</v>
      </c>
    </row>
    <row r="55" spans="1:5" x14ac:dyDescent="0.2">
      <c r="A55" s="5" t="s">
        <v>24</v>
      </c>
      <c r="B55" s="191" t="s">
        <v>1145</v>
      </c>
    </row>
    <row r="57" spans="1:5" x14ac:dyDescent="0.2">
      <c r="D57" s="2" t="s">
        <v>11</v>
      </c>
      <c r="E57" s="3">
        <f>Summary!$G$3</f>
        <v>42505</v>
      </c>
    </row>
    <row r="58" spans="1:5" x14ac:dyDescent="0.2">
      <c r="A58" s="5" t="s">
        <v>1</v>
      </c>
      <c r="B58" s="4" t="s">
        <v>1011</v>
      </c>
    </row>
    <row r="60" spans="1:5" x14ac:dyDescent="0.2">
      <c r="A60" s="9" t="s">
        <v>19</v>
      </c>
      <c r="B60" s="10" t="s">
        <v>2</v>
      </c>
      <c r="C60" s="11" t="s">
        <v>37</v>
      </c>
      <c r="D60" s="11" t="s">
        <v>27</v>
      </c>
      <c r="E60" s="12" t="s">
        <v>22</v>
      </c>
    </row>
    <row r="61" spans="1:5" ht="14.5" customHeight="1" x14ac:dyDescent="0.2">
      <c r="A61" s="124"/>
      <c r="B61" s="125"/>
      <c r="C61" s="15"/>
      <c r="D61" s="15"/>
      <c r="E61" s="139"/>
    </row>
    <row r="62" spans="1:5" x14ac:dyDescent="0.2">
      <c r="A62" s="126">
        <v>42490</v>
      </c>
      <c r="B62" s="21" t="s">
        <v>1013</v>
      </c>
      <c r="C62" s="127"/>
      <c r="D62" s="127">
        <v>5040</v>
      </c>
      <c r="E62" s="127">
        <f>C62+D62</f>
        <v>5040</v>
      </c>
    </row>
    <row r="63" spans="1:5" x14ac:dyDescent="0.2">
      <c r="A63" s="126"/>
      <c r="B63" s="21" t="s">
        <v>1012</v>
      </c>
      <c r="C63" s="127"/>
      <c r="D63" s="127"/>
      <c r="E63" s="127"/>
    </row>
    <row r="64" spans="1:5" ht="14.5" customHeight="1" x14ac:dyDescent="0.2">
      <c r="A64" s="126"/>
      <c r="B64" s="21"/>
      <c r="C64" s="128"/>
      <c r="D64" s="127"/>
      <c r="E64" s="127"/>
    </row>
    <row r="65" spans="1:11" x14ac:dyDescent="0.2">
      <c r="A65" s="129"/>
      <c r="B65" s="36"/>
      <c r="C65" s="127"/>
      <c r="D65" s="127"/>
      <c r="E65" s="127"/>
    </row>
    <row r="66" spans="1:11" x14ac:dyDescent="0.2">
      <c r="A66" s="129"/>
      <c r="B66" s="36"/>
      <c r="C66" s="127"/>
      <c r="D66" s="127"/>
      <c r="E66" s="127"/>
    </row>
    <row r="67" spans="1:11" x14ac:dyDescent="0.2">
      <c r="A67" s="129"/>
      <c r="B67" s="36"/>
      <c r="C67" s="127"/>
      <c r="D67" s="127"/>
      <c r="E67" s="127"/>
    </row>
    <row r="68" spans="1:11" x14ac:dyDescent="0.2">
      <c r="A68" s="129"/>
      <c r="B68" s="36"/>
      <c r="C68" s="127"/>
      <c r="D68" s="127"/>
      <c r="E68" s="127"/>
    </row>
    <row r="69" spans="1:11" x14ac:dyDescent="0.2">
      <c r="A69" s="130"/>
      <c r="B69" s="131"/>
      <c r="C69" s="132"/>
      <c r="D69" s="132"/>
      <c r="E69" s="132"/>
    </row>
    <row r="70" spans="1:11" x14ac:dyDescent="0.2">
      <c r="A70" s="6"/>
      <c r="B70" s="345" t="s">
        <v>12</v>
      </c>
      <c r="C70" s="141">
        <f>SUM(C61:C69)</f>
        <v>0</v>
      </c>
      <c r="D70" s="141">
        <f>SUM(D61:D69)</f>
        <v>5040</v>
      </c>
      <c r="E70" s="133">
        <f>SUM(E61:E69)</f>
        <v>5040</v>
      </c>
    </row>
    <row r="72" spans="1:11" x14ac:dyDescent="0.2">
      <c r="A72" t="str">
        <f>Summary!$G$9</f>
        <v>Contractor</v>
      </c>
    </row>
    <row r="73" spans="1:11" x14ac:dyDescent="0.2">
      <c r="D73" s="5"/>
    </row>
    <row r="75" spans="1:11" x14ac:dyDescent="0.2">
      <c r="C75" s="488"/>
      <c r="D75" s="488"/>
      <c r="E75" s="488"/>
    </row>
    <row r="76" spans="1:11" x14ac:dyDescent="0.2">
      <c r="C76" s="489" t="str">
        <f>Summary!$G$10</f>
        <v>Construction Manager</v>
      </c>
      <c r="D76" s="489"/>
      <c r="E76" s="489"/>
    </row>
    <row r="77" spans="1:11" ht="13.5" customHeight="1" x14ac:dyDescent="0.2">
      <c r="A77" s="79"/>
      <c r="C77" s="81"/>
      <c r="D77" s="82"/>
      <c r="E77" s="83"/>
      <c r="F77" s="93"/>
      <c r="G77" s="93"/>
      <c r="I77" s="95"/>
      <c r="J77" s="95"/>
      <c r="K77" s="95"/>
    </row>
    <row r="78" spans="1:11" x14ac:dyDescent="0.2">
      <c r="D78" s="82"/>
      <c r="E78" s="83"/>
      <c r="F78" s="93"/>
      <c r="I78" s="96"/>
      <c r="J78" s="96"/>
      <c r="K78" s="95"/>
    </row>
    <row r="79" spans="1:11" x14ac:dyDescent="0.2">
      <c r="F79" s="93"/>
    </row>
    <row r="80" spans="1:11" x14ac:dyDescent="0.2">
      <c r="A80" s="58"/>
      <c r="B80" s="58"/>
      <c r="D80" s="392" t="s">
        <v>182</v>
      </c>
      <c r="E80" s="393" t="s">
        <v>183</v>
      </c>
      <c r="F80" s="93"/>
    </row>
    <row r="81" spans="1:6" ht="14" customHeight="1" x14ac:dyDescent="0.2">
      <c r="A81" s="58"/>
      <c r="B81" s="58"/>
      <c r="D81" s="381">
        <v>5040</v>
      </c>
      <c r="E81" s="381">
        <f>E70</f>
        <v>5040</v>
      </c>
      <c r="F81" s="93"/>
    </row>
    <row r="82" spans="1:6" x14ac:dyDescent="0.2">
      <c r="E82" t="s">
        <v>134</v>
      </c>
      <c r="F82" s="93"/>
    </row>
  </sheetData>
  <mergeCells count="4">
    <mergeCell ref="C34:E34"/>
    <mergeCell ref="C35:E35"/>
    <mergeCell ref="C75:E75"/>
    <mergeCell ref="C76:E76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88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.5" customWidth="1"/>
    <col min="4" max="4" width="15.3320312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1146</v>
      </c>
    </row>
    <row r="16" spans="1:5" x14ac:dyDescent="0.2">
      <c r="D16" s="2" t="s">
        <v>11</v>
      </c>
      <c r="E16" s="3">
        <v>42490</v>
      </c>
    </row>
    <row r="17" spans="1:5" x14ac:dyDescent="0.2">
      <c r="A17" s="5" t="s">
        <v>1</v>
      </c>
      <c r="B17" s="4" t="s">
        <v>1019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/>
      <c r="B20" s="125"/>
      <c r="C20" s="15"/>
      <c r="D20" s="127"/>
      <c r="E20" s="127"/>
    </row>
    <row r="21" spans="1:5" x14ac:dyDescent="0.2">
      <c r="A21" s="126">
        <v>42490</v>
      </c>
      <c r="B21" s="410" t="s">
        <v>731</v>
      </c>
      <c r="C21" s="127">
        <v>143330.98000000001</v>
      </c>
      <c r="D21" s="127"/>
      <c r="E21" s="127">
        <f>C21+D21</f>
        <v>143330.98000000001</v>
      </c>
    </row>
    <row r="22" spans="1:5" x14ac:dyDescent="0.2">
      <c r="A22" s="126"/>
      <c r="B22" s="456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4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464"/>
      <c r="B28" s="146"/>
      <c r="C28" s="147"/>
      <c r="D28" s="147"/>
      <c r="E28" s="147"/>
    </row>
    <row r="29" spans="1:5" x14ac:dyDescent="0.2">
      <c r="A29" s="149"/>
      <c r="B29" s="36"/>
      <c r="C29" s="127"/>
      <c r="D29" s="127"/>
      <c r="E29" s="127"/>
    </row>
    <row r="30" spans="1:5" x14ac:dyDescent="0.2">
      <c r="A30" s="129"/>
      <c r="B30" s="36"/>
      <c r="C30" s="127"/>
      <c r="D30" s="127"/>
      <c r="E30" s="127"/>
    </row>
    <row r="31" spans="1:5" x14ac:dyDescent="0.2">
      <c r="A31" s="130"/>
      <c r="B31" s="131"/>
      <c r="C31" s="132"/>
      <c r="D31" s="132"/>
      <c r="E31" s="132"/>
    </row>
    <row r="32" spans="1:5" x14ac:dyDescent="0.2">
      <c r="A32" s="6"/>
      <c r="B32" s="345" t="s">
        <v>12</v>
      </c>
      <c r="C32" s="141">
        <f>SUM(C20:C31)</f>
        <v>143330.98000000001</v>
      </c>
      <c r="D32" s="141">
        <f>SUM(D20:D31)</f>
        <v>0</v>
      </c>
      <c r="E32" s="133">
        <f>SUM(E20:E31)</f>
        <v>143330.98000000001</v>
      </c>
    </row>
    <row r="34" spans="1:11" x14ac:dyDescent="0.2">
      <c r="A34" t="str">
        <f>Summary!$G$9</f>
        <v>Contractor</v>
      </c>
    </row>
    <row r="35" spans="1:11" x14ac:dyDescent="0.2">
      <c r="D35" s="5"/>
    </row>
    <row r="37" spans="1:11" x14ac:dyDescent="0.2">
      <c r="C37" s="488"/>
      <c r="D37" s="488"/>
      <c r="E37" s="488"/>
    </row>
    <row r="38" spans="1:11" x14ac:dyDescent="0.2">
      <c r="C38" s="489" t="str">
        <f>Summary!$G$10</f>
        <v>Construction Manager</v>
      </c>
      <c r="D38" s="489"/>
      <c r="E38" s="489"/>
    </row>
    <row r="39" spans="1:11" ht="13.5" customHeight="1" x14ac:dyDescent="0.2">
      <c r="A39" s="79"/>
      <c r="C39" s="81"/>
      <c r="D39" s="82"/>
      <c r="E39" s="83"/>
      <c r="F39" s="93"/>
      <c r="G39" s="93"/>
      <c r="I39" s="95"/>
      <c r="J39" s="95"/>
      <c r="K39" s="95"/>
    </row>
    <row r="40" spans="1:11" x14ac:dyDescent="0.2">
      <c r="D40" s="82"/>
      <c r="E40" s="83"/>
      <c r="F40" s="93"/>
      <c r="I40" s="96"/>
      <c r="J40" s="96"/>
      <c r="K40" s="95"/>
    </row>
    <row r="41" spans="1:11" x14ac:dyDescent="0.2">
      <c r="F41" s="93"/>
    </row>
    <row r="42" spans="1:11" x14ac:dyDescent="0.2">
      <c r="A42" s="58"/>
      <c r="B42" s="58"/>
      <c r="D42" s="392" t="s">
        <v>182</v>
      </c>
      <c r="E42" s="393" t="s">
        <v>183</v>
      </c>
      <c r="F42" s="93"/>
    </row>
    <row r="43" spans="1:11" ht="14" customHeight="1" x14ac:dyDescent="0.2">
      <c r="A43" s="58"/>
      <c r="B43" s="58"/>
      <c r="D43" s="381">
        <v>143330.98000000001</v>
      </c>
      <c r="E43" s="381">
        <f>E32</f>
        <v>143330.98000000001</v>
      </c>
      <c r="F43" s="93"/>
    </row>
    <row r="44" spans="1:11" x14ac:dyDescent="0.2">
      <c r="F44" s="93"/>
    </row>
    <row r="45" spans="1:11" x14ac:dyDescent="0.2">
      <c r="A45" s="5" t="str">
        <f>Summary!$G$11</f>
        <v>PIPELINE PROJECT</v>
      </c>
    </row>
    <row r="57" spans="1:5" ht="16" x14ac:dyDescent="0.2">
      <c r="A57" s="192" t="s">
        <v>88</v>
      </c>
    </row>
    <row r="58" spans="1:5" x14ac:dyDescent="0.2">
      <c r="A58" s="5" t="s">
        <v>24</v>
      </c>
      <c r="B58" s="191" t="s">
        <v>1146</v>
      </c>
    </row>
    <row r="60" spans="1:5" x14ac:dyDescent="0.2">
      <c r="D60" s="2" t="s">
        <v>11</v>
      </c>
      <c r="E60" s="3">
        <f>Summary!$G$3</f>
        <v>42505</v>
      </c>
    </row>
    <row r="61" spans="1:5" x14ac:dyDescent="0.2">
      <c r="A61" s="5" t="s">
        <v>1</v>
      </c>
      <c r="B61" s="4" t="s">
        <v>1019</v>
      </c>
    </row>
    <row r="63" spans="1:5" x14ac:dyDescent="0.2">
      <c r="A63" s="9" t="s">
        <v>19</v>
      </c>
      <c r="B63" s="10" t="s">
        <v>2</v>
      </c>
      <c r="C63" s="11" t="s">
        <v>37</v>
      </c>
      <c r="D63" s="11" t="s">
        <v>27</v>
      </c>
      <c r="E63" s="12" t="s">
        <v>22</v>
      </c>
    </row>
    <row r="64" spans="1:5" ht="14.5" customHeight="1" x14ac:dyDescent="0.2">
      <c r="A64" s="124"/>
      <c r="B64" s="125"/>
      <c r="C64" s="15"/>
      <c r="D64" s="127"/>
      <c r="E64" s="127"/>
    </row>
    <row r="65" spans="1:5" x14ac:dyDescent="0.2">
      <c r="A65" s="126">
        <v>42490</v>
      </c>
      <c r="B65" s="410" t="s">
        <v>731</v>
      </c>
      <c r="C65" s="127"/>
      <c r="D65" s="127">
        <v>143330.98000000001</v>
      </c>
      <c r="E65" s="127">
        <f>C65+D65</f>
        <v>143330.98000000001</v>
      </c>
    </row>
    <row r="66" spans="1:5" x14ac:dyDescent="0.2">
      <c r="A66" s="126"/>
      <c r="B66" s="456"/>
      <c r="C66" s="127"/>
      <c r="D66" s="127"/>
      <c r="E66" s="127"/>
    </row>
    <row r="67" spans="1:5" ht="14.5" customHeight="1" x14ac:dyDescent="0.2">
      <c r="A67" s="126"/>
      <c r="B67" s="21"/>
      <c r="C67" s="128"/>
      <c r="D67" s="127"/>
      <c r="E67" s="127"/>
    </row>
    <row r="68" spans="1:5" x14ac:dyDescent="0.2">
      <c r="A68" s="129"/>
      <c r="B68" s="36"/>
      <c r="C68" s="127"/>
      <c r="D68" s="127"/>
      <c r="E68" s="127"/>
    </row>
    <row r="69" spans="1:5" x14ac:dyDescent="0.2">
      <c r="A69" s="129"/>
      <c r="B69" s="36"/>
      <c r="C69" s="127"/>
      <c r="D69" s="127"/>
      <c r="E69" s="127"/>
    </row>
    <row r="70" spans="1:5" x14ac:dyDescent="0.2">
      <c r="A70" s="149"/>
      <c r="B70" s="36"/>
      <c r="C70" s="127"/>
      <c r="D70" s="127"/>
      <c r="E70" s="127"/>
    </row>
    <row r="71" spans="1:5" x14ac:dyDescent="0.2">
      <c r="A71" s="129"/>
      <c r="B71" s="36"/>
      <c r="C71" s="127"/>
      <c r="D71" s="127"/>
      <c r="E71" s="127"/>
    </row>
    <row r="72" spans="1:5" x14ac:dyDescent="0.2">
      <c r="A72" s="464"/>
      <c r="B72" s="146"/>
      <c r="C72" s="147"/>
      <c r="D72" s="147"/>
      <c r="E72" s="147"/>
    </row>
    <row r="73" spans="1:5" x14ac:dyDescent="0.2">
      <c r="A73" s="149"/>
      <c r="B73" s="36"/>
      <c r="C73" s="127"/>
      <c r="D73" s="127"/>
      <c r="E73" s="127"/>
    </row>
    <row r="74" spans="1:5" x14ac:dyDescent="0.2">
      <c r="A74" s="129"/>
      <c r="B74" s="36"/>
      <c r="C74" s="127"/>
      <c r="D74" s="127"/>
      <c r="E74" s="127"/>
    </row>
    <row r="75" spans="1:5" x14ac:dyDescent="0.2">
      <c r="A75" s="130"/>
      <c r="B75" s="131"/>
      <c r="C75" s="132"/>
      <c r="D75" s="132"/>
      <c r="E75" s="132"/>
    </row>
    <row r="76" spans="1:5" x14ac:dyDescent="0.2">
      <c r="A76" s="6"/>
      <c r="B76" s="345" t="s">
        <v>12</v>
      </c>
      <c r="C76" s="141">
        <f>SUM(C64:C75)</f>
        <v>0</v>
      </c>
      <c r="D76" s="141">
        <f>SUM(D64:D75)</f>
        <v>143330.98000000001</v>
      </c>
      <c r="E76" s="133">
        <f>SUM(E64:E75)</f>
        <v>143330.98000000001</v>
      </c>
    </row>
    <row r="78" spans="1:5" x14ac:dyDescent="0.2">
      <c r="A78" t="str">
        <f>Summary!$G$9</f>
        <v>Contractor</v>
      </c>
    </row>
    <row r="79" spans="1:5" x14ac:dyDescent="0.2">
      <c r="D79" s="5"/>
    </row>
    <row r="81" spans="1:11" x14ac:dyDescent="0.2">
      <c r="C81" s="488"/>
      <c r="D81" s="488"/>
      <c r="E81" s="488"/>
    </row>
    <row r="82" spans="1:11" x14ac:dyDescent="0.2">
      <c r="C82" s="489" t="str">
        <f>Summary!$G$10</f>
        <v>Construction Manager</v>
      </c>
      <c r="D82" s="489"/>
      <c r="E82" s="489"/>
    </row>
    <row r="83" spans="1:11" ht="13.5" customHeight="1" x14ac:dyDescent="0.2">
      <c r="A83" s="79"/>
      <c r="C83" s="81"/>
      <c r="D83" s="82"/>
      <c r="E83" s="83"/>
      <c r="F83" s="93"/>
      <c r="G83" s="93"/>
      <c r="I83" s="95"/>
      <c r="J83" s="95"/>
      <c r="K83" s="95"/>
    </row>
    <row r="84" spans="1:11" x14ac:dyDescent="0.2">
      <c r="D84" s="82"/>
      <c r="E84" s="83"/>
      <c r="F84" s="93"/>
      <c r="I84" s="96"/>
      <c r="J84" s="96"/>
      <c r="K84" s="95"/>
    </row>
    <row r="85" spans="1:11" x14ac:dyDescent="0.2">
      <c r="F85" s="93"/>
    </row>
    <row r="86" spans="1:11" x14ac:dyDescent="0.2">
      <c r="A86" s="58"/>
      <c r="B86" s="58"/>
      <c r="D86" s="392" t="s">
        <v>182</v>
      </c>
      <c r="E86" s="393" t="s">
        <v>183</v>
      </c>
      <c r="F86" s="93"/>
    </row>
    <row r="87" spans="1:11" ht="14" customHeight="1" x14ac:dyDescent="0.2">
      <c r="A87" s="58"/>
      <c r="B87" s="58"/>
      <c r="D87" s="381">
        <v>143330.98000000001</v>
      </c>
      <c r="E87" s="381">
        <f>E76</f>
        <v>143330.98000000001</v>
      </c>
      <c r="F87" s="93"/>
    </row>
    <row r="88" spans="1:11" x14ac:dyDescent="0.2">
      <c r="E88" t="s">
        <v>134</v>
      </c>
      <c r="F88" s="93"/>
    </row>
  </sheetData>
  <mergeCells count="4">
    <mergeCell ref="C37:E37"/>
    <mergeCell ref="C38:E38"/>
    <mergeCell ref="C81:E81"/>
    <mergeCell ref="C82:E82"/>
  </mergeCells>
  <phoneticPr fontId="26" type="noConversion"/>
  <pageMargins left="1.1037007874015747" right="0.70000000000000007" top="1.1400000000000001" bottom="0.75000000000000011" header="0.30000000000000004" footer="0.30000000000000004"/>
  <pageSetup scale="77" orientation="portrait" verticalDpi="1200"/>
  <rowBreaks count="1" manualBreakCount="1">
    <brk id="88" max="16383" man="1"/>
  </rowBreaks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CCFFCC"/>
  </sheetPr>
  <dimension ref="A1:K41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" customWidth="1"/>
    <col min="4" max="4" width="1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1147</v>
      </c>
    </row>
    <row r="16" spans="1:5" x14ac:dyDescent="0.2">
      <c r="D16" s="2" t="s">
        <v>11</v>
      </c>
      <c r="E16" s="3">
        <f>Summary!$G$3</f>
        <v>42505</v>
      </c>
    </row>
    <row r="17" spans="1:5" x14ac:dyDescent="0.2">
      <c r="A17" s="5" t="s">
        <v>1</v>
      </c>
      <c r="B17" s="4" t="s">
        <v>1045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/>
      <c r="B20" s="125"/>
      <c r="C20" s="15"/>
      <c r="D20" s="15"/>
      <c r="E20" s="139"/>
    </row>
    <row r="21" spans="1:5" x14ac:dyDescent="0.2">
      <c r="A21" s="126">
        <v>42505</v>
      </c>
      <c r="B21" s="21" t="s">
        <v>1052</v>
      </c>
      <c r="C21" s="127">
        <v>325639.92</v>
      </c>
      <c r="D21" s="127"/>
      <c r="E21" s="127">
        <f>C21+D21</f>
        <v>325639.92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325639.92</v>
      </c>
      <c r="D29" s="141">
        <f>SUM(D20:D28)</f>
        <v>0</v>
      </c>
      <c r="E29" s="133">
        <f>SUM(E20:E28)</f>
        <v>325639.92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366773.29</v>
      </c>
      <c r="E40" s="381">
        <f>E29</f>
        <v>325639.92</v>
      </c>
      <c r="F40" s="93"/>
    </row>
    <row r="41" spans="1:11" x14ac:dyDescent="0.2">
      <c r="F41" s="93"/>
    </row>
  </sheetData>
  <mergeCells count="2">
    <mergeCell ref="C34:E34"/>
    <mergeCell ref="C35:E35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CCFFCC"/>
  </sheetPr>
  <dimension ref="A1:K41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" customWidth="1"/>
    <col min="4" max="4" width="1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1148</v>
      </c>
    </row>
    <row r="16" spans="1:5" x14ac:dyDescent="0.2">
      <c r="D16" s="2" t="s">
        <v>11</v>
      </c>
      <c r="E16" s="3">
        <f>Summary!$G$3</f>
        <v>42505</v>
      </c>
    </row>
    <row r="17" spans="1:5" x14ac:dyDescent="0.2">
      <c r="A17" s="5" t="s">
        <v>1</v>
      </c>
      <c r="B17" s="4" t="s">
        <v>1053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/>
      <c r="B20" s="125"/>
      <c r="C20" s="15"/>
      <c r="D20" s="15"/>
      <c r="E20" s="139"/>
    </row>
    <row r="21" spans="1:5" x14ac:dyDescent="0.2">
      <c r="A21" s="126">
        <v>42505</v>
      </c>
      <c r="B21" s="21" t="s">
        <v>1054</v>
      </c>
      <c r="C21" s="127">
        <v>13198.84</v>
      </c>
      <c r="D21" s="127"/>
      <c r="E21" s="127">
        <f>C21+D21</f>
        <v>13198.84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13198.84</v>
      </c>
      <c r="D29" s="141">
        <f>SUM(D20:D28)</f>
        <v>0</v>
      </c>
      <c r="E29" s="133">
        <f>SUM(E20:E28)</f>
        <v>13198.84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13198.84</v>
      </c>
      <c r="E40" s="381">
        <f>E29</f>
        <v>13198.84</v>
      </c>
      <c r="F40" s="93"/>
    </row>
    <row r="41" spans="1:11" x14ac:dyDescent="0.2">
      <c r="F41" s="93"/>
    </row>
  </sheetData>
  <mergeCells count="2">
    <mergeCell ref="C34:E34"/>
    <mergeCell ref="C35:E35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CCFFCC"/>
  </sheetPr>
  <dimension ref="A1:K41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" customWidth="1"/>
    <col min="4" max="4" width="1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1149</v>
      </c>
    </row>
    <row r="16" spans="1:5" x14ac:dyDescent="0.2">
      <c r="D16" s="2" t="s">
        <v>11</v>
      </c>
      <c r="E16" s="3">
        <f>Summary!$G$3</f>
        <v>42505</v>
      </c>
    </row>
    <row r="17" spans="1:5" x14ac:dyDescent="0.2">
      <c r="A17" s="5" t="s">
        <v>1</v>
      </c>
      <c r="B17" s="4" t="s">
        <v>1056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6">
        <v>42505</v>
      </c>
      <c r="B20" s="21" t="s">
        <v>1057</v>
      </c>
      <c r="C20" s="15"/>
      <c r="D20" s="15"/>
      <c r="E20" s="139"/>
    </row>
    <row r="21" spans="1:5" x14ac:dyDescent="0.2">
      <c r="A21" s="126"/>
      <c r="B21" s="21" t="s">
        <v>1058</v>
      </c>
      <c r="C21" s="127">
        <v>2630.25</v>
      </c>
      <c r="D21" s="127"/>
      <c r="E21" s="127">
        <f>C21+D21</f>
        <v>2630.25</v>
      </c>
    </row>
    <row r="22" spans="1:5" x14ac:dyDescent="0.2">
      <c r="A22" s="126"/>
      <c r="B22" s="21" t="s">
        <v>1059</v>
      </c>
      <c r="C22" s="127">
        <v>2565.1999999999998</v>
      </c>
      <c r="D22" s="127"/>
      <c r="E22" s="127">
        <f>C22+D22</f>
        <v>2565.1999999999998</v>
      </c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5195.45</v>
      </c>
      <c r="D29" s="141">
        <f>SUM(D20:D28)</f>
        <v>0</v>
      </c>
      <c r="E29" s="133">
        <f>SUM(E20:E28)</f>
        <v>5195.45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100000</v>
      </c>
      <c r="E40" s="381">
        <f>E29</f>
        <v>5195.45</v>
      </c>
      <c r="F40" s="93"/>
    </row>
    <row r="41" spans="1:11" x14ac:dyDescent="0.2">
      <c r="F41" s="93"/>
    </row>
  </sheetData>
  <mergeCells count="2">
    <mergeCell ref="C34:E34"/>
    <mergeCell ref="C35:E35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CCFFCC"/>
  </sheetPr>
  <dimension ref="A1:K41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" customWidth="1"/>
    <col min="4" max="4" width="1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1150</v>
      </c>
    </row>
    <row r="16" spans="1:5" x14ac:dyDescent="0.2">
      <c r="D16" s="2" t="s">
        <v>11</v>
      </c>
      <c r="E16" s="3">
        <f>Summary!$G$3</f>
        <v>42505</v>
      </c>
    </row>
    <row r="17" spans="1:5" x14ac:dyDescent="0.2">
      <c r="A17" s="5" t="s">
        <v>1</v>
      </c>
      <c r="B17" s="4" t="s">
        <v>1063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6"/>
      <c r="B20" s="21"/>
      <c r="C20" s="15"/>
      <c r="D20" s="15"/>
      <c r="E20" s="139"/>
    </row>
    <row r="21" spans="1:5" x14ac:dyDescent="0.2">
      <c r="A21" s="126">
        <v>42505</v>
      </c>
      <c r="B21" s="21" t="s">
        <v>1063</v>
      </c>
      <c r="C21" s="127">
        <v>69770.039999999994</v>
      </c>
      <c r="D21" s="127"/>
      <c r="E21" s="127">
        <f>C21+D21</f>
        <v>69770.039999999994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69770.039999999994</v>
      </c>
      <c r="D29" s="141">
        <f>SUM(D20:D28)</f>
        <v>0</v>
      </c>
      <c r="E29" s="133">
        <f>SUM(E20:E28)</f>
        <v>69770.039999999994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69770.039999999994</v>
      </c>
      <c r="E40" s="381">
        <f>E29</f>
        <v>69770.039999999994</v>
      </c>
      <c r="F40" s="93"/>
    </row>
    <row r="41" spans="1:11" x14ac:dyDescent="0.2">
      <c r="F41" s="93"/>
    </row>
  </sheetData>
  <mergeCells count="2">
    <mergeCell ref="C34:E34"/>
    <mergeCell ref="C35:E35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CCFFCC"/>
  </sheetPr>
  <dimension ref="A1:F40"/>
  <sheetViews>
    <sheetView workbookViewId="0">
      <selection activeCell="L19" sqref="L19"/>
    </sheetView>
  </sheetViews>
  <sheetFormatPr baseColWidth="10" defaultColWidth="8.83203125" defaultRowHeight="15" x14ac:dyDescent="0.2"/>
  <cols>
    <col min="1" max="2" width="10" customWidth="1"/>
    <col min="3" max="3" width="36" customWidth="1"/>
    <col min="4" max="6" width="13.83203125" customWidth="1"/>
  </cols>
  <sheetData>
    <row r="1" spans="1:6" x14ac:dyDescent="0.2">
      <c r="A1" s="5" t="str">
        <f>Summary!$G$11</f>
        <v>PIPELINE PROJECT</v>
      </c>
      <c r="B1" s="5"/>
    </row>
    <row r="13" spans="1:6" ht="16" x14ac:dyDescent="0.2">
      <c r="A13" s="161" t="s">
        <v>92</v>
      </c>
      <c r="B13" s="161"/>
    </row>
    <row r="14" spans="1:6" x14ac:dyDescent="0.2">
      <c r="A14" s="5" t="s">
        <v>1114</v>
      </c>
      <c r="B14" s="160" t="s">
        <v>1151</v>
      </c>
    </row>
    <row r="16" spans="1:6" x14ac:dyDescent="0.2">
      <c r="E16" s="2" t="s">
        <v>11</v>
      </c>
      <c r="F16" s="3">
        <v>42505</v>
      </c>
    </row>
    <row r="17" spans="1:6" x14ac:dyDescent="0.2">
      <c r="A17" t="s">
        <v>1</v>
      </c>
      <c r="B17" s="4" t="s">
        <v>91</v>
      </c>
    </row>
    <row r="19" spans="1:6" x14ac:dyDescent="0.2">
      <c r="A19" s="9" t="s">
        <v>19</v>
      </c>
      <c r="B19" s="11" t="s">
        <v>93</v>
      </c>
      <c r="C19" s="10" t="s">
        <v>2</v>
      </c>
      <c r="D19" s="11" t="s">
        <v>37</v>
      </c>
      <c r="E19" s="11" t="s">
        <v>27</v>
      </c>
      <c r="F19" s="12" t="s">
        <v>22</v>
      </c>
    </row>
    <row r="20" spans="1:6" x14ac:dyDescent="0.2">
      <c r="A20" s="124"/>
      <c r="B20" s="354"/>
      <c r="C20" s="125"/>
      <c r="D20" s="178"/>
      <c r="E20" s="178"/>
      <c r="F20" s="179"/>
    </row>
    <row r="21" spans="1:6" x14ac:dyDescent="0.2">
      <c r="A21" s="126">
        <v>42490</v>
      </c>
      <c r="B21" s="355" t="s">
        <v>265</v>
      </c>
      <c r="C21" s="21" t="s">
        <v>266</v>
      </c>
      <c r="D21" s="180">
        <v>3271.42</v>
      </c>
      <c r="E21" s="180"/>
      <c r="F21" s="180">
        <f t="shared" ref="F21:F34" si="0">D21+E21</f>
        <v>3271.42</v>
      </c>
    </row>
    <row r="22" spans="1:6" x14ac:dyDescent="0.2">
      <c r="A22" s="149"/>
      <c r="B22" s="355" t="s">
        <v>1005</v>
      </c>
      <c r="C22" s="21" t="s">
        <v>1006</v>
      </c>
      <c r="D22" s="180">
        <v>66806.759999999995</v>
      </c>
      <c r="E22" s="180"/>
      <c r="F22" s="181">
        <f>D22+E22</f>
        <v>66806.759999999995</v>
      </c>
    </row>
    <row r="23" spans="1:6" x14ac:dyDescent="0.2">
      <c r="A23" s="149"/>
      <c r="B23" s="355" t="s">
        <v>1072</v>
      </c>
      <c r="C23" s="21" t="s">
        <v>1073</v>
      </c>
      <c r="D23" s="180">
        <v>55080</v>
      </c>
      <c r="E23" s="180"/>
      <c r="F23" s="181">
        <f>D23+E23</f>
        <v>55080</v>
      </c>
    </row>
    <row r="24" spans="1:6" ht="14.5" customHeight="1" x14ac:dyDescent="0.2">
      <c r="A24" s="126"/>
      <c r="B24" s="355"/>
      <c r="C24" s="21"/>
      <c r="D24" s="180"/>
      <c r="E24" s="180"/>
      <c r="F24" s="181">
        <f t="shared" si="0"/>
        <v>0</v>
      </c>
    </row>
    <row r="25" spans="1:6" x14ac:dyDescent="0.2">
      <c r="A25" s="149"/>
      <c r="B25" s="356"/>
      <c r="C25" s="21"/>
      <c r="D25" s="180"/>
      <c r="E25" s="180"/>
      <c r="F25" s="181">
        <f t="shared" si="0"/>
        <v>0</v>
      </c>
    </row>
    <row r="26" spans="1:6" ht="14.5" customHeight="1" x14ac:dyDescent="0.2">
      <c r="A26" s="126"/>
      <c r="B26" s="355"/>
      <c r="C26" s="21"/>
      <c r="D26" s="180"/>
      <c r="E26" s="180"/>
      <c r="F26" s="181">
        <f>D26+E26</f>
        <v>0</v>
      </c>
    </row>
    <row r="27" spans="1:6" x14ac:dyDescent="0.2">
      <c r="A27" s="149"/>
      <c r="B27" s="355"/>
      <c r="C27" s="21"/>
      <c r="D27" s="180"/>
      <c r="E27" s="180"/>
      <c r="F27" s="181">
        <f>D27+E27</f>
        <v>0</v>
      </c>
    </row>
    <row r="28" spans="1:6" x14ac:dyDescent="0.2">
      <c r="A28" s="149"/>
      <c r="B28" s="356"/>
      <c r="C28" s="36"/>
      <c r="D28" s="180"/>
      <c r="E28" s="180"/>
      <c r="F28" s="181">
        <f t="shared" si="0"/>
        <v>0</v>
      </c>
    </row>
    <row r="29" spans="1:6" x14ac:dyDescent="0.2">
      <c r="A29" s="149"/>
      <c r="B29" s="356"/>
      <c r="C29" s="36"/>
      <c r="D29" s="180"/>
      <c r="E29" s="180"/>
      <c r="F29" s="181">
        <f t="shared" si="0"/>
        <v>0</v>
      </c>
    </row>
    <row r="30" spans="1:6" x14ac:dyDescent="0.2">
      <c r="A30" s="149"/>
      <c r="B30" s="356"/>
      <c r="C30" s="36"/>
      <c r="D30" s="180"/>
      <c r="E30" s="180"/>
      <c r="F30" s="181">
        <f t="shared" si="0"/>
        <v>0</v>
      </c>
    </row>
    <row r="31" spans="1:6" x14ac:dyDescent="0.2">
      <c r="A31" s="149"/>
      <c r="B31" s="356"/>
      <c r="C31" s="36"/>
      <c r="D31" s="180"/>
      <c r="E31" s="180"/>
      <c r="F31" s="181">
        <f t="shared" si="0"/>
        <v>0</v>
      </c>
    </row>
    <row r="32" spans="1:6" x14ac:dyDescent="0.2">
      <c r="A32" s="150"/>
      <c r="B32" s="357"/>
      <c r="C32" s="146"/>
      <c r="D32" s="182"/>
      <c r="E32" s="182"/>
      <c r="F32" s="183">
        <f t="shared" si="0"/>
        <v>0</v>
      </c>
    </row>
    <row r="33" spans="1:6" x14ac:dyDescent="0.2">
      <c r="A33" s="150"/>
      <c r="B33" s="357"/>
      <c r="C33" s="146"/>
      <c r="D33" s="182"/>
      <c r="E33" s="182"/>
      <c r="F33" s="180">
        <f t="shared" si="0"/>
        <v>0</v>
      </c>
    </row>
    <row r="34" spans="1:6" x14ac:dyDescent="0.2">
      <c r="A34" s="153"/>
      <c r="B34" s="358"/>
      <c r="C34" s="131"/>
      <c r="D34" s="184"/>
      <c r="E34" s="182"/>
      <c r="F34" s="180">
        <f t="shared" si="0"/>
        <v>0</v>
      </c>
    </row>
    <row r="35" spans="1:6" x14ac:dyDescent="0.2">
      <c r="A35" s="6"/>
      <c r="B35" s="6"/>
      <c r="C35" s="185" t="s">
        <v>12</v>
      </c>
      <c r="D35" s="185">
        <f>SUM(D20:D34)</f>
        <v>125158.18</v>
      </c>
      <c r="E35" s="185">
        <f>SUM(E20:E34)</f>
        <v>0</v>
      </c>
      <c r="F35" s="186">
        <f>SUM(F20:F34)</f>
        <v>125158.18</v>
      </c>
    </row>
    <row r="37" spans="1:6" x14ac:dyDescent="0.2">
      <c r="A37" t="str">
        <f>Summary!$G$9</f>
        <v>Contractor</v>
      </c>
    </row>
    <row r="39" spans="1:6" x14ac:dyDescent="0.2">
      <c r="D39" s="517"/>
      <c r="E39" s="517"/>
      <c r="F39" s="517"/>
    </row>
    <row r="40" spans="1:6" x14ac:dyDescent="0.2">
      <c r="D40" s="489"/>
      <c r="E40" s="489"/>
      <c r="F40" s="489"/>
    </row>
  </sheetData>
  <mergeCells count="2">
    <mergeCell ref="D39:F39"/>
    <mergeCell ref="D40:F40"/>
  </mergeCells>
  <phoneticPr fontId="26" type="noConversion"/>
  <pageMargins left="1.2900000000000003" right="0.70000000000000007" top="2.3174015748031493" bottom="0.75000000000000011" header="0.30000000000000004" footer="0.30000000000000004"/>
  <pageSetup scale="72" orientation="portrait" verticalDpi="12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FF00"/>
  </sheetPr>
  <dimension ref="A1:K41"/>
  <sheetViews>
    <sheetView workbookViewId="0">
      <selection activeCell="L37" sqref="L37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" customWidth="1"/>
    <col min="4" max="4" width="1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1152</v>
      </c>
    </row>
    <row r="16" spans="1:5" x14ac:dyDescent="0.2">
      <c r="D16" s="2" t="s">
        <v>11</v>
      </c>
      <c r="E16" s="3">
        <f>Summary!$G$3</f>
        <v>42505</v>
      </c>
    </row>
    <row r="17" spans="1:5" x14ac:dyDescent="0.2">
      <c r="A17" s="5" t="s">
        <v>1</v>
      </c>
      <c r="B17" s="4" t="s">
        <v>1021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6"/>
      <c r="B20" s="21"/>
      <c r="C20" s="15"/>
      <c r="D20" s="15"/>
      <c r="E20" s="139"/>
    </row>
    <row r="21" spans="1:5" x14ac:dyDescent="0.2">
      <c r="A21" s="126">
        <v>42505</v>
      </c>
      <c r="B21" s="21" t="s">
        <v>1021</v>
      </c>
      <c r="C21" s="127"/>
      <c r="D21" s="127"/>
      <c r="E21" s="127">
        <f>C21+D21</f>
        <v>0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0</v>
      </c>
      <c r="D29" s="141">
        <f>SUM(D20:D28)</f>
        <v>0</v>
      </c>
      <c r="E29" s="133">
        <f>SUM(E20:E28)</f>
        <v>0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55529.82</v>
      </c>
      <c r="E40" s="381">
        <f>E29</f>
        <v>0</v>
      </c>
      <c r="F40" s="93"/>
    </row>
    <row r="41" spans="1:11" x14ac:dyDescent="0.2">
      <c r="F41" s="93"/>
    </row>
  </sheetData>
  <mergeCells count="2">
    <mergeCell ref="C34:E34"/>
    <mergeCell ref="C35:E35"/>
  </mergeCells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FF00"/>
  </sheetPr>
  <dimension ref="A1:K41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0" customWidth="1"/>
    <col min="2" max="2" width="37.83203125" customWidth="1"/>
    <col min="3" max="3" width="13" customWidth="1"/>
    <col min="4" max="4" width="15" customWidth="1"/>
    <col min="5" max="5" width="14.33203125" customWidth="1"/>
  </cols>
  <sheetData>
    <row r="1" spans="1:5" x14ac:dyDescent="0.2">
      <c r="A1" s="5" t="str">
        <f>Summary!$G$11</f>
        <v>PIPELINE PROJECT</v>
      </c>
    </row>
    <row r="13" spans="1:5" ht="16" x14ac:dyDescent="0.2">
      <c r="A13" s="192" t="s">
        <v>88</v>
      </c>
    </row>
    <row r="14" spans="1:5" x14ac:dyDescent="0.2">
      <c r="A14" s="5" t="s">
        <v>24</v>
      </c>
      <c r="B14" s="191" t="s">
        <v>1153</v>
      </c>
    </row>
    <row r="16" spans="1:5" x14ac:dyDescent="0.2">
      <c r="D16" s="2" t="s">
        <v>11</v>
      </c>
      <c r="E16" s="3">
        <f>Summary!$G$3</f>
        <v>42505</v>
      </c>
    </row>
    <row r="17" spans="1:5" x14ac:dyDescent="0.2">
      <c r="A17" s="5" t="s">
        <v>1</v>
      </c>
      <c r="B17" s="4" t="s">
        <v>667</v>
      </c>
    </row>
    <row r="19" spans="1:5" x14ac:dyDescent="0.2">
      <c r="A19" s="9" t="s">
        <v>19</v>
      </c>
      <c r="B19" s="10" t="s">
        <v>2</v>
      </c>
      <c r="C19" s="11" t="s">
        <v>37</v>
      </c>
      <c r="D19" s="11" t="s">
        <v>27</v>
      </c>
      <c r="E19" s="12" t="s">
        <v>22</v>
      </c>
    </row>
    <row r="20" spans="1:5" ht="14.5" customHeight="1" x14ac:dyDescent="0.2">
      <c r="A20" s="124"/>
      <c r="B20" s="125"/>
      <c r="C20" s="15"/>
      <c r="D20" s="15"/>
      <c r="E20" s="139"/>
    </row>
    <row r="21" spans="1:5" x14ac:dyDescent="0.2">
      <c r="A21" s="126">
        <v>42505</v>
      </c>
      <c r="B21" s="21" t="s">
        <v>667</v>
      </c>
      <c r="C21" s="127"/>
      <c r="D21" s="127"/>
      <c r="E21" s="127">
        <f>C21+D21</f>
        <v>0</v>
      </c>
    </row>
    <row r="22" spans="1:5" x14ac:dyDescent="0.2">
      <c r="A22" s="126"/>
      <c r="B22" s="21"/>
      <c r="C22" s="127"/>
      <c r="D22" s="127"/>
      <c r="E22" s="127"/>
    </row>
    <row r="23" spans="1:5" ht="14.5" customHeight="1" x14ac:dyDescent="0.2">
      <c r="A23" s="126"/>
      <c r="B23" s="21"/>
      <c r="C23" s="128"/>
      <c r="D23" s="127"/>
      <c r="E23" s="127"/>
    </row>
    <row r="24" spans="1:5" x14ac:dyDescent="0.2">
      <c r="A24" s="129"/>
      <c r="B24" s="36"/>
      <c r="C24" s="127"/>
      <c r="D24" s="127"/>
      <c r="E24" s="127"/>
    </row>
    <row r="25" spans="1:5" x14ac:dyDescent="0.2">
      <c r="A25" s="129"/>
      <c r="B25" s="36"/>
      <c r="C25" s="127"/>
      <c r="D25" s="127"/>
      <c r="E25" s="127"/>
    </row>
    <row r="26" spans="1:5" x14ac:dyDescent="0.2">
      <c r="A26" s="129"/>
      <c r="B26" s="36"/>
      <c r="C26" s="127"/>
      <c r="D26" s="127"/>
      <c r="E26" s="127"/>
    </row>
    <row r="27" spans="1:5" x14ac:dyDescent="0.2">
      <c r="A27" s="129"/>
      <c r="B27" s="36"/>
      <c r="C27" s="127"/>
      <c r="D27" s="127"/>
      <c r="E27" s="127"/>
    </row>
    <row r="28" spans="1:5" x14ac:dyDescent="0.2">
      <c r="A28" s="130"/>
      <c r="B28" s="131"/>
      <c r="C28" s="132"/>
      <c r="D28" s="132"/>
      <c r="E28" s="132"/>
    </row>
    <row r="29" spans="1:5" x14ac:dyDescent="0.2">
      <c r="A29" s="6"/>
      <c r="B29" s="345" t="s">
        <v>12</v>
      </c>
      <c r="C29" s="141">
        <f>SUM(C20:C28)</f>
        <v>0</v>
      </c>
      <c r="D29" s="141">
        <f>SUM(D20:D28)</f>
        <v>0</v>
      </c>
      <c r="E29" s="133">
        <f>SUM(E20:E28)</f>
        <v>0</v>
      </c>
    </row>
    <row r="31" spans="1:5" x14ac:dyDescent="0.2">
      <c r="A31" t="str">
        <f>Summary!$G$9</f>
        <v>Contractor</v>
      </c>
    </row>
    <row r="32" spans="1:5" x14ac:dyDescent="0.2">
      <c r="D32" s="5"/>
    </row>
    <row r="34" spans="1:11" x14ac:dyDescent="0.2">
      <c r="C34" s="488"/>
      <c r="D34" s="488"/>
      <c r="E34" s="488"/>
    </row>
    <row r="35" spans="1:11" x14ac:dyDescent="0.2">
      <c r="C35" s="489" t="str">
        <f>Summary!$G$10</f>
        <v>Construction Manager</v>
      </c>
      <c r="D35" s="489"/>
      <c r="E35" s="489"/>
    </row>
    <row r="36" spans="1:11" ht="13.5" customHeight="1" x14ac:dyDescent="0.2">
      <c r="A36" s="79"/>
      <c r="C36" s="81"/>
      <c r="D36" s="82"/>
      <c r="E36" s="83"/>
      <c r="F36" s="93"/>
      <c r="G36" s="93"/>
      <c r="I36" s="95"/>
      <c r="J36" s="95"/>
      <c r="K36" s="95"/>
    </row>
    <row r="37" spans="1:11" x14ac:dyDescent="0.2">
      <c r="D37" s="82"/>
      <c r="E37" s="83"/>
      <c r="F37" s="93"/>
      <c r="I37" s="96"/>
      <c r="J37" s="96"/>
      <c r="K37" s="95"/>
    </row>
    <row r="38" spans="1:11" x14ac:dyDescent="0.2">
      <c r="F38" s="93"/>
    </row>
    <row r="39" spans="1:11" x14ac:dyDescent="0.2">
      <c r="A39" s="58"/>
      <c r="B39" s="58"/>
      <c r="D39" s="392" t="s">
        <v>182</v>
      </c>
      <c r="E39" s="393" t="s">
        <v>183</v>
      </c>
      <c r="F39" s="93"/>
    </row>
    <row r="40" spans="1:11" ht="14" customHeight="1" x14ac:dyDescent="0.2">
      <c r="A40" s="58"/>
      <c r="B40" s="58"/>
      <c r="D40" s="381">
        <v>155203.98000000001</v>
      </c>
      <c r="E40" s="381">
        <f>E29</f>
        <v>0</v>
      </c>
      <c r="F40" s="93"/>
    </row>
    <row r="41" spans="1:11" x14ac:dyDescent="0.2">
      <c r="F41" s="93"/>
    </row>
  </sheetData>
  <mergeCells count="2">
    <mergeCell ref="C34:E34"/>
    <mergeCell ref="C35:E35"/>
  </mergeCells>
  <phoneticPr fontId="26" type="noConversion"/>
  <pageMargins left="0.70000000000000007" right="0.70000000000000007" top="1.3405511811023623" bottom="0.75000000000000011" header="0.30000000000000004" footer="0.30000000000000004"/>
  <pageSetup scale="94" orientation="portrait" verticalDpi="1200"/>
  <colBreaks count="1" manualBreakCount="1">
    <brk id="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3:AN60"/>
  <sheetViews>
    <sheetView topLeftCell="A18" workbookViewId="0">
      <selection activeCell="AH48" sqref="AH48:AH49"/>
    </sheetView>
  </sheetViews>
  <sheetFormatPr baseColWidth="10" defaultRowHeight="16" x14ac:dyDescent="0.2"/>
  <cols>
    <col min="1" max="16384" width="10.83203125" style="362"/>
  </cols>
  <sheetData>
    <row r="3" spans="1:40" x14ac:dyDescent="0.2">
      <c r="A3" s="363" t="s">
        <v>344</v>
      </c>
      <c r="B3" s="364">
        <v>42340</v>
      </c>
      <c r="C3" s="364">
        <v>42341</v>
      </c>
      <c r="D3" s="364">
        <v>42342</v>
      </c>
      <c r="E3" s="364">
        <v>42343</v>
      </c>
      <c r="F3" s="364">
        <v>42344</v>
      </c>
      <c r="G3" s="364">
        <v>42345</v>
      </c>
      <c r="H3" s="364">
        <v>42346</v>
      </c>
      <c r="I3" s="364">
        <v>42347</v>
      </c>
      <c r="J3" s="364">
        <v>42348</v>
      </c>
      <c r="K3" s="364">
        <v>42349</v>
      </c>
      <c r="L3" s="364">
        <v>42350</v>
      </c>
      <c r="M3" s="364">
        <v>42351</v>
      </c>
      <c r="N3" s="364">
        <v>42352</v>
      </c>
      <c r="O3" s="364">
        <v>42353</v>
      </c>
      <c r="P3" s="364">
        <v>42354</v>
      </c>
      <c r="Q3" s="364">
        <v>42355</v>
      </c>
      <c r="R3" s="364">
        <v>42356</v>
      </c>
      <c r="S3" s="364">
        <v>42357</v>
      </c>
      <c r="T3" s="364">
        <v>42358</v>
      </c>
      <c r="U3" s="364">
        <v>42359</v>
      </c>
      <c r="V3" s="364">
        <v>42360</v>
      </c>
      <c r="W3" s="364">
        <v>42361</v>
      </c>
      <c r="X3" s="364">
        <v>42362</v>
      </c>
      <c r="Y3" s="364">
        <v>42363</v>
      </c>
      <c r="Z3" s="364">
        <v>42364</v>
      </c>
      <c r="AA3" s="364">
        <v>42365</v>
      </c>
      <c r="AB3" s="364">
        <v>42366</v>
      </c>
      <c r="AC3" s="364">
        <v>42367</v>
      </c>
      <c r="AD3" s="364">
        <v>42368</v>
      </c>
      <c r="AE3" s="364">
        <v>42369</v>
      </c>
      <c r="AF3" s="364"/>
      <c r="AG3" s="364"/>
      <c r="AH3" s="364"/>
      <c r="AI3" s="364"/>
      <c r="AK3" s="362" t="s">
        <v>343</v>
      </c>
    </row>
    <row r="5" spans="1:40" x14ac:dyDescent="0.2">
      <c r="B5" s="362">
        <v>216</v>
      </c>
      <c r="C5" s="362">
        <v>216</v>
      </c>
      <c r="D5" s="362">
        <v>216</v>
      </c>
      <c r="E5" s="362">
        <v>216</v>
      </c>
      <c r="F5" s="362">
        <v>216</v>
      </c>
      <c r="G5" s="362">
        <v>216</v>
      </c>
      <c r="H5" s="362">
        <v>216</v>
      </c>
      <c r="I5" s="362">
        <v>216</v>
      </c>
      <c r="J5" s="362">
        <v>216</v>
      </c>
      <c r="K5" s="362">
        <v>216</v>
      </c>
      <c r="L5" s="362">
        <v>216</v>
      </c>
      <c r="M5" s="362">
        <v>216</v>
      </c>
      <c r="N5" s="362">
        <v>216</v>
      </c>
      <c r="O5" s="362">
        <v>216</v>
      </c>
      <c r="P5" s="362">
        <v>216</v>
      </c>
      <c r="Q5" s="362">
        <v>216</v>
      </c>
      <c r="R5" s="362">
        <v>216</v>
      </c>
      <c r="S5" s="362">
        <v>216</v>
      </c>
      <c r="T5" s="362">
        <v>216</v>
      </c>
      <c r="U5" s="362">
        <v>216</v>
      </c>
      <c r="V5" s="362">
        <v>216</v>
      </c>
      <c r="W5" s="362">
        <v>216</v>
      </c>
      <c r="X5" s="362">
        <v>216</v>
      </c>
      <c r="Y5" s="362">
        <v>216</v>
      </c>
      <c r="Z5" s="362">
        <v>216</v>
      </c>
      <c r="AA5" s="362">
        <v>216</v>
      </c>
      <c r="AB5" s="362">
        <v>216</v>
      </c>
      <c r="AC5" s="362">
        <v>216</v>
      </c>
      <c r="AD5" s="362">
        <v>216</v>
      </c>
      <c r="AE5" s="362">
        <v>216</v>
      </c>
      <c r="AK5" s="362">
        <f>SUM(B5:AJ5)</f>
        <v>6480</v>
      </c>
      <c r="AL5" s="362">
        <v>4.5</v>
      </c>
      <c r="AM5" s="362">
        <f>AK5*AL5</f>
        <v>29160</v>
      </c>
    </row>
    <row r="6" spans="1:40" x14ac:dyDescent="0.2">
      <c r="C6" s="362">
        <v>324</v>
      </c>
      <c r="D6" s="362">
        <v>324</v>
      </c>
      <c r="E6" s="362">
        <v>324</v>
      </c>
      <c r="F6" s="362">
        <v>324</v>
      </c>
      <c r="G6" s="362">
        <v>324</v>
      </c>
      <c r="H6" s="362">
        <v>324</v>
      </c>
      <c r="I6" s="362">
        <v>324</v>
      </c>
      <c r="J6" s="362">
        <v>324</v>
      </c>
      <c r="K6" s="362">
        <v>324</v>
      </c>
      <c r="L6" s="362">
        <v>324</v>
      </c>
      <c r="M6" s="362">
        <v>324</v>
      </c>
      <c r="N6" s="362">
        <v>324</v>
      </c>
      <c r="O6" s="362">
        <v>324</v>
      </c>
      <c r="P6" s="362">
        <v>324</v>
      </c>
      <c r="Q6" s="362">
        <v>324</v>
      </c>
      <c r="R6" s="362">
        <v>324</v>
      </c>
      <c r="S6" s="362">
        <v>324</v>
      </c>
      <c r="T6" s="362">
        <v>324</v>
      </c>
      <c r="U6" s="362">
        <v>324</v>
      </c>
      <c r="V6" s="362">
        <v>324</v>
      </c>
      <c r="W6" s="362">
        <v>324</v>
      </c>
      <c r="X6" s="362">
        <v>324</v>
      </c>
      <c r="Y6" s="362">
        <v>324</v>
      </c>
      <c r="Z6" s="362">
        <v>324</v>
      </c>
      <c r="AA6" s="362">
        <v>324</v>
      </c>
      <c r="AB6" s="362">
        <v>324</v>
      </c>
      <c r="AC6" s="362">
        <v>324</v>
      </c>
      <c r="AD6" s="362">
        <v>324</v>
      </c>
      <c r="AE6" s="362">
        <v>324</v>
      </c>
      <c r="AK6" s="362">
        <f>SUM(B6:AJ6)</f>
        <v>9396</v>
      </c>
      <c r="AL6" s="362">
        <v>4.5</v>
      </c>
      <c r="AM6" s="362">
        <f>AK6*AL6</f>
        <v>42282</v>
      </c>
      <c r="AN6" s="379">
        <f>SUM(AM5:AM6)</f>
        <v>71442</v>
      </c>
    </row>
    <row r="7" spans="1:40" x14ac:dyDescent="0.2">
      <c r="AJ7" s="390" t="s">
        <v>460</v>
      </c>
      <c r="AK7" s="363">
        <f>SUM(AK5:AK6)</f>
        <v>15876</v>
      </c>
      <c r="AL7" s="362">
        <v>4.5</v>
      </c>
      <c r="AM7" s="380">
        <f>AK7*AL7</f>
        <v>71442</v>
      </c>
    </row>
    <row r="8" spans="1:40" x14ac:dyDescent="0.2">
      <c r="A8" s="368" t="s">
        <v>27</v>
      </c>
      <c r="B8" s="364">
        <v>42370</v>
      </c>
      <c r="C8" s="364">
        <v>42371</v>
      </c>
      <c r="D8" s="364">
        <v>42372</v>
      </c>
      <c r="E8" s="364">
        <v>42373</v>
      </c>
      <c r="F8" s="364">
        <v>42374</v>
      </c>
      <c r="G8" s="364">
        <v>42375</v>
      </c>
      <c r="H8" s="364">
        <v>42376</v>
      </c>
      <c r="I8" s="364">
        <v>42377</v>
      </c>
      <c r="J8" s="364">
        <v>42378</v>
      </c>
      <c r="K8" s="364">
        <v>42379</v>
      </c>
      <c r="L8" s="364">
        <v>42380</v>
      </c>
      <c r="M8" s="364">
        <v>42381</v>
      </c>
      <c r="N8" s="364">
        <v>42382</v>
      </c>
      <c r="O8" s="364">
        <v>42383</v>
      </c>
      <c r="P8" s="364">
        <v>42384</v>
      </c>
      <c r="Q8" s="364">
        <v>42385</v>
      </c>
      <c r="R8" s="364">
        <v>42386</v>
      </c>
      <c r="S8" s="364">
        <v>42387</v>
      </c>
      <c r="T8" s="364">
        <v>42388</v>
      </c>
      <c r="U8" s="364">
        <v>42389</v>
      </c>
      <c r="V8" s="364">
        <v>42390</v>
      </c>
      <c r="W8" s="364">
        <v>42391</v>
      </c>
      <c r="X8" s="364">
        <v>42392</v>
      </c>
      <c r="Y8" s="364">
        <v>42393</v>
      </c>
      <c r="Z8" s="364">
        <v>42394</v>
      </c>
      <c r="AA8" s="364">
        <v>42395</v>
      </c>
      <c r="AB8" s="364">
        <v>42396</v>
      </c>
      <c r="AC8" s="364">
        <v>42397</v>
      </c>
      <c r="AD8" s="364">
        <v>42398</v>
      </c>
      <c r="AE8" s="364">
        <v>42399</v>
      </c>
      <c r="AF8" s="364">
        <v>42400</v>
      </c>
      <c r="AG8" s="364"/>
      <c r="AH8" s="364"/>
      <c r="AI8" s="364"/>
    </row>
    <row r="10" spans="1:40" x14ac:dyDescent="0.2">
      <c r="B10" s="362">
        <v>216</v>
      </c>
      <c r="C10" s="362">
        <v>216</v>
      </c>
      <c r="D10" s="362">
        <v>216</v>
      </c>
      <c r="E10" s="362">
        <v>216</v>
      </c>
      <c r="F10" s="362">
        <v>216</v>
      </c>
      <c r="G10" s="362">
        <v>216</v>
      </c>
      <c r="H10" s="362">
        <v>216</v>
      </c>
      <c r="I10" s="362">
        <v>216</v>
      </c>
      <c r="J10" s="362">
        <v>216</v>
      </c>
      <c r="K10" s="362">
        <v>216</v>
      </c>
      <c r="L10" s="362">
        <v>216</v>
      </c>
      <c r="M10" s="362">
        <v>216</v>
      </c>
      <c r="N10" s="362">
        <v>216</v>
      </c>
      <c r="O10" s="362">
        <v>216</v>
      </c>
      <c r="P10" s="362">
        <v>216</v>
      </c>
      <c r="Q10" s="362">
        <v>216</v>
      </c>
      <c r="R10" s="362">
        <v>216</v>
      </c>
      <c r="S10" s="362">
        <v>216</v>
      </c>
      <c r="T10" s="362">
        <v>216</v>
      </c>
      <c r="U10" s="362">
        <v>216</v>
      </c>
      <c r="V10" s="362">
        <v>216</v>
      </c>
      <c r="W10" s="362">
        <v>216</v>
      </c>
      <c r="X10" s="362">
        <v>216</v>
      </c>
      <c r="Y10" s="362">
        <v>216</v>
      </c>
      <c r="Z10" s="362">
        <v>216</v>
      </c>
      <c r="AA10" s="362">
        <v>216</v>
      </c>
      <c r="AB10" s="362">
        <v>216</v>
      </c>
      <c r="AC10" s="362">
        <v>216</v>
      </c>
      <c r="AD10" s="362">
        <v>216</v>
      </c>
      <c r="AE10" s="362">
        <v>216</v>
      </c>
      <c r="AF10" s="362">
        <v>216</v>
      </c>
      <c r="AK10" s="362">
        <f>SUM(A10:AJ10)</f>
        <v>6696</v>
      </c>
      <c r="AL10" s="362">
        <v>4.5</v>
      </c>
      <c r="AM10" s="362">
        <f>AK10*AL10</f>
        <v>30132</v>
      </c>
    </row>
    <row r="11" spans="1:40" x14ac:dyDescent="0.2">
      <c r="B11" s="362">
        <v>324</v>
      </c>
      <c r="C11" s="362">
        <v>324</v>
      </c>
      <c r="D11" s="362">
        <v>324</v>
      </c>
      <c r="E11" s="362">
        <v>324</v>
      </c>
      <c r="F11" s="362">
        <v>324</v>
      </c>
      <c r="G11" s="362">
        <v>324</v>
      </c>
      <c r="H11" s="362">
        <v>324</v>
      </c>
      <c r="I11" s="362">
        <v>324</v>
      </c>
      <c r="J11" s="362">
        <v>324</v>
      </c>
      <c r="K11" s="362">
        <v>324</v>
      </c>
      <c r="L11" s="362">
        <v>324</v>
      </c>
      <c r="M11" s="362">
        <v>324</v>
      </c>
      <c r="N11" s="362">
        <v>324</v>
      </c>
      <c r="O11" s="362">
        <v>324</v>
      </c>
      <c r="P11" s="362">
        <v>324</v>
      </c>
      <c r="Q11" s="362">
        <v>324</v>
      </c>
      <c r="R11" s="362">
        <v>324</v>
      </c>
      <c r="S11" s="362">
        <v>324</v>
      </c>
      <c r="T11" s="362">
        <v>324</v>
      </c>
      <c r="U11" s="362">
        <v>324</v>
      </c>
      <c r="V11" s="362">
        <v>324</v>
      </c>
      <c r="W11" s="362">
        <v>324</v>
      </c>
      <c r="X11" s="362">
        <v>324</v>
      </c>
      <c r="Y11" s="362">
        <v>324</v>
      </c>
      <c r="Z11" s="362">
        <v>324</v>
      </c>
      <c r="AA11" s="362">
        <v>324</v>
      </c>
      <c r="AB11" s="362">
        <v>324</v>
      </c>
      <c r="AC11" s="362">
        <v>324</v>
      </c>
      <c r="AD11" s="362">
        <v>324</v>
      </c>
      <c r="AE11" s="362">
        <v>324</v>
      </c>
      <c r="AF11" s="362">
        <v>324</v>
      </c>
      <c r="AK11" s="362">
        <f>SUM(A11:AJ11)</f>
        <v>10044</v>
      </c>
      <c r="AL11" s="362">
        <v>4.5</v>
      </c>
      <c r="AM11" s="362">
        <f>AK11*AL11</f>
        <v>45198</v>
      </c>
      <c r="AN11" s="379">
        <f>SUM(AM10:AM11)</f>
        <v>75330</v>
      </c>
    </row>
    <row r="13" spans="1:40" x14ac:dyDescent="0.2">
      <c r="B13" s="364">
        <v>42401</v>
      </c>
      <c r="C13" s="364">
        <v>42402</v>
      </c>
      <c r="D13" s="364">
        <v>42403</v>
      </c>
      <c r="E13" s="364">
        <v>42404</v>
      </c>
      <c r="F13" s="364">
        <v>42405</v>
      </c>
      <c r="G13" s="364">
        <v>42406</v>
      </c>
      <c r="AJ13" s="390" t="s">
        <v>461</v>
      </c>
      <c r="AK13" s="363">
        <f>SUM(AK10:AK12)</f>
        <v>16740</v>
      </c>
      <c r="AL13" s="362">
        <v>4.5</v>
      </c>
      <c r="AM13" s="380">
        <f>AK13*AL13</f>
        <v>75330</v>
      </c>
    </row>
    <row r="15" spans="1:40" x14ac:dyDescent="0.2">
      <c r="B15" s="362">
        <v>216</v>
      </c>
      <c r="C15" s="362">
        <v>216</v>
      </c>
      <c r="D15" s="362">
        <v>216</v>
      </c>
      <c r="E15" s="362">
        <v>216</v>
      </c>
      <c r="F15" s="362">
        <v>216</v>
      </c>
      <c r="AK15" s="362">
        <f>SUM(A15:AJ15)</f>
        <v>1080</v>
      </c>
      <c r="AL15" s="362">
        <v>4.5</v>
      </c>
      <c r="AM15" s="362">
        <f>AK15*AL15</f>
        <v>4860</v>
      </c>
    </row>
    <row r="16" spans="1:40" x14ac:dyDescent="0.2">
      <c r="B16" s="362">
        <v>324</v>
      </c>
      <c r="C16" s="362">
        <v>324</v>
      </c>
      <c r="D16" s="362">
        <v>324</v>
      </c>
      <c r="E16" s="362">
        <v>324</v>
      </c>
      <c r="F16" s="362">
        <v>324</v>
      </c>
      <c r="AK16" s="362">
        <f>SUM(A16:AJ16)</f>
        <v>1620</v>
      </c>
      <c r="AL16" s="362">
        <v>4.5</v>
      </c>
      <c r="AM16" s="362">
        <f>AK16*AL16</f>
        <v>7290</v>
      </c>
      <c r="AN16" s="379">
        <f>SUM(AM15:AM16)</f>
        <v>12150</v>
      </c>
    </row>
    <row r="18" spans="1:39" x14ac:dyDescent="0.2">
      <c r="AJ18" s="395" t="s">
        <v>558</v>
      </c>
      <c r="AK18" s="363">
        <f>SUM(AK15:AK17)</f>
        <v>2700</v>
      </c>
      <c r="AL18" s="362">
        <v>4.5</v>
      </c>
      <c r="AM18" s="380">
        <f>AK18*AL18</f>
        <v>12150</v>
      </c>
    </row>
    <row r="22" spans="1:39" x14ac:dyDescent="0.2">
      <c r="AJ22" s="390"/>
      <c r="AK22" s="363"/>
    </row>
    <row r="23" spans="1:39" x14ac:dyDescent="0.2">
      <c r="AG23" s="442" t="s">
        <v>844</v>
      </c>
      <c r="AJ23" s="396" t="s">
        <v>559</v>
      </c>
      <c r="AK23" s="363">
        <f>AK13+AK7+AK18</f>
        <v>35316</v>
      </c>
      <c r="AL23" s="362">
        <v>4.5</v>
      </c>
      <c r="AM23" s="380">
        <f>AK23*AL23</f>
        <v>158922</v>
      </c>
    </row>
    <row r="24" spans="1:39" x14ac:dyDescent="0.2">
      <c r="AK24" s="387"/>
    </row>
    <row r="25" spans="1:39" x14ac:dyDescent="0.2">
      <c r="AI25" s="390" t="s">
        <v>463</v>
      </c>
      <c r="AJ25" s="395" t="s">
        <v>560</v>
      </c>
      <c r="AK25" s="362">
        <f>SUM(B15:R15)</f>
        <v>1080</v>
      </c>
    </row>
    <row r="26" spans="1:39" x14ac:dyDescent="0.2">
      <c r="AK26" s="362">
        <f>SUM(B16:R16)</f>
        <v>1620</v>
      </c>
    </row>
    <row r="27" spans="1:39" x14ac:dyDescent="0.2">
      <c r="AK27" s="363">
        <f>SUM(AK25:AK26)</f>
        <v>2700</v>
      </c>
      <c r="AL27" s="362">
        <v>4.5</v>
      </c>
      <c r="AM27" s="380">
        <f>AK27*AL27</f>
        <v>12150</v>
      </c>
    </row>
    <row r="31" spans="1:39" x14ac:dyDescent="0.2">
      <c r="A31" s="363" t="s">
        <v>877</v>
      </c>
    </row>
    <row r="32" spans="1:39" x14ac:dyDescent="0.2">
      <c r="B32" s="364">
        <v>42431</v>
      </c>
      <c r="C32" s="364">
        <v>42432</v>
      </c>
      <c r="D32" s="364">
        <v>42433</v>
      </c>
      <c r="E32" s="364">
        <v>42434</v>
      </c>
      <c r="F32" s="364">
        <v>42435</v>
      </c>
      <c r="G32" s="364">
        <v>42436</v>
      </c>
      <c r="H32" s="364">
        <v>42437</v>
      </c>
      <c r="I32" s="364">
        <v>42438</v>
      </c>
      <c r="J32" s="364">
        <v>42439</v>
      </c>
      <c r="K32" s="364">
        <v>42440</v>
      </c>
      <c r="L32" s="364">
        <v>42441</v>
      </c>
      <c r="M32" s="364">
        <v>42442</v>
      </c>
      <c r="N32" s="364">
        <v>42443</v>
      </c>
      <c r="O32" s="364">
        <v>42444</v>
      </c>
      <c r="P32" s="364">
        <v>42445</v>
      </c>
      <c r="Q32" s="364">
        <v>42446</v>
      </c>
      <c r="R32" s="364">
        <v>42447</v>
      </c>
      <c r="S32" s="364">
        <v>42448</v>
      </c>
      <c r="T32" s="364">
        <v>42449</v>
      </c>
      <c r="U32" s="364">
        <v>42450</v>
      </c>
      <c r="V32" s="364">
        <v>42451</v>
      </c>
      <c r="W32" s="364">
        <v>42452</v>
      </c>
      <c r="X32" s="364">
        <v>42453</v>
      </c>
      <c r="Y32" s="364">
        <v>42454</v>
      </c>
      <c r="Z32" s="364">
        <v>42455</v>
      </c>
      <c r="AA32" s="364">
        <v>42456</v>
      </c>
      <c r="AB32" s="364">
        <v>42457</v>
      </c>
      <c r="AC32" s="364">
        <v>42458</v>
      </c>
      <c r="AD32" s="364">
        <v>42459</v>
      </c>
      <c r="AE32" s="364">
        <v>42460</v>
      </c>
      <c r="AF32" s="364">
        <v>42461</v>
      </c>
    </row>
    <row r="34" spans="1:34" x14ac:dyDescent="0.2">
      <c r="B34" s="362">
        <v>40</v>
      </c>
      <c r="C34" s="362">
        <v>40</v>
      </c>
      <c r="D34" s="362">
        <v>40</v>
      </c>
      <c r="E34" s="362">
        <v>40</v>
      </c>
      <c r="F34" s="362">
        <v>40</v>
      </c>
      <c r="G34" s="362">
        <v>40</v>
      </c>
      <c r="H34" s="362">
        <v>40</v>
      </c>
      <c r="I34" s="362">
        <v>40</v>
      </c>
      <c r="J34" s="362">
        <v>40</v>
      </c>
      <c r="K34" s="362">
        <v>40</v>
      </c>
      <c r="L34" s="362">
        <v>40</v>
      </c>
      <c r="M34" s="362">
        <v>40</v>
      </c>
      <c r="N34" s="362">
        <v>40</v>
      </c>
      <c r="O34" s="362">
        <v>40</v>
      </c>
      <c r="P34" s="362">
        <v>40</v>
      </c>
      <c r="Q34" s="362">
        <v>40</v>
      </c>
      <c r="R34" s="362">
        <v>40</v>
      </c>
      <c r="S34" s="362">
        <v>40</v>
      </c>
      <c r="T34" s="362">
        <v>40</v>
      </c>
      <c r="U34" s="362">
        <v>40</v>
      </c>
      <c r="V34" s="362">
        <v>40</v>
      </c>
      <c r="W34" s="362">
        <v>40</v>
      </c>
      <c r="X34" s="362">
        <v>40</v>
      </c>
      <c r="Y34" s="362">
        <v>40</v>
      </c>
      <c r="Z34" s="362">
        <v>40</v>
      </c>
      <c r="AA34" s="362">
        <v>40</v>
      </c>
      <c r="AB34" s="362">
        <v>40</v>
      </c>
      <c r="AC34" s="362">
        <v>40</v>
      </c>
      <c r="AD34" s="362">
        <v>40</v>
      </c>
      <c r="AE34" s="362">
        <v>40</v>
      </c>
      <c r="AF34" s="362">
        <v>40</v>
      </c>
      <c r="AH34" s="362">
        <f>SUM(B34:AG34)</f>
        <v>1240</v>
      </c>
    </row>
    <row r="35" spans="1:34" x14ac:dyDescent="0.2">
      <c r="C35" s="362">
        <v>30</v>
      </c>
      <c r="D35" s="362">
        <v>30</v>
      </c>
      <c r="E35" s="362">
        <v>30</v>
      </c>
      <c r="F35" s="362">
        <v>30</v>
      </c>
      <c r="G35" s="362">
        <v>30</v>
      </c>
      <c r="H35" s="362">
        <v>30</v>
      </c>
      <c r="I35" s="362">
        <v>30</v>
      </c>
      <c r="J35" s="362">
        <v>30</v>
      </c>
      <c r="K35" s="362">
        <v>30</v>
      </c>
      <c r="L35" s="362">
        <v>30</v>
      </c>
      <c r="M35" s="362">
        <v>30</v>
      </c>
      <c r="N35" s="362">
        <v>30</v>
      </c>
      <c r="O35" s="362">
        <v>30</v>
      </c>
      <c r="P35" s="362">
        <v>30</v>
      </c>
      <c r="Q35" s="362">
        <v>30</v>
      </c>
      <c r="R35" s="362">
        <v>30</v>
      </c>
      <c r="S35" s="362">
        <v>30</v>
      </c>
      <c r="T35" s="362">
        <v>30</v>
      </c>
      <c r="U35" s="362">
        <v>30</v>
      </c>
      <c r="V35" s="362">
        <v>30</v>
      </c>
      <c r="W35" s="362">
        <v>30</v>
      </c>
      <c r="X35" s="362">
        <v>30</v>
      </c>
      <c r="Y35" s="362">
        <v>30</v>
      </c>
      <c r="Z35" s="362">
        <v>30</v>
      </c>
      <c r="AA35" s="362">
        <v>30</v>
      </c>
      <c r="AB35" s="362">
        <v>30</v>
      </c>
      <c r="AC35" s="362">
        <v>30</v>
      </c>
      <c r="AD35" s="362">
        <v>30</v>
      </c>
      <c r="AE35" s="362">
        <v>30</v>
      </c>
      <c r="AF35" s="362">
        <v>30</v>
      </c>
      <c r="AH35" s="362">
        <f>SUM(B35:AG35)</f>
        <v>900</v>
      </c>
    </row>
    <row r="36" spans="1:34" x14ac:dyDescent="0.2">
      <c r="AG36" s="442"/>
      <c r="AH36" s="363"/>
    </row>
    <row r="37" spans="1:34" x14ac:dyDescent="0.2">
      <c r="A37" s="363" t="s">
        <v>877</v>
      </c>
    </row>
    <row r="38" spans="1:34" x14ac:dyDescent="0.2">
      <c r="B38" s="364">
        <v>42462</v>
      </c>
      <c r="C38" s="364">
        <v>42463</v>
      </c>
      <c r="D38" s="364">
        <v>42464</v>
      </c>
      <c r="E38" s="364">
        <v>42465</v>
      </c>
      <c r="F38" s="364">
        <v>42466</v>
      </c>
      <c r="G38" s="364">
        <v>42467</v>
      </c>
      <c r="H38" s="364">
        <v>42468</v>
      </c>
      <c r="I38" s="364">
        <v>42469</v>
      </c>
      <c r="J38" s="364">
        <v>42470</v>
      </c>
      <c r="K38" s="364">
        <v>42471</v>
      </c>
      <c r="L38" s="364">
        <v>42472</v>
      </c>
      <c r="M38" s="364">
        <v>42473</v>
      </c>
      <c r="N38" s="364">
        <v>42474</v>
      </c>
      <c r="O38" s="364">
        <v>42475</v>
      </c>
      <c r="P38" s="364">
        <v>42476</v>
      </c>
      <c r="Q38" s="364">
        <v>42477</v>
      </c>
      <c r="R38" s="364">
        <v>42478</v>
      </c>
      <c r="S38" s="364">
        <v>42479</v>
      </c>
      <c r="T38" s="364">
        <v>42480</v>
      </c>
      <c r="U38" s="364">
        <v>42481</v>
      </c>
      <c r="V38" s="364">
        <v>42482</v>
      </c>
      <c r="W38" s="364">
        <v>42483</v>
      </c>
      <c r="X38" s="364">
        <v>42484</v>
      </c>
      <c r="Y38" s="364">
        <v>42485</v>
      </c>
      <c r="Z38" s="364">
        <v>42486</v>
      </c>
      <c r="AA38" s="364">
        <v>42487</v>
      </c>
      <c r="AB38" s="364">
        <v>42488</v>
      </c>
      <c r="AC38" s="364">
        <v>42489</v>
      </c>
      <c r="AD38" s="364">
        <v>42490</v>
      </c>
      <c r="AE38" s="364">
        <v>42491</v>
      </c>
      <c r="AF38" s="364">
        <v>42492</v>
      </c>
    </row>
    <row r="40" spans="1:34" x14ac:dyDescent="0.2">
      <c r="B40" s="362">
        <v>40</v>
      </c>
      <c r="C40" s="362">
        <v>40</v>
      </c>
      <c r="AH40" s="362">
        <f>SUM(B40:AG40)</f>
        <v>80</v>
      </c>
    </row>
    <row r="41" spans="1:34" x14ac:dyDescent="0.2">
      <c r="B41" s="362">
        <v>30</v>
      </c>
      <c r="C41" s="362">
        <v>30</v>
      </c>
      <c r="AH41" s="362">
        <f>SUM(B41:AG41)</f>
        <v>60</v>
      </c>
    </row>
    <row r="42" spans="1:34" x14ac:dyDescent="0.2">
      <c r="AG42" s="445" t="s">
        <v>878</v>
      </c>
      <c r="AH42" s="362">
        <f>AH34+AH35</f>
        <v>2140</v>
      </c>
    </row>
    <row r="43" spans="1:34" x14ac:dyDescent="0.2">
      <c r="AG43" s="363" t="s">
        <v>18</v>
      </c>
      <c r="AH43" s="446">
        <f>SUM(AH40:AH42)</f>
        <v>2280</v>
      </c>
    </row>
    <row r="45" spans="1:34" x14ac:dyDescent="0.2">
      <c r="A45" s="446" t="s">
        <v>853</v>
      </c>
      <c r="B45" s="447"/>
      <c r="C45" s="447"/>
    </row>
    <row r="46" spans="1:34" x14ac:dyDescent="0.2">
      <c r="B46" s="364">
        <v>42445</v>
      </c>
      <c r="C46" s="364">
        <v>42446</v>
      </c>
      <c r="D46" s="364">
        <v>42447</v>
      </c>
      <c r="E46" s="364">
        <v>42448</v>
      </c>
      <c r="F46" s="364">
        <v>42449</v>
      </c>
      <c r="G46" s="364">
        <v>42450</v>
      </c>
      <c r="H46" s="364">
        <v>42451</v>
      </c>
      <c r="I46" s="364">
        <v>42452</v>
      </c>
      <c r="J46" s="364">
        <v>42453</v>
      </c>
      <c r="K46" s="364">
        <v>42454</v>
      </c>
      <c r="L46" s="364">
        <v>42455</v>
      </c>
      <c r="M46" s="364">
        <v>42456</v>
      </c>
      <c r="N46" s="364">
        <v>42457</v>
      </c>
      <c r="O46" s="364">
        <v>42458</v>
      </c>
      <c r="P46" s="364">
        <v>42459</v>
      </c>
      <c r="Q46" s="364">
        <v>42460</v>
      </c>
      <c r="R46" s="364">
        <v>42461</v>
      </c>
      <c r="S46" s="364">
        <v>42462</v>
      </c>
      <c r="T46" s="364">
        <v>42463</v>
      </c>
      <c r="U46" s="364">
        <v>42464</v>
      </c>
      <c r="V46" s="364">
        <v>42465</v>
      </c>
      <c r="W46" s="364">
        <v>42466</v>
      </c>
      <c r="X46" s="364">
        <v>42467</v>
      </c>
      <c r="Y46" s="364">
        <v>42468</v>
      </c>
      <c r="Z46" s="364">
        <v>42469</v>
      </c>
      <c r="AA46" s="364">
        <v>42470</v>
      </c>
      <c r="AB46" s="364">
        <v>42471</v>
      </c>
      <c r="AC46" s="364">
        <v>42472</v>
      </c>
      <c r="AD46" s="364">
        <v>42473</v>
      </c>
      <c r="AE46" s="364">
        <v>42474</v>
      </c>
      <c r="AF46" s="364">
        <v>42475</v>
      </c>
    </row>
    <row r="47" spans="1:34" x14ac:dyDescent="0.2">
      <c r="R47" s="447"/>
      <c r="S47" s="447"/>
      <c r="T47" s="447"/>
    </row>
    <row r="48" spans="1:34" x14ac:dyDescent="0.2">
      <c r="B48" s="362">
        <v>75</v>
      </c>
      <c r="C48" s="362">
        <v>75</v>
      </c>
      <c r="D48" s="362">
        <v>75</v>
      </c>
      <c r="E48" s="362">
        <v>75</v>
      </c>
      <c r="F48" s="362">
        <v>75</v>
      </c>
      <c r="G48" s="362">
        <v>75</v>
      </c>
      <c r="H48" s="362">
        <v>75</v>
      </c>
      <c r="I48" s="362">
        <v>75</v>
      </c>
      <c r="J48" s="362">
        <v>75</v>
      </c>
      <c r="K48" s="362">
        <v>75</v>
      </c>
      <c r="L48" s="362">
        <v>75</v>
      </c>
      <c r="M48" s="362">
        <v>75</v>
      </c>
      <c r="N48" s="362">
        <v>75</v>
      </c>
      <c r="O48" s="362">
        <v>75</v>
      </c>
      <c r="P48" s="362">
        <v>75</v>
      </c>
      <c r="Q48" s="362">
        <v>75</v>
      </c>
      <c r="R48" s="362">
        <v>75</v>
      </c>
      <c r="S48" s="362">
        <v>75</v>
      </c>
      <c r="T48" s="362">
        <v>75</v>
      </c>
      <c r="U48" s="362">
        <v>75</v>
      </c>
      <c r="V48" s="362">
        <v>75</v>
      </c>
      <c r="W48" s="362">
        <v>75</v>
      </c>
      <c r="X48" s="362">
        <v>75</v>
      </c>
      <c r="Y48" s="362">
        <v>75</v>
      </c>
      <c r="Z48" s="362">
        <v>75</v>
      </c>
      <c r="AA48" s="362">
        <v>75</v>
      </c>
      <c r="AB48" s="362">
        <v>75</v>
      </c>
      <c r="AC48" s="362">
        <v>75</v>
      </c>
      <c r="AD48" s="362">
        <v>75</v>
      </c>
      <c r="AE48" s="362">
        <v>75</v>
      </c>
      <c r="AF48" s="362">
        <v>75</v>
      </c>
      <c r="AH48" s="362">
        <f>SUM(R48:AG48)</f>
        <v>1125</v>
      </c>
    </row>
    <row r="49" spans="1:36" x14ac:dyDescent="0.2">
      <c r="C49" s="362">
        <v>10</v>
      </c>
      <c r="D49" s="362">
        <v>10</v>
      </c>
      <c r="E49" s="362">
        <v>10</v>
      </c>
      <c r="F49" s="362">
        <v>10</v>
      </c>
      <c r="G49" s="362">
        <v>10</v>
      </c>
      <c r="H49" s="362">
        <v>10</v>
      </c>
      <c r="I49" s="362">
        <v>10</v>
      </c>
      <c r="J49" s="362">
        <v>10</v>
      </c>
      <c r="K49" s="362">
        <v>10</v>
      </c>
      <c r="L49" s="362">
        <v>10</v>
      </c>
      <c r="M49" s="362">
        <v>10</v>
      </c>
      <c r="N49" s="362">
        <v>10</v>
      </c>
      <c r="O49" s="362">
        <v>10</v>
      </c>
      <c r="P49" s="362">
        <v>10</v>
      </c>
      <c r="Q49" s="362">
        <v>10</v>
      </c>
      <c r="R49" s="362">
        <v>10</v>
      </c>
      <c r="S49" s="362">
        <v>10</v>
      </c>
      <c r="T49" s="362">
        <v>10</v>
      </c>
      <c r="U49" s="362">
        <v>10</v>
      </c>
      <c r="V49" s="362">
        <v>10</v>
      </c>
      <c r="W49" s="362">
        <v>10</v>
      </c>
      <c r="X49" s="362">
        <v>10</v>
      </c>
      <c r="Y49" s="362">
        <v>10</v>
      </c>
      <c r="Z49" s="362">
        <v>10</v>
      </c>
      <c r="AA49" s="362">
        <v>10</v>
      </c>
      <c r="AB49" s="362">
        <v>10</v>
      </c>
      <c r="AC49" s="362">
        <v>10</v>
      </c>
      <c r="AD49" s="362">
        <v>10</v>
      </c>
      <c r="AE49" s="362">
        <v>10</v>
      </c>
      <c r="AF49" s="362">
        <v>10</v>
      </c>
      <c r="AH49" s="362">
        <f>SUM(R49:AG49)</f>
        <v>150</v>
      </c>
    </row>
    <row r="50" spans="1:36" x14ac:dyDescent="0.2">
      <c r="AG50" s="442" t="s">
        <v>18</v>
      </c>
      <c r="AH50" s="446">
        <f>SUM(AH48:AH49)</f>
        <v>1275</v>
      </c>
      <c r="AI50" s="362">
        <v>4.5</v>
      </c>
      <c r="AJ50" s="362">
        <f>AH50*AI50</f>
        <v>5737.5</v>
      </c>
    </row>
    <row r="52" spans="1:36" x14ac:dyDescent="0.2">
      <c r="A52" s="363" t="s">
        <v>888</v>
      </c>
    </row>
    <row r="53" spans="1:36" x14ac:dyDescent="0.2">
      <c r="B53" s="364">
        <v>42440</v>
      </c>
      <c r="C53" s="364">
        <v>42441</v>
      </c>
      <c r="D53" s="364">
        <v>42442</v>
      </c>
      <c r="E53" s="364">
        <v>42443</v>
      </c>
      <c r="F53" s="364">
        <v>42444</v>
      </c>
      <c r="G53" s="364">
        <v>42445</v>
      </c>
      <c r="H53" s="364">
        <v>42446</v>
      </c>
      <c r="I53" s="364">
        <v>42447</v>
      </c>
      <c r="J53" s="364">
        <v>42448</v>
      </c>
      <c r="K53" s="364">
        <v>42449</v>
      </c>
      <c r="L53" s="364">
        <v>42450</v>
      </c>
      <c r="M53" s="364">
        <v>42451</v>
      </c>
      <c r="N53" s="364">
        <v>42452</v>
      </c>
      <c r="O53" s="364">
        <v>42453</v>
      </c>
      <c r="P53" s="364">
        <v>42454</v>
      </c>
      <c r="Q53" s="364">
        <v>42455</v>
      </c>
      <c r="R53" s="364">
        <v>42456</v>
      </c>
      <c r="S53" s="364">
        <v>42457</v>
      </c>
      <c r="T53" s="364">
        <v>42458</v>
      </c>
      <c r="U53" s="364">
        <v>42459</v>
      </c>
      <c r="V53" s="364">
        <v>42460</v>
      </c>
      <c r="W53" s="364">
        <v>42461</v>
      </c>
      <c r="X53" s="364">
        <v>42462</v>
      </c>
      <c r="Y53" s="364">
        <v>42463</v>
      </c>
      <c r="Z53" s="364">
        <v>42464</v>
      </c>
      <c r="AA53" s="364">
        <v>42465</v>
      </c>
      <c r="AB53" s="364">
        <v>42466</v>
      </c>
      <c r="AC53" s="364">
        <v>42467</v>
      </c>
      <c r="AD53" s="364">
        <v>42468</v>
      </c>
      <c r="AE53" s="364">
        <v>42469</v>
      </c>
      <c r="AF53" s="364">
        <v>42470</v>
      </c>
    </row>
    <row r="55" spans="1:36" x14ac:dyDescent="0.2">
      <c r="B55" s="362">
        <v>12</v>
      </c>
      <c r="C55" s="362">
        <v>12</v>
      </c>
      <c r="D55" s="362">
        <v>12</v>
      </c>
      <c r="E55" s="362">
        <v>12</v>
      </c>
      <c r="AH55" s="362">
        <f>SUM(B55:AG55)</f>
        <v>48</v>
      </c>
    </row>
    <row r="56" spans="1:36" x14ac:dyDescent="0.2">
      <c r="AH56" s="362">
        <f>SUM(B56:AG56)</f>
        <v>0</v>
      </c>
    </row>
    <row r="57" spans="1:36" x14ac:dyDescent="0.2">
      <c r="AG57" s="442" t="s">
        <v>18</v>
      </c>
      <c r="AH57" s="446">
        <f>SUM(AH55:AH56)</f>
        <v>48</v>
      </c>
    </row>
    <row r="60" spans="1:36" x14ac:dyDescent="0.2">
      <c r="AF60" s="447"/>
      <c r="AG60" s="448" t="s">
        <v>879</v>
      </c>
      <c r="AH60" s="446">
        <f>AH50+AH43+AH57</f>
        <v>3603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8"/>
  <sheetViews>
    <sheetView topLeftCell="A2" workbookViewId="0">
      <selection activeCell="D12" sqref="D12"/>
    </sheetView>
  </sheetViews>
  <sheetFormatPr baseColWidth="10" defaultRowHeight="15" x14ac:dyDescent="0.2"/>
  <cols>
    <col min="2" max="2" width="21.83203125" customWidth="1"/>
    <col min="3" max="3" width="76" customWidth="1"/>
    <col min="4" max="4" width="23.33203125" customWidth="1"/>
  </cols>
  <sheetData>
    <row r="1" spans="1:5" x14ac:dyDescent="0.2">
      <c r="A1" s="5" t="str">
        <f>Summary!G11</f>
        <v>PIPELINE PROJECT</v>
      </c>
    </row>
    <row r="3" spans="1:5" ht="17" x14ac:dyDescent="0.2">
      <c r="A3" s="155" t="s">
        <v>63</v>
      </c>
    </row>
    <row r="5" spans="1:5" x14ac:dyDescent="0.2">
      <c r="A5" t="s">
        <v>64</v>
      </c>
      <c r="B5" t="s">
        <v>66</v>
      </c>
      <c r="C5" t="s">
        <v>65</v>
      </c>
      <c r="D5" t="s">
        <v>68</v>
      </c>
    </row>
    <row r="7" spans="1:5" x14ac:dyDescent="0.2">
      <c r="A7" s="154">
        <v>42311</v>
      </c>
      <c r="B7" t="s">
        <v>1154</v>
      </c>
      <c r="C7" t="s">
        <v>67</v>
      </c>
      <c r="D7" t="s">
        <v>1156</v>
      </c>
      <c r="E7" t="s">
        <v>1155</v>
      </c>
    </row>
    <row r="8" spans="1:5" x14ac:dyDescent="0.2">
      <c r="A8" s="154">
        <v>42312</v>
      </c>
      <c r="B8" t="s">
        <v>1154</v>
      </c>
      <c r="C8" t="s">
        <v>67</v>
      </c>
      <c r="D8" t="s">
        <v>1156</v>
      </c>
      <c r="E8" t="s">
        <v>1155</v>
      </c>
    </row>
  </sheetData>
  <phoneticPr fontId="26" type="noConversion"/>
  <pageMargins left="0.75" right="0.75" top="1" bottom="1" header="0.5" footer="0.5"/>
  <pageSetup scale="54" orientation="portrait" horizontalDpi="4294967292" verticalDpi="4294967292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76</vt:i4>
      </vt:variant>
      <vt:variant>
        <vt:lpstr>Named Ranges</vt:lpstr>
      </vt:variant>
      <vt:variant>
        <vt:i4>3</vt:i4>
      </vt:variant>
    </vt:vector>
  </HeadingPairs>
  <TitlesOfParts>
    <vt:vector size="79" baseType="lpstr">
      <vt:lpstr>Summary</vt:lpstr>
      <vt:lpstr>1.0 BaseLay</vt:lpstr>
      <vt:lpstr>2.1</vt:lpstr>
      <vt:lpstr>2.2</vt:lpstr>
      <vt:lpstr>2.3</vt:lpstr>
      <vt:lpstr>2.11</vt:lpstr>
      <vt:lpstr>2.14</vt:lpstr>
      <vt:lpstr>2.18</vt:lpstr>
      <vt:lpstr>2.22</vt:lpstr>
      <vt:lpstr>2.27</vt:lpstr>
      <vt:lpstr>2.29</vt:lpstr>
      <vt:lpstr>2.31</vt:lpstr>
      <vt:lpstr>2.35</vt:lpstr>
      <vt:lpstr>3.2.2-2A</vt:lpstr>
      <vt:lpstr>3.1.2-2A</vt:lpstr>
      <vt:lpstr>4.1</vt:lpstr>
      <vt:lpstr>RFI's</vt:lpstr>
      <vt:lpstr>SI Log</vt:lpstr>
      <vt:lpstr>CO Log</vt:lpstr>
      <vt:lpstr>CO001</vt:lpstr>
      <vt:lpstr>CO002</vt:lpstr>
      <vt:lpstr>CO003</vt:lpstr>
      <vt:lpstr>CO004</vt:lpstr>
      <vt:lpstr>CO005</vt:lpstr>
      <vt:lpstr>CO006</vt:lpstr>
      <vt:lpstr>CO007</vt:lpstr>
      <vt:lpstr>CO009</vt:lpstr>
      <vt:lpstr>CO010</vt:lpstr>
      <vt:lpstr>CO011</vt:lpstr>
      <vt:lpstr>CO012</vt:lpstr>
      <vt:lpstr>CO013</vt:lpstr>
      <vt:lpstr>CO014</vt:lpstr>
      <vt:lpstr>CO015</vt:lpstr>
      <vt:lpstr>CO016</vt:lpstr>
      <vt:lpstr>CO017</vt:lpstr>
      <vt:lpstr>CO018</vt:lpstr>
      <vt:lpstr>CO019</vt:lpstr>
      <vt:lpstr>CO020</vt:lpstr>
      <vt:lpstr>CO021</vt:lpstr>
      <vt:lpstr>CO022</vt:lpstr>
      <vt:lpstr>CO023</vt:lpstr>
      <vt:lpstr>CO024</vt:lpstr>
      <vt:lpstr>CO026UPI</vt:lpstr>
      <vt:lpstr>CO027</vt:lpstr>
      <vt:lpstr>CO028UPI</vt:lpstr>
      <vt:lpstr>CO029</vt:lpstr>
      <vt:lpstr>CO030</vt:lpstr>
      <vt:lpstr>CO031</vt:lpstr>
      <vt:lpstr>CO033</vt:lpstr>
      <vt:lpstr>CO034</vt:lpstr>
      <vt:lpstr>CO035UPI</vt:lpstr>
      <vt:lpstr>CO036UPI</vt:lpstr>
      <vt:lpstr>CO037</vt:lpstr>
      <vt:lpstr>CO038</vt:lpstr>
      <vt:lpstr>CO039</vt:lpstr>
      <vt:lpstr>CO040</vt:lpstr>
      <vt:lpstr>CO041</vt:lpstr>
      <vt:lpstr>CO042UPI</vt:lpstr>
      <vt:lpstr>CO043</vt:lpstr>
      <vt:lpstr>CO044</vt:lpstr>
      <vt:lpstr>CO045</vt:lpstr>
      <vt:lpstr>CO046UPI</vt:lpstr>
      <vt:lpstr>CO047</vt:lpstr>
      <vt:lpstr>CO048</vt:lpstr>
      <vt:lpstr>CO049UPIs</vt:lpstr>
      <vt:lpstr>CO050</vt:lpstr>
      <vt:lpstr>CO051</vt:lpstr>
      <vt:lpstr>CO052</vt:lpstr>
      <vt:lpstr>CO053</vt:lpstr>
      <vt:lpstr>CO054</vt:lpstr>
      <vt:lpstr>CO055</vt:lpstr>
      <vt:lpstr>CO056UPIs</vt:lpstr>
      <vt:lpstr>CO057</vt:lpstr>
      <vt:lpstr>CO058</vt:lpstr>
      <vt:lpstr>Mats</vt:lpstr>
      <vt:lpstr>Standby</vt:lpstr>
      <vt:lpstr>'CO Log'!Print_Area</vt:lpstr>
      <vt:lpstr>'SI Log'!Print_Area</vt:lpstr>
      <vt:lpstr>'RFI''s'!Print_Titles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Rick Judson</cp:lastModifiedBy>
  <cp:lastPrinted>2016-05-18T20:12:19Z</cp:lastPrinted>
  <dcterms:created xsi:type="dcterms:W3CDTF">2008-07-17T17:45:50Z</dcterms:created>
  <dcterms:modified xsi:type="dcterms:W3CDTF">2025-11-27T22:21:59Z</dcterms:modified>
</cp:coreProperties>
</file>