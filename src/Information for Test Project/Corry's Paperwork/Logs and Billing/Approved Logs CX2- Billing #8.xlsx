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rrinebarta/Documents/Pipeline/Redacted/"/>
    </mc:Choice>
  </mc:AlternateContent>
  <xr:revisionPtr revIDLastSave="0" documentId="8_{957437AA-B831-1847-B0B5-26C719A69779}" xr6:coauthVersionLast="47" xr6:coauthVersionMax="47" xr10:uidLastSave="{00000000-0000-0000-0000-000000000000}"/>
  <bookViews>
    <workbookView xWindow="0" yWindow="760" windowWidth="34560" windowHeight="19980" tabRatio="500" xr2:uid="{00000000-000D-0000-FFFF-FFFF00000000}"/>
  </bookViews>
  <sheets>
    <sheet name="CLX2" sheetId="1" r:id="rId1"/>
    <sheet name="CQ1" sheetId="3" r:id="rId2"/>
    <sheet name="CQ2" sheetId="4" r:id="rId3"/>
    <sheet name="CQ3" sheetId="5" r:id="rId4"/>
    <sheet name="CQ5" sheetId="6" r:id="rId5"/>
    <sheet name="CQ9" sheetId="12" r:id="rId6"/>
    <sheet name="CQ11" sheetId="13" r:id="rId7"/>
    <sheet name="CQ12" sheetId="14" r:id="rId8"/>
    <sheet name="CQ13" sheetId="2" r:id="rId9"/>
    <sheet name="CQA" sheetId="11" r:id="rId10"/>
    <sheet name="CQB" sheetId="8" r:id="rId11"/>
    <sheet name="CQE" sheetId="9" r:id="rId12"/>
    <sheet name="CQF" sheetId="10" r:id="rId13"/>
  </sheets>
  <definedNames>
    <definedName name="_xlnm.Print_Area" localSheetId="1">'CQ1'!#REF!</definedName>
    <definedName name="_xlnm.Print_Area" localSheetId="6">'CQ11'!#REF!</definedName>
    <definedName name="_xlnm.Print_Area" localSheetId="7">'CQ12'!#REF!</definedName>
    <definedName name="_xlnm.Print_Area" localSheetId="2">'CQ2'!#REF!</definedName>
    <definedName name="_xlnm.Print_Area" localSheetId="3">'CQ3'!#REF!</definedName>
    <definedName name="_xlnm.Print_Area" localSheetId="4">'CQ5'!#REF!</definedName>
    <definedName name="_xlnm.Print_Area" localSheetId="5">'CQ9'!#REF!</definedName>
    <definedName name="_xlnm.Print_Area" localSheetId="9">CQA!#REF!</definedName>
    <definedName name="_xlnm.Print_Area" localSheetId="10">CQB!#REF!</definedName>
    <definedName name="_xlnm.Print_Area" localSheetId="11">CQE!#REF!</definedName>
    <definedName name="_xlnm.Print_Area" localSheetId="12">CQF!#REF!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8" i="2" l="1"/>
  <c r="M9" i="2"/>
  <c r="M10" i="2"/>
  <c r="M12" i="2"/>
  <c r="M13" i="2"/>
  <c r="M14" i="2"/>
  <c r="M16" i="2"/>
  <c r="M22" i="2"/>
  <c r="M25" i="2"/>
  <c r="M26" i="2"/>
  <c r="M5" i="2"/>
  <c r="K7" i="2"/>
  <c r="M7" i="2" s="1"/>
  <c r="K18" i="2"/>
  <c r="M18" i="2" s="1"/>
  <c r="K16" i="2"/>
  <c r="K14" i="2"/>
  <c r="K26" i="2"/>
  <c r="K25" i="2"/>
  <c r="K24" i="2"/>
  <c r="M24" i="2" s="1"/>
  <c r="K23" i="2"/>
  <c r="M23" i="2" s="1"/>
  <c r="K22" i="2"/>
  <c r="K20" i="2"/>
  <c r="M20" i="2" s="1"/>
  <c r="K21" i="2"/>
  <c r="M21" i="2" s="1"/>
  <c r="K19" i="2"/>
  <c r="M19" i="2" s="1"/>
  <c r="K17" i="2"/>
  <c r="M17" i="2" s="1"/>
  <c r="K15" i="2"/>
  <c r="M15" i="2" s="1"/>
  <c r="K13" i="2"/>
  <c r="K12" i="2"/>
  <c r="K10" i="2"/>
  <c r="K9" i="2"/>
  <c r="K8" i="2"/>
  <c r="K6" i="2"/>
  <c r="M6" i="2" s="1"/>
  <c r="K5" i="2"/>
  <c r="S11" i="10"/>
  <c r="T11" i="10" s="1"/>
  <c r="S10" i="10"/>
  <c r="N11" i="10"/>
  <c r="R11" i="10" s="1"/>
  <c r="N12" i="10"/>
  <c r="R12" i="10" s="1"/>
  <c r="N13" i="10"/>
  <c r="O13" i="10" s="1"/>
  <c r="Q11" i="10"/>
  <c r="Q12" i="10"/>
  <c r="T12" i="10"/>
  <c r="S24" i="6"/>
  <c r="T24" i="6" s="1"/>
  <c r="S9" i="10"/>
  <c r="T9" i="10" s="1"/>
  <c r="S8" i="10"/>
  <c r="T8" i="10" s="1"/>
  <c r="N9" i="10"/>
  <c r="O9" i="10" s="1"/>
  <c r="Q9" i="10"/>
  <c r="N10" i="10"/>
  <c r="O10" i="10" s="1"/>
  <c r="Q10" i="10"/>
  <c r="T10" i="10"/>
  <c r="S12" i="9"/>
  <c r="T12" i="9" s="1"/>
  <c r="N12" i="9"/>
  <c r="R12" i="9" s="1"/>
  <c r="O12" i="9"/>
  <c r="Q12" i="9"/>
  <c r="S14" i="14"/>
  <c r="T14" i="14" s="1"/>
  <c r="S13" i="14"/>
  <c r="T13" i="14" s="1"/>
  <c r="S15" i="14"/>
  <c r="S12" i="14"/>
  <c r="Q31" i="14"/>
  <c r="S31" i="14"/>
  <c r="T31" i="14"/>
  <c r="S16" i="14"/>
  <c r="S17" i="14"/>
  <c r="T17" i="14" s="1"/>
  <c r="S18" i="14"/>
  <c r="S19" i="14"/>
  <c r="S20" i="14"/>
  <c r="S21" i="14"/>
  <c r="S22" i="14"/>
  <c r="S23" i="14"/>
  <c r="T23" i="14" s="1"/>
  <c r="S24" i="14"/>
  <c r="S25" i="14"/>
  <c r="S26" i="14"/>
  <c r="S27" i="14"/>
  <c r="S28" i="14"/>
  <c r="S29" i="14"/>
  <c r="S30" i="14"/>
  <c r="S10" i="14"/>
  <c r="T10" i="14" s="1"/>
  <c r="S11" i="14"/>
  <c r="S9" i="14"/>
  <c r="T9" i="14" s="1"/>
  <c r="N12" i="14"/>
  <c r="O12" i="14" s="1"/>
  <c r="Q12" i="14"/>
  <c r="R12" i="14"/>
  <c r="T12" i="14"/>
  <c r="N13" i="14"/>
  <c r="O13" i="14" s="1"/>
  <c r="Q13" i="14"/>
  <c r="N14" i="14"/>
  <c r="O14" i="14" s="1"/>
  <c r="Q14" i="14"/>
  <c r="N15" i="14"/>
  <c r="O15" i="14"/>
  <c r="Q15" i="14"/>
  <c r="R15" i="14" s="1"/>
  <c r="T15" i="14"/>
  <c r="N16" i="14"/>
  <c r="R16" i="14" s="1"/>
  <c r="O16" i="14"/>
  <c r="Q16" i="14"/>
  <c r="T16" i="14"/>
  <c r="N17" i="14"/>
  <c r="O17" i="14"/>
  <c r="Q17" i="14"/>
  <c r="R17" i="14" s="1"/>
  <c r="L6" i="14"/>
  <c r="L7" i="14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N9" i="14"/>
  <c r="O9" i="14" s="1"/>
  <c r="Q9" i="14"/>
  <c r="N10" i="14"/>
  <c r="O10" i="14" s="1"/>
  <c r="Q10" i="14"/>
  <c r="N11" i="14"/>
  <c r="O11" i="14"/>
  <c r="Q11" i="14"/>
  <c r="R11" i="14" s="1"/>
  <c r="T11" i="14"/>
  <c r="S11" i="13"/>
  <c r="S10" i="13"/>
  <c r="N10" i="13"/>
  <c r="O10" i="13"/>
  <c r="Q10" i="13"/>
  <c r="R10" i="13" s="1"/>
  <c r="T10" i="13"/>
  <c r="N11" i="13"/>
  <c r="O11" i="13" s="1"/>
  <c r="Q11" i="13"/>
  <c r="R11" i="13"/>
  <c r="T11" i="13"/>
  <c r="N12" i="13"/>
  <c r="O12" i="13"/>
  <c r="Q12" i="13"/>
  <c r="R12" i="13"/>
  <c r="S12" i="13"/>
  <c r="T12" i="13"/>
  <c r="S11" i="12"/>
  <c r="T11" i="12" s="1"/>
  <c r="S9" i="12"/>
  <c r="T9" i="12" s="1"/>
  <c r="N9" i="12"/>
  <c r="O9" i="12" s="1"/>
  <c r="Q9" i="12"/>
  <c r="N10" i="12"/>
  <c r="O10" i="12" s="1"/>
  <c r="Q10" i="12"/>
  <c r="S10" i="12"/>
  <c r="T10" i="12"/>
  <c r="N11" i="12"/>
  <c r="O11" i="12"/>
  <c r="Q11" i="12"/>
  <c r="R11" i="12"/>
  <c r="S23" i="6"/>
  <c r="T23" i="6" s="1"/>
  <c r="S22" i="6"/>
  <c r="S21" i="6"/>
  <c r="T21" i="6" s="1"/>
  <c r="S20" i="6"/>
  <c r="T20" i="6" s="1"/>
  <c r="S19" i="6"/>
  <c r="N27" i="6"/>
  <c r="O27" i="6"/>
  <c r="Q27" i="6"/>
  <c r="R27" i="6"/>
  <c r="T27" i="6"/>
  <c r="N28" i="6"/>
  <c r="O28" i="6" s="1"/>
  <c r="Q28" i="6"/>
  <c r="T28" i="6"/>
  <c r="N29" i="6"/>
  <c r="O29" i="6"/>
  <c r="Q29" i="6"/>
  <c r="R29" i="6"/>
  <c r="T29" i="6"/>
  <c r="N30" i="6"/>
  <c r="O30" i="6" s="1"/>
  <c r="Q30" i="6"/>
  <c r="T30" i="6"/>
  <c r="N19" i="6"/>
  <c r="O19" i="6"/>
  <c r="Q19" i="6"/>
  <c r="R19" i="6"/>
  <c r="T19" i="6"/>
  <c r="N20" i="6"/>
  <c r="O20" i="6"/>
  <c r="Q20" i="6"/>
  <c r="R20" i="6" s="1"/>
  <c r="N21" i="6"/>
  <c r="O21" i="6" s="1"/>
  <c r="Q21" i="6"/>
  <c r="N22" i="6"/>
  <c r="O22" i="6"/>
  <c r="Q22" i="6"/>
  <c r="R22" i="6"/>
  <c r="T22" i="6"/>
  <c r="N23" i="6"/>
  <c r="O23" i="6" s="1"/>
  <c r="Q23" i="6"/>
  <c r="N24" i="6"/>
  <c r="O24" i="6"/>
  <c r="Q24" i="6"/>
  <c r="R24" i="6"/>
  <c r="N25" i="6"/>
  <c r="O25" i="6" s="1"/>
  <c r="Q25" i="6"/>
  <c r="T25" i="6"/>
  <c r="N26" i="6"/>
  <c r="O26" i="6"/>
  <c r="Q26" i="6"/>
  <c r="R26" i="6"/>
  <c r="T26" i="6"/>
  <c r="L6" i="6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N18" i="6"/>
  <c r="O18" i="6"/>
  <c r="Q18" i="6"/>
  <c r="R18" i="6"/>
  <c r="T18" i="6"/>
  <c r="M287" i="1"/>
  <c r="M238" i="1"/>
  <c r="M205" i="1"/>
  <c r="M172" i="1"/>
  <c r="M137" i="1"/>
  <c r="F240" i="1"/>
  <c r="F11" i="2" s="1"/>
  <c r="K11" i="2" s="1"/>
  <c r="N7" i="9"/>
  <c r="O7" i="9"/>
  <c r="Q7" i="9"/>
  <c r="R7" i="9"/>
  <c r="T7" i="9"/>
  <c r="N8" i="9"/>
  <c r="O8" i="9" s="1"/>
  <c r="Q8" i="9"/>
  <c r="S8" i="9"/>
  <c r="T8" i="9"/>
  <c r="N8" i="10"/>
  <c r="O8" i="10" s="1"/>
  <c r="Q8" i="10"/>
  <c r="M102" i="1"/>
  <c r="L14" i="13"/>
  <c r="L15" i="13"/>
  <c r="L16" i="13" s="1"/>
  <c r="L17" i="13" s="1"/>
  <c r="L18" i="13" s="1"/>
  <c r="L19" i="13" s="1"/>
  <c r="L20" i="13" s="1"/>
  <c r="L21" i="13" s="1"/>
  <c r="L22" i="13" s="1"/>
  <c r="L23" i="13" s="1"/>
  <c r="M69" i="1"/>
  <c r="L6" i="9"/>
  <c r="L7" i="9" s="1"/>
  <c r="L8" i="9" s="1"/>
  <c r="L9" i="9" s="1"/>
  <c r="L10" i="9" s="1"/>
  <c r="L11" i="9" s="1"/>
  <c r="N7" i="14"/>
  <c r="O7" i="14"/>
  <c r="Q7" i="14"/>
  <c r="R7" i="14"/>
  <c r="S7" i="14"/>
  <c r="T7" i="14" s="1"/>
  <c r="M32" i="14"/>
  <c r="D34" i="14" s="1"/>
  <c r="D36" i="14" s="1"/>
  <c r="N5" i="14"/>
  <c r="O5" i="14" s="1"/>
  <c r="N6" i="14"/>
  <c r="O6" i="14"/>
  <c r="N8" i="14"/>
  <c r="O8" i="14"/>
  <c r="N18" i="14"/>
  <c r="N32" i="14" s="1"/>
  <c r="N19" i="14"/>
  <c r="R19" i="14" s="1"/>
  <c r="O19" i="14"/>
  <c r="N20" i="14"/>
  <c r="N21" i="14"/>
  <c r="O21" i="14"/>
  <c r="N22" i="14"/>
  <c r="O22" i="14" s="1"/>
  <c r="N23" i="14"/>
  <c r="O23" i="14"/>
  <c r="N24" i="14"/>
  <c r="O24" i="14"/>
  <c r="N25" i="14"/>
  <c r="O25" i="14"/>
  <c r="N26" i="14"/>
  <c r="R26" i="14" s="1"/>
  <c r="N27" i="14"/>
  <c r="O27" i="14" s="1"/>
  <c r="N28" i="14"/>
  <c r="O28" i="14"/>
  <c r="N29" i="14"/>
  <c r="O29" i="14" s="1"/>
  <c r="N30" i="14"/>
  <c r="O30" i="14"/>
  <c r="N31" i="14"/>
  <c r="R31" i="14" s="1"/>
  <c r="O31" i="14"/>
  <c r="K32" i="14"/>
  <c r="J32" i="14"/>
  <c r="I32" i="14"/>
  <c r="H32" i="14"/>
  <c r="G32" i="14"/>
  <c r="F32" i="14"/>
  <c r="E32" i="14"/>
  <c r="D32" i="14" s="1"/>
  <c r="T30" i="14"/>
  <c r="Q30" i="14"/>
  <c r="R30" i="14" s="1"/>
  <c r="L23" i="14"/>
  <c r="L24" i="14"/>
  <c r="L25" i="14" s="1"/>
  <c r="L26" i="14" s="1"/>
  <c r="L27" i="14" s="1"/>
  <c r="L28" i="14" s="1"/>
  <c r="L29" i="14" s="1"/>
  <c r="L30" i="14" s="1"/>
  <c r="T29" i="14"/>
  <c r="Q29" i="14"/>
  <c r="T28" i="14"/>
  <c r="Q28" i="14"/>
  <c r="R28" i="14"/>
  <c r="T27" i="14"/>
  <c r="Q27" i="14"/>
  <c r="R27" i="14" s="1"/>
  <c r="T26" i="14"/>
  <c r="Q26" i="14"/>
  <c r="T25" i="14"/>
  <c r="Q25" i="14"/>
  <c r="R25" i="14"/>
  <c r="T24" i="14"/>
  <c r="Q24" i="14"/>
  <c r="R24" i="14"/>
  <c r="Q23" i="14"/>
  <c r="R23" i="14"/>
  <c r="T22" i="14"/>
  <c r="Q22" i="14"/>
  <c r="R22" i="14"/>
  <c r="T21" i="14"/>
  <c r="Q21" i="14"/>
  <c r="R21" i="14" s="1"/>
  <c r="T20" i="14"/>
  <c r="Q20" i="14"/>
  <c r="T19" i="14"/>
  <c r="Q19" i="14"/>
  <c r="T18" i="14"/>
  <c r="Q18" i="14"/>
  <c r="T8" i="14"/>
  <c r="Q8" i="14"/>
  <c r="R8" i="14" s="1"/>
  <c r="T6" i="14"/>
  <c r="Q6" i="14"/>
  <c r="R6" i="14"/>
  <c r="T5" i="14"/>
  <c r="Q5" i="14"/>
  <c r="N9" i="13"/>
  <c r="O9" i="13" s="1"/>
  <c r="Q9" i="13"/>
  <c r="R9" i="13"/>
  <c r="S9" i="13"/>
  <c r="T9" i="13" s="1"/>
  <c r="L6" i="10"/>
  <c r="L7" i="10" s="1"/>
  <c r="L8" i="10" s="1"/>
  <c r="N8" i="13"/>
  <c r="R8" i="13" s="1"/>
  <c r="Q8" i="13"/>
  <c r="S8" i="13"/>
  <c r="T8" i="13" s="1"/>
  <c r="L6" i="13"/>
  <c r="L7" i="13" s="1"/>
  <c r="L8" i="13" s="1"/>
  <c r="L9" i="13" s="1"/>
  <c r="L10" i="13" s="1"/>
  <c r="L11" i="13" s="1"/>
  <c r="L12" i="13" s="1"/>
  <c r="L13" i="13" s="1"/>
  <c r="N7" i="10"/>
  <c r="O7" i="10" s="1"/>
  <c r="Q7" i="10"/>
  <c r="R7" i="10"/>
  <c r="S7" i="10"/>
  <c r="T7" i="10"/>
  <c r="Q13" i="10"/>
  <c r="R13" i="10"/>
  <c r="T13" i="10"/>
  <c r="N14" i="10"/>
  <c r="O14" i="10"/>
  <c r="Q14" i="10"/>
  <c r="R14" i="10" s="1"/>
  <c r="T14" i="10"/>
  <c r="N15" i="10"/>
  <c r="R15" i="10" s="1"/>
  <c r="Q15" i="10"/>
  <c r="T15" i="10"/>
  <c r="N16" i="10"/>
  <c r="O16" i="10" s="1"/>
  <c r="Q16" i="10"/>
  <c r="R16" i="10"/>
  <c r="T16" i="10"/>
  <c r="N17" i="10"/>
  <c r="O17" i="10" s="1"/>
  <c r="Q17" i="10"/>
  <c r="T17" i="10"/>
  <c r="S7" i="13"/>
  <c r="T7" i="13" s="1"/>
  <c r="N7" i="13"/>
  <c r="O7" i="13" s="1"/>
  <c r="Q7" i="13"/>
  <c r="R7" i="13" s="1"/>
  <c r="M25" i="13"/>
  <c r="D27" i="13"/>
  <c r="D29" i="13"/>
  <c r="N5" i="13"/>
  <c r="R5" i="13" s="1"/>
  <c r="O5" i="13"/>
  <c r="N6" i="13"/>
  <c r="R6" i="13" s="1"/>
  <c r="N13" i="13"/>
  <c r="R13" i="13" s="1"/>
  <c r="N14" i="13"/>
  <c r="O14" i="13"/>
  <c r="N15" i="13"/>
  <c r="O15" i="13" s="1"/>
  <c r="N16" i="13"/>
  <c r="O16" i="13"/>
  <c r="N17" i="13"/>
  <c r="O17" i="13"/>
  <c r="N18" i="13"/>
  <c r="O18" i="13"/>
  <c r="N19" i="13"/>
  <c r="O19" i="13"/>
  <c r="N20" i="13"/>
  <c r="N21" i="13"/>
  <c r="O21" i="13"/>
  <c r="N22" i="13"/>
  <c r="O22" i="13" s="1"/>
  <c r="N23" i="13"/>
  <c r="O23" i="13"/>
  <c r="N24" i="13"/>
  <c r="O24" i="13"/>
  <c r="K25" i="13"/>
  <c r="J25" i="13"/>
  <c r="I25" i="13"/>
  <c r="H25" i="13"/>
  <c r="G25" i="13"/>
  <c r="F25" i="13"/>
  <c r="E25" i="13"/>
  <c r="D25" i="13" s="1"/>
  <c r="Q24" i="13"/>
  <c r="T23" i="13"/>
  <c r="Q23" i="13"/>
  <c r="R23" i="13"/>
  <c r="S22" i="13"/>
  <c r="T22" i="13"/>
  <c r="Q22" i="13"/>
  <c r="R22" i="13"/>
  <c r="S21" i="13"/>
  <c r="T21" i="13" s="1"/>
  <c r="Q21" i="13"/>
  <c r="R21" i="13"/>
  <c r="S20" i="13"/>
  <c r="T20" i="13" s="1"/>
  <c r="Q20" i="13"/>
  <c r="S19" i="13"/>
  <c r="T19" i="13"/>
  <c r="Q19" i="13"/>
  <c r="R19" i="13"/>
  <c r="S18" i="13"/>
  <c r="T18" i="13"/>
  <c r="Q18" i="13"/>
  <c r="S17" i="13"/>
  <c r="T17" i="13"/>
  <c r="Q17" i="13"/>
  <c r="T16" i="13"/>
  <c r="Q16" i="13"/>
  <c r="R16" i="13"/>
  <c r="S15" i="13"/>
  <c r="T15" i="13"/>
  <c r="Q15" i="13"/>
  <c r="S14" i="13"/>
  <c r="T14" i="13" s="1"/>
  <c r="Q14" i="13"/>
  <c r="R14" i="13" s="1"/>
  <c r="S13" i="13"/>
  <c r="T13" i="13"/>
  <c r="Q13" i="13"/>
  <c r="T6" i="13"/>
  <c r="Q6" i="13"/>
  <c r="T5" i="13"/>
  <c r="Q5" i="13"/>
  <c r="L6" i="12"/>
  <c r="L7" i="12" s="1"/>
  <c r="L8" i="12" s="1"/>
  <c r="S7" i="12"/>
  <c r="T7" i="12" s="1"/>
  <c r="N7" i="12"/>
  <c r="Q7" i="12"/>
  <c r="R7" i="12"/>
  <c r="O7" i="12"/>
  <c r="M14" i="12"/>
  <c r="D16" i="12"/>
  <c r="D18" i="12"/>
  <c r="N5" i="12"/>
  <c r="O5" i="12"/>
  <c r="N6" i="12"/>
  <c r="R6" i="12" s="1"/>
  <c r="N8" i="12"/>
  <c r="O8" i="12"/>
  <c r="N12" i="12"/>
  <c r="O12" i="12" s="1"/>
  <c r="N13" i="12"/>
  <c r="O13" i="12"/>
  <c r="K14" i="12"/>
  <c r="J14" i="12"/>
  <c r="I14" i="12"/>
  <c r="H14" i="12"/>
  <c r="G14" i="12"/>
  <c r="D14" i="12" s="1"/>
  <c r="F14" i="12"/>
  <c r="E14" i="12"/>
  <c r="Q13" i="12"/>
  <c r="S12" i="12"/>
  <c r="T12" i="12"/>
  <c r="Q12" i="12"/>
  <c r="S8" i="12"/>
  <c r="T8" i="12"/>
  <c r="Q8" i="12"/>
  <c r="R8" i="12"/>
  <c r="T6" i="12"/>
  <c r="Q6" i="12"/>
  <c r="T5" i="12"/>
  <c r="Q5" i="12"/>
  <c r="S17" i="6"/>
  <c r="S16" i="6"/>
  <c r="S14" i="6"/>
  <c r="S15" i="6"/>
  <c r="S13" i="6"/>
  <c r="S12" i="6"/>
  <c r="N12" i="6"/>
  <c r="O12" i="6" s="1"/>
  <c r="Q12" i="6"/>
  <c r="T12" i="6"/>
  <c r="N13" i="6"/>
  <c r="R13" i="6" s="1"/>
  <c r="Q13" i="6"/>
  <c r="T13" i="6"/>
  <c r="N14" i="6"/>
  <c r="Q14" i="6"/>
  <c r="T14" i="6"/>
  <c r="N15" i="6"/>
  <c r="R15" i="6" s="1"/>
  <c r="O15" i="6"/>
  <c r="Q15" i="6"/>
  <c r="T15" i="6"/>
  <c r="N16" i="6"/>
  <c r="R16" i="6" s="1"/>
  <c r="Q16" i="6"/>
  <c r="T16" i="6"/>
  <c r="N17" i="6"/>
  <c r="O17" i="6" s="1"/>
  <c r="Q17" i="6"/>
  <c r="R17" i="6"/>
  <c r="T17" i="6"/>
  <c r="S10" i="9"/>
  <c r="T10" i="9" s="1"/>
  <c r="N10" i="9"/>
  <c r="O10" i="9" s="1"/>
  <c r="Q10" i="9"/>
  <c r="R10" i="9"/>
  <c r="S9" i="9"/>
  <c r="T9" i="9" s="1"/>
  <c r="N9" i="9"/>
  <c r="O9" i="9"/>
  <c r="Q9" i="9"/>
  <c r="R9" i="9" s="1"/>
  <c r="S8" i="11"/>
  <c r="T8" i="11" s="1"/>
  <c r="S7" i="11"/>
  <c r="T7" i="11" s="1"/>
  <c r="N7" i="11"/>
  <c r="O7" i="11" s="1"/>
  <c r="Q7" i="11"/>
  <c r="N8" i="11"/>
  <c r="Q8" i="11"/>
  <c r="N9" i="11"/>
  <c r="O9" i="11" s="1"/>
  <c r="Q9" i="11"/>
  <c r="T9" i="11"/>
  <c r="N10" i="11"/>
  <c r="R10" i="11" s="1"/>
  <c r="Q10" i="11"/>
  <c r="T10" i="11"/>
  <c r="N11" i="11"/>
  <c r="O11" i="11" s="1"/>
  <c r="Q11" i="11"/>
  <c r="R11" i="11"/>
  <c r="T11" i="11"/>
  <c r="N12" i="11"/>
  <c r="O12" i="11" s="1"/>
  <c r="Q12" i="11"/>
  <c r="T12" i="11"/>
  <c r="N13" i="11"/>
  <c r="O13" i="11" s="1"/>
  <c r="Q13" i="11"/>
  <c r="T13" i="11"/>
  <c r="N14" i="11"/>
  <c r="O14" i="11"/>
  <c r="Q14" i="11"/>
  <c r="R14" i="11" s="1"/>
  <c r="T14" i="11"/>
  <c r="N15" i="11"/>
  <c r="O15" i="11" s="1"/>
  <c r="Q15" i="11"/>
  <c r="T15" i="11"/>
  <c r="N16" i="11"/>
  <c r="O16" i="11"/>
  <c r="Q16" i="11"/>
  <c r="R16" i="11" s="1"/>
  <c r="T16" i="11"/>
  <c r="N17" i="11"/>
  <c r="O17" i="11"/>
  <c r="Q17" i="11"/>
  <c r="R17" i="11" s="1"/>
  <c r="T17" i="11"/>
  <c r="M28" i="11"/>
  <c r="D30" i="11" s="1"/>
  <c r="D32" i="11" s="1"/>
  <c r="N5" i="11"/>
  <c r="N6" i="11"/>
  <c r="O6" i="11"/>
  <c r="N18" i="11"/>
  <c r="O18" i="11" s="1"/>
  <c r="N19" i="11"/>
  <c r="O19" i="11"/>
  <c r="N20" i="11"/>
  <c r="O20" i="11"/>
  <c r="N21" i="11"/>
  <c r="R21" i="11" s="1"/>
  <c r="N22" i="11"/>
  <c r="O22" i="11"/>
  <c r="N23" i="11"/>
  <c r="O23" i="11" s="1"/>
  <c r="N24" i="11"/>
  <c r="R24" i="11" s="1"/>
  <c r="N25" i="11"/>
  <c r="O25" i="11" s="1"/>
  <c r="N26" i="11"/>
  <c r="O26" i="11"/>
  <c r="N27" i="11"/>
  <c r="O27" i="11" s="1"/>
  <c r="K28" i="11"/>
  <c r="J28" i="11"/>
  <c r="I28" i="11"/>
  <c r="H28" i="11"/>
  <c r="G28" i="11"/>
  <c r="F28" i="11"/>
  <c r="E28" i="11"/>
  <c r="Q27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T26" i="11"/>
  <c r="Q26" i="11"/>
  <c r="R26" i="11" s="1"/>
  <c r="T25" i="11"/>
  <c r="Q25" i="11"/>
  <c r="R25" i="11"/>
  <c r="T24" i="11"/>
  <c r="Q24" i="11"/>
  <c r="T23" i="11"/>
  <c r="Q23" i="11"/>
  <c r="R23" i="11" s="1"/>
  <c r="T22" i="11"/>
  <c r="Q22" i="11"/>
  <c r="R22" i="11"/>
  <c r="T21" i="11"/>
  <c r="Q21" i="11"/>
  <c r="T20" i="11"/>
  <c r="Q20" i="11"/>
  <c r="R20" i="11"/>
  <c r="T19" i="11"/>
  <c r="Q19" i="11"/>
  <c r="R19" i="11"/>
  <c r="T18" i="11"/>
  <c r="Q18" i="11"/>
  <c r="R18" i="11"/>
  <c r="T6" i="11"/>
  <c r="Q6" i="11"/>
  <c r="R6" i="11"/>
  <c r="T5" i="11"/>
  <c r="Q5" i="11"/>
  <c r="M35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D39" i="2"/>
  <c r="S8" i="6"/>
  <c r="N18" i="10"/>
  <c r="O18" i="10" s="1"/>
  <c r="Q18" i="10"/>
  <c r="T18" i="10"/>
  <c r="M70" i="10"/>
  <c r="D72" i="10" s="1"/>
  <c r="D74" i="10" s="1"/>
  <c r="N5" i="10"/>
  <c r="O5" i="10" s="1"/>
  <c r="N6" i="10"/>
  <c r="O6" i="10"/>
  <c r="N19" i="10"/>
  <c r="O19" i="10"/>
  <c r="N20" i="10"/>
  <c r="O20" i="10"/>
  <c r="N21" i="10"/>
  <c r="O21" i="10" s="1"/>
  <c r="N22" i="10"/>
  <c r="O22" i="10" s="1"/>
  <c r="N23" i="10"/>
  <c r="O23" i="10"/>
  <c r="N24" i="10"/>
  <c r="N25" i="10"/>
  <c r="O25" i="10"/>
  <c r="N26" i="10"/>
  <c r="O26" i="10" s="1"/>
  <c r="N27" i="10"/>
  <c r="N70" i="10" s="1"/>
  <c r="N28" i="10"/>
  <c r="O28" i="10"/>
  <c r="N29" i="10"/>
  <c r="O29" i="10"/>
  <c r="N30" i="10"/>
  <c r="O30" i="10"/>
  <c r="N31" i="10"/>
  <c r="O31" i="10" s="1"/>
  <c r="N32" i="10"/>
  <c r="O32" i="10"/>
  <c r="N33" i="10"/>
  <c r="R33" i="10" s="1"/>
  <c r="N34" i="10"/>
  <c r="O34" i="10"/>
  <c r="N35" i="10"/>
  <c r="O35" i="10"/>
  <c r="N36" i="10"/>
  <c r="R36" i="10" s="1"/>
  <c r="N37" i="10"/>
  <c r="O37" i="10"/>
  <c r="N38" i="10"/>
  <c r="N39" i="10"/>
  <c r="O39" i="10"/>
  <c r="N40" i="10"/>
  <c r="R40" i="10" s="1"/>
  <c r="O40" i="10"/>
  <c r="N41" i="10"/>
  <c r="O41" i="10" s="1"/>
  <c r="N42" i="10"/>
  <c r="R42" i="10" s="1"/>
  <c r="N43" i="10"/>
  <c r="R43" i="10" s="1"/>
  <c r="O43" i="10"/>
  <c r="N44" i="10"/>
  <c r="O44" i="10"/>
  <c r="N45" i="10"/>
  <c r="O45" i="10" s="1"/>
  <c r="N46" i="10"/>
  <c r="O46" i="10"/>
  <c r="N47" i="10"/>
  <c r="R47" i="10" s="1"/>
  <c r="O47" i="10"/>
  <c r="N48" i="10"/>
  <c r="O48" i="10" s="1"/>
  <c r="N49" i="10"/>
  <c r="O49" i="10"/>
  <c r="N50" i="10"/>
  <c r="O50" i="10"/>
  <c r="N51" i="10"/>
  <c r="O51" i="10"/>
  <c r="N52" i="10"/>
  <c r="N53" i="10"/>
  <c r="O53" i="10"/>
  <c r="N54" i="10"/>
  <c r="O54" i="10" s="1"/>
  <c r="N55" i="10"/>
  <c r="O55" i="10"/>
  <c r="N56" i="10"/>
  <c r="O56" i="10" s="1"/>
  <c r="N57" i="10"/>
  <c r="R57" i="10" s="1"/>
  <c r="N58" i="10"/>
  <c r="O58" i="10"/>
  <c r="N59" i="10"/>
  <c r="O59" i="10" s="1"/>
  <c r="N60" i="10"/>
  <c r="O60" i="10"/>
  <c r="N61" i="10"/>
  <c r="R61" i="10" s="1"/>
  <c r="O61" i="10"/>
  <c r="N62" i="10"/>
  <c r="R62" i="10" s="1"/>
  <c r="O62" i="10"/>
  <c r="N63" i="10"/>
  <c r="O63" i="10" s="1"/>
  <c r="N64" i="10"/>
  <c r="O64" i="10"/>
  <c r="N65" i="10"/>
  <c r="O65" i="10"/>
  <c r="N66" i="10"/>
  <c r="N67" i="10"/>
  <c r="O67" i="10"/>
  <c r="N68" i="10"/>
  <c r="O68" i="10"/>
  <c r="N69" i="10"/>
  <c r="O69" i="10" s="1"/>
  <c r="K70" i="10"/>
  <c r="J70" i="10"/>
  <c r="I70" i="10"/>
  <c r="H70" i="10"/>
  <c r="G70" i="10"/>
  <c r="D70" i="10" s="1"/>
  <c r="F70" i="10"/>
  <c r="E70" i="10"/>
  <c r="Q69" i="10"/>
  <c r="Q68" i="10"/>
  <c r="R68" i="10"/>
  <c r="Q67" i="10"/>
  <c r="R67" i="10"/>
  <c r="Q66" i="10"/>
  <c r="T65" i="10"/>
  <c r="Q65" i="10"/>
  <c r="R65" i="10" s="1"/>
  <c r="T64" i="10"/>
  <c r="Q64" i="10"/>
  <c r="R64" i="10" s="1"/>
  <c r="T63" i="10"/>
  <c r="Q63" i="10"/>
  <c r="T62" i="10"/>
  <c r="Q62" i="10"/>
  <c r="T61" i="10"/>
  <c r="Q61" i="10"/>
  <c r="T60" i="10"/>
  <c r="Q60" i="10"/>
  <c r="R60" i="10" s="1"/>
  <c r="T59" i="10"/>
  <c r="Q59" i="10"/>
  <c r="R59" i="10" s="1"/>
  <c r="T58" i="10"/>
  <c r="Q58" i="10"/>
  <c r="R58" i="10" s="1"/>
  <c r="T57" i="10"/>
  <c r="Q57" i="10"/>
  <c r="T56" i="10"/>
  <c r="Q56" i="10"/>
  <c r="R56" i="10"/>
  <c r="T55" i="10"/>
  <c r="Q55" i="10"/>
  <c r="R55" i="10"/>
  <c r="T54" i="10"/>
  <c r="Q54" i="10"/>
  <c r="R54" i="10"/>
  <c r="T53" i="10"/>
  <c r="Q53" i="10"/>
  <c r="R53" i="10"/>
  <c r="T52" i="10"/>
  <c r="Q52" i="10"/>
  <c r="T51" i="10"/>
  <c r="Q51" i="10"/>
  <c r="R51" i="10"/>
  <c r="T50" i="10"/>
  <c r="Q50" i="10"/>
  <c r="R50" i="10"/>
  <c r="T49" i="10"/>
  <c r="Q49" i="10"/>
  <c r="R49" i="10"/>
  <c r="T48" i="10"/>
  <c r="Q48" i="10"/>
  <c r="R48" i="10"/>
  <c r="T47" i="10"/>
  <c r="Q47" i="10"/>
  <c r="T46" i="10"/>
  <c r="Q46" i="10"/>
  <c r="R46" i="10"/>
  <c r="T45" i="10"/>
  <c r="Q45" i="10"/>
  <c r="R45" i="10"/>
  <c r="T44" i="10"/>
  <c r="Q44" i="10"/>
  <c r="R44" i="10" s="1"/>
  <c r="T43" i="10"/>
  <c r="Q43" i="10"/>
  <c r="T42" i="10"/>
  <c r="Q42" i="10"/>
  <c r="T41" i="10"/>
  <c r="Q41" i="10"/>
  <c r="T40" i="10"/>
  <c r="Q40" i="10"/>
  <c r="T39" i="10"/>
  <c r="Q39" i="10"/>
  <c r="R39" i="10"/>
  <c r="T38" i="10"/>
  <c r="Q38" i="10"/>
  <c r="T37" i="10"/>
  <c r="Q37" i="10"/>
  <c r="R37" i="10" s="1"/>
  <c r="T36" i="10"/>
  <c r="Q36" i="10"/>
  <c r="T35" i="10"/>
  <c r="Q35" i="10"/>
  <c r="R35" i="10" s="1"/>
  <c r="T34" i="10"/>
  <c r="Q34" i="10"/>
  <c r="R34" i="10"/>
  <c r="T33" i="10"/>
  <c r="Q33" i="10"/>
  <c r="T32" i="10"/>
  <c r="Q32" i="10"/>
  <c r="R32" i="10" s="1"/>
  <c r="T31" i="10"/>
  <c r="Q31" i="10"/>
  <c r="T30" i="10"/>
  <c r="Q30" i="10"/>
  <c r="R30" i="10" s="1"/>
  <c r="T29" i="10"/>
  <c r="Q29" i="10"/>
  <c r="T28" i="10"/>
  <c r="Q28" i="10"/>
  <c r="R28" i="10"/>
  <c r="T27" i="10"/>
  <c r="Q27" i="10"/>
  <c r="T26" i="10"/>
  <c r="Q26" i="10"/>
  <c r="R26" i="10"/>
  <c r="T25" i="10"/>
  <c r="Q25" i="10"/>
  <c r="R25" i="10"/>
  <c r="T24" i="10"/>
  <c r="Q24" i="10"/>
  <c r="T23" i="10"/>
  <c r="Q23" i="10"/>
  <c r="R23" i="10"/>
  <c r="T22" i="10"/>
  <c r="Q22" i="10"/>
  <c r="R22" i="10"/>
  <c r="T21" i="10"/>
  <c r="Q21" i="10"/>
  <c r="R21" i="10"/>
  <c r="T20" i="10"/>
  <c r="Q20" i="10"/>
  <c r="R20" i="10"/>
  <c r="S19" i="10"/>
  <c r="T19" i="10" s="1"/>
  <c r="Q19" i="10"/>
  <c r="R19" i="10" s="1"/>
  <c r="T6" i="10"/>
  <c r="Q6" i="10"/>
  <c r="R6" i="10" s="1"/>
  <c r="T5" i="10"/>
  <c r="Q5" i="10"/>
  <c r="R5" i="10" s="1"/>
  <c r="M27" i="9"/>
  <c r="D29" i="9" s="1"/>
  <c r="D31" i="9"/>
  <c r="N5" i="9"/>
  <c r="O5" i="9" s="1"/>
  <c r="N6" i="9"/>
  <c r="O6" i="9"/>
  <c r="N11" i="9"/>
  <c r="O11" i="9"/>
  <c r="N13" i="9"/>
  <c r="R13" i="9" s="1"/>
  <c r="O13" i="9"/>
  <c r="N14" i="9"/>
  <c r="R14" i="9" s="1"/>
  <c r="N15" i="9"/>
  <c r="R15" i="9" s="1"/>
  <c r="O15" i="9"/>
  <c r="N16" i="9"/>
  <c r="R16" i="9" s="1"/>
  <c r="O16" i="9"/>
  <c r="N17" i="9"/>
  <c r="O17" i="9" s="1"/>
  <c r="N18" i="9"/>
  <c r="O18" i="9"/>
  <c r="N19" i="9"/>
  <c r="R19" i="9" s="1"/>
  <c r="N20" i="9"/>
  <c r="R20" i="9" s="1"/>
  <c r="N21" i="9"/>
  <c r="R21" i="9" s="1"/>
  <c r="O21" i="9"/>
  <c r="N22" i="9"/>
  <c r="O22" i="9"/>
  <c r="N23" i="9"/>
  <c r="O23" i="9"/>
  <c r="N24" i="9"/>
  <c r="O24" i="9" s="1"/>
  <c r="N25" i="9"/>
  <c r="O25" i="9"/>
  <c r="N26" i="9"/>
  <c r="O26" i="9"/>
  <c r="K27" i="9"/>
  <c r="J27" i="9"/>
  <c r="I27" i="9"/>
  <c r="H27" i="9"/>
  <c r="G27" i="9"/>
  <c r="F27" i="9"/>
  <c r="E27" i="9"/>
  <c r="Q26" i="9"/>
  <c r="T25" i="9"/>
  <c r="Q25" i="9"/>
  <c r="R25" i="9"/>
  <c r="T24" i="9"/>
  <c r="Q24" i="9"/>
  <c r="R24" i="9"/>
  <c r="T23" i="9"/>
  <c r="Q23" i="9"/>
  <c r="R23" i="9"/>
  <c r="T22" i="9"/>
  <c r="Q22" i="9"/>
  <c r="T21" i="9"/>
  <c r="Q21" i="9"/>
  <c r="T20" i="9"/>
  <c r="Q20" i="9"/>
  <c r="T19" i="9"/>
  <c r="Q19" i="9"/>
  <c r="T18" i="9"/>
  <c r="Q18" i="9"/>
  <c r="R18" i="9" s="1"/>
  <c r="T17" i="9"/>
  <c r="Q17" i="9"/>
  <c r="T16" i="9"/>
  <c r="Q16" i="9"/>
  <c r="T15" i="9"/>
  <c r="Q15" i="9"/>
  <c r="T14" i="9"/>
  <c r="Q14" i="9"/>
  <c r="T13" i="9"/>
  <c r="Q13" i="9"/>
  <c r="T11" i="9"/>
  <c r="Q11" i="9"/>
  <c r="R11" i="9"/>
  <c r="T6" i="9"/>
  <c r="Q6" i="9"/>
  <c r="R6" i="9"/>
  <c r="T5" i="9"/>
  <c r="Q5" i="9"/>
  <c r="R5" i="9" s="1"/>
  <c r="S7" i="8"/>
  <c r="T7" i="8" s="1"/>
  <c r="N7" i="8"/>
  <c r="O7" i="8"/>
  <c r="Q7" i="8"/>
  <c r="R7" i="8" s="1"/>
  <c r="L6" i="8"/>
  <c r="L7" i="8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N11" i="8"/>
  <c r="O11" i="8"/>
  <c r="Q11" i="8"/>
  <c r="R11" i="8" s="1"/>
  <c r="T11" i="8"/>
  <c r="N8" i="8"/>
  <c r="N28" i="8" s="1"/>
  <c r="Q8" i="8"/>
  <c r="T8" i="8"/>
  <c r="N9" i="8"/>
  <c r="O9" i="8" s="1"/>
  <c r="Q9" i="8"/>
  <c r="R9" i="8" s="1"/>
  <c r="T9" i="8"/>
  <c r="N10" i="8"/>
  <c r="O10" i="8"/>
  <c r="Q10" i="8"/>
  <c r="R10" i="8" s="1"/>
  <c r="T10" i="8"/>
  <c r="M28" i="8"/>
  <c r="D30" i="8" s="1"/>
  <c r="D32" i="8" s="1"/>
  <c r="N5" i="8"/>
  <c r="R5" i="8" s="1"/>
  <c r="O5" i="8"/>
  <c r="N6" i="8"/>
  <c r="O6" i="8"/>
  <c r="N12" i="8"/>
  <c r="O12" i="8" s="1"/>
  <c r="N13" i="8"/>
  <c r="R13" i="8" s="1"/>
  <c r="N14" i="8"/>
  <c r="O14" i="8"/>
  <c r="N15" i="8"/>
  <c r="O15" i="8" s="1"/>
  <c r="N16" i="8"/>
  <c r="O16" i="8"/>
  <c r="N17" i="8"/>
  <c r="O17" i="8"/>
  <c r="N18" i="8"/>
  <c r="O18" i="8"/>
  <c r="N19" i="8"/>
  <c r="O19" i="8" s="1"/>
  <c r="N20" i="8"/>
  <c r="R20" i="8" s="1"/>
  <c r="N21" i="8"/>
  <c r="R21" i="8" s="1"/>
  <c r="O21" i="8"/>
  <c r="N22" i="8"/>
  <c r="O22" i="8" s="1"/>
  <c r="N23" i="8"/>
  <c r="O23" i="8"/>
  <c r="N24" i="8"/>
  <c r="O24" i="8"/>
  <c r="N25" i="8"/>
  <c r="O25" i="8"/>
  <c r="N26" i="8"/>
  <c r="O26" i="8" s="1"/>
  <c r="N27" i="8"/>
  <c r="O27" i="8" s="1"/>
  <c r="K28" i="8"/>
  <c r="J28" i="8"/>
  <c r="I28" i="8"/>
  <c r="H28" i="8"/>
  <c r="G28" i="8"/>
  <c r="F28" i="8"/>
  <c r="D28" i="8" s="1"/>
  <c r="E28" i="8"/>
  <c r="Q27" i="8"/>
  <c r="T26" i="8"/>
  <c r="Q26" i="8"/>
  <c r="R26" i="8"/>
  <c r="T25" i="8"/>
  <c r="Q25" i="8"/>
  <c r="R25" i="8"/>
  <c r="T24" i="8"/>
  <c r="Q24" i="8"/>
  <c r="R24" i="8"/>
  <c r="T23" i="8"/>
  <c r="Q23" i="8"/>
  <c r="R23" i="8"/>
  <c r="T22" i="8"/>
  <c r="Q22" i="8"/>
  <c r="R22" i="8"/>
  <c r="T21" i="8"/>
  <c r="Q21" i="8"/>
  <c r="T20" i="8"/>
  <c r="Q20" i="8"/>
  <c r="T19" i="8"/>
  <c r="Q19" i="8"/>
  <c r="R19" i="8"/>
  <c r="T18" i="8"/>
  <c r="Q18" i="8"/>
  <c r="R18" i="8"/>
  <c r="T17" i="8"/>
  <c r="Q17" i="8"/>
  <c r="R17" i="8"/>
  <c r="T16" i="8"/>
  <c r="Q16" i="8"/>
  <c r="R16" i="8" s="1"/>
  <c r="T15" i="8"/>
  <c r="Q15" i="8"/>
  <c r="R15" i="8"/>
  <c r="T14" i="8"/>
  <c r="Q14" i="8"/>
  <c r="T13" i="8"/>
  <c r="Q13" i="8"/>
  <c r="T12" i="8"/>
  <c r="Q12" i="8"/>
  <c r="R12" i="8"/>
  <c r="T6" i="8"/>
  <c r="Q6" i="8"/>
  <c r="R6" i="8" s="1"/>
  <c r="T5" i="8"/>
  <c r="Q5" i="8"/>
  <c r="S10" i="6"/>
  <c r="S9" i="6"/>
  <c r="S7" i="6"/>
  <c r="N7" i="6"/>
  <c r="O7" i="6"/>
  <c r="Q7" i="6"/>
  <c r="R7" i="6"/>
  <c r="T7" i="6"/>
  <c r="N8" i="6"/>
  <c r="R8" i="6" s="1"/>
  <c r="O8" i="6"/>
  <c r="Q8" i="6"/>
  <c r="T8" i="6"/>
  <c r="N9" i="6"/>
  <c r="O9" i="6" s="1"/>
  <c r="Q9" i="6"/>
  <c r="R9" i="6"/>
  <c r="T9" i="6"/>
  <c r="N10" i="6"/>
  <c r="O10" i="6"/>
  <c r="Q10" i="6"/>
  <c r="R10" i="6"/>
  <c r="T10" i="6"/>
  <c r="N11" i="6"/>
  <c r="R11" i="6" s="1"/>
  <c r="O11" i="6"/>
  <c r="Q11" i="6"/>
  <c r="T11" i="6"/>
  <c r="M32" i="6"/>
  <c r="D34" i="6" s="1"/>
  <c r="D36" i="6"/>
  <c r="N5" i="6"/>
  <c r="R5" i="6" s="1"/>
  <c r="N6" i="6"/>
  <c r="O6" i="6"/>
  <c r="N31" i="6"/>
  <c r="O31" i="6"/>
  <c r="K32" i="6"/>
  <c r="J32" i="6"/>
  <c r="I32" i="6"/>
  <c r="H32" i="6"/>
  <c r="G32" i="6"/>
  <c r="F32" i="6"/>
  <c r="E32" i="6"/>
  <c r="D32" i="6" s="1"/>
  <c r="Q31" i="6"/>
  <c r="T6" i="6"/>
  <c r="Q6" i="6"/>
  <c r="R6" i="6"/>
  <c r="T5" i="6"/>
  <c r="Q5" i="6"/>
  <c r="L6" i="5"/>
  <c r="L54" i="5" s="1"/>
  <c r="L55" i="5" s="1"/>
  <c r="L56" i="5" s="1"/>
  <c r="L57" i="5" s="1"/>
  <c r="L58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M48" i="5"/>
  <c r="D50" i="5"/>
  <c r="D52" i="5" s="1"/>
  <c r="N5" i="5"/>
  <c r="N6" i="5"/>
  <c r="R6" i="5" s="1"/>
  <c r="N54" i="5"/>
  <c r="O54" i="5" s="1"/>
  <c r="N55" i="5"/>
  <c r="O55" i="5"/>
  <c r="N56" i="5"/>
  <c r="R56" i="5" s="1"/>
  <c r="N57" i="5"/>
  <c r="O57" i="5"/>
  <c r="N58" i="5"/>
  <c r="O58" i="5"/>
  <c r="N7" i="5"/>
  <c r="O7" i="5" s="1"/>
  <c r="N8" i="5"/>
  <c r="O8" i="5"/>
  <c r="N9" i="5"/>
  <c r="O9" i="5" s="1"/>
  <c r="N10" i="5"/>
  <c r="O10" i="5"/>
  <c r="N11" i="5"/>
  <c r="R11" i="5" s="1"/>
  <c r="O11" i="5"/>
  <c r="N12" i="5"/>
  <c r="O12" i="5" s="1"/>
  <c r="N13" i="5"/>
  <c r="R13" i="5" s="1"/>
  <c r="O13" i="5"/>
  <c r="N14" i="5"/>
  <c r="N15" i="5"/>
  <c r="O15" i="5"/>
  <c r="N16" i="5"/>
  <c r="O16" i="5" s="1"/>
  <c r="N17" i="5"/>
  <c r="R17" i="5" s="1"/>
  <c r="O17" i="5"/>
  <c r="N18" i="5"/>
  <c r="R18" i="5" s="1"/>
  <c r="O18" i="5"/>
  <c r="N19" i="5"/>
  <c r="O19" i="5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/>
  <c r="N26" i="5"/>
  <c r="R26" i="5" s="1"/>
  <c r="O26" i="5"/>
  <c r="N27" i="5"/>
  <c r="O27" i="5"/>
  <c r="N28" i="5"/>
  <c r="N29" i="5"/>
  <c r="R29" i="5" s="1"/>
  <c r="O29" i="5"/>
  <c r="N30" i="5"/>
  <c r="O30" i="5" s="1"/>
  <c r="N31" i="5"/>
  <c r="O31" i="5"/>
  <c r="N32" i="5"/>
  <c r="O32" i="5" s="1"/>
  <c r="N33" i="5"/>
  <c r="O33" i="5"/>
  <c r="N34" i="5"/>
  <c r="O34" i="5"/>
  <c r="N35" i="5"/>
  <c r="O35" i="5" s="1"/>
  <c r="N36" i="5"/>
  <c r="R36" i="5" s="1"/>
  <c r="O36" i="5"/>
  <c r="N37" i="5"/>
  <c r="O37" i="5" s="1"/>
  <c r="N38" i="5"/>
  <c r="O38" i="5"/>
  <c r="N39" i="5"/>
  <c r="O39" i="5"/>
  <c r="N40" i="5"/>
  <c r="O40" i="5" s="1"/>
  <c r="N41" i="5"/>
  <c r="R41" i="5" s="1"/>
  <c r="O41" i="5"/>
  <c r="N42" i="5"/>
  <c r="N43" i="5"/>
  <c r="R43" i="5" s="1"/>
  <c r="N44" i="5"/>
  <c r="O44" i="5" s="1"/>
  <c r="N45" i="5"/>
  <c r="O45" i="5" s="1"/>
  <c r="N46" i="5"/>
  <c r="R46" i="5" s="1"/>
  <c r="O46" i="5"/>
  <c r="N47" i="5"/>
  <c r="O47" i="5"/>
  <c r="K48" i="5"/>
  <c r="J48" i="5"/>
  <c r="I48" i="5"/>
  <c r="H48" i="5"/>
  <c r="G48" i="5"/>
  <c r="F48" i="5"/>
  <c r="E48" i="5"/>
  <c r="D48" i="5" s="1"/>
  <c r="Q47" i="5"/>
  <c r="Q46" i="5"/>
  <c r="Q45" i="5"/>
  <c r="R45" i="5"/>
  <c r="Q44" i="5"/>
  <c r="R44" i="5"/>
  <c r="T43" i="5"/>
  <c r="Q43" i="5"/>
  <c r="T42" i="5"/>
  <c r="Q42" i="5"/>
  <c r="T41" i="5"/>
  <c r="Q41" i="5"/>
  <c r="T40" i="5"/>
  <c r="Q40" i="5"/>
  <c r="T39" i="5"/>
  <c r="Q39" i="5"/>
  <c r="R39" i="5"/>
  <c r="T38" i="5"/>
  <c r="Q38" i="5"/>
  <c r="R38" i="5"/>
  <c r="T37" i="5"/>
  <c r="Q37" i="5"/>
  <c r="R37" i="5"/>
  <c r="T36" i="5"/>
  <c r="Q36" i="5"/>
  <c r="T35" i="5"/>
  <c r="Q35" i="5"/>
  <c r="R35" i="5"/>
  <c r="T34" i="5"/>
  <c r="Q34" i="5"/>
  <c r="R34" i="5"/>
  <c r="T33" i="5"/>
  <c r="Q33" i="5"/>
  <c r="R33" i="5"/>
  <c r="T32" i="5"/>
  <c r="Q32" i="5"/>
  <c r="R32" i="5"/>
  <c r="T31" i="5"/>
  <c r="Q31" i="5"/>
  <c r="R31" i="5"/>
  <c r="T30" i="5"/>
  <c r="Q30" i="5"/>
  <c r="T29" i="5"/>
  <c r="Q29" i="5"/>
  <c r="T28" i="5"/>
  <c r="Q28" i="5"/>
  <c r="T27" i="5"/>
  <c r="Q27" i="5"/>
  <c r="R27" i="5"/>
  <c r="T26" i="5"/>
  <c r="Q26" i="5"/>
  <c r="T25" i="5"/>
  <c r="Q25" i="5"/>
  <c r="R25" i="5"/>
  <c r="T24" i="5"/>
  <c r="Q24" i="5"/>
  <c r="T23" i="5"/>
  <c r="Q23" i="5"/>
  <c r="T22" i="5"/>
  <c r="Q22" i="5"/>
  <c r="T21" i="5"/>
  <c r="Q21" i="5"/>
  <c r="R21" i="5"/>
  <c r="T20" i="5"/>
  <c r="Q20" i="5"/>
  <c r="R20" i="5"/>
  <c r="T19" i="5"/>
  <c r="Q19" i="5"/>
  <c r="R19" i="5" s="1"/>
  <c r="T18" i="5"/>
  <c r="Q18" i="5"/>
  <c r="T17" i="5"/>
  <c r="Q17" i="5"/>
  <c r="T16" i="5"/>
  <c r="Q16" i="5"/>
  <c r="R16" i="5" s="1"/>
  <c r="T15" i="5"/>
  <c r="Q15" i="5"/>
  <c r="R15" i="5" s="1"/>
  <c r="T14" i="5"/>
  <c r="Q14" i="5"/>
  <c r="T13" i="5"/>
  <c r="Q13" i="5"/>
  <c r="T12" i="5"/>
  <c r="Q12" i="5"/>
  <c r="T11" i="5"/>
  <c r="Q11" i="5"/>
  <c r="T10" i="5"/>
  <c r="Q10" i="5"/>
  <c r="R10" i="5" s="1"/>
  <c r="T9" i="5"/>
  <c r="Q9" i="5"/>
  <c r="T8" i="5"/>
  <c r="Q8" i="5"/>
  <c r="T7" i="5"/>
  <c r="Q7" i="5"/>
  <c r="T58" i="5"/>
  <c r="Q58" i="5"/>
  <c r="R58" i="5" s="1"/>
  <c r="T57" i="5"/>
  <c r="Q57" i="5"/>
  <c r="R57" i="5" s="1"/>
  <c r="T56" i="5"/>
  <c r="Q56" i="5"/>
  <c r="T55" i="5"/>
  <c r="Q55" i="5"/>
  <c r="R55" i="5"/>
  <c r="T54" i="5"/>
  <c r="Q54" i="5"/>
  <c r="T6" i="5"/>
  <c r="Q6" i="5"/>
  <c r="T5" i="5"/>
  <c r="Q5" i="5"/>
  <c r="L7" i="4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M53" i="4"/>
  <c r="D55" i="4" s="1"/>
  <c r="D57" i="4"/>
  <c r="N5" i="4"/>
  <c r="R5" i="4" s="1"/>
  <c r="O5" i="4"/>
  <c r="N6" i="4"/>
  <c r="N53" i="4" s="1"/>
  <c r="N7" i="4"/>
  <c r="R7" i="4" s="1"/>
  <c r="O7" i="4"/>
  <c r="N8" i="4"/>
  <c r="O8" i="4"/>
  <c r="N9" i="4"/>
  <c r="O9" i="4"/>
  <c r="N10" i="4"/>
  <c r="R10" i="4" s="1"/>
  <c r="N11" i="4"/>
  <c r="O11" i="4"/>
  <c r="N12" i="4"/>
  <c r="O12" i="4"/>
  <c r="N13" i="4"/>
  <c r="O13" i="4" s="1"/>
  <c r="N14" i="4"/>
  <c r="O14" i="4"/>
  <c r="N15" i="4"/>
  <c r="O15" i="4"/>
  <c r="N16" i="4"/>
  <c r="O16" i="4"/>
  <c r="N17" i="4"/>
  <c r="R17" i="4" s="1"/>
  <c r="N18" i="4"/>
  <c r="R18" i="4" s="1"/>
  <c r="O18" i="4"/>
  <c r="N19" i="4"/>
  <c r="R19" i="4" s="1"/>
  <c r="O19" i="4"/>
  <c r="N20" i="4"/>
  <c r="R20" i="4" s="1"/>
  <c r="N21" i="4"/>
  <c r="R21" i="4" s="1"/>
  <c r="O21" i="4"/>
  <c r="N22" i="4"/>
  <c r="O22" i="4"/>
  <c r="N23" i="4"/>
  <c r="O23" i="4"/>
  <c r="N24" i="4"/>
  <c r="O24" i="4" s="1"/>
  <c r="N25" i="4"/>
  <c r="O25" i="4"/>
  <c r="N26" i="4"/>
  <c r="O26" i="4"/>
  <c r="N27" i="4"/>
  <c r="O27" i="4" s="1"/>
  <c r="N28" i="4"/>
  <c r="O28" i="4"/>
  <c r="N29" i="4"/>
  <c r="O29" i="4"/>
  <c r="N30" i="4"/>
  <c r="O30" i="4"/>
  <c r="N31" i="4"/>
  <c r="R31" i="4" s="1"/>
  <c r="N32" i="4"/>
  <c r="R32" i="4" s="1"/>
  <c r="O32" i="4"/>
  <c r="N33" i="4"/>
  <c r="R33" i="4" s="1"/>
  <c r="O33" i="4"/>
  <c r="N34" i="4"/>
  <c r="R34" i="4" s="1"/>
  <c r="N35" i="4"/>
  <c r="O35" i="4"/>
  <c r="N36" i="4"/>
  <c r="O36" i="4"/>
  <c r="N37" i="4"/>
  <c r="O37" i="4"/>
  <c r="N38" i="4"/>
  <c r="R38" i="4" s="1"/>
  <c r="N39" i="4"/>
  <c r="R39" i="4" s="1"/>
  <c r="O39" i="4"/>
  <c r="N40" i="4"/>
  <c r="R40" i="4" s="1"/>
  <c r="O40" i="4"/>
  <c r="N41" i="4"/>
  <c r="O41" i="4" s="1"/>
  <c r="N42" i="4"/>
  <c r="O42" i="4"/>
  <c r="N43" i="4"/>
  <c r="O43" i="4"/>
  <c r="N44" i="4"/>
  <c r="O44" i="4"/>
  <c r="N45" i="4"/>
  <c r="O45" i="4" s="1"/>
  <c r="N46" i="4"/>
  <c r="O46" i="4"/>
  <c r="N47" i="4"/>
  <c r="O47" i="4"/>
  <c r="N48" i="4"/>
  <c r="O48" i="4" s="1"/>
  <c r="N49" i="4"/>
  <c r="O49" i="4"/>
  <c r="N50" i="4"/>
  <c r="O50" i="4"/>
  <c r="N51" i="4"/>
  <c r="O51" i="4"/>
  <c r="N52" i="4"/>
  <c r="O52" i="4" s="1"/>
  <c r="K53" i="4"/>
  <c r="J53" i="4"/>
  <c r="I53" i="4"/>
  <c r="H53" i="4"/>
  <c r="G53" i="4"/>
  <c r="F53" i="4"/>
  <c r="D53" i="4" s="1"/>
  <c r="E53" i="4"/>
  <c r="Q52" i="4"/>
  <c r="Q51" i="4"/>
  <c r="R51" i="4"/>
  <c r="L6" i="4"/>
  <c r="Q50" i="4"/>
  <c r="R50" i="4" s="1"/>
  <c r="Q49" i="4"/>
  <c r="R49" i="4"/>
  <c r="T48" i="4"/>
  <c r="Q48" i="4"/>
  <c r="R48" i="4"/>
  <c r="T47" i="4"/>
  <c r="Q47" i="4"/>
  <c r="T46" i="4"/>
  <c r="Q46" i="4"/>
  <c r="R46" i="4"/>
  <c r="T45" i="4"/>
  <c r="Q45" i="4"/>
  <c r="R45" i="4"/>
  <c r="T44" i="4"/>
  <c r="Q44" i="4"/>
  <c r="R44" i="4"/>
  <c r="T43" i="4"/>
  <c r="Q43" i="4"/>
  <c r="R43" i="4"/>
  <c r="T42" i="4"/>
  <c r="Q42" i="4"/>
  <c r="R42" i="4"/>
  <c r="T41" i="4"/>
  <c r="Q41" i="4"/>
  <c r="T40" i="4"/>
  <c r="Q40" i="4"/>
  <c r="T39" i="4"/>
  <c r="Q39" i="4"/>
  <c r="T38" i="4"/>
  <c r="Q38" i="4"/>
  <c r="T37" i="4"/>
  <c r="Q37" i="4"/>
  <c r="R37" i="4" s="1"/>
  <c r="T36" i="4"/>
  <c r="Q36" i="4"/>
  <c r="R36" i="4" s="1"/>
  <c r="T35" i="4"/>
  <c r="Q35" i="4"/>
  <c r="R35" i="4"/>
  <c r="T34" i="4"/>
  <c r="Q34" i="4"/>
  <c r="T33" i="4"/>
  <c r="Q33" i="4"/>
  <c r="T32" i="4"/>
  <c r="Q32" i="4"/>
  <c r="T31" i="4"/>
  <c r="Q31" i="4"/>
  <c r="T30" i="4"/>
  <c r="Q30" i="4"/>
  <c r="R30" i="4"/>
  <c r="T29" i="4"/>
  <c r="Q29" i="4"/>
  <c r="R29" i="4"/>
  <c r="T28" i="4"/>
  <c r="Q28" i="4"/>
  <c r="R28" i="4"/>
  <c r="T27" i="4"/>
  <c r="Q27" i="4"/>
  <c r="T26" i="4"/>
  <c r="Q26" i="4"/>
  <c r="R26" i="4"/>
  <c r="T25" i="4"/>
  <c r="Q25" i="4"/>
  <c r="R25" i="4"/>
  <c r="T24" i="4"/>
  <c r="Q24" i="4"/>
  <c r="R24" i="4"/>
  <c r="T23" i="4"/>
  <c r="Q23" i="4"/>
  <c r="R23" i="4"/>
  <c r="T22" i="4"/>
  <c r="Q22" i="4"/>
  <c r="R22" i="4"/>
  <c r="T21" i="4"/>
  <c r="Q21" i="4"/>
  <c r="T20" i="4"/>
  <c r="Q20" i="4"/>
  <c r="T19" i="4"/>
  <c r="Q19" i="4"/>
  <c r="T18" i="4"/>
  <c r="Q18" i="4"/>
  <c r="T17" i="4"/>
  <c r="Q17" i="4"/>
  <c r="T16" i="4"/>
  <c r="Q16" i="4"/>
  <c r="R16" i="4"/>
  <c r="T15" i="4"/>
  <c r="Q15" i="4"/>
  <c r="R15" i="4"/>
  <c r="T14" i="4"/>
  <c r="Q14" i="4"/>
  <c r="R14" i="4"/>
  <c r="T13" i="4"/>
  <c r="Q13" i="4"/>
  <c r="T12" i="4"/>
  <c r="Q12" i="4"/>
  <c r="R12" i="4"/>
  <c r="T11" i="4"/>
  <c r="Q11" i="4"/>
  <c r="R11" i="4"/>
  <c r="T10" i="4"/>
  <c r="Q10" i="4"/>
  <c r="T9" i="4"/>
  <c r="Q9" i="4"/>
  <c r="R9" i="4"/>
  <c r="T8" i="4"/>
  <c r="Q8" i="4"/>
  <c r="R8" i="4"/>
  <c r="T7" i="4"/>
  <c r="Q7" i="4"/>
  <c r="T6" i="4"/>
  <c r="Q6" i="4"/>
  <c r="T5" i="4"/>
  <c r="Q5" i="4"/>
  <c r="M53" i="3"/>
  <c r="D55" i="3"/>
  <c r="D57" i="3" s="1"/>
  <c r="N5" i="3"/>
  <c r="R5" i="3" s="1"/>
  <c r="N6" i="3"/>
  <c r="R6" i="3" s="1"/>
  <c r="O6" i="3"/>
  <c r="N7" i="3"/>
  <c r="O7" i="3"/>
  <c r="N8" i="3"/>
  <c r="O8" i="3" s="1"/>
  <c r="N9" i="3"/>
  <c r="O9" i="3"/>
  <c r="N10" i="3"/>
  <c r="O10" i="3"/>
  <c r="N11" i="3"/>
  <c r="R11" i="3" s="1"/>
  <c r="N12" i="3"/>
  <c r="O12" i="3" s="1"/>
  <c r="N13" i="3"/>
  <c r="O13" i="3"/>
  <c r="N14" i="3"/>
  <c r="O14" i="3"/>
  <c r="N15" i="3"/>
  <c r="R15" i="3" s="1"/>
  <c r="N16" i="3"/>
  <c r="O16" i="3"/>
  <c r="N17" i="3"/>
  <c r="O17" i="3"/>
  <c r="N18" i="3"/>
  <c r="R18" i="3" s="1"/>
  <c r="N19" i="3"/>
  <c r="R19" i="3" s="1"/>
  <c r="N20" i="3"/>
  <c r="R20" i="3" s="1"/>
  <c r="O20" i="3"/>
  <c r="N21" i="3"/>
  <c r="O21" i="3"/>
  <c r="N22" i="3"/>
  <c r="O22" i="3" s="1"/>
  <c r="N23" i="3"/>
  <c r="O23" i="3"/>
  <c r="N24" i="3"/>
  <c r="O24" i="3"/>
  <c r="N25" i="3"/>
  <c r="R25" i="3" s="1"/>
  <c r="N26" i="3"/>
  <c r="O26" i="3" s="1"/>
  <c r="N27" i="3"/>
  <c r="O27" i="3"/>
  <c r="N28" i="3"/>
  <c r="O28" i="3"/>
  <c r="N29" i="3"/>
  <c r="R29" i="3" s="1"/>
  <c r="N30" i="3"/>
  <c r="O30" i="3"/>
  <c r="N31" i="3"/>
  <c r="O31" i="3"/>
  <c r="N32" i="3"/>
  <c r="R32" i="3" s="1"/>
  <c r="N33" i="3"/>
  <c r="R33" i="3" s="1"/>
  <c r="N34" i="3"/>
  <c r="R34" i="3" s="1"/>
  <c r="O34" i="3"/>
  <c r="N35" i="3"/>
  <c r="O35" i="3"/>
  <c r="N36" i="3"/>
  <c r="O36" i="3" s="1"/>
  <c r="N37" i="3"/>
  <c r="O37" i="3"/>
  <c r="N38" i="3"/>
  <c r="O38" i="3"/>
  <c r="N39" i="3"/>
  <c r="R39" i="3" s="1"/>
  <c r="N40" i="3"/>
  <c r="O40" i="3" s="1"/>
  <c r="N41" i="3"/>
  <c r="O41" i="3"/>
  <c r="N42" i="3"/>
  <c r="O42" i="3"/>
  <c r="N43" i="3"/>
  <c r="R43" i="3" s="1"/>
  <c r="N44" i="3"/>
  <c r="O44" i="3"/>
  <c r="N45" i="3"/>
  <c r="O45" i="3"/>
  <c r="N46" i="3"/>
  <c r="R46" i="3" s="1"/>
  <c r="N47" i="3"/>
  <c r="R47" i="3" s="1"/>
  <c r="N48" i="3"/>
  <c r="R48" i="3" s="1"/>
  <c r="O48" i="3"/>
  <c r="N49" i="3"/>
  <c r="O49" i="3"/>
  <c r="N50" i="3"/>
  <c r="O50" i="3" s="1"/>
  <c r="N51" i="3"/>
  <c r="R51" i="3" s="1"/>
  <c r="O51" i="3"/>
  <c r="N52" i="3"/>
  <c r="O52" i="3"/>
  <c r="K53" i="3"/>
  <c r="J53" i="3"/>
  <c r="I53" i="3"/>
  <c r="H53" i="3"/>
  <c r="G53" i="3"/>
  <c r="F53" i="3"/>
  <c r="E53" i="3"/>
  <c r="D53" i="3" s="1"/>
  <c r="Q52" i="3"/>
  <c r="Q51" i="3"/>
  <c r="L6" i="3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Q50" i="3"/>
  <c r="Q49" i="3"/>
  <c r="R49" i="3" s="1"/>
  <c r="T48" i="3"/>
  <c r="Q48" i="3"/>
  <c r="T47" i="3"/>
  <c r="Q47" i="3"/>
  <c r="T46" i="3"/>
  <c r="Q46" i="3"/>
  <c r="T45" i="3"/>
  <c r="Q45" i="3"/>
  <c r="R45" i="3" s="1"/>
  <c r="T44" i="3"/>
  <c r="Q44" i="3"/>
  <c r="R44" i="3" s="1"/>
  <c r="T43" i="3"/>
  <c r="Q43" i="3"/>
  <c r="T42" i="3"/>
  <c r="Q42" i="3"/>
  <c r="R42" i="3"/>
  <c r="T41" i="3"/>
  <c r="Q41" i="3"/>
  <c r="R41" i="3"/>
  <c r="T40" i="3"/>
  <c r="Q40" i="3"/>
  <c r="R40" i="3"/>
  <c r="T39" i="3"/>
  <c r="Q39" i="3"/>
  <c r="T38" i="3"/>
  <c r="Q38" i="3"/>
  <c r="R38" i="3"/>
  <c r="T37" i="3"/>
  <c r="Q37" i="3"/>
  <c r="R37" i="3"/>
  <c r="T36" i="3"/>
  <c r="Q36" i="3"/>
  <c r="T35" i="3"/>
  <c r="Q35" i="3"/>
  <c r="R35" i="3" s="1"/>
  <c r="T34" i="3"/>
  <c r="Q34" i="3"/>
  <c r="T33" i="3"/>
  <c r="Q33" i="3"/>
  <c r="T32" i="3"/>
  <c r="Q32" i="3"/>
  <c r="T31" i="3"/>
  <c r="Q31" i="3"/>
  <c r="R31" i="3" s="1"/>
  <c r="T30" i="3"/>
  <c r="Q30" i="3"/>
  <c r="R30" i="3" s="1"/>
  <c r="T29" i="3"/>
  <c r="Q29" i="3"/>
  <c r="T28" i="3"/>
  <c r="Q28" i="3"/>
  <c r="R28" i="3"/>
  <c r="T27" i="3"/>
  <c r="Q27" i="3"/>
  <c r="R27" i="3"/>
  <c r="T26" i="3"/>
  <c r="Q26" i="3"/>
  <c r="R26" i="3"/>
  <c r="T25" i="3"/>
  <c r="Q25" i="3"/>
  <c r="T24" i="3"/>
  <c r="Q24" i="3"/>
  <c r="R24" i="3"/>
  <c r="T23" i="3"/>
  <c r="Q23" i="3"/>
  <c r="R23" i="3"/>
  <c r="T22" i="3"/>
  <c r="Q22" i="3"/>
  <c r="T21" i="3"/>
  <c r="Q21" i="3"/>
  <c r="R21" i="3" s="1"/>
  <c r="T20" i="3"/>
  <c r="Q20" i="3"/>
  <c r="T19" i="3"/>
  <c r="Q19" i="3"/>
  <c r="T18" i="3"/>
  <c r="Q18" i="3"/>
  <c r="T17" i="3"/>
  <c r="Q17" i="3"/>
  <c r="R17" i="3"/>
  <c r="T16" i="3"/>
  <c r="Q16" i="3"/>
  <c r="R16" i="3" s="1"/>
  <c r="T15" i="3"/>
  <c r="Q15" i="3"/>
  <c r="T14" i="3"/>
  <c r="Q14" i="3"/>
  <c r="R14" i="3"/>
  <c r="T13" i="3"/>
  <c r="Q13" i="3"/>
  <c r="R13" i="3"/>
  <c r="T12" i="3"/>
  <c r="Q12" i="3"/>
  <c r="R12" i="3"/>
  <c r="T11" i="3"/>
  <c r="Q11" i="3"/>
  <c r="T10" i="3"/>
  <c r="Q10" i="3"/>
  <c r="R10" i="3"/>
  <c r="T9" i="3"/>
  <c r="Q9" i="3"/>
  <c r="R9" i="3"/>
  <c r="T8" i="3"/>
  <c r="Q8" i="3"/>
  <c r="T7" i="3"/>
  <c r="Q7" i="3"/>
  <c r="R7" i="3" s="1"/>
  <c r="T6" i="3"/>
  <c r="Q6" i="3"/>
  <c r="T5" i="3"/>
  <c r="Q5" i="3"/>
  <c r="F248" i="1"/>
  <c r="F249" i="1"/>
  <c r="F250" i="1"/>
  <c r="F251" i="1"/>
  <c r="F252" i="1"/>
  <c r="E240" i="1"/>
  <c r="D240" i="1" s="1"/>
  <c r="D245" i="1" s="1"/>
  <c r="G240" i="1"/>
  <c r="F241" i="1" s="1"/>
  <c r="E34" i="2"/>
  <c r="F35" i="2" s="1"/>
  <c r="G34" i="2"/>
  <c r="J34" i="2"/>
  <c r="I34" i="2"/>
  <c r="H34" i="2"/>
  <c r="F34" i="2"/>
  <c r="M240" i="1"/>
  <c r="K240" i="1"/>
  <c r="J240" i="1"/>
  <c r="I240" i="1"/>
  <c r="H240" i="1"/>
  <c r="O47" i="3" l="1"/>
  <c r="O33" i="3"/>
  <c r="O19" i="3"/>
  <c r="O5" i="3"/>
  <c r="O38" i="4"/>
  <c r="O31" i="4"/>
  <c r="O17" i="4"/>
  <c r="O10" i="4"/>
  <c r="R24" i="5"/>
  <c r="O43" i="5"/>
  <c r="O20" i="8"/>
  <c r="O13" i="8"/>
  <c r="R22" i="9"/>
  <c r="O14" i="9"/>
  <c r="O27" i="9" s="1"/>
  <c r="O24" i="10"/>
  <c r="R24" i="10"/>
  <c r="O10" i="11"/>
  <c r="O14" i="6"/>
  <c r="R14" i="6"/>
  <c r="O6" i="12"/>
  <c r="R20" i="13"/>
  <c r="O20" i="13"/>
  <c r="R50" i="3"/>
  <c r="N53" i="3"/>
  <c r="O46" i="3"/>
  <c r="O39" i="3"/>
  <c r="O32" i="3"/>
  <c r="O25" i="3"/>
  <c r="O18" i="3"/>
  <c r="O11" i="3"/>
  <c r="O42" i="5"/>
  <c r="R42" i="5"/>
  <c r="O6" i="5"/>
  <c r="N32" i="6"/>
  <c r="R17" i="9"/>
  <c r="O38" i="10"/>
  <c r="R38" i="10"/>
  <c r="O14" i="12"/>
  <c r="D34" i="2"/>
  <c r="R8" i="3"/>
  <c r="R36" i="3"/>
  <c r="R41" i="4"/>
  <c r="R30" i="5"/>
  <c r="O20" i="9"/>
  <c r="R18" i="10"/>
  <c r="D28" i="11"/>
  <c r="O24" i="11"/>
  <c r="O5" i="11"/>
  <c r="R5" i="11"/>
  <c r="R15" i="11"/>
  <c r="R12" i="11"/>
  <c r="R9" i="11"/>
  <c r="O13" i="6"/>
  <c r="N14" i="12"/>
  <c r="R5" i="12"/>
  <c r="M34" i="2"/>
  <c r="R22" i="3"/>
  <c r="R13" i="4"/>
  <c r="R27" i="4"/>
  <c r="R40" i="5"/>
  <c r="O5" i="5"/>
  <c r="R5" i="5"/>
  <c r="N27" i="9"/>
  <c r="O52" i="10"/>
  <c r="R52" i="10"/>
  <c r="R18" i="13"/>
  <c r="N48" i="5"/>
  <c r="R8" i="5"/>
  <c r="O19" i="9"/>
  <c r="O36" i="10"/>
  <c r="R29" i="10"/>
  <c r="O16" i="6"/>
  <c r="N25" i="13"/>
  <c r="R20" i="14"/>
  <c r="O66" i="10"/>
  <c r="R66" i="10"/>
  <c r="R17" i="13"/>
  <c r="R8" i="8"/>
  <c r="R12" i="6"/>
  <c r="R54" i="5"/>
  <c r="L13" i="9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12" i="9"/>
  <c r="O43" i="3"/>
  <c r="O29" i="3"/>
  <c r="O15" i="3"/>
  <c r="O34" i="4"/>
  <c r="O20" i="4"/>
  <c r="O6" i="4"/>
  <c r="R7" i="5"/>
  <c r="R12" i="5"/>
  <c r="O14" i="5"/>
  <c r="R14" i="5"/>
  <c r="O5" i="6"/>
  <c r="O32" i="6" s="1"/>
  <c r="O8" i="8"/>
  <c r="O28" i="8" s="1"/>
  <c r="R31" i="10"/>
  <c r="R41" i="10"/>
  <c r="O57" i="10"/>
  <c r="O42" i="10"/>
  <c r="O27" i="10"/>
  <c r="O21" i="11"/>
  <c r="O26" i="14"/>
  <c r="O18" i="14"/>
  <c r="O32" i="14" s="1"/>
  <c r="R22" i="5"/>
  <c r="O8" i="11"/>
  <c r="R8" i="11"/>
  <c r="N28" i="11"/>
  <c r="R15" i="13"/>
  <c r="R17" i="10"/>
  <c r="M11" i="2"/>
  <c r="D38" i="2"/>
  <c r="D247" i="1" s="1"/>
  <c r="K34" i="2"/>
  <c r="D40" i="2" s="1"/>
  <c r="R6" i="4"/>
  <c r="R47" i="4"/>
  <c r="R23" i="5"/>
  <c r="O56" i="5"/>
  <c r="D27" i="9"/>
  <c r="R63" i="10"/>
  <c r="O33" i="10"/>
  <c r="R18" i="14"/>
  <c r="O28" i="5"/>
  <c r="R28" i="5"/>
  <c r="R27" i="10"/>
  <c r="R7" i="11"/>
  <c r="L10" i="12"/>
  <c r="L9" i="12"/>
  <c r="L10" i="10"/>
  <c r="L9" i="10"/>
  <c r="R9" i="5"/>
  <c r="R14" i="8"/>
  <c r="R13" i="11"/>
  <c r="O6" i="13"/>
  <c r="O25" i="13" s="1"/>
  <c r="O13" i="13"/>
  <c r="O15" i="10"/>
  <c r="O8" i="13"/>
  <c r="O20" i="14"/>
  <c r="R8" i="9"/>
  <c r="R9" i="12"/>
  <c r="R9" i="14"/>
  <c r="R13" i="14"/>
  <c r="O12" i="10"/>
  <c r="O11" i="10"/>
  <c r="R10" i="10"/>
  <c r="R21" i="6"/>
  <c r="R8" i="10"/>
  <c r="R5" i="14"/>
  <c r="R29" i="14"/>
  <c r="R23" i="6"/>
  <c r="R28" i="6"/>
  <c r="R10" i="12"/>
  <c r="R10" i="14"/>
  <c r="R14" i="14"/>
  <c r="R12" i="12"/>
  <c r="R25" i="6"/>
  <c r="R30" i="6"/>
  <c r="R9" i="10"/>
  <c r="O28" i="11" l="1"/>
  <c r="O48" i="5"/>
  <c r="O53" i="4"/>
  <c r="O53" i="3"/>
  <c r="L11" i="10"/>
  <c r="L12" i="10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O70" i="10"/>
  <c r="L11" i="12"/>
  <c r="L12" i="12"/>
  <c r="D254" i="1"/>
  <c r="F247" i="1"/>
  <c r="F254" i="1" s="1"/>
</calcChain>
</file>

<file path=xl/sharedStrings.xml><?xml version="1.0" encoding="utf-8"?>
<sst xmlns="http://schemas.openxmlformats.org/spreadsheetml/2006/main" count="709" uniqueCount="146">
  <si>
    <t>Field Log</t>
  </si>
  <si>
    <t>Date</t>
  </si>
  <si>
    <t>Field Log ID</t>
  </si>
  <si>
    <t>Crew</t>
  </si>
  <si>
    <t>Labour</t>
  </si>
  <si>
    <t>Equipment</t>
  </si>
  <si>
    <t>Small Tools</t>
  </si>
  <si>
    <t>Materials</t>
  </si>
  <si>
    <t>Trucking</t>
  </si>
  <si>
    <t>Subcontractors</t>
  </si>
  <si>
    <t>Total</t>
  </si>
  <si>
    <t>Billing Sub Total:</t>
  </si>
  <si>
    <t>Change Quotations:</t>
  </si>
  <si>
    <t>CQ8</t>
  </si>
  <si>
    <t>CQ13</t>
  </si>
  <si>
    <t>CQ14</t>
  </si>
  <si>
    <t>CQ19</t>
  </si>
  <si>
    <t>CQ23</t>
  </si>
  <si>
    <t>Total CQs:</t>
  </si>
  <si>
    <t>CLX2</t>
  </si>
  <si>
    <t>Change Quotation</t>
  </si>
  <si>
    <t>Invoice</t>
  </si>
  <si>
    <t>Dec 2- Dec 15</t>
  </si>
  <si>
    <t>Previous:</t>
  </si>
  <si>
    <t>To Date:</t>
  </si>
  <si>
    <t>CQEqupment</t>
  </si>
  <si>
    <t>OH&amp;P</t>
  </si>
  <si>
    <t>Dec 16-22</t>
  </si>
  <si>
    <t>CQEquip</t>
  </si>
  <si>
    <t>Billing #??</t>
  </si>
  <si>
    <t>Spread</t>
  </si>
  <si>
    <t># Bags</t>
  </si>
  <si>
    <t>Mats</t>
  </si>
  <si>
    <t>CQ</t>
  </si>
  <si>
    <t>Scope Allocation</t>
  </si>
  <si>
    <t>Total:</t>
  </si>
  <si>
    <t>SAJV</t>
  </si>
  <si>
    <t xml:space="preserve"> </t>
  </si>
  <si>
    <t>CQ:</t>
  </si>
  <si>
    <t>CQ 1- Preparation Of Laydown &amp; Stockpile Yard At Moko Yard</t>
  </si>
  <si>
    <t>B7282</t>
  </si>
  <si>
    <t>Moko</t>
  </si>
  <si>
    <t>CQ 2- Moved Surplus 30" Pipe From Homestead To Moko Yard</t>
  </si>
  <si>
    <t>Premay</t>
  </si>
  <si>
    <t>IN001723</t>
  </si>
  <si>
    <t>CQ 3- Purchase Of 5'x30' &amp; 4'x20' Swamp Mats From Jackson Rentals</t>
  </si>
  <si>
    <t>Jackson Rentals</t>
  </si>
  <si>
    <t># Mats</t>
  </si>
  <si>
    <t>CQ5</t>
  </si>
  <si>
    <t>CQE</t>
  </si>
  <si>
    <t>CQ 5- Haul Snow, Clearing &amp; Grade Material Due To Lack Of Temporary Workspace</t>
  </si>
  <si>
    <t>Plus 20-4x20</t>
  </si>
  <si>
    <t>IPF.0005</t>
  </si>
  <si>
    <t>IPF.0006</t>
  </si>
  <si>
    <t>IPF.0007</t>
  </si>
  <si>
    <t>IPF.0008</t>
  </si>
  <si>
    <t>IPF.0010</t>
  </si>
  <si>
    <t>CQ B- Miscellaneous Environmental</t>
  </si>
  <si>
    <t>CQ E- Miscellaneous Third Party Crossing Agreements</t>
  </si>
  <si>
    <t>IPF.0009</t>
  </si>
  <si>
    <t xml:space="preserve">CQ F- Miscellaneous </t>
  </si>
  <si>
    <t>Move around CLAWR gate</t>
  </si>
  <si>
    <t>Water Rare Plants</t>
  </si>
  <si>
    <t>IPF.0001</t>
  </si>
  <si>
    <t>IPF.0002</t>
  </si>
  <si>
    <t>IPF.0003</t>
  </si>
  <si>
    <t>IPF.0004</t>
  </si>
  <si>
    <t>Move "Do Not Bend" pipe around</t>
  </si>
  <si>
    <t>Look For CNRL Pipe at 43+471</t>
  </si>
  <si>
    <t>Look For CNRL Pipe at 58+532</t>
  </si>
  <si>
    <t>Dec 23 - Jan 12</t>
  </si>
  <si>
    <t>Jan 13 - Jan 19</t>
  </si>
  <si>
    <t>Clean Up trees</t>
  </si>
  <si>
    <t>CQF</t>
  </si>
  <si>
    <t>CQ A- Weather</t>
  </si>
  <si>
    <t>IPF.0017</t>
  </si>
  <si>
    <t>IPF.0018</t>
  </si>
  <si>
    <t>CQE-Place mats to CLAWR Access Gate</t>
  </si>
  <si>
    <t>CQE- Haul Interlocking Mats</t>
  </si>
  <si>
    <t>CQE- Move Equipment around the CLWR</t>
  </si>
  <si>
    <t>IPF.0012</t>
  </si>
  <si>
    <t>IPF.0013</t>
  </si>
  <si>
    <t>IPF.0014</t>
  </si>
  <si>
    <t>IPF.0011</t>
  </si>
  <si>
    <t>IPF.0015</t>
  </si>
  <si>
    <t>IPF.0016</t>
  </si>
  <si>
    <t>IPF.0019</t>
  </si>
  <si>
    <t>IPF.0021</t>
  </si>
  <si>
    <t>IPF.0020</t>
  </si>
  <si>
    <t>CQ 9- Repair Or Removal Of Pipe Manufacturer's Defects</t>
  </si>
  <si>
    <t>CQ11-Additional Hydrovaccing To Locate CNRL Line At 43+471</t>
  </si>
  <si>
    <t>CQ12-Move Around Due To Denied Permission To Utilize CLAWR Access Gate</t>
  </si>
  <si>
    <t>CQ11</t>
  </si>
  <si>
    <t>CQ9?</t>
  </si>
  <si>
    <t>CQ12</t>
  </si>
  <si>
    <t>Kevin Reicker Missed Time for Jan 12th</t>
  </si>
  <si>
    <t>Deleted From PO Log 1</t>
  </si>
  <si>
    <t>Deleted From PO Log 2</t>
  </si>
  <si>
    <t>Deleted From PO Log 3</t>
  </si>
  <si>
    <t>Deleted From PO Log 4</t>
  </si>
  <si>
    <t>Deleted From PO Log 5</t>
  </si>
  <si>
    <t>CQ12-bending</t>
  </si>
  <si>
    <t>CQ12-trucking</t>
  </si>
  <si>
    <t>bending</t>
  </si>
  <si>
    <t>Jan 20- Jan 26</t>
  </si>
  <si>
    <t>Backhoes on Counter bores &amp; End Bores</t>
  </si>
  <si>
    <t>CQ12- Move Grader</t>
  </si>
  <si>
    <t>William Daly-Missed Time Jan 13-23</t>
  </si>
  <si>
    <t>Corrine Boyd-Missed Time Jan 19</t>
  </si>
  <si>
    <t>CQ9</t>
  </si>
  <si>
    <t>Evan Laity &amp; Jason Swanson Missed Time Jan 12</t>
  </si>
  <si>
    <t>Steven Dooley &amp; Wayne Lambert Missed Time Jan 20 &amp; 21</t>
  </si>
  <si>
    <t>Field Log #</t>
  </si>
  <si>
    <t>IPF.023</t>
  </si>
  <si>
    <t>IPF.024</t>
  </si>
  <si>
    <t>IPF.030</t>
  </si>
  <si>
    <t>IPF.031</t>
  </si>
  <si>
    <t>IPF.038</t>
  </si>
  <si>
    <t>IPF.0026</t>
  </si>
  <si>
    <t>IPF.0037</t>
  </si>
  <si>
    <t>IPF.0022</t>
  </si>
  <si>
    <t>What was moved?</t>
  </si>
  <si>
    <t>Move Bending Crew</t>
  </si>
  <si>
    <t>Bending Crew Move Around</t>
  </si>
  <si>
    <t>IPF.0027</t>
  </si>
  <si>
    <t>IPF.0028</t>
  </si>
  <si>
    <t>IPF.0029</t>
  </si>
  <si>
    <t>IPF.0033</t>
  </si>
  <si>
    <t>IPF.0034</t>
  </si>
  <si>
    <t>IPF.0035</t>
  </si>
  <si>
    <t>IPF.0036</t>
  </si>
  <si>
    <t>Pilot Car move around</t>
  </si>
  <si>
    <t>Move Grader</t>
  </si>
  <si>
    <t>CQE-Repair Foreign Line Coating</t>
  </si>
  <si>
    <t>Look For CNRL Pipe at 55+061</t>
  </si>
  <si>
    <t>IPF.0039</t>
  </si>
  <si>
    <t>IPF.0032</t>
  </si>
  <si>
    <t>IPF.041</t>
  </si>
  <si>
    <t>IPF.0040</t>
  </si>
  <si>
    <t>Aug 25-Dec 1</t>
  </si>
  <si>
    <t>Commencement</t>
  </si>
  <si>
    <t xml:space="preserve">CQ </t>
  </si>
  <si>
    <t>CQ 13- Increase In Equipment Rate As Per Clause 3.6 Of Conditions Of Contract</t>
  </si>
  <si>
    <t>SV added 1.13% to their ammended target but will have to add .37% to the billings to make up the difference</t>
  </si>
  <si>
    <t>Stas Can Increase in equipment rate is : 1.5%</t>
  </si>
  <si>
    <t>CX2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</si>
</sst>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#,##0.00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6">
    <xf numFmtId="0" fontId="0" fillId="0" borderId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4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122">
    <xf numFmtId="0" fontId="0" fillId="0" borderId="0" xfId="0"/>
    <xf numFmtId="0" fontId="23" fillId="0" borderId="1" xfId="0" applyFont="1" applyBorder="1" applyAlignment="1">
      <alignment horizontal="center"/>
    </xf>
    <xf numFmtId="43" fontId="23" fillId="0" borderId="1" xfId="0" applyNumberFormat="1" applyFont="1" applyBorder="1" applyAlignment="1">
      <alignment horizontal="center"/>
    </xf>
    <xf numFmtId="4" fontId="0" fillId="0" borderId="0" xfId="0" applyNumberFormat="1" applyAlignment="1">
      <alignment horizontal="right"/>
    </xf>
    <xf numFmtId="43" fontId="0" fillId="0" borderId="0" xfId="0" applyNumberFormat="1"/>
    <xf numFmtId="43" fontId="23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24" fillId="0" borderId="0" xfId="0" applyNumberFormat="1" applyFont="1" applyAlignment="1">
      <alignment horizontal="center"/>
    </xf>
    <xf numFmtId="43" fontId="0" fillId="0" borderId="0" xfId="0" applyNumberFormat="1" applyAlignment="1">
      <alignment horizontal="left"/>
    </xf>
    <xf numFmtId="0" fontId="22" fillId="0" borderId="0" xfId="0" applyFont="1"/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43" fontId="24" fillId="0" borderId="0" xfId="0" applyNumberFormat="1" applyFont="1"/>
    <xf numFmtId="0" fontId="24" fillId="0" borderId="0" xfId="0" applyFont="1"/>
    <xf numFmtId="43" fontId="22" fillId="0" borderId="0" xfId="0" applyNumberFormat="1" applyFont="1"/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3" fontId="23" fillId="0" borderId="0" xfId="0" applyNumberFormat="1" applyFont="1"/>
    <xf numFmtId="4" fontId="23" fillId="0" borderId="0" xfId="0" applyNumberFormat="1" applyFont="1"/>
    <xf numFmtId="0" fontId="25" fillId="0" borderId="0" xfId="0" applyFont="1"/>
    <xf numFmtId="0" fontId="26" fillId="0" borderId="0" xfId="0" applyFont="1" applyAlignment="1">
      <alignment horizontal="left"/>
    </xf>
    <xf numFmtId="43" fontId="23" fillId="0" borderId="0" xfId="0" applyNumberFormat="1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65" fontId="24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3" fontId="23" fillId="2" borderId="1" xfId="0" applyNumberFormat="1" applyFont="1" applyFill="1" applyBorder="1"/>
    <xf numFmtId="0" fontId="23" fillId="0" borderId="0" xfId="0" applyFont="1"/>
    <xf numFmtId="0" fontId="23" fillId="0" borderId="0" xfId="0" applyFont="1" applyAlignment="1">
      <alignment horizontal="right"/>
    </xf>
    <xf numFmtId="43" fontId="25" fillId="0" borderId="0" xfId="0" applyNumberFormat="1" applyFont="1"/>
    <xf numFmtId="0" fontId="20" fillId="0" borderId="0" xfId="0" applyFont="1"/>
    <xf numFmtId="0" fontId="26" fillId="0" borderId="0" xfId="0" applyFont="1"/>
    <xf numFmtId="0" fontId="23" fillId="0" borderId="1" xfId="0" applyFont="1" applyBorder="1" applyAlignment="1">
      <alignment horizontal="center" wrapText="1"/>
    </xf>
    <xf numFmtId="43" fontId="23" fillId="0" borderId="2" xfId="0" applyNumberFormat="1" applyFont="1" applyBorder="1" applyAlignment="1">
      <alignment horizontal="center" wrapText="1"/>
    </xf>
    <xf numFmtId="43" fontId="23" fillId="0" borderId="3" xfId="0" applyNumberFormat="1" applyFont="1" applyBorder="1" applyAlignment="1">
      <alignment horizontal="center" wrapText="1"/>
    </xf>
    <xf numFmtId="43" fontId="23" fillId="0" borderId="4" xfId="0" applyNumberFormat="1" applyFont="1" applyBorder="1" applyAlignment="1">
      <alignment horizontal="center" wrapText="1"/>
    </xf>
    <xf numFmtId="43" fontId="23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43" fontId="24" fillId="0" borderId="5" xfId="0" applyNumberFormat="1" applyFont="1" applyBorder="1"/>
    <xf numFmtId="43" fontId="0" fillId="0" borderId="6" xfId="0" applyNumberFormat="1" applyBorder="1"/>
    <xf numFmtId="0" fontId="19" fillId="0" borderId="0" xfId="0" applyFon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4" fontId="30" fillId="0" borderId="0" xfId="3" applyFont="1" applyFill="1" applyAlignment="1">
      <alignment horizontal="center"/>
    </xf>
    <xf numFmtId="43" fontId="24" fillId="0" borderId="6" xfId="0" applyNumberFormat="1" applyFont="1" applyBorder="1"/>
    <xf numFmtId="16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3" fontId="23" fillId="2" borderId="7" xfId="0" applyNumberFormat="1" applyFont="1" applyFill="1" applyBorder="1"/>
    <xf numFmtId="43" fontId="0" fillId="0" borderId="8" xfId="0" applyNumberFormat="1" applyBorder="1"/>
    <xf numFmtId="43" fontId="0" fillId="0" borderId="9" xfId="0" applyNumberFormat="1" applyBorder="1"/>
    <xf numFmtId="43" fontId="23" fillId="3" borderId="0" xfId="0" applyNumberFormat="1" applyFont="1" applyFill="1"/>
    <xf numFmtId="0" fontId="18" fillId="0" borderId="0" xfId="0" applyFont="1"/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43" fontId="17" fillId="0" borderId="0" xfId="0" applyNumberFormat="1" applyFont="1"/>
    <xf numFmtId="0" fontId="16" fillId="0" borderId="0" xfId="0" applyFont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3" fontId="24" fillId="3" borderId="5" xfId="0" applyNumberFormat="1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43" fontId="7" fillId="0" borderId="0" xfId="0" applyNumberFormat="1" applyFont="1"/>
    <xf numFmtId="164" fontId="7" fillId="0" borderId="0" xfId="0" applyNumberFormat="1" applyFont="1" applyAlignment="1">
      <alignment horizontal="center"/>
    </xf>
    <xf numFmtId="43" fontId="0" fillId="0" borderId="5" xfId="0" applyNumberFormat="1" applyBorder="1"/>
    <xf numFmtId="0" fontId="6" fillId="0" borderId="0" xfId="0" applyFont="1"/>
    <xf numFmtId="0" fontId="6" fillId="0" borderId="0" xfId="0" applyFont="1" applyAlignment="1">
      <alignment horizontal="center"/>
    </xf>
    <xf numFmtId="43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3" fontId="1" fillId="0" borderId="0" xfId="0" applyNumberFormat="1" applyFont="1"/>
    <xf numFmtId="16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left"/>
    </xf>
    <xf numFmtId="4" fontId="0" fillId="0" borderId="0" xfId="0" applyNumberFormat="1"/>
    <xf numFmtId="0" fontId="0" fillId="0" borderId="0" xfId="0" applyFont="1" applyAlignment="1">
      <alignment horizontal="center"/>
    </xf>
  </cellXfs>
  <cellStyles count="116">
    <cellStyle name="Currency" xfId="3" builtinId="4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Normal" xfId="0" builtinId="0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"/>
  <sheetViews>
    <sheetView tabSelected="1" workbookViewId="0">
      <pane ySplit="1" topLeftCell="A225" activePane="bottomLeft" state="frozen"/>
      <selection pane="bottomLeft" activeCell="D252" sqref="D252"/>
    </sheetView>
  </sheetViews>
  <sheetFormatPr baseColWidth="10" defaultRowHeight="16" x14ac:dyDescent="0.2"/>
  <cols>
    <col min="1" max="1" width="5.5" style="7" customWidth="1"/>
    <col min="2" max="2" width="26.5" customWidth="1"/>
    <col min="4" max="4" width="16" customWidth="1"/>
    <col min="5" max="5" width="14.16406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3" width="13.1640625" style="4" customWidth="1"/>
    <col min="14" max="14" width="7.1640625" style="9" customWidth="1"/>
    <col min="15" max="15" width="17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N1" s="5"/>
    </row>
    <row r="2" spans="1:14" ht="9" customHeight="1" x14ac:dyDescent="0.2">
      <c r="A2"/>
      <c r="B2" s="6"/>
      <c r="C2" s="7"/>
      <c r="D2" s="7"/>
      <c r="E2" s="4"/>
      <c r="F2" s="4"/>
      <c r="G2" s="4"/>
      <c r="H2" s="4"/>
      <c r="I2" s="4"/>
      <c r="J2" s="4"/>
      <c r="K2" s="4"/>
      <c r="L2" s="8"/>
      <c r="M2"/>
    </row>
    <row r="3" spans="1:14" x14ac:dyDescent="0.2">
      <c r="A3" s="10"/>
      <c r="B3" s="11"/>
      <c r="C3" s="12"/>
      <c r="D3" s="12"/>
      <c r="E3" s="15"/>
      <c r="F3" s="15"/>
      <c r="G3" s="15"/>
      <c r="H3" s="15"/>
      <c r="I3" s="15"/>
      <c r="J3" s="15"/>
      <c r="K3" s="15"/>
      <c r="L3" s="8">
        <f>K3+L2</f>
        <v>0</v>
      </c>
      <c r="M3" s="14"/>
      <c r="N3" s="18"/>
    </row>
    <row r="4" spans="1:14" x14ac:dyDescent="0.2">
      <c r="A4" s="90">
        <v>1</v>
      </c>
      <c r="B4" s="16">
        <v>41659</v>
      </c>
      <c r="C4" s="17">
        <v>18198</v>
      </c>
      <c r="D4" s="121" t="s">
        <v>145</v>
      </c>
      <c r="E4" s="92">
        <v>19529.330000000005</v>
      </c>
      <c r="F4" s="92">
        <v>10274.380000000001</v>
      </c>
      <c r="G4" s="92">
        <v>3183.75</v>
      </c>
      <c r="H4" s="92">
        <v>0</v>
      </c>
      <c r="I4" s="92">
        <v>0</v>
      </c>
      <c r="J4" s="92">
        <v>0</v>
      </c>
      <c r="K4" s="13">
        <v>32987.460000000006</v>
      </c>
      <c r="L4" s="8">
        <f t="shared" ref="L4:L67" si="0">K4+L3</f>
        <v>32987.460000000006</v>
      </c>
      <c r="M4" s="90"/>
      <c r="N4"/>
    </row>
    <row r="5" spans="1:14" ht="14.25" customHeight="1" x14ac:dyDescent="0.2">
      <c r="A5" s="90">
        <v>8</v>
      </c>
      <c r="B5" s="93">
        <v>41659</v>
      </c>
      <c r="C5" s="91">
        <v>18199</v>
      </c>
      <c r="D5" s="121" t="s">
        <v>145</v>
      </c>
      <c r="E5" s="13">
        <v>6886.8</v>
      </c>
      <c r="F5" s="13">
        <v>1864</v>
      </c>
      <c r="G5" s="13">
        <v>1160.3</v>
      </c>
      <c r="H5" s="13">
        <v>0</v>
      </c>
      <c r="I5" s="13">
        <v>0</v>
      </c>
      <c r="J5" s="13">
        <v>0</v>
      </c>
      <c r="K5" s="13">
        <v>9911.0999999999985</v>
      </c>
      <c r="L5" s="8">
        <f t="shared" si="0"/>
        <v>42898.560000000005</v>
      </c>
      <c r="M5" s="14"/>
      <c r="N5" t="s">
        <v>73</v>
      </c>
    </row>
    <row r="6" spans="1:14" ht="13.5" customHeight="1" x14ac:dyDescent="0.2">
      <c r="A6" s="90">
        <v>28</v>
      </c>
      <c r="B6" s="93">
        <v>41659</v>
      </c>
      <c r="C6" s="91">
        <v>18200</v>
      </c>
      <c r="D6" s="121" t="s">
        <v>145</v>
      </c>
      <c r="E6" s="13">
        <v>23233.870000000003</v>
      </c>
      <c r="F6" s="13">
        <v>8877.7099999999991</v>
      </c>
      <c r="G6" s="13">
        <v>4117.6500000000005</v>
      </c>
      <c r="H6" s="13">
        <v>0</v>
      </c>
      <c r="I6" s="13">
        <v>0</v>
      </c>
      <c r="J6" s="13">
        <v>0</v>
      </c>
      <c r="K6" s="13">
        <v>36229.230000000003</v>
      </c>
      <c r="L6" s="8">
        <f t="shared" si="0"/>
        <v>79127.790000000008</v>
      </c>
      <c r="M6" s="14"/>
      <c r="N6"/>
    </row>
    <row r="7" spans="1:14" x14ac:dyDescent="0.2">
      <c r="A7" s="90">
        <v>12</v>
      </c>
      <c r="B7" s="93">
        <v>41659</v>
      </c>
      <c r="C7" s="91">
        <v>18201</v>
      </c>
      <c r="D7" s="121" t="s">
        <v>145</v>
      </c>
      <c r="E7" s="13">
        <v>12614.52</v>
      </c>
      <c r="F7" s="13">
        <v>9732</v>
      </c>
      <c r="G7" s="13">
        <v>2179.1</v>
      </c>
      <c r="H7" s="13">
        <v>0</v>
      </c>
      <c r="I7" s="13">
        <v>0</v>
      </c>
      <c r="J7" s="13">
        <v>0</v>
      </c>
      <c r="K7" s="13">
        <v>24525.62</v>
      </c>
      <c r="L7" s="8">
        <f t="shared" si="0"/>
        <v>103653.41</v>
      </c>
      <c r="M7" s="14"/>
      <c r="N7"/>
    </row>
    <row r="8" spans="1:14" x14ac:dyDescent="0.2">
      <c r="A8" s="90">
        <v>32</v>
      </c>
      <c r="B8" s="93">
        <v>41659</v>
      </c>
      <c r="C8" s="91">
        <v>18202</v>
      </c>
      <c r="D8" s="121" t="s">
        <v>145</v>
      </c>
      <c r="E8" s="13">
        <v>1258.1400000000001</v>
      </c>
      <c r="F8" s="13">
        <v>375</v>
      </c>
      <c r="G8" s="13">
        <v>169.8</v>
      </c>
      <c r="H8" s="13">
        <v>0</v>
      </c>
      <c r="I8" s="13">
        <v>0</v>
      </c>
      <c r="J8" s="13">
        <v>0</v>
      </c>
      <c r="K8" s="13">
        <v>1802.94</v>
      </c>
      <c r="L8" s="8">
        <f t="shared" si="0"/>
        <v>105456.35</v>
      </c>
      <c r="M8" s="90"/>
      <c r="N8"/>
    </row>
    <row r="9" spans="1:14" ht="15" customHeight="1" x14ac:dyDescent="0.2">
      <c r="A9" s="90">
        <v>11</v>
      </c>
      <c r="B9" s="93">
        <v>41659</v>
      </c>
      <c r="C9" s="91">
        <v>18203</v>
      </c>
      <c r="D9" s="121" t="s">
        <v>145</v>
      </c>
      <c r="E9" s="13">
        <v>15370.06</v>
      </c>
      <c r="F9" s="13">
        <v>1091</v>
      </c>
      <c r="G9" s="13">
        <v>1415</v>
      </c>
      <c r="H9" s="13">
        <v>0</v>
      </c>
      <c r="I9" s="13">
        <v>0</v>
      </c>
      <c r="J9" s="13">
        <v>0</v>
      </c>
      <c r="K9" s="13">
        <v>17876.059999999998</v>
      </c>
      <c r="L9" s="8">
        <f t="shared" si="0"/>
        <v>123332.41</v>
      </c>
      <c r="M9" s="90"/>
      <c r="N9"/>
    </row>
    <row r="10" spans="1:14" x14ac:dyDescent="0.2">
      <c r="A10" s="90">
        <v>2</v>
      </c>
      <c r="B10" s="93">
        <v>41659</v>
      </c>
      <c r="C10" s="91">
        <v>18204</v>
      </c>
      <c r="D10" s="121" t="s">
        <v>145</v>
      </c>
      <c r="E10" s="92">
        <v>17315.59</v>
      </c>
      <c r="F10" s="92">
        <v>8516</v>
      </c>
      <c r="G10" s="92">
        <v>3197.9</v>
      </c>
      <c r="H10" s="92">
        <v>0</v>
      </c>
      <c r="I10" s="92">
        <v>0</v>
      </c>
      <c r="J10" s="92">
        <v>0</v>
      </c>
      <c r="K10" s="92">
        <v>29029.49</v>
      </c>
      <c r="L10" s="8">
        <f t="shared" si="0"/>
        <v>152361.9</v>
      </c>
      <c r="M10" s="14"/>
      <c r="N10"/>
    </row>
    <row r="11" spans="1:14" x14ac:dyDescent="0.2">
      <c r="A11" s="90">
        <v>21</v>
      </c>
      <c r="B11" s="93">
        <v>41659</v>
      </c>
      <c r="C11" s="91">
        <v>18205</v>
      </c>
      <c r="D11" s="121" t="s">
        <v>145</v>
      </c>
      <c r="E11" s="13">
        <v>18103.489999999998</v>
      </c>
      <c r="F11" s="13">
        <v>11583.32</v>
      </c>
      <c r="G11" s="13">
        <v>2872.4500000000003</v>
      </c>
      <c r="H11" s="13">
        <v>0</v>
      </c>
      <c r="I11" s="13">
        <v>0</v>
      </c>
      <c r="J11" s="13">
        <v>0</v>
      </c>
      <c r="K11" s="13">
        <v>32559.26</v>
      </c>
      <c r="L11" s="8">
        <f t="shared" si="0"/>
        <v>184921.16</v>
      </c>
      <c r="M11" s="14"/>
      <c r="N11"/>
    </row>
    <row r="12" spans="1:14" x14ac:dyDescent="0.2">
      <c r="A12" s="90">
        <v>9</v>
      </c>
      <c r="B12" s="93">
        <v>41659</v>
      </c>
      <c r="C12" s="91">
        <v>18206</v>
      </c>
      <c r="D12" s="121" t="s">
        <v>145</v>
      </c>
      <c r="E12" s="13">
        <v>11073.300000000001</v>
      </c>
      <c r="F12" s="13">
        <v>5187.1900000000005</v>
      </c>
      <c r="G12" s="13">
        <v>1669.7</v>
      </c>
      <c r="H12" s="13">
        <v>0</v>
      </c>
      <c r="I12" s="13">
        <v>0</v>
      </c>
      <c r="J12" s="13">
        <v>0</v>
      </c>
      <c r="K12" s="13">
        <v>17930.190000000002</v>
      </c>
      <c r="L12" s="8">
        <f t="shared" si="0"/>
        <v>202851.35</v>
      </c>
      <c r="M12" s="14"/>
      <c r="N12"/>
    </row>
    <row r="13" spans="1:14" x14ac:dyDescent="0.2">
      <c r="A13" s="90">
        <v>27</v>
      </c>
      <c r="B13" s="93">
        <v>41659</v>
      </c>
      <c r="C13" s="91">
        <v>18207</v>
      </c>
      <c r="D13" s="121" t="s">
        <v>145</v>
      </c>
      <c r="E13" s="13">
        <v>13666.469999999996</v>
      </c>
      <c r="F13" s="13">
        <v>10492</v>
      </c>
      <c r="G13" s="13">
        <v>2348.9</v>
      </c>
      <c r="H13" s="13">
        <v>0</v>
      </c>
      <c r="I13" s="13">
        <v>0</v>
      </c>
      <c r="J13" s="13">
        <v>0</v>
      </c>
      <c r="K13" s="13">
        <v>26507.369999999995</v>
      </c>
      <c r="L13" s="8">
        <f t="shared" si="0"/>
        <v>229358.72</v>
      </c>
      <c r="M13" s="90"/>
      <c r="N13"/>
    </row>
    <row r="14" spans="1:14" x14ac:dyDescent="0.2">
      <c r="A14" s="90">
        <v>6</v>
      </c>
      <c r="B14" s="93">
        <v>41659</v>
      </c>
      <c r="C14" s="91">
        <v>18208</v>
      </c>
      <c r="D14" s="121" t="s">
        <v>145</v>
      </c>
      <c r="E14" s="92">
        <v>6601.7000000000007</v>
      </c>
      <c r="F14" s="92">
        <v>625</v>
      </c>
      <c r="G14" s="92">
        <v>905.6</v>
      </c>
      <c r="H14" s="92">
        <v>0</v>
      </c>
      <c r="I14" s="92">
        <v>0</v>
      </c>
      <c r="J14" s="92">
        <v>0</v>
      </c>
      <c r="K14" s="92">
        <v>8132.3000000000011</v>
      </c>
      <c r="L14" s="8">
        <f t="shared" si="0"/>
        <v>237491.02</v>
      </c>
      <c r="M14" s="14"/>
      <c r="N14"/>
    </row>
    <row r="15" spans="1:14" ht="15" customHeight="1" x14ac:dyDescent="0.2">
      <c r="A15" s="90">
        <v>25</v>
      </c>
      <c r="B15" s="93">
        <v>41659</v>
      </c>
      <c r="C15" s="91">
        <v>18209</v>
      </c>
      <c r="D15" s="121" t="s">
        <v>145</v>
      </c>
      <c r="E15" s="13">
        <v>2419.63</v>
      </c>
      <c r="F15" s="13">
        <v>138</v>
      </c>
      <c r="G15" s="13">
        <v>311.3</v>
      </c>
      <c r="H15" s="13">
        <v>0</v>
      </c>
      <c r="I15" s="13">
        <v>0</v>
      </c>
      <c r="J15" s="13">
        <v>0</v>
      </c>
      <c r="K15" s="13">
        <v>2868.9300000000003</v>
      </c>
      <c r="L15" s="8">
        <f t="shared" si="0"/>
        <v>240359.94999999998</v>
      </c>
      <c r="M15" s="90"/>
      <c r="N15"/>
    </row>
    <row r="16" spans="1:14" ht="14.25" customHeight="1" x14ac:dyDescent="0.2">
      <c r="A16" s="90">
        <v>19</v>
      </c>
      <c r="B16" s="93">
        <v>41659</v>
      </c>
      <c r="C16" s="91">
        <v>18210</v>
      </c>
      <c r="D16" s="121" t="s">
        <v>145</v>
      </c>
      <c r="E16" s="13">
        <v>6679.8400000000011</v>
      </c>
      <c r="F16" s="13">
        <v>1928</v>
      </c>
      <c r="G16" s="13">
        <v>1358.4</v>
      </c>
      <c r="H16" s="13">
        <v>0</v>
      </c>
      <c r="I16" s="13">
        <v>0</v>
      </c>
      <c r="J16" s="13">
        <v>0</v>
      </c>
      <c r="K16" s="13">
        <v>9966.24</v>
      </c>
      <c r="L16" s="8">
        <f t="shared" si="0"/>
        <v>250326.18999999997</v>
      </c>
      <c r="M16" s="14"/>
      <c r="N16"/>
    </row>
    <row r="17" spans="1:14" x14ac:dyDescent="0.2">
      <c r="A17" s="90">
        <v>23</v>
      </c>
      <c r="B17" s="93">
        <v>41659</v>
      </c>
      <c r="C17" s="91">
        <v>18211</v>
      </c>
      <c r="D17" s="121" t="s">
        <v>145</v>
      </c>
      <c r="E17" s="13">
        <v>30339.020000000015</v>
      </c>
      <c r="F17" s="13">
        <v>9272.36</v>
      </c>
      <c r="G17" s="13">
        <v>5660</v>
      </c>
      <c r="H17" s="13">
        <v>0</v>
      </c>
      <c r="I17" s="13">
        <v>0</v>
      </c>
      <c r="J17" s="13">
        <v>0</v>
      </c>
      <c r="K17" s="13">
        <v>45271.380000000019</v>
      </c>
      <c r="L17" s="8">
        <f t="shared" si="0"/>
        <v>295597.57</v>
      </c>
      <c r="M17" s="14"/>
      <c r="N17"/>
    </row>
    <row r="18" spans="1:14" x14ac:dyDescent="0.2">
      <c r="A18" s="90">
        <v>3</v>
      </c>
      <c r="B18" s="93">
        <v>41659</v>
      </c>
      <c r="C18" s="91">
        <v>18212</v>
      </c>
      <c r="D18" s="121" t="s">
        <v>145</v>
      </c>
      <c r="E18" s="13">
        <v>4003.9400000000005</v>
      </c>
      <c r="F18" s="13">
        <v>566</v>
      </c>
      <c r="G18" s="13">
        <v>424.5</v>
      </c>
      <c r="H18" s="13">
        <v>0</v>
      </c>
      <c r="I18" s="13">
        <v>0</v>
      </c>
      <c r="J18" s="13">
        <v>0</v>
      </c>
      <c r="K18" s="13">
        <v>4994.4400000000005</v>
      </c>
      <c r="L18" s="8">
        <f t="shared" si="0"/>
        <v>300592.01</v>
      </c>
      <c r="M18" s="14"/>
      <c r="N18"/>
    </row>
    <row r="19" spans="1:14" x14ac:dyDescent="0.2">
      <c r="A19" s="90">
        <v>26</v>
      </c>
      <c r="B19" s="93">
        <v>41659</v>
      </c>
      <c r="C19" s="91">
        <v>18213</v>
      </c>
      <c r="D19" s="121" t="s">
        <v>145</v>
      </c>
      <c r="E19" s="13">
        <v>29379.920000000009</v>
      </c>
      <c r="F19" s="13">
        <v>37633.589999999997</v>
      </c>
      <c r="G19" s="13">
        <v>4938.3500000000004</v>
      </c>
      <c r="H19" s="13">
        <v>0</v>
      </c>
      <c r="I19" s="13">
        <v>0</v>
      </c>
      <c r="J19" s="13">
        <v>0</v>
      </c>
      <c r="K19" s="13">
        <v>71951.860000000015</v>
      </c>
      <c r="L19" s="8">
        <f t="shared" si="0"/>
        <v>372543.87</v>
      </c>
      <c r="M19" s="90"/>
      <c r="N19" t="s">
        <v>48</v>
      </c>
    </row>
    <row r="20" spans="1:14" x14ac:dyDescent="0.2">
      <c r="A20" s="90">
        <v>29</v>
      </c>
      <c r="B20" s="93">
        <v>41659</v>
      </c>
      <c r="C20" s="91">
        <v>18214</v>
      </c>
      <c r="D20" s="121" t="s">
        <v>145</v>
      </c>
      <c r="E20" s="13">
        <v>5417.94</v>
      </c>
      <c r="F20" s="13">
        <v>3048</v>
      </c>
      <c r="G20" s="13">
        <v>820.7</v>
      </c>
      <c r="H20" s="13">
        <v>0</v>
      </c>
      <c r="I20" s="13">
        <v>0</v>
      </c>
      <c r="J20" s="13">
        <v>0</v>
      </c>
      <c r="K20" s="13">
        <v>9286.64</v>
      </c>
      <c r="L20" s="8">
        <f t="shared" si="0"/>
        <v>381830.51</v>
      </c>
      <c r="M20" s="90"/>
      <c r="N20"/>
    </row>
    <row r="21" spans="1:14" x14ac:dyDescent="0.2">
      <c r="A21" s="90">
        <v>10</v>
      </c>
      <c r="B21" s="93">
        <v>41659</v>
      </c>
      <c r="C21" s="91">
        <v>18215</v>
      </c>
      <c r="D21" s="121" t="s">
        <v>145</v>
      </c>
      <c r="E21" s="13">
        <v>10705.59</v>
      </c>
      <c r="F21" s="13">
        <v>19057.569999999996</v>
      </c>
      <c r="G21" s="13">
        <v>1966.8500000000001</v>
      </c>
      <c r="H21" s="13">
        <v>0</v>
      </c>
      <c r="I21" s="13">
        <v>0</v>
      </c>
      <c r="J21" s="13">
        <v>0</v>
      </c>
      <c r="K21" s="13">
        <v>31730.009999999995</v>
      </c>
      <c r="L21" s="8">
        <f t="shared" si="0"/>
        <v>413560.52</v>
      </c>
      <c r="M21" s="14"/>
      <c r="N21"/>
    </row>
    <row r="22" spans="1:14" x14ac:dyDescent="0.2">
      <c r="A22" s="90">
        <v>33</v>
      </c>
      <c r="B22" s="93">
        <v>41659</v>
      </c>
      <c r="C22" s="91">
        <v>18216</v>
      </c>
      <c r="D22" s="121" t="s">
        <v>145</v>
      </c>
      <c r="E22" s="13">
        <v>15395.58</v>
      </c>
      <c r="F22" s="13">
        <v>4459</v>
      </c>
      <c r="G22" s="13">
        <v>2292.3000000000002</v>
      </c>
      <c r="H22" s="13">
        <v>0</v>
      </c>
      <c r="I22" s="13">
        <v>0</v>
      </c>
      <c r="J22" s="13">
        <v>0</v>
      </c>
      <c r="K22" s="13">
        <v>22146.880000000001</v>
      </c>
      <c r="L22" s="8">
        <f t="shared" si="0"/>
        <v>435707.4</v>
      </c>
      <c r="M22" s="90"/>
      <c r="N22"/>
    </row>
    <row r="23" spans="1:14" x14ac:dyDescent="0.2">
      <c r="A23" s="90">
        <v>5</v>
      </c>
      <c r="B23" s="93">
        <v>41659</v>
      </c>
      <c r="C23" s="91">
        <v>18217</v>
      </c>
      <c r="D23" s="121" t="s">
        <v>145</v>
      </c>
      <c r="E23" s="92">
        <v>18942.72</v>
      </c>
      <c r="F23" s="92">
        <v>16032.5</v>
      </c>
      <c r="G23" s="92">
        <v>3339.4</v>
      </c>
      <c r="H23" s="92">
        <v>0</v>
      </c>
      <c r="I23" s="92">
        <v>0</v>
      </c>
      <c r="J23" s="92">
        <v>0</v>
      </c>
      <c r="K23" s="92">
        <v>38314.620000000003</v>
      </c>
      <c r="L23" s="8">
        <f t="shared" si="0"/>
        <v>474022.02</v>
      </c>
      <c r="M23" s="14"/>
      <c r="N23"/>
    </row>
    <row r="24" spans="1:14" ht="15" customHeight="1" x14ac:dyDescent="0.2">
      <c r="A24" s="90">
        <v>14</v>
      </c>
      <c r="B24" s="93">
        <v>41659</v>
      </c>
      <c r="C24" s="91">
        <v>18218</v>
      </c>
      <c r="D24" s="121" t="s">
        <v>145</v>
      </c>
      <c r="E24" s="13">
        <v>18600.679999999997</v>
      </c>
      <c r="F24" s="13">
        <v>10483</v>
      </c>
      <c r="G24" s="13">
        <v>2872.4500000000003</v>
      </c>
      <c r="H24" s="13">
        <v>0</v>
      </c>
      <c r="I24" s="13">
        <v>0</v>
      </c>
      <c r="J24" s="13">
        <v>0</v>
      </c>
      <c r="K24" s="13">
        <v>31956.129999999997</v>
      </c>
      <c r="L24" s="8">
        <f t="shared" si="0"/>
        <v>505978.15</v>
      </c>
      <c r="M24" s="14"/>
      <c r="N24"/>
    </row>
    <row r="25" spans="1:14" ht="15" customHeight="1" x14ac:dyDescent="0.2">
      <c r="A25" s="90">
        <v>17</v>
      </c>
      <c r="B25" s="93">
        <v>41659</v>
      </c>
      <c r="C25" s="91">
        <v>18219</v>
      </c>
      <c r="D25" s="121" t="s">
        <v>145</v>
      </c>
      <c r="E25" s="13">
        <v>5773.51</v>
      </c>
      <c r="F25" s="13">
        <v>587</v>
      </c>
      <c r="G25" s="13">
        <v>1018.8000000000001</v>
      </c>
      <c r="H25" s="13">
        <v>0</v>
      </c>
      <c r="I25" s="13">
        <v>0</v>
      </c>
      <c r="J25" s="13">
        <v>0</v>
      </c>
      <c r="K25" s="13">
        <v>7379.31</v>
      </c>
      <c r="L25" s="8">
        <f t="shared" si="0"/>
        <v>513357.46</v>
      </c>
      <c r="M25" s="14"/>
      <c r="N25"/>
    </row>
    <row r="26" spans="1:14" x14ac:dyDescent="0.2">
      <c r="A26" s="90">
        <v>7</v>
      </c>
      <c r="B26" s="93">
        <v>41659</v>
      </c>
      <c r="C26" s="91">
        <v>18220</v>
      </c>
      <c r="D26" s="121" t="s">
        <v>145</v>
      </c>
      <c r="E26" s="92">
        <v>5162.1499999999996</v>
      </c>
      <c r="F26" s="92">
        <v>421</v>
      </c>
      <c r="G26" s="92">
        <v>820.7</v>
      </c>
      <c r="H26" s="92">
        <v>0</v>
      </c>
      <c r="I26" s="92">
        <v>0</v>
      </c>
      <c r="J26" s="92">
        <v>0</v>
      </c>
      <c r="K26" s="92">
        <v>6403.8499999999995</v>
      </c>
      <c r="L26" s="8">
        <f t="shared" si="0"/>
        <v>519761.31</v>
      </c>
      <c r="M26" s="14"/>
      <c r="N26"/>
    </row>
    <row r="27" spans="1:14" x14ac:dyDescent="0.2">
      <c r="A27" s="90">
        <v>31</v>
      </c>
      <c r="B27" s="93">
        <v>41659</v>
      </c>
      <c r="C27" s="91">
        <v>18222</v>
      </c>
      <c r="D27" s="121" t="s">
        <v>145</v>
      </c>
      <c r="E27" s="13">
        <v>23671.589999999997</v>
      </c>
      <c r="F27" s="13">
        <v>14338.11</v>
      </c>
      <c r="G27" s="13">
        <v>3834.65</v>
      </c>
      <c r="H27" s="13">
        <v>0</v>
      </c>
      <c r="I27" s="13">
        <v>0</v>
      </c>
      <c r="J27" s="13">
        <v>0</v>
      </c>
      <c r="K27" s="13">
        <v>41844.35</v>
      </c>
      <c r="L27" s="8">
        <f t="shared" si="0"/>
        <v>561605.66</v>
      </c>
      <c r="M27" s="90"/>
      <c r="N27"/>
    </row>
    <row r="28" spans="1:14" x14ac:dyDescent="0.2">
      <c r="A28" s="90">
        <v>35</v>
      </c>
      <c r="B28" s="93">
        <v>41659</v>
      </c>
      <c r="C28" s="91">
        <v>18226</v>
      </c>
      <c r="D28" s="121" t="s">
        <v>145</v>
      </c>
      <c r="E28" s="13">
        <v>4990.57</v>
      </c>
      <c r="F28" s="13">
        <v>1135.19</v>
      </c>
      <c r="G28" s="13">
        <v>820.7</v>
      </c>
      <c r="H28" s="13">
        <v>0</v>
      </c>
      <c r="I28" s="13">
        <v>0</v>
      </c>
      <c r="J28" s="13">
        <v>0</v>
      </c>
      <c r="K28" s="13">
        <v>6946.46</v>
      </c>
      <c r="L28" s="8">
        <f t="shared" si="0"/>
        <v>568552.12</v>
      </c>
      <c r="M28" s="90"/>
      <c r="N28"/>
    </row>
    <row r="29" spans="1:14" ht="14.25" customHeight="1" x14ac:dyDescent="0.2">
      <c r="A29" s="90">
        <v>24</v>
      </c>
      <c r="B29" s="93">
        <v>41659</v>
      </c>
      <c r="C29" s="91">
        <v>18229</v>
      </c>
      <c r="D29" s="121" t="s">
        <v>145</v>
      </c>
      <c r="E29" s="13">
        <v>23908.500000000004</v>
      </c>
      <c r="F29" s="13">
        <v>23568.320000000007</v>
      </c>
      <c r="G29" s="13">
        <v>4216.7</v>
      </c>
      <c r="H29" s="13">
        <v>0</v>
      </c>
      <c r="I29" s="13">
        <v>0</v>
      </c>
      <c r="J29" s="13">
        <v>0</v>
      </c>
      <c r="K29" s="13">
        <v>51693.520000000004</v>
      </c>
      <c r="L29" s="8">
        <f t="shared" si="0"/>
        <v>620245.64</v>
      </c>
      <c r="M29" s="14"/>
      <c r="N29"/>
    </row>
    <row r="30" spans="1:14" x14ac:dyDescent="0.2">
      <c r="A30" s="90">
        <v>30</v>
      </c>
      <c r="B30" s="93">
        <v>41659</v>
      </c>
      <c r="C30" s="91">
        <v>18230</v>
      </c>
      <c r="D30" s="121" t="s">
        <v>145</v>
      </c>
      <c r="E30" s="13">
        <v>13138.63</v>
      </c>
      <c r="F30" s="13">
        <v>1474.13</v>
      </c>
      <c r="G30" s="13">
        <v>1018.8000000000001</v>
      </c>
      <c r="H30" s="13">
        <v>0</v>
      </c>
      <c r="I30" s="13">
        <v>0</v>
      </c>
      <c r="J30" s="13">
        <v>0</v>
      </c>
      <c r="K30" s="13">
        <v>15631.559999999998</v>
      </c>
      <c r="L30" s="8">
        <f t="shared" si="0"/>
        <v>635877.19999999995</v>
      </c>
      <c r="M30" s="90"/>
      <c r="N30"/>
    </row>
    <row r="31" spans="1:14" x14ac:dyDescent="0.2">
      <c r="A31" s="90">
        <v>4</v>
      </c>
      <c r="B31" s="93">
        <v>41659</v>
      </c>
      <c r="C31" s="91">
        <v>18234</v>
      </c>
      <c r="D31" s="121" t="s">
        <v>145</v>
      </c>
      <c r="E31" s="13">
        <v>10821.23</v>
      </c>
      <c r="F31" s="13">
        <v>4177</v>
      </c>
      <c r="G31" s="13">
        <v>1457.45</v>
      </c>
      <c r="H31" s="13">
        <v>0</v>
      </c>
      <c r="I31" s="13">
        <v>0</v>
      </c>
      <c r="J31" s="13">
        <v>0</v>
      </c>
      <c r="K31" s="13">
        <v>16455.68</v>
      </c>
      <c r="L31" s="8">
        <f t="shared" si="0"/>
        <v>652332.88</v>
      </c>
      <c r="M31" s="14"/>
      <c r="N31"/>
    </row>
    <row r="32" spans="1:14" x14ac:dyDescent="0.2">
      <c r="A32" s="90">
        <v>20</v>
      </c>
      <c r="B32" s="93">
        <v>41659</v>
      </c>
      <c r="C32" s="91">
        <v>18238</v>
      </c>
      <c r="D32" s="121" t="s">
        <v>145</v>
      </c>
      <c r="E32" s="13">
        <v>5163.42</v>
      </c>
      <c r="F32" s="13">
        <v>28329.21000000001</v>
      </c>
      <c r="G32" s="13">
        <v>622.6</v>
      </c>
      <c r="H32" s="13">
        <v>0</v>
      </c>
      <c r="I32" s="13">
        <v>0</v>
      </c>
      <c r="J32" s="13">
        <v>0</v>
      </c>
      <c r="K32" s="13">
        <v>34115.23000000001</v>
      </c>
      <c r="L32" s="8">
        <f t="shared" si="0"/>
        <v>686448.11</v>
      </c>
      <c r="M32" s="14"/>
      <c r="N32"/>
    </row>
    <row r="33" spans="1:14" x14ac:dyDescent="0.2">
      <c r="A33" s="90">
        <v>18</v>
      </c>
      <c r="B33" s="93">
        <v>41659</v>
      </c>
      <c r="C33" s="91">
        <v>18240</v>
      </c>
      <c r="D33" s="121" t="s">
        <v>145</v>
      </c>
      <c r="E33" s="13">
        <v>21487.54</v>
      </c>
      <c r="F33" s="13">
        <v>5560</v>
      </c>
      <c r="G33" s="13">
        <v>3268.65</v>
      </c>
      <c r="H33" s="13">
        <v>0</v>
      </c>
      <c r="I33" s="13">
        <v>0</v>
      </c>
      <c r="J33" s="13">
        <v>0</v>
      </c>
      <c r="K33" s="13">
        <v>30316.190000000002</v>
      </c>
      <c r="L33" s="8">
        <f t="shared" si="0"/>
        <v>716764.3</v>
      </c>
      <c r="M33" s="14"/>
      <c r="N33"/>
    </row>
    <row r="34" spans="1:14" x14ac:dyDescent="0.2">
      <c r="A34" s="90">
        <v>15</v>
      </c>
      <c r="B34" s="93">
        <v>41659</v>
      </c>
      <c r="C34" s="91">
        <v>18241</v>
      </c>
      <c r="D34" s="121" t="s">
        <v>145</v>
      </c>
      <c r="E34" s="13">
        <v>20038.409999999996</v>
      </c>
      <c r="F34" s="13">
        <v>5557.01</v>
      </c>
      <c r="G34" s="13">
        <v>3268.65</v>
      </c>
      <c r="H34" s="13">
        <v>0</v>
      </c>
      <c r="I34" s="13">
        <v>0</v>
      </c>
      <c r="J34" s="13">
        <v>0</v>
      </c>
      <c r="K34" s="13">
        <v>28864.07</v>
      </c>
      <c r="L34" s="8">
        <f t="shared" si="0"/>
        <v>745628.37</v>
      </c>
      <c r="M34" s="14"/>
      <c r="N34"/>
    </row>
    <row r="35" spans="1:14" x14ac:dyDescent="0.2">
      <c r="A35" s="90">
        <v>16</v>
      </c>
      <c r="B35" s="93">
        <v>41659</v>
      </c>
      <c r="C35" s="91">
        <v>18246</v>
      </c>
      <c r="D35" s="121" t="s">
        <v>145</v>
      </c>
      <c r="E35" s="13">
        <v>41253.44999999999</v>
      </c>
      <c r="F35" s="13">
        <v>10650</v>
      </c>
      <c r="G35" s="13">
        <v>6664.6500000000005</v>
      </c>
      <c r="H35" s="13">
        <v>0</v>
      </c>
      <c r="I35" s="13">
        <v>0</v>
      </c>
      <c r="J35" s="13">
        <v>0</v>
      </c>
      <c r="K35" s="13">
        <v>58568.099999999991</v>
      </c>
      <c r="L35" s="8">
        <f t="shared" si="0"/>
        <v>804196.47</v>
      </c>
      <c r="M35" s="92">
        <f>SUM(K4:K35)</f>
        <v>804196.47</v>
      </c>
      <c r="N35"/>
    </row>
    <row r="36" spans="1:14" x14ac:dyDescent="0.2">
      <c r="L36" s="8">
        <f t="shared" si="0"/>
        <v>804196.47</v>
      </c>
    </row>
    <row r="37" spans="1:14" x14ac:dyDescent="0.2">
      <c r="A37" s="95">
        <v>1</v>
      </c>
      <c r="B37" s="16">
        <v>41660</v>
      </c>
      <c r="C37" s="17">
        <v>18260</v>
      </c>
      <c r="D37" s="121" t="s">
        <v>145</v>
      </c>
      <c r="E37" s="97">
        <v>22476.670000000002</v>
      </c>
      <c r="F37" s="97">
        <v>10103.380000000001</v>
      </c>
      <c r="G37" s="97">
        <v>3551.65</v>
      </c>
      <c r="H37" s="97">
        <v>0</v>
      </c>
      <c r="I37" s="97">
        <v>0</v>
      </c>
      <c r="J37" s="97">
        <v>0</v>
      </c>
      <c r="K37" s="13">
        <v>36131.700000000004</v>
      </c>
      <c r="L37" s="8">
        <f t="shared" si="0"/>
        <v>840328.16999999993</v>
      </c>
      <c r="M37" s="95"/>
      <c r="N37"/>
    </row>
    <row r="38" spans="1:14" ht="14.25" customHeight="1" x14ac:dyDescent="0.2">
      <c r="A38" s="95">
        <v>8</v>
      </c>
      <c r="B38" s="98">
        <v>41660</v>
      </c>
      <c r="C38" s="96">
        <v>18261</v>
      </c>
      <c r="D38" s="121" t="s">
        <v>145</v>
      </c>
      <c r="E38" s="13">
        <v>6886.8</v>
      </c>
      <c r="F38" s="13">
        <v>1864</v>
      </c>
      <c r="G38" s="13">
        <v>1160.3</v>
      </c>
      <c r="H38" s="13">
        <v>0</v>
      </c>
      <c r="I38" s="13">
        <v>0</v>
      </c>
      <c r="J38" s="13">
        <v>0</v>
      </c>
      <c r="K38" s="13">
        <v>9911.0999999999985</v>
      </c>
      <c r="L38" s="8">
        <f t="shared" si="0"/>
        <v>850239.2699999999</v>
      </c>
      <c r="M38" s="14"/>
      <c r="N38" t="s">
        <v>92</v>
      </c>
    </row>
    <row r="39" spans="1:14" ht="13.5" customHeight="1" x14ac:dyDescent="0.2">
      <c r="A39" s="95">
        <v>28</v>
      </c>
      <c r="B39" s="98">
        <v>41660</v>
      </c>
      <c r="C39" s="96">
        <v>18262</v>
      </c>
      <c r="D39" s="121" t="s">
        <v>145</v>
      </c>
      <c r="E39" s="13">
        <v>23119.960000000006</v>
      </c>
      <c r="F39" s="13">
        <v>8877.7099999999991</v>
      </c>
      <c r="G39" s="13">
        <v>4117.6500000000005</v>
      </c>
      <c r="H39" s="13">
        <v>0</v>
      </c>
      <c r="I39" s="13">
        <v>0</v>
      </c>
      <c r="J39" s="13">
        <v>0</v>
      </c>
      <c r="K39" s="13">
        <v>36115.320000000007</v>
      </c>
      <c r="L39" s="8">
        <f t="shared" si="0"/>
        <v>886354.58999999985</v>
      </c>
      <c r="M39" s="14"/>
      <c r="N39"/>
    </row>
    <row r="40" spans="1:14" x14ac:dyDescent="0.2">
      <c r="A40" s="95">
        <v>12</v>
      </c>
      <c r="B40" s="98">
        <v>41660</v>
      </c>
      <c r="C40" s="96">
        <v>18263</v>
      </c>
      <c r="D40" s="121" t="s">
        <v>145</v>
      </c>
      <c r="E40" s="13">
        <v>13683.880000000001</v>
      </c>
      <c r="F40" s="13">
        <v>7355</v>
      </c>
      <c r="G40" s="13">
        <v>2348.9</v>
      </c>
      <c r="H40" s="13">
        <v>0</v>
      </c>
      <c r="I40" s="13">
        <v>0</v>
      </c>
      <c r="J40" s="13">
        <v>0</v>
      </c>
      <c r="K40" s="13">
        <v>23387.780000000002</v>
      </c>
      <c r="L40" s="8">
        <f t="shared" si="0"/>
        <v>909742.36999999988</v>
      </c>
      <c r="M40" s="14"/>
      <c r="N40"/>
    </row>
    <row r="41" spans="1:14" x14ac:dyDescent="0.2">
      <c r="A41" s="95">
        <v>32</v>
      </c>
      <c r="B41" s="98">
        <v>41660</v>
      </c>
      <c r="C41" s="96">
        <v>18264</v>
      </c>
      <c r="D41" s="121" t="s">
        <v>145</v>
      </c>
      <c r="E41" s="13">
        <v>1258.1400000000001</v>
      </c>
      <c r="F41" s="13">
        <v>375</v>
      </c>
      <c r="G41" s="13">
        <v>169.8</v>
      </c>
      <c r="H41" s="13">
        <v>0</v>
      </c>
      <c r="I41" s="13">
        <v>0</v>
      </c>
      <c r="J41" s="13">
        <v>0</v>
      </c>
      <c r="K41" s="13">
        <v>1802.94</v>
      </c>
      <c r="L41" s="8">
        <f t="shared" si="0"/>
        <v>911545.30999999982</v>
      </c>
      <c r="M41" s="95"/>
      <c r="N41"/>
    </row>
    <row r="42" spans="1:14" ht="15" customHeight="1" x14ac:dyDescent="0.2">
      <c r="A42" s="95">
        <v>11</v>
      </c>
      <c r="B42" s="98">
        <v>41660</v>
      </c>
      <c r="C42" s="96">
        <v>18265</v>
      </c>
      <c r="D42" s="121" t="s">
        <v>145</v>
      </c>
      <c r="E42" s="13">
        <v>15370.06</v>
      </c>
      <c r="F42" s="13">
        <v>1091</v>
      </c>
      <c r="G42" s="13">
        <v>1415</v>
      </c>
      <c r="H42" s="13">
        <v>0</v>
      </c>
      <c r="I42" s="13">
        <v>0</v>
      </c>
      <c r="J42" s="13">
        <v>0</v>
      </c>
      <c r="K42" s="13">
        <v>17876.059999999998</v>
      </c>
      <c r="L42" s="8">
        <f t="shared" si="0"/>
        <v>929421.36999999988</v>
      </c>
      <c r="M42" s="95"/>
      <c r="N42"/>
    </row>
    <row r="43" spans="1:14" x14ac:dyDescent="0.2">
      <c r="A43" s="95">
        <v>2</v>
      </c>
      <c r="B43" s="98">
        <v>41660</v>
      </c>
      <c r="C43" s="96">
        <v>18266</v>
      </c>
      <c r="D43" s="121" t="s">
        <v>145</v>
      </c>
      <c r="E43" s="97">
        <v>17315.59</v>
      </c>
      <c r="F43" s="97">
        <v>8516</v>
      </c>
      <c r="G43" s="97">
        <v>3212.05</v>
      </c>
      <c r="H43" s="97">
        <v>0</v>
      </c>
      <c r="I43" s="97">
        <v>0</v>
      </c>
      <c r="J43" s="97">
        <v>0</v>
      </c>
      <c r="K43" s="97">
        <v>29043.64</v>
      </c>
      <c r="L43" s="8">
        <f t="shared" si="0"/>
        <v>958465.00999999989</v>
      </c>
      <c r="M43" s="14"/>
      <c r="N43"/>
    </row>
    <row r="44" spans="1:14" x14ac:dyDescent="0.2">
      <c r="A44" s="95">
        <v>21</v>
      </c>
      <c r="B44" s="98">
        <v>41660</v>
      </c>
      <c r="C44" s="96">
        <v>18267</v>
      </c>
      <c r="D44" s="121" t="s">
        <v>145</v>
      </c>
      <c r="E44" s="13">
        <v>20829.699999999997</v>
      </c>
      <c r="F44" s="13">
        <v>11583.32</v>
      </c>
      <c r="G44" s="13">
        <v>3438.4500000000003</v>
      </c>
      <c r="H44" s="13">
        <v>0</v>
      </c>
      <c r="I44" s="13">
        <v>0</v>
      </c>
      <c r="J44" s="13">
        <v>0</v>
      </c>
      <c r="K44" s="13">
        <v>35851.469999999994</v>
      </c>
      <c r="L44" s="8">
        <f t="shared" si="0"/>
        <v>994316.47999999986</v>
      </c>
      <c r="M44" s="14"/>
      <c r="N44"/>
    </row>
    <row r="45" spans="1:14" x14ac:dyDescent="0.2">
      <c r="A45" s="95">
        <v>27</v>
      </c>
      <c r="B45" s="98">
        <v>41660</v>
      </c>
      <c r="C45" s="96">
        <v>18268</v>
      </c>
      <c r="D45" s="121" t="s">
        <v>145</v>
      </c>
      <c r="E45" s="13">
        <v>14650.829999999996</v>
      </c>
      <c r="F45" s="13">
        <v>10333</v>
      </c>
      <c r="G45" s="13">
        <v>2518.7000000000003</v>
      </c>
      <c r="H45" s="13">
        <v>0</v>
      </c>
      <c r="I45" s="13">
        <v>0</v>
      </c>
      <c r="J45" s="13">
        <v>0</v>
      </c>
      <c r="K45" s="13">
        <v>27502.529999999995</v>
      </c>
      <c r="L45" s="8">
        <f t="shared" si="0"/>
        <v>1021819.0099999999</v>
      </c>
      <c r="M45" s="95"/>
      <c r="N45"/>
    </row>
    <row r="46" spans="1:14" x14ac:dyDescent="0.2">
      <c r="A46" s="95">
        <v>9</v>
      </c>
      <c r="B46" s="98">
        <v>41660</v>
      </c>
      <c r="C46" s="96">
        <v>18269</v>
      </c>
      <c r="D46" s="121" t="s">
        <v>145</v>
      </c>
      <c r="E46" s="13">
        <v>16344.8</v>
      </c>
      <c r="F46" s="13">
        <v>6193.1900000000005</v>
      </c>
      <c r="G46" s="13">
        <v>2518.7000000000003</v>
      </c>
      <c r="H46" s="13">
        <v>0</v>
      </c>
      <c r="I46" s="13">
        <v>0</v>
      </c>
      <c r="J46" s="13">
        <v>0</v>
      </c>
      <c r="K46" s="13">
        <v>25056.69</v>
      </c>
      <c r="L46" s="8">
        <f t="shared" si="0"/>
        <v>1046875.6999999998</v>
      </c>
      <c r="M46" s="14"/>
      <c r="N46"/>
    </row>
    <row r="47" spans="1:14" x14ac:dyDescent="0.2">
      <c r="A47" s="95">
        <v>6</v>
      </c>
      <c r="B47" s="98">
        <v>41295</v>
      </c>
      <c r="C47" s="96">
        <v>18270</v>
      </c>
      <c r="D47" s="121" t="s">
        <v>145</v>
      </c>
      <c r="E47" s="97">
        <v>6601.7000000000007</v>
      </c>
      <c r="F47" s="97">
        <v>625</v>
      </c>
      <c r="G47" s="97">
        <v>905.6</v>
      </c>
      <c r="H47" s="97">
        <v>0</v>
      </c>
      <c r="I47" s="97">
        <v>0</v>
      </c>
      <c r="J47" s="97">
        <v>0</v>
      </c>
      <c r="K47" s="97">
        <v>8132.3000000000011</v>
      </c>
      <c r="L47" s="8">
        <f t="shared" si="0"/>
        <v>1055007.9999999998</v>
      </c>
      <c r="M47" s="14"/>
      <c r="N47"/>
    </row>
    <row r="48" spans="1:14" ht="15" customHeight="1" x14ac:dyDescent="0.2">
      <c r="A48" s="95">
        <v>25</v>
      </c>
      <c r="B48" s="98">
        <v>41660</v>
      </c>
      <c r="C48" s="96">
        <v>18271</v>
      </c>
      <c r="D48" s="121" t="s">
        <v>145</v>
      </c>
      <c r="E48" s="13">
        <v>2419.63</v>
      </c>
      <c r="F48" s="13">
        <v>138</v>
      </c>
      <c r="G48" s="13">
        <v>311.3</v>
      </c>
      <c r="H48" s="13">
        <v>0</v>
      </c>
      <c r="I48" s="13">
        <v>0</v>
      </c>
      <c r="J48" s="13">
        <v>0</v>
      </c>
      <c r="K48" s="13">
        <v>2868.9300000000003</v>
      </c>
      <c r="L48" s="8">
        <f t="shared" si="0"/>
        <v>1057876.9299999997</v>
      </c>
      <c r="M48" s="95"/>
      <c r="N48"/>
    </row>
    <row r="49" spans="1:14" ht="14.25" customHeight="1" x14ac:dyDescent="0.2">
      <c r="A49" s="95">
        <v>19</v>
      </c>
      <c r="B49" s="98">
        <v>41660</v>
      </c>
      <c r="C49" s="96">
        <v>18272</v>
      </c>
      <c r="D49" s="121" t="s">
        <v>145</v>
      </c>
      <c r="E49" s="13">
        <v>6679.8400000000011</v>
      </c>
      <c r="F49" s="13">
        <v>1928</v>
      </c>
      <c r="G49" s="13">
        <v>1358.4</v>
      </c>
      <c r="H49" s="13">
        <v>0</v>
      </c>
      <c r="I49" s="13">
        <v>0</v>
      </c>
      <c r="J49" s="13">
        <v>0</v>
      </c>
      <c r="K49" s="13">
        <v>9966.24</v>
      </c>
      <c r="L49" s="8">
        <f t="shared" si="0"/>
        <v>1067843.1699999997</v>
      </c>
      <c r="M49" s="14"/>
      <c r="N49" t="s">
        <v>93</v>
      </c>
    </row>
    <row r="50" spans="1:14" x14ac:dyDescent="0.2">
      <c r="A50" s="95">
        <v>23</v>
      </c>
      <c r="B50" s="98">
        <v>41660</v>
      </c>
      <c r="C50" s="96">
        <v>18273</v>
      </c>
      <c r="D50" s="121" t="s">
        <v>145</v>
      </c>
      <c r="E50" s="13">
        <v>31241.720000000019</v>
      </c>
      <c r="F50" s="13">
        <v>10076.36</v>
      </c>
      <c r="G50" s="13">
        <v>5858.1</v>
      </c>
      <c r="H50" s="13">
        <v>0</v>
      </c>
      <c r="I50" s="13">
        <v>0</v>
      </c>
      <c r="J50" s="13">
        <v>0</v>
      </c>
      <c r="K50" s="13">
        <v>47176.180000000015</v>
      </c>
      <c r="L50" s="8">
        <f t="shared" si="0"/>
        <v>1115019.3499999996</v>
      </c>
      <c r="M50" s="14"/>
      <c r="N50"/>
    </row>
    <row r="51" spans="1:14" x14ac:dyDescent="0.2">
      <c r="A51" s="95">
        <v>3</v>
      </c>
      <c r="B51" s="98">
        <v>41660</v>
      </c>
      <c r="C51" s="96">
        <v>18274</v>
      </c>
      <c r="D51" s="121" t="s">
        <v>145</v>
      </c>
      <c r="E51" s="13">
        <v>4003.9400000000005</v>
      </c>
      <c r="F51" s="13">
        <v>566</v>
      </c>
      <c r="G51" s="13">
        <v>424.5</v>
      </c>
      <c r="H51" s="13">
        <v>0</v>
      </c>
      <c r="I51" s="13">
        <v>0</v>
      </c>
      <c r="J51" s="13">
        <v>0</v>
      </c>
      <c r="K51" s="13">
        <v>4994.4400000000005</v>
      </c>
      <c r="L51" s="8">
        <f t="shared" si="0"/>
        <v>1120013.7899999996</v>
      </c>
      <c r="M51" s="14"/>
      <c r="N51"/>
    </row>
    <row r="52" spans="1:14" x14ac:dyDescent="0.2">
      <c r="A52" s="95">
        <v>26</v>
      </c>
      <c r="B52" s="98">
        <v>41660</v>
      </c>
      <c r="C52" s="96">
        <v>18275</v>
      </c>
      <c r="D52" s="121" t="s">
        <v>145</v>
      </c>
      <c r="E52" s="13">
        <v>30171.560000000012</v>
      </c>
      <c r="F52" s="13">
        <v>37480.589999999997</v>
      </c>
      <c r="G52" s="13">
        <v>5079.8500000000004</v>
      </c>
      <c r="H52" s="13">
        <v>0</v>
      </c>
      <c r="I52" s="13">
        <v>0</v>
      </c>
      <c r="J52" s="13">
        <v>0</v>
      </c>
      <c r="K52" s="13">
        <v>72732.000000000015</v>
      </c>
      <c r="L52" s="8">
        <f t="shared" si="0"/>
        <v>1192745.7899999996</v>
      </c>
      <c r="M52" s="95"/>
      <c r="N52" t="s">
        <v>48</v>
      </c>
    </row>
    <row r="53" spans="1:14" x14ac:dyDescent="0.2">
      <c r="A53" s="95">
        <v>29</v>
      </c>
      <c r="B53" s="98">
        <v>41660</v>
      </c>
      <c r="C53" s="96">
        <v>18276</v>
      </c>
      <c r="D53" s="121" t="s">
        <v>145</v>
      </c>
      <c r="E53" s="13">
        <v>5417.94</v>
      </c>
      <c r="F53" s="13">
        <v>3048</v>
      </c>
      <c r="G53" s="13">
        <v>820.7</v>
      </c>
      <c r="H53" s="13">
        <v>0</v>
      </c>
      <c r="I53" s="13">
        <v>0</v>
      </c>
      <c r="J53" s="13">
        <v>0</v>
      </c>
      <c r="K53" s="13">
        <v>9286.64</v>
      </c>
      <c r="L53" s="8">
        <f t="shared" si="0"/>
        <v>1202032.4299999995</v>
      </c>
      <c r="M53" s="95"/>
      <c r="N53"/>
    </row>
    <row r="54" spans="1:14" x14ac:dyDescent="0.2">
      <c r="A54" s="95">
        <v>10</v>
      </c>
      <c r="B54" s="98">
        <v>41660</v>
      </c>
      <c r="C54" s="96">
        <v>18277</v>
      </c>
      <c r="D54" s="121" t="s">
        <v>145</v>
      </c>
      <c r="E54" s="13">
        <v>10144.11</v>
      </c>
      <c r="F54" s="13">
        <v>19182.569999999996</v>
      </c>
      <c r="G54" s="13">
        <v>1825.3500000000001</v>
      </c>
      <c r="H54" s="13">
        <v>0</v>
      </c>
      <c r="I54" s="13">
        <v>0</v>
      </c>
      <c r="J54" s="13">
        <v>0</v>
      </c>
      <c r="K54" s="13">
        <v>31152.029999999995</v>
      </c>
      <c r="L54" s="8">
        <f t="shared" si="0"/>
        <v>1233184.4599999995</v>
      </c>
      <c r="M54" s="14"/>
      <c r="N54"/>
    </row>
    <row r="55" spans="1:14" x14ac:dyDescent="0.2">
      <c r="A55" s="95">
        <v>33</v>
      </c>
      <c r="B55" s="98">
        <v>41295</v>
      </c>
      <c r="C55" s="96">
        <v>18279</v>
      </c>
      <c r="D55" s="121" t="s">
        <v>145</v>
      </c>
      <c r="E55" s="13">
        <v>15884.56</v>
      </c>
      <c r="F55" s="13">
        <v>8961.5400000000009</v>
      </c>
      <c r="G55" s="13">
        <v>2348.9</v>
      </c>
      <c r="H55" s="13">
        <v>0</v>
      </c>
      <c r="I55" s="13">
        <v>0</v>
      </c>
      <c r="J55" s="13">
        <v>0</v>
      </c>
      <c r="K55" s="13">
        <v>27195</v>
      </c>
      <c r="L55" s="8">
        <f t="shared" si="0"/>
        <v>1260379.4599999995</v>
      </c>
      <c r="M55" s="95"/>
      <c r="N55"/>
    </row>
    <row r="56" spans="1:14" x14ac:dyDescent="0.2">
      <c r="A56" s="95">
        <v>5</v>
      </c>
      <c r="B56" s="98">
        <v>41660</v>
      </c>
      <c r="C56" s="96">
        <v>18280</v>
      </c>
      <c r="D56" s="121" t="s">
        <v>145</v>
      </c>
      <c r="E56" s="97">
        <v>18997.64</v>
      </c>
      <c r="F56" s="97">
        <v>16032.5</v>
      </c>
      <c r="G56" s="97">
        <v>3197.9</v>
      </c>
      <c r="H56" s="97">
        <v>0</v>
      </c>
      <c r="I56" s="97">
        <v>0</v>
      </c>
      <c r="J56" s="97">
        <v>0</v>
      </c>
      <c r="K56" s="97">
        <v>38228.04</v>
      </c>
      <c r="L56" s="8">
        <f t="shared" si="0"/>
        <v>1298607.4999999995</v>
      </c>
      <c r="M56" s="14"/>
      <c r="N56"/>
    </row>
    <row r="57" spans="1:14" ht="15" customHeight="1" x14ac:dyDescent="0.2">
      <c r="A57" s="95">
        <v>14</v>
      </c>
      <c r="B57" s="98">
        <v>41660</v>
      </c>
      <c r="C57" s="96">
        <v>18281</v>
      </c>
      <c r="D57" s="121" t="s">
        <v>145</v>
      </c>
      <c r="E57" s="13">
        <v>19838.409999999996</v>
      </c>
      <c r="F57" s="13">
        <v>10579</v>
      </c>
      <c r="G57" s="13">
        <v>3042.25</v>
      </c>
      <c r="H57" s="13">
        <v>0</v>
      </c>
      <c r="I57" s="13">
        <v>0</v>
      </c>
      <c r="J57" s="13">
        <v>0</v>
      </c>
      <c r="K57" s="13">
        <v>33459.659999999996</v>
      </c>
      <c r="L57" s="8">
        <f t="shared" si="0"/>
        <v>1332067.1599999995</v>
      </c>
      <c r="M57" s="14"/>
      <c r="N57"/>
    </row>
    <row r="58" spans="1:14" ht="15" customHeight="1" x14ac:dyDescent="0.2">
      <c r="A58" s="95">
        <v>17</v>
      </c>
      <c r="B58" s="98">
        <v>41660</v>
      </c>
      <c r="C58" s="96">
        <v>18282</v>
      </c>
      <c r="D58" s="121" t="s">
        <v>145</v>
      </c>
      <c r="E58" s="13">
        <v>5686.8900000000012</v>
      </c>
      <c r="F58" s="13">
        <v>587</v>
      </c>
      <c r="G58" s="13">
        <v>1018.8000000000001</v>
      </c>
      <c r="H58" s="13">
        <v>0</v>
      </c>
      <c r="I58" s="13">
        <v>0</v>
      </c>
      <c r="J58" s="13">
        <v>0</v>
      </c>
      <c r="K58" s="13">
        <v>7292.6900000000014</v>
      </c>
      <c r="L58" s="8">
        <f t="shared" si="0"/>
        <v>1339359.8499999994</v>
      </c>
      <c r="M58" s="14"/>
      <c r="N58"/>
    </row>
    <row r="59" spans="1:14" x14ac:dyDescent="0.2">
      <c r="A59" s="95">
        <v>7</v>
      </c>
      <c r="B59" s="98">
        <v>41660</v>
      </c>
      <c r="C59" s="96">
        <v>18283</v>
      </c>
      <c r="D59" s="121" t="s">
        <v>145</v>
      </c>
      <c r="E59" s="97">
        <v>5162.1499999999996</v>
      </c>
      <c r="F59" s="97">
        <v>421</v>
      </c>
      <c r="G59" s="97">
        <v>820.7</v>
      </c>
      <c r="H59" s="97">
        <v>0</v>
      </c>
      <c r="I59" s="97">
        <v>0</v>
      </c>
      <c r="J59" s="97">
        <v>0</v>
      </c>
      <c r="K59" s="97">
        <v>6403.8499999999995</v>
      </c>
      <c r="L59" s="8">
        <f t="shared" si="0"/>
        <v>1345763.6999999995</v>
      </c>
      <c r="M59" s="14"/>
      <c r="N59"/>
    </row>
    <row r="60" spans="1:14" x14ac:dyDescent="0.2">
      <c r="A60" s="95">
        <v>31</v>
      </c>
      <c r="B60" s="98">
        <v>41660</v>
      </c>
      <c r="C60" s="96">
        <v>18284</v>
      </c>
      <c r="D60" s="121" t="s">
        <v>145</v>
      </c>
      <c r="E60" s="13">
        <v>23671.589999999997</v>
      </c>
      <c r="F60" s="13">
        <v>15202.11</v>
      </c>
      <c r="G60" s="13">
        <v>3834.65</v>
      </c>
      <c r="H60" s="13">
        <v>0</v>
      </c>
      <c r="I60" s="13">
        <v>0</v>
      </c>
      <c r="J60" s="13">
        <v>0</v>
      </c>
      <c r="K60" s="13">
        <v>42708.35</v>
      </c>
      <c r="L60" s="8">
        <f t="shared" si="0"/>
        <v>1388472.0499999996</v>
      </c>
      <c r="M60" s="95"/>
      <c r="N60"/>
    </row>
    <row r="61" spans="1:14" x14ac:dyDescent="0.2">
      <c r="A61" s="95">
        <v>35</v>
      </c>
      <c r="B61" s="98">
        <v>41660</v>
      </c>
      <c r="C61" s="96">
        <v>18285</v>
      </c>
      <c r="D61" s="121" t="s">
        <v>145</v>
      </c>
      <c r="E61" s="13">
        <v>5080.26</v>
      </c>
      <c r="F61" s="13">
        <v>1135.19</v>
      </c>
      <c r="G61" s="13">
        <v>820.7</v>
      </c>
      <c r="H61" s="13">
        <v>0</v>
      </c>
      <c r="I61" s="13">
        <v>0</v>
      </c>
      <c r="J61" s="13">
        <v>0</v>
      </c>
      <c r="K61" s="13">
        <v>7036.1500000000005</v>
      </c>
      <c r="L61" s="8">
        <f t="shared" si="0"/>
        <v>1395508.1999999995</v>
      </c>
      <c r="M61" s="95"/>
      <c r="N61"/>
    </row>
    <row r="62" spans="1:14" ht="14.25" customHeight="1" x14ac:dyDescent="0.2">
      <c r="A62" s="95">
        <v>24</v>
      </c>
      <c r="B62" s="98">
        <v>41660</v>
      </c>
      <c r="C62" s="96">
        <v>18286</v>
      </c>
      <c r="D62" s="121" t="s">
        <v>145</v>
      </c>
      <c r="E62" s="13">
        <v>24299.480000000003</v>
      </c>
      <c r="F62" s="13">
        <v>23568.320000000007</v>
      </c>
      <c r="G62" s="13">
        <v>4273.3</v>
      </c>
      <c r="H62" s="13">
        <v>0</v>
      </c>
      <c r="I62" s="13">
        <v>0</v>
      </c>
      <c r="J62" s="13">
        <v>0</v>
      </c>
      <c r="K62" s="13">
        <v>52141.100000000013</v>
      </c>
      <c r="L62" s="8">
        <f t="shared" si="0"/>
        <v>1447649.2999999996</v>
      </c>
      <c r="M62" s="14"/>
      <c r="N62" t="s">
        <v>94</v>
      </c>
    </row>
    <row r="63" spans="1:14" x14ac:dyDescent="0.2">
      <c r="A63" s="95">
        <v>30</v>
      </c>
      <c r="B63" s="98">
        <v>41660</v>
      </c>
      <c r="C63" s="96">
        <v>18287</v>
      </c>
      <c r="D63" s="121" t="s">
        <v>145</v>
      </c>
      <c r="E63" s="13">
        <v>13138.63</v>
      </c>
      <c r="F63" s="13">
        <v>1474.13</v>
      </c>
      <c r="G63" s="13">
        <v>1018.8000000000001</v>
      </c>
      <c r="H63" s="13">
        <v>0</v>
      </c>
      <c r="I63" s="13">
        <v>0</v>
      </c>
      <c r="J63" s="13">
        <v>0</v>
      </c>
      <c r="K63" s="13">
        <v>15631.559999999998</v>
      </c>
      <c r="L63" s="8">
        <f t="shared" si="0"/>
        <v>1463280.8599999996</v>
      </c>
      <c r="M63" s="95"/>
      <c r="N63"/>
    </row>
    <row r="64" spans="1:14" x14ac:dyDescent="0.2">
      <c r="A64" s="95">
        <v>4</v>
      </c>
      <c r="B64" s="98">
        <v>41660</v>
      </c>
      <c r="C64" s="96">
        <v>18288</v>
      </c>
      <c r="D64" s="121" t="s">
        <v>145</v>
      </c>
      <c r="E64" s="13">
        <v>15755.439999999997</v>
      </c>
      <c r="F64" s="13">
        <v>5329</v>
      </c>
      <c r="G64" s="13">
        <v>2164.9500000000003</v>
      </c>
      <c r="H64" s="13">
        <v>0</v>
      </c>
      <c r="I64" s="13">
        <v>0</v>
      </c>
      <c r="J64" s="13">
        <v>0</v>
      </c>
      <c r="K64" s="13">
        <v>23249.389999999996</v>
      </c>
      <c r="L64" s="8">
        <f t="shared" si="0"/>
        <v>1486530.2499999995</v>
      </c>
      <c r="M64" s="14"/>
      <c r="N64"/>
    </row>
    <row r="65" spans="1:14" x14ac:dyDescent="0.2">
      <c r="A65" s="95">
        <v>20</v>
      </c>
      <c r="B65" s="98">
        <v>41660</v>
      </c>
      <c r="C65" s="96">
        <v>18289</v>
      </c>
      <c r="D65" s="121" t="s">
        <v>145</v>
      </c>
      <c r="E65" s="13">
        <v>5356.14</v>
      </c>
      <c r="F65" s="13">
        <v>29335.210000000006</v>
      </c>
      <c r="G65" s="13">
        <v>622.6</v>
      </c>
      <c r="H65" s="13">
        <v>0</v>
      </c>
      <c r="I65" s="13">
        <v>0</v>
      </c>
      <c r="J65" s="13">
        <v>0</v>
      </c>
      <c r="K65" s="13">
        <v>35313.950000000004</v>
      </c>
      <c r="L65" s="8">
        <f t="shared" si="0"/>
        <v>1521844.1999999995</v>
      </c>
      <c r="M65" s="14"/>
      <c r="N65"/>
    </row>
    <row r="66" spans="1:14" x14ac:dyDescent="0.2">
      <c r="A66" s="95">
        <v>18</v>
      </c>
      <c r="B66" s="98">
        <v>41660</v>
      </c>
      <c r="C66" s="96">
        <v>18290</v>
      </c>
      <c r="D66" s="121" t="s">
        <v>145</v>
      </c>
      <c r="E66" s="13">
        <v>21274.140000000003</v>
      </c>
      <c r="F66" s="13">
        <v>4408</v>
      </c>
      <c r="G66" s="13">
        <v>3127.15</v>
      </c>
      <c r="H66" s="13">
        <v>0</v>
      </c>
      <c r="I66" s="13">
        <v>0</v>
      </c>
      <c r="J66" s="13">
        <v>0</v>
      </c>
      <c r="K66" s="13">
        <v>28809.290000000005</v>
      </c>
      <c r="L66" s="8">
        <f t="shared" si="0"/>
        <v>1550653.4899999995</v>
      </c>
      <c r="M66" s="14"/>
      <c r="N66"/>
    </row>
    <row r="67" spans="1:14" x14ac:dyDescent="0.2">
      <c r="A67" s="95">
        <v>15</v>
      </c>
      <c r="B67" s="98">
        <v>41660</v>
      </c>
      <c r="C67" s="96">
        <v>18292</v>
      </c>
      <c r="D67" s="121" t="s">
        <v>145</v>
      </c>
      <c r="E67" s="13">
        <v>21059.59</v>
      </c>
      <c r="F67" s="13">
        <v>5557.01</v>
      </c>
      <c r="G67" s="13">
        <v>3551.65</v>
      </c>
      <c r="H67" s="13">
        <v>0</v>
      </c>
      <c r="I67" s="13">
        <v>0</v>
      </c>
      <c r="J67" s="13">
        <v>0</v>
      </c>
      <c r="K67" s="13">
        <v>30168.25</v>
      </c>
      <c r="L67" s="8">
        <f t="shared" si="0"/>
        <v>1580821.7399999995</v>
      </c>
      <c r="M67" s="14"/>
      <c r="N67"/>
    </row>
    <row r="68" spans="1:14" x14ac:dyDescent="0.2">
      <c r="A68" s="95">
        <v>16</v>
      </c>
      <c r="B68" s="98">
        <v>41660</v>
      </c>
      <c r="C68" s="96">
        <v>18295</v>
      </c>
      <c r="D68" s="121" t="s">
        <v>145</v>
      </c>
      <c r="E68" s="13">
        <v>29536.370000000003</v>
      </c>
      <c r="F68" s="13">
        <v>10170</v>
      </c>
      <c r="G68" s="13">
        <v>4683.6500000000005</v>
      </c>
      <c r="H68" s="13">
        <v>0</v>
      </c>
      <c r="I68" s="13">
        <v>0</v>
      </c>
      <c r="J68" s="13">
        <v>0</v>
      </c>
      <c r="K68" s="13">
        <v>44390.020000000004</v>
      </c>
      <c r="L68" s="8">
        <f t="shared" ref="L68:L207" si="1">K68+L67</f>
        <v>1625211.7599999995</v>
      </c>
      <c r="M68" s="95"/>
      <c r="N68"/>
    </row>
    <row r="69" spans="1:14" x14ac:dyDescent="0.2">
      <c r="A69" s="95">
        <v>22</v>
      </c>
      <c r="B69" s="98">
        <v>41660</v>
      </c>
      <c r="C69" s="96">
        <v>18363</v>
      </c>
      <c r="D69" s="121" t="s">
        <v>145</v>
      </c>
      <c r="E69" s="13">
        <v>1798.58</v>
      </c>
      <c r="F69" s="13">
        <v>0</v>
      </c>
      <c r="G69" s="13">
        <v>183.95000000000002</v>
      </c>
      <c r="H69" s="13">
        <v>0</v>
      </c>
      <c r="I69" s="13">
        <v>0</v>
      </c>
      <c r="J69" s="13">
        <v>0</v>
      </c>
      <c r="K69" s="13">
        <v>1982.53</v>
      </c>
      <c r="L69" s="8">
        <f t="shared" si="1"/>
        <v>1627194.2899999996</v>
      </c>
      <c r="M69" s="13">
        <f>SUM(K37:K69)</f>
        <v>822997.82</v>
      </c>
      <c r="N69" t="s">
        <v>95</v>
      </c>
    </row>
    <row r="70" spans="1:14" x14ac:dyDescent="0.2">
      <c r="L70" s="8">
        <f t="shared" si="1"/>
        <v>1627194.2899999996</v>
      </c>
    </row>
    <row r="71" spans="1:14" x14ac:dyDescent="0.2">
      <c r="A71" s="99">
        <v>1</v>
      </c>
      <c r="B71" s="16">
        <v>41661</v>
      </c>
      <c r="C71" s="17">
        <v>18304</v>
      </c>
      <c r="D71" s="121" t="s">
        <v>145</v>
      </c>
      <c r="E71" s="101">
        <v>22476.670000000002</v>
      </c>
      <c r="F71" s="101">
        <v>11426.380000000001</v>
      </c>
      <c r="G71" s="101">
        <v>3551.65</v>
      </c>
      <c r="H71" s="101">
        <v>0</v>
      </c>
      <c r="I71" s="101">
        <v>0</v>
      </c>
      <c r="J71" s="101">
        <v>0</v>
      </c>
      <c r="K71" s="13">
        <v>37454.700000000004</v>
      </c>
      <c r="L71" s="8">
        <f t="shared" si="1"/>
        <v>1664648.9899999995</v>
      </c>
      <c r="M71" s="99"/>
      <c r="N71"/>
    </row>
    <row r="72" spans="1:14" ht="14.25" customHeight="1" x14ac:dyDescent="0.2">
      <c r="A72" s="99">
        <v>8</v>
      </c>
      <c r="B72" s="102">
        <v>41661</v>
      </c>
      <c r="C72" s="100">
        <v>18310</v>
      </c>
      <c r="D72" s="121" t="s">
        <v>145</v>
      </c>
      <c r="E72" s="13">
        <v>6886.8</v>
      </c>
      <c r="F72" s="13">
        <v>1864</v>
      </c>
      <c r="G72" s="13">
        <v>1160.3</v>
      </c>
      <c r="H72" s="13">
        <v>0</v>
      </c>
      <c r="I72" s="13">
        <v>0</v>
      </c>
      <c r="J72" s="13">
        <v>0</v>
      </c>
      <c r="K72" s="13">
        <v>9911.0999999999985</v>
      </c>
      <c r="L72" s="8">
        <f t="shared" si="1"/>
        <v>1674560.0899999996</v>
      </c>
      <c r="M72" s="14"/>
      <c r="N72"/>
    </row>
    <row r="73" spans="1:14" ht="13.5" customHeight="1" x14ac:dyDescent="0.2">
      <c r="A73" s="99">
        <v>28</v>
      </c>
      <c r="B73" s="102">
        <v>41661</v>
      </c>
      <c r="C73" s="100">
        <v>18311</v>
      </c>
      <c r="D73" s="121" t="s">
        <v>145</v>
      </c>
      <c r="E73" s="13">
        <v>24509.030000000002</v>
      </c>
      <c r="F73" s="13">
        <v>9040.7099999999991</v>
      </c>
      <c r="G73" s="13">
        <v>4499.7</v>
      </c>
      <c r="H73" s="13">
        <v>0</v>
      </c>
      <c r="I73" s="13">
        <v>0</v>
      </c>
      <c r="J73" s="13">
        <v>0</v>
      </c>
      <c r="K73" s="13">
        <v>38049.440000000002</v>
      </c>
      <c r="L73" s="8">
        <f t="shared" si="1"/>
        <v>1712609.5299999996</v>
      </c>
      <c r="M73" s="14"/>
      <c r="N73"/>
    </row>
    <row r="74" spans="1:14" x14ac:dyDescent="0.2">
      <c r="A74" s="99">
        <v>12</v>
      </c>
      <c r="B74" s="102">
        <v>41661</v>
      </c>
      <c r="C74" s="100">
        <v>18312</v>
      </c>
      <c r="D74" s="121" t="s">
        <v>145</v>
      </c>
      <c r="E74" s="13">
        <v>14665.119999999999</v>
      </c>
      <c r="F74" s="13">
        <v>8879</v>
      </c>
      <c r="G74" s="13">
        <v>2518.7000000000003</v>
      </c>
      <c r="H74" s="13">
        <v>0</v>
      </c>
      <c r="I74" s="13">
        <v>0</v>
      </c>
      <c r="J74" s="13">
        <v>0</v>
      </c>
      <c r="K74" s="13">
        <v>26062.82</v>
      </c>
      <c r="L74" s="8">
        <f t="shared" si="1"/>
        <v>1738672.3499999996</v>
      </c>
      <c r="M74" s="14"/>
      <c r="N74"/>
    </row>
    <row r="75" spans="1:14" x14ac:dyDescent="0.2">
      <c r="A75" s="99">
        <v>32</v>
      </c>
      <c r="B75" s="102">
        <v>41661</v>
      </c>
      <c r="C75" s="100">
        <v>18315</v>
      </c>
      <c r="D75" s="121" t="s">
        <v>145</v>
      </c>
      <c r="E75" s="13">
        <v>1258.1400000000001</v>
      </c>
      <c r="F75" s="13">
        <v>375</v>
      </c>
      <c r="G75" s="13">
        <v>169.8</v>
      </c>
      <c r="H75" s="13">
        <v>0</v>
      </c>
      <c r="I75" s="13">
        <v>0</v>
      </c>
      <c r="J75" s="13">
        <v>0</v>
      </c>
      <c r="K75" s="13">
        <v>1802.94</v>
      </c>
      <c r="L75" s="8">
        <f t="shared" si="1"/>
        <v>1740475.2899999996</v>
      </c>
      <c r="M75" s="99"/>
      <c r="N75"/>
    </row>
    <row r="76" spans="1:14" ht="15" customHeight="1" x14ac:dyDescent="0.2">
      <c r="A76" s="99">
        <v>11</v>
      </c>
      <c r="B76" s="102">
        <v>41661</v>
      </c>
      <c r="C76" s="100">
        <v>18318</v>
      </c>
      <c r="D76" s="121" t="s">
        <v>145</v>
      </c>
      <c r="E76" s="13">
        <v>15370.06</v>
      </c>
      <c r="F76" s="13">
        <v>1091</v>
      </c>
      <c r="G76" s="13">
        <v>1415</v>
      </c>
      <c r="H76" s="13">
        <v>0</v>
      </c>
      <c r="I76" s="13">
        <v>0</v>
      </c>
      <c r="J76" s="13">
        <v>0</v>
      </c>
      <c r="K76" s="13">
        <v>17876.059999999998</v>
      </c>
      <c r="L76" s="8">
        <f t="shared" si="1"/>
        <v>1758351.3499999996</v>
      </c>
      <c r="M76" s="99"/>
      <c r="N76"/>
    </row>
    <row r="77" spans="1:14" x14ac:dyDescent="0.2">
      <c r="A77" s="99">
        <v>2</v>
      </c>
      <c r="B77" s="102">
        <v>41661</v>
      </c>
      <c r="C77" s="100">
        <v>18322</v>
      </c>
      <c r="D77" s="121" t="s">
        <v>145</v>
      </c>
      <c r="E77" s="101">
        <v>17315.59</v>
      </c>
      <c r="F77" s="101">
        <v>8516</v>
      </c>
      <c r="G77" s="101">
        <v>3212.05</v>
      </c>
      <c r="H77" s="101">
        <v>0</v>
      </c>
      <c r="I77" s="101">
        <v>0</v>
      </c>
      <c r="J77" s="101">
        <v>0</v>
      </c>
      <c r="K77" s="101">
        <v>29043.64</v>
      </c>
      <c r="L77" s="8">
        <f t="shared" si="1"/>
        <v>1787394.9899999995</v>
      </c>
      <c r="M77" s="14"/>
      <c r="N77" t="s">
        <v>101</v>
      </c>
    </row>
    <row r="78" spans="1:14" x14ac:dyDescent="0.2">
      <c r="A78" s="99">
        <v>21</v>
      </c>
      <c r="B78" s="102">
        <v>41661</v>
      </c>
      <c r="C78" s="100">
        <v>18334</v>
      </c>
      <c r="D78" s="121" t="s">
        <v>145</v>
      </c>
      <c r="E78" s="13">
        <v>26521.300000000003</v>
      </c>
      <c r="F78" s="13">
        <v>12735.32</v>
      </c>
      <c r="G78" s="13">
        <v>4400.6500000000005</v>
      </c>
      <c r="H78" s="13">
        <v>0</v>
      </c>
      <c r="I78" s="13">
        <v>0</v>
      </c>
      <c r="J78" s="13">
        <v>0</v>
      </c>
      <c r="K78" s="13">
        <v>43657.270000000004</v>
      </c>
      <c r="L78" s="8">
        <f t="shared" si="1"/>
        <v>1831052.2599999995</v>
      </c>
      <c r="M78" s="14"/>
      <c r="N78"/>
    </row>
    <row r="79" spans="1:14" x14ac:dyDescent="0.2">
      <c r="A79" s="99">
        <v>27</v>
      </c>
      <c r="B79" s="102">
        <v>41661</v>
      </c>
      <c r="C79" s="100">
        <v>18337</v>
      </c>
      <c r="D79" s="121" t="s">
        <v>145</v>
      </c>
      <c r="E79" s="13">
        <v>14675.039999999997</v>
      </c>
      <c r="F79" s="13">
        <v>10333</v>
      </c>
      <c r="G79" s="13">
        <v>2518.7000000000003</v>
      </c>
      <c r="H79" s="13">
        <v>0</v>
      </c>
      <c r="I79" s="13">
        <v>0</v>
      </c>
      <c r="J79" s="13">
        <v>0</v>
      </c>
      <c r="K79" s="13">
        <v>27526.739999999998</v>
      </c>
      <c r="L79" s="8">
        <f t="shared" si="1"/>
        <v>1858578.9999999995</v>
      </c>
      <c r="M79" s="99"/>
      <c r="N79"/>
    </row>
    <row r="80" spans="1:14" x14ac:dyDescent="0.2">
      <c r="A80" s="99">
        <v>9</v>
      </c>
      <c r="B80" s="102">
        <v>41661</v>
      </c>
      <c r="C80" s="100">
        <v>18338</v>
      </c>
      <c r="D80" s="121" t="s">
        <v>145</v>
      </c>
      <c r="E80" s="13">
        <v>17453.339999999997</v>
      </c>
      <c r="F80" s="13">
        <v>9928.19</v>
      </c>
      <c r="G80" s="13">
        <v>2490.4</v>
      </c>
      <c r="H80" s="13">
        <v>0</v>
      </c>
      <c r="I80" s="13">
        <v>0</v>
      </c>
      <c r="J80" s="13">
        <v>0</v>
      </c>
      <c r="K80" s="13">
        <v>29871.93</v>
      </c>
      <c r="L80" s="8">
        <f t="shared" si="1"/>
        <v>1888450.9299999995</v>
      </c>
      <c r="M80" s="14"/>
      <c r="N80"/>
    </row>
    <row r="81" spans="1:15" x14ac:dyDescent="0.2">
      <c r="A81" s="99">
        <v>6</v>
      </c>
      <c r="B81" s="102">
        <v>41661</v>
      </c>
      <c r="C81" s="100">
        <v>18339</v>
      </c>
      <c r="D81" s="121" t="s">
        <v>145</v>
      </c>
      <c r="E81" s="101">
        <v>6601.7000000000007</v>
      </c>
      <c r="F81" s="101">
        <v>625</v>
      </c>
      <c r="G81" s="101">
        <v>905.6</v>
      </c>
      <c r="H81" s="101">
        <v>0</v>
      </c>
      <c r="I81" s="101">
        <v>0</v>
      </c>
      <c r="J81" s="101">
        <v>0</v>
      </c>
      <c r="K81" s="101">
        <v>8132.3000000000011</v>
      </c>
      <c r="L81" s="8">
        <f t="shared" si="1"/>
        <v>1896583.2299999995</v>
      </c>
      <c r="M81" s="14"/>
      <c r="N81"/>
    </row>
    <row r="82" spans="1:15" ht="15" customHeight="1" x14ac:dyDescent="0.2">
      <c r="A82" s="99">
        <v>25</v>
      </c>
      <c r="B82" s="102">
        <v>41661</v>
      </c>
      <c r="C82" s="100">
        <v>18340</v>
      </c>
      <c r="D82" s="121" t="s">
        <v>145</v>
      </c>
      <c r="E82" s="13">
        <v>2419.63</v>
      </c>
      <c r="F82" s="13">
        <v>138</v>
      </c>
      <c r="G82" s="13">
        <v>311.3</v>
      </c>
      <c r="H82" s="13">
        <v>0</v>
      </c>
      <c r="I82" s="13">
        <v>0</v>
      </c>
      <c r="J82" s="13">
        <v>0</v>
      </c>
      <c r="K82" s="13">
        <v>2868.9300000000003</v>
      </c>
      <c r="L82" s="8">
        <f t="shared" si="1"/>
        <v>1899452.1599999995</v>
      </c>
      <c r="M82" s="99"/>
      <c r="N82"/>
    </row>
    <row r="83" spans="1:15" ht="14.25" customHeight="1" x14ac:dyDescent="0.2">
      <c r="A83" s="99">
        <v>19</v>
      </c>
      <c r="B83" s="102">
        <v>41661</v>
      </c>
      <c r="C83" s="100">
        <v>18341</v>
      </c>
      <c r="D83" s="121" t="s">
        <v>145</v>
      </c>
      <c r="E83" s="13">
        <v>6679.8400000000011</v>
      </c>
      <c r="F83" s="13">
        <v>1928</v>
      </c>
      <c r="G83" s="13">
        <v>1358.4</v>
      </c>
      <c r="H83" s="13">
        <v>0</v>
      </c>
      <c r="I83" s="13">
        <v>0</v>
      </c>
      <c r="J83" s="13">
        <v>0</v>
      </c>
      <c r="K83" s="13">
        <v>9966.24</v>
      </c>
      <c r="L83" s="8">
        <f t="shared" si="1"/>
        <v>1909418.3999999994</v>
      </c>
      <c r="M83" s="14"/>
      <c r="N83"/>
    </row>
    <row r="84" spans="1:15" x14ac:dyDescent="0.2">
      <c r="A84" s="99">
        <v>23</v>
      </c>
      <c r="B84" s="102">
        <v>41661</v>
      </c>
      <c r="C84" s="100">
        <v>18342</v>
      </c>
      <c r="D84" s="121" t="s">
        <v>145</v>
      </c>
      <c r="E84" s="13">
        <v>31251.590000000015</v>
      </c>
      <c r="F84" s="13">
        <v>9931.36</v>
      </c>
      <c r="G84" s="13">
        <v>5858.1</v>
      </c>
      <c r="H84" s="13">
        <v>0</v>
      </c>
      <c r="I84" s="13">
        <v>0</v>
      </c>
      <c r="J84" s="13">
        <v>0</v>
      </c>
      <c r="K84" s="13">
        <v>47041.05000000001</v>
      </c>
      <c r="L84" s="8">
        <f t="shared" si="1"/>
        <v>1956459.4499999995</v>
      </c>
      <c r="M84" s="14"/>
      <c r="N84"/>
    </row>
    <row r="85" spans="1:15" x14ac:dyDescent="0.2">
      <c r="A85" s="99">
        <v>3</v>
      </c>
      <c r="B85" s="102">
        <v>41661</v>
      </c>
      <c r="C85" s="100">
        <v>18343</v>
      </c>
      <c r="D85" s="121" t="s">
        <v>145</v>
      </c>
      <c r="E85" s="13">
        <v>5084.6600000000008</v>
      </c>
      <c r="F85" s="13">
        <v>719</v>
      </c>
      <c r="G85" s="13">
        <v>594.30000000000007</v>
      </c>
      <c r="H85" s="13">
        <v>0</v>
      </c>
      <c r="I85" s="13">
        <v>0</v>
      </c>
      <c r="J85" s="13">
        <v>0</v>
      </c>
      <c r="K85" s="13">
        <v>6397.9600000000009</v>
      </c>
      <c r="L85" s="8">
        <f t="shared" si="1"/>
        <v>1962857.4099999995</v>
      </c>
      <c r="M85" s="14"/>
      <c r="N85"/>
    </row>
    <row r="86" spans="1:15" x14ac:dyDescent="0.2">
      <c r="A86" s="99">
        <v>26</v>
      </c>
      <c r="B86" s="102">
        <v>41661</v>
      </c>
      <c r="C86" s="100">
        <v>18344</v>
      </c>
      <c r="D86" s="121" t="s">
        <v>145</v>
      </c>
      <c r="E86" s="13">
        <v>29018.690000000013</v>
      </c>
      <c r="F86" s="13">
        <v>37480.589999999997</v>
      </c>
      <c r="G86" s="13">
        <v>4910.05</v>
      </c>
      <c r="H86" s="13">
        <v>0</v>
      </c>
      <c r="I86" s="13">
        <v>0</v>
      </c>
      <c r="J86" s="13">
        <v>0</v>
      </c>
      <c r="K86" s="13">
        <v>71409.330000000016</v>
      </c>
      <c r="L86" s="8">
        <f t="shared" si="1"/>
        <v>2034266.7399999995</v>
      </c>
      <c r="M86" s="99"/>
      <c r="N86"/>
    </row>
    <row r="87" spans="1:15" x14ac:dyDescent="0.2">
      <c r="A87" s="99">
        <v>29</v>
      </c>
      <c r="B87" s="102">
        <v>41661</v>
      </c>
      <c r="C87" s="100">
        <v>18345</v>
      </c>
      <c r="D87" s="121" t="s">
        <v>145</v>
      </c>
      <c r="E87" s="13">
        <v>5514.2999999999993</v>
      </c>
      <c r="F87" s="13">
        <v>3048</v>
      </c>
      <c r="G87" s="13">
        <v>820.7</v>
      </c>
      <c r="H87" s="13">
        <v>0</v>
      </c>
      <c r="I87" s="13">
        <v>0</v>
      </c>
      <c r="J87" s="13">
        <v>0</v>
      </c>
      <c r="K87" s="13">
        <v>9383</v>
      </c>
      <c r="L87" s="8">
        <f t="shared" si="1"/>
        <v>2043649.7399999995</v>
      </c>
      <c r="M87" s="99"/>
      <c r="N87"/>
    </row>
    <row r="88" spans="1:15" x14ac:dyDescent="0.2">
      <c r="A88" s="99">
        <v>10</v>
      </c>
      <c r="B88" s="102">
        <v>41661</v>
      </c>
      <c r="C88" s="100">
        <v>18346</v>
      </c>
      <c r="D88" s="121" t="s">
        <v>145</v>
      </c>
      <c r="E88" s="13">
        <v>9879.6299999999992</v>
      </c>
      <c r="F88" s="13">
        <v>18803.569999999996</v>
      </c>
      <c r="G88" s="13">
        <v>1782.9</v>
      </c>
      <c r="H88" s="13">
        <v>0</v>
      </c>
      <c r="I88" s="13">
        <v>0</v>
      </c>
      <c r="J88" s="13">
        <v>0</v>
      </c>
      <c r="K88" s="13">
        <v>30466.1</v>
      </c>
      <c r="L88" s="8">
        <f t="shared" si="1"/>
        <v>2074115.8399999996</v>
      </c>
      <c r="M88" s="14"/>
      <c r="N88"/>
    </row>
    <row r="89" spans="1:15" x14ac:dyDescent="0.2">
      <c r="A89" s="99">
        <v>33</v>
      </c>
      <c r="B89" s="102">
        <v>41661</v>
      </c>
      <c r="C89" s="100">
        <v>18347</v>
      </c>
      <c r="D89" s="121" t="s">
        <v>145</v>
      </c>
      <c r="E89" s="13">
        <v>14651.279999999997</v>
      </c>
      <c r="F89" s="13">
        <v>8865.5400000000009</v>
      </c>
      <c r="G89" s="13">
        <v>2348.9</v>
      </c>
      <c r="H89" s="13">
        <v>0</v>
      </c>
      <c r="I89" s="13">
        <v>0</v>
      </c>
      <c r="J89" s="13">
        <v>0</v>
      </c>
      <c r="K89" s="13">
        <v>25865.72</v>
      </c>
      <c r="L89" s="8">
        <f t="shared" si="1"/>
        <v>2099981.5599999996</v>
      </c>
      <c r="M89" s="99"/>
      <c r="N89"/>
    </row>
    <row r="90" spans="1:15" x14ac:dyDescent="0.2">
      <c r="A90" s="99">
        <v>5</v>
      </c>
      <c r="B90" s="102">
        <v>41661</v>
      </c>
      <c r="C90" s="100">
        <v>18348</v>
      </c>
      <c r="D90" s="121" t="s">
        <v>145</v>
      </c>
      <c r="E90" s="101">
        <v>19094</v>
      </c>
      <c r="F90" s="101">
        <v>16157.5</v>
      </c>
      <c r="G90" s="101">
        <v>3197.9</v>
      </c>
      <c r="H90" s="101">
        <v>0</v>
      </c>
      <c r="I90" s="101">
        <v>0</v>
      </c>
      <c r="J90" s="101">
        <v>0</v>
      </c>
      <c r="K90" s="101">
        <v>38449.4</v>
      </c>
      <c r="L90" s="8">
        <f t="shared" si="1"/>
        <v>2138430.9599999995</v>
      </c>
      <c r="M90" s="14"/>
      <c r="N90"/>
    </row>
    <row r="91" spans="1:15" ht="15" customHeight="1" x14ac:dyDescent="0.2">
      <c r="A91" s="99">
        <v>14</v>
      </c>
      <c r="B91" s="102">
        <v>41661</v>
      </c>
      <c r="C91" s="100">
        <v>18349</v>
      </c>
      <c r="D91" s="121" t="s">
        <v>145</v>
      </c>
      <c r="E91" s="13">
        <v>18027.560000000001</v>
      </c>
      <c r="F91" s="13">
        <v>10387</v>
      </c>
      <c r="G91" s="13">
        <v>2985.65</v>
      </c>
      <c r="H91" s="13">
        <v>0</v>
      </c>
      <c r="I91" s="13">
        <v>0</v>
      </c>
      <c r="J91" s="13">
        <v>0</v>
      </c>
      <c r="K91" s="13">
        <v>31400.210000000003</v>
      </c>
      <c r="L91" s="8">
        <f t="shared" si="1"/>
        <v>2169831.1699999995</v>
      </c>
      <c r="M91" s="14"/>
      <c r="N91"/>
    </row>
    <row r="92" spans="1:15" ht="15" customHeight="1" x14ac:dyDescent="0.2">
      <c r="A92" s="99">
        <v>17</v>
      </c>
      <c r="B92" s="102">
        <v>41661</v>
      </c>
      <c r="C92" s="100">
        <v>18350</v>
      </c>
      <c r="D92" s="121" t="s">
        <v>145</v>
      </c>
      <c r="E92" s="13">
        <v>5686.8900000000012</v>
      </c>
      <c r="F92" s="13">
        <v>587</v>
      </c>
      <c r="G92" s="13">
        <v>1018.8000000000001</v>
      </c>
      <c r="H92" s="13">
        <v>0</v>
      </c>
      <c r="I92" s="13">
        <v>0</v>
      </c>
      <c r="J92" s="13">
        <v>0</v>
      </c>
      <c r="K92" s="13">
        <v>7292.6900000000014</v>
      </c>
      <c r="L92" s="8">
        <f t="shared" si="1"/>
        <v>2177123.8599999994</v>
      </c>
      <c r="M92" s="14"/>
      <c r="N92"/>
    </row>
    <row r="93" spans="1:15" x14ac:dyDescent="0.2">
      <c r="A93" s="99">
        <v>7</v>
      </c>
      <c r="B93" s="102">
        <v>41661</v>
      </c>
      <c r="C93" s="100">
        <v>18351</v>
      </c>
      <c r="D93" s="121" t="s">
        <v>145</v>
      </c>
      <c r="E93" s="101">
        <v>3166.3900000000003</v>
      </c>
      <c r="F93" s="101">
        <v>421</v>
      </c>
      <c r="G93" s="101">
        <v>311.3</v>
      </c>
      <c r="H93" s="101">
        <v>0</v>
      </c>
      <c r="I93" s="101">
        <v>0</v>
      </c>
      <c r="J93" s="101">
        <v>0</v>
      </c>
      <c r="K93" s="101">
        <v>3898.6900000000005</v>
      </c>
      <c r="L93" s="8">
        <f t="shared" si="1"/>
        <v>2181022.5499999993</v>
      </c>
      <c r="M93" s="14"/>
      <c r="N93"/>
    </row>
    <row r="94" spans="1:15" x14ac:dyDescent="0.2">
      <c r="A94" s="99">
        <v>31</v>
      </c>
      <c r="B94" s="102">
        <v>41661</v>
      </c>
      <c r="C94" s="100">
        <v>18352</v>
      </c>
      <c r="D94" s="121" t="s">
        <v>145</v>
      </c>
      <c r="E94" s="13">
        <v>24675.829999999994</v>
      </c>
      <c r="F94" s="13">
        <v>16018.11</v>
      </c>
      <c r="G94" s="13">
        <v>4004.4500000000003</v>
      </c>
      <c r="H94" s="13">
        <v>0</v>
      </c>
      <c r="I94" s="13">
        <v>0</v>
      </c>
      <c r="J94" s="13">
        <v>0</v>
      </c>
      <c r="K94" s="13">
        <v>44698.389999999992</v>
      </c>
      <c r="L94" s="8">
        <f t="shared" si="1"/>
        <v>2225720.9399999995</v>
      </c>
      <c r="M94" s="99"/>
      <c r="N94"/>
    </row>
    <row r="95" spans="1:15" x14ac:dyDescent="0.2">
      <c r="A95" s="99">
        <v>35</v>
      </c>
      <c r="B95" s="102">
        <v>41661</v>
      </c>
      <c r="C95" s="100">
        <v>18353</v>
      </c>
      <c r="D95" s="121" t="s">
        <v>145</v>
      </c>
      <c r="E95" s="13">
        <v>4990.57</v>
      </c>
      <c r="F95" s="13">
        <v>1135.19</v>
      </c>
      <c r="G95" s="13">
        <v>820.7</v>
      </c>
      <c r="H95" s="13">
        <v>0</v>
      </c>
      <c r="I95" s="13">
        <v>0</v>
      </c>
      <c r="J95" s="13">
        <v>0</v>
      </c>
      <c r="K95" s="13">
        <v>6946.46</v>
      </c>
      <c r="L95" s="8">
        <f t="shared" si="1"/>
        <v>2232667.3999999994</v>
      </c>
      <c r="M95" s="99"/>
      <c r="N95"/>
    </row>
    <row r="96" spans="1:15" ht="14.25" customHeight="1" x14ac:dyDescent="0.2">
      <c r="A96" s="99">
        <v>24</v>
      </c>
      <c r="B96" s="102">
        <v>41661</v>
      </c>
      <c r="C96" s="100">
        <v>18354</v>
      </c>
      <c r="D96" s="121" t="s">
        <v>145</v>
      </c>
      <c r="E96" s="13">
        <v>23303.83</v>
      </c>
      <c r="F96" s="13">
        <v>23568.320000000007</v>
      </c>
      <c r="G96" s="13">
        <v>4117.6500000000005</v>
      </c>
      <c r="H96" s="13">
        <v>0</v>
      </c>
      <c r="I96" s="13">
        <v>0</v>
      </c>
      <c r="J96" s="13">
        <v>0</v>
      </c>
      <c r="K96" s="13">
        <v>50989.80000000001</v>
      </c>
      <c r="L96" s="8">
        <f t="shared" si="1"/>
        <v>2283657.1999999993</v>
      </c>
      <c r="M96" s="14"/>
      <c r="N96" t="s">
        <v>102</v>
      </c>
      <c r="O96" t="s">
        <v>103</v>
      </c>
    </row>
    <row r="97" spans="1:14" x14ac:dyDescent="0.2">
      <c r="A97" s="99">
        <v>30</v>
      </c>
      <c r="B97" s="102">
        <v>41661</v>
      </c>
      <c r="C97" s="100">
        <v>18355</v>
      </c>
      <c r="D97" s="121" t="s">
        <v>145</v>
      </c>
      <c r="E97" s="13">
        <v>13138.63</v>
      </c>
      <c r="F97" s="13">
        <v>1474.13</v>
      </c>
      <c r="G97" s="13">
        <v>1018.8000000000001</v>
      </c>
      <c r="H97" s="13">
        <v>0</v>
      </c>
      <c r="I97" s="13">
        <v>0</v>
      </c>
      <c r="J97" s="13">
        <v>0</v>
      </c>
      <c r="K97" s="13">
        <v>15631.559999999998</v>
      </c>
      <c r="L97" s="8">
        <f t="shared" si="1"/>
        <v>2299288.7599999993</v>
      </c>
      <c r="M97" s="99"/>
      <c r="N97"/>
    </row>
    <row r="98" spans="1:14" x14ac:dyDescent="0.2">
      <c r="A98" s="99">
        <v>4</v>
      </c>
      <c r="B98" s="102">
        <v>41661</v>
      </c>
      <c r="C98" s="100">
        <v>18356</v>
      </c>
      <c r="D98" s="121" t="s">
        <v>145</v>
      </c>
      <c r="E98" s="13">
        <v>15923.949999999999</v>
      </c>
      <c r="F98" s="13">
        <v>5329</v>
      </c>
      <c r="G98" s="13">
        <v>2348.9</v>
      </c>
      <c r="H98" s="13">
        <v>0</v>
      </c>
      <c r="I98" s="13">
        <v>0</v>
      </c>
      <c r="J98" s="13">
        <v>0</v>
      </c>
      <c r="K98" s="13">
        <v>23601.85</v>
      </c>
      <c r="L98" s="8">
        <f t="shared" si="1"/>
        <v>2322890.6099999994</v>
      </c>
      <c r="M98" s="14"/>
      <c r="N98"/>
    </row>
    <row r="99" spans="1:14" x14ac:dyDescent="0.2">
      <c r="A99" s="99">
        <v>20</v>
      </c>
      <c r="B99" s="102">
        <v>41661</v>
      </c>
      <c r="C99" s="100">
        <v>18357</v>
      </c>
      <c r="D99" s="121" t="s">
        <v>145</v>
      </c>
      <c r="E99" s="13">
        <v>5356.14</v>
      </c>
      <c r="F99" s="13">
        <v>28120.210000000006</v>
      </c>
      <c r="G99" s="13">
        <v>622.6</v>
      </c>
      <c r="H99" s="13">
        <v>0</v>
      </c>
      <c r="I99" s="13">
        <v>0</v>
      </c>
      <c r="J99" s="13">
        <v>0</v>
      </c>
      <c r="K99" s="13">
        <v>34098.950000000004</v>
      </c>
      <c r="L99" s="8">
        <f t="shared" si="1"/>
        <v>2356989.5599999996</v>
      </c>
      <c r="M99" s="14"/>
      <c r="N99"/>
    </row>
    <row r="100" spans="1:14" x14ac:dyDescent="0.2">
      <c r="A100" s="99">
        <v>18</v>
      </c>
      <c r="B100" s="102">
        <v>41661</v>
      </c>
      <c r="C100" s="100">
        <v>18358</v>
      </c>
      <c r="D100" s="121" t="s">
        <v>145</v>
      </c>
      <c r="E100" s="13">
        <v>22037.599999999999</v>
      </c>
      <c r="F100" s="13">
        <v>3256</v>
      </c>
      <c r="G100" s="13">
        <v>3509.2000000000003</v>
      </c>
      <c r="H100" s="13">
        <v>0</v>
      </c>
      <c r="I100" s="13">
        <v>0</v>
      </c>
      <c r="J100" s="13">
        <v>0</v>
      </c>
      <c r="K100" s="13">
        <v>28802.799999999999</v>
      </c>
      <c r="L100" s="8">
        <f t="shared" si="1"/>
        <v>2385792.3599999994</v>
      </c>
      <c r="M100" s="14"/>
      <c r="N100"/>
    </row>
    <row r="101" spans="1:14" x14ac:dyDescent="0.2">
      <c r="A101" s="99">
        <v>15</v>
      </c>
      <c r="B101" s="102">
        <v>41661</v>
      </c>
      <c r="C101" s="100">
        <v>18359</v>
      </c>
      <c r="D101" s="121" t="s">
        <v>145</v>
      </c>
      <c r="E101" s="13">
        <v>22122.73</v>
      </c>
      <c r="F101" s="13">
        <v>5394.01</v>
      </c>
      <c r="G101" s="13">
        <v>3551.65</v>
      </c>
      <c r="H101" s="13">
        <v>0</v>
      </c>
      <c r="I101" s="13">
        <v>0</v>
      </c>
      <c r="J101" s="13">
        <v>0</v>
      </c>
      <c r="K101" s="13">
        <v>31068.39</v>
      </c>
      <c r="L101" s="8">
        <f t="shared" si="1"/>
        <v>2416860.7499999995</v>
      </c>
      <c r="M101" s="14"/>
      <c r="N101"/>
    </row>
    <row r="102" spans="1:14" x14ac:dyDescent="0.2">
      <c r="A102" s="99">
        <v>16</v>
      </c>
      <c r="B102" s="102">
        <v>41661</v>
      </c>
      <c r="C102" s="100">
        <v>18360</v>
      </c>
      <c r="D102" s="121" t="s">
        <v>145</v>
      </c>
      <c r="E102" s="13">
        <v>29325.730000000007</v>
      </c>
      <c r="F102" s="13">
        <v>10170</v>
      </c>
      <c r="G102" s="13">
        <v>4542.1500000000005</v>
      </c>
      <c r="H102" s="13">
        <v>0</v>
      </c>
      <c r="I102" s="13">
        <v>0</v>
      </c>
      <c r="J102" s="13">
        <v>0</v>
      </c>
      <c r="K102" s="13">
        <v>44037.880000000012</v>
      </c>
      <c r="L102" s="8">
        <f t="shared" si="1"/>
        <v>2460898.6299999994</v>
      </c>
      <c r="M102" s="101">
        <f>SUM(K71:K102)</f>
        <v>833704.34</v>
      </c>
      <c r="N102"/>
    </row>
    <row r="103" spans="1:14" x14ac:dyDescent="0.2">
      <c r="L103" s="8">
        <f t="shared" si="1"/>
        <v>2460898.6299999994</v>
      </c>
    </row>
    <row r="104" spans="1:14" x14ac:dyDescent="0.2">
      <c r="A104" s="103">
        <v>1</v>
      </c>
      <c r="B104" s="16">
        <v>41662</v>
      </c>
      <c r="C104" s="17">
        <v>18394</v>
      </c>
      <c r="D104" s="121" t="s">
        <v>145</v>
      </c>
      <c r="E104" s="105">
        <v>22221.15</v>
      </c>
      <c r="F104" s="105">
        <v>11426.380000000001</v>
      </c>
      <c r="G104" s="105">
        <v>3551.65</v>
      </c>
      <c r="H104" s="105">
        <v>0</v>
      </c>
      <c r="I104" s="105">
        <v>0</v>
      </c>
      <c r="J104" s="105">
        <v>0</v>
      </c>
      <c r="K104" s="13">
        <v>37199.18</v>
      </c>
      <c r="L104" s="8">
        <f t="shared" si="1"/>
        <v>2498097.8099999996</v>
      </c>
      <c r="M104" s="103"/>
      <c r="N104"/>
    </row>
    <row r="105" spans="1:14" ht="14.25" customHeight="1" x14ac:dyDescent="0.2">
      <c r="A105" s="103">
        <v>8</v>
      </c>
      <c r="B105" s="106">
        <v>41662</v>
      </c>
      <c r="C105" s="104">
        <v>18395</v>
      </c>
      <c r="D105" s="121" t="s">
        <v>145</v>
      </c>
      <c r="E105" s="13">
        <v>6983.16</v>
      </c>
      <c r="F105" s="13">
        <v>1864</v>
      </c>
      <c r="G105" s="13">
        <v>1160.3</v>
      </c>
      <c r="H105" s="13">
        <v>0</v>
      </c>
      <c r="I105" s="13">
        <v>0</v>
      </c>
      <c r="J105" s="13">
        <v>0</v>
      </c>
      <c r="K105" s="13">
        <v>10007.459999999999</v>
      </c>
      <c r="L105" s="8">
        <f t="shared" si="1"/>
        <v>2508105.2699999996</v>
      </c>
      <c r="M105" s="14"/>
      <c r="N105"/>
    </row>
    <row r="106" spans="1:14" ht="13.5" customHeight="1" x14ac:dyDescent="0.2">
      <c r="A106" s="103">
        <v>28</v>
      </c>
      <c r="B106" s="106">
        <v>41662</v>
      </c>
      <c r="C106" s="104">
        <v>18396</v>
      </c>
      <c r="D106" s="121" t="s">
        <v>145</v>
      </c>
      <c r="E106" s="13">
        <v>24695.530000000002</v>
      </c>
      <c r="F106" s="13">
        <v>8877.7099999999991</v>
      </c>
      <c r="G106" s="13">
        <v>4528</v>
      </c>
      <c r="H106" s="13">
        <v>0</v>
      </c>
      <c r="I106" s="13">
        <v>0</v>
      </c>
      <c r="J106" s="13">
        <v>0</v>
      </c>
      <c r="K106" s="13">
        <v>38101.240000000005</v>
      </c>
      <c r="L106" s="8">
        <f t="shared" si="1"/>
        <v>2546206.5099999998</v>
      </c>
      <c r="M106" s="14"/>
      <c r="N106" t="s">
        <v>105</v>
      </c>
    </row>
    <row r="107" spans="1:14" x14ac:dyDescent="0.2">
      <c r="A107" s="103">
        <v>12</v>
      </c>
      <c r="B107" s="106">
        <v>41662</v>
      </c>
      <c r="C107" s="104">
        <v>18397</v>
      </c>
      <c r="D107" s="121" t="s">
        <v>145</v>
      </c>
      <c r="E107" s="13">
        <v>14472.4</v>
      </c>
      <c r="F107" s="13">
        <v>8879</v>
      </c>
      <c r="G107" s="13">
        <v>2334.75</v>
      </c>
      <c r="H107" s="13">
        <v>0</v>
      </c>
      <c r="I107" s="13">
        <v>0</v>
      </c>
      <c r="J107" s="13">
        <v>0</v>
      </c>
      <c r="K107" s="13">
        <v>25686.15</v>
      </c>
      <c r="L107" s="8">
        <f t="shared" si="1"/>
        <v>2571892.6599999997</v>
      </c>
      <c r="M107" s="14"/>
      <c r="N107"/>
    </row>
    <row r="108" spans="1:14" x14ac:dyDescent="0.2">
      <c r="A108" s="103">
        <v>32</v>
      </c>
      <c r="B108" s="106">
        <v>41662</v>
      </c>
      <c r="C108" s="104">
        <v>18398</v>
      </c>
      <c r="D108" s="121" t="s">
        <v>145</v>
      </c>
      <c r="E108" s="13">
        <v>1258.1400000000001</v>
      </c>
      <c r="F108" s="13">
        <v>375</v>
      </c>
      <c r="G108" s="13">
        <v>169.8</v>
      </c>
      <c r="H108" s="13">
        <v>0</v>
      </c>
      <c r="I108" s="13">
        <v>0</v>
      </c>
      <c r="J108" s="13">
        <v>0</v>
      </c>
      <c r="K108" s="13">
        <v>1802.94</v>
      </c>
      <c r="L108" s="8">
        <f t="shared" si="1"/>
        <v>2573695.5999999996</v>
      </c>
      <c r="M108" s="103"/>
      <c r="N108"/>
    </row>
    <row r="109" spans="1:14" ht="15" customHeight="1" x14ac:dyDescent="0.2">
      <c r="A109" s="103">
        <v>11</v>
      </c>
      <c r="B109" s="106">
        <v>41662</v>
      </c>
      <c r="C109" s="104">
        <v>18399</v>
      </c>
      <c r="D109" s="121" t="s">
        <v>145</v>
      </c>
      <c r="E109" s="13">
        <v>15370.06</v>
      </c>
      <c r="F109" s="13">
        <v>1091</v>
      </c>
      <c r="G109" s="13">
        <v>1415</v>
      </c>
      <c r="H109" s="13">
        <v>0</v>
      </c>
      <c r="I109" s="13">
        <v>0</v>
      </c>
      <c r="J109" s="13">
        <v>0</v>
      </c>
      <c r="K109" s="13">
        <v>17876.059999999998</v>
      </c>
      <c r="L109" s="8">
        <f t="shared" si="1"/>
        <v>2591571.6599999997</v>
      </c>
      <c r="M109" s="103"/>
      <c r="N109"/>
    </row>
    <row r="110" spans="1:14" x14ac:dyDescent="0.2">
      <c r="A110" s="103">
        <v>2</v>
      </c>
      <c r="B110" s="106">
        <v>41662</v>
      </c>
      <c r="C110" s="104">
        <v>18400</v>
      </c>
      <c r="D110" s="121" t="s">
        <v>145</v>
      </c>
      <c r="E110" s="105">
        <v>17315.59</v>
      </c>
      <c r="F110" s="105">
        <v>8516</v>
      </c>
      <c r="G110" s="105">
        <v>3212.05</v>
      </c>
      <c r="H110" s="105">
        <v>0</v>
      </c>
      <c r="I110" s="105">
        <v>0</v>
      </c>
      <c r="J110" s="105">
        <v>0</v>
      </c>
      <c r="K110" s="105">
        <v>29043.64</v>
      </c>
      <c r="L110" s="8">
        <f t="shared" si="1"/>
        <v>2620615.2999999998</v>
      </c>
      <c r="M110" s="14"/>
      <c r="N110"/>
    </row>
    <row r="111" spans="1:14" x14ac:dyDescent="0.2">
      <c r="A111" s="103">
        <v>21</v>
      </c>
      <c r="B111" s="106">
        <v>41662</v>
      </c>
      <c r="C111" s="104">
        <v>18401</v>
      </c>
      <c r="D111" s="121" t="s">
        <v>145</v>
      </c>
      <c r="E111" s="13">
        <v>27539.120000000006</v>
      </c>
      <c r="F111" s="13">
        <v>12735.32</v>
      </c>
      <c r="G111" s="13">
        <v>4570.45</v>
      </c>
      <c r="H111" s="13">
        <v>0</v>
      </c>
      <c r="I111" s="13">
        <v>0</v>
      </c>
      <c r="J111" s="13">
        <v>0</v>
      </c>
      <c r="K111" s="13">
        <v>44844.89</v>
      </c>
      <c r="L111" s="8">
        <f t="shared" si="1"/>
        <v>2665460.19</v>
      </c>
      <c r="M111" s="14"/>
      <c r="N111"/>
    </row>
    <row r="112" spans="1:14" x14ac:dyDescent="0.2">
      <c r="A112" s="103">
        <v>27</v>
      </c>
      <c r="B112" s="106">
        <v>41662</v>
      </c>
      <c r="C112" s="104">
        <v>18402</v>
      </c>
      <c r="D112" s="121" t="s">
        <v>145</v>
      </c>
      <c r="E112" s="13">
        <v>14920.429999999997</v>
      </c>
      <c r="F112" s="13">
        <v>10333</v>
      </c>
      <c r="G112" s="13">
        <v>2518.7000000000003</v>
      </c>
      <c r="H112" s="13">
        <v>0</v>
      </c>
      <c r="I112" s="13">
        <v>0</v>
      </c>
      <c r="J112" s="13">
        <v>0</v>
      </c>
      <c r="K112" s="13">
        <v>27772.129999999997</v>
      </c>
      <c r="L112" s="8">
        <f t="shared" si="1"/>
        <v>2693232.32</v>
      </c>
      <c r="M112" s="103"/>
      <c r="N112"/>
    </row>
    <row r="113" spans="1:14" x14ac:dyDescent="0.2">
      <c r="A113" s="103">
        <v>9</v>
      </c>
      <c r="B113" s="106">
        <v>41662</v>
      </c>
      <c r="C113" s="104">
        <v>18403</v>
      </c>
      <c r="D113" s="121" t="s">
        <v>145</v>
      </c>
      <c r="E113" s="13">
        <v>18211.739999999998</v>
      </c>
      <c r="F113" s="13">
        <v>10140.19</v>
      </c>
      <c r="G113" s="13">
        <v>2646.05</v>
      </c>
      <c r="H113" s="13">
        <v>0</v>
      </c>
      <c r="I113" s="13">
        <v>0</v>
      </c>
      <c r="J113" s="13">
        <v>0</v>
      </c>
      <c r="K113" s="13">
        <v>30997.98</v>
      </c>
      <c r="L113" s="8">
        <f t="shared" si="1"/>
        <v>2724230.3</v>
      </c>
      <c r="M113" s="14"/>
      <c r="N113"/>
    </row>
    <row r="114" spans="1:14" x14ac:dyDescent="0.2">
      <c r="A114" s="103">
        <v>6</v>
      </c>
      <c r="B114" s="106">
        <v>41662</v>
      </c>
      <c r="C114" s="104">
        <v>18404</v>
      </c>
      <c r="D114" s="121" t="s">
        <v>145</v>
      </c>
      <c r="E114" s="105">
        <v>6601.7000000000007</v>
      </c>
      <c r="F114" s="105">
        <v>625</v>
      </c>
      <c r="G114" s="105">
        <v>905.6</v>
      </c>
      <c r="H114" s="105">
        <v>0</v>
      </c>
      <c r="I114" s="105">
        <v>0</v>
      </c>
      <c r="J114" s="105">
        <v>0</v>
      </c>
      <c r="K114" s="105">
        <v>8132.3000000000011</v>
      </c>
      <c r="L114" s="8">
        <f t="shared" si="1"/>
        <v>2732362.5999999996</v>
      </c>
      <c r="M114" s="14"/>
      <c r="N114"/>
    </row>
    <row r="115" spans="1:14" ht="15" customHeight="1" x14ac:dyDescent="0.2">
      <c r="A115" s="103">
        <v>25</v>
      </c>
      <c r="B115" s="106">
        <v>41662</v>
      </c>
      <c r="C115" s="104">
        <v>18405</v>
      </c>
      <c r="D115" s="121" t="s">
        <v>145</v>
      </c>
      <c r="E115" s="13">
        <v>2419.63</v>
      </c>
      <c r="F115" s="13">
        <v>138</v>
      </c>
      <c r="G115" s="13">
        <v>311.3</v>
      </c>
      <c r="H115" s="13">
        <v>0</v>
      </c>
      <c r="I115" s="13">
        <v>0</v>
      </c>
      <c r="J115" s="13">
        <v>0</v>
      </c>
      <c r="K115" s="13">
        <v>2868.9300000000003</v>
      </c>
      <c r="L115" s="8">
        <f t="shared" si="1"/>
        <v>2735231.53</v>
      </c>
      <c r="M115" s="103"/>
      <c r="N115"/>
    </row>
    <row r="116" spans="1:14" ht="14.25" customHeight="1" x14ac:dyDescent="0.2">
      <c r="A116" s="103">
        <v>19</v>
      </c>
      <c r="B116" s="106">
        <v>41662</v>
      </c>
      <c r="C116" s="104">
        <v>18406</v>
      </c>
      <c r="D116" s="121" t="s">
        <v>145</v>
      </c>
      <c r="E116" s="13">
        <v>6679.8400000000011</v>
      </c>
      <c r="F116" s="13">
        <v>1928</v>
      </c>
      <c r="G116" s="13">
        <v>1358.4</v>
      </c>
      <c r="H116" s="13">
        <v>0</v>
      </c>
      <c r="I116" s="13">
        <v>0</v>
      </c>
      <c r="J116" s="13">
        <v>0</v>
      </c>
      <c r="K116" s="13">
        <v>9966.24</v>
      </c>
      <c r="L116" s="8">
        <f t="shared" si="1"/>
        <v>2745197.77</v>
      </c>
      <c r="M116" s="14"/>
      <c r="N116" t="s">
        <v>49</v>
      </c>
    </row>
    <row r="117" spans="1:14" x14ac:dyDescent="0.2">
      <c r="A117" s="103">
        <v>23</v>
      </c>
      <c r="B117" s="106">
        <v>41662</v>
      </c>
      <c r="C117" s="104">
        <v>18407</v>
      </c>
      <c r="D117" s="121" t="s">
        <v>145</v>
      </c>
      <c r="E117" s="13">
        <v>31251.590000000015</v>
      </c>
      <c r="F117" s="13">
        <v>8915.36</v>
      </c>
      <c r="G117" s="13">
        <v>5858.1</v>
      </c>
      <c r="H117" s="13">
        <v>0</v>
      </c>
      <c r="I117" s="13">
        <v>0</v>
      </c>
      <c r="J117" s="13">
        <v>0</v>
      </c>
      <c r="K117" s="13">
        <v>46025.05000000001</v>
      </c>
      <c r="L117" s="8">
        <f t="shared" si="1"/>
        <v>2791222.82</v>
      </c>
      <c r="M117" s="14"/>
      <c r="N117"/>
    </row>
    <row r="118" spans="1:14" x14ac:dyDescent="0.2">
      <c r="A118" s="103">
        <v>3</v>
      </c>
      <c r="B118" s="106">
        <v>41662</v>
      </c>
      <c r="C118" s="104">
        <v>18408</v>
      </c>
      <c r="D118" s="121" t="s">
        <v>145</v>
      </c>
      <c r="E118" s="13">
        <v>6454.4600000000009</v>
      </c>
      <c r="F118" s="13">
        <v>719</v>
      </c>
      <c r="G118" s="13">
        <v>764.1</v>
      </c>
      <c r="H118" s="13">
        <v>0</v>
      </c>
      <c r="I118" s="13">
        <v>0</v>
      </c>
      <c r="J118" s="13">
        <v>0</v>
      </c>
      <c r="K118" s="13">
        <v>7937.5600000000013</v>
      </c>
      <c r="L118" s="8">
        <f t="shared" si="1"/>
        <v>2799160.38</v>
      </c>
      <c r="M118" s="14"/>
      <c r="N118"/>
    </row>
    <row r="119" spans="1:14" x14ac:dyDescent="0.2">
      <c r="A119" s="103">
        <v>26</v>
      </c>
      <c r="B119" s="106">
        <v>41662</v>
      </c>
      <c r="C119" s="104">
        <v>18409</v>
      </c>
      <c r="D119" s="121" t="s">
        <v>145</v>
      </c>
      <c r="E119" s="13">
        <v>29090.840000000015</v>
      </c>
      <c r="F119" s="13">
        <v>37480.589999999997</v>
      </c>
      <c r="G119" s="13">
        <v>4910.05</v>
      </c>
      <c r="H119" s="13">
        <v>0</v>
      </c>
      <c r="I119" s="13">
        <v>0</v>
      </c>
      <c r="J119" s="13">
        <v>0</v>
      </c>
      <c r="K119" s="13">
        <v>71481.48000000001</v>
      </c>
      <c r="L119" s="8">
        <f t="shared" si="1"/>
        <v>2870641.86</v>
      </c>
      <c r="M119" s="103"/>
      <c r="N119" t="s">
        <v>48</v>
      </c>
    </row>
    <row r="120" spans="1:14" x14ac:dyDescent="0.2">
      <c r="A120" s="103">
        <v>29</v>
      </c>
      <c r="B120" s="106">
        <v>41662</v>
      </c>
      <c r="C120" s="104">
        <v>18410</v>
      </c>
      <c r="D120" s="121" t="s">
        <v>145</v>
      </c>
      <c r="E120" s="13">
        <v>5514.2999999999993</v>
      </c>
      <c r="F120" s="13">
        <v>3048</v>
      </c>
      <c r="G120" s="13">
        <v>820.7</v>
      </c>
      <c r="H120" s="13">
        <v>0</v>
      </c>
      <c r="I120" s="13">
        <v>0</v>
      </c>
      <c r="J120" s="13">
        <v>0</v>
      </c>
      <c r="K120" s="13">
        <v>9383</v>
      </c>
      <c r="L120" s="8">
        <f t="shared" si="1"/>
        <v>2880024.86</v>
      </c>
      <c r="M120" s="103"/>
      <c r="N120"/>
    </row>
    <row r="121" spans="1:14" x14ac:dyDescent="0.2">
      <c r="A121" s="103">
        <v>10</v>
      </c>
      <c r="B121" s="106">
        <v>41662</v>
      </c>
      <c r="C121" s="104">
        <v>18411</v>
      </c>
      <c r="D121" s="121" t="s">
        <v>145</v>
      </c>
      <c r="E121" s="13">
        <v>10037.629999999999</v>
      </c>
      <c r="F121" s="13">
        <v>19727.419999999995</v>
      </c>
      <c r="G121" s="13">
        <v>1811.2</v>
      </c>
      <c r="H121" s="13">
        <v>0</v>
      </c>
      <c r="I121" s="13">
        <v>0</v>
      </c>
      <c r="J121" s="13">
        <v>0</v>
      </c>
      <c r="K121" s="13">
        <v>31576.249999999996</v>
      </c>
      <c r="L121" s="8">
        <f t="shared" si="1"/>
        <v>2911601.11</v>
      </c>
      <c r="M121" s="14"/>
      <c r="N121"/>
    </row>
    <row r="122" spans="1:14" x14ac:dyDescent="0.2">
      <c r="A122" s="103">
        <v>33</v>
      </c>
      <c r="B122" s="106">
        <v>41662</v>
      </c>
      <c r="C122" s="104">
        <v>18412</v>
      </c>
      <c r="D122" s="121" t="s">
        <v>145</v>
      </c>
      <c r="E122" s="13">
        <v>15804.149999999998</v>
      </c>
      <c r="F122" s="13">
        <v>8865.5400000000009</v>
      </c>
      <c r="G122" s="13">
        <v>2518.7000000000003</v>
      </c>
      <c r="H122" s="13">
        <v>0</v>
      </c>
      <c r="I122" s="13">
        <v>0</v>
      </c>
      <c r="J122" s="13">
        <v>0</v>
      </c>
      <c r="K122" s="13">
        <v>27188.39</v>
      </c>
      <c r="L122" s="8">
        <f t="shared" si="1"/>
        <v>2938789.5</v>
      </c>
      <c r="M122" s="103"/>
      <c r="N122"/>
    </row>
    <row r="123" spans="1:14" x14ac:dyDescent="0.2">
      <c r="A123" s="103">
        <v>5</v>
      </c>
      <c r="B123" s="106">
        <v>41662</v>
      </c>
      <c r="C123" s="104">
        <v>18413</v>
      </c>
      <c r="D123" s="121" t="s">
        <v>145</v>
      </c>
      <c r="E123" s="105">
        <v>20363.04</v>
      </c>
      <c r="F123" s="105">
        <v>16157.5</v>
      </c>
      <c r="G123" s="105">
        <v>3509.2000000000003</v>
      </c>
      <c r="H123" s="105">
        <v>0</v>
      </c>
      <c r="I123" s="105">
        <v>0</v>
      </c>
      <c r="J123" s="105">
        <v>0</v>
      </c>
      <c r="K123" s="105">
        <v>40029.74</v>
      </c>
      <c r="L123" s="8">
        <f t="shared" si="1"/>
        <v>2978819.24</v>
      </c>
      <c r="M123" s="14"/>
      <c r="N123"/>
    </row>
    <row r="124" spans="1:14" ht="15" customHeight="1" x14ac:dyDescent="0.2">
      <c r="A124" s="103">
        <v>14</v>
      </c>
      <c r="B124" s="106">
        <v>41662</v>
      </c>
      <c r="C124" s="104">
        <v>18414</v>
      </c>
      <c r="D124" s="121" t="s">
        <v>145</v>
      </c>
      <c r="E124" s="13">
        <v>18870.740000000002</v>
      </c>
      <c r="F124" s="13">
        <v>10387</v>
      </c>
      <c r="G124" s="13">
        <v>2957.35</v>
      </c>
      <c r="H124" s="13">
        <v>0</v>
      </c>
      <c r="I124" s="13">
        <v>0</v>
      </c>
      <c r="J124" s="13">
        <v>0</v>
      </c>
      <c r="K124" s="13">
        <v>32215.09</v>
      </c>
      <c r="L124" s="8">
        <f t="shared" si="1"/>
        <v>3011034.33</v>
      </c>
      <c r="M124" s="14"/>
      <c r="N124"/>
    </row>
    <row r="125" spans="1:14" ht="15" customHeight="1" x14ac:dyDescent="0.2">
      <c r="A125" s="103">
        <v>17</v>
      </c>
      <c r="B125" s="106">
        <v>41662</v>
      </c>
      <c r="C125" s="104">
        <v>18415</v>
      </c>
      <c r="D125" s="121" t="s">
        <v>145</v>
      </c>
      <c r="E125" s="13">
        <v>5686.8900000000012</v>
      </c>
      <c r="F125" s="13">
        <v>587</v>
      </c>
      <c r="G125" s="13">
        <v>1018.8000000000001</v>
      </c>
      <c r="H125" s="13">
        <v>0</v>
      </c>
      <c r="I125" s="13">
        <v>0</v>
      </c>
      <c r="J125" s="13">
        <v>0</v>
      </c>
      <c r="K125" s="13">
        <v>7292.6900000000014</v>
      </c>
      <c r="L125" s="8">
        <f t="shared" si="1"/>
        <v>3018327.02</v>
      </c>
      <c r="M125" s="14"/>
      <c r="N125"/>
    </row>
    <row r="126" spans="1:14" x14ac:dyDescent="0.2">
      <c r="A126" s="103">
        <v>7</v>
      </c>
      <c r="B126" s="106">
        <v>41662</v>
      </c>
      <c r="C126" s="104">
        <v>18416</v>
      </c>
      <c r="D126" s="121" t="s">
        <v>145</v>
      </c>
      <c r="E126" s="105">
        <v>4059.8199999999997</v>
      </c>
      <c r="F126" s="105">
        <v>421</v>
      </c>
      <c r="G126" s="105">
        <v>650.9</v>
      </c>
      <c r="H126" s="105">
        <v>0</v>
      </c>
      <c r="I126" s="105">
        <v>0</v>
      </c>
      <c r="J126" s="105">
        <v>0</v>
      </c>
      <c r="K126" s="105">
        <v>5131.7199999999993</v>
      </c>
      <c r="L126" s="8">
        <f t="shared" si="1"/>
        <v>3023458.74</v>
      </c>
      <c r="M126" s="14"/>
      <c r="N126"/>
    </row>
    <row r="127" spans="1:14" x14ac:dyDescent="0.2">
      <c r="A127" s="103">
        <v>31</v>
      </c>
      <c r="B127" s="106">
        <v>41662</v>
      </c>
      <c r="C127" s="104">
        <v>18417</v>
      </c>
      <c r="D127" s="121" t="s">
        <v>145</v>
      </c>
      <c r="E127" s="13">
        <v>24872.689999999995</v>
      </c>
      <c r="F127" s="13">
        <v>16114.11</v>
      </c>
      <c r="G127" s="13">
        <v>4032.75</v>
      </c>
      <c r="H127" s="13">
        <v>0</v>
      </c>
      <c r="I127" s="13">
        <v>0</v>
      </c>
      <c r="J127" s="13">
        <v>0</v>
      </c>
      <c r="K127" s="13">
        <v>45019.549999999996</v>
      </c>
      <c r="L127" s="8">
        <f t="shared" si="1"/>
        <v>3068478.29</v>
      </c>
      <c r="M127" s="103"/>
      <c r="N127"/>
    </row>
    <row r="128" spans="1:14" x14ac:dyDescent="0.2">
      <c r="A128" s="103">
        <v>35</v>
      </c>
      <c r="B128" s="106">
        <v>41662</v>
      </c>
      <c r="C128" s="104">
        <v>18418</v>
      </c>
      <c r="D128" s="121" t="s">
        <v>145</v>
      </c>
      <c r="E128" s="13">
        <v>4990.57</v>
      </c>
      <c r="F128" s="13">
        <v>1135.19</v>
      </c>
      <c r="G128" s="13">
        <v>820.7</v>
      </c>
      <c r="H128" s="13">
        <v>0</v>
      </c>
      <c r="I128" s="13">
        <v>0</v>
      </c>
      <c r="J128" s="13">
        <v>0</v>
      </c>
      <c r="K128" s="13">
        <v>6946.46</v>
      </c>
      <c r="L128" s="8">
        <f t="shared" si="1"/>
        <v>3075424.75</v>
      </c>
      <c r="M128" s="103"/>
      <c r="N128"/>
    </row>
    <row r="129" spans="1:14" ht="14.25" customHeight="1" x14ac:dyDescent="0.2">
      <c r="A129" s="103">
        <v>24</v>
      </c>
      <c r="B129" s="106">
        <v>41662</v>
      </c>
      <c r="C129" s="104">
        <v>18419</v>
      </c>
      <c r="D129" s="121" t="s">
        <v>145</v>
      </c>
      <c r="E129" s="13">
        <v>23641.930000000004</v>
      </c>
      <c r="F129" s="13">
        <v>24309.320000000007</v>
      </c>
      <c r="G129" s="13">
        <v>4174.25</v>
      </c>
      <c r="H129" s="13">
        <v>0</v>
      </c>
      <c r="I129" s="13">
        <v>0</v>
      </c>
      <c r="J129" s="13">
        <v>0</v>
      </c>
      <c r="K129" s="13">
        <v>52125.500000000015</v>
      </c>
      <c r="L129" s="8">
        <f t="shared" si="1"/>
        <v>3127550.25</v>
      </c>
      <c r="M129" s="14"/>
      <c r="N129" t="s">
        <v>106</v>
      </c>
    </row>
    <row r="130" spans="1:14" x14ac:dyDescent="0.2">
      <c r="A130" s="103">
        <v>30</v>
      </c>
      <c r="B130" s="106">
        <v>41662</v>
      </c>
      <c r="C130" s="104">
        <v>18420</v>
      </c>
      <c r="D130" s="121" t="s">
        <v>145</v>
      </c>
      <c r="E130" s="13">
        <v>13138.63</v>
      </c>
      <c r="F130" s="13">
        <v>1474.13</v>
      </c>
      <c r="G130" s="13">
        <v>1018.8000000000001</v>
      </c>
      <c r="H130" s="13">
        <v>0</v>
      </c>
      <c r="I130" s="13">
        <v>0</v>
      </c>
      <c r="J130" s="13">
        <v>0</v>
      </c>
      <c r="K130" s="13">
        <v>15631.559999999998</v>
      </c>
      <c r="L130" s="8">
        <f t="shared" si="1"/>
        <v>3143181.81</v>
      </c>
      <c r="M130" s="103"/>
      <c r="N130"/>
    </row>
    <row r="131" spans="1:14" x14ac:dyDescent="0.2">
      <c r="A131" s="103">
        <v>4</v>
      </c>
      <c r="B131" s="106">
        <v>41662</v>
      </c>
      <c r="C131" s="104">
        <v>18421</v>
      </c>
      <c r="D131" s="121" t="s">
        <v>145</v>
      </c>
      <c r="E131" s="13">
        <v>15923.949999999999</v>
      </c>
      <c r="F131" s="13">
        <v>5329</v>
      </c>
      <c r="G131" s="13">
        <v>2348.9</v>
      </c>
      <c r="H131" s="13">
        <v>0</v>
      </c>
      <c r="I131" s="13">
        <v>0</v>
      </c>
      <c r="J131" s="13">
        <v>0</v>
      </c>
      <c r="K131" s="13">
        <v>23601.85</v>
      </c>
      <c r="L131" s="8">
        <f t="shared" si="1"/>
        <v>3166783.66</v>
      </c>
      <c r="M131" s="14"/>
      <c r="N131"/>
    </row>
    <row r="132" spans="1:14" x14ac:dyDescent="0.2">
      <c r="A132" s="103">
        <v>20</v>
      </c>
      <c r="B132" s="106">
        <v>41662</v>
      </c>
      <c r="C132" s="104">
        <v>18422</v>
      </c>
      <c r="D132" s="121" t="s">
        <v>145</v>
      </c>
      <c r="E132" s="13">
        <v>5163.42</v>
      </c>
      <c r="F132" s="13">
        <v>29930.210000000006</v>
      </c>
      <c r="G132" s="13">
        <v>622.6</v>
      </c>
      <c r="H132" s="13">
        <v>0</v>
      </c>
      <c r="I132" s="13">
        <v>0</v>
      </c>
      <c r="J132" s="13">
        <v>0</v>
      </c>
      <c r="K132" s="13">
        <v>35716.230000000003</v>
      </c>
      <c r="L132" s="8">
        <f t="shared" si="1"/>
        <v>3202499.89</v>
      </c>
      <c r="M132" s="14"/>
      <c r="N132"/>
    </row>
    <row r="133" spans="1:14" x14ac:dyDescent="0.2">
      <c r="A133" s="103">
        <v>18</v>
      </c>
      <c r="B133" s="106">
        <v>41662</v>
      </c>
      <c r="C133" s="104">
        <v>18423</v>
      </c>
      <c r="D133" s="121" t="s">
        <v>145</v>
      </c>
      <c r="E133" s="13">
        <v>21303.530000000002</v>
      </c>
      <c r="F133" s="13">
        <v>3256</v>
      </c>
      <c r="G133" s="13">
        <v>3452.6</v>
      </c>
      <c r="H133" s="13">
        <v>0</v>
      </c>
      <c r="I133" s="13">
        <v>0</v>
      </c>
      <c r="J133" s="13">
        <v>0</v>
      </c>
      <c r="K133" s="13">
        <v>28012.13</v>
      </c>
      <c r="L133" s="8">
        <f t="shared" si="1"/>
        <v>3230512.02</v>
      </c>
      <c r="M133" s="14"/>
      <c r="N133"/>
    </row>
    <row r="134" spans="1:14" x14ac:dyDescent="0.2">
      <c r="A134" s="103">
        <v>15</v>
      </c>
      <c r="B134" s="106">
        <v>41662</v>
      </c>
      <c r="C134" s="104">
        <v>18424</v>
      </c>
      <c r="D134" s="121" t="s">
        <v>145</v>
      </c>
      <c r="E134" s="13">
        <v>22529.62</v>
      </c>
      <c r="F134" s="13">
        <v>5557.01</v>
      </c>
      <c r="G134" s="13">
        <v>3891.25</v>
      </c>
      <c r="H134" s="13">
        <v>0</v>
      </c>
      <c r="I134" s="13">
        <v>0</v>
      </c>
      <c r="J134" s="13">
        <v>0</v>
      </c>
      <c r="K134" s="13">
        <v>31977.879999999997</v>
      </c>
      <c r="L134" s="8">
        <f t="shared" si="1"/>
        <v>3262489.9</v>
      </c>
      <c r="M134" s="14"/>
      <c r="N134"/>
    </row>
    <row r="135" spans="1:14" x14ac:dyDescent="0.2">
      <c r="A135" s="103">
        <v>16</v>
      </c>
      <c r="B135" s="106">
        <v>41662</v>
      </c>
      <c r="C135" s="104">
        <v>18425</v>
      </c>
      <c r="D135" s="121" t="s">
        <v>145</v>
      </c>
      <c r="E135" s="13">
        <v>28093.270000000004</v>
      </c>
      <c r="F135" s="13">
        <v>10170</v>
      </c>
      <c r="G135" s="13">
        <v>4542.1500000000005</v>
      </c>
      <c r="H135" s="13">
        <v>0</v>
      </c>
      <c r="I135" s="13">
        <v>0</v>
      </c>
      <c r="J135" s="13">
        <v>0</v>
      </c>
      <c r="K135" s="13">
        <v>42805.420000000006</v>
      </c>
      <c r="L135" s="8">
        <f t="shared" si="1"/>
        <v>3305295.32</v>
      </c>
      <c r="M135" s="103"/>
      <c r="N135"/>
    </row>
    <row r="136" spans="1:14" x14ac:dyDescent="0.2">
      <c r="A136" s="103">
        <v>22</v>
      </c>
      <c r="B136" s="106">
        <v>41662</v>
      </c>
      <c r="C136" s="104">
        <v>18426</v>
      </c>
      <c r="D136" s="121" t="s">
        <v>145</v>
      </c>
      <c r="E136" s="13">
        <v>10068.439999999999</v>
      </c>
      <c r="F136" s="13">
        <v>0</v>
      </c>
      <c r="G136" s="13">
        <v>1528.2</v>
      </c>
      <c r="H136" s="13">
        <v>0</v>
      </c>
      <c r="I136" s="13">
        <v>0</v>
      </c>
      <c r="J136" s="13">
        <v>0</v>
      </c>
      <c r="K136" s="13">
        <v>11596.64</v>
      </c>
      <c r="L136" s="8">
        <f t="shared" si="1"/>
        <v>3316891.96</v>
      </c>
      <c r="M136" s="14"/>
      <c r="N136" t="s">
        <v>107</v>
      </c>
    </row>
    <row r="137" spans="1:14" x14ac:dyDescent="0.2">
      <c r="A137" s="103">
        <v>13</v>
      </c>
      <c r="B137" s="106">
        <v>41662</v>
      </c>
      <c r="C137" s="104">
        <v>18427</v>
      </c>
      <c r="D137" s="121" t="s">
        <v>145</v>
      </c>
      <c r="E137" s="13">
        <v>192.71999999999997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192.71999999999997</v>
      </c>
      <c r="L137" s="8">
        <f t="shared" si="1"/>
        <v>3317084.68</v>
      </c>
      <c r="M137" s="13">
        <f>SUM(K104:K137)</f>
        <v>856186.04999999993</v>
      </c>
      <c r="N137" t="s">
        <v>108</v>
      </c>
    </row>
    <row r="138" spans="1:14" x14ac:dyDescent="0.2">
      <c r="L138" s="8">
        <f t="shared" si="1"/>
        <v>3317084.68</v>
      </c>
    </row>
    <row r="139" spans="1:14" x14ac:dyDescent="0.2">
      <c r="A139" s="103">
        <v>1</v>
      </c>
      <c r="B139" s="16">
        <v>41663</v>
      </c>
      <c r="C139" s="17">
        <v>18428</v>
      </c>
      <c r="D139" s="121" t="s">
        <v>145</v>
      </c>
      <c r="E139" s="105">
        <v>23669.57</v>
      </c>
      <c r="F139" s="105">
        <v>11426.380000000001</v>
      </c>
      <c r="G139" s="105">
        <v>3862.9500000000003</v>
      </c>
      <c r="H139" s="105">
        <v>0</v>
      </c>
      <c r="I139" s="105">
        <v>0</v>
      </c>
      <c r="J139" s="105">
        <v>0</v>
      </c>
      <c r="K139" s="13">
        <v>38958.899999999994</v>
      </c>
      <c r="L139" s="8">
        <f t="shared" si="1"/>
        <v>3356043.58</v>
      </c>
      <c r="M139" s="103"/>
      <c r="N139"/>
    </row>
    <row r="140" spans="1:14" ht="14.25" customHeight="1" x14ac:dyDescent="0.2">
      <c r="A140" s="103">
        <v>8</v>
      </c>
      <c r="B140" s="106">
        <v>41663</v>
      </c>
      <c r="C140" s="104">
        <v>18429</v>
      </c>
      <c r="D140" s="121" t="s">
        <v>145</v>
      </c>
      <c r="E140" s="13">
        <v>6573.99</v>
      </c>
      <c r="F140" s="13">
        <v>900</v>
      </c>
      <c r="G140" s="13">
        <v>1075.4000000000001</v>
      </c>
      <c r="H140" s="13">
        <v>0</v>
      </c>
      <c r="I140" s="13">
        <v>0</v>
      </c>
      <c r="J140" s="13">
        <v>0</v>
      </c>
      <c r="K140" s="13">
        <v>8549.39</v>
      </c>
      <c r="L140" s="8">
        <f t="shared" si="1"/>
        <v>3364592.97</v>
      </c>
      <c r="M140" s="14"/>
      <c r="N140" t="s">
        <v>92</v>
      </c>
    </row>
    <row r="141" spans="1:14" ht="13.5" customHeight="1" x14ac:dyDescent="0.2">
      <c r="A141" s="103">
        <v>28</v>
      </c>
      <c r="B141" s="106">
        <v>41663</v>
      </c>
      <c r="C141" s="104">
        <v>18431</v>
      </c>
      <c r="D141" s="121" t="s">
        <v>145</v>
      </c>
      <c r="E141" s="13">
        <v>22757.390000000003</v>
      </c>
      <c r="F141" s="13">
        <v>7238.71</v>
      </c>
      <c r="G141" s="13">
        <v>4117.6500000000005</v>
      </c>
      <c r="H141" s="13">
        <v>0</v>
      </c>
      <c r="I141" s="13">
        <v>0</v>
      </c>
      <c r="J141" s="13">
        <v>0</v>
      </c>
      <c r="K141" s="13">
        <v>34113.75</v>
      </c>
      <c r="L141" s="8">
        <f t="shared" si="1"/>
        <v>3398706.72</v>
      </c>
      <c r="M141" s="14"/>
      <c r="N141"/>
    </row>
    <row r="142" spans="1:14" x14ac:dyDescent="0.2">
      <c r="A142" s="103">
        <v>12</v>
      </c>
      <c r="B142" s="106">
        <v>41663</v>
      </c>
      <c r="C142" s="104">
        <v>18437</v>
      </c>
      <c r="D142" s="121" t="s">
        <v>145</v>
      </c>
      <c r="E142" s="13">
        <v>14557.5</v>
      </c>
      <c r="F142" s="13">
        <v>8879</v>
      </c>
      <c r="G142" s="13">
        <v>2532.85</v>
      </c>
      <c r="H142" s="13">
        <v>0</v>
      </c>
      <c r="I142" s="13">
        <v>0</v>
      </c>
      <c r="J142" s="13">
        <v>0</v>
      </c>
      <c r="K142" s="13">
        <v>25969.35</v>
      </c>
      <c r="L142" s="8">
        <f t="shared" si="1"/>
        <v>3424676.0700000003</v>
      </c>
      <c r="M142" s="14"/>
      <c r="N142"/>
    </row>
    <row r="143" spans="1:14" x14ac:dyDescent="0.2">
      <c r="A143" s="103">
        <v>32</v>
      </c>
      <c r="B143" s="106">
        <v>41663</v>
      </c>
      <c r="C143" s="104">
        <v>18438</v>
      </c>
      <c r="D143" s="121" t="s">
        <v>145</v>
      </c>
      <c r="E143" s="13">
        <v>1258.1400000000001</v>
      </c>
      <c r="F143" s="13">
        <v>520</v>
      </c>
      <c r="G143" s="13">
        <v>169.8</v>
      </c>
      <c r="H143" s="13">
        <v>0</v>
      </c>
      <c r="I143" s="13">
        <v>0</v>
      </c>
      <c r="J143" s="13">
        <v>0</v>
      </c>
      <c r="K143" s="13">
        <v>1947.94</v>
      </c>
      <c r="L143" s="8">
        <f t="shared" si="1"/>
        <v>3426624.0100000002</v>
      </c>
      <c r="M143" s="103"/>
      <c r="N143"/>
    </row>
    <row r="144" spans="1:14" ht="15" customHeight="1" x14ac:dyDescent="0.2">
      <c r="A144" s="103">
        <v>11</v>
      </c>
      <c r="B144" s="106">
        <v>41663</v>
      </c>
      <c r="C144" s="104">
        <v>18440</v>
      </c>
      <c r="D144" s="121" t="s">
        <v>145</v>
      </c>
      <c r="E144" s="13">
        <v>15370.06</v>
      </c>
      <c r="F144" s="13">
        <v>1091</v>
      </c>
      <c r="G144" s="13">
        <v>1415</v>
      </c>
      <c r="H144" s="13">
        <v>0</v>
      </c>
      <c r="I144" s="13">
        <v>0</v>
      </c>
      <c r="J144" s="13">
        <v>0</v>
      </c>
      <c r="K144" s="13">
        <v>17876.059999999998</v>
      </c>
      <c r="L144" s="8">
        <f t="shared" si="1"/>
        <v>3444500.0700000003</v>
      </c>
      <c r="M144" s="103"/>
      <c r="N144"/>
    </row>
    <row r="145" spans="1:14" x14ac:dyDescent="0.2">
      <c r="A145" s="103">
        <v>2</v>
      </c>
      <c r="B145" s="106">
        <v>41663</v>
      </c>
      <c r="C145" s="104">
        <v>18444</v>
      </c>
      <c r="D145" s="121" t="s">
        <v>145</v>
      </c>
      <c r="E145" s="105">
        <v>16786.490000000002</v>
      </c>
      <c r="F145" s="105">
        <v>8516</v>
      </c>
      <c r="G145" s="105">
        <v>3042.25</v>
      </c>
      <c r="H145" s="105">
        <v>0</v>
      </c>
      <c r="I145" s="105">
        <v>0</v>
      </c>
      <c r="J145" s="105">
        <v>0</v>
      </c>
      <c r="K145" s="105">
        <v>28344.74</v>
      </c>
      <c r="L145" s="8">
        <f t="shared" si="1"/>
        <v>3472844.8100000005</v>
      </c>
      <c r="M145" s="14"/>
      <c r="N145" t="s">
        <v>109</v>
      </c>
    </row>
    <row r="146" spans="1:14" x14ac:dyDescent="0.2">
      <c r="A146" s="103">
        <v>21</v>
      </c>
      <c r="B146" s="106">
        <v>41663</v>
      </c>
      <c r="C146" s="104">
        <v>18445</v>
      </c>
      <c r="D146" s="121" t="s">
        <v>145</v>
      </c>
      <c r="E146" s="13">
        <v>27828.089999999997</v>
      </c>
      <c r="F146" s="13">
        <v>12735.32</v>
      </c>
      <c r="G146" s="13">
        <v>4825.1500000000005</v>
      </c>
      <c r="H146" s="13">
        <v>0</v>
      </c>
      <c r="I146" s="13">
        <v>0</v>
      </c>
      <c r="J146" s="13">
        <v>0</v>
      </c>
      <c r="K146" s="13">
        <v>45388.56</v>
      </c>
      <c r="L146" s="8">
        <f t="shared" si="1"/>
        <v>3518233.3700000006</v>
      </c>
      <c r="M146" s="14"/>
      <c r="N146"/>
    </row>
    <row r="147" spans="1:14" x14ac:dyDescent="0.2">
      <c r="A147" s="103">
        <v>27</v>
      </c>
      <c r="B147" s="106">
        <v>41663</v>
      </c>
      <c r="C147" s="104">
        <v>18446</v>
      </c>
      <c r="D147" s="121" t="s">
        <v>145</v>
      </c>
      <c r="E147" s="13">
        <v>15524.349999999997</v>
      </c>
      <c r="F147" s="13">
        <v>10333</v>
      </c>
      <c r="G147" s="13">
        <v>2688.5</v>
      </c>
      <c r="H147" s="13">
        <v>0</v>
      </c>
      <c r="I147" s="13">
        <v>0</v>
      </c>
      <c r="J147" s="13">
        <v>0</v>
      </c>
      <c r="K147" s="13">
        <v>28545.85</v>
      </c>
      <c r="L147" s="8">
        <f t="shared" si="1"/>
        <v>3546779.2200000007</v>
      </c>
      <c r="M147" s="103"/>
      <c r="N147"/>
    </row>
    <row r="148" spans="1:14" x14ac:dyDescent="0.2">
      <c r="A148" s="103">
        <v>9</v>
      </c>
      <c r="B148" s="106">
        <v>41663</v>
      </c>
      <c r="C148" s="104">
        <v>18449</v>
      </c>
      <c r="D148" s="121" t="s">
        <v>145</v>
      </c>
      <c r="E148" s="13">
        <v>18067.439999999995</v>
      </c>
      <c r="F148" s="13">
        <v>10545.6</v>
      </c>
      <c r="G148" s="13">
        <v>2646.05</v>
      </c>
      <c r="H148" s="13">
        <v>0</v>
      </c>
      <c r="I148" s="13">
        <v>0</v>
      </c>
      <c r="J148" s="13">
        <v>0</v>
      </c>
      <c r="K148" s="13">
        <v>31259.089999999993</v>
      </c>
      <c r="L148" s="8">
        <f t="shared" si="1"/>
        <v>3578038.3100000005</v>
      </c>
      <c r="M148" s="14"/>
      <c r="N148"/>
    </row>
    <row r="149" spans="1:14" x14ac:dyDescent="0.2">
      <c r="A149" s="103">
        <v>6</v>
      </c>
      <c r="B149" s="106">
        <v>41663</v>
      </c>
      <c r="C149" s="104">
        <v>18450</v>
      </c>
      <c r="D149" s="121" t="s">
        <v>145</v>
      </c>
      <c r="E149" s="105">
        <v>6601.7000000000007</v>
      </c>
      <c r="F149" s="105">
        <v>625</v>
      </c>
      <c r="G149" s="105">
        <v>905.6</v>
      </c>
      <c r="H149" s="105">
        <v>0</v>
      </c>
      <c r="I149" s="105">
        <v>0</v>
      </c>
      <c r="J149" s="105">
        <v>0</v>
      </c>
      <c r="K149" s="105">
        <v>8132.3000000000011</v>
      </c>
      <c r="L149" s="8">
        <f t="shared" si="1"/>
        <v>3586170.6100000003</v>
      </c>
      <c r="M149" s="14"/>
      <c r="N149"/>
    </row>
    <row r="150" spans="1:14" ht="15" customHeight="1" x14ac:dyDescent="0.2">
      <c r="A150" s="103">
        <v>25</v>
      </c>
      <c r="B150" s="106">
        <v>41663</v>
      </c>
      <c r="C150" s="104">
        <v>18451</v>
      </c>
      <c r="D150" s="121" t="s">
        <v>145</v>
      </c>
      <c r="E150" s="13">
        <v>2419.63</v>
      </c>
      <c r="F150" s="13">
        <v>138</v>
      </c>
      <c r="G150" s="13">
        <v>311.3</v>
      </c>
      <c r="H150" s="13">
        <v>0</v>
      </c>
      <c r="I150" s="13">
        <v>0</v>
      </c>
      <c r="J150" s="13">
        <v>0</v>
      </c>
      <c r="K150" s="13">
        <v>2868.9300000000003</v>
      </c>
      <c r="L150" s="8">
        <f t="shared" si="1"/>
        <v>3589039.5400000005</v>
      </c>
      <c r="M150" s="103"/>
      <c r="N150"/>
    </row>
    <row r="151" spans="1:14" ht="14.25" customHeight="1" x14ac:dyDescent="0.2">
      <c r="A151" s="103">
        <v>19</v>
      </c>
      <c r="B151" s="106">
        <v>41663</v>
      </c>
      <c r="C151" s="104">
        <v>18452</v>
      </c>
      <c r="D151" s="121" t="s">
        <v>145</v>
      </c>
      <c r="E151" s="13">
        <v>6679.8400000000011</v>
      </c>
      <c r="F151" s="13">
        <v>1928</v>
      </c>
      <c r="G151" s="13">
        <v>1358.4</v>
      </c>
      <c r="H151" s="13">
        <v>0</v>
      </c>
      <c r="I151" s="13">
        <v>0</v>
      </c>
      <c r="J151" s="13">
        <v>0</v>
      </c>
      <c r="K151" s="13">
        <v>9966.24</v>
      </c>
      <c r="L151" s="8">
        <f t="shared" si="1"/>
        <v>3599005.7800000007</v>
      </c>
      <c r="M151" s="14"/>
      <c r="N151"/>
    </row>
    <row r="152" spans="1:14" x14ac:dyDescent="0.2">
      <c r="A152" s="103">
        <v>23</v>
      </c>
      <c r="B152" s="106">
        <v>41663</v>
      </c>
      <c r="C152" s="104">
        <v>18453</v>
      </c>
      <c r="D152" s="121" t="s">
        <v>145</v>
      </c>
      <c r="E152" s="13">
        <v>31176.840000000011</v>
      </c>
      <c r="F152" s="13">
        <v>9219.36</v>
      </c>
      <c r="G152" s="13">
        <v>5858.1</v>
      </c>
      <c r="H152" s="13">
        <v>0</v>
      </c>
      <c r="I152" s="13">
        <v>0</v>
      </c>
      <c r="J152" s="13">
        <v>0</v>
      </c>
      <c r="K152" s="13">
        <v>46254.30000000001</v>
      </c>
      <c r="L152" s="8">
        <f t="shared" si="1"/>
        <v>3645260.0800000005</v>
      </c>
      <c r="M152" s="14"/>
      <c r="N152"/>
    </row>
    <row r="153" spans="1:14" x14ac:dyDescent="0.2">
      <c r="A153" s="103">
        <v>3</v>
      </c>
      <c r="B153" s="106">
        <v>41663</v>
      </c>
      <c r="C153" s="104">
        <v>18454</v>
      </c>
      <c r="D153" s="121" t="s">
        <v>145</v>
      </c>
      <c r="E153" s="13">
        <v>6454.4600000000009</v>
      </c>
      <c r="F153" s="13">
        <v>719</v>
      </c>
      <c r="G153" s="13">
        <v>764.1</v>
      </c>
      <c r="H153" s="13">
        <v>0</v>
      </c>
      <c r="I153" s="13">
        <v>0</v>
      </c>
      <c r="J153" s="13">
        <v>0</v>
      </c>
      <c r="K153" s="13">
        <v>7937.5600000000013</v>
      </c>
      <c r="L153" s="8">
        <f t="shared" si="1"/>
        <v>3653197.6400000006</v>
      </c>
      <c r="M153" s="14"/>
      <c r="N153"/>
    </row>
    <row r="154" spans="1:14" x14ac:dyDescent="0.2">
      <c r="A154" s="103">
        <v>26</v>
      </c>
      <c r="B154" s="106">
        <v>41663</v>
      </c>
      <c r="C154" s="104">
        <v>18455</v>
      </c>
      <c r="D154" s="121" t="s">
        <v>145</v>
      </c>
      <c r="E154" s="13">
        <v>29018.690000000013</v>
      </c>
      <c r="F154" s="13">
        <v>37734.589999999997</v>
      </c>
      <c r="G154" s="13">
        <v>4910.05</v>
      </c>
      <c r="H154" s="13">
        <v>0</v>
      </c>
      <c r="I154" s="13">
        <v>0</v>
      </c>
      <c r="J154" s="13">
        <v>0</v>
      </c>
      <c r="K154" s="13">
        <v>71663.330000000016</v>
      </c>
      <c r="L154" s="8">
        <f t="shared" si="1"/>
        <v>3724860.9700000007</v>
      </c>
      <c r="M154" s="103"/>
      <c r="N154" t="s">
        <v>48</v>
      </c>
    </row>
    <row r="155" spans="1:14" x14ac:dyDescent="0.2">
      <c r="A155" s="103">
        <v>29</v>
      </c>
      <c r="B155" s="106">
        <v>41663</v>
      </c>
      <c r="C155" s="104">
        <v>18456</v>
      </c>
      <c r="D155" s="121" t="s">
        <v>145</v>
      </c>
      <c r="E155" s="13">
        <v>5514.2999999999993</v>
      </c>
      <c r="F155" s="13">
        <v>4012</v>
      </c>
      <c r="G155" s="13">
        <v>820.7</v>
      </c>
      <c r="H155" s="13">
        <v>0</v>
      </c>
      <c r="I155" s="13">
        <v>0</v>
      </c>
      <c r="J155" s="13">
        <v>0</v>
      </c>
      <c r="K155" s="13">
        <v>10347</v>
      </c>
      <c r="L155" s="8">
        <f t="shared" si="1"/>
        <v>3735207.9700000007</v>
      </c>
      <c r="M155" s="103"/>
      <c r="N155" t="s">
        <v>94</v>
      </c>
    </row>
    <row r="156" spans="1:14" x14ac:dyDescent="0.2">
      <c r="A156" s="103">
        <v>10</v>
      </c>
      <c r="B156" s="106">
        <v>41663</v>
      </c>
      <c r="C156" s="104">
        <v>18457</v>
      </c>
      <c r="D156" s="121" t="s">
        <v>145</v>
      </c>
      <c r="E156" s="13">
        <v>9794.5300000000007</v>
      </c>
      <c r="F156" s="13">
        <v>19892.419999999995</v>
      </c>
      <c r="G156" s="13">
        <v>1768.75</v>
      </c>
      <c r="H156" s="13">
        <v>0</v>
      </c>
      <c r="I156" s="13">
        <v>0</v>
      </c>
      <c r="J156" s="13">
        <v>0</v>
      </c>
      <c r="K156" s="13">
        <v>31455.699999999997</v>
      </c>
      <c r="L156" s="8">
        <f t="shared" si="1"/>
        <v>3766663.6700000009</v>
      </c>
      <c r="M156" s="14"/>
      <c r="N156"/>
    </row>
    <row r="157" spans="1:14" x14ac:dyDescent="0.2">
      <c r="A157" s="103">
        <v>33</v>
      </c>
      <c r="B157" s="106">
        <v>41663</v>
      </c>
      <c r="C157" s="104">
        <v>18458</v>
      </c>
      <c r="D157" s="121" t="s">
        <v>145</v>
      </c>
      <c r="E157" s="13">
        <v>15707.789999999997</v>
      </c>
      <c r="F157" s="13">
        <v>8865.5400000000009</v>
      </c>
      <c r="G157" s="13">
        <v>2518.7000000000003</v>
      </c>
      <c r="H157" s="13">
        <v>0</v>
      </c>
      <c r="I157" s="13">
        <v>0</v>
      </c>
      <c r="J157" s="13">
        <v>0</v>
      </c>
      <c r="K157" s="13">
        <v>27092.03</v>
      </c>
      <c r="L157" s="8">
        <f t="shared" si="1"/>
        <v>3793755.7000000007</v>
      </c>
      <c r="M157" s="103"/>
      <c r="N157"/>
    </row>
    <row r="158" spans="1:14" x14ac:dyDescent="0.2">
      <c r="A158" s="103">
        <v>5</v>
      </c>
      <c r="B158" s="106">
        <v>41663</v>
      </c>
      <c r="C158" s="104">
        <v>18459</v>
      </c>
      <c r="D158" s="121" t="s">
        <v>145</v>
      </c>
      <c r="E158" s="105">
        <v>20659.68</v>
      </c>
      <c r="F158" s="105">
        <v>16157.5</v>
      </c>
      <c r="G158" s="105">
        <v>3537.5</v>
      </c>
      <c r="H158" s="105">
        <v>0</v>
      </c>
      <c r="I158" s="105">
        <v>0</v>
      </c>
      <c r="J158" s="105">
        <v>0</v>
      </c>
      <c r="K158" s="105">
        <v>40354.68</v>
      </c>
      <c r="L158" s="8">
        <f t="shared" si="1"/>
        <v>3834110.3800000008</v>
      </c>
      <c r="M158" s="14"/>
      <c r="N158"/>
    </row>
    <row r="159" spans="1:14" ht="15" customHeight="1" x14ac:dyDescent="0.2">
      <c r="A159" s="103">
        <v>14</v>
      </c>
      <c r="B159" s="106">
        <v>41663</v>
      </c>
      <c r="C159" s="104">
        <v>18465</v>
      </c>
      <c r="D159" s="121" t="s">
        <v>145</v>
      </c>
      <c r="E159" s="13">
        <v>18942.89</v>
      </c>
      <c r="F159" s="13">
        <v>10387</v>
      </c>
      <c r="G159" s="13">
        <v>2957.35</v>
      </c>
      <c r="H159" s="13">
        <v>0</v>
      </c>
      <c r="I159" s="13">
        <v>0</v>
      </c>
      <c r="J159" s="13">
        <v>0</v>
      </c>
      <c r="K159" s="13">
        <v>32287.239999999998</v>
      </c>
      <c r="L159" s="8">
        <f t="shared" si="1"/>
        <v>3866397.620000001</v>
      </c>
      <c r="M159" s="14"/>
      <c r="N159"/>
    </row>
    <row r="160" spans="1:14" ht="15" customHeight="1" x14ac:dyDescent="0.2">
      <c r="A160" s="103">
        <v>17</v>
      </c>
      <c r="B160" s="106">
        <v>41663</v>
      </c>
      <c r="C160" s="104">
        <v>18467</v>
      </c>
      <c r="D160" s="121" t="s">
        <v>145</v>
      </c>
      <c r="E160" s="13">
        <v>5614.74</v>
      </c>
      <c r="F160" s="13">
        <v>587</v>
      </c>
      <c r="G160" s="13">
        <v>1018.8000000000001</v>
      </c>
      <c r="H160" s="13">
        <v>0</v>
      </c>
      <c r="I160" s="13">
        <v>0</v>
      </c>
      <c r="J160" s="13">
        <v>0</v>
      </c>
      <c r="K160" s="13">
        <v>7220.54</v>
      </c>
      <c r="L160" s="8">
        <f t="shared" si="1"/>
        <v>3873618.1600000011</v>
      </c>
      <c r="M160" s="14"/>
      <c r="N160"/>
    </row>
    <row r="161" spans="1:14" x14ac:dyDescent="0.2">
      <c r="A161" s="103">
        <v>7</v>
      </c>
      <c r="B161" s="106">
        <v>41663</v>
      </c>
      <c r="C161" s="104">
        <v>18469</v>
      </c>
      <c r="D161" s="121" t="s">
        <v>145</v>
      </c>
      <c r="E161" s="105">
        <v>4842.54</v>
      </c>
      <c r="F161" s="105">
        <v>421</v>
      </c>
      <c r="G161" s="105">
        <v>820.7</v>
      </c>
      <c r="H161" s="105">
        <v>0</v>
      </c>
      <c r="I161" s="105">
        <v>0</v>
      </c>
      <c r="J161" s="105">
        <v>0</v>
      </c>
      <c r="K161" s="105">
        <v>6084.24</v>
      </c>
      <c r="L161" s="8">
        <f t="shared" si="1"/>
        <v>3879702.4000000013</v>
      </c>
      <c r="M161" s="14"/>
      <c r="N161"/>
    </row>
    <row r="162" spans="1:14" x14ac:dyDescent="0.2">
      <c r="A162" s="103">
        <v>31</v>
      </c>
      <c r="B162" s="106">
        <v>41663</v>
      </c>
      <c r="C162" s="104">
        <v>18472</v>
      </c>
      <c r="D162" s="121" t="s">
        <v>145</v>
      </c>
      <c r="E162" s="13">
        <v>24577.399999999994</v>
      </c>
      <c r="F162" s="13">
        <v>16031.810000000001</v>
      </c>
      <c r="G162" s="13">
        <v>3990.3</v>
      </c>
      <c r="H162" s="13">
        <v>0</v>
      </c>
      <c r="I162" s="13">
        <v>0</v>
      </c>
      <c r="J162" s="13">
        <v>0</v>
      </c>
      <c r="K162" s="13">
        <v>44599.509999999995</v>
      </c>
      <c r="L162" s="8">
        <f t="shared" si="1"/>
        <v>3924301.9100000011</v>
      </c>
      <c r="M162" s="103"/>
      <c r="N162"/>
    </row>
    <row r="163" spans="1:14" x14ac:dyDescent="0.2">
      <c r="A163" s="103">
        <v>35</v>
      </c>
      <c r="B163" s="106">
        <v>41663</v>
      </c>
      <c r="C163" s="104">
        <v>18474</v>
      </c>
      <c r="D163" s="121" t="s">
        <v>145</v>
      </c>
      <c r="E163" s="13">
        <v>4990.57</v>
      </c>
      <c r="F163" s="13">
        <v>1135.19</v>
      </c>
      <c r="G163" s="13">
        <v>820.7</v>
      </c>
      <c r="H163" s="13">
        <v>0</v>
      </c>
      <c r="I163" s="13">
        <v>0</v>
      </c>
      <c r="J163" s="13">
        <v>0</v>
      </c>
      <c r="K163" s="13">
        <v>6946.46</v>
      </c>
      <c r="L163" s="8">
        <f t="shared" si="1"/>
        <v>3931248.370000001</v>
      </c>
      <c r="M163" s="103"/>
      <c r="N163" t="s">
        <v>94</v>
      </c>
    </row>
    <row r="164" spans="1:14" ht="14.25" customHeight="1" x14ac:dyDescent="0.2">
      <c r="A164" s="103">
        <v>24</v>
      </c>
      <c r="B164" s="106">
        <v>41663</v>
      </c>
      <c r="C164" s="104">
        <v>18487</v>
      </c>
      <c r="D164" s="121" t="s">
        <v>145</v>
      </c>
      <c r="E164" s="13">
        <v>23130.490000000005</v>
      </c>
      <c r="F164" s="13">
        <v>24479.320000000007</v>
      </c>
      <c r="G164" s="13">
        <v>4089.35</v>
      </c>
      <c r="H164" s="13">
        <v>0</v>
      </c>
      <c r="I164" s="13">
        <v>0</v>
      </c>
      <c r="J164" s="13">
        <v>0</v>
      </c>
      <c r="K164" s="13">
        <v>51699.160000000011</v>
      </c>
      <c r="L164" s="8">
        <f t="shared" si="1"/>
        <v>3982947.5300000012</v>
      </c>
      <c r="M164" s="14"/>
      <c r="N164" t="s">
        <v>94</v>
      </c>
    </row>
    <row r="165" spans="1:14" x14ac:dyDescent="0.2">
      <c r="A165" s="103">
        <v>30</v>
      </c>
      <c r="B165" s="106">
        <v>41663</v>
      </c>
      <c r="C165" s="104">
        <v>18489</v>
      </c>
      <c r="D165" s="121" t="s">
        <v>145</v>
      </c>
      <c r="E165" s="13">
        <v>12355.91</v>
      </c>
      <c r="F165" s="13">
        <v>1474.13</v>
      </c>
      <c r="G165" s="13">
        <v>849</v>
      </c>
      <c r="H165" s="13">
        <v>0</v>
      </c>
      <c r="I165" s="13">
        <v>0</v>
      </c>
      <c r="J165" s="13">
        <v>0</v>
      </c>
      <c r="K165" s="13">
        <v>14679.04</v>
      </c>
      <c r="L165" s="8">
        <f t="shared" si="1"/>
        <v>3997626.5700000012</v>
      </c>
      <c r="M165" s="103"/>
      <c r="N165"/>
    </row>
    <row r="166" spans="1:14" x14ac:dyDescent="0.2">
      <c r="A166" s="103">
        <v>4</v>
      </c>
      <c r="B166" s="106">
        <v>41663</v>
      </c>
      <c r="C166" s="104">
        <v>18490</v>
      </c>
      <c r="D166" s="121" t="s">
        <v>145</v>
      </c>
      <c r="E166" s="13">
        <v>15923.949999999999</v>
      </c>
      <c r="F166" s="13">
        <v>5329</v>
      </c>
      <c r="G166" s="13">
        <v>2348.9</v>
      </c>
      <c r="H166" s="13">
        <v>0</v>
      </c>
      <c r="I166" s="13">
        <v>0</v>
      </c>
      <c r="J166" s="13">
        <v>0</v>
      </c>
      <c r="K166" s="13">
        <v>23601.85</v>
      </c>
      <c r="L166" s="8">
        <f t="shared" si="1"/>
        <v>4021228.4200000013</v>
      </c>
      <c r="M166" s="14"/>
      <c r="N166"/>
    </row>
    <row r="167" spans="1:14" x14ac:dyDescent="0.2">
      <c r="A167" s="103">
        <v>20</v>
      </c>
      <c r="B167" s="106">
        <v>41663</v>
      </c>
      <c r="C167" s="104">
        <v>18491</v>
      </c>
      <c r="D167" s="121" t="s">
        <v>145</v>
      </c>
      <c r="E167" s="13">
        <v>5259.78</v>
      </c>
      <c r="F167" s="13">
        <v>29753.450000000004</v>
      </c>
      <c r="G167" s="13">
        <v>622.6</v>
      </c>
      <c r="H167" s="13">
        <v>0</v>
      </c>
      <c r="I167" s="13">
        <v>0</v>
      </c>
      <c r="J167" s="13">
        <v>0</v>
      </c>
      <c r="K167" s="13">
        <v>35635.83</v>
      </c>
      <c r="L167" s="8">
        <f t="shared" si="1"/>
        <v>4056864.2500000014</v>
      </c>
      <c r="M167" s="14"/>
      <c r="N167"/>
    </row>
    <row r="168" spans="1:14" x14ac:dyDescent="0.2">
      <c r="A168" s="103">
        <v>18</v>
      </c>
      <c r="B168" s="106">
        <v>41663</v>
      </c>
      <c r="C168" s="104">
        <v>18492</v>
      </c>
      <c r="D168" s="121" t="s">
        <v>145</v>
      </c>
      <c r="E168" s="13">
        <v>20170.560000000001</v>
      </c>
      <c r="F168" s="13">
        <v>6958</v>
      </c>
      <c r="G168" s="13">
        <v>3127.15</v>
      </c>
      <c r="H168" s="13">
        <v>0</v>
      </c>
      <c r="I168" s="13">
        <v>0</v>
      </c>
      <c r="J168" s="13">
        <v>0</v>
      </c>
      <c r="K168" s="13">
        <v>30255.710000000003</v>
      </c>
      <c r="L168" s="8">
        <f t="shared" si="1"/>
        <v>4087119.9600000014</v>
      </c>
      <c r="M168" s="14"/>
      <c r="N168"/>
    </row>
    <row r="169" spans="1:14" x14ac:dyDescent="0.2">
      <c r="A169" s="103">
        <v>15</v>
      </c>
      <c r="B169" s="106">
        <v>41663</v>
      </c>
      <c r="C169" s="104">
        <v>18493</v>
      </c>
      <c r="D169" s="121" t="s">
        <v>145</v>
      </c>
      <c r="E169" s="13">
        <v>21177.929999999997</v>
      </c>
      <c r="F169" s="13">
        <v>5557.01</v>
      </c>
      <c r="G169" s="13">
        <v>3523.35</v>
      </c>
      <c r="H169" s="13">
        <v>0</v>
      </c>
      <c r="I169" s="13">
        <v>0</v>
      </c>
      <c r="J169" s="13">
        <v>0</v>
      </c>
      <c r="K169" s="13">
        <v>30258.289999999994</v>
      </c>
      <c r="L169" s="8">
        <f t="shared" si="1"/>
        <v>4117378.2500000014</v>
      </c>
      <c r="M169" s="14"/>
      <c r="N169"/>
    </row>
    <row r="170" spans="1:14" x14ac:dyDescent="0.2">
      <c r="A170" s="103">
        <v>16</v>
      </c>
      <c r="B170" s="106">
        <v>41663</v>
      </c>
      <c r="C170" s="104">
        <v>18494</v>
      </c>
      <c r="D170" s="121" t="s">
        <v>145</v>
      </c>
      <c r="E170" s="13">
        <v>27891.110000000008</v>
      </c>
      <c r="F170" s="13">
        <v>10170</v>
      </c>
      <c r="G170" s="13">
        <v>4542.1500000000005</v>
      </c>
      <c r="H170" s="13">
        <v>0</v>
      </c>
      <c r="I170" s="13">
        <v>0</v>
      </c>
      <c r="J170" s="13">
        <v>0</v>
      </c>
      <c r="K170" s="13">
        <v>42603.260000000009</v>
      </c>
      <c r="L170" s="8">
        <f t="shared" si="1"/>
        <v>4159981.5100000016</v>
      </c>
      <c r="M170" s="103"/>
      <c r="N170"/>
    </row>
    <row r="171" spans="1:14" x14ac:dyDescent="0.2">
      <c r="A171" s="103">
        <v>22</v>
      </c>
      <c r="B171" s="106">
        <v>41663</v>
      </c>
      <c r="C171" s="104">
        <v>18495</v>
      </c>
      <c r="D171" s="121" t="s">
        <v>145</v>
      </c>
      <c r="E171" s="13">
        <v>2141</v>
      </c>
      <c r="F171" s="13">
        <v>0</v>
      </c>
      <c r="G171" s="13">
        <v>283</v>
      </c>
      <c r="H171" s="13">
        <v>0</v>
      </c>
      <c r="I171" s="13">
        <v>0</v>
      </c>
      <c r="J171" s="13">
        <v>0</v>
      </c>
      <c r="K171" s="13">
        <v>2424</v>
      </c>
      <c r="L171" s="8">
        <f t="shared" si="1"/>
        <v>4162405.5100000016</v>
      </c>
      <c r="M171" s="14"/>
      <c r="N171" t="s">
        <v>110</v>
      </c>
    </row>
    <row r="172" spans="1:14" x14ac:dyDescent="0.2">
      <c r="A172" s="103">
        <v>13</v>
      </c>
      <c r="B172" s="106">
        <v>41663</v>
      </c>
      <c r="C172" s="104">
        <v>18496</v>
      </c>
      <c r="D172" s="121" t="s">
        <v>145</v>
      </c>
      <c r="E172" s="13">
        <v>340.4</v>
      </c>
      <c r="F172" s="13">
        <v>0</v>
      </c>
      <c r="G172" s="13">
        <v>56.6</v>
      </c>
      <c r="H172" s="13">
        <v>0</v>
      </c>
      <c r="I172" s="13">
        <v>0</v>
      </c>
      <c r="J172" s="13">
        <v>0</v>
      </c>
      <c r="K172" s="13">
        <v>397</v>
      </c>
      <c r="L172" s="8">
        <f t="shared" si="1"/>
        <v>4162802.5100000016</v>
      </c>
      <c r="M172" s="13">
        <f>SUM(K139:K172)</f>
        <v>845717.83000000007</v>
      </c>
      <c r="N172" t="s">
        <v>111</v>
      </c>
    </row>
    <row r="173" spans="1:14" x14ac:dyDescent="0.2">
      <c r="L173" s="8">
        <f t="shared" si="1"/>
        <v>4162802.5100000016</v>
      </c>
    </row>
    <row r="174" spans="1:14" x14ac:dyDescent="0.2">
      <c r="A174" s="107">
        <v>1</v>
      </c>
      <c r="B174" s="16">
        <v>41664</v>
      </c>
      <c r="C174" s="17">
        <v>18498</v>
      </c>
      <c r="D174" s="121" t="s">
        <v>145</v>
      </c>
      <c r="E174" s="109">
        <v>30575.909999999993</v>
      </c>
      <c r="F174" s="109">
        <v>11810.380000000001</v>
      </c>
      <c r="G174" s="109">
        <v>3721.4500000000003</v>
      </c>
      <c r="H174" s="109">
        <v>0</v>
      </c>
      <c r="I174" s="109">
        <v>0</v>
      </c>
      <c r="J174" s="109">
        <v>0</v>
      </c>
      <c r="K174" s="13">
        <v>46107.739999999991</v>
      </c>
      <c r="L174" s="8">
        <f t="shared" si="1"/>
        <v>4208910.2500000019</v>
      </c>
      <c r="M174" s="107"/>
      <c r="N174"/>
    </row>
    <row r="175" spans="1:14" ht="14.25" customHeight="1" x14ac:dyDescent="0.2">
      <c r="A175" s="107">
        <v>8</v>
      </c>
      <c r="B175" s="110">
        <v>41664</v>
      </c>
      <c r="C175" s="108">
        <v>18499</v>
      </c>
      <c r="D175" s="121" t="s">
        <v>145</v>
      </c>
      <c r="E175" s="13">
        <v>7512.9</v>
      </c>
      <c r="F175" s="13">
        <v>1864</v>
      </c>
      <c r="G175" s="13">
        <v>990.5</v>
      </c>
      <c r="H175" s="13">
        <v>0</v>
      </c>
      <c r="I175" s="13">
        <v>0</v>
      </c>
      <c r="J175" s="13">
        <v>0</v>
      </c>
      <c r="K175" s="13">
        <v>10367.4</v>
      </c>
      <c r="L175" s="8">
        <f t="shared" si="1"/>
        <v>4219277.6500000022</v>
      </c>
      <c r="M175" s="14"/>
      <c r="N175" t="s">
        <v>92</v>
      </c>
    </row>
    <row r="176" spans="1:14" ht="13.5" customHeight="1" x14ac:dyDescent="0.2">
      <c r="A176" s="107">
        <v>28</v>
      </c>
      <c r="B176" s="110">
        <v>41664</v>
      </c>
      <c r="C176" s="108">
        <v>18500</v>
      </c>
      <c r="D176" s="121" t="s">
        <v>145</v>
      </c>
      <c r="E176" s="13">
        <v>33483.289999999994</v>
      </c>
      <c r="F176" s="13">
        <v>7238.71</v>
      </c>
      <c r="G176" s="13">
        <v>4273.3</v>
      </c>
      <c r="H176" s="13">
        <v>0</v>
      </c>
      <c r="I176" s="13">
        <v>0</v>
      </c>
      <c r="J176" s="13">
        <v>0</v>
      </c>
      <c r="K176" s="13">
        <v>44995.299999999996</v>
      </c>
      <c r="L176" s="8">
        <f t="shared" si="1"/>
        <v>4264272.950000002</v>
      </c>
      <c r="M176" s="14"/>
      <c r="N176"/>
    </row>
    <row r="177" spans="1:14" x14ac:dyDescent="0.2">
      <c r="A177" s="107">
        <v>12</v>
      </c>
      <c r="B177" s="110">
        <v>41664</v>
      </c>
      <c r="C177" s="108">
        <v>18501</v>
      </c>
      <c r="D177" s="121" t="s">
        <v>145</v>
      </c>
      <c r="E177" s="13">
        <v>17738.48</v>
      </c>
      <c r="F177" s="13">
        <v>9779</v>
      </c>
      <c r="G177" s="13">
        <v>2334.75</v>
      </c>
      <c r="H177" s="13">
        <v>0</v>
      </c>
      <c r="I177" s="13">
        <v>0</v>
      </c>
      <c r="J177" s="13">
        <v>0</v>
      </c>
      <c r="K177" s="13">
        <v>29852.23</v>
      </c>
      <c r="L177" s="8">
        <f t="shared" si="1"/>
        <v>4294125.1800000025</v>
      </c>
      <c r="M177" s="14"/>
      <c r="N177"/>
    </row>
    <row r="178" spans="1:14" x14ac:dyDescent="0.2">
      <c r="A178" s="107">
        <v>32</v>
      </c>
      <c r="B178" s="110">
        <v>41664</v>
      </c>
      <c r="C178" s="108">
        <v>18503</v>
      </c>
      <c r="D178" s="121" t="s">
        <v>145</v>
      </c>
      <c r="E178" s="13">
        <v>1534.14</v>
      </c>
      <c r="F178" s="13">
        <v>520</v>
      </c>
      <c r="G178" s="13">
        <v>169.8</v>
      </c>
      <c r="H178" s="13">
        <v>0</v>
      </c>
      <c r="I178" s="13">
        <v>0</v>
      </c>
      <c r="J178" s="13">
        <v>0</v>
      </c>
      <c r="K178" s="13">
        <v>2223.9400000000005</v>
      </c>
      <c r="L178" s="8">
        <f t="shared" si="1"/>
        <v>4296349.1200000029</v>
      </c>
      <c r="M178" s="107"/>
      <c r="N178"/>
    </row>
    <row r="179" spans="1:14" ht="15" customHeight="1" x14ac:dyDescent="0.2">
      <c r="A179" s="107">
        <v>11</v>
      </c>
      <c r="B179" s="110">
        <v>41664</v>
      </c>
      <c r="C179" s="108">
        <v>18508</v>
      </c>
      <c r="D179" s="121" t="s">
        <v>145</v>
      </c>
      <c r="E179" s="13">
        <v>15370.06</v>
      </c>
      <c r="F179" s="13">
        <v>1091</v>
      </c>
      <c r="G179" s="13">
        <v>1415</v>
      </c>
      <c r="H179" s="13">
        <v>0</v>
      </c>
      <c r="I179" s="13">
        <v>0</v>
      </c>
      <c r="J179" s="13">
        <v>0</v>
      </c>
      <c r="K179" s="13">
        <v>17876.059999999998</v>
      </c>
      <c r="L179" s="8">
        <f t="shared" si="1"/>
        <v>4314225.1800000025</v>
      </c>
      <c r="M179" s="107"/>
      <c r="N179"/>
    </row>
    <row r="180" spans="1:14" x14ac:dyDescent="0.2">
      <c r="A180" s="107">
        <v>21</v>
      </c>
      <c r="B180" s="110">
        <v>41664</v>
      </c>
      <c r="C180" s="108">
        <v>18513</v>
      </c>
      <c r="D180" s="121" t="s">
        <v>145</v>
      </c>
      <c r="E180" s="13">
        <v>33187.4</v>
      </c>
      <c r="F180" s="13">
        <v>12735.32</v>
      </c>
      <c r="G180" s="13">
        <v>4485.55</v>
      </c>
      <c r="H180" s="13">
        <v>0</v>
      </c>
      <c r="I180" s="13">
        <v>0</v>
      </c>
      <c r="J180" s="13">
        <v>0</v>
      </c>
      <c r="K180" s="13">
        <v>50408.270000000004</v>
      </c>
      <c r="L180" s="8">
        <f t="shared" si="1"/>
        <v>4364633.450000002</v>
      </c>
      <c r="M180" s="14"/>
      <c r="N180"/>
    </row>
    <row r="181" spans="1:14" x14ac:dyDescent="0.2">
      <c r="A181" s="107">
        <v>2</v>
      </c>
      <c r="B181" s="110">
        <v>41664</v>
      </c>
      <c r="C181" s="108">
        <v>18516</v>
      </c>
      <c r="D181" s="121" t="s">
        <v>145</v>
      </c>
      <c r="E181" s="109">
        <v>22090.809999999998</v>
      </c>
      <c r="F181" s="109">
        <v>8516</v>
      </c>
      <c r="G181" s="109">
        <v>3325.25</v>
      </c>
      <c r="H181" s="109">
        <v>0</v>
      </c>
      <c r="I181" s="109">
        <v>0</v>
      </c>
      <c r="J181" s="109">
        <v>0</v>
      </c>
      <c r="K181" s="109">
        <v>33932.06</v>
      </c>
      <c r="L181" s="8">
        <f t="shared" si="1"/>
        <v>4398565.5100000016</v>
      </c>
      <c r="M181" s="14"/>
      <c r="N181"/>
    </row>
    <row r="182" spans="1:14" x14ac:dyDescent="0.2">
      <c r="A182" s="107">
        <v>27</v>
      </c>
      <c r="B182" s="110">
        <v>41664</v>
      </c>
      <c r="C182" s="108">
        <v>18517</v>
      </c>
      <c r="D182" s="121" t="s">
        <v>145</v>
      </c>
      <c r="E182" s="13">
        <v>19130.95</v>
      </c>
      <c r="F182" s="13">
        <v>11297</v>
      </c>
      <c r="G182" s="13">
        <v>2688.5</v>
      </c>
      <c r="H182" s="13">
        <v>0</v>
      </c>
      <c r="I182" s="13">
        <v>0</v>
      </c>
      <c r="J182" s="13">
        <v>0</v>
      </c>
      <c r="K182" s="13">
        <v>33116.449999999997</v>
      </c>
      <c r="L182" s="8">
        <f t="shared" si="1"/>
        <v>4431681.9600000018</v>
      </c>
      <c r="M182" s="107"/>
      <c r="N182"/>
    </row>
    <row r="183" spans="1:14" x14ac:dyDescent="0.2">
      <c r="A183" s="107">
        <v>9</v>
      </c>
      <c r="B183" s="110">
        <v>41664</v>
      </c>
      <c r="C183" s="108">
        <v>18518</v>
      </c>
      <c r="D183" s="121" t="s">
        <v>145</v>
      </c>
      <c r="E183" s="13">
        <v>24931.57</v>
      </c>
      <c r="F183" s="13">
        <v>11055.6</v>
      </c>
      <c r="G183" s="13">
        <v>3197.9</v>
      </c>
      <c r="H183" s="13">
        <v>0</v>
      </c>
      <c r="I183" s="13">
        <v>0</v>
      </c>
      <c r="J183" s="13">
        <v>0</v>
      </c>
      <c r="K183" s="13">
        <v>39185.07</v>
      </c>
      <c r="L183" s="8">
        <f t="shared" si="1"/>
        <v>4470867.0300000021</v>
      </c>
      <c r="M183" s="14"/>
      <c r="N183"/>
    </row>
    <row r="184" spans="1:14" x14ac:dyDescent="0.2">
      <c r="A184" s="107">
        <v>6</v>
      </c>
      <c r="B184" s="110">
        <v>41664</v>
      </c>
      <c r="C184" s="108">
        <v>18519</v>
      </c>
      <c r="D184" s="121" t="s">
        <v>145</v>
      </c>
      <c r="E184" s="109">
        <v>6941.5400000000009</v>
      </c>
      <c r="F184" s="109">
        <v>625</v>
      </c>
      <c r="G184" s="109">
        <v>905.6</v>
      </c>
      <c r="H184" s="109">
        <v>0</v>
      </c>
      <c r="I184" s="109">
        <v>0</v>
      </c>
      <c r="J184" s="109">
        <v>0</v>
      </c>
      <c r="K184" s="109">
        <v>8472.1400000000012</v>
      </c>
      <c r="L184" s="8">
        <f t="shared" si="1"/>
        <v>4479339.1700000018</v>
      </c>
      <c r="M184" s="14"/>
      <c r="N184"/>
    </row>
    <row r="185" spans="1:14" ht="15" customHeight="1" x14ac:dyDescent="0.2">
      <c r="A185" s="107">
        <v>25</v>
      </c>
      <c r="B185" s="110">
        <v>41664</v>
      </c>
      <c r="C185" s="108">
        <v>18520</v>
      </c>
      <c r="D185" s="121" t="s">
        <v>145</v>
      </c>
      <c r="E185" s="13">
        <v>2618.91</v>
      </c>
      <c r="F185" s="13">
        <v>138</v>
      </c>
      <c r="G185" s="13">
        <v>311.3</v>
      </c>
      <c r="H185" s="13">
        <v>0</v>
      </c>
      <c r="I185" s="13">
        <v>0</v>
      </c>
      <c r="J185" s="13">
        <v>0</v>
      </c>
      <c r="K185" s="13">
        <v>3068.21</v>
      </c>
      <c r="L185" s="8">
        <f t="shared" si="1"/>
        <v>4482407.3800000018</v>
      </c>
      <c r="M185" s="107"/>
      <c r="N185"/>
    </row>
    <row r="186" spans="1:14" ht="14.25" customHeight="1" x14ac:dyDescent="0.2">
      <c r="A186" s="107">
        <v>19</v>
      </c>
      <c r="B186" s="110">
        <v>41664</v>
      </c>
      <c r="C186" s="108">
        <v>18521</v>
      </c>
      <c r="D186" s="121" t="s">
        <v>145</v>
      </c>
      <c r="E186" s="13">
        <v>8393.84</v>
      </c>
      <c r="F186" s="13">
        <v>1928</v>
      </c>
      <c r="G186" s="13">
        <v>1358.4</v>
      </c>
      <c r="H186" s="13">
        <v>0</v>
      </c>
      <c r="I186" s="13">
        <v>0</v>
      </c>
      <c r="J186" s="13">
        <v>0</v>
      </c>
      <c r="K186" s="13">
        <v>11680.24</v>
      </c>
      <c r="L186" s="8">
        <f t="shared" si="1"/>
        <v>4494087.620000002</v>
      </c>
      <c r="M186" s="14"/>
      <c r="N186"/>
    </row>
    <row r="187" spans="1:14" x14ac:dyDescent="0.2">
      <c r="A187" s="107">
        <v>23</v>
      </c>
      <c r="B187" s="110">
        <v>41664</v>
      </c>
      <c r="C187" s="108">
        <v>18524</v>
      </c>
      <c r="D187" s="121" t="s">
        <v>145</v>
      </c>
      <c r="E187" s="13">
        <v>37534.349999999991</v>
      </c>
      <c r="F187" s="13">
        <v>9219.36</v>
      </c>
      <c r="G187" s="13">
        <v>5858.1</v>
      </c>
      <c r="H187" s="13">
        <v>0</v>
      </c>
      <c r="I187" s="13">
        <v>0</v>
      </c>
      <c r="J187" s="13">
        <v>0</v>
      </c>
      <c r="K187" s="13">
        <v>52611.80999999999</v>
      </c>
      <c r="L187" s="8">
        <f t="shared" si="1"/>
        <v>4546699.4300000016</v>
      </c>
      <c r="M187" s="14"/>
      <c r="N187"/>
    </row>
    <row r="188" spans="1:14" x14ac:dyDescent="0.2">
      <c r="A188" s="107">
        <v>3</v>
      </c>
      <c r="B188" s="110">
        <v>41664</v>
      </c>
      <c r="C188" s="108">
        <v>18527</v>
      </c>
      <c r="D188" s="121" t="s">
        <v>145</v>
      </c>
      <c r="E188" s="13">
        <v>7557.9500000000007</v>
      </c>
      <c r="F188" s="13">
        <v>719</v>
      </c>
      <c r="G188" s="13">
        <v>905.6</v>
      </c>
      <c r="H188" s="13">
        <v>0</v>
      </c>
      <c r="I188" s="13">
        <v>0</v>
      </c>
      <c r="J188" s="13">
        <v>0</v>
      </c>
      <c r="K188" s="13">
        <v>9182.5500000000011</v>
      </c>
      <c r="L188" s="8">
        <f t="shared" si="1"/>
        <v>4555881.9800000014</v>
      </c>
      <c r="M188" s="14"/>
      <c r="N188"/>
    </row>
    <row r="189" spans="1:14" x14ac:dyDescent="0.2">
      <c r="A189" s="107">
        <v>26</v>
      </c>
      <c r="B189" s="110">
        <v>41664</v>
      </c>
      <c r="C189" s="108">
        <v>18531</v>
      </c>
      <c r="D189" s="121" t="s">
        <v>145</v>
      </c>
      <c r="E189" s="13">
        <v>34631.119999999995</v>
      </c>
      <c r="F189" s="13">
        <v>37480.589999999997</v>
      </c>
      <c r="G189" s="13">
        <v>4726.1000000000004</v>
      </c>
      <c r="H189" s="13">
        <v>0</v>
      </c>
      <c r="I189" s="13">
        <v>0</v>
      </c>
      <c r="J189" s="13">
        <v>0</v>
      </c>
      <c r="K189" s="13">
        <v>76837.81</v>
      </c>
      <c r="L189" s="8">
        <f t="shared" si="1"/>
        <v>4632719.790000001</v>
      </c>
      <c r="M189" s="107"/>
      <c r="N189" t="s">
        <v>48</v>
      </c>
    </row>
    <row r="190" spans="1:14" x14ac:dyDescent="0.2">
      <c r="A190" s="107">
        <v>29</v>
      </c>
      <c r="B190" s="110">
        <v>41664</v>
      </c>
      <c r="C190" s="108">
        <v>18533</v>
      </c>
      <c r="D190" s="121" t="s">
        <v>145</v>
      </c>
      <c r="E190" s="13">
        <v>6477.58</v>
      </c>
      <c r="F190" s="13">
        <v>3048</v>
      </c>
      <c r="G190" s="13">
        <v>820.7</v>
      </c>
      <c r="H190" s="13">
        <v>0</v>
      </c>
      <c r="I190" s="13">
        <v>0</v>
      </c>
      <c r="J190" s="13">
        <v>0</v>
      </c>
      <c r="K190" s="13">
        <v>10346.280000000001</v>
      </c>
      <c r="L190" s="8">
        <f t="shared" si="1"/>
        <v>4643066.0700000012</v>
      </c>
      <c r="M190" s="107"/>
      <c r="N190"/>
    </row>
    <row r="191" spans="1:14" x14ac:dyDescent="0.2">
      <c r="A191" s="107">
        <v>10</v>
      </c>
      <c r="B191" s="110">
        <v>41664</v>
      </c>
      <c r="C191" s="108">
        <v>18539</v>
      </c>
      <c r="D191" s="121" t="s">
        <v>145</v>
      </c>
      <c r="E191" s="13">
        <v>12860.619999999997</v>
      </c>
      <c r="F191" s="13">
        <v>19574.419999999995</v>
      </c>
      <c r="G191" s="13">
        <v>1966.8500000000001</v>
      </c>
      <c r="H191" s="13">
        <v>0</v>
      </c>
      <c r="I191" s="13">
        <v>0</v>
      </c>
      <c r="J191" s="13">
        <v>0</v>
      </c>
      <c r="K191" s="13">
        <v>34401.889999999992</v>
      </c>
      <c r="L191" s="8">
        <f t="shared" si="1"/>
        <v>4677467.9600000009</v>
      </c>
      <c r="M191" s="14"/>
      <c r="N191"/>
    </row>
    <row r="192" spans="1:14" x14ac:dyDescent="0.2">
      <c r="A192" s="107">
        <v>33</v>
      </c>
      <c r="B192" s="110">
        <v>41664</v>
      </c>
      <c r="C192" s="108">
        <v>18544</v>
      </c>
      <c r="D192" s="121" t="s">
        <v>145</v>
      </c>
      <c r="E192" s="13">
        <v>21302.490000000005</v>
      </c>
      <c r="F192" s="13">
        <v>9153.5400000000009</v>
      </c>
      <c r="G192" s="13">
        <v>2518.7000000000003</v>
      </c>
      <c r="H192" s="13">
        <v>0</v>
      </c>
      <c r="I192" s="13">
        <v>0</v>
      </c>
      <c r="J192" s="13">
        <v>0</v>
      </c>
      <c r="K192" s="13">
        <v>32974.730000000003</v>
      </c>
      <c r="L192" s="8">
        <f t="shared" si="1"/>
        <v>4710442.6900000013</v>
      </c>
      <c r="M192" s="107"/>
      <c r="N192"/>
    </row>
    <row r="193" spans="1:14" x14ac:dyDescent="0.2">
      <c r="A193" s="107">
        <v>5</v>
      </c>
      <c r="B193" s="110">
        <v>41664</v>
      </c>
      <c r="C193" s="108">
        <v>18548</v>
      </c>
      <c r="D193" s="121" t="s">
        <v>145</v>
      </c>
      <c r="E193" s="109">
        <v>24875.279999999999</v>
      </c>
      <c r="F193" s="109">
        <v>16157.5</v>
      </c>
      <c r="G193" s="109">
        <v>3537.5</v>
      </c>
      <c r="H193" s="109">
        <v>0</v>
      </c>
      <c r="I193" s="109">
        <v>0</v>
      </c>
      <c r="J193" s="109">
        <v>0</v>
      </c>
      <c r="K193" s="109">
        <v>44570.28</v>
      </c>
      <c r="L193" s="8">
        <f t="shared" si="1"/>
        <v>4755012.9700000016</v>
      </c>
      <c r="M193" s="14"/>
      <c r="N193"/>
    </row>
    <row r="194" spans="1:14" ht="15" customHeight="1" x14ac:dyDescent="0.2">
      <c r="A194" s="107">
        <v>14</v>
      </c>
      <c r="B194" s="110">
        <v>41664</v>
      </c>
      <c r="C194" s="108">
        <v>18549</v>
      </c>
      <c r="D194" s="121" t="s">
        <v>145</v>
      </c>
      <c r="E194" s="13">
        <v>24463.269999999997</v>
      </c>
      <c r="F194" s="13">
        <v>10579</v>
      </c>
      <c r="G194" s="13">
        <v>3141.3</v>
      </c>
      <c r="H194" s="13">
        <v>0</v>
      </c>
      <c r="I194" s="13">
        <v>0</v>
      </c>
      <c r="J194" s="13">
        <v>0</v>
      </c>
      <c r="K194" s="13">
        <v>38183.57</v>
      </c>
      <c r="L194" s="8">
        <f t="shared" si="1"/>
        <v>4793196.5400000019</v>
      </c>
      <c r="M194" s="14"/>
      <c r="N194"/>
    </row>
    <row r="195" spans="1:14" ht="15" customHeight="1" x14ac:dyDescent="0.2">
      <c r="A195" s="107">
        <v>17</v>
      </c>
      <c r="B195" s="110">
        <v>41664</v>
      </c>
      <c r="C195" s="108">
        <v>18550</v>
      </c>
      <c r="D195" s="121" t="s">
        <v>145</v>
      </c>
      <c r="E195" s="13">
        <v>7021.77</v>
      </c>
      <c r="F195" s="13">
        <v>587</v>
      </c>
      <c r="G195" s="13">
        <v>1018.8000000000001</v>
      </c>
      <c r="H195" s="13">
        <v>0</v>
      </c>
      <c r="I195" s="13">
        <v>0</v>
      </c>
      <c r="J195" s="13">
        <v>0</v>
      </c>
      <c r="K195" s="13">
        <v>8627.57</v>
      </c>
      <c r="L195" s="8">
        <f t="shared" si="1"/>
        <v>4801824.1100000022</v>
      </c>
      <c r="M195" s="14"/>
      <c r="N195"/>
    </row>
    <row r="196" spans="1:14" x14ac:dyDescent="0.2">
      <c r="A196" s="107">
        <v>7</v>
      </c>
      <c r="B196" s="110">
        <v>41664</v>
      </c>
      <c r="C196" s="108">
        <v>18551</v>
      </c>
      <c r="D196" s="121" t="s">
        <v>145</v>
      </c>
      <c r="E196" s="109">
        <v>5714.41</v>
      </c>
      <c r="F196" s="109">
        <v>421</v>
      </c>
      <c r="G196" s="109">
        <v>820.7</v>
      </c>
      <c r="H196" s="109">
        <v>0</v>
      </c>
      <c r="I196" s="109">
        <v>0</v>
      </c>
      <c r="J196" s="109">
        <v>0</v>
      </c>
      <c r="K196" s="109">
        <v>6956.11</v>
      </c>
      <c r="L196" s="8">
        <f t="shared" si="1"/>
        <v>4808780.2200000025</v>
      </c>
      <c r="M196" s="14"/>
      <c r="N196"/>
    </row>
    <row r="197" spans="1:14" x14ac:dyDescent="0.2">
      <c r="A197" s="107">
        <v>31</v>
      </c>
      <c r="B197" s="110">
        <v>41664</v>
      </c>
      <c r="C197" s="108">
        <v>18552</v>
      </c>
      <c r="D197" s="121" t="s">
        <v>145</v>
      </c>
      <c r="E197" s="13">
        <v>27185.09</v>
      </c>
      <c r="F197" s="13">
        <v>15119.810000000001</v>
      </c>
      <c r="G197" s="13">
        <v>3608.25</v>
      </c>
      <c r="H197" s="13">
        <v>0</v>
      </c>
      <c r="I197" s="13">
        <v>0</v>
      </c>
      <c r="J197" s="13">
        <v>0</v>
      </c>
      <c r="K197" s="13">
        <v>45913.15</v>
      </c>
      <c r="L197" s="8">
        <f t="shared" si="1"/>
        <v>4854693.3700000029</v>
      </c>
      <c r="M197" s="107"/>
      <c r="N197"/>
    </row>
    <row r="198" spans="1:14" x14ac:dyDescent="0.2">
      <c r="A198" s="107">
        <v>35</v>
      </c>
      <c r="B198" s="110">
        <v>41664</v>
      </c>
      <c r="C198" s="108">
        <v>18553</v>
      </c>
      <c r="D198" s="121" t="s">
        <v>145</v>
      </c>
      <c r="E198" s="13">
        <v>5806.97</v>
      </c>
      <c r="F198" s="13">
        <v>1135.19</v>
      </c>
      <c r="G198" s="13">
        <v>820.7</v>
      </c>
      <c r="H198" s="13">
        <v>0</v>
      </c>
      <c r="I198" s="13">
        <v>0</v>
      </c>
      <c r="J198" s="13">
        <v>0</v>
      </c>
      <c r="K198" s="13">
        <v>7762.86</v>
      </c>
      <c r="L198" s="8">
        <f t="shared" si="1"/>
        <v>4862456.2300000032</v>
      </c>
      <c r="M198" s="107"/>
      <c r="N198" t="s">
        <v>48</v>
      </c>
    </row>
    <row r="199" spans="1:14" ht="14.25" customHeight="1" x14ac:dyDescent="0.2">
      <c r="A199" s="107">
        <v>24</v>
      </c>
      <c r="B199" s="110">
        <v>41664</v>
      </c>
      <c r="C199" s="108">
        <v>18554</v>
      </c>
      <c r="D199" s="121" t="s">
        <v>145</v>
      </c>
      <c r="E199" s="13">
        <v>29938.640000000003</v>
      </c>
      <c r="F199" s="13">
        <v>24479.320000000007</v>
      </c>
      <c r="G199" s="13">
        <v>4329.9000000000005</v>
      </c>
      <c r="H199" s="13">
        <v>0</v>
      </c>
      <c r="I199" s="13">
        <v>0</v>
      </c>
      <c r="J199" s="13">
        <v>0</v>
      </c>
      <c r="K199" s="13">
        <v>58747.860000000008</v>
      </c>
      <c r="L199" s="8">
        <f t="shared" si="1"/>
        <v>4921204.0900000036</v>
      </c>
      <c r="M199" s="14"/>
      <c r="N199"/>
    </row>
    <row r="200" spans="1:14" x14ac:dyDescent="0.2">
      <c r="A200" s="107">
        <v>30</v>
      </c>
      <c r="B200" s="110">
        <v>41664</v>
      </c>
      <c r="C200" s="108">
        <v>18555</v>
      </c>
      <c r="D200" s="121" t="s">
        <v>145</v>
      </c>
      <c r="E200" s="13">
        <v>12355.91</v>
      </c>
      <c r="F200" s="13">
        <v>1474.13</v>
      </c>
      <c r="G200" s="13">
        <v>849</v>
      </c>
      <c r="H200" s="13">
        <v>0</v>
      </c>
      <c r="I200" s="13">
        <v>0</v>
      </c>
      <c r="J200" s="13">
        <v>0</v>
      </c>
      <c r="K200" s="13">
        <v>14679.04</v>
      </c>
      <c r="L200" s="8">
        <f t="shared" si="1"/>
        <v>4935883.1300000036</v>
      </c>
      <c r="M200" s="107"/>
      <c r="N200"/>
    </row>
    <row r="201" spans="1:14" x14ac:dyDescent="0.2">
      <c r="A201" s="107">
        <v>4</v>
      </c>
      <c r="B201" s="110">
        <v>41664</v>
      </c>
      <c r="C201" s="108">
        <v>18556</v>
      </c>
      <c r="D201" s="121" t="s">
        <v>145</v>
      </c>
      <c r="E201" s="13">
        <v>19626.84</v>
      </c>
      <c r="F201" s="13">
        <v>5281</v>
      </c>
      <c r="G201" s="13">
        <v>2122.5</v>
      </c>
      <c r="H201" s="13">
        <v>0</v>
      </c>
      <c r="I201" s="13">
        <v>0</v>
      </c>
      <c r="J201" s="13">
        <v>0</v>
      </c>
      <c r="K201" s="13">
        <v>27030.34</v>
      </c>
      <c r="L201" s="8">
        <f t="shared" si="1"/>
        <v>4962913.4700000035</v>
      </c>
      <c r="M201" s="14"/>
      <c r="N201"/>
    </row>
    <row r="202" spans="1:14" x14ac:dyDescent="0.2">
      <c r="A202" s="107">
        <v>20</v>
      </c>
      <c r="B202" s="110">
        <v>41664</v>
      </c>
      <c r="C202" s="108">
        <v>18557</v>
      </c>
      <c r="D202" s="121" t="s">
        <v>145</v>
      </c>
      <c r="E202" s="13">
        <v>5686.66</v>
      </c>
      <c r="F202" s="13">
        <v>29104.450000000004</v>
      </c>
      <c r="G202" s="13">
        <v>622.6</v>
      </c>
      <c r="H202" s="13">
        <v>0</v>
      </c>
      <c r="I202" s="13">
        <v>0</v>
      </c>
      <c r="J202" s="13">
        <v>0</v>
      </c>
      <c r="K202" s="13">
        <v>35413.71</v>
      </c>
      <c r="L202" s="8">
        <f t="shared" si="1"/>
        <v>4998327.1800000034</v>
      </c>
      <c r="M202" s="14"/>
      <c r="N202"/>
    </row>
    <row r="203" spans="1:14" x14ac:dyDescent="0.2">
      <c r="A203" s="107">
        <v>18</v>
      </c>
      <c r="B203" s="110">
        <v>41664</v>
      </c>
      <c r="C203" s="108">
        <v>18558</v>
      </c>
      <c r="D203" s="121" t="s">
        <v>145</v>
      </c>
      <c r="E203" s="13">
        <v>30167.930000000004</v>
      </c>
      <c r="F203" s="13">
        <v>7294</v>
      </c>
      <c r="G203" s="13">
        <v>3268.65</v>
      </c>
      <c r="H203" s="13">
        <v>0</v>
      </c>
      <c r="I203" s="13">
        <v>0</v>
      </c>
      <c r="J203" s="13">
        <v>0</v>
      </c>
      <c r="K203" s="13">
        <v>40730.580000000009</v>
      </c>
      <c r="L203" s="8">
        <f t="shared" si="1"/>
        <v>5039057.7600000035</v>
      </c>
      <c r="M203" s="14"/>
      <c r="N203"/>
    </row>
    <row r="204" spans="1:14" x14ac:dyDescent="0.2">
      <c r="A204" s="107">
        <v>15</v>
      </c>
      <c r="B204" s="110">
        <v>41664</v>
      </c>
      <c r="C204" s="108">
        <v>18561</v>
      </c>
      <c r="D204" s="121" t="s">
        <v>145</v>
      </c>
      <c r="E204" s="13">
        <v>28492.790000000005</v>
      </c>
      <c r="F204" s="13">
        <v>5557.01</v>
      </c>
      <c r="G204" s="13">
        <v>3410.15</v>
      </c>
      <c r="H204" s="13">
        <v>0</v>
      </c>
      <c r="I204" s="13">
        <v>0</v>
      </c>
      <c r="J204" s="13">
        <v>0</v>
      </c>
      <c r="K204" s="13">
        <v>37459.950000000004</v>
      </c>
      <c r="L204" s="8">
        <f t="shared" si="1"/>
        <v>5076517.7100000037</v>
      </c>
      <c r="M204" s="14"/>
      <c r="N204"/>
    </row>
    <row r="205" spans="1:14" x14ac:dyDescent="0.2">
      <c r="A205" s="107">
        <v>16</v>
      </c>
      <c r="B205" s="110">
        <v>41664</v>
      </c>
      <c r="C205" s="108">
        <v>18565</v>
      </c>
      <c r="D205" s="121" t="s">
        <v>145</v>
      </c>
      <c r="E205" s="13">
        <v>42037.919999999991</v>
      </c>
      <c r="F205" s="13">
        <v>10266</v>
      </c>
      <c r="G205" s="13">
        <v>4542.1500000000005</v>
      </c>
      <c r="H205" s="13">
        <v>0</v>
      </c>
      <c r="I205" s="13">
        <v>0</v>
      </c>
      <c r="J205" s="13">
        <v>0</v>
      </c>
      <c r="K205" s="13">
        <v>56846.069999999992</v>
      </c>
      <c r="L205" s="8">
        <f t="shared" si="1"/>
        <v>5133363.780000004</v>
      </c>
      <c r="M205" s="109">
        <f>SUM(K174:K205)</f>
        <v>970561.26999999979</v>
      </c>
      <c r="N205"/>
    </row>
    <row r="206" spans="1:14" x14ac:dyDescent="0.2">
      <c r="L206" s="8">
        <f t="shared" si="1"/>
        <v>5133363.780000004</v>
      </c>
    </row>
    <row r="207" spans="1:14" x14ac:dyDescent="0.2">
      <c r="A207" s="111">
        <v>1</v>
      </c>
      <c r="B207" s="16">
        <v>41665</v>
      </c>
      <c r="C207" s="17">
        <v>18592</v>
      </c>
      <c r="D207" s="121" t="s">
        <v>145</v>
      </c>
      <c r="E207" s="113">
        <v>2100</v>
      </c>
      <c r="F207" s="113">
        <v>0</v>
      </c>
      <c r="G207" s="113">
        <v>0</v>
      </c>
      <c r="H207" s="113">
        <v>0</v>
      </c>
      <c r="I207" s="113">
        <v>0</v>
      </c>
      <c r="J207" s="113">
        <v>0</v>
      </c>
      <c r="K207" s="13">
        <v>2100</v>
      </c>
      <c r="L207" s="8">
        <f t="shared" si="1"/>
        <v>5135463.780000004</v>
      </c>
      <c r="M207" s="111"/>
      <c r="N207"/>
    </row>
    <row r="208" spans="1:14" ht="14.25" customHeight="1" x14ac:dyDescent="0.2">
      <c r="A208" s="111">
        <v>8</v>
      </c>
      <c r="B208" s="114">
        <v>41665</v>
      </c>
      <c r="C208" s="112">
        <v>18593</v>
      </c>
      <c r="D208" s="121" t="s">
        <v>145</v>
      </c>
      <c r="E208" s="13">
        <v>3436.04</v>
      </c>
      <c r="F208" s="13">
        <v>125</v>
      </c>
      <c r="G208" s="13">
        <v>339.6</v>
      </c>
      <c r="H208" s="13">
        <v>0</v>
      </c>
      <c r="I208" s="13">
        <v>0</v>
      </c>
      <c r="J208" s="13">
        <v>0</v>
      </c>
      <c r="K208" s="13">
        <v>3900.64</v>
      </c>
      <c r="L208" s="8">
        <f t="shared" ref="L208:L239" si="2">K208+L207</f>
        <v>5139364.4200000037</v>
      </c>
      <c r="M208" s="14"/>
      <c r="N208"/>
    </row>
    <row r="209" spans="1:14" ht="13.5" customHeight="1" x14ac:dyDescent="0.2">
      <c r="A209" s="111">
        <v>28</v>
      </c>
      <c r="B209" s="114">
        <v>41665</v>
      </c>
      <c r="C209" s="112">
        <v>18594</v>
      </c>
      <c r="D209" s="121" t="s">
        <v>145</v>
      </c>
      <c r="E209" s="13">
        <v>2465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2465</v>
      </c>
      <c r="L209" s="8">
        <f t="shared" si="2"/>
        <v>5141829.4200000037</v>
      </c>
      <c r="M209" s="14"/>
      <c r="N209"/>
    </row>
    <row r="210" spans="1:14" x14ac:dyDescent="0.2">
      <c r="A210" s="111">
        <v>12</v>
      </c>
      <c r="B210" s="114">
        <v>41665</v>
      </c>
      <c r="C210" s="112">
        <v>18595</v>
      </c>
      <c r="D210" s="121" t="s">
        <v>145</v>
      </c>
      <c r="E210" s="13">
        <v>14116.59</v>
      </c>
      <c r="F210" s="13">
        <v>3109</v>
      </c>
      <c r="G210" s="13">
        <v>1499.9</v>
      </c>
      <c r="H210" s="13">
        <v>0</v>
      </c>
      <c r="I210" s="13">
        <v>0</v>
      </c>
      <c r="J210" s="13">
        <v>0</v>
      </c>
      <c r="K210" s="13">
        <v>18725.490000000002</v>
      </c>
      <c r="L210" s="8">
        <f t="shared" si="2"/>
        <v>5160554.9100000039</v>
      </c>
      <c r="M210" s="14"/>
      <c r="N210"/>
    </row>
    <row r="211" spans="1:14" x14ac:dyDescent="0.2">
      <c r="A211" s="111">
        <v>32</v>
      </c>
      <c r="B211" s="114">
        <v>41665</v>
      </c>
      <c r="C211" s="112">
        <v>18596</v>
      </c>
      <c r="D211" s="121" t="s">
        <v>145</v>
      </c>
      <c r="E211" s="13">
        <v>85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85</v>
      </c>
      <c r="L211" s="8">
        <f t="shared" si="2"/>
        <v>5160639.9100000039</v>
      </c>
      <c r="M211" s="111"/>
      <c r="N211"/>
    </row>
    <row r="212" spans="1:14" ht="15" customHeight="1" x14ac:dyDescent="0.2">
      <c r="A212" s="111">
        <v>11</v>
      </c>
      <c r="B212" s="114">
        <v>41665</v>
      </c>
      <c r="C212" s="112">
        <v>18597</v>
      </c>
      <c r="D212" s="121" t="s">
        <v>145</v>
      </c>
      <c r="E212" s="13">
        <v>11622.19</v>
      </c>
      <c r="F212" s="13">
        <v>690</v>
      </c>
      <c r="G212" s="13">
        <v>849</v>
      </c>
      <c r="H212" s="13">
        <v>0</v>
      </c>
      <c r="I212" s="13">
        <v>0</v>
      </c>
      <c r="J212" s="13">
        <v>0</v>
      </c>
      <c r="K212" s="13">
        <v>13161.19</v>
      </c>
      <c r="L212" s="8">
        <f t="shared" si="2"/>
        <v>5173801.1000000043</v>
      </c>
      <c r="M212" s="111"/>
      <c r="N212"/>
    </row>
    <row r="213" spans="1:14" x14ac:dyDescent="0.2">
      <c r="A213" s="111">
        <v>2</v>
      </c>
      <c r="B213" s="114">
        <v>41665</v>
      </c>
      <c r="C213" s="112">
        <v>18598</v>
      </c>
      <c r="D213" s="121" t="s">
        <v>145</v>
      </c>
      <c r="E213" s="113">
        <v>1845</v>
      </c>
      <c r="F213" s="113">
        <v>0</v>
      </c>
      <c r="G213" s="113">
        <v>0</v>
      </c>
      <c r="H213" s="113">
        <v>0</v>
      </c>
      <c r="I213" s="113">
        <v>0</v>
      </c>
      <c r="J213" s="113">
        <v>0</v>
      </c>
      <c r="K213" s="113">
        <v>1845</v>
      </c>
      <c r="L213" s="8">
        <f t="shared" si="2"/>
        <v>5175646.1000000043</v>
      </c>
      <c r="M213" s="14"/>
      <c r="N213"/>
    </row>
    <row r="214" spans="1:14" x14ac:dyDescent="0.2">
      <c r="A214" s="111">
        <v>21</v>
      </c>
      <c r="B214" s="114">
        <v>41665</v>
      </c>
      <c r="C214" s="112">
        <v>18599</v>
      </c>
      <c r="D214" s="121" t="s">
        <v>145</v>
      </c>
      <c r="E214" s="13">
        <v>2505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2505</v>
      </c>
      <c r="L214" s="8">
        <f t="shared" si="2"/>
        <v>5178151.1000000043</v>
      </c>
      <c r="M214" s="14"/>
      <c r="N214"/>
    </row>
    <row r="215" spans="1:14" x14ac:dyDescent="0.2">
      <c r="A215" s="111">
        <v>27</v>
      </c>
      <c r="B215" s="114">
        <v>41665</v>
      </c>
      <c r="C215" s="112">
        <v>18600</v>
      </c>
      <c r="D215" s="121" t="s">
        <v>145</v>
      </c>
      <c r="E215" s="13">
        <v>22114.410000000003</v>
      </c>
      <c r="F215" s="13">
        <v>11297</v>
      </c>
      <c r="G215" s="13">
        <v>2476.25</v>
      </c>
      <c r="H215" s="13">
        <v>0</v>
      </c>
      <c r="I215" s="13">
        <v>0</v>
      </c>
      <c r="J215" s="13">
        <v>0</v>
      </c>
      <c r="K215" s="13">
        <v>35887.660000000003</v>
      </c>
      <c r="L215" s="8">
        <f t="shared" si="2"/>
        <v>5214038.7600000044</v>
      </c>
      <c r="M215" s="111"/>
      <c r="N215"/>
    </row>
    <row r="216" spans="1:14" x14ac:dyDescent="0.2">
      <c r="A216" s="111">
        <v>9</v>
      </c>
      <c r="B216" s="114">
        <v>41665</v>
      </c>
      <c r="C216" s="112">
        <v>18601</v>
      </c>
      <c r="D216" s="121" t="s">
        <v>145</v>
      </c>
      <c r="E216" s="13">
        <v>4424.09</v>
      </c>
      <c r="F216" s="13">
        <v>0</v>
      </c>
      <c r="G216" s="13">
        <v>311.3</v>
      </c>
      <c r="H216" s="13">
        <v>0</v>
      </c>
      <c r="I216" s="13">
        <v>0</v>
      </c>
      <c r="J216" s="13">
        <v>0</v>
      </c>
      <c r="K216" s="13">
        <v>4735.3900000000003</v>
      </c>
      <c r="L216" s="8">
        <f t="shared" si="2"/>
        <v>5218774.1500000041</v>
      </c>
      <c r="M216" s="14"/>
      <c r="N216"/>
    </row>
    <row r="217" spans="1:14" x14ac:dyDescent="0.2">
      <c r="A217" s="111">
        <v>6</v>
      </c>
      <c r="B217" s="114">
        <v>41665</v>
      </c>
      <c r="C217" s="112">
        <v>18602</v>
      </c>
      <c r="D217" s="121" t="s">
        <v>145</v>
      </c>
      <c r="E217" s="113">
        <v>2422.16</v>
      </c>
      <c r="F217" s="113">
        <v>125</v>
      </c>
      <c r="G217" s="113">
        <v>141.5</v>
      </c>
      <c r="H217" s="113">
        <v>0</v>
      </c>
      <c r="I217" s="113">
        <v>0</v>
      </c>
      <c r="J217" s="113">
        <v>0</v>
      </c>
      <c r="K217" s="113">
        <v>2688.66</v>
      </c>
      <c r="L217" s="8">
        <f t="shared" si="2"/>
        <v>5221462.8100000042</v>
      </c>
      <c r="M217" s="14"/>
      <c r="N217"/>
    </row>
    <row r="218" spans="1:14" ht="15" customHeight="1" x14ac:dyDescent="0.2">
      <c r="A218" s="111">
        <v>25</v>
      </c>
      <c r="B218" s="114">
        <v>41665</v>
      </c>
      <c r="C218" s="112">
        <v>18603</v>
      </c>
      <c r="D218" s="121" t="s">
        <v>145</v>
      </c>
      <c r="E218" s="13">
        <v>1647.16</v>
      </c>
      <c r="F218" s="13">
        <v>138</v>
      </c>
      <c r="G218" s="13">
        <v>141.5</v>
      </c>
      <c r="H218" s="13">
        <v>0</v>
      </c>
      <c r="I218" s="13">
        <v>0</v>
      </c>
      <c r="J218" s="13">
        <v>0</v>
      </c>
      <c r="K218" s="13">
        <v>1926.66</v>
      </c>
      <c r="L218" s="8">
        <f t="shared" si="2"/>
        <v>5223389.4700000044</v>
      </c>
      <c r="M218" s="111"/>
      <c r="N218"/>
    </row>
    <row r="219" spans="1:14" ht="14.25" customHeight="1" x14ac:dyDescent="0.2">
      <c r="A219" s="111">
        <v>19</v>
      </c>
      <c r="B219" s="114">
        <v>41665</v>
      </c>
      <c r="C219" s="112">
        <v>18604</v>
      </c>
      <c r="D219" s="121" t="s">
        <v>145</v>
      </c>
      <c r="E219" s="13">
        <v>4507.04</v>
      </c>
      <c r="F219" s="13">
        <v>983</v>
      </c>
      <c r="G219" s="13">
        <v>509.40000000000003</v>
      </c>
      <c r="H219" s="13">
        <v>0</v>
      </c>
      <c r="I219" s="13">
        <v>0</v>
      </c>
      <c r="J219" s="13">
        <v>0</v>
      </c>
      <c r="K219" s="13">
        <v>5999.44</v>
      </c>
      <c r="L219" s="8">
        <f t="shared" si="2"/>
        <v>5229388.9100000048</v>
      </c>
      <c r="M219" s="14"/>
      <c r="N219"/>
    </row>
    <row r="220" spans="1:14" x14ac:dyDescent="0.2">
      <c r="A220" s="111">
        <v>23</v>
      </c>
      <c r="B220" s="114">
        <v>41665</v>
      </c>
      <c r="C220" s="112">
        <v>18605</v>
      </c>
      <c r="D220" s="121" t="s">
        <v>145</v>
      </c>
      <c r="E220" s="13">
        <v>4742.16</v>
      </c>
      <c r="F220" s="13">
        <v>153</v>
      </c>
      <c r="G220" s="13">
        <v>141.5</v>
      </c>
      <c r="H220" s="13">
        <v>0</v>
      </c>
      <c r="I220" s="13">
        <v>0</v>
      </c>
      <c r="J220" s="13">
        <v>0</v>
      </c>
      <c r="K220" s="13">
        <v>5036.66</v>
      </c>
      <c r="L220" s="8">
        <f t="shared" si="2"/>
        <v>5234425.570000005</v>
      </c>
      <c r="M220" s="14"/>
      <c r="N220"/>
    </row>
    <row r="221" spans="1:14" x14ac:dyDescent="0.2">
      <c r="A221" s="111">
        <v>3</v>
      </c>
      <c r="B221" s="114">
        <v>41665</v>
      </c>
      <c r="C221" s="112">
        <v>18606</v>
      </c>
      <c r="D221" s="121" t="s">
        <v>145</v>
      </c>
      <c r="E221" s="13">
        <v>2107.16</v>
      </c>
      <c r="F221" s="13">
        <v>138</v>
      </c>
      <c r="G221" s="13">
        <v>141.5</v>
      </c>
      <c r="H221" s="13">
        <v>0</v>
      </c>
      <c r="I221" s="13">
        <v>0</v>
      </c>
      <c r="J221" s="13">
        <v>0</v>
      </c>
      <c r="K221" s="13">
        <v>2386.66</v>
      </c>
      <c r="L221" s="8">
        <f t="shared" si="2"/>
        <v>5236812.2300000051</v>
      </c>
      <c r="M221" s="14"/>
      <c r="N221"/>
    </row>
    <row r="222" spans="1:14" x14ac:dyDescent="0.2">
      <c r="A222" s="111">
        <v>26</v>
      </c>
      <c r="B222" s="114">
        <v>41665</v>
      </c>
      <c r="C222" s="112">
        <v>18607</v>
      </c>
      <c r="D222" s="121" t="s">
        <v>145</v>
      </c>
      <c r="E222" s="13">
        <v>2740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2740</v>
      </c>
      <c r="L222" s="8">
        <f t="shared" si="2"/>
        <v>5239552.2300000051</v>
      </c>
      <c r="M222" s="111"/>
      <c r="N222"/>
    </row>
    <row r="223" spans="1:14" x14ac:dyDescent="0.2">
      <c r="A223" s="111">
        <v>29</v>
      </c>
      <c r="B223" s="114">
        <v>41665</v>
      </c>
      <c r="C223" s="112">
        <v>18608</v>
      </c>
      <c r="D223" s="121" t="s">
        <v>145</v>
      </c>
      <c r="E223" s="13">
        <v>570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570</v>
      </c>
      <c r="L223" s="8">
        <f t="shared" si="2"/>
        <v>5240122.2300000051</v>
      </c>
      <c r="M223" s="111"/>
      <c r="N223"/>
    </row>
    <row r="224" spans="1:14" x14ac:dyDescent="0.2">
      <c r="A224" s="111">
        <v>10</v>
      </c>
      <c r="B224" s="114">
        <v>41665</v>
      </c>
      <c r="C224" s="112">
        <v>18609</v>
      </c>
      <c r="D224" s="121" t="s">
        <v>145</v>
      </c>
      <c r="E224" s="13">
        <v>7082.34</v>
      </c>
      <c r="F224" s="13">
        <v>11719.67</v>
      </c>
      <c r="G224" s="13">
        <v>707.5</v>
      </c>
      <c r="H224" s="13">
        <v>0</v>
      </c>
      <c r="I224" s="13">
        <v>0</v>
      </c>
      <c r="J224" s="13">
        <v>0</v>
      </c>
      <c r="K224" s="13">
        <v>19509.510000000002</v>
      </c>
      <c r="L224" s="8">
        <f t="shared" si="2"/>
        <v>5259631.7400000049</v>
      </c>
      <c r="M224" s="14"/>
      <c r="N224"/>
    </row>
    <row r="225" spans="1:14" x14ac:dyDescent="0.2">
      <c r="A225" s="111">
        <v>33</v>
      </c>
      <c r="B225" s="114">
        <v>41665</v>
      </c>
      <c r="C225" s="112">
        <v>18610</v>
      </c>
      <c r="D225" s="121" t="s">
        <v>145</v>
      </c>
      <c r="E225" s="13">
        <v>2507.79</v>
      </c>
      <c r="F225" s="13">
        <v>0</v>
      </c>
      <c r="G225" s="13">
        <v>155.65</v>
      </c>
      <c r="H225" s="13">
        <v>0</v>
      </c>
      <c r="I225" s="13">
        <v>0</v>
      </c>
      <c r="J225" s="13">
        <v>0</v>
      </c>
      <c r="K225" s="13">
        <v>2663.44</v>
      </c>
      <c r="L225" s="8">
        <f t="shared" si="2"/>
        <v>5262295.1800000053</v>
      </c>
      <c r="M225" s="111"/>
      <c r="N225"/>
    </row>
    <row r="226" spans="1:14" x14ac:dyDescent="0.2">
      <c r="A226" s="111">
        <v>5</v>
      </c>
      <c r="B226" s="114">
        <v>41665</v>
      </c>
      <c r="C226" s="112">
        <v>18611</v>
      </c>
      <c r="D226" s="121" t="s">
        <v>145</v>
      </c>
      <c r="E226" s="113">
        <v>2060</v>
      </c>
      <c r="F226" s="113">
        <v>0</v>
      </c>
      <c r="G226" s="113">
        <v>0</v>
      </c>
      <c r="H226" s="113">
        <v>0</v>
      </c>
      <c r="I226" s="113">
        <v>0</v>
      </c>
      <c r="J226" s="113">
        <v>0</v>
      </c>
      <c r="K226" s="113">
        <v>2060</v>
      </c>
      <c r="L226" s="8">
        <f t="shared" si="2"/>
        <v>5264355.1800000053</v>
      </c>
      <c r="M226" s="14"/>
      <c r="N226"/>
    </row>
    <row r="227" spans="1:14" ht="15" customHeight="1" x14ac:dyDescent="0.2">
      <c r="A227" s="111">
        <v>14</v>
      </c>
      <c r="B227" s="114">
        <v>41665</v>
      </c>
      <c r="C227" s="112">
        <v>18612</v>
      </c>
      <c r="D227" s="121" t="s">
        <v>145</v>
      </c>
      <c r="E227" s="13">
        <v>3173.17</v>
      </c>
      <c r="F227" s="13">
        <v>163</v>
      </c>
      <c r="G227" s="13">
        <v>155.65</v>
      </c>
      <c r="H227" s="13">
        <v>0</v>
      </c>
      <c r="I227" s="13">
        <v>0</v>
      </c>
      <c r="J227" s="13">
        <v>0</v>
      </c>
      <c r="K227" s="13">
        <v>3491.82</v>
      </c>
      <c r="L227" s="8">
        <f t="shared" si="2"/>
        <v>5267847.0000000056</v>
      </c>
      <c r="M227" s="14"/>
      <c r="N227"/>
    </row>
    <row r="228" spans="1:14" ht="15" customHeight="1" x14ac:dyDescent="0.2">
      <c r="A228" s="111">
        <v>17</v>
      </c>
      <c r="B228" s="114">
        <v>41665</v>
      </c>
      <c r="C228" s="112">
        <v>18613</v>
      </c>
      <c r="D228" s="121" t="s">
        <v>145</v>
      </c>
      <c r="E228" s="13">
        <v>3846.7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3846.7</v>
      </c>
      <c r="L228" s="8">
        <f t="shared" si="2"/>
        <v>5271693.7000000058</v>
      </c>
      <c r="M228" s="14"/>
      <c r="N228"/>
    </row>
    <row r="229" spans="1:14" x14ac:dyDescent="0.2">
      <c r="A229" s="111">
        <v>7</v>
      </c>
      <c r="B229" s="114">
        <v>41665</v>
      </c>
      <c r="C229" s="112">
        <v>18614</v>
      </c>
      <c r="D229" s="121" t="s">
        <v>145</v>
      </c>
      <c r="E229" s="113">
        <v>1902.16</v>
      </c>
      <c r="F229" s="113">
        <v>138</v>
      </c>
      <c r="G229" s="113">
        <v>141.5</v>
      </c>
      <c r="H229" s="113">
        <v>0</v>
      </c>
      <c r="I229" s="113">
        <v>0</v>
      </c>
      <c r="J229" s="113">
        <v>0</v>
      </c>
      <c r="K229" s="113">
        <v>2181.66</v>
      </c>
      <c r="L229" s="8">
        <f t="shared" si="2"/>
        <v>5273875.3600000059</v>
      </c>
      <c r="M229" s="14"/>
      <c r="N229"/>
    </row>
    <row r="230" spans="1:14" x14ac:dyDescent="0.2">
      <c r="A230" s="111">
        <v>31</v>
      </c>
      <c r="B230" s="114">
        <v>41665</v>
      </c>
      <c r="C230" s="112">
        <v>18615</v>
      </c>
      <c r="D230" s="121" t="s">
        <v>145</v>
      </c>
      <c r="E230" s="13">
        <v>16886.560000000001</v>
      </c>
      <c r="F230" s="13">
        <v>5685.56</v>
      </c>
      <c r="G230" s="13">
        <v>1528.2</v>
      </c>
      <c r="H230" s="13">
        <v>0</v>
      </c>
      <c r="I230" s="13">
        <v>0</v>
      </c>
      <c r="J230" s="13">
        <v>0</v>
      </c>
      <c r="K230" s="13">
        <v>24100.320000000003</v>
      </c>
      <c r="L230" s="8">
        <f t="shared" si="2"/>
        <v>5297975.6800000062</v>
      </c>
      <c r="M230" s="111"/>
      <c r="N230"/>
    </row>
    <row r="231" spans="1:14" x14ac:dyDescent="0.2">
      <c r="A231" s="111">
        <v>35</v>
      </c>
      <c r="B231" s="114">
        <v>41665</v>
      </c>
      <c r="C231" s="112">
        <v>18616</v>
      </c>
      <c r="D231" s="121" t="s">
        <v>145</v>
      </c>
      <c r="E231" s="13">
        <v>5877.0500000000011</v>
      </c>
      <c r="F231" s="13">
        <v>1135.19</v>
      </c>
      <c r="G231" s="13">
        <v>650.9</v>
      </c>
      <c r="H231" s="13">
        <v>0</v>
      </c>
      <c r="I231" s="13">
        <v>0</v>
      </c>
      <c r="J231" s="13">
        <v>0</v>
      </c>
      <c r="K231" s="13">
        <v>7663.1400000000012</v>
      </c>
      <c r="L231" s="8">
        <f t="shared" si="2"/>
        <v>5305638.8200000059</v>
      </c>
      <c r="M231" s="111"/>
      <c r="N231" t="s">
        <v>94</v>
      </c>
    </row>
    <row r="232" spans="1:14" ht="14.25" customHeight="1" x14ac:dyDescent="0.2">
      <c r="A232" s="111">
        <v>24</v>
      </c>
      <c r="B232" s="114">
        <v>41665</v>
      </c>
      <c r="C232" s="112">
        <v>18617</v>
      </c>
      <c r="D232" s="121" t="s">
        <v>145</v>
      </c>
      <c r="E232" s="13">
        <v>9996.7899999999991</v>
      </c>
      <c r="F232" s="13">
        <v>4171.83</v>
      </c>
      <c r="G232" s="13">
        <v>863.15</v>
      </c>
      <c r="H232" s="13">
        <v>0</v>
      </c>
      <c r="I232" s="13">
        <v>0</v>
      </c>
      <c r="J232" s="13">
        <v>0</v>
      </c>
      <c r="K232" s="13">
        <v>15031.769999999999</v>
      </c>
      <c r="L232" s="8">
        <f t="shared" si="2"/>
        <v>5320670.5900000054</v>
      </c>
      <c r="M232" s="14"/>
      <c r="N232"/>
    </row>
    <row r="233" spans="1:14" x14ac:dyDescent="0.2">
      <c r="A233" s="111">
        <v>30</v>
      </c>
      <c r="B233" s="114">
        <v>41665</v>
      </c>
      <c r="C233" s="112">
        <v>18618</v>
      </c>
      <c r="D233" s="121" t="s">
        <v>145</v>
      </c>
      <c r="E233" s="13">
        <v>5679.38</v>
      </c>
      <c r="F233" s="13">
        <v>298</v>
      </c>
      <c r="G233" s="13">
        <v>283</v>
      </c>
      <c r="H233" s="13">
        <v>0</v>
      </c>
      <c r="I233" s="13">
        <v>0</v>
      </c>
      <c r="J233" s="13">
        <v>0</v>
      </c>
      <c r="K233" s="13">
        <v>6260.38</v>
      </c>
      <c r="L233" s="8">
        <f t="shared" si="2"/>
        <v>5326930.9700000053</v>
      </c>
      <c r="M233" s="111"/>
      <c r="N233"/>
    </row>
    <row r="234" spans="1:14" x14ac:dyDescent="0.2">
      <c r="A234" s="111">
        <v>4</v>
      </c>
      <c r="B234" s="114">
        <v>41665</v>
      </c>
      <c r="C234" s="112">
        <v>18619</v>
      </c>
      <c r="D234" s="121" t="s">
        <v>145</v>
      </c>
      <c r="E234" s="13">
        <v>1335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1335</v>
      </c>
      <c r="L234" s="8">
        <f t="shared" si="2"/>
        <v>5328265.9700000053</v>
      </c>
      <c r="M234" s="14"/>
      <c r="N234"/>
    </row>
    <row r="235" spans="1:14" x14ac:dyDescent="0.2">
      <c r="A235" s="111">
        <v>20</v>
      </c>
      <c r="B235" s="114">
        <v>41665</v>
      </c>
      <c r="C235" s="112">
        <v>18620</v>
      </c>
      <c r="D235" s="121" t="s">
        <v>145</v>
      </c>
      <c r="E235" s="13">
        <v>4007.29</v>
      </c>
      <c r="F235" s="13">
        <v>3786.19</v>
      </c>
      <c r="G235" s="13">
        <v>311.3</v>
      </c>
      <c r="H235" s="13">
        <v>0</v>
      </c>
      <c r="I235" s="13">
        <v>0</v>
      </c>
      <c r="J235" s="13">
        <v>0</v>
      </c>
      <c r="K235" s="13">
        <v>8104.78</v>
      </c>
      <c r="L235" s="8">
        <f t="shared" si="2"/>
        <v>5336370.7500000056</v>
      </c>
      <c r="M235" s="14"/>
      <c r="N235"/>
    </row>
    <row r="236" spans="1:14" x14ac:dyDescent="0.2">
      <c r="A236" s="111">
        <v>18</v>
      </c>
      <c r="B236" s="114">
        <v>41665</v>
      </c>
      <c r="C236" s="112">
        <v>18621</v>
      </c>
      <c r="D236" s="121" t="s">
        <v>145</v>
      </c>
      <c r="E236" s="13">
        <v>2015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2015</v>
      </c>
      <c r="L236" s="8">
        <f t="shared" si="2"/>
        <v>5338385.7500000056</v>
      </c>
      <c r="M236" s="14"/>
      <c r="N236"/>
    </row>
    <row r="237" spans="1:14" x14ac:dyDescent="0.2">
      <c r="A237" s="111">
        <v>15</v>
      </c>
      <c r="B237" s="114">
        <v>41665</v>
      </c>
      <c r="C237" s="112">
        <v>18622</v>
      </c>
      <c r="D237" s="121" t="s">
        <v>145</v>
      </c>
      <c r="E237" s="13">
        <v>2355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2355</v>
      </c>
      <c r="L237" s="8">
        <f t="shared" si="2"/>
        <v>5340740.7500000056</v>
      </c>
      <c r="M237" s="14"/>
      <c r="N237"/>
    </row>
    <row r="238" spans="1:14" x14ac:dyDescent="0.2">
      <c r="A238" s="111">
        <v>16</v>
      </c>
      <c r="B238" s="114">
        <v>41665</v>
      </c>
      <c r="C238" s="112">
        <v>18623</v>
      </c>
      <c r="D238" s="121" t="s">
        <v>145</v>
      </c>
      <c r="E238" s="13">
        <v>2865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2865</v>
      </c>
      <c r="L238" s="8">
        <f t="shared" si="2"/>
        <v>5343605.7500000056</v>
      </c>
      <c r="M238" s="113">
        <f>SUM(K207:K238)</f>
        <v>210241.97000000006</v>
      </c>
      <c r="N238"/>
    </row>
    <row r="239" spans="1:14" x14ac:dyDescent="0.2">
      <c r="B239" s="6"/>
      <c r="C239" s="7"/>
      <c r="D239" s="7"/>
      <c r="E239" s="4"/>
      <c r="F239" s="4"/>
      <c r="G239" s="4"/>
      <c r="H239" s="4"/>
      <c r="I239" s="4"/>
      <c r="J239" s="4"/>
      <c r="K239" s="4"/>
      <c r="L239" s="8">
        <f t="shared" si="2"/>
        <v>5343605.7500000056</v>
      </c>
      <c r="M239" s="34"/>
    </row>
    <row r="240" spans="1:14" x14ac:dyDescent="0.2">
      <c r="B240" s="19"/>
      <c r="D240" s="20">
        <f>SUM(E240:G240)</f>
        <v>5343605.75</v>
      </c>
      <c r="E240" s="4">
        <f t="shared" ref="E240:K240" si="3">SUM(E2:E239)</f>
        <v>3158992.2200000011</v>
      </c>
      <c r="F240" s="20">
        <f t="shared" si="3"/>
        <v>1710248.9299999997</v>
      </c>
      <c r="G240" s="4">
        <f t="shared" si="3"/>
        <v>474364.59999999992</v>
      </c>
      <c r="H240" s="4">
        <f t="shared" si="3"/>
        <v>0</v>
      </c>
      <c r="I240" s="4">
        <f t="shared" si="3"/>
        <v>0</v>
      </c>
      <c r="J240" s="4">
        <f t="shared" si="3"/>
        <v>0</v>
      </c>
      <c r="K240" s="20">
        <f t="shared" si="3"/>
        <v>5343605.7500000056</v>
      </c>
      <c r="M240" s="4">
        <f>SUM(M2:M239)</f>
        <v>5343605.7499999991</v>
      </c>
    </row>
    <row r="241" spans="2:14" x14ac:dyDescent="0.2">
      <c r="F241" s="20">
        <f>E240+G240</f>
        <v>3633356.8200000012</v>
      </c>
      <c r="N241" s="5"/>
    </row>
    <row r="242" spans="2:14" x14ac:dyDescent="0.2">
      <c r="B242" s="19" t="s">
        <v>112</v>
      </c>
    </row>
    <row r="243" spans="2:14" x14ac:dyDescent="0.2">
      <c r="B243" s="19" t="s">
        <v>25</v>
      </c>
      <c r="D243" s="21"/>
    </row>
    <row r="245" spans="2:14" x14ac:dyDescent="0.2">
      <c r="B245" s="19" t="s">
        <v>11</v>
      </c>
      <c r="D245" s="20">
        <f>SUM(D240:D244)</f>
        <v>5343605.75</v>
      </c>
      <c r="F245" t="s">
        <v>26</v>
      </c>
    </row>
    <row r="247" spans="2:14" x14ac:dyDescent="0.2">
      <c r="B247" s="19" t="s">
        <v>12</v>
      </c>
      <c r="C247" t="s">
        <v>28</v>
      </c>
      <c r="D247" s="4">
        <f>'CQ13'!D38</f>
        <v>6327.9210409999996</v>
      </c>
      <c r="F247" s="4">
        <f>D247*1.11</f>
        <v>7023.9923555100004</v>
      </c>
    </row>
    <row r="248" spans="2:14" x14ac:dyDescent="0.2">
      <c r="C248" t="s">
        <v>13</v>
      </c>
      <c r="F248" s="4">
        <f t="shared" ref="F248:F252" si="4">D248*1.11</f>
        <v>0</v>
      </c>
    </row>
    <row r="249" spans="2:14" ht="19" x14ac:dyDescent="0.25">
      <c r="B249" s="19"/>
      <c r="C249" t="s">
        <v>14</v>
      </c>
      <c r="D249" s="33"/>
      <c r="F249" s="4">
        <f t="shared" si="4"/>
        <v>0</v>
      </c>
    </row>
    <row r="250" spans="2:14" ht="19" x14ac:dyDescent="0.25">
      <c r="C250" t="s">
        <v>15</v>
      </c>
      <c r="D250" s="22"/>
      <c r="F250" s="4">
        <f t="shared" si="4"/>
        <v>0</v>
      </c>
    </row>
    <row r="251" spans="2:14" ht="19" x14ac:dyDescent="0.25">
      <c r="B251" s="19"/>
      <c r="C251" t="s">
        <v>16</v>
      </c>
      <c r="D251" s="33"/>
      <c r="F251" s="4">
        <f t="shared" si="4"/>
        <v>0</v>
      </c>
    </row>
    <row r="252" spans="2:14" ht="19" x14ac:dyDescent="0.25">
      <c r="C252" t="s">
        <v>17</v>
      </c>
      <c r="D252" s="22"/>
      <c r="F252" s="4">
        <f t="shared" si="4"/>
        <v>0</v>
      </c>
    </row>
    <row r="253" spans="2:14" ht="19" x14ac:dyDescent="0.25">
      <c r="D253" s="22"/>
    </row>
    <row r="254" spans="2:14" x14ac:dyDescent="0.2">
      <c r="B254" t="s">
        <v>18</v>
      </c>
      <c r="D254" s="4">
        <f>SUM(D247:D253)</f>
        <v>6327.9210409999996</v>
      </c>
      <c r="F254">
        <f>SUM(F247:F253)</f>
        <v>7023.9923555100004</v>
      </c>
    </row>
    <row r="255" spans="2:14" ht="19" x14ac:dyDescent="0.25">
      <c r="D255" s="22"/>
    </row>
    <row r="257" spans="1:14" x14ac:dyDescent="0.2">
      <c r="A257" s="115">
        <v>1</v>
      </c>
      <c r="B257" s="16">
        <v>41666</v>
      </c>
      <c r="C257" s="17">
        <v>18664</v>
      </c>
      <c r="D257" s="121" t="s">
        <v>145</v>
      </c>
      <c r="E257" s="117">
        <v>28757.889999999996</v>
      </c>
      <c r="F257" s="117">
        <v>12975.380000000001</v>
      </c>
      <c r="G257" s="117">
        <v>4216.7</v>
      </c>
      <c r="H257" s="117">
        <v>0</v>
      </c>
      <c r="I257" s="117">
        <v>0</v>
      </c>
      <c r="J257" s="117">
        <v>0</v>
      </c>
      <c r="K257" s="13">
        <v>45949.969999999994</v>
      </c>
      <c r="L257" s="115"/>
      <c r="M257" s="115"/>
      <c r="N257"/>
    </row>
    <row r="258" spans="1:14" ht="14.25" customHeight="1" x14ac:dyDescent="0.2">
      <c r="A258" s="115">
        <v>8</v>
      </c>
      <c r="B258" s="118">
        <v>41666</v>
      </c>
      <c r="C258" s="116">
        <v>18665</v>
      </c>
      <c r="D258" s="121" t="s">
        <v>145</v>
      </c>
      <c r="E258" s="13">
        <v>6573.99</v>
      </c>
      <c r="F258" s="13">
        <v>2017</v>
      </c>
      <c r="G258" s="13">
        <v>1117.8500000000001</v>
      </c>
      <c r="H258" s="13">
        <v>0</v>
      </c>
      <c r="I258" s="13">
        <v>0</v>
      </c>
      <c r="J258" s="13">
        <v>0</v>
      </c>
      <c r="K258" s="13">
        <v>9708.84</v>
      </c>
      <c r="L258" s="14"/>
      <c r="M258" s="14"/>
      <c r="N258"/>
    </row>
    <row r="259" spans="1:14" ht="13.5" customHeight="1" x14ac:dyDescent="0.2">
      <c r="A259" s="115">
        <v>28</v>
      </c>
      <c r="B259" s="118">
        <v>41666</v>
      </c>
      <c r="C259" s="116">
        <v>18666</v>
      </c>
      <c r="D259" s="121" t="s">
        <v>145</v>
      </c>
      <c r="E259" s="13">
        <v>25661.399999999998</v>
      </c>
      <c r="F259" s="13">
        <v>7238.71</v>
      </c>
      <c r="G259" s="13">
        <v>4117.6500000000005</v>
      </c>
      <c r="H259" s="13">
        <v>0</v>
      </c>
      <c r="I259" s="13">
        <v>0</v>
      </c>
      <c r="J259" s="13">
        <v>0</v>
      </c>
      <c r="K259" s="13">
        <v>37017.760000000002</v>
      </c>
      <c r="L259" s="14"/>
      <c r="M259" s="14"/>
      <c r="N259"/>
    </row>
    <row r="260" spans="1:14" x14ac:dyDescent="0.2">
      <c r="A260" s="115">
        <v>12</v>
      </c>
      <c r="B260" s="118">
        <v>41666</v>
      </c>
      <c r="C260" s="116">
        <v>18667</v>
      </c>
      <c r="D260" s="121" t="s">
        <v>145</v>
      </c>
      <c r="E260" s="13">
        <v>15021.12</v>
      </c>
      <c r="F260" s="13">
        <v>9779</v>
      </c>
      <c r="G260" s="13">
        <v>2532.85</v>
      </c>
      <c r="H260" s="13">
        <v>0</v>
      </c>
      <c r="I260" s="13">
        <v>0</v>
      </c>
      <c r="J260" s="13">
        <v>0</v>
      </c>
      <c r="K260" s="13">
        <v>27332.97</v>
      </c>
      <c r="L260" s="14"/>
      <c r="M260" s="14"/>
      <c r="N260"/>
    </row>
    <row r="261" spans="1:14" x14ac:dyDescent="0.2">
      <c r="A261" s="115">
        <v>32</v>
      </c>
      <c r="B261" s="118">
        <v>41666</v>
      </c>
      <c r="C261" s="116">
        <v>18668</v>
      </c>
      <c r="D261" s="121" t="s">
        <v>145</v>
      </c>
      <c r="E261" s="13">
        <v>1258.1400000000001</v>
      </c>
      <c r="F261" s="13">
        <v>520</v>
      </c>
      <c r="G261" s="13">
        <v>169.8</v>
      </c>
      <c r="H261" s="13">
        <v>0</v>
      </c>
      <c r="I261" s="13">
        <v>0</v>
      </c>
      <c r="J261" s="13">
        <v>0</v>
      </c>
      <c r="K261" s="13">
        <v>1947.94</v>
      </c>
      <c r="L261" s="115"/>
      <c r="M261" s="115"/>
      <c r="N261"/>
    </row>
    <row r="262" spans="1:14" ht="15" customHeight="1" x14ac:dyDescent="0.2">
      <c r="A262" s="115">
        <v>11</v>
      </c>
      <c r="B262" s="118">
        <v>41666</v>
      </c>
      <c r="C262" s="116">
        <v>18669</v>
      </c>
      <c r="D262" s="121" t="s">
        <v>145</v>
      </c>
      <c r="E262" s="13">
        <v>15697.08</v>
      </c>
      <c r="F262" s="13">
        <v>1091</v>
      </c>
      <c r="G262" s="13">
        <v>1415</v>
      </c>
      <c r="H262" s="13">
        <v>0</v>
      </c>
      <c r="I262" s="13">
        <v>0</v>
      </c>
      <c r="J262" s="13">
        <v>0</v>
      </c>
      <c r="K262" s="13">
        <v>18203.080000000002</v>
      </c>
      <c r="L262" s="115"/>
      <c r="M262" s="115"/>
      <c r="N262"/>
    </row>
    <row r="263" spans="1:14" x14ac:dyDescent="0.2">
      <c r="A263" s="115">
        <v>2</v>
      </c>
      <c r="B263" s="118">
        <v>41666</v>
      </c>
      <c r="C263" s="116">
        <v>18670</v>
      </c>
      <c r="D263" s="121" t="s">
        <v>145</v>
      </c>
      <c r="E263" s="117">
        <v>18073.990000000002</v>
      </c>
      <c r="F263" s="117">
        <v>8516</v>
      </c>
      <c r="G263" s="117">
        <v>3381.85</v>
      </c>
      <c r="H263" s="117">
        <v>0</v>
      </c>
      <c r="I263" s="117">
        <v>0</v>
      </c>
      <c r="J263" s="117">
        <v>0</v>
      </c>
      <c r="K263" s="117">
        <v>29971.84</v>
      </c>
      <c r="L263" s="14"/>
      <c r="M263" s="14"/>
      <c r="N263"/>
    </row>
    <row r="264" spans="1:14" x14ac:dyDescent="0.2">
      <c r="A264" s="115">
        <v>21</v>
      </c>
      <c r="B264" s="118">
        <v>41666</v>
      </c>
      <c r="C264" s="116">
        <v>18671</v>
      </c>
      <c r="D264" s="121" t="s">
        <v>145</v>
      </c>
      <c r="E264" s="13">
        <v>27195.710000000003</v>
      </c>
      <c r="F264" s="13">
        <v>12735.32</v>
      </c>
      <c r="G264" s="13">
        <v>4513.8500000000004</v>
      </c>
      <c r="H264" s="13">
        <v>0</v>
      </c>
      <c r="I264" s="13">
        <v>0</v>
      </c>
      <c r="J264" s="13">
        <v>0</v>
      </c>
      <c r="K264" s="13">
        <v>44444.88</v>
      </c>
      <c r="L264" s="115"/>
      <c r="M264" s="14"/>
      <c r="N264"/>
    </row>
    <row r="265" spans="1:14" x14ac:dyDescent="0.2">
      <c r="A265" s="115">
        <v>27</v>
      </c>
      <c r="B265" s="118">
        <v>41666</v>
      </c>
      <c r="C265" s="116">
        <v>18672</v>
      </c>
      <c r="D265" s="121" t="s">
        <v>145</v>
      </c>
      <c r="E265" s="13">
        <v>19668.3</v>
      </c>
      <c r="F265" s="13">
        <v>13665</v>
      </c>
      <c r="G265" s="13">
        <v>3367.7000000000003</v>
      </c>
      <c r="H265" s="13">
        <v>0</v>
      </c>
      <c r="I265" s="13">
        <v>0</v>
      </c>
      <c r="J265" s="13">
        <v>0</v>
      </c>
      <c r="K265" s="13">
        <v>36701</v>
      </c>
      <c r="L265" s="115"/>
      <c r="M265" s="115"/>
      <c r="N265"/>
    </row>
    <row r="266" spans="1:14" x14ac:dyDescent="0.2">
      <c r="A266" s="115">
        <v>9</v>
      </c>
      <c r="B266" s="118">
        <v>41666</v>
      </c>
      <c r="C266" s="116">
        <v>18673</v>
      </c>
      <c r="D266" s="121" t="s">
        <v>145</v>
      </c>
      <c r="E266" s="13">
        <v>20202.659999999996</v>
      </c>
      <c r="F266" s="13">
        <v>10862.19</v>
      </c>
      <c r="G266" s="13">
        <v>3212.05</v>
      </c>
      <c r="H266" s="13">
        <v>0</v>
      </c>
      <c r="I266" s="13">
        <v>0</v>
      </c>
      <c r="J266" s="13">
        <v>0</v>
      </c>
      <c r="K266" s="13">
        <v>34276.9</v>
      </c>
      <c r="L266" s="14"/>
      <c r="M266" s="14"/>
      <c r="N266"/>
    </row>
    <row r="267" spans="1:14" x14ac:dyDescent="0.2">
      <c r="A267" s="115">
        <v>6</v>
      </c>
      <c r="B267" s="118">
        <v>41666</v>
      </c>
      <c r="C267" s="116">
        <v>18674</v>
      </c>
      <c r="D267" s="121" t="s">
        <v>145</v>
      </c>
      <c r="E267" s="117">
        <v>6601.7000000000007</v>
      </c>
      <c r="F267" s="117">
        <v>625</v>
      </c>
      <c r="G267" s="117">
        <v>905.6</v>
      </c>
      <c r="H267" s="117">
        <v>0</v>
      </c>
      <c r="I267" s="117">
        <v>0</v>
      </c>
      <c r="J267" s="117">
        <v>0</v>
      </c>
      <c r="K267" s="117">
        <v>8132.3000000000011</v>
      </c>
      <c r="L267" s="14"/>
      <c r="M267" s="14"/>
      <c r="N267"/>
    </row>
    <row r="268" spans="1:14" ht="15" customHeight="1" x14ac:dyDescent="0.2">
      <c r="A268" s="115">
        <v>25</v>
      </c>
      <c r="B268" s="118">
        <v>41666</v>
      </c>
      <c r="C268" s="116">
        <v>18675</v>
      </c>
      <c r="D268" s="121" t="s">
        <v>145</v>
      </c>
      <c r="E268" s="13">
        <v>2419.63</v>
      </c>
      <c r="F268" s="13">
        <v>138</v>
      </c>
      <c r="G268" s="13">
        <v>311.3</v>
      </c>
      <c r="H268" s="13">
        <v>0</v>
      </c>
      <c r="I268" s="13">
        <v>0</v>
      </c>
      <c r="J268" s="13">
        <v>0</v>
      </c>
      <c r="K268" s="13">
        <v>2868.9300000000003</v>
      </c>
      <c r="L268" s="115"/>
      <c r="M268" s="115"/>
      <c r="N268"/>
    </row>
    <row r="269" spans="1:14" ht="14.25" customHeight="1" x14ac:dyDescent="0.2">
      <c r="A269" s="115">
        <v>19</v>
      </c>
      <c r="B269" s="118">
        <v>41666</v>
      </c>
      <c r="C269" s="116">
        <v>18676</v>
      </c>
      <c r="D269" s="121" t="s">
        <v>145</v>
      </c>
      <c r="E269" s="13">
        <v>6679.8400000000011</v>
      </c>
      <c r="F269" s="13">
        <v>1518</v>
      </c>
      <c r="G269" s="13">
        <v>1358.4</v>
      </c>
      <c r="H269" s="13">
        <v>0</v>
      </c>
      <c r="I269" s="13">
        <v>0</v>
      </c>
      <c r="J269" s="13">
        <v>0</v>
      </c>
      <c r="K269" s="13">
        <v>9556.24</v>
      </c>
      <c r="L269" s="14"/>
      <c r="M269" s="14"/>
      <c r="N269"/>
    </row>
    <row r="270" spans="1:14" x14ac:dyDescent="0.2">
      <c r="A270" s="115">
        <v>23</v>
      </c>
      <c r="B270" s="118">
        <v>41666</v>
      </c>
      <c r="C270" s="116">
        <v>18677</v>
      </c>
      <c r="D270" s="121" t="s">
        <v>145</v>
      </c>
      <c r="E270" s="13">
        <v>31863.090000000018</v>
      </c>
      <c r="F270" s="13">
        <v>9229.86</v>
      </c>
      <c r="G270" s="13">
        <v>5999.6</v>
      </c>
      <c r="H270" s="13">
        <v>0</v>
      </c>
      <c r="I270" s="13">
        <v>0</v>
      </c>
      <c r="J270" s="13">
        <v>0</v>
      </c>
      <c r="K270" s="13">
        <v>47092.550000000017</v>
      </c>
      <c r="L270" s="14"/>
      <c r="M270" s="14"/>
      <c r="N270"/>
    </row>
    <row r="271" spans="1:14" x14ac:dyDescent="0.2">
      <c r="A271" s="115">
        <v>3</v>
      </c>
      <c r="B271" s="118">
        <v>41666</v>
      </c>
      <c r="C271" s="116">
        <v>18678</v>
      </c>
      <c r="D271" s="121" t="s">
        <v>145</v>
      </c>
      <c r="E271" s="13">
        <v>7357.1600000000008</v>
      </c>
      <c r="F271" s="13">
        <v>3629.42</v>
      </c>
      <c r="G271" s="13">
        <v>933.9</v>
      </c>
      <c r="H271" s="13">
        <v>0</v>
      </c>
      <c r="I271" s="13">
        <v>0</v>
      </c>
      <c r="J271" s="13">
        <v>0</v>
      </c>
      <c r="K271" s="13">
        <v>11920.480000000001</v>
      </c>
      <c r="L271" s="14"/>
      <c r="M271" s="14"/>
      <c r="N271"/>
    </row>
    <row r="272" spans="1:14" x14ac:dyDescent="0.2">
      <c r="A272" s="115">
        <v>26</v>
      </c>
      <c r="B272" s="118">
        <v>41666</v>
      </c>
      <c r="C272" s="116">
        <v>18679</v>
      </c>
      <c r="D272" s="121" t="s">
        <v>145</v>
      </c>
      <c r="E272" s="13">
        <v>28202.840000000011</v>
      </c>
      <c r="F272" s="13">
        <v>34045.589999999997</v>
      </c>
      <c r="G272" s="13">
        <v>4740.25</v>
      </c>
      <c r="H272" s="13">
        <v>0</v>
      </c>
      <c r="I272" s="13">
        <v>0</v>
      </c>
      <c r="J272" s="13">
        <v>0</v>
      </c>
      <c r="K272" s="13">
        <v>66988.680000000008</v>
      </c>
      <c r="L272" s="115"/>
      <c r="M272" s="115"/>
      <c r="N272"/>
    </row>
    <row r="273" spans="1:14" x14ac:dyDescent="0.2">
      <c r="A273" s="115">
        <v>29</v>
      </c>
      <c r="B273" s="118">
        <v>41666</v>
      </c>
      <c r="C273" s="116">
        <v>18680</v>
      </c>
      <c r="D273" s="121" t="s">
        <v>145</v>
      </c>
      <c r="E273" s="13">
        <v>6498.6599999999989</v>
      </c>
      <c r="F273" s="13">
        <v>3048</v>
      </c>
      <c r="G273" s="13">
        <v>990.5</v>
      </c>
      <c r="H273" s="13">
        <v>0</v>
      </c>
      <c r="I273" s="13">
        <v>0</v>
      </c>
      <c r="J273" s="13">
        <v>0</v>
      </c>
      <c r="K273" s="13">
        <v>10537.16</v>
      </c>
      <c r="L273" s="115"/>
      <c r="M273" s="115"/>
      <c r="N273"/>
    </row>
    <row r="274" spans="1:14" x14ac:dyDescent="0.2">
      <c r="A274" s="115">
        <v>10</v>
      </c>
      <c r="B274" s="118">
        <v>41666</v>
      </c>
      <c r="C274" s="116">
        <v>18681</v>
      </c>
      <c r="D274" s="121" t="s">
        <v>145</v>
      </c>
      <c r="E274" s="13">
        <v>11028.03</v>
      </c>
      <c r="F274" s="13">
        <v>19574.419999999995</v>
      </c>
      <c r="G274" s="13">
        <v>2023.45</v>
      </c>
      <c r="H274" s="13">
        <v>0</v>
      </c>
      <c r="I274" s="13">
        <v>0</v>
      </c>
      <c r="J274" s="13">
        <v>0</v>
      </c>
      <c r="K274" s="13">
        <v>32625.899999999998</v>
      </c>
      <c r="L274" s="14"/>
      <c r="M274" s="14"/>
      <c r="N274"/>
    </row>
    <row r="275" spans="1:14" x14ac:dyDescent="0.2">
      <c r="A275" s="115">
        <v>33</v>
      </c>
      <c r="B275" s="118">
        <v>41666</v>
      </c>
      <c r="C275" s="116">
        <v>18682</v>
      </c>
      <c r="D275" s="121" t="s">
        <v>145</v>
      </c>
      <c r="E275" s="13">
        <v>16479.009999999998</v>
      </c>
      <c r="F275" s="13">
        <v>9057.5400000000009</v>
      </c>
      <c r="G275" s="13">
        <v>2518.7000000000003</v>
      </c>
      <c r="H275" s="13">
        <v>0</v>
      </c>
      <c r="I275" s="13">
        <v>0</v>
      </c>
      <c r="J275" s="13">
        <v>0</v>
      </c>
      <c r="K275" s="13">
        <v>28055.25</v>
      </c>
      <c r="L275" s="115"/>
      <c r="M275" s="115"/>
      <c r="N275"/>
    </row>
    <row r="276" spans="1:14" x14ac:dyDescent="0.2">
      <c r="A276" s="115">
        <v>5</v>
      </c>
      <c r="B276" s="118">
        <v>41666</v>
      </c>
      <c r="C276" s="116">
        <v>18683</v>
      </c>
      <c r="D276" s="121" t="s">
        <v>145</v>
      </c>
      <c r="E276" s="117">
        <v>21436.84</v>
      </c>
      <c r="F276" s="117">
        <v>18004.5</v>
      </c>
      <c r="G276" s="117">
        <v>3707.3</v>
      </c>
      <c r="H276" s="117">
        <v>0</v>
      </c>
      <c r="I276" s="117">
        <v>0</v>
      </c>
      <c r="J276" s="117">
        <v>0</v>
      </c>
      <c r="K276" s="117">
        <v>43148.639999999999</v>
      </c>
      <c r="L276" s="14"/>
      <c r="M276" s="14"/>
      <c r="N276"/>
    </row>
    <row r="277" spans="1:14" ht="15" customHeight="1" x14ac:dyDescent="0.2">
      <c r="A277" s="115">
        <v>14</v>
      </c>
      <c r="B277" s="118">
        <v>41666</v>
      </c>
      <c r="C277" s="116">
        <v>18684</v>
      </c>
      <c r="D277" s="121" t="s">
        <v>145</v>
      </c>
      <c r="E277" s="13">
        <v>21005.15</v>
      </c>
      <c r="F277" s="13">
        <v>10675</v>
      </c>
      <c r="G277" s="13">
        <v>3212.05</v>
      </c>
      <c r="H277" s="13">
        <v>0</v>
      </c>
      <c r="I277" s="13">
        <v>0</v>
      </c>
      <c r="J277" s="13">
        <v>0</v>
      </c>
      <c r="K277" s="13">
        <v>34892.200000000004</v>
      </c>
      <c r="L277" s="14"/>
      <c r="M277" s="14"/>
      <c r="N277"/>
    </row>
    <row r="278" spans="1:14" x14ac:dyDescent="0.2">
      <c r="A278" s="115">
        <v>7</v>
      </c>
      <c r="B278" s="118">
        <v>41666</v>
      </c>
      <c r="C278" s="116">
        <v>18685</v>
      </c>
      <c r="D278" s="121" t="s">
        <v>145</v>
      </c>
      <c r="E278" s="117">
        <v>5066.79</v>
      </c>
      <c r="F278" s="117">
        <v>421</v>
      </c>
      <c r="G278" s="117">
        <v>820.7</v>
      </c>
      <c r="H278" s="117">
        <v>0</v>
      </c>
      <c r="I278" s="117">
        <v>0</v>
      </c>
      <c r="J278" s="117">
        <v>0</v>
      </c>
      <c r="K278" s="117">
        <v>6308.49</v>
      </c>
      <c r="L278" s="14"/>
      <c r="M278" s="14"/>
      <c r="N278"/>
    </row>
    <row r="279" spans="1:14" x14ac:dyDescent="0.2">
      <c r="A279" s="115">
        <v>31</v>
      </c>
      <c r="B279" s="118">
        <v>41666</v>
      </c>
      <c r="C279" s="116">
        <v>18686</v>
      </c>
      <c r="D279" s="121" t="s">
        <v>145</v>
      </c>
      <c r="E279" s="13">
        <v>24675.829999999994</v>
      </c>
      <c r="F279" s="13">
        <v>16079.810000000001</v>
      </c>
      <c r="G279" s="13">
        <v>4004.4500000000003</v>
      </c>
      <c r="H279" s="13">
        <v>0</v>
      </c>
      <c r="I279" s="13">
        <v>0</v>
      </c>
      <c r="J279" s="13">
        <v>0</v>
      </c>
      <c r="K279" s="13">
        <v>44760.09</v>
      </c>
      <c r="L279" s="115"/>
      <c r="M279" s="115"/>
      <c r="N279"/>
    </row>
    <row r="280" spans="1:14" x14ac:dyDescent="0.2">
      <c r="A280" s="115">
        <v>35</v>
      </c>
      <c r="B280" s="118">
        <v>41666</v>
      </c>
      <c r="C280" s="116">
        <v>18687</v>
      </c>
      <c r="D280" s="121" t="s">
        <v>145</v>
      </c>
      <c r="E280" s="13">
        <v>7343.0399999999991</v>
      </c>
      <c r="F280" s="13">
        <v>1135.19</v>
      </c>
      <c r="G280" s="13">
        <v>1330.1000000000001</v>
      </c>
      <c r="H280" s="13">
        <v>0</v>
      </c>
      <c r="I280" s="13">
        <v>0</v>
      </c>
      <c r="J280" s="13">
        <v>0</v>
      </c>
      <c r="K280" s="13">
        <v>9808.33</v>
      </c>
      <c r="L280" s="115"/>
      <c r="M280" s="115"/>
      <c r="N280"/>
    </row>
    <row r="281" spans="1:14" ht="14.25" customHeight="1" x14ac:dyDescent="0.2">
      <c r="A281" s="115">
        <v>24</v>
      </c>
      <c r="B281" s="118">
        <v>41666</v>
      </c>
      <c r="C281" s="116">
        <v>18688</v>
      </c>
      <c r="D281" s="121" t="s">
        <v>145</v>
      </c>
      <c r="E281" s="13">
        <v>25497.120000000003</v>
      </c>
      <c r="F281" s="13">
        <v>24479.320000000007</v>
      </c>
      <c r="G281" s="13">
        <v>4485.55</v>
      </c>
      <c r="H281" s="13">
        <v>0</v>
      </c>
      <c r="I281" s="13">
        <v>0</v>
      </c>
      <c r="J281" s="13">
        <v>0</v>
      </c>
      <c r="K281" s="13">
        <v>54461.990000000013</v>
      </c>
      <c r="L281" s="14"/>
      <c r="M281" s="14"/>
      <c r="N281"/>
    </row>
    <row r="282" spans="1:14" x14ac:dyDescent="0.2">
      <c r="A282" s="115">
        <v>30</v>
      </c>
      <c r="B282" s="118">
        <v>41666</v>
      </c>
      <c r="C282" s="116">
        <v>18689</v>
      </c>
      <c r="D282" s="121" t="s">
        <v>145</v>
      </c>
      <c r="E282" s="13">
        <v>12355.91</v>
      </c>
      <c r="F282" s="13">
        <v>1474.13</v>
      </c>
      <c r="G282" s="13">
        <v>849</v>
      </c>
      <c r="H282" s="13">
        <v>0</v>
      </c>
      <c r="I282" s="13">
        <v>0</v>
      </c>
      <c r="J282" s="13">
        <v>0</v>
      </c>
      <c r="K282" s="13">
        <v>14679.04</v>
      </c>
      <c r="L282" s="115"/>
      <c r="M282" s="115"/>
      <c r="N282"/>
    </row>
    <row r="283" spans="1:14" x14ac:dyDescent="0.2">
      <c r="A283" s="115">
        <v>4</v>
      </c>
      <c r="B283" s="118">
        <v>41666</v>
      </c>
      <c r="C283" s="116">
        <v>18690</v>
      </c>
      <c r="D283" s="121" t="s">
        <v>145</v>
      </c>
      <c r="E283" s="13">
        <v>16085.59</v>
      </c>
      <c r="F283" s="13">
        <v>5617</v>
      </c>
      <c r="G283" s="13">
        <v>2179.1</v>
      </c>
      <c r="H283" s="13">
        <v>0</v>
      </c>
      <c r="I283" s="13">
        <v>0</v>
      </c>
      <c r="J283" s="13">
        <v>0</v>
      </c>
      <c r="K283" s="13">
        <v>23881.69</v>
      </c>
      <c r="L283" s="14"/>
      <c r="M283" s="14"/>
      <c r="N283"/>
    </row>
    <row r="284" spans="1:14" x14ac:dyDescent="0.2">
      <c r="A284" s="115">
        <v>20</v>
      </c>
      <c r="B284" s="118">
        <v>41666</v>
      </c>
      <c r="C284" s="116">
        <v>18691</v>
      </c>
      <c r="D284" s="121" t="s">
        <v>145</v>
      </c>
      <c r="E284" s="13">
        <v>5259.78</v>
      </c>
      <c r="F284" s="13">
        <v>28958.660000000003</v>
      </c>
      <c r="G284" s="13">
        <v>622.6</v>
      </c>
      <c r="H284" s="13">
        <v>0</v>
      </c>
      <c r="I284" s="13">
        <v>0</v>
      </c>
      <c r="J284" s="13">
        <v>0</v>
      </c>
      <c r="K284" s="13">
        <v>34841.040000000001</v>
      </c>
      <c r="L284" s="14"/>
      <c r="M284" s="14"/>
      <c r="N284"/>
    </row>
    <row r="285" spans="1:14" x14ac:dyDescent="0.2">
      <c r="A285" s="115">
        <v>18</v>
      </c>
      <c r="B285" s="118">
        <v>41666</v>
      </c>
      <c r="C285" s="116">
        <v>18692</v>
      </c>
      <c r="D285" s="121" t="s">
        <v>145</v>
      </c>
      <c r="E285" s="13">
        <v>22071.900000000005</v>
      </c>
      <c r="F285" s="13">
        <v>7246</v>
      </c>
      <c r="G285" s="13">
        <v>3141.3</v>
      </c>
      <c r="H285" s="13">
        <v>0</v>
      </c>
      <c r="I285" s="13">
        <v>0</v>
      </c>
      <c r="J285" s="13">
        <v>0</v>
      </c>
      <c r="K285" s="13">
        <v>32459.200000000004</v>
      </c>
      <c r="L285" s="14"/>
      <c r="M285" s="14"/>
      <c r="N285"/>
    </row>
    <row r="286" spans="1:14" x14ac:dyDescent="0.2">
      <c r="A286" s="115">
        <v>15</v>
      </c>
      <c r="B286" s="118">
        <v>41666</v>
      </c>
      <c r="C286" s="116">
        <v>18693</v>
      </c>
      <c r="D286" s="121" t="s">
        <v>145</v>
      </c>
      <c r="E286" s="13">
        <v>22587.57</v>
      </c>
      <c r="F286" s="13">
        <v>5557.01</v>
      </c>
      <c r="G286" s="13">
        <v>3551.65</v>
      </c>
      <c r="H286" s="13">
        <v>0</v>
      </c>
      <c r="I286" s="13">
        <v>0</v>
      </c>
      <c r="J286" s="13">
        <v>0</v>
      </c>
      <c r="K286" s="13">
        <v>31696.230000000003</v>
      </c>
      <c r="L286" s="14"/>
      <c r="M286" s="14"/>
      <c r="N286"/>
    </row>
    <row r="287" spans="1:14" x14ac:dyDescent="0.2">
      <c r="A287" s="115">
        <v>16</v>
      </c>
      <c r="B287" s="118">
        <v>41666</v>
      </c>
      <c r="C287" s="116">
        <v>18694</v>
      </c>
      <c r="D287" s="121" t="s">
        <v>145</v>
      </c>
      <c r="E287" s="13">
        <v>30705.750000000011</v>
      </c>
      <c r="F287" s="13">
        <v>10218</v>
      </c>
      <c r="G287" s="13">
        <v>4683.6500000000005</v>
      </c>
      <c r="H287" s="13">
        <v>0</v>
      </c>
      <c r="I287" s="13">
        <v>0</v>
      </c>
      <c r="J287" s="13">
        <v>0</v>
      </c>
      <c r="K287" s="13">
        <v>45607.400000000016</v>
      </c>
      <c r="L287" s="115"/>
      <c r="M287" s="117">
        <f>SUM(K257:K287)</f>
        <v>879877.00999999978</v>
      </c>
      <c r="N287"/>
    </row>
  </sheetData>
  <phoneticPr fontId="29" type="noConversion"/>
  <conditionalFormatting sqref="C103:C238">
    <cfRule type="duplicateValues" dxfId="214" priority="1"/>
  </conditionalFormatting>
  <conditionalFormatting sqref="C247:C254">
    <cfRule type="duplicateValues" dxfId="213" priority="2"/>
  </conditionalFormatting>
  <conditionalFormatting sqref="C255:C1048576 C1:C102 C239:C246">
    <cfRule type="duplicateValues" dxfId="212" priority="5"/>
  </conditionalFormatting>
  <pageMargins left="0.75000000000000011" right="0.75000000000000011" top="1" bottom="1" header="0.5" footer="0.5"/>
  <pageSetup scale="45" orientation="portrait" horizontalDpi="4294967292" verticalDpi="4294967292"/>
  <rowBreaks count="1" manualBreakCount="1">
    <brk id="254" max="16383" man="1"/>
  </rowBreaks>
  <colBreaks count="1" manualBreakCount="1">
    <brk id="15" max="1048575" man="1"/>
  </colBreaks>
  <extLst>
    <ext xmlns:mx="http://schemas.microsoft.com/office/mac/excel/2008/main" uri="{64002731-A6B0-56B0-2670-7721B7C09600}">
      <mx:PLV Mode="0" OnePage="0" WScale="32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T59"/>
  <sheetViews>
    <sheetView workbookViewId="0">
      <selection activeCell="H23" sqref="H23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  <col min="20" max="20" width="20.83203125" customWidth="1"/>
  </cols>
  <sheetData>
    <row r="1" spans="1:20" ht="21" x14ac:dyDescent="0.25">
      <c r="A1"/>
      <c r="B1" s="23" t="s">
        <v>20</v>
      </c>
      <c r="C1" s="6"/>
      <c r="D1" s="6"/>
      <c r="E1" s="4"/>
      <c r="L1"/>
      <c r="Q1"/>
    </row>
    <row r="2" spans="1:20" ht="21" x14ac:dyDescent="0.25">
      <c r="A2"/>
      <c r="B2" s="23" t="s">
        <v>39</v>
      </c>
      <c r="C2" s="6"/>
      <c r="D2" s="6"/>
      <c r="E2" s="4"/>
      <c r="L2"/>
      <c r="Q2"/>
    </row>
    <row r="3" spans="1:20" ht="21" x14ac:dyDescent="0.25">
      <c r="B3" s="35" t="s">
        <v>29</v>
      </c>
      <c r="Q3"/>
    </row>
    <row r="4" spans="1:20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31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0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50" si="0">K5-M5</f>
        <v>0</v>
      </c>
      <c r="O5" s="43">
        <f t="shared" ref="O5:O50" si="1">M5+N5</f>
        <v>0</v>
      </c>
      <c r="Q5" s="4">
        <f>K5-M5</f>
        <v>0</v>
      </c>
      <c r="R5" s="4">
        <f>N5-Q5</f>
        <v>0</v>
      </c>
      <c r="T5" s="4">
        <f t="shared" ref="T5:T48" si="2">K5-S5</f>
        <v>0</v>
      </c>
    </row>
    <row r="6" spans="1:20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0" x14ac:dyDescent="0.2">
      <c r="A7" s="44">
        <v>1</v>
      </c>
      <c r="B7" s="45">
        <v>41562</v>
      </c>
      <c r="C7" s="7" t="s">
        <v>40</v>
      </c>
      <c r="D7" s="7" t="s">
        <v>41</v>
      </c>
      <c r="E7" s="7"/>
      <c r="F7" s="7"/>
      <c r="G7" s="7"/>
      <c r="H7" s="7"/>
      <c r="J7" s="7"/>
      <c r="K7" s="47">
        <v>136960</v>
      </c>
      <c r="L7" s="8">
        <f t="shared" ref="L7:L9" si="3">K7+L6</f>
        <v>136960</v>
      </c>
      <c r="M7" s="42">
        <v>136960</v>
      </c>
      <c r="N7" s="4">
        <f t="shared" si="0"/>
        <v>0</v>
      </c>
      <c r="O7" s="43">
        <f t="shared" si="1"/>
        <v>136960</v>
      </c>
      <c r="Q7" s="4">
        <f t="shared" ref="Q7:Q50" si="4">K7-M7</f>
        <v>0</v>
      </c>
      <c r="R7" s="4">
        <f t="shared" ref="R7:R50" si="5">N7-Q7</f>
        <v>0</v>
      </c>
      <c r="T7" s="4">
        <f t="shared" si="2"/>
        <v>136960</v>
      </c>
    </row>
    <row r="8" spans="1:20" x14ac:dyDescent="0.2">
      <c r="A8" s="44"/>
      <c r="B8" s="45"/>
      <c r="C8" s="46"/>
      <c r="D8" s="7"/>
      <c r="E8" s="7"/>
      <c r="F8" s="7"/>
      <c r="G8" s="13"/>
      <c r="H8" s="13"/>
      <c r="I8" s="13"/>
      <c r="J8" s="13"/>
      <c r="K8" s="47"/>
      <c r="L8" s="8">
        <f t="shared" si="3"/>
        <v>136960</v>
      </c>
      <c r="M8" s="42"/>
      <c r="N8" s="4">
        <f t="shared" si="0"/>
        <v>0</v>
      </c>
      <c r="O8" s="43">
        <f t="shared" si="1"/>
        <v>0</v>
      </c>
      <c r="Q8" s="4">
        <f t="shared" si="4"/>
        <v>0</v>
      </c>
      <c r="R8" s="4">
        <f t="shared" si="5"/>
        <v>0</v>
      </c>
      <c r="T8" s="4">
        <f t="shared" si="2"/>
        <v>0</v>
      </c>
    </row>
    <row r="9" spans="1:20" x14ac:dyDescent="0.2">
      <c r="A9"/>
      <c r="B9" s="45"/>
      <c r="C9" s="46"/>
      <c r="D9" s="7"/>
      <c r="E9" s="7"/>
      <c r="F9" s="7"/>
      <c r="G9" s="13"/>
      <c r="H9" s="13"/>
      <c r="I9" s="13"/>
      <c r="J9" s="13"/>
      <c r="K9" s="47"/>
      <c r="L9" s="8">
        <f t="shared" si="3"/>
        <v>136960</v>
      </c>
      <c r="M9" s="42"/>
      <c r="N9" s="4">
        <f t="shared" si="0"/>
        <v>0</v>
      </c>
      <c r="O9" s="43">
        <f t="shared" si="1"/>
        <v>0</v>
      </c>
      <c r="Q9" s="4">
        <f t="shared" si="4"/>
        <v>0</v>
      </c>
      <c r="R9" s="4">
        <f t="shared" si="5"/>
        <v>0</v>
      </c>
      <c r="T9" s="4">
        <f t="shared" si="2"/>
        <v>0</v>
      </c>
    </row>
    <row r="10" spans="1:20" x14ac:dyDescent="0.2">
      <c r="A10"/>
      <c r="B10" s="45"/>
      <c r="C10" s="46"/>
      <c r="D10" s="7"/>
      <c r="E10" s="7"/>
      <c r="F10" s="7"/>
      <c r="G10" s="13"/>
      <c r="H10" s="13"/>
      <c r="I10" s="13"/>
      <c r="J10" s="13"/>
      <c r="K10" s="47"/>
      <c r="L10" s="8">
        <f t="shared" ref="L10:L50" si="6">K10+L9</f>
        <v>136960</v>
      </c>
      <c r="M10" s="42"/>
      <c r="N10" s="4">
        <f t="shared" si="0"/>
        <v>0</v>
      </c>
      <c r="O10" s="43">
        <f t="shared" si="1"/>
        <v>0</v>
      </c>
      <c r="Q10" s="4">
        <f t="shared" si="4"/>
        <v>0</v>
      </c>
      <c r="R10" s="4">
        <f t="shared" si="5"/>
        <v>0</v>
      </c>
      <c r="T10" s="4">
        <f t="shared" si="2"/>
        <v>0</v>
      </c>
    </row>
    <row r="11" spans="1:20" x14ac:dyDescent="0.2">
      <c r="A11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 t="shared" si="6"/>
        <v>136960</v>
      </c>
      <c r="M11" s="42"/>
      <c r="N11" s="4">
        <f t="shared" si="0"/>
        <v>0</v>
      </c>
      <c r="O11" s="43">
        <f t="shared" si="1"/>
        <v>0</v>
      </c>
      <c r="Q11" s="4">
        <f t="shared" si="4"/>
        <v>0</v>
      </c>
      <c r="R11" s="4">
        <f t="shared" si="5"/>
        <v>0</v>
      </c>
      <c r="T11" s="4">
        <f t="shared" si="2"/>
        <v>0</v>
      </c>
    </row>
    <row r="12" spans="1:20" x14ac:dyDescent="0.2">
      <c r="A12"/>
      <c r="B12" s="45"/>
      <c r="C12" s="46"/>
      <c r="D12" s="7"/>
      <c r="E12" s="7"/>
      <c r="F12" s="7"/>
      <c r="G12" s="13"/>
      <c r="H12" s="13"/>
      <c r="I12" s="13"/>
      <c r="J12" s="13"/>
      <c r="K12" s="47"/>
      <c r="L12" s="8">
        <f t="shared" si="6"/>
        <v>136960</v>
      </c>
      <c r="M12" s="42"/>
      <c r="N12" s="4">
        <f t="shared" si="0"/>
        <v>0</v>
      </c>
      <c r="O12" s="43">
        <f t="shared" si="1"/>
        <v>0</v>
      </c>
      <c r="Q12" s="4">
        <f t="shared" si="4"/>
        <v>0</v>
      </c>
      <c r="R12" s="4">
        <f t="shared" si="5"/>
        <v>0</v>
      </c>
      <c r="T12" s="4">
        <f t="shared" si="2"/>
        <v>0</v>
      </c>
    </row>
    <row r="13" spans="1:20" x14ac:dyDescent="0.2">
      <c r="A13"/>
      <c r="B13" s="45"/>
      <c r="C13" s="46"/>
      <c r="D13" s="7"/>
      <c r="E13" s="7"/>
      <c r="F13" s="7"/>
      <c r="G13" s="13"/>
      <c r="H13" s="13"/>
      <c r="I13" s="13"/>
      <c r="J13" s="13"/>
      <c r="K13" s="47"/>
      <c r="L13" s="8">
        <f t="shared" si="6"/>
        <v>136960</v>
      </c>
      <c r="M13" s="42"/>
      <c r="N13" s="4">
        <f t="shared" si="0"/>
        <v>0</v>
      </c>
      <c r="O13" s="43">
        <f t="shared" si="1"/>
        <v>0</v>
      </c>
      <c r="Q13" s="4">
        <f t="shared" si="4"/>
        <v>0</v>
      </c>
      <c r="R13" s="4">
        <f t="shared" si="5"/>
        <v>0</v>
      </c>
      <c r="T13" s="4">
        <f t="shared" si="2"/>
        <v>0</v>
      </c>
    </row>
    <row r="14" spans="1:20" s="14" customFormat="1" x14ac:dyDescent="0.2">
      <c r="A14"/>
      <c r="B14" s="45"/>
      <c r="C14" s="46"/>
      <c r="D14" s="7"/>
      <c r="E14" s="7"/>
      <c r="F14" s="7"/>
      <c r="G14" s="13"/>
      <c r="H14" s="13"/>
      <c r="I14" s="13"/>
      <c r="J14" s="13"/>
      <c r="K14" s="47"/>
      <c r="L14" s="8">
        <f t="shared" si="6"/>
        <v>136960</v>
      </c>
      <c r="M14" s="42"/>
      <c r="N14" s="4">
        <f t="shared" si="0"/>
        <v>0</v>
      </c>
      <c r="O14" s="48">
        <f t="shared" si="1"/>
        <v>0</v>
      </c>
      <c r="P14"/>
      <c r="Q14" s="4">
        <f t="shared" si="4"/>
        <v>0</v>
      </c>
      <c r="R14" s="4">
        <f t="shared" si="5"/>
        <v>0</v>
      </c>
      <c r="S14"/>
      <c r="T14" s="4">
        <f t="shared" si="2"/>
        <v>0</v>
      </c>
    </row>
    <row r="15" spans="1:20" ht="16.5" customHeight="1" x14ac:dyDescent="0.2">
      <c r="A15"/>
      <c r="B15" s="45"/>
      <c r="C15" s="46"/>
      <c r="D15" s="7"/>
      <c r="E15" s="7"/>
      <c r="F15" s="7"/>
      <c r="G15" s="13"/>
      <c r="H15" s="13"/>
      <c r="I15" s="13"/>
      <c r="J15" s="13"/>
      <c r="K15" s="47"/>
      <c r="L15" s="8">
        <f t="shared" si="6"/>
        <v>136960</v>
      </c>
      <c r="M15" s="42"/>
      <c r="N15" s="4">
        <f t="shared" si="0"/>
        <v>0</v>
      </c>
      <c r="O15" s="43">
        <f t="shared" si="1"/>
        <v>0</v>
      </c>
      <c r="Q15" s="4">
        <f t="shared" si="4"/>
        <v>0</v>
      </c>
      <c r="R15" s="4">
        <f t="shared" si="5"/>
        <v>0</v>
      </c>
      <c r="T15" s="4">
        <f t="shared" si="2"/>
        <v>0</v>
      </c>
    </row>
    <row r="16" spans="1:20" x14ac:dyDescent="0.2">
      <c r="A16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6"/>
        <v>136960</v>
      </c>
      <c r="M16" s="42"/>
      <c r="N16" s="4">
        <f t="shared" si="0"/>
        <v>0</v>
      </c>
      <c r="O16" s="43">
        <f t="shared" si="1"/>
        <v>0</v>
      </c>
      <c r="Q16" s="4">
        <f t="shared" si="4"/>
        <v>0</v>
      </c>
      <c r="R16" s="4">
        <f t="shared" si="5"/>
        <v>0</v>
      </c>
      <c r="T16" s="4">
        <f t="shared" si="2"/>
        <v>0</v>
      </c>
    </row>
    <row r="17" spans="1:20" x14ac:dyDescent="0.2">
      <c r="A17"/>
      <c r="B17" s="45"/>
      <c r="C17" s="46"/>
      <c r="D17" s="7"/>
      <c r="E17" s="7"/>
      <c r="F17" s="7"/>
      <c r="G17" s="13"/>
      <c r="H17" s="13"/>
      <c r="I17" s="13"/>
      <c r="J17" s="13"/>
      <c r="K17" s="47"/>
      <c r="L17" s="8">
        <f t="shared" si="6"/>
        <v>136960</v>
      </c>
      <c r="M17" s="42"/>
      <c r="N17" s="4">
        <f t="shared" si="0"/>
        <v>0</v>
      </c>
      <c r="O17" s="43">
        <f t="shared" si="1"/>
        <v>0</v>
      </c>
      <c r="Q17" s="4">
        <f t="shared" si="4"/>
        <v>0</v>
      </c>
      <c r="R17" s="4">
        <f t="shared" si="5"/>
        <v>0</v>
      </c>
      <c r="T17" s="4">
        <f t="shared" si="2"/>
        <v>0</v>
      </c>
    </row>
    <row r="18" spans="1:20" ht="15" customHeight="1" x14ac:dyDescent="0.2">
      <c r="A18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6"/>
        <v>136960</v>
      </c>
      <c r="M18" s="42"/>
      <c r="N18" s="4">
        <f t="shared" si="0"/>
        <v>0</v>
      </c>
      <c r="O18" s="43">
        <f t="shared" si="1"/>
        <v>0</v>
      </c>
      <c r="Q18" s="4">
        <f t="shared" si="4"/>
        <v>0</v>
      </c>
      <c r="R18" s="4">
        <f t="shared" si="5"/>
        <v>0</v>
      </c>
      <c r="T18" s="4">
        <f t="shared" si="2"/>
        <v>0</v>
      </c>
    </row>
    <row r="19" spans="1:20" x14ac:dyDescent="0.2">
      <c r="A19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6"/>
        <v>136960</v>
      </c>
      <c r="M19" s="42"/>
      <c r="N19" s="4">
        <f t="shared" si="0"/>
        <v>0</v>
      </c>
      <c r="O19" s="43">
        <f t="shared" si="1"/>
        <v>0</v>
      </c>
      <c r="Q19" s="4">
        <f t="shared" si="4"/>
        <v>0</v>
      </c>
      <c r="R19" s="4">
        <f t="shared" si="5"/>
        <v>0</v>
      </c>
      <c r="T19" s="4">
        <f t="shared" si="2"/>
        <v>0</v>
      </c>
    </row>
    <row r="20" spans="1:20" x14ac:dyDescent="0.2">
      <c r="A20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6"/>
        <v>136960</v>
      </c>
      <c r="M20" s="42"/>
      <c r="N20" s="4">
        <f t="shared" si="0"/>
        <v>0</v>
      </c>
      <c r="O20" s="43">
        <f t="shared" si="1"/>
        <v>0</v>
      </c>
      <c r="Q20" s="4">
        <f t="shared" si="4"/>
        <v>0</v>
      </c>
      <c r="R20" s="4">
        <f t="shared" si="5"/>
        <v>0</v>
      </c>
      <c r="T20" s="4">
        <f t="shared" si="2"/>
        <v>0</v>
      </c>
    </row>
    <row r="21" spans="1:20" ht="15" customHeight="1" x14ac:dyDescent="0.2">
      <c r="A21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si="6"/>
        <v>136960</v>
      </c>
      <c r="M21" s="42"/>
      <c r="N21" s="4">
        <f t="shared" si="0"/>
        <v>0</v>
      </c>
      <c r="O21" s="43">
        <f t="shared" si="1"/>
        <v>0</v>
      </c>
      <c r="Q21" s="4">
        <f t="shared" si="4"/>
        <v>0</v>
      </c>
      <c r="R21" s="4">
        <f t="shared" si="5"/>
        <v>0</v>
      </c>
      <c r="T21" s="4">
        <f t="shared" si="2"/>
        <v>0</v>
      </c>
    </row>
    <row r="22" spans="1:20" x14ac:dyDescent="0.2">
      <c r="A22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6"/>
        <v>136960</v>
      </c>
      <c r="M22" s="42"/>
      <c r="N22" s="4">
        <f t="shared" si="0"/>
        <v>0</v>
      </c>
      <c r="O22" s="43">
        <f t="shared" si="1"/>
        <v>0</v>
      </c>
      <c r="Q22" s="4">
        <f t="shared" si="4"/>
        <v>0</v>
      </c>
      <c r="R22" s="4">
        <f t="shared" si="5"/>
        <v>0</v>
      </c>
      <c r="T22" s="4">
        <f t="shared" si="2"/>
        <v>0</v>
      </c>
    </row>
    <row r="23" spans="1:20" x14ac:dyDescent="0.2">
      <c r="A23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6"/>
        <v>136960</v>
      </c>
      <c r="M23" s="42"/>
      <c r="N23" s="4">
        <f t="shared" si="0"/>
        <v>0</v>
      </c>
      <c r="O23" s="43">
        <f t="shared" si="1"/>
        <v>0</v>
      </c>
      <c r="Q23" s="4">
        <f t="shared" si="4"/>
        <v>0</v>
      </c>
      <c r="R23" s="4">
        <f t="shared" si="5"/>
        <v>0</v>
      </c>
      <c r="T23" s="4">
        <f t="shared" si="2"/>
        <v>0</v>
      </c>
    </row>
    <row r="24" spans="1:20" x14ac:dyDescent="0.2">
      <c r="A2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6"/>
        <v>136960</v>
      </c>
      <c r="M24" s="42"/>
      <c r="N24" s="4">
        <f t="shared" si="0"/>
        <v>0</v>
      </c>
      <c r="O24" s="43">
        <f t="shared" si="1"/>
        <v>0</v>
      </c>
      <c r="Q24" s="4">
        <f t="shared" si="4"/>
        <v>0</v>
      </c>
      <c r="R24" s="4">
        <f t="shared" si="5"/>
        <v>0</v>
      </c>
      <c r="T24" s="4">
        <f t="shared" si="2"/>
        <v>0</v>
      </c>
    </row>
    <row r="25" spans="1:20" ht="15" customHeight="1" x14ac:dyDescent="0.2">
      <c r="A25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6"/>
        <v>136960</v>
      </c>
      <c r="M25" s="42"/>
      <c r="N25" s="4">
        <f t="shared" si="0"/>
        <v>0</v>
      </c>
      <c r="O25" s="43">
        <f t="shared" si="1"/>
        <v>0</v>
      </c>
      <c r="Q25" s="4">
        <f t="shared" si="4"/>
        <v>0</v>
      </c>
      <c r="R25" s="4">
        <f t="shared" si="5"/>
        <v>0</v>
      </c>
      <c r="T25" s="4">
        <f t="shared" si="2"/>
        <v>0</v>
      </c>
    </row>
    <row r="26" spans="1:20" ht="15" customHeight="1" x14ac:dyDescent="0.2">
      <c r="A26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6"/>
        <v>136960</v>
      </c>
      <c r="M26" s="42"/>
      <c r="N26" s="4">
        <f t="shared" si="0"/>
        <v>0</v>
      </c>
      <c r="O26" s="43">
        <f t="shared" si="1"/>
        <v>0</v>
      </c>
      <c r="Q26" s="4">
        <f t="shared" si="4"/>
        <v>0</v>
      </c>
      <c r="R26" s="4">
        <f t="shared" si="5"/>
        <v>0</v>
      </c>
      <c r="T26" s="4">
        <f t="shared" si="2"/>
        <v>0</v>
      </c>
    </row>
    <row r="27" spans="1:20" x14ac:dyDescent="0.2">
      <c r="A27"/>
      <c r="B27" s="45"/>
      <c r="C27" s="46"/>
      <c r="D27" s="7"/>
      <c r="E27" s="7"/>
      <c r="F27" s="7"/>
      <c r="G27" s="13"/>
      <c r="H27" s="13"/>
      <c r="I27" s="13"/>
      <c r="J27" s="13"/>
      <c r="K27" s="47"/>
      <c r="L27" s="8">
        <f t="shared" si="6"/>
        <v>136960</v>
      </c>
      <c r="M27" s="42"/>
      <c r="N27" s="4">
        <f t="shared" si="0"/>
        <v>0</v>
      </c>
      <c r="O27" s="43">
        <f t="shared" si="1"/>
        <v>0</v>
      </c>
      <c r="Q27" s="4">
        <f t="shared" si="4"/>
        <v>0</v>
      </c>
      <c r="R27" s="4">
        <f t="shared" si="5"/>
        <v>0</v>
      </c>
      <c r="T27" s="4">
        <f t="shared" si="2"/>
        <v>0</v>
      </c>
    </row>
    <row r="28" spans="1:20" x14ac:dyDescent="0.2">
      <c r="A28"/>
      <c r="B28" s="45"/>
      <c r="C28" s="46"/>
      <c r="D28" s="7"/>
      <c r="E28" s="7"/>
      <c r="F28" s="7"/>
      <c r="G28" s="13"/>
      <c r="H28" s="13"/>
      <c r="I28" s="13"/>
      <c r="J28" s="13"/>
      <c r="K28" s="47"/>
      <c r="L28" s="8">
        <f t="shared" si="6"/>
        <v>136960</v>
      </c>
      <c r="M28" s="42"/>
      <c r="N28" s="4">
        <f t="shared" si="0"/>
        <v>0</v>
      </c>
      <c r="O28" s="43">
        <f t="shared" si="1"/>
        <v>0</v>
      </c>
      <c r="Q28" s="4">
        <f t="shared" si="4"/>
        <v>0</v>
      </c>
      <c r="R28" s="4">
        <f t="shared" si="5"/>
        <v>0</v>
      </c>
      <c r="T28" s="4">
        <f t="shared" si="2"/>
        <v>0</v>
      </c>
    </row>
    <row r="29" spans="1:20" x14ac:dyDescent="0.2">
      <c r="A29"/>
      <c r="B29" s="45"/>
      <c r="C29" s="46"/>
      <c r="D29" s="7"/>
      <c r="E29" s="7"/>
      <c r="F29" s="7"/>
      <c r="G29" s="13"/>
      <c r="H29" s="13"/>
      <c r="I29" s="13"/>
      <c r="J29" s="13"/>
      <c r="K29" s="47"/>
      <c r="L29" s="8">
        <f t="shared" si="6"/>
        <v>136960</v>
      </c>
      <c r="M29" s="42"/>
      <c r="N29" s="4">
        <f t="shared" si="0"/>
        <v>0</v>
      </c>
      <c r="O29" s="43">
        <f t="shared" si="1"/>
        <v>0</v>
      </c>
      <c r="Q29" s="4">
        <f t="shared" si="4"/>
        <v>0</v>
      </c>
      <c r="R29" s="4">
        <f t="shared" si="5"/>
        <v>0</v>
      </c>
      <c r="T29" s="4">
        <f t="shared" si="2"/>
        <v>0</v>
      </c>
    </row>
    <row r="30" spans="1:20" x14ac:dyDescent="0.2">
      <c r="A30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6"/>
        <v>136960</v>
      </c>
      <c r="M30" s="42"/>
      <c r="N30" s="4">
        <f t="shared" si="0"/>
        <v>0</v>
      </c>
      <c r="O30" s="43">
        <f t="shared" si="1"/>
        <v>0</v>
      </c>
      <c r="Q30" s="4">
        <f t="shared" si="4"/>
        <v>0</v>
      </c>
      <c r="R30" s="4">
        <f t="shared" si="5"/>
        <v>0</v>
      </c>
      <c r="T30" s="4">
        <f t="shared" si="2"/>
        <v>0</v>
      </c>
    </row>
    <row r="31" spans="1:20" x14ac:dyDescent="0.2">
      <c r="A31"/>
      <c r="B31" s="45"/>
      <c r="C31" s="46"/>
      <c r="D31" s="7"/>
      <c r="E31" s="7"/>
      <c r="F31" s="7"/>
      <c r="G31" s="13"/>
      <c r="H31" s="13"/>
      <c r="I31" s="13"/>
      <c r="J31" s="13"/>
      <c r="K31" s="47"/>
      <c r="L31" s="8">
        <f t="shared" si="6"/>
        <v>136960</v>
      </c>
      <c r="M31" s="42"/>
      <c r="N31" s="4">
        <f t="shared" si="0"/>
        <v>0</v>
      </c>
      <c r="O31" s="43">
        <f t="shared" si="1"/>
        <v>0</v>
      </c>
      <c r="Q31" s="4">
        <f t="shared" si="4"/>
        <v>0</v>
      </c>
      <c r="R31" s="4">
        <f t="shared" si="5"/>
        <v>0</v>
      </c>
      <c r="T31" s="4">
        <f t="shared" si="2"/>
        <v>0</v>
      </c>
    </row>
    <row r="32" spans="1:20" x14ac:dyDescent="0.2">
      <c r="A32"/>
      <c r="B32" s="45"/>
      <c r="C32" s="46"/>
      <c r="D32" s="7"/>
      <c r="E32" s="7"/>
      <c r="F32" s="7"/>
      <c r="G32" s="13"/>
      <c r="H32" s="13"/>
      <c r="I32" s="13"/>
      <c r="J32" s="13"/>
      <c r="K32" s="47"/>
      <c r="L32" s="8">
        <f t="shared" si="6"/>
        <v>136960</v>
      </c>
      <c r="M32" s="42"/>
      <c r="N32" s="4">
        <f t="shared" si="0"/>
        <v>0</v>
      </c>
      <c r="O32" s="43">
        <f t="shared" si="1"/>
        <v>0</v>
      </c>
      <c r="Q32" s="4">
        <f t="shared" si="4"/>
        <v>0</v>
      </c>
      <c r="R32" s="4">
        <f t="shared" si="5"/>
        <v>0</v>
      </c>
      <c r="T32" s="4">
        <f t="shared" si="2"/>
        <v>0</v>
      </c>
    </row>
    <row r="33" spans="1:20" x14ac:dyDescent="0.2">
      <c r="A33"/>
      <c r="B33" s="45"/>
      <c r="C33" s="46"/>
      <c r="D33" s="7"/>
      <c r="E33" s="7"/>
      <c r="F33" s="7"/>
      <c r="G33" s="13"/>
      <c r="H33" s="13"/>
      <c r="I33" s="13"/>
      <c r="J33" s="13"/>
      <c r="K33" s="47"/>
      <c r="L33" s="8">
        <f t="shared" si="6"/>
        <v>136960</v>
      </c>
      <c r="M33" s="42"/>
      <c r="N33" s="4">
        <f t="shared" si="0"/>
        <v>0</v>
      </c>
      <c r="O33" s="43">
        <f t="shared" si="1"/>
        <v>0</v>
      </c>
      <c r="Q33" s="4">
        <f t="shared" si="4"/>
        <v>0</v>
      </c>
      <c r="R33" s="4">
        <f t="shared" si="5"/>
        <v>0</v>
      </c>
      <c r="T33" s="4">
        <f t="shared" si="2"/>
        <v>0</v>
      </c>
    </row>
    <row r="34" spans="1:20" x14ac:dyDescent="0.2">
      <c r="A34"/>
      <c r="B34" s="45"/>
      <c r="C34" s="46"/>
      <c r="D34" s="7"/>
      <c r="E34" s="7"/>
      <c r="F34" s="7"/>
      <c r="G34" s="13"/>
      <c r="H34" s="13"/>
      <c r="I34" s="13"/>
      <c r="J34" s="13"/>
      <c r="K34" s="47"/>
      <c r="L34" s="8">
        <f t="shared" si="6"/>
        <v>136960</v>
      </c>
      <c r="M34" s="42"/>
      <c r="N34" s="4">
        <f t="shared" si="0"/>
        <v>0</v>
      </c>
      <c r="O34" s="43">
        <f t="shared" si="1"/>
        <v>0</v>
      </c>
      <c r="Q34" s="4">
        <f t="shared" si="4"/>
        <v>0</v>
      </c>
      <c r="R34" s="4">
        <f t="shared" si="5"/>
        <v>0</v>
      </c>
      <c r="T34" s="4">
        <f t="shared" si="2"/>
        <v>0</v>
      </c>
    </row>
    <row r="35" spans="1:20" x14ac:dyDescent="0.2">
      <c r="A35"/>
      <c r="B35" s="45"/>
      <c r="C35" s="46"/>
      <c r="D35" s="7"/>
      <c r="E35" s="7"/>
      <c r="F35" s="7"/>
      <c r="G35" s="13"/>
      <c r="H35" s="13"/>
      <c r="I35" s="13"/>
      <c r="J35" s="13"/>
      <c r="K35" s="47"/>
      <c r="L35" s="8">
        <f t="shared" si="6"/>
        <v>136960</v>
      </c>
      <c r="M35" s="42"/>
      <c r="N35" s="4">
        <f t="shared" si="0"/>
        <v>0</v>
      </c>
      <c r="O35" s="43">
        <f t="shared" si="1"/>
        <v>0</v>
      </c>
      <c r="Q35" s="4">
        <f t="shared" si="4"/>
        <v>0</v>
      </c>
      <c r="R35" s="4">
        <f t="shared" si="5"/>
        <v>0</v>
      </c>
      <c r="T35" s="4">
        <f t="shared" si="2"/>
        <v>0</v>
      </c>
    </row>
    <row r="36" spans="1:20" x14ac:dyDescent="0.2">
      <c r="A36"/>
      <c r="B36" s="45"/>
      <c r="C36" s="46"/>
      <c r="D36" s="7"/>
      <c r="E36" s="7"/>
      <c r="F36" s="7"/>
      <c r="G36" s="13"/>
      <c r="H36" s="13"/>
      <c r="I36" s="13"/>
      <c r="J36" s="13"/>
      <c r="K36" s="47"/>
      <c r="L36" s="8">
        <f t="shared" si="6"/>
        <v>136960</v>
      </c>
      <c r="M36" s="42"/>
      <c r="N36" s="4">
        <f t="shared" si="0"/>
        <v>0</v>
      </c>
      <c r="O36" s="43">
        <f t="shared" si="1"/>
        <v>0</v>
      </c>
      <c r="Q36" s="4">
        <f t="shared" si="4"/>
        <v>0</v>
      </c>
      <c r="R36" s="4">
        <f t="shared" si="5"/>
        <v>0</v>
      </c>
      <c r="T36" s="4">
        <f t="shared" si="2"/>
        <v>0</v>
      </c>
    </row>
    <row r="37" spans="1:20" x14ac:dyDescent="0.2">
      <c r="A37"/>
      <c r="B37" s="45"/>
      <c r="C37" s="46"/>
      <c r="D37" s="7"/>
      <c r="E37" s="7"/>
      <c r="F37" s="7"/>
      <c r="G37" s="13"/>
      <c r="H37" s="13"/>
      <c r="I37" s="13"/>
      <c r="J37" s="13"/>
      <c r="K37" s="47"/>
      <c r="L37" s="8">
        <f t="shared" si="6"/>
        <v>136960</v>
      </c>
      <c r="M37" s="42"/>
      <c r="N37" s="4">
        <f t="shared" si="0"/>
        <v>0</v>
      </c>
      <c r="O37" s="43">
        <f t="shared" si="1"/>
        <v>0</v>
      </c>
      <c r="Q37" s="4">
        <f t="shared" si="4"/>
        <v>0</v>
      </c>
      <c r="R37" s="4">
        <f t="shared" si="5"/>
        <v>0</v>
      </c>
      <c r="T37" s="4">
        <f t="shared" si="2"/>
        <v>0</v>
      </c>
    </row>
    <row r="38" spans="1:20" x14ac:dyDescent="0.2">
      <c r="A38"/>
      <c r="B38" s="45"/>
      <c r="C38" s="46"/>
      <c r="D38" s="7"/>
      <c r="E38" s="7"/>
      <c r="F38" s="7"/>
      <c r="G38" s="13"/>
      <c r="H38" s="13"/>
      <c r="I38" s="13"/>
      <c r="J38" s="13"/>
      <c r="K38" s="47"/>
      <c r="L38" s="8">
        <f t="shared" si="6"/>
        <v>136960</v>
      </c>
      <c r="M38" s="42"/>
      <c r="N38" s="4">
        <f t="shared" si="0"/>
        <v>0</v>
      </c>
      <c r="O38" s="43">
        <f t="shared" si="1"/>
        <v>0</v>
      </c>
      <c r="Q38" s="4">
        <f t="shared" si="4"/>
        <v>0</v>
      </c>
      <c r="R38" s="4">
        <f t="shared" si="5"/>
        <v>0</v>
      </c>
      <c r="T38" s="4">
        <f t="shared" si="2"/>
        <v>0</v>
      </c>
    </row>
    <row r="39" spans="1:20" x14ac:dyDescent="0.2">
      <c r="A39"/>
      <c r="B39" s="45"/>
      <c r="C39" s="46"/>
      <c r="D39" s="7"/>
      <c r="E39" s="7"/>
      <c r="F39" s="7"/>
      <c r="G39" s="13"/>
      <c r="H39" s="13"/>
      <c r="I39" s="13"/>
      <c r="J39" s="13"/>
      <c r="K39" s="47"/>
      <c r="L39" s="8">
        <f t="shared" si="6"/>
        <v>136960</v>
      </c>
      <c r="M39" s="42"/>
      <c r="N39" s="4">
        <f t="shared" si="0"/>
        <v>0</v>
      </c>
      <c r="O39" s="43">
        <f t="shared" si="1"/>
        <v>0</v>
      </c>
      <c r="Q39" s="4">
        <f t="shared" si="4"/>
        <v>0</v>
      </c>
      <c r="R39" s="4">
        <f t="shared" si="5"/>
        <v>0</v>
      </c>
      <c r="T39" s="4">
        <f t="shared" si="2"/>
        <v>0</v>
      </c>
    </row>
    <row r="40" spans="1:20" x14ac:dyDescent="0.2">
      <c r="A40"/>
      <c r="B40" s="45"/>
      <c r="C40" s="46"/>
      <c r="D40" s="7"/>
      <c r="E40" s="7"/>
      <c r="F40" s="7"/>
      <c r="G40" s="13"/>
      <c r="H40" s="13"/>
      <c r="I40" s="13"/>
      <c r="J40" s="13"/>
      <c r="K40" s="47"/>
      <c r="L40" s="8">
        <f t="shared" si="6"/>
        <v>136960</v>
      </c>
      <c r="M40" s="42"/>
      <c r="N40" s="4">
        <f t="shared" si="0"/>
        <v>0</v>
      </c>
      <c r="O40" s="43">
        <f t="shared" si="1"/>
        <v>0</v>
      </c>
      <c r="Q40" s="4">
        <f t="shared" si="4"/>
        <v>0</v>
      </c>
      <c r="R40" s="4">
        <f t="shared" si="5"/>
        <v>0</v>
      </c>
      <c r="T40" s="4">
        <f t="shared" si="2"/>
        <v>0</v>
      </c>
    </row>
    <row r="41" spans="1:20" x14ac:dyDescent="0.2">
      <c r="A41" s="44"/>
      <c r="B41" s="18"/>
      <c r="C41" s="7"/>
      <c r="E41" s="13"/>
      <c r="F41" s="13"/>
      <c r="G41" s="13"/>
      <c r="H41" s="13"/>
      <c r="I41" s="13"/>
      <c r="J41" s="13"/>
      <c r="K41" s="13"/>
      <c r="L41" s="8">
        <f t="shared" si="6"/>
        <v>136960</v>
      </c>
      <c r="M41" s="42"/>
      <c r="N41" s="4">
        <f t="shared" si="0"/>
        <v>0</v>
      </c>
      <c r="O41" s="43">
        <f t="shared" si="1"/>
        <v>0</v>
      </c>
      <c r="Q41" s="4">
        <f t="shared" si="4"/>
        <v>0</v>
      </c>
      <c r="R41" s="4">
        <f t="shared" si="5"/>
        <v>0</v>
      </c>
      <c r="T41" s="4">
        <f t="shared" si="2"/>
        <v>0</v>
      </c>
    </row>
    <row r="42" spans="1:20" x14ac:dyDescent="0.2">
      <c r="A42" s="44"/>
      <c r="B42" s="49"/>
      <c r="C42" s="7"/>
      <c r="D42" s="18"/>
      <c r="E42" s="13"/>
      <c r="F42" s="13"/>
      <c r="G42" s="13"/>
      <c r="H42" s="13"/>
      <c r="I42" s="13"/>
      <c r="J42" s="13"/>
      <c r="K42" s="13"/>
      <c r="L42" s="8">
        <f t="shared" si="6"/>
        <v>136960</v>
      </c>
      <c r="M42" s="42"/>
      <c r="N42" s="4">
        <f t="shared" si="0"/>
        <v>0</v>
      </c>
      <c r="O42" s="43">
        <f t="shared" si="1"/>
        <v>0</v>
      </c>
      <c r="Q42" s="4">
        <f t="shared" si="4"/>
        <v>0</v>
      </c>
      <c r="R42" s="4">
        <f t="shared" si="5"/>
        <v>0</v>
      </c>
      <c r="T42" s="4">
        <f t="shared" si="2"/>
        <v>0</v>
      </c>
    </row>
    <row r="43" spans="1:20" x14ac:dyDescent="0.2">
      <c r="A43" s="44"/>
      <c r="B43" s="49"/>
      <c r="C43" s="7"/>
      <c r="D43" s="18"/>
      <c r="E43" s="13"/>
      <c r="F43" s="13"/>
      <c r="G43" s="13"/>
      <c r="H43" s="13"/>
      <c r="I43" s="13"/>
      <c r="J43" s="13"/>
      <c r="K43" s="13"/>
      <c r="L43" s="8">
        <f t="shared" si="6"/>
        <v>136960</v>
      </c>
      <c r="M43" s="42"/>
      <c r="N43" s="4">
        <f t="shared" si="0"/>
        <v>0</v>
      </c>
      <c r="O43" s="43">
        <f t="shared" si="1"/>
        <v>0</v>
      </c>
      <c r="Q43" s="4">
        <f t="shared" si="4"/>
        <v>0</v>
      </c>
      <c r="R43" s="4">
        <f t="shared" si="5"/>
        <v>0</v>
      </c>
      <c r="T43" s="4">
        <f t="shared" si="2"/>
        <v>0</v>
      </c>
    </row>
    <row r="44" spans="1:20" x14ac:dyDescent="0.2">
      <c r="A44" s="44"/>
      <c r="B44" s="49"/>
      <c r="C44" s="7"/>
      <c r="D44" s="18"/>
      <c r="E44" s="13"/>
      <c r="F44" s="13"/>
      <c r="G44" s="13"/>
      <c r="H44" s="13"/>
      <c r="I44" s="13"/>
      <c r="J44" s="13"/>
      <c r="K44" s="13"/>
      <c r="L44" s="8">
        <f t="shared" si="6"/>
        <v>136960</v>
      </c>
      <c r="M44" s="42"/>
      <c r="N44" s="4">
        <f t="shared" si="0"/>
        <v>0</v>
      </c>
      <c r="O44" s="43">
        <f t="shared" si="1"/>
        <v>0</v>
      </c>
      <c r="Q44" s="4">
        <f t="shared" si="4"/>
        <v>0</v>
      </c>
      <c r="R44" s="4">
        <f t="shared" si="5"/>
        <v>0</v>
      </c>
      <c r="T44" s="4">
        <f t="shared" si="2"/>
        <v>0</v>
      </c>
    </row>
    <row r="45" spans="1:20" x14ac:dyDescent="0.2">
      <c r="A45" s="44"/>
      <c r="B45" s="49"/>
      <c r="C45" s="7"/>
      <c r="D45" s="18"/>
      <c r="E45" s="13"/>
      <c r="F45" s="13"/>
      <c r="G45" s="13"/>
      <c r="H45" s="13"/>
      <c r="I45" s="13"/>
      <c r="J45" s="13"/>
      <c r="K45" s="13"/>
      <c r="L45" s="8">
        <f t="shared" si="6"/>
        <v>136960</v>
      </c>
      <c r="M45" s="42"/>
      <c r="N45" s="4">
        <f t="shared" si="0"/>
        <v>0</v>
      </c>
      <c r="O45" s="43">
        <f t="shared" si="1"/>
        <v>0</v>
      </c>
      <c r="Q45" s="4">
        <f t="shared" si="4"/>
        <v>0</v>
      </c>
      <c r="R45" s="4">
        <f t="shared" si="5"/>
        <v>0</v>
      </c>
      <c r="T45" s="4">
        <f t="shared" si="2"/>
        <v>0</v>
      </c>
    </row>
    <row r="46" spans="1:20" x14ac:dyDescent="0.2">
      <c r="A46" s="44"/>
      <c r="B46" s="49"/>
      <c r="C46" s="7"/>
      <c r="D46" s="18"/>
      <c r="E46" s="13"/>
      <c r="F46" s="13"/>
      <c r="G46" s="13"/>
      <c r="H46" s="13"/>
      <c r="I46" s="13"/>
      <c r="J46" s="13"/>
      <c r="K46" s="13"/>
      <c r="L46" s="8">
        <f t="shared" si="6"/>
        <v>136960</v>
      </c>
      <c r="M46" s="42"/>
      <c r="N46" s="4">
        <f t="shared" si="0"/>
        <v>0</v>
      </c>
      <c r="O46" s="43">
        <f t="shared" si="1"/>
        <v>0</v>
      </c>
      <c r="Q46" s="4">
        <f t="shared" si="4"/>
        <v>0</v>
      </c>
      <c r="R46" s="4">
        <f t="shared" si="5"/>
        <v>0</v>
      </c>
      <c r="T46" s="4">
        <f t="shared" si="2"/>
        <v>0</v>
      </c>
    </row>
    <row r="47" spans="1:20" x14ac:dyDescent="0.2">
      <c r="A47" s="44"/>
      <c r="B47" s="49"/>
      <c r="C47" s="7"/>
      <c r="D47" s="18"/>
      <c r="E47" s="13"/>
      <c r="F47" s="13"/>
      <c r="G47" s="13"/>
      <c r="H47" s="13"/>
      <c r="I47" s="13"/>
      <c r="J47" s="13"/>
      <c r="K47" s="13"/>
      <c r="L47" s="8">
        <f t="shared" si="6"/>
        <v>136960</v>
      </c>
      <c r="M47" s="42"/>
      <c r="N47" s="4">
        <f t="shared" si="0"/>
        <v>0</v>
      </c>
      <c r="O47" s="43">
        <f t="shared" si="1"/>
        <v>0</v>
      </c>
      <c r="Q47" s="4">
        <f t="shared" si="4"/>
        <v>0</v>
      </c>
      <c r="R47" s="4">
        <f t="shared" si="5"/>
        <v>0</v>
      </c>
      <c r="T47" s="4">
        <f t="shared" si="2"/>
        <v>0</v>
      </c>
    </row>
    <row r="48" spans="1:20" x14ac:dyDescent="0.2">
      <c r="A48" s="44"/>
      <c r="B48" s="49"/>
      <c r="C48" s="7"/>
      <c r="D48" s="18"/>
      <c r="E48" s="13"/>
      <c r="F48" s="13"/>
      <c r="G48" s="13"/>
      <c r="H48" s="13"/>
      <c r="I48" s="13"/>
      <c r="J48" s="13"/>
      <c r="K48" s="13"/>
      <c r="L48" s="8">
        <f t="shared" si="6"/>
        <v>136960</v>
      </c>
      <c r="M48" s="42"/>
      <c r="N48" s="4">
        <f t="shared" si="0"/>
        <v>0</v>
      </c>
      <c r="O48" s="43">
        <f t="shared" si="1"/>
        <v>0</v>
      </c>
      <c r="Q48" s="4">
        <f t="shared" si="4"/>
        <v>0</v>
      </c>
      <c r="R48" s="4">
        <f t="shared" si="5"/>
        <v>0</v>
      </c>
      <c r="T48" s="4">
        <f t="shared" si="2"/>
        <v>0</v>
      </c>
    </row>
    <row r="49" spans="1:18" x14ac:dyDescent="0.2">
      <c r="A49" s="44"/>
      <c r="B49" s="49"/>
      <c r="C49" s="7"/>
      <c r="D49" s="18"/>
      <c r="E49" s="13"/>
      <c r="F49" s="13"/>
      <c r="G49" s="13"/>
      <c r="H49" s="13"/>
      <c r="I49" s="13"/>
      <c r="J49" s="13"/>
      <c r="K49" s="13"/>
      <c r="L49" s="8">
        <f t="shared" si="6"/>
        <v>136960</v>
      </c>
      <c r="M49" s="42"/>
      <c r="N49" s="4">
        <f t="shared" si="0"/>
        <v>0</v>
      </c>
      <c r="O49" s="43">
        <f t="shared" si="1"/>
        <v>0</v>
      </c>
      <c r="Q49" s="4">
        <f t="shared" si="4"/>
        <v>0</v>
      </c>
      <c r="R49" s="4">
        <f t="shared" si="5"/>
        <v>0</v>
      </c>
    </row>
    <row r="50" spans="1:18" x14ac:dyDescent="0.2">
      <c r="A50" s="44"/>
      <c r="B50" s="49"/>
      <c r="C50" s="50"/>
      <c r="D50" s="50"/>
      <c r="E50" s="13"/>
      <c r="F50" s="13"/>
      <c r="G50" s="13"/>
      <c r="H50" s="13"/>
      <c r="I50" s="13"/>
      <c r="J50" s="13"/>
      <c r="K50" s="13"/>
      <c r="L50" s="8">
        <f t="shared" si="6"/>
        <v>136960</v>
      </c>
      <c r="M50" s="42"/>
      <c r="N50" s="4">
        <f t="shared" si="0"/>
        <v>0</v>
      </c>
      <c r="O50" s="43">
        <f t="shared" si="1"/>
        <v>0</v>
      </c>
      <c r="Q50" s="4">
        <f t="shared" si="4"/>
        <v>0</v>
      </c>
      <c r="R50" s="4">
        <f t="shared" si="5"/>
        <v>0</v>
      </c>
    </row>
    <row r="51" spans="1:18" x14ac:dyDescent="0.2">
      <c r="A51" s="44"/>
      <c r="B51" s="49"/>
      <c r="C51" s="50"/>
      <c r="D51" s="50"/>
      <c r="E51" s="13"/>
      <c r="F51" s="13"/>
      <c r="G51" s="13"/>
      <c r="H51" s="13"/>
      <c r="I51" s="13"/>
      <c r="J51" s="13"/>
      <c r="K51" s="13"/>
      <c r="L51" s="8">
        <f>K51+L50</f>
        <v>136960</v>
      </c>
      <c r="M51" s="42"/>
      <c r="N51" s="4">
        <f>K51-M51</f>
        <v>0</v>
      </c>
      <c r="O51" s="43">
        <f>M51+N51</f>
        <v>0</v>
      </c>
      <c r="Q51" s="4">
        <f>K51-M51</f>
        <v>0</v>
      </c>
      <c r="R51" s="4">
        <f>N51-Q51</f>
        <v>0</v>
      </c>
    </row>
    <row r="52" spans="1:18" ht="16" customHeight="1" x14ac:dyDescent="0.2">
      <c r="A52" t="s">
        <v>37</v>
      </c>
      <c r="B52" s="49"/>
      <c r="C52" s="50"/>
      <c r="D52" s="50"/>
      <c r="E52" s="13"/>
      <c r="F52" s="13"/>
      <c r="G52" s="13"/>
      <c r="H52" s="13">
        <v>0</v>
      </c>
      <c r="I52" s="13">
        <v>0</v>
      </c>
      <c r="J52" s="13">
        <v>0</v>
      </c>
      <c r="K52" s="13"/>
      <c r="L52" s="13"/>
      <c r="M52" s="42"/>
      <c r="N52" s="4">
        <f>K52-M52</f>
        <v>0</v>
      </c>
      <c r="O52" s="43">
        <f>M52+N52</f>
        <v>0</v>
      </c>
      <c r="Q52" s="4">
        <f>K52-M52</f>
        <v>0</v>
      </c>
    </row>
    <row r="53" spans="1:18" x14ac:dyDescent="0.2">
      <c r="B53" s="19" t="s">
        <v>35</v>
      </c>
      <c r="D53" s="20">
        <f>SUM(E53:G53)</f>
        <v>0</v>
      </c>
      <c r="E53" s="4">
        <f t="shared" ref="E53:K53" si="7">SUM(E5:E52)</f>
        <v>0</v>
      </c>
      <c r="F53" s="4">
        <f t="shared" si="7"/>
        <v>0</v>
      </c>
      <c r="G53" s="4">
        <f t="shared" si="7"/>
        <v>0</v>
      </c>
      <c r="H53" s="4">
        <f t="shared" si="7"/>
        <v>0</v>
      </c>
      <c r="I53" s="4">
        <f t="shared" si="7"/>
        <v>0</v>
      </c>
      <c r="J53" s="4">
        <f t="shared" si="7"/>
        <v>0</v>
      </c>
      <c r="K53" s="20">
        <f t="shared" si="7"/>
        <v>136960</v>
      </c>
      <c r="M53" s="51">
        <f>SUM(M5:M52)</f>
        <v>136960</v>
      </c>
      <c r="N53" s="52">
        <f>SUM(N5:N52)</f>
        <v>0</v>
      </c>
      <c r="O53" s="53">
        <f>SUM(O5:O52)</f>
        <v>136960</v>
      </c>
      <c r="Q53"/>
    </row>
    <row r="54" spans="1:18" x14ac:dyDescent="0.2">
      <c r="B54" s="19"/>
      <c r="D54" s="20"/>
      <c r="E54" s="4"/>
      <c r="F54" s="20"/>
      <c r="G54" s="4"/>
      <c r="H54" s="4"/>
      <c r="I54" s="4"/>
      <c r="J54" s="4"/>
      <c r="K54" s="20"/>
      <c r="Q54"/>
    </row>
    <row r="55" spans="1:18" x14ac:dyDescent="0.2">
      <c r="C55" s="32" t="s">
        <v>38</v>
      </c>
      <c r="D55" s="30">
        <f>M53</f>
        <v>136960</v>
      </c>
      <c r="Q55"/>
    </row>
    <row r="56" spans="1:18" x14ac:dyDescent="0.2">
      <c r="C56" s="32" t="s">
        <v>23</v>
      </c>
      <c r="D56" s="54"/>
      <c r="Q56"/>
    </row>
    <row r="57" spans="1:18" x14ac:dyDescent="0.2">
      <c r="C57" s="32" t="s">
        <v>24</v>
      </c>
      <c r="D57" s="20">
        <f>SUM(D55:D56)</f>
        <v>136960</v>
      </c>
    </row>
    <row r="59" spans="1:18" x14ac:dyDescent="0.2">
      <c r="A59" s="44"/>
      <c r="B59" s="6"/>
      <c r="C59" s="7"/>
      <c r="D59" s="7"/>
      <c r="E59" s="13"/>
      <c r="F59" s="13"/>
      <c r="G59" s="13"/>
      <c r="H59" s="13"/>
      <c r="I59" s="13"/>
      <c r="J59" s="13"/>
      <c r="K59" s="13"/>
      <c r="L59" s="8"/>
      <c r="R59" s="4"/>
    </row>
  </sheetData>
  <conditionalFormatting sqref="C1">
    <cfRule type="duplicateValues" dxfId="211" priority="14"/>
  </conditionalFormatting>
  <conditionalFormatting sqref="C2">
    <cfRule type="duplicateValues" dxfId="210" priority="15"/>
  </conditionalFormatting>
  <conditionalFormatting sqref="C3">
    <cfRule type="duplicateValues" dxfId="209" priority="7"/>
  </conditionalFormatting>
  <conditionalFormatting sqref="C4:C5">
    <cfRule type="duplicateValues" dxfId="208" priority="12"/>
  </conditionalFormatting>
  <conditionalFormatting sqref="C6 C8:C38">
    <cfRule type="duplicateValues" dxfId="207" priority="19"/>
    <cfRule type="duplicateValues" dxfId="206" priority="20"/>
  </conditionalFormatting>
  <conditionalFormatting sqref="C7">
    <cfRule type="duplicateValues" dxfId="205" priority="1"/>
    <cfRule type="duplicateValues" dxfId="204" priority="2"/>
  </conditionalFormatting>
  <conditionalFormatting sqref="C39:C40">
    <cfRule type="duplicateValues" dxfId="203" priority="3"/>
    <cfRule type="duplicateValues" dxfId="202" priority="4"/>
  </conditionalFormatting>
  <conditionalFormatting sqref="C41:C49">
    <cfRule type="duplicateValues" dxfId="201" priority="18"/>
  </conditionalFormatting>
  <conditionalFormatting sqref="C41:C1048576 C1:C5">
    <cfRule type="duplicateValues" dxfId="200" priority="5"/>
  </conditionalFormatting>
  <conditionalFormatting sqref="C50">
    <cfRule type="duplicateValues" dxfId="199" priority="17"/>
  </conditionalFormatting>
  <conditionalFormatting sqref="C51">
    <cfRule type="duplicateValues" dxfId="198" priority="6"/>
  </conditionalFormatting>
  <conditionalFormatting sqref="C52">
    <cfRule type="duplicateValues" dxfId="197" priority="9"/>
  </conditionalFormatting>
  <conditionalFormatting sqref="C53:C54">
    <cfRule type="duplicateValues" dxfId="196" priority="8"/>
  </conditionalFormatting>
  <conditionalFormatting sqref="C57">
    <cfRule type="duplicateValues" dxfId="195" priority="10"/>
  </conditionalFormatting>
  <conditionalFormatting sqref="C58">
    <cfRule type="duplicateValues" dxfId="194" priority="11"/>
  </conditionalFormatting>
  <conditionalFormatting sqref="C59">
    <cfRule type="duplicateValues" dxfId="193" priority="13"/>
  </conditionalFormatting>
  <conditionalFormatting sqref="C61:C1048576">
    <cfRule type="duplicateValues" dxfId="192" priority="16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T59"/>
  <sheetViews>
    <sheetView workbookViewId="0">
      <selection activeCell="T7" sqref="T7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0" ht="21" x14ac:dyDescent="0.25">
      <c r="A1"/>
      <c r="B1" s="23" t="s">
        <v>20</v>
      </c>
      <c r="C1" s="6"/>
      <c r="D1" s="6"/>
      <c r="E1" s="4"/>
      <c r="L1"/>
      <c r="Q1"/>
    </row>
    <row r="2" spans="1:20" ht="21" x14ac:dyDescent="0.25">
      <c r="A2"/>
      <c r="B2" s="23" t="s">
        <v>42</v>
      </c>
      <c r="C2" s="6"/>
      <c r="D2" s="6"/>
      <c r="E2" s="4"/>
      <c r="L2"/>
      <c r="Q2"/>
    </row>
    <row r="3" spans="1:20" ht="21" x14ac:dyDescent="0.25">
      <c r="B3" s="35" t="s">
        <v>29</v>
      </c>
      <c r="Q3"/>
    </row>
    <row r="4" spans="1:20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31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0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50" si="0">K5-M5</f>
        <v>0</v>
      </c>
      <c r="O5" s="43">
        <f t="shared" ref="O5:O50" si="1">M5+N5</f>
        <v>0</v>
      </c>
      <c r="Q5" s="4">
        <f>K5-M5</f>
        <v>0</v>
      </c>
      <c r="R5" s="4">
        <f>N5-Q5</f>
        <v>0</v>
      </c>
      <c r="T5" s="4">
        <f t="shared" ref="T5:T48" si="2">K5-S5</f>
        <v>0</v>
      </c>
    </row>
    <row r="6" spans="1:20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0" x14ac:dyDescent="0.2">
      <c r="A7" s="44">
        <v>1</v>
      </c>
      <c r="B7" s="45">
        <v>41608</v>
      </c>
      <c r="C7" s="7" t="s">
        <v>44</v>
      </c>
      <c r="D7" s="7" t="s">
        <v>43</v>
      </c>
      <c r="E7" s="7"/>
      <c r="F7" s="7"/>
      <c r="G7" s="7"/>
      <c r="H7" s="7"/>
      <c r="J7" s="7"/>
      <c r="K7" s="47">
        <v>15158</v>
      </c>
      <c r="L7" s="8">
        <f t="shared" ref="L7:L8" si="3">K7+L6</f>
        <v>15158</v>
      </c>
      <c r="M7" s="42">
        <v>15158</v>
      </c>
      <c r="N7" s="4">
        <f t="shared" si="0"/>
        <v>0</v>
      </c>
      <c r="O7" s="43">
        <f t="shared" si="1"/>
        <v>15158</v>
      </c>
      <c r="Q7" s="4">
        <f t="shared" ref="Q7:Q50" si="4">K7-M7</f>
        <v>0</v>
      </c>
      <c r="R7" s="4">
        <f t="shared" ref="R7:R50" si="5">N7-Q7</f>
        <v>0</v>
      </c>
      <c r="T7" s="4">
        <f t="shared" si="2"/>
        <v>15158</v>
      </c>
    </row>
    <row r="8" spans="1:20" x14ac:dyDescent="0.2">
      <c r="A8" s="44"/>
      <c r="B8" s="45"/>
      <c r="C8" s="46"/>
      <c r="D8" s="7"/>
      <c r="E8" s="7"/>
      <c r="F8" s="7"/>
      <c r="G8" s="13"/>
      <c r="H8" s="13"/>
      <c r="I8" s="13"/>
      <c r="J8" s="13"/>
      <c r="K8" s="47"/>
      <c r="L8" s="8">
        <f t="shared" si="3"/>
        <v>15158</v>
      </c>
      <c r="M8" s="42"/>
      <c r="N8" s="4">
        <f t="shared" si="0"/>
        <v>0</v>
      </c>
      <c r="O8" s="43">
        <f t="shared" si="1"/>
        <v>0</v>
      </c>
      <c r="Q8" s="4">
        <f t="shared" si="4"/>
        <v>0</v>
      </c>
      <c r="R8" s="4">
        <f t="shared" si="5"/>
        <v>0</v>
      </c>
      <c r="T8" s="4">
        <f t="shared" si="2"/>
        <v>0</v>
      </c>
    </row>
    <row r="9" spans="1:20" x14ac:dyDescent="0.2">
      <c r="A9"/>
      <c r="B9" s="45"/>
      <c r="C9" s="46"/>
      <c r="D9" s="7"/>
      <c r="E9" s="7"/>
      <c r="F9" s="7"/>
      <c r="G9" s="13"/>
      <c r="H9" s="13"/>
      <c r="I9" s="13"/>
      <c r="J9" s="13"/>
      <c r="K9" s="47"/>
      <c r="L9" s="8">
        <f t="shared" ref="L9:L50" si="6">K9+L8</f>
        <v>15158</v>
      </c>
      <c r="M9" s="42"/>
      <c r="N9" s="4">
        <f t="shared" si="0"/>
        <v>0</v>
      </c>
      <c r="O9" s="43">
        <f t="shared" si="1"/>
        <v>0</v>
      </c>
      <c r="Q9" s="4">
        <f t="shared" si="4"/>
        <v>0</v>
      </c>
      <c r="R9" s="4">
        <f t="shared" si="5"/>
        <v>0</v>
      </c>
      <c r="T9" s="4">
        <f t="shared" si="2"/>
        <v>0</v>
      </c>
    </row>
    <row r="10" spans="1:20" x14ac:dyDescent="0.2">
      <c r="A10"/>
      <c r="B10" s="45"/>
      <c r="C10" s="46"/>
      <c r="D10" s="7"/>
      <c r="E10" s="7"/>
      <c r="F10" s="7"/>
      <c r="G10" s="13"/>
      <c r="H10" s="13"/>
      <c r="I10" s="13"/>
      <c r="J10" s="13"/>
      <c r="K10" s="47"/>
      <c r="L10" s="8">
        <f t="shared" si="6"/>
        <v>15158</v>
      </c>
      <c r="M10" s="42"/>
      <c r="N10" s="4">
        <f t="shared" si="0"/>
        <v>0</v>
      </c>
      <c r="O10" s="43">
        <f t="shared" si="1"/>
        <v>0</v>
      </c>
      <c r="Q10" s="4">
        <f t="shared" si="4"/>
        <v>0</v>
      </c>
      <c r="R10" s="4">
        <f t="shared" si="5"/>
        <v>0</v>
      </c>
      <c r="T10" s="4">
        <f t="shared" si="2"/>
        <v>0</v>
      </c>
    </row>
    <row r="11" spans="1:20" x14ac:dyDescent="0.2">
      <c r="A11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 t="shared" si="6"/>
        <v>15158</v>
      </c>
      <c r="M11" s="42"/>
      <c r="N11" s="4">
        <f t="shared" si="0"/>
        <v>0</v>
      </c>
      <c r="O11" s="43">
        <f t="shared" si="1"/>
        <v>0</v>
      </c>
      <c r="Q11" s="4">
        <f t="shared" si="4"/>
        <v>0</v>
      </c>
      <c r="R11" s="4">
        <f t="shared" si="5"/>
        <v>0</v>
      </c>
      <c r="T11" s="4">
        <f t="shared" si="2"/>
        <v>0</v>
      </c>
    </row>
    <row r="12" spans="1:20" x14ac:dyDescent="0.2">
      <c r="A12"/>
      <c r="C12" s="46"/>
      <c r="D12" s="7"/>
      <c r="E12" s="7"/>
      <c r="F12" s="7"/>
      <c r="G12" s="13"/>
      <c r="H12" s="13"/>
      <c r="I12" s="13"/>
      <c r="J12" s="13"/>
      <c r="K12" s="47"/>
      <c r="L12" s="8">
        <f t="shared" si="6"/>
        <v>15158</v>
      </c>
      <c r="M12" s="42"/>
      <c r="N12" s="4">
        <f t="shared" si="0"/>
        <v>0</v>
      </c>
      <c r="O12" s="43">
        <f t="shared" si="1"/>
        <v>0</v>
      </c>
      <c r="Q12" s="4">
        <f t="shared" si="4"/>
        <v>0</v>
      </c>
      <c r="R12" s="4">
        <f t="shared" si="5"/>
        <v>0</v>
      </c>
      <c r="T12" s="4">
        <f t="shared" si="2"/>
        <v>0</v>
      </c>
    </row>
    <row r="13" spans="1:20" x14ac:dyDescent="0.2">
      <c r="A13"/>
      <c r="B13" s="45"/>
      <c r="C13" s="46"/>
      <c r="D13" s="7"/>
      <c r="E13" s="7"/>
      <c r="F13" s="7"/>
      <c r="G13" s="13"/>
      <c r="H13" s="13"/>
      <c r="I13" s="13"/>
      <c r="J13" s="13"/>
      <c r="K13" s="47"/>
      <c r="L13" s="8">
        <f t="shared" si="6"/>
        <v>15158</v>
      </c>
      <c r="M13" s="42"/>
      <c r="N13" s="4">
        <f t="shared" si="0"/>
        <v>0</v>
      </c>
      <c r="O13" s="43">
        <f t="shared" si="1"/>
        <v>0</v>
      </c>
      <c r="Q13" s="4">
        <f t="shared" si="4"/>
        <v>0</v>
      </c>
      <c r="R13" s="4">
        <f t="shared" si="5"/>
        <v>0</v>
      </c>
      <c r="T13" s="4">
        <f t="shared" si="2"/>
        <v>0</v>
      </c>
    </row>
    <row r="14" spans="1:20" s="14" customFormat="1" x14ac:dyDescent="0.2">
      <c r="A14"/>
      <c r="B14" s="45"/>
      <c r="C14" s="46"/>
      <c r="D14" s="7"/>
      <c r="E14" s="7"/>
      <c r="F14" s="7"/>
      <c r="G14" s="13"/>
      <c r="H14" s="13"/>
      <c r="I14" s="13"/>
      <c r="J14" s="13"/>
      <c r="K14" s="47"/>
      <c r="L14" s="8">
        <f t="shared" si="6"/>
        <v>15158</v>
      </c>
      <c r="M14" s="42"/>
      <c r="N14" s="4">
        <f t="shared" si="0"/>
        <v>0</v>
      </c>
      <c r="O14" s="48">
        <f t="shared" si="1"/>
        <v>0</v>
      </c>
      <c r="P14"/>
      <c r="Q14" s="4">
        <f t="shared" si="4"/>
        <v>0</v>
      </c>
      <c r="R14" s="4">
        <f t="shared" si="5"/>
        <v>0</v>
      </c>
      <c r="S14"/>
      <c r="T14" s="4">
        <f t="shared" si="2"/>
        <v>0</v>
      </c>
    </row>
    <row r="15" spans="1:20" ht="16.5" customHeight="1" x14ac:dyDescent="0.2">
      <c r="A15"/>
      <c r="B15" s="45"/>
      <c r="C15" s="46"/>
      <c r="D15" s="7"/>
      <c r="E15" s="7"/>
      <c r="F15" s="7"/>
      <c r="G15" s="13"/>
      <c r="H15" s="13"/>
      <c r="I15" s="13"/>
      <c r="J15" s="13"/>
      <c r="K15" s="47"/>
      <c r="L15" s="8">
        <f t="shared" si="6"/>
        <v>15158</v>
      </c>
      <c r="M15" s="42"/>
      <c r="N15" s="4">
        <f t="shared" si="0"/>
        <v>0</v>
      </c>
      <c r="O15" s="43">
        <f t="shared" si="1"/>
        <v>0</v>
      </c>
      <c r="Q15" s="4">
        <f t="shared" si="4"/>
        <v>0</v>
      </c>
      <c r="R15" s="4">
        <f t="shared" si="5"/>
        <v>0</v>
      </c>
      <c r="T15" s="4">
        <f t="shared" si="2"/>
        <v>0</v>
      </c>
    </row>
    <row r="16" spans="1:20" x14ac:dyDescent="0.2">
      <c r="A16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6"/>
        <v>15158</v>
      </c>
      <c r="M16" s="42"/>
      <c r="N16" s="4">
        <f t="shared" si="0"/>
        <v>0</v>
      </c>
      <c r="O16" s="43">
        <f t="shared" si="1"/>
        <v>0</v>
      </c>
      <c r="Q16" s="4">
        <f t="shared" si="4"/>
        <v>0</v>
      </c>
      <c r="R16" s="4">
        <f t="shared" si="5"/>
        <v>0</v>
      </c>
      <c r="T16" s="4">
        <f t="shared" si="2"/>
        <v>0</v>
      </c>
    </row>
    <row r="17" spans="1:20" x14ac:dyDescent="0.2">
      <c r="A17"/>
      <c r="B17" s="45"/>
      <c r="C17" s="46"/>
      <c r="D17" s="7"/>
      <c r="E17" s="7"/>
      <c r="F17" s="7"/>
      <c r="G17" s="13"/>
      <c r="H17" s="13"/>
      <c r="I17" s="13"/>
      <c r="J17" s="13"/>
      <c r="K17" s="47"/>
      <c r="L17" s="8">
        <f t="shared" si="6"/>
        <v>15158</v>
      </c>
      <c r="M17" s="42"/>
      <c r="N17" s="4">
        <f t="shared" si="0"/>
        <v>0</v>
      </c>
      <c r="O17" s="43">
        <f t="shared" si="1"/>
        <v>0</v>
      </c>
      <c r="Q17" s="4">
        <f t="shared" si="4"/>
        <v>0</v>
      </c>
      <c r="R17" s="4">
        <f t="shared" si="5"/>
        <v>0</v>
      </c>
      <c r="T17" s="4">
        <f t="shared" si="2"/>
        <v>0</v>
      </c>
    </row>
    <row r="18" spans="1:20" ht="15" customHeight="1" x14ac:dyDescent="0.2">
      <c r="A18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6"/>
        <v>15158</v>
      </c>
      <c r="M18" s="42"/>
      <c r="N18" s="4">
        <f t="shared" si="0"/>
        <v>0</v>
      </c>
      <c r="O18" s="43">
        <f t="shared" si="1"/>
        <v>0</v>
      </c>
      <c r="Q18" s="4">
        <f t="shared" si="4"/>
        <v>0</v>
      </c>
      <c r="R18" s="4">
        <f t="shared" si="5"/>
        <v>0</v>
      </c>
      <c r="T18" s="4">
        <f t="shared" si="2"/>
        <v>0</v>
      </c>
    </row>
    <row r="19" spans="1:20" x14ac:dyDescent="0.2">
      <c r="A19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6"/>
        <v>15158</v>
      </c>
      <c r="M19" s="42"/>
      <c r="N19" s="4">
        <f t="shared" si="0"/>
        <v>0</v>
      </c>
      <c r="O19" s="43">
        <f t="shared" si="1"/>
        <v>0</v>
      </c>
      <c r="Q19" s="4">
        <f t="shared" si="4"/>
        <v>0</v>
      </c>
      <c r="R19" s="4">
        <f t="shared" si="5"/>
        <v>0</v>
      </c>
      <c r="T19" s="4">
        <f t="shared" si="2"/>
        <v>0</v>
      </c>
    </row>
    <row r="20" spans="1:20" x14ac:dyDescent="0.2">
      <c r="A20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6"/>
        <v>15158</v>
      </c>
      <c r="M20" s="42"/>
      <c r="N20" s="4">
        <f t="shared" si="0"/>
        <v>0</v>
      </c>
      <c r="O20" s="43">
        <f t="shared" si="1"/>
        <v>0</v>
      </c>
      <c r="Q20" s="4">
        <f t="shared" si="4"/>
        <v>0</v>
      </c>
      <c r="R20" s="4">
        <f t="shared" si="5"/>
        <v>0</v>
      </c>
      <c r="T20" s="4">
        <f t="shared" si="2"/>
        <v>0</v>
      </c>
    </row>
    <row r="21" spans="1:20" ht="15" customHeight="1" x14ac:dyDescent="0.2">
      <c r="A21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si="6"/>
        <v>15158</v>
      </c>
      <c r="M21" s="42"/>
      <c r="N21" s="4">
        <f t="shared" si="0"/>
        <v>0</v>
      </c>
      <c r="O21" s="43">
        <f t="shared" si="1"/>
        <v>0</v>
      </c>
      <c r="Q21" s="4">
        <f t="shared" si="4"/>
        <v>0</v>
      </c>
      <c r="R21" s="4">
        <f t="shared" si="5"/>
        <v>0</v>
      </c>
      <c r="T21" s="4">
        <f t="shared" si="2"/>
        <v>0</v>
      </c>
    </row>
    <row r="22" spans="1:20" x14ac:dyDescent="0.2">
      <c r="A22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6"/>
        <v>15158</v>
      </c>
      <c r="M22" s="42"/>
      <c r="N22" s="4">
        <f t="shared" si="0"/>
        <v>0</v>
      </c>
      <c r="O22" s="43">
        <f t="shared" si="1"/>
        <v>0</v>
      </c>
      <c r="Q22" s="4">
        <f t="shared" si="4"/>
        <v>0</v>
      </c>
      <c r="R22" s="4">
        <f t="shared" si="5"/>
        <v>0</v>
      </c>
      <c r="T22" s="4">
        <f t="shared" si="2"/>
        <v>0</v>
      </c>
    </row>
    <row r="23" spans="1:20" x14ac:dyDescent="0.2">
      <c r="A23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6"/>
        <v>15158</v>
      </c>
      <c r="M23" s="42"/>
      <c r="N23" s="4">
        <f t="shared" si="0"/>
        <v>0</v>
      </c>
      <c r="O23" s="43">
        <f t="shared" si="1"/>
        <v>0</v>
      </c>
      <c r="Q23" s="4">
        <f t="shared" si="4"/>
        <v>0</v>
      </c>
      <c r="R23" s="4">
        <f t="shared" si="5"/>
        <v>0</v>
      </c>
      <c r="T23" s="4">
        <f t="shared" si="2"/>
        <v>0</v>
      </c>
    </row>
    <row r="24" spans="1:20" x14ac:dyDescent="0.2">
      <c r="A2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6"/>
        <v>15158</v>
      </c>
      <c r="M24" s="42"/>
      <c r="N24" s="4">
        <f t="shared" si="0"/>
        <v>0</v>
      </c>
      <c r="O24" s="43">
        <f t="shared" si="1"/>
        <v>0</v>
      </c>
      <c r="Q24" s="4">
        <f t="shared" si="4"/>
        <v>0</v>
      </c>
      <c r="R24" s="4">
        <f t="shared" si="5"/>
        <v>0</v>
      </c>
      <c r="T24" s="4">
        <f t="shared" si="2"/>
        <v>0</v>
      </c>
    </row>
    <row r="25" spans="1:20" ht="15" customHeight="1" x14ac:dyDescent="0.2">
      <c r="A25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6"/>
        <v>15158</v>
      </c>
      <c r="M25" s="42"/>
      <c r="N25" s="4">
        <f t="shared" si="0"/>
        <v>0</v>
      </c>
      <c r="O25" s="43">
        <f t="shared" si="1"/>
        <v>0</v>
      </c>
      <c r="Q25" s="4">
        <f t="shared" si="4"/>
        <v>0</v>
      </c>
      <c r="R25" s="4">
        <f t="shared" si="5"/>
        <v>0</v>
      </c>
      <c r="T25" s="4">
        <f t="shared" si="2"/>
        <v>0</v>
      </c>
    </row>
    <row r="26" spans="1:20" ht="15" customHeight="1" x14ac:dyDescent="0.2">
      <c r="A26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6"/>
        <v>15158</v>
      </c>
      <c r="M26" s="42"/>
      <c r="N26" s="4">
        <f t="shared" si="0"/>
        <v>0</v>
      </c>
      <c r="O26" s="43">
        <f t="shared" si="1"/>
        <v>0</v>
      </c>
      <c r="Q26" s="4">
        <f t="shared" si="4"/>
        <v>0</v>
      </c>
      <c r="R26" s="4">
        <f t="shared" si="5"/>
        <v>0</v>
      </c>
      <c r="T26" s="4">
        <f t="shared" si="2"/>
        <v>0</v>
      </c>
    </row>
    <row r="27" spans="1:20" x14ac:dyDescent="0.2">
      <c r="A27"/>
      <c r="B27" s="45"/>
      <c r="C27" s="46"/>
      <c r="D27" s="7"/>
      <c r="E27" s="7"/>
      <c r="F27" s="7"/>
      <c r="G27" s="13"/>
      <c r="H27" s="13"/>
      <c r="I27" s="13"/>
      <c r="J27" s="13"/>
      <c r="K27" s="47"/>
      <c r="L27" s="8">
        <f t="shared" si="6"/>
        <v>15158</v>
      </c>
      <c r="M27" s="42"/>
      <c r="N27" s="4">
        <f t="shared" si="0"/>
        <v>0</v>
      </c>
      <c r="O27" s="43">
        <f t="shared" si="1"/>
        <v>0</v>
      </c>
      <c r="Q27" s="4">
        <f t="shared" si="4"/>
        <v>0</v>
      </c>
      <c r="R27" s="4">
        <f t="shared" si="5"/>
        <v>0</v>
      </c>
      <c r="T27" s="4">
        <f t="shared" si="2"/>
        <v>0</v>
      </c>
    </row>
    <row r="28" spans="1:20" x14ac:dyDescent="0.2">
      <c r="A28"/>
      <c r="B28" s="45"/>
      <c r="C28" s="46"/>
      <c r="D28" s="7"/>
      <c r="E28" s="7"/>
      <c r="F28" s="7"/>
      <c r="G28" s="13"/>
      <c r="H28" s="13"/>
      <c r="I28" s="13"/>
      <c r="J28" s="13"/>
      <c r="K28" s="47"/>
      <c r="L28" s="8">
        <f t="shared" si="6"/>
        <v>15158</v>
      </c>
      <c r="M28" s="42"/>
      <c r="N28" s="4">
        <f t="shared" si="0"/>
        <v>0</v>
      </c>
      <c r="O28" s="43">
        <f t="shared" si="1"/>
        <v>0</v>
      </c>
      <c r="Q28" s="4">
        <f t="shared" si="4"/>
        <v>0</v>
      </c>
      <c r="R28" s="4">
        <f t="shared" si="5"/>
        <v>0</v>
      </c>
      <c r="T28" s="4">
        <f t="shared" si="2"/>
        <v>0</v>
      </c>
    </row>
    <row r="29" spans="1:20" x14ac:dyDescent="0.2">
      <c r="A29"/>
      <c r="B29" s="45"/>
      <c r="C29" s="46"/>
      <c r="D29" s="7"/>
      <c r="E29" s="7"/>
      <c r="F29" s="7"/>
      <c r="G29" s="13"/>
      <c r="H29" s="13"/>
      <c r="I29" s="13"/>
      <c r="J29" s="13"/>
      <c r="K29" s="47"/>
      <c r="L29" s="8">
        <f t="shared" si="6"/>
        <v>15158</v>
      </c>
      <c r="M29" s="42"/>
      <c r="N29" s="4">
        <f t="shared" si="0"/>
        <v>0</v>
      </c>
      <c r="O29" s="43">
        <f t="shared" si="1"/>
        <v>0</v>
      </c>
      <c r="Q29" s="4">
        <f t="shared" si="4"/>
        <v>0</v>
      </c>
      <c r="R29" s="4">
        <f t="shared" si="5"/>
        <v>0</v>
      </c>
      <c r="T29" s="4">
        <f t="shared" si="2"/>
        <v>0</v>
      </c>
    </row>
    <row r="30" spans="1:20" x14ac:dyDescent="0.2">
      <c r="A30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6"/>
        <v>15158</v>
      </c>
      <c r="M30" s="42"/>
      <c r="N30" s="4">
        <f t="shared" si="0"/>
        <v>0</v>
      </c>
      <c r="O30" s="43">
        <f t="shared" si="1"/>
        <v>0</v>
      </c>
      <c r="Q30" s="4">
        <f t="shared" si="4"/>
        <v>0</v>
      </c>
      <c r="R30" s="4">
        <f t="shared" si="5"/>
        <v>0</v>
      </c>
      <c r="T30" s="4">
        <f t="shared" si="2"/>
        <v>0</v>
      </c>
    </row>
    <row r="31" spans="1:20" x14ac:dyDescent="0.2">
      <c r="A31"/>
      <c r="B31" s="45"/>
      <c r="C31" s="46"/>
      <c r="D31" s="7"/>
      <c r="E31" s="7"/>
      <c r="F31" s="7"/>
      <c r="G31" s="13"/>
      <c r="H31" s="13"/>
      <c r="I31" s="13"/>
      <c r="J31" s="13"/>
      <c r="K31" s="47"/>
      <c r="L31" s="8">
        <f t="shared" si="6"/>
        <v>15158</v>
      </c>
      <c r="M31" s="42"/>
      <c r="N31" s="4">
        <f t="shared" si="0"/>
        <v>0</v>
      </c>
      <c r="O31" s="43">
        <f t="shared" si="1"/>
        <v>0</v>
      </c>
      <c r="Q31" s="4">
        <f t="shared" si="4"/>
        <v>0</v>
      </c>
      <c r="R31" s="4">
        <f t="shared" si="5"/>
        <v>0</v>
      </c>
      <c r="T31" s="4">
        <f t="shared" si="2"/>
        <v>0</v>
      </c>
    </row>
    <row r="32" spans="1:20" x14ac:dyDescent="0.2">
      <c r="A32"/>
      <c r="B32" s="45"/>
      <c r="C32" s="46"/>
      <c r="D32" s="7"/>
      <c r="E32" s="7"/>
      <c r="F32" s="7"/>
      <c r="G32" s="13"/>
      <c r="H32" s="13"/>
      <c r="I32" s="13"/>
      <c r="J32" s="13"/>
      <c r="K32" s="47"/>
      <c r="L32" s="8">
        <f t="shared" si="6"/>
        <v>15158</v>
      </c>
      <c r="M32" s="42"/>
      <c r="N32" s="4">
        <f t="shared" si="0"/>
        <v>0</v>
      </c>
      <c r="O32" s="43">
        <f t="shared" si="1"/>
        <v>0</v>
      </c>
      <c r="Q32" s="4">
        <f t="shared" si="4"/>
        <v>0</v>
      </c>
      <c r="R32" s="4">
        <f t="shared" si="5"/>
        <v>0</v>
      </c>
      <c r="T32" s="4">
        <f t="shared" si="2"/>
        <v>0</v>
      </c>
    </row>
    <row r="33" spans="1:20" x14ac:dyDescent="0.2">
      <c r="A33"/>
      <c r="B33" s="45"/>
      <c r="C33" s="46"/>
      <c r="D33" s="7"/>
      <c r="E33" s="7"/>
      <c r="F33" s="7"/>
      <c r="G33" s="13"/>
      <c r="H33" s="13"/>
      <c r="I33" s="13"/>
      <c r="J33" s="13"/>
      <c r="K33" s="47"/>
      <c r="L33" s="8">
        <f t="shared" si="6"/>
        <v>15158</v>
      </c>
      <c r="M33" s="42"/>
      <c r="N33" s="4">
        <f t="shared" si="0"/>
        <v>0</v>
      </c>
      <c r="O33" s="43">
        <f t="shared" si="1"/>
        <v>0</v>
      </c>
      <c r="Q33" s="4">
        <f t="shared" si="4"/>
        <v>0</v>
      </c>
      <c r="R33" s="4">
        <f t="shared" si="5"/>
        <v>0</v>
      </c>
      <c r="T33" s="4">
        <f t="shared" si="2"/>
        <v>0</v>
      </c>
    </row>
    <row r="34" spans="1:20" x14ac:dyDescent="0.2">
      <c r="A34"/>
      <c r="B34" s="45"/>
      <c r="C34" s="46"/>
      <c r="D34" s="7"/>
      <c r="E34" s="7"/>
      <c r="F34" s="7"/>
      <c r="G34" s="13"/>
      <c r="H34" s="13"/>
      <c r="I34" s="13"/>
      <c r="J34" s="13"/>
      <c r="K34" s="47"/>
      <c r="L34" s="8">
        <f t="shared" si="6"/>
        <v>15158</v>
      </c>
      <c r="M34" s="42"/>
      <c r="N34" s="4">
        <f t="shared" si="0"/>
        <v>0</v>
      </c>
      <c r="O34" s="43">
        <f t="shared" si="1"/>
        <v>0</v>
      </c>
      <c r="Q34" s="4">
        <f t="shared" si="4"/>
        <v>0</v>
      </c>
      <c r="R34" s="4">
        <f t="shared" si="5"/>
        <v>0</v>
      </c>
      <c r="T34" s="4">
        <f t="shared" si="2"/>
        <v>0</v>
      </c>
    </row>
    <row r="35" spans="1:20" x14ac:dyDescent="0.2">
      <c r="A35"/>
      <c r="B35" s="45"/>
      <c r="C35" s="46"/>
      <c r="D35" s="7"/>
      <c r="E35" s="7"/>
      <c r="F35" s="7"/>
      <c r="G35" s="13"/>
      <c r="H35" s="13"/>
      <c r="I35" s="13"/>
      <c r="J35" s="13"/>
      <c r="K35" s="47"/>
      <c r="L35" s="8">
        <f t="shared" si="6"/>
        <v>15158</v>
      </c>
      <c r="M35" s="42"/>
      <c r="N35" s="4">
        <f t="shared" si="0"/>
        <v>0</v>
      </c>
      <c r="O35" s="43">
        <f t="shared" si="1"/>
        <v>0</v>
      </c>
      <c r="Q35" s="4">
        <f t="shared" si="4"/>
        <v>0</v>
      </c>
      <c r="R35" s="4">
        <f t="shared" si="5"/>
        <v>0</v>
      </c>
      <c r="T35" s="4">
        <f t="shared" si="2"/>
        <v>0</v>
      </c>
    </row>
    <row r="36" spans="1:20" x14ac:dyDescent="0.2">
      <c r="A36"/>
      <c r="B36" s="45"/>
      <c r="C36" s="46"/>
      <c r="D36" s="7"/>
      <c r="E36" s="7"/>
      <c r="F36" s="7"/>
      <c r="G36" s="13"/>
      <c r="H36" s="13"/>
      <c r="I36" s="13"/>
      <c r="J36" s="13"/>
      <c r="K36" s="47"/>
      <c r="L36" s="8">
        <f t="shared" si="6"/>
        <v>15158</v>
      </c>
      <c r="M36" s="42"/>
      <c r="N36" s="4">
        <f t="shared" si="0"/>
        <v>0</v>
      </c>
      <c r="O36" s="43">
        <f t="shared" si="1"/>
        <v>0</v>
      </c>
      <c r="Q36" s="4">
        <f t="shared" si="4"/>
        <v>0</v>
      </c>
      <c r="R36" s="4">
        <f t="shared" si="5"/>
        <v>0</v>
      </c>
      <c r="T36" s="4">
        <f t="shared" si="2"/>
        <v>0</v>
      </c>
    </row>
    <row r="37" spans="1:20" x14ac:dyDescent="0.2">
      <c r="A37"/>
      <c r="B37" s="45"/>
      <c r="C37" s="46"/>
      <c r="D37" s="7"/>
      <c r="E37" s="7"/>
      <c r="F37" s="7"/>
      <c r="G37" s="13"/>
      <c r="H37" s="13"/>
      <c r="I37" s="13"/>
      <c r="J37" s="13"/>
      <c r="K37" s="47"/>
      <c r="L37" s="8">
        <f t="shared" si="6"/>
        <v>15158</v>
      </c>
      <c r="M37" s="42"/>
      <c r="N37" s="4">
        <f t="shared" si="0"/>
        <v>0</v>
      </c>
      <c r="O37" s="43">
        <f t="shared" si="1"/>
        <v>0</v>
      </c>
      <c r="Q37" s="4">
        <f t="shared" si="4"/>
        <v>0</v>
      </c>
      <c r="R37" s="4">
        <f t="shared" si="5"/>
        <v>0</v>
      </c>
      <c r="T37" s="4">
        <f t="shared" si="2"/>
        <v>0</v>
      </c>
    </row>
    <row r="38" spans="1:20" x14ac:dyDescent="0.2">
      <c r="A38"/>
      <c r="B38" s="45"/>
      <c r="C38" s="46"/>
      <c r="D38" s="7"/>
      <c r="E38" s="7"/>
      <c r="F38" s="7"/>
      <c r="G38" s="13"/>
      <c r="H38" s="13"/>
      <c r="I38" s="13"/>
      <c r="J38" s="13"/>
      <c r="K38" s="47"/>
      <c r="L38" s="8">
        <f t="shared" si="6"/>
        <v>15158</v>
      </c>
      <c r="M38" s="42"/>
      <c r="N38" s="4">
        <f t="shared" si="0"/>
        <v>0</v>
      </c>
      <c r="O38" s="43">
        <f t="shared" si="1"/>
        <v>0</v>
      </c>
      <c r="Q38" s="4">
        <f t="shared" si="4"/>
        <v>0</v>
      </c>
      <c r="R38" s="4">
        <f t="shared" si="5"/>
        <v>0</v>
      </c>
      <c r="T38" s="4">
        <f t="shared" si="2"/>
        <v>0</v>
      </c>
    </row>
    <row r="39" spans="1:20" x14ac:dyDescent="0.2">
      <c r="A39"/>
      <c r="B39" s="45"/>
      <c r="C39" s="46"/>
      <c r="D39" s="7"/>
      <c r="E39" s="7"/>
      <c r="F39" s="7"/>
      <c r="G39" s="13"/>
      <c r="H39" s="13"/>
      <c r="I39" s="13"/>
      <c r="J39" s="13"/>
      <c r="K39" s="47"/>
      <c r="L39" s="8">
        <f t="shared" si="6"/>
        <v>15158</v>
      </c>
      <c r="M39" s="42"/>
      <c r="N39" s="4">
        <f t="shared" si="0"/>
        <v>0</v>
      </c>
      <c r="O39" s="43">
        <f t="shared" si="1"/>
        <v>0</v>
      </c>
      <c r="Q39" s="4">
        <f t="shared" si="4"/>
        <v>0</v>
      </c>
      <c r="R39" s="4">
        <f t="shared" si="5"/>
        <v>0</v>
      </c>
      <c r="T39" s="4">
        <f t="shared" si="2"/>
        <v>0</v>
      </c>
    </row>
    <row r="40" spans="1:20" x14ac:dyDescent="0.2">
      <c r="A40"/>
      <c r="B40" s="45"/>
      <c r="C40" s="46"/>
      <c r="D40" s="7"/>
      <c r="E40" s="7"/>
      <c r="F40" s="7"/>
      <c r="G40" s="13"/>
      <c r="H40" s="13"/>
      <c r="I40" s="13"/>
      <c r="J40" s="13"/>
      <c r="K40" s="47"/>
      <c r="L40" s="8">
        <f t="shared" si="6"/>
        <v>15158</v>
      </c>
      <c r="M40" s="42"/>
      <c r="N40" s="4">
        <f t="shared" si="0"/>
        <v>0</v>
      </c>
      <c r="O40" s="43">
        <f t="shared" si="1"/>
        <v>0</v>
      </c>
      <c r="Q40" s="4">
        <f t="shared" si="4"/>
        <v>0</v>
      </c>
      <c r="R40" s="4">
        <f t="shared" si="5"/>
        <v>0</v>
      </c>
      <c r="T40" s="4">
        <f t="shared" si="2"/>
        <v>0</v>
      </c>
    </row>
    <row r="41" spans="1:20" x14ac:dyDescent="0.2">
      <c r="A41" s="44"/>
      <c r="B41" s="18"/>
      <c r="C41" s="7"/>
      <c r="E41" s="13"/>
      <c r="F41" s="13"/>
      <c r="G41" s="13"/>
      <c r="H41" s="13"/>
      <c r="I41" s="13"/>
      <c r="J41" s="13"/>
      <c r="K41" s="13"/>
      <c r="L41" s="8">
        <f t="shared" si="6"/>
        <v>15158</v>
      </c>
      <c r="M41" s="42"/>
      <c r="N41" s="4">
        <f t="shared" si="0"/>
        <v>0</v>
      </c>
      <c r="O41" s="43">
        <f t="shared" si="1"/>
        <v>0</v>
      </c>
      <c r="Q41" s="4">
        <f t="shared" si="4"/>
        <v>0</v>
      </c>
      <c r="R41" s="4">
        <f t="shared" si="5"/>
        <v>0</v>
      </c>
      <c r="T41" s="4">
        <f t="shared" si="2"/>
        <v>0</v>
      </c>
    </row>
    <row r="42" spans="1:20" x14ac:dyDescent="0.2">
      <c r="A42" s="44"/>
      <c r="B42" s="49"/>
      <c r="C42" s="7"/>
      <c r="D42" s="18"/>
      <c r="E42" s="13"/>
      <c r="F42" s="13"/>
      <c r="G42" s="13"/>
      <c r="H42" s="13"/>
      <c r="I42" s="13"/>
      <c r="J42" s="13"/>
      <c r="K42" s="13"/>
      <c r="L42" s="8">
        <f t="shared" si="6"/>
        <v>15158</v>
      </c>
      <c r="M42" s="42"/>
      <c r="N42" s="4">
        <f t="shared" si="0"/>
        <v>0</v>
      </c>
      <c r="O42" s="43">
        <f t="shared" si="1"/>
        <v>0</v>
      </c>
      <c r="Q42" s="4">
        <f t="shared" si="4"/>
        <v>0</v>
      </c>
      <c r="R42" s="4">
        <f t="shared" si="5"/>
        <v>0</v>
      </c>
      <c r="T42" s="4">
        <f t="shared" si="2"/>
        <v>0</v>
      </c>
    </row>
    <row r="43" spans="1:20" x14ac:dyDescent="0.2">
      <c r="A43" s="44"/>
      <c r="B43" s="49"/>
      <c r="C43" s="7"/>
      <c r="D43" s="18"/>
      <c r="E43" s="13"/>
      <c r="F43" s="13"/>
      <c r="G43" s="13"/>
      <c r="H43" s="13"/>
      <c r="I43" s="13"/>
      <c r="J43" s="13"/>
      <c r="K43" s="13"/>
      <c r="L43" s="8">
        <f t="shared" si="6"/>
        <v>15158</v>
      </c>
      <c r="M43" s="42"/>
      <c r="N43" s="4">
        <f t="shared" si="0"/>
        <v>0</v>
      </c>
      <c r="O43" s="43">
        <f t="shared" si="1"/>
        <v>0</v>
      </c>
      <c r="Q43" s="4">
        <f t="shared" si="4"/>
        <v>0</v>
      </c>
      <c r="R43" s="4">
        <f t="shared" si="5"/>
        <v>0</v>
      </c>
      <c r="T43" s="4">
        <f t="shared" si="2"/>
        <v>0</v>
      </c>
    </row>
    <row r="44" spans="1:20" x14ac:dyDescent="0.2">
      <c r="A44" s="44"/>
      <c r="B44" s="49"/>
      <c r="C44" s="7"/>
      <c r="D44" s="18"/>
      <c r="E44" s="13"/>
      <c r="F44" s="13"/>
      <c r="G44" s="13"/>
      <c r="H44" s="13"/>
      <c r="I44" s="13"/>
      <c r="J44" s="13"/>
      <c r="K44" s="13"/>
      <c r="L44" s="8">
        <f t="shared" si="6"/>
        <v>15158</v>
      </c>
      <c r="M44" s="42"/>
      <c r="N44" s="4">
        <f t="shared" si="0"/>
        <v>0</v>
      </c>
      <c r="O44" s="43">
        <f t="shared" si="1"/>
        <v>0</v>
      </c>
      <c r="Q44" s="4">
        <f t="shared" si="4"/>
        <v>0</v>
      </c>
      <c r="R44" s="4">
        <f t="shared" si="5"/>
        <v>0</v>
      </c>
      <c r="T44" s="4">
        <f t="shared" si="2"/>
        <v>0</v>
      </c>
    </row>
    <row r="45" spans="1:20" x14ac:dyDescent="0.2">
      <c r="A45" s="44"/>
      <c r="B45" s="49"/>
      <c r="C45" s="7"/>
      <c r="D45" s="18"/>
      <c r="E45" s="13"/>
      <c r="F45" s="13"/>
      <c r="G45" s="13"/>
      <c r="H45" s="13"/>
      <c r="I45" s="13"/>
      <c r="J45" s="13"/>
      <c r="K45" s="13"/>
      <c r="L45" s="8">
        <f t="shared" si="6"/>
        <v>15158</v>
      </c>
      <c r="M45" s="42"/>
      <c r="N45" s="4">
        <f t="shared" si="0"/>
        <v>0</v>
      </c>
      <c r="O45" s="43">
        <f t="shared" si="1"/>
        <v>0</v>
      </c>
      <c r="Q45" s="4">
        <f t="shared" si="4"/>
        <v>0</v>
      </c>
      <c r="R45" s="4">
        <f t="shared" si="5"/>
        <v>0</v>
      </c>
      <c r="T45" s="4">
        <f t="shared" si="2"/>
        <v>0</v>
      </c>
    </row>
    <row r="46" spans="1:20" x14ac:dyDescent="0.2">
      <c r="A46" s="44"/>
      <c r="B46" s="49"/>
      <c r="C46" s="7"/>
      <c r="D46" s="18"/>
      <c r="E46" s="13"/>
      <c r="F46" s="13"/>
      <c r="G46" s="13"/>
      <c r="H46" s="13"/>
      <c r="I46" s="13"/>
      <c r="J46" s="13"/>
      <c r="K46" s="13"/>
      <c r="L46" s="8">
        <f t="shared" si="6"/>
        <v>15158</v>
      </c>
      <c r="M46" s="42"/>
      <c r="N46" s="4">
        <f t="shared" si="0"/>
        <v>0</v>
      </c>
      <c r="O46" s="43">
        <f t="shared" si="1"/>
        <v>0</v>
      </c>
      <c r="Q46" s="4">
        <f t="shared" si="4"/>
        <v>0</v>
      </c>
      <c r="R46" s="4">
        <f t="shared" si="5"/>
        <v>0</v>
      </c>
      <c r="T46" s="4">
        <f t="shared" si="2"/>
        <v>0</v>
      </c>
    </row>
    <row r="47" spans="1:20" x14ac:dyDescent="0.2">
      <c r="A47" s="44"/>
      <c r="B47" s="49"/>
      <c r="C47" s="7"/>
      <c r="D47" s="18"/>
      <c r="E47" s="13"/>
      <c r="F47" s="13"/>
      <c r="G47" s="13"/>
      <c r="H47" s="13"/>
      <c r="I47" s="13"/>
      <c r="J47" s="13"/>
      <c r="K47" s="13"/>
      <c r="L47" s="8">
        <f t="shared" si="6"/>
        <v>15158</v>
      </c>
      <c r="M47" s="42"/>
      <c r="N47" s="4">
        <f t="shared" si="0"/>
        <v>0</v>
      </c>
      <c r="O47" s="43">
        <f t="shared" si="1"/>
        <v>0</v>
      </c>
      <c r="Q47" s="4">
        <f t="shared" si="4"/>
        <v>0</v>
      </c>
      <c r="R47" s="4">
        <f t="shared" si="5"/>
        <v>0</v>
      </c>
      <c r="T47" s="4">
        <f t="shared" si="2"/>
        <v>0</v>
      </c>
    </row>
    <row r="48" spans="1:20" x14ac:dyDescent="0.2">
      <c r="A48" s="44"/>
      <c r="B48" s="49"/>
      <c r="C48" s="7"/>
      <c r="D48" s="18"/>
      <c r="E48" s="13"/>
      <c r="F48" s="13"/>
      <c r="G48" s="13"/>
      <c r="H48" s="13"/>
      <c r="I48" s="13"/>
      <c r="J48" s="13"/>
      <c r="K48" s="13"/>
      <c r="L48" s="8">
        <f t="shared" si="6"/>
        <v>15158</v>
      </c>
      <c r="M48" s="42"/>
      <c r="N48" s="4">
        <f t="shared" si="0"/>
        <v>0</v>
      </c>
      <c r="O48" s="43">
        <f t="shared" si="1"/>
        <v>0</v>
      </c>
      <c r="Q48" s="4">
        <f t="shared" si="4"/>
        <v>0</v>
      </c>
      <c r="R48" s="4">
        <f t="shared" si="5"/>
        <v>0</v>
      </c>
      <c r="T48" s="4">
        <f t="shared" si="2"/>
        <v>0</v>
      </c>
    </row>
    <row r="49" spans="1:18" x14ac:dyDescent="0.2">
      <c r="A49" s="44"/>
      <c r="B49" s="49"/>
      <c r="C49" s="7"/>
      <c r="D49" s="18"/>
      <c r="E49" s="13"/>
      <c r="F49" s="13"/>
      <c r="G49" s="13"/>
      <c r="H49" s="13"/>
      <c r="I49" s="13"/>
      <c r="J49" s="13"/>
      <c r="K49" s="13"/>
      <c r="L49" s="8">
        <f t="shared" si="6"/>
        <v>15158</v>
      </c>
      <c r="M49" s="42"/>
      <c r="N49" s="4">
        <f t="shared" si="0"/>
        <v>0</v>
      </c>
      <c r="O49" s="43">
        <f t="shared" si="1"/>
        <v>0</v>
      </c>
      <c r="Q49" s="4">
        <f t="shared" si="4"/>
        <v>0</v>
      </c>
      <c r="R49" s="4">
        <f t="shared" si="5"/>
        <v>0</v>
      </c>
    </row>
    <row r="50" spans="1:18" x14ac:dyDescent="0.2">
      <c r="A50" s="44"/>
      <c r="B50" s="49"/>
      <c r="C50" s="50"/>
      <c r="D50" s="50"/>
      <c r="E50" s="13"/>
      <c r="F50" s="13"/>
      <c r="G50" s="13"/>
      <c r="H50" s="13"/>
      <c r="I50" s="13"/>
      <c r="J50" s="13"/>
      <c r="K50" s="13"/>
      <c r="L50" s="8">
        <f t="shared" si="6"/>
        <v>15158</v>
      </c>
      <c r="M50" s="42"/>
      <c r="N50" s="4">
        <f t="shared" si="0"/>
        <v>0</v>
      </c>
      <c r="O50" s="43">
        <f t="shared" si="1"/>
        <v>0</v>
      </c>
      <c r="Q50" s="4">
        <f t="shared" si="4"/>
        <v>0</v>
      </c>
      <c r="R50" s="4">
        <f t="shared" si="5"/>
        <v>0</v>
      </c>
    </row>
    <row r="51" spans="1:18" x14ac:dyDescent="0.2">
      <c r="A51" s="44"/>
      <c r="B51" s="49"/>
      <c r="C51" s="50"/>
      <c r="D51" s="50"/>
      <c r="E51" s="13"/>
      <c r="F51" s="13"/>
      <c r="G51" s="13"/>
      <c r="H51" s="13"/>
      <c r="I51" s="13"/>
      <c r="J51" s="13"/>
      <c r="K51" s="13"/>
      <c r="L51" s="8">
        <f>K51+L50</f>
        <v>15158</v>
      </c>
      <c r="M51" s="42"/>
      <c r="N51" s="4">
        <f>K51-M51</f>
        <v>0</v>
      </c>
      <c r="O51" s="43">
        <f>M51+N51</f>
        <v>0</v>
      </c>
      <c r="Q51" s="4">
        <f>K51-M51</f>
        <v>0</v>
      </c>
      <c r="R51" s="4">
        <f>N51-Q51</f>
        <v>0</v>
      </c>
    </row>
    <row r="52" spans="1:18" ht="16" customHeight="1" x14ac:dyDescent="0.2">
      <c r="A52" t="s">
        <v>37</v>
      </c>
      <c r="B52" s="49"/>
      <c r="C52" s="50"/>
      <c r="D52" s="50"/>
      <c r="E52" s="13"/>
      <c r="F52" s="13"/>
      <c r="G52" s="13"/>
      <c r="H52" s="13">
        <v>0</v>
      </c>
      <c r="I52" s="13">
        <v>0</v>
      </c>
      <c r="J52" s="13">
        <v>0</v>
      </c>
      <c r="K52" s="13"/>
      <c r="L52" s="13"/>
      <c r="M52" s="42"/>
      <c r="N52" s="4">
        <f>K52-M52</f>
        <v>0</v>
      </c>
      <c r="O52" s="43">
        <f>M52+N52</f>
        <v>0</v>
      </c>
      <c r="Q52" s="4">
        <f>K52-M52</f>
        <v>0</v>
      </c>
    </row>
    <row r="53" spans="1:18" x14ac:dyDescent="0.2">
      <c r="B53" s="19" t="s">
        <v>35</v>
      </c>
      <c r="D53" s="20">
        <f>SUM(E53:G53)</f>
        <v>0</v>
      </c>
      <c r="E53" s="4">
        <f t="shared" ref="E53:K53" si="7">SUM(E5:E52)</f>
        <v>0</v>
      </c>
      <c r="F53" s="4">
        <f t="shared" si="7"/>
        <v>0</v>
      </c>
      <c r="G53" s="4">
        <f t="shared" si="7"/>
        <v>0</v>
      </c>
      <c r="H53" s="4">
        <f t="shared" si="7"/>
        <v>0</v>
      </c>
      <c r="I53" s="4">
        <f t="shared" si="7"/>
        <v>0</v>
      </c>
      <c r="J53" s="4">
        <f t="shared" si="7"/>
        <v>0</v>
      </c>
      <c r="K53" s="20">
        <f t="shared" si="7"/>
        <v>15158</v>
      </c>
      <c r="M53" s="51">
        <f>SUM(M5:M52)</f>
        <v>15158</v>
      </c>
      <c r="N53" s="52">
        <f>SUM(N5:N52)</f>
        <v>0</v>
      </c>
      <c r="O53" s="53">
        <f>SUM(O5:O52)</f>
        <v>15158</v>
      </c>
      <c r="Q53"/>
    </row>
    <row r="54" spans="1:18" x14ac:dyDescent="0.2">
      <c r="B54" s="19"/>
      <c r="D54" s="20"/>
      <c r="E54" s="4"/>
      <c r="F54" s="20"/>
      <c r="G54" s="4"/>
      <c r="H54" s="4"/>
      <c r="I54" s="4"/>
      <c r="J54" s="4"/>
      <c r="K54" s="20"/>
      <c r="Q54"/>
    </row>
    <row r="55" spans="1:18" x14ac:dyDescent="0.2">
      <c r="C55" s="32" t="s">
        <v>38</v>
      </c>
      <c r="D55" s="30">
        <f>M53</f>
        <v>15158</v>
      </c>
      <c r="Q55"/>
    </row>
    <row r="56" spans="1:18" x14ac:dyDescent="0.2">
      <c r="C56" s="32" t="s">
        <v>23</v>
      </c>
      <c r="D56" s="54"/>
      <c r="Q56"/>
    </row>
    <row r="57" spans="1:18" x14ac:dyDescent="0.2">
      <c r="C57" s="32" t="s">
        <v>24</v>
      </c>
      <c r="D57" s="20">
        <f>SUM(D55:D56)</f>
        <v>15158</v>
      </c>
    </row>
    <row r="59" spans="1:18" x14ac:dyDescent="0.2">
      <c r="A59" s="44"/>
      <c r="B59" s="6"/>
      <c r="C59" s="7"/>
      <c r="D59" s="7"/>
      <c r="E59" s="13"/>
      <c r="F59" s="13"/>
      <c r="G59" s="13"/>
      <c r="H59" s="13"/>
      <c r="I59" s="13"/>
      <c r="J59" s="13"/>
      <c r="K59" s="13"/>
      <c r="L59" s="8"/>
      <c r="R59" s="4"/>
    </row>
  </sheetData>
  <conditionalFormatting sqref="C1">
    <cfRule type="duplicateValues" dxfId="191" priority="16"/>
  </conditionalFormatting>
  <conditionalFormatting sqref="C2">
    <cfRule type="duplicateValues" dxfId="190" priority="17"/>
  </conditionalFormatting>
  <conditionalFormatting sqref="C3">
    <cfRule type="duplicateValues" dxfId="189" priority="9"/>
  </conditionalFormatting>
  <conditionalFormatting sqref="C4:C5">
    <cfRule type="duplicateValues" dxfId="188" priority="14"/>
  </conditionalFormatting>
  <conditionalFormatting sqref="C6 C8:C38">
    <cfRule type="duplicateValues" dxfId="187" priority="21"/>
    <cfRule type="duplicateValues" dxfId="186" priority="22"/>
  </conditionalFormatting>
  <conditionalFormatting sqref="C7">
    <cfRule type="duplicateValues" dxfId="185" priority="1"/>
    <cfRule type="duplicateValues" dxfId="184" priority="2"/>
  </conditionalFormatting>
  <conditionalFormatting sqref="C39:C40">
    <cfRule type="duplicateValues" dxfId="183" priority="5"/>
    <cfRule type="duplicateValues" dxfId="182" priority="6"/>
  </conditionalFormatting>
  <conditionalFormatting sqref="C41:C49">
    <cfRule type="duplicateValues" dxfId="181" priority="20"/>
  </conditionalFormatting>
  <conditionalFormatting sqref="C41:C1048576 C1:C5">
    <cfRule type="duplicateValues" dxfId="180" priority="7"/>
  </conditionalFormatting>
  <conditionalFormatting sqref="C50">
    <cfRule type="duplicateValues" dxfId="179" priority="19"/>
  </conditionalFormatting>
  <conditionalFormatting sqref="C51">
    <cfRule type="duplicateValues" dxfId="178" priority="8"/>
  </conditionalFormatting>
  <conditionalFormatting sqref="C52">
    <cfRule type="duplicateValues" dxfId="177" priority="11"/>
  </conditionalFormatting>
  <conditionalFormatting sqref="C53:C54">
    <cfRule type="duplicateValues" dxfId="176" priority="10"/>
  </conditionalFormatting>
  <conditionalFormatting sqref="C57">
    <cfRule type="duplicateValues" dxfId="175" priority="12"/>
  </conditionalFormatting>
  <conditionalFormatting sqref="C58">
    <cfRule type="duplicateValues" dxfId="174" priority="13"/>
  </conditionalFormatting>
  <conditionalFormatting sqref="C59">
    <cfRule type="duplicateValues" dxfId="173" priority="15"/>
  </conditionalFormatting>
  <conditionalFormatting sqref="C61:C1048576">
    <cfRule type="duplicateValues" dxfId="172" priority="18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T59"/>
  <sheetViews>
    <sheetView workbookViewId="0">
      <selection activeCell="A7" sqref="A7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0" ht="21" x14ac:dyDescent="0.25">
      <c r="A1"/>
      <c r="B1" s="23" t="s">
        <v>20</v>
      </c>
      <c r="C1" s="6"/>
      <c r="D1" s="6"/>
      <c r="E1" s="4"/>
      <c r="L1"/>
      <c r="Q1"/>
    </row>
    <row r="2" spans="1:20" ht="21" x14ac:dyDescent="0.25">
      <c r="A2"/>
      <c r="B2" s="23" t="s">
        <v>45</v>
      </c>
      <c r="C2" s="6"/>
      <c r="D2" s="6"/>
      <c r="E2" s="4"/>
      <c r="L2"/>
      <c r="Q2"/>
    </row>
    <row r="3" spans="1:20" ht="21" x14ac:dyDescent="0.25">
      <c r="B3" s="35" t="s">
        <v>29</v>
      </c>
      <c r="Q3"/>
    </row>
    <row r="4" spans="1:20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0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45" si="0">K5-M5</f>
        <v>0</v>
      </c>
      <c r="O5" s="43">
        <f t="shared" ref="O5:O45" si="1">M5+N5</f>
        <v>0</v>
      </c>
      <c r="Q5" s="4">
        <f>K5-M5</f>
        <v>0</v>
      </c>
      <c r="R5" s="4">
        <f>N5-Q5</f>
        <v>0</v>
      </c>
      <c r="T5" s="4">
        <f t="shared" ref="T5:T43" si="2">K5-S5</f>
        <v>0</v>
      </c>
    </row>
    <row r="6" spans="1:20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0" x14ac:dyDescent="0.2">
      <c r="A7"/>
      <c r="C7" s="46"/>
      <c r="E7" s="7"/>
      <c r="F7" s="7"/>
      <c r="G7" s="13"/>
      <c r="H7" s="13"/>
      <c r="I7" s="13"/>
      <c r="J7" s="13"/>
      <c r="K7" s="47"/>
      <c r="L7" s="8">
        <f>K7+L58</f>
        <v>177100</v>
      </c>
      <c r="M7" s="42"/>
      <c r="N7" s="4">
        <f t="shared" si="0"/>
        <v>0</v>
      </c>
      <c r="O7" s="43">
        <f t="shared" si="1"/>
        <v>0</v>
      </c>
      <c r="Q7" s="4">
        <f t="shared" ref="Q7:Q45" si="3">K7-M7</f>
        <v>0</v>
      </c>
      <c r="R7" s="4">
        <f t="shared" ref="R7:R45" si="4">N7-Q7</f>
        <v>0</v>
      </c>
      <c r="T7" s="4">
        <f t="shared" si="2"/>
        <v>0</v>
      </c>
    </row>
    <row r="8" spans="1:20" x14ac:dyDescent="0.2">
      <c r="A8"/>
      <c r="B8" s="45"/>
      <c r="C8" s="46"/>
      <c r="D8" s="7"/>
      <c r="E8" s="7"/>
      <c r="F8" s="7"/>
      <c r="G8" s="13"/>
      <c r="H8" s="13"/>
      <c r="I8" s="13"/>
      <c r="J8" s="13"/>
      <c r="K8" s="47"/>
      <c r="L8" s="8">
        <f t="shared" ref="L8:L9" si="5">K8+L7</f>
        <v>177100</v>
      </c>
      <c r="M8" s="42"/>
      <c r="N8" s="4">
        <f t="shared" si="0"/>
        <v>0</v>
      </c>
      <c r="O8" s="43">
        <f t="shared" si="1"/>
        <v>0</v>
      </c>
      <c r="Q8" s="4">
        <f t="shared" si="3"/>
        <v>0</v>
      </c>
      <c r="R8" s="4">
        <f t="shared" si="4"/>
        <v>0</v>
      </c>
      <c r="T8" s="4">
        <f t="shared" si="2"/>
        <v>0</v>
      </c>
    </row>
    <row r="9" spans="1:20" s="14" customFormat="1" x14ac:dyDescent="0.2">
      <c r="A9"/>
      <c r="B9" s="45"/>
      <c r="C9" s="46"/>
      <c r="D9" s="7"/>
      <c r="E9" s="7"/>
      <c r="F9" s="7"/>
      <c r="G9" s="13"/>
      <c r="H9" s="13"/>
      <c r="I9" s="13"/>
      <c r="J9" s="13"/>
      <c r="K9" s="47"/>
      <c r="L9" s="8">
        <f t="shared" si="5"/>
        <v>177100</v>
      </c>
      <c r="M9" s="42"/>
      <c r="N9" s="4">
        <f t="shared" si="0"/>
        <v>0</v>
      </c>
      <c r="O9" s="48">
        <f t="shared" si="1"/>
        <v>0</v>
      </c>
      <c r="P9"/>
      <c r="Q9" s="4">
        <f t="shared" si="3"/>
        <v>0</v>
      </c>
      <c r="R9" s="4">
        <f t="shared" si="4"/>
        <v>0</v>
      </c>
      <c r="S9"/>
      <c r="T9" s="4">
        <f t="shared" si="2"/>
        <v>0</v>
      </c>
    </row>
    <row r="10" spans="1:20" ht="16.5" customHeight="1" x14ac:dyDescent="0.2">
      <c r="A10"/>
      <c r="B10" s="45"/>
      <c r="C10" s="46"/>
      <c r="D10" s="7"/>
      <c r="E10" s="7"/>
      <c r="F10" s="7"/>
      <c r="G10" s="13"/>
      <c r="H10" s="13"/>
      <c r="I10" s="13"/>
      <c r="J10" s="13"/>
      <c r="K10" s="47"/>
      <c r="L10" s="8">
        <f t="shared" ref="L10:L45" si="6">K10+L9</f>
        <v>177100</v>
      </c>
      <c r="M10" s="42"/>
      <c r="N10" s="4">
        <f t="shared" si="0"/>
        <v>0</v>
      </c>
      <c r="O10" s="43">
        <f t="shared" si="1"/>
        <v>0</v>
      </c>
      <c r="Q10" s="4">
        <f t="shared" si="3"/>
        <v>0</v>
      </c>
      <c r="R10" s="4">
        <f t="shared" si="4"/>
        <v>0</v>
      </c>
      <c r="T10" s="4">
        <f t="shared" si="2"/>
        <v>0</v>
      </c>
    </row>
    <row r="11" spans="1:20" x14ac:dyDescent="0.2">
      <c r="A11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 t="shared" si="6"/>
        <v>177100</v>
      </c>
      <c r="M11" s="42"/>
      <c r="N11" s="4">
        <f t="shared" si="0"/>
        <v>0</v>
      </c>
      <c r="O11" s="43">
        <f t="shared" si="1"/>
        <v>0</v>
      </c>
      <c r="Q11" s="4">
        <f t="shared" si="3"/>
        <v>0</v>
      </c>
      <c r="R11" s="4">
        <f t="shared" si="4"/>
        <v>0</v>
      </c>
      <c r="T11" s="4">
        <f t="shared" si="2"/>
        <v>0</v>
      </c>
    </row>
    <row r="12" spans="1:20" x14ac:dyDescent="0.2">
      <c r="A12"/>
      <c r="B12" s="45"/>
      <c r="C12" s="46"/>
      <c r="D12" s="7"/>
      <c r="E12" s="7"/>
      <c r="F12" s="7"/>
      <c r="G12" s="13"/>
      <c r="H12" s="13"/>
      <c r="I12" s="13"/>
      <c r="J12" s="13"/>
      <c r="K12" s="47"/>
      <c r="L12" s="8">
        <f t="shared" si="6"/>
        <v>177100</v>
      </c>
      <c r="M12" s="42"/>
      <c r="N12" s="4">
        <f t="shared" si="0"/>
        <v>0</v>
      </c>
      <c r="O12" s="43">
        <f t="shared" si="1"/>
        <v>0</v>
      </c>
      <c r="Q12" s="4">
        <f t="shared" si="3"/>
        <v>0</v>
      </c>
      <c r="R12" s="4">
        <f t="shared" si="4"/>
        <v>0</v>
      </c>
      <c r="T12" s="4">
        <f t="shared" si="2"/>
        <v>0</v>
      </c>
    </row>
    <row r="13" spans="1:20" ht="15" customHeight="1" x14ac:dyDescent="0.2">
      <c r="A13"/>
      <c r="B13" s="45"/>
      <c r="C13" s="46"/>
      <c r="D13" s="7"/>
      <c r="E13" s="7"/>
      <c r="F13" s="7"/>
      <c r="G13" s="13"/>
      <c r="H13" s="13"/>
      <c r="I13" s="13"/>
      <c r="J13" s="13"/>
      <c r="K13" s="47"/>
      <c r="L13" s="8">
        <f t="shared" si="6"/>
        <v>177100</v>
      </c>
      <c r="M13" s="42"/>
      <c r="N13" s="4">
        <f t="shared" si="0"/>
        <v>0</v>
      </c>
      <c r="O13" s="43">
        <f t="shared" si="1"/>
        <v>0</v>
      </c>
      <c r="Q13" s="4">
        <f t="shared" si="3"/>
        <v>0</v>
      </c>
      <c r="R13" s="4">
        <f t="shared" si="4"/>
        <v>0</v>
      </c>
      <c r="T13" s="4">
        <f t="shared" si="2"/>
        <v>0</v>
      </c>
    </row>
    <row r="14" spans="1:20" x14ac:dyDescent="0.2">
      <c r="A14"/>
      <c r="B14" s="45"/>
      <c r="C14" s="46"/>
      <c r="D14" s="7"/>
      <c r="E14" s="7"/>
      <c r="F14" s="7"/>
      <c r="G14" s="13"/>
      <c r="H14" s="13"/>
      <c r="I14" s="13"/>
      <c r="J14" s="13"/>
      <c r="K14" s="47"/>
      <c r="L14" s="8">
        <f t="shared" si="6"/>
        <v>177100</v>
      </c>
      <c r="M14" s="42"/>
      <c r="N14" s="4">
        <f t="shared" si="0"/>
        <v>0</v>
      </c>
      <c r="O14" s="43">
        <f t="shared" si="1"/>
        <v>0</v>
      </c>
      <c r="Q14" s="4">
        <f t="shared" si="3"/>
        <v>0</v>
      </c>
      <c r="R14" s="4">
        <f t="shared" si="4"/>
        <v>0</v>
      </c>
      <c r="T14" s="4">
        <f t="shared" si="2"/>
        <v>0</v>
      </c>
    </row>
    <row r="15" spans="1:20" x14ac:dyDescent="0.2">
      <c r="A15"/>
      <c r="B15" s="45"/>
      <c r="C15" s="46"/>
      <c r="D15" s="7"/>
      <c r="E15" s="7"/>
      <c r="F15" s="7"/>
      <c r="G15" s="13"/>
      <c r="H15" s="13"/>
      <c r="I15" s="13"/>
      <c r="J15" s="13"/>
      <c r="K15" s="47"/>
      <c r="L15" s="8">
        <f t="shared" si="6"/>
        <v>177100</v>
      </c>
      <c r="M15" s="42"/>
      <c r="N15" s="4">
        <f t="shared" si="0"/>
        <v>0</v>
      </c>
      <c r="O15" s="43">
        <f t="shared" si="1"/>
        <v>0</v>
      </c>
      <c r="Q15" s="4">
        <f t="shared" si="3"/>
        <v>0</v>
      </c>
      <c r="R15" s="4">
        <f t="shared" si="4"/>
        <v>0</v>
      </c>
      <c r="T15" s="4">
        <f t="shared" si="2"/>
        <v>0</v>
      </c>
    </row>
    <row r="16" spans="1:20" ht="15" customHeight="1" x14ac:dyDescent="0.2">
      <c r="A16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6"/>
        <v>177100</v>
      </c>
      <c r="M16" s="42"/>
      <c r="N16" s="4">
        <f t="shared" si="0"/>
        <v>0</v>
      </c>
      <c r="O16" s="43">
        <f t="shared" si="1"/>
        <v>0</v>
      </c>
      <c r="Q16" s="4">
        <f t="shared" si="3"/>
        <v>0</v>
      </c>
      <c r="R16" s="4">
        <f t="shared" si="4"/>
        <v>0</v>
      </c>
      <c r="T16" s="4">
        <f t="shared" si="2"/>
        <v>0</v>
      </c>
    </row>
    <row r="17" spans="1:20" x14ac:dyDescent="0.2">
      <c r="A17"/>
      <c r="B17" s="45"/>
      <c r="C17" s="46"/>
      <c r="D17" s="7"/>
      <c r="E17" s="7"/>
      <c r="F17" s="7"/>
      <c r="G17" s="13"/>
      <c r="H17" s="13"/>
      <c r="I17" s="13"/>
      <c r="J17" s="13"/>
      <c r="K17" s="47"/>
      <c r="L17" s="8">
        <f t="shared" si="6"/>
        <v>177100</v>
      </c>
      <c r="M17" s="42"/>
      <c r="N17" s="4">
        <f t="shared" si="0"/>
        <v>0</v>
      </c>
      <c r="O17" s="43">
        <f t="shared" si="1"/>
        <v>0</v>
      </c>
      <c r="Q17" s="4">
        <f t="shared" si="3"/>
        <v>0</v>
      </c>
      <c r="R17" s="4">
        <f t="shared" si="4"/>
        <v>0</v>
      </c>
      <c r="T17" s="4">
        <f t="shared" si="2"/>
        <v>0</v>
      </c>
    </row>
    <row r="18" spans="1:20" x14ac:dyDescent="0.2">
      <c r="A18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6"/>
        <v>177100</v>
      </c>
      <c r="M18" s="42"/>
      <c r="N18" s="4">
        <f t="shared" si="0"/>
        <v>0</v>
      </c>
      <c r="O18" s="43">
        <f t="shared" si="1"/>
        <v>0</v>
      </c>
      <c r="Q18" s="4">
        <f t="shared" si="3"/>
        <v>0</v>
      </c>
      <c r="R18" s="4">
        <f t="shared" si="4"/>
        <v>0</v>
      </c>
      <c r="T18" s="4">
        <f t="shared" si="2"/>
        <v>0</v>
      </c>
    </row>
    <row r="19" spans="1:20" x14ac:dyDescent="0.2">
      <c r="A19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6"/>
        <v>177100</v>
      </c>
      <c r="M19" s="42"/>
      <c r="N19" s="4">
        <f t="shared" si="0"/>
        <v>0</v>
      </c>
      <c r="O19" s="43">
        <f t="shared" si="1"/>
        <v>0</v>
      </c>
      <c r="Q19" s="4">
        <f t="shared" si="3"/>
        <v>0</v>
      </c>
      <c r="R19" s="4">
        <f t="shared" si="4"/>
        <v>0</v>
      </c>
      <c r="T19" s="4">
        <f t="shared" si="2"/>
        <v>0</v>
      </c>
    </row>
    <row r="20" spans="1:20" ht="15" customHeight="1" x14ac:dyDescent="0.2">
      <c r="A20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6"/>
        <v>177100</v>
      </c>
      <c r="M20" s="42"/>
      <c r="N20" s="4">
        <f t="shared" si="0"/>
        <v>0</v>
      </c>
      <c r="O20" s="43">
        <f t="shared" si="1"/>
        <v>0</v>
      </c>
      <c r="Q20" s="4">
        <f t="shared" si="3"/>
        <v>0</v>
      </c>
      <c r="R20" s="4">
        <f t="shared" si="4"/>
        <v>0</v>
      </c>
      <c r="T20" s="4">
        <f t="shared" si="2"/>
        <v>0</v>
      </c>
    </row>
    <row r="21" spans="1:20" ht="15" customHeight="1" x14ac:dyDescent="0.2">
      <c r="A21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si="6"/>
        <v>177100</v>
      </c>
      <c r="M21" s="42"/>
      <c r="N21" s="4">
        <f t="shared" si="0"/>
        <v>0</v>
      </c>
      <c r="O21" s="43">
        <f t="shared" si="1"/>
        <v>0</v>
      </c>
      <c r="Q21" s="4">
        <f t="shared" si="3"/>
        <v>0</v>
      </c>
      <c r="R21" s="4">
        <f t="shared" si="4"/>
        <v>0</v>
      </c>
      <c r="T21" s="4">
        <f t="shared" si="2"/>
        <v>0</v>
      </c>
    </row>
    <row r="22" spans="1:20" x14ac:dyDescent="0.2">
      <c r="A22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6"/>
        <v>177100</v>
      </c>
      <c r="M22" s="42"/>
      <c r="N22" s="4">
        <f t="shared" si="0"/>
        <v>0</v>
      </c>
      <c r="O22" s="43">
        <f t="shared" si="1"/>
        <v>0</v>
      </c>
      <c r="Q22" s="4">
        <f t="shared" si="3"/>
        <v>0</v>
      </c>
      <c r="R22" s="4">
        <f t="shared" si="4"/>
        <v>0</v>
      </c>
      <c r="T22" s="4">
        <f t="shared" si="2"/>
        <v>0</v>
      </c>
    </row>
    <row r="23" spans="1:20" x14ac:dyDescent="0.2">
      <c r="A23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6"/>
        <v>177100</v>
      </c>
      <c r="M23" s="42"/>
      <c r="N23" s="4">
        <f t="shared" si="0"/>
        <v>0</v>
      </c>
      <c r="O23" s="43">
        <f t="shared" si="1"/>
        <v>0</v>
      </c>
      <c r="Q23" s="4">
        <f t="shared" si="3"/>
        <v>0</v>
      </c>
      <c r="R23" s="4">
        <f t="shared" si="4"/>
        <v>0</v>
      </c>
      <c r="T23" s="4">
        <f t="shared" si="2"/>
        <v>0</v>
      </c>
    </row>
    <row r="24" spans="1:20" x14ac:dyDescent="0.2">
      <c r="A2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6"/>
        <v>177100</v>
      </c>
      <c r="M24" s="42"/>
      <c r="N24" s="4">
        <f t="shared" si="0"/>
        <v>0</v>
      </c>
      <c r="O24" s="43">
        <f t="shared" si="1"/>
        <v>0</v>
      </c>
      <c r="Q24" s="4">
        <f t="shared" si="3"/>
        <v>0</v>
      </c>
      <c r="R24" s="4">
        <f t="shared" si="4"/>
        <v>0</v>
      </c>
      <c r="T24" s="4">
        <f t="shared" si="2"/>
        <v>0</v>
      </c>
    </row>
    <row r="25" spans="1:20" x14ac:dyDescent="0.2">
      <c r="A25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6"/>
        <v>177100</v>
      </c>
      <c r="M25" s="42"/>
      <c r="N25" s="4">
        <f t="shared" si="0"/>
        <v>0</v>
      </c>
      <c r="O25" s="43">
        <f t="shared" si="1"/>
        <v>0</v>
      </c>
      <c r="Q25" s="4">
        <f t="shared" si="3"/>
        <v>0</v>
      </c>
      <c r="R25" s="4">
        <f t="shared" si="4"/>
        <v>0</v>
      </c>
      <c r="T25" s="4">
        <f t="shared" si="2"/>
        <v>0</v>
      </c>
    </row>
    <row r="26" spans="1:20" x14ac:dyDescent="0.2">
      <c r="A26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6"/>
        <v>177100</v>
      </c>
      <c r="M26" s="42"/>
      <c r="N26" s="4">
        <f t="shared" si="0"/>
        <v>0</v>
      </c>
      <c r="O26" s="43">
        <f t="shared" si="1"/>
        <v>0</v>
      </c>
      <c r="Q26" s="4">
        <f t="shared" si="3"/>
        <v>0</v>
      </c>
      <c r="R26" s="4">
        <f t="shared" si="4"/>
        <v>0</v>
      </c>
      <c r="T26" s="4">
        <f t="shared" si="2"/>
        <v>0</v>
      </c>
    </row>
    <row r="27" spans="1:20" x14ac:dyDescent="0.2">
      <c r="A27"/>
      <c r="B27" s="45"/>
      <c r="C27" s="46"/>
      <c r="D27" s="7"/>
      <c r="E27" s="7"/>
      <c r="F27" s="7"/>
      <c r="G27" s="13"/>
      <c r="H27" s="13"/>
      <c r="I27" s="13"/>
      <c r="J27" s="13"/>
      <c r="K27" s="47"/>
      <c r="L27" s="8">
        <f t="shared" si="6"/>
        <v>177100</v>
      </c>
      <c r="M27" s="42"/>
      <c r="N27" s="4">
        <f t="shared" si="0"/>
        <v>0</v>
      </c>
      <c r="O27" s="43">
        <f t="shared" si="1"/>
        <v>0</v>
      </c>
      <c r="Q27" s="4">
        <f t="shared" si="3"/>
        <v>0</v>
      </c>
      <c r="R27" s="4">
        <f t="shared" si="4"/>
        <v>0</v>
      </c>
      <c r="T27" s="4">
        <f t="shared" si="2"/>
        <v>0</v>
      </c>
    </row>
    <row r="28" spans="1:20" x14ac:dyDescent="0.2">
      <c r="A28"/>
      <c r="B28" s="45"/>
      <c r="C28" s="46"/>
      <c r="D28" s="7"/>
      <c r="E28" s="7"/>
      <c r="F28" s="7"/>
      <c r="G28" s="13"/>
      <c r="H28" s="13"/>
      <c r="I28" s="13"/>
      <c r="J28" s="13"/>
      <c r="K28" s="47"/>
      <c r="L28" s="8">
        <f t="shared" si="6"/>
        <v>177100</v>
      </c>
      <c r="M28" s="42"/>
      <c r="N28" s="4">
        <f t="shared" si="0"/>
        <v>0</v>
      </c>
      <c r="O28" s="43">
        <f t="shared" si="1"/>
        <v>0</v>
      </c>
      <c r="Q28" s="4">
        <f t="shared" si="3"/>
        <v>0</v>
      </c>
      <c r="R28" s="4">
        <f t="shared" si="4"/>
        <v>0</v>
      </c>
      <c r="T28" s="4">
        <f t="shared" si="2"/>
        <v>0</v>
      </c>
    </row>
    <row r="29" spans="1:20" x14ac:dyDescent="0.2">
      <c r="A29"/>
      <c r="B29" s="45"/>
      <c r="C29" s="46"/>
      <c r="D29" s="7"/>
      <c r="E29" s="7"/>
      <c r="F29" s="7"/>
      <c r="G29" s="13"/>
      <c r="H29" s="13"/>
      <c r="I29" s="13"/>
      <c r="J29" s="13"/>
      <c r="K29" s="47"/>
      <c r="L29" s="8">
        <f t="shared" si="6"/>
        <v>177100</v>
      </c>
      <c r="M29" s="42"/>
      <c r="N29" s="4">
        <f t="shared" si="0"/>
        <v>0</v>
      </c>
      <c r="O29" s="43">
        <f t="shared" si="1"/>
        <v>0</v>
      </c>
      <c r="Q29" s="4">
        <f t="shared" si="3"/>
        <v>0</v>
      </c>
      <c r="R29" s="4">
        <f t="shared" si="4"/>
        <v>0</v>
      </c>
      <c r="T29" s="4">
        <f t="shared" si="2"/>
        <v>0</v>
      </c>
    </row>
    <row r="30" spans="1:20" x14ac:dyDescent="0.2">
      <c r="A30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6"/>
        <v>177100</v>
      </c>
      <c r="M30" s="42"/>
      <c r="N30" s="4">
        <f t="shared" si="0"/>
        <v>0</v>
      </c>
      <c r="O30" s="43">
        <f t="shared" si="1"/>
        <v>0</v>
      </c>
      <c r="Q30" s="4">
        <f t="shared" si="3"/>
        <v>0</v>
      </c>
      <c r="R30" s="4">
        <f t="shared" si="4"/>
        <v>0</v>
      </c>
      <c r="T30" s="4">
        <f t="shared" si="2"/>
        <v>0</v>
      </c>
    </row>
    <row r="31" spans="1:20" x14ac:dyDescent="0.2">
      <c r="A31"/>
      <c r="B31" s="45"/>
      <c r="C31" s="46"/>
      <c r="D31" s="7"/>
      <c r="E31" s="7"/>
      <c r="F31" s="7"/>
      <c r="G31" s="13"/>
      <c r="H31" s="13"/>
      <c r="I31" s="13"/>
      <c r="J31" s="13"/>
      <c r="K31" s="47"/>
      <c r="L31" s="8">
        <f t="shared" si="6"/>
        <v>177100</v>
      </c>
      <c r="M31" s="42"/>
      <c r="N31" s="4">
        <f t="shared" si="0"/>
        <v>0</v>
      </c>
      <c r="O31" s="43">
        <f t="shared" si="1"/>
        <v>0</v>
      </c>
      <c r="Q31" s="4">
        <f t="shared" si="3"/>
        <v>0</v>
      </c>
      <c r="R31" s="4">
        <f t="shared" si="4"/>
        <v>0</v>
      </c>
      <c r="T31" s="4">
        <f t="shared" si="2"/>
        <v>0</v>
      </c>
    </row>
    <row r="32" spans="1:20" x14ac:dyDescent="0.2">
      <c r="A32"/>
      <c r="B32" s="45"/>
      <c r="C32" s="46"/>
      <c r="D32" s="7"/>
      <c r="E32" s="7"/>
      <c r="F32" s="7"/>
      <c r="G32" s="13"/>
      <c r="H32" s="13"/>
      <c r="I32" s="13"/>
      <c r="J32" s="13"/>
      <c r="K32" s="47"/>
      <c r="L32" s="8">
        <f t="shared" si="6"/>
        <v>177100</v>
      </c>
      <c r="M32" s="42"/>
      <c r="N32" s="4">
        <f t="shared" si="0"/>
        <v>0</v>
      </c>
      <c r="O32" s="43">
        <f t="shared" si="1"/>
        <v>0</v>
      </c>
      <c r="Q32" s="4">
        <f t="shared" si="3"/>
        <v>0</v>
      </c>
      <c r="R32" s="4">
        <f t="shared" si="4"/>
        <v>0</v>
      </c>
      <c r="T32" s="4">
        <f t="shared" si="2"/>
        <v>0</v>
      </c>
    </row>
    <row r="33" spans="1:20" x14ac:dyDescent="0.2">
      <c r="A33"/>
      <c r="B33" s="45"/>
      <c r="C33" s="46"/>
      <c r="D33" s="7"/>
      <c r="E33" s="7"/>
      <c r="F33" s="7"/>
      <c r="G33" s="13"/>
      <c r="H33" s="13"/>
      <c r="I33" s="13"/>
      <c r="J33" s="13"/>
      <c r="K33" s="47"/>
      <c r="L33" s="8">
        <f t="shared" si="6"/>
        <v>177100</v>
      </c>
      <c r="M33" s="42"/>
      <c r="N33" s="4">
        <f t="shared" si="0"/>
        <v>0</v>
      </c>
      <c r="O33" s="43">
        <f t="shared" si="1"/>
        <v>0</v>
      </c>
      <c r="Q33" s="4">
        <f t="shared" si="3"/>
        <v>0</v>
      </c>
      <c r="R33" s="4">
        <f t="shared" si="4"/>
        <v>0</v>
      </c>
      <c r="T33" s="4">
        <f t="shared" si="2"/>
        <v>0</v>
      </c>
    </row>
    <row r="34" spans="1:20" x14ac:dyDescent="0.2">
      <c r="A34"/>
      <c r="B34" s="45"/>
      <c r="C34" s="46"/>
      <c r="D34" s="7"/>
      <c r="E34" s="7"/>
      <c r="F34" s="7"/>
      <c r="G34" s="13"/>
      <c r="H34" s="13"/>
      <c r="I34" s="13"/>
      <c r="J34" s="13"/>
      <c r="K34" s="47"/>
      <c r="L34" s="8">
        <f t="shared" si="6"/>
        <v>177100</v>
      </c>
      <c r="M34" s="42"/>
      <c r="N34" s="4">
        <f t="shared" si="0"/>
        <v>0</v>
      </c>
      <c r="O34" s="43">
        <f t="shared" si="1"/>
        <v>0</v>
      </c>
      <c r="Q34" s="4">
        <f t="shared" si="3"/>
        <v>0</v>
      </c>
      <c r="R34" s="4">
        <f t="shared" si="4"/>
        <v>0</v>
      </c>
      <c r="T34" s="4">
        <f t="shared" si="2"/>
        <v>0</v>
      </c>
    </row>
    <row r="35" spans="1:20" x14ac:dyDescent="0.2">
      <c r="A35"/>
      <c r="B35" s="45"/>
      <c r="C35" s="46"/>
      <c r="D35" s="7"/>
      <c r="E35" s="7"/>
      <c r="F35" s="7"/>
      <c r="G35" s="13"/>
      <c r="H35" s="13"/>
      <c r="I35" s="13"/>
      <c r="J35" s="13"/>
      <c r="K35" s="47"/>
      <c r="L35" s="8">
        <f t="shared" si="6"/>
        <v>177100</v>
      </c>
      <c r="M35" s="42"/>
      <c r="N35" s="4">
        <f t="shared" si="0"/>
        <v>0</v>
      </c>
      <c r="O35" s="43">
        <f t="shared" si="1"/>
        <v>0</v>
      </c>
      <c r="Q35" s="4">
        <f t="shared" si="3"/>
        <v>0</v>
      </c>
      <c r="R35" s="4">
        <f t="shared" si="4"/>
        <v>0</v>
      </c>
      <c r="T35" s="4">
        <f t="shared" si="2"/>
        <v>0</v>
      </c>
    </row>
    <row r="36" spans="1:20" x14ac:dyDescent="0.2">
      <c r="A36" s="44"/>
      <c r="B36" s="18"/>
      <c r="C36" s="7"/>
      <c r="E36" s="13"/>
      <c r="F36" s="13"/>
      <c r="G36" s="13"/>
      <c r="H36" s="13"/>
      <c r="I36" s="13"/>
      <c r="J36" s="13"/>
      <c r="K36" s="13"/>
      <c r="L36" s="8">
        <f t="shared" si="6"/>
        <v>177100</v>
      </c>
      <c r="M36" s="42"/>
      <c r="N36" s="4">
        <f t="shared" si="0"/>
        <v>0</v>
      </c>
      <c r="O36" s="43">
        <f t="shared" si="1"/>
        <v>0</v>
      </c>
      <c r="Q36" s="4">
        <f t="shared" si="3"/>
        <v>0</v>
      </c>
      <c r="R36" s="4">
        <f t="shared" si="4"/>
        <v>0</v>
      </c>
      <c r="T36" s="4">
        <f t="shared" si="2"/>
        <v>0</v>
      </c>
    </row>
    <row r="37" spans="1:20" x14ac:dyDescent="0.2">
      <c r="A37" s="44"/>
      <c r="B37" s="49"/>
      <c r="C37" s="7"/>
      <c r="D37" s="18"/>
      <c r="E37" s="13"/>
      <c r="F37" s="13"/>
      <c r="G37" s="13"/>
      <c r="H37" s="13"/>
      <c r="I37" s="13"/>
      <c r="J37" s="13"/>
      <c r="K37" s="13"/>
      <c r="L37" s="8">
        <f t="shared" si="6"/>
        <v>177100</v>
      </c>
      <c r="M37" s="42"/>
      <c r="N37" s="4">
        <f t="shared" si="0"/>
        <v>0</v>
      </c>
      <c r="O37" s="43">
        <f t="shared" si="1"/>
        <v>0</v>
      </c>
      <c r="Q37" s="4">
        <f t="shared" si="3"/>
        <v>0</v>
      </c>
      <c r="R37" s="4">
        <f t="shared" si="4"/>
        <v>0</v>
      </c>
      <c r="T37" s="4">
        <f t="shared" si="2"/>
        <v>0</v>
      </c>
    </row>
    <row r="38" spans="1:20" x14ac:dyDescent="0.2">
      <c r="A38" s="44"/>
      <c r="B38" s="49"/>
      <c r="C38" s="7"/>
      <c r="D38" s="18"/>
      <c r="E38" s="13"/>
      <c r="F38" s="13"/>
      <c r="G38" s="13"/>
      <c r="H38" s="13"/>
      <c r="I38" s="13"/>
      <c r="J38" s="13"/>
      <c r="K38" s="13"/>
      <c r="L38" s="8">
        <f t="shared" si="6"/>
        <v>177100</v>
      </c>
      <c r="M38" s="42"/>
      <c r="N38" s="4">
        <f t="shared" si="0"/>
        <v>0</v>
      </c>
      <c r="O38" s="43">
        <f t="shared" si="1"/>
        <v>0</v>
      </c>
      <c r="Q38" s="4">
        <f t="shared" si="3"/>
        <v>0</v>
      </c>
      <c r="R38" s="4">
        <f t="shared" si="4"/>
        <v>0</v>
      </c>
      <c r="T38" s="4">
        <f t="shared" si="2"/>
        <v>0</v>
      </c>
    </row>
    <row r="39" spans="1:20" x14ac:dyDescent="0.2">
      <c r="A39" s="44"/>
      <c r="B39" s="49"/>
      <c r="C39" s="7"/>
      <c r="D39" s="18"/>
      <c r="E39" s="13"/>
      <c r="F39" s="13"/>
      <c r="G39" s="13"/>
      <c r="H39" s="13"/>
      <c r="I39" s="13"/>
      <c r="J39" s="13"/>
      <c r="K39" s="13"/>
      <c r="L39" s="8">
        <f t="shared" si="6"/>
        <v>177100</v>
      </c>
      <c r="M39" s="42"/>
      <c r="N39" s="4">
        <f t="shared" si="0"/>
        <v>0</v>
      </c>
      <c r="O39" s="43">
        <f t="shared" si="1"/>
        <v>0</v>
      </c>
      <c r="Q39" s="4">
        <f t="shared" si="3"/>
        <v>0</v>
      </c>
      <c r="R39" s="4">
        <f t="shared" si="4"/>
        <v>0</v>
      </c>
      <c r="T39" s="4">
        <f t="shared" si="2"/>
        <v>0</v>
      </c>
    </row>
    <row r="40" spans="1:20" x14ac:dyDescent="0.2">
      <c r="A40" s="44"/>
      <c r="B40" s="49"/>
      <c r="C40" s="7"/>
      <c r="D40" s="18"/>
      <c r="E40" s="13"/>
      <c r="F40" s="13"/>
      <c r="G40" s="13"/>
      <c r="H40" s="13"/>
      <c r="I40" s="13"/>
      <c r="J40" s="13"/>
      <c r="K40" s="13"/>
      <c r="L40" s="8">
        <f t="shared" si="6"/>
        <v>177100</v>
      </c>
      <c r="M40" s="42"/>
      <c r="N40" s="4">
        <f t="shared" si="0"/>
        <v>0</v>
      </c>
      <c r="O40" s="43">
        <f t="shared" si="1"/>
        <v>0</v>
      </c>
      <c r="Q40" s="4">
        <f t="shared" si="3"/>
        <v>0</v>
      </c>
      <c r="R40" s="4">
        <f t="shared" si="4"/>
        <v>0</v>
      </c>
      <c r="T40" s="4">
        <f t="shared" si="2"/>
        <v>0</v>
      </c>
    </row>
    <row r="41" spans="1:20" x14ac:dyDescent="0.2">
      <c r="A41" s="44"/>
      <c r="B41" s="49"/>
      <c r="C41" s="7"/>
      <c r="D41" s="18"/>
      <c r="E41" s="13"/>
      <c r="F41" s="13"/>
      <c r="G41" s="13"/>
      <c r="H41" s="13"/>
      <c r="I41" s="13"/>
      <c r="J41" s="13"/>
      <c r="K41" s="13"/>
      <c r="L41" s="8">
        <f t="shared" si="6"/>
        <v>177100</v>
      </c>
      <c r="M41" s="42"/>
      <c r="N41" s="4">
        <f t="shared" si="0"/>
        <v>0</v>
      </c>
      <c r="O41" s="43">
        <f t="shared" si="1"/>
        <v>0</v>
      </c>
      <c r="Q41" s="4">
        <f t="shared" si="3"/>
        <v>0</v>
      </c>
      <c r="R41" s="4">
        <f t="shared" si="4"/>
        <v>0</v>
      </c>
      <c r="T41" s="4">
        <f t="shared" si="2"/>
        <v>0</v>
      </c>
    </row>
    <row r="42" spans="1:20" x14ac:dyDescent="0.2">
      <c r="A42" s="44"/>
      <c r="B42" s="49"/>
      <c r="C42" s="7"/>
      <c r="D42" s="18"/>
      <c r="E42" s="13"/>
      <c r="F42" s="13"/>
      <c r="G42" s="13"/>
      <c r="H42" s="13"/>
      <c r="I42" s="13"/>
      <c r="J42" s="13"/>
      <c r="K42" s="13"/>
      <c r="L42" s="8">
        <f t="shared" si="6"/>
        <v>177100</v>
      </c>
      <c r="M42" s="42"/>
      <c r="N42" s="4">
        <f t="shared" si="0"/>
        <v>0</v>
      </c>
      <c r="O42" s="43">
        <f t="shared" si="1"/>
        <v>0</v>
      </c>
      <c r="Q42" s="4">
        <f t="shared" si="3"/>
        <v>0</v>
      </c>
      <c r="R42" s="4">
        <f t="shared" si="4"/>
        <v>0</v>
      </c>
      <c r="T42" s="4">
        <f t="shared" si="2"/>
        <v>0</v>
      </c>
    </row>
    <row r="43" spans="1:20" x14ac:dyDescent="0.2">
      <c r="A43" s="44"/>
      <c r="B43" s="49"/>
      <c r="C43" s="7"/>
      <c r="D43" s="18"/>
      <c r="E43" s="13"/>
      <c r="F43" s="13"/>
      <c r="G43" s="13"/>
      <c r="H43" s="13"/>
      <c r="I43" s="13"/>
      <c r="J43" s="13"/>
      <c r="K43" s="13"/>
      <c r="L43" s="8">
        <f t="shared" si="6"/>
        <v>177100</v>
      </c>
      <c r="M43" s="42"/>
      <c r="N43" s="4">
        <f t="shared" si="0"/>
        <v>0</v>
      </c>
      <c r="O43" s="43">
        <f t="shared" si="1"/>
        <v>0</v>
      </c>
      <c r="Q43" s="4">
        <f t="shared" si="3"/>
        <v>0</v>
      </c>
      <c r="R43" s="4">
        <f t="shared" si="4"/>
        <v>0</v>
      </c>
      <c r="T43" s="4">
        <f t="shared" si="2"/>
        <v>0</v>
      </c>
    </row>
    <row r="44" spans="1:20" x14ac:dyDescent="0.2">
      <c r="A44" s="44"/>
      <c r="B44" s="49"/>
      <c r="C44" s="7"/>
      <c r="D44" s="18"/>
      <c r="E44" s="13"/>
      <c r="F44" s="13"/>
      <c r="G44" s="13"/>
      <c r="H44" s="13"/>
      <c r="I44" s="13"/>
      <c r="J44" s="13"/>
      <c r="K44" s="13"/>
      <c r="L44" s="8">
        <f t="shared" si="6"/>
        <v>177100</v>
      </c>
      <c r="M44" s="42"/>
      <c r="N44" s="4">
        <f t="shared" si="0"/>
        <v>0</v>
      </c>
      <c r="O44" s="43">
        <f t="shared" si="1"/>
        <v>0</v>
      </c>
      <c r="Q44" s="4">
        <f t="shared" si="3"/>
        <v>0</v>
      </c>
      <c r="R44" s="4">
        <f t="shared" si="4"/>
        <v>0</v>
      </c>
    </row>
    <row r="45" spans="1:20" x14ac:dyDescent="0.2">
      <c r="A45" s="44"/>
      <c r="B45" s="49"/>
      <c r="C45" s="50"/>
      <c r="D45" s="50"/>
      <c r="E45" s="13"/>
      <c r="F45" s="13"/>
      <c r="G45" s="13"/>
      <c r="H45" s="13"/>
      <c r="I45" s="13"/>
      <c r="J45" s="13"/>
      <c r="K45" s="13"/>
      <c r="L45" s="8">
        <f t="shared" si="6"/>
        <v>177100</v>
      </c>
      <c r="M45" s="42"/>
      <c r="N45" s="4">
        <f t="shared" si="0"/>
        <v>0</v>
      </c>
      <c r="O45" s="43">
        <f t="shared" si="1"/>
        <v>0</v>
      </c>
      <c r="Q45" s="4">
        <f t="shared" si="3"/>
        <v>0</v>
      </c>
      <c r="R45" s="4">
        <f t="shared" si="4"/>
        <v>0</v>
      </c>
    </row>
    <row r="46" spans="1:20" x14ac:dyDescent="0.2">
      <c r="A46" s="44"/>
      <c r="B46" s="49"/>
      <c r="C46" s="50"/>
      <c r="D46" s="50"/>
      <c r="E46" s="13"/>
      <c r="F46" s="13"/>
      <c r="G46" s="13"/>
      <c r="H46" s="13"/>
      <c r="I46" s="13"/>
      <c r="J46" s="13"/>
      <c r="K46" s="13"/>
      <c r="L46" s="8">
        <f>K46+L45</f>
        <v>177100</v>
      </c>
      <c r="M46" s="42"/>
      <c r="N46" s="4">
        <f>K46-M46</f>
        <v>0</v>
      </c>
      <c r="O46" s="43">
        <f>M46+N46</f>
        <v>0</v>
      </c>
      <c r="Q46" s="4">
        <f>K46-M46</f>
        <v>0</v>
      </c>
      <c r="R46" s="4">
        <f>N46-Q46</f>
        <v>0</v>
      </c>
    </row>
    <row r="47" spans="1:20" ht="16" customHeight="1" x14ac:dyDescent="0.2">
      <c r="A47" t="s">
        <v>37</v>
      </c>
      <c r="B47" s="49"/>
      <c r="C47" s="50"/>
      <c r="D47" s="50"/>
      <c r="E47" s="13"/>
      <c r="F47" s="13"/>
      <c r="G47" s="13"/>
      <c r="H47" s="13">
        <v>0</v>
      </c>
      <c r="I47" s="13">
        <v>0</v>
      </c>
      <c r="J47" s="13">
        <v>0</v>
      </c>
      <c r="K47" s="13"/>
      <c r="L47" s="13"/>
      <c r="M47" s="42"/>
      <c r="N47" s="4">
        <f>K47-M47</f>
        <v>0</v>
      </c>
      <c r="O47" s="43">
        <f>M47+N47</f>
        <v>0</v>
      </c>
      <c r="Q47" s="4">
        <f>K47-M47</f>
        <v>0</v>
      </c>
    </row>
    <row r="48" spans="1:20" x14ac:dyDescent="0.2">
      <c r="B48" s="19" t="s">
        <v>35</v>
      </c>
      <c r="D48" s="20">
        <f>SUM(E48:G48)</f>
        <v>0</v>
      </c>
      <c r="E48" s="4">
        <f t="shared" ref="E48:K48" si="7">SUM(E5:E47)</f>
        <v>0</v>
      </c>
      <c r="F48" s="4">
        <f t="shared" si="7"/>
        <v>0</v>
      </c>
      <c r="G48" s="4">
        <f t="shared" si="7"/>
        <v>0</v>
      </c>
      <c r="H48" s="4">
        <f t="shared" si="7"/>
        <v>0</v>
      </c>
      <c r="I48" s="4">
        <f t="shared" si="7"/>
        <v>0</v>
      </c>
      <c r="J48" s="4">
        <f t="shared" si="7"/>
        <v>0</v>
      </c>
      <c r="K48" s="20">
        <f t="shared" si="7"/>
        <v>0</v>
      </c>
      <c r="M48" s="51">
        <f>SUM(M5:M47)</f>
        <v>0</v>
      </c>
      <c r="N48" s="52">
        <f>SUM(N5:N47)</f>
        <v>0</v>
      </c>
      <c r="O48" s="53">
        <f>SUM(O5:O47)</f>
        <v>0</v>
      </c>
      <c r="Q48"/>
    </row>
    <row r="49" spans="1:20" x14ac:dyDescent="0.2">
      <c r="B49" s="19"/>
      <c r="D49" s="20"/>
      <c r="E49" s="4"/>
      <c r="F49" s="20"/>
      <c r="G49" s="4"/>
      <c r="H49" s="4"/>
      <c r="I49" s="4"/>
      <c r="J49" s="4"/>
      <c r="K49" s="20"/>
      <c r="Q49"/>
    </row>
    <row r="50" spans="1:20" x14ac:dyDescent="0.2">
      <c r="C50" s="32" t="s">
        <v>38</v>
      </c>
      <c r="D50" s="30">
        <f>M48</f>
        <v>0</v>
      </c>
      <c r="Q50"/>
    </row>
    <row r="51" spans="1:20" x14ac:dyDescent="0.2">
      <c r="C51" s="32" t="s">
        <v>23</v>
      </c>
      <c r="D51" s="54"/>
      <c r="Q51"/>
    </row>
    <row r="52" spans="1:20" x14ac:dyDescent="0.2">
      <c r="C52" s="32" t="s">
        <v>24</v>
      </c>
      <c r="D52" s="20">
        <f>SUM(D50:D51)</f>
        <v>0</v>
      </c>
    </row>
    <row r="54" spans="1:20" x14ac:dyDescent="0.2">
      <c r="A54" s="44">
        <v>1</v>
      </c>
      <c r="B54" s="45">
        <v>41606</v>
      </c>
      <c r="C54" s="7">
        <v>3327</v>
      </c>
      <c r="D54" s="7" t="s">
        <v>46</v>
      </c>
      <c r="E54" s="7">
        <v>10</v>
      </c>
      <c r="F54" s="7"/>
      <c r="G54" s="13" t="s">
        <v>96</v>
      </c>
      <c r="H54" s="13"/>
      <c r="I54" s="13"/>
      <c r="J54" s="13"/>
      <c r="K54" s="47">
        <v>29900</v>
      </c>
      <c r="L54" s="8">
        <f>K54+L6</f>
        <v>29900</v>
      </c>
      <c r="M54" s="42">
        <v>29900</v>
      </c>
      <c r="N54" s="4">
        <f>K54-M54</f>
        <v>0</v>
      </c>
      <c r="O54" s="43">
        <f>M54+N54</f>
        <v>29900</v>
      </c>
      <c r="Q54" s="4">
        <f>K54-M54</f>
        <v>0</v>
      </c>
      <c r="R54" s="4">
        <f>N54-Q54</f>
        <v>0</v>
      </c>
      <c r="T54" s="4">
        <f>K54-S54</f>
        <v>29900</v>
      </c>
    </row>
    <row r="55" spans="1:20" x14ac:dyDescent="0.2">
      <c r="A55" s="44">
        <v>1</v>
      </c>
      <c r="B55" s="45">
        <v>41606</v>
      </c>
      <c r="C55" s="7">
        <v>3328</v>
      </c>
      <c r="D55" s="7" t="s">
        <v>46</v>
      </c>
      <c r="E55" s="7">
        <v>10</v>
      </c>
      <c r="F55" s="7"/>
      <c r="G55" s="13" t="s">
        <v>97</v>
      </c>
      <c r="H55" s="13"/>
      <c r="I55" s="13"/>
      <c r="J55" s="13"/>
      <c r="K55" s="47">
        <v>29900</v>
      </c>
      <c r="L55" s="8">
        <f>K55+L54</f>
        <v>59800</v>
      </c>
      <c r="M55" s="42">
        <v>29900</v>
      </c>
      <c r="N55" s="4">
        <f>K55-M55</f>
        <v>0</v>
      </c>
      <c r="O55" s="43">
        <f>M55+N55</f>
        <v>29900</v>
      </c>
      <c r="Q55" s="4">
        <f>K55-M55</f>
        <v>0</v>
      </c>
      <c r="R55" s="4">
        <f>N55-Q55</f>
        <v>0</v>
      </c>
      <c r="T55" s="4">
        <f>K55-S55</f>
        <v>29900</v>
      </c>
    </row>
    <row r="56" spans="1:20" x14ac:dyDescent="0.2">
      <c r="A56">
        <v>1</v>
      </c>
      <c r="B56" s="45">
        <v>41612</v>
      </c>
      <c r="C56" s="7">
        <v>3332</v>
      </c>
      <c r="D56" s="7" t="s">
        <v>46</v>
      </c>
      <c r="E56" s="7">
        <v>10</v>
      </c>
      <c r="F56" s="7"/>
      <c r="G56" s="13" t="s">
        <v>98</v>
      </c>
      <c r="H56" s="13"/>
      <c r="I56" s="13"/>
      <c r="J56" s="13"/>
      <c r="K56" s="47">
        <v>29900</v>
      </c>
      <c r="L56" s="8">
        <f>K56+L55</f>
        <v>89700</v>
      </c>
      <c r="M56" s="42">
        <v>29900</v>
      </c>
      <c r="N56" s="4">
        <f>K56-M56</f>
        <v>0</v>
      </c>
      <c r="O56" s="43">
        <f>M56+N56</f>
        <v>29900</v>
      </c>
      <c r="Q56" s="4">
        <f>K56-M56</f>
        <v>0</v>
      </c>
      <c r="R56" s="4">
        <f>N56-Q56</f>
        <v>0</v>
      </c>
      <c r="T56" s="4">
        <f>K56-S56</f>
        <v>29900</v>
      </c>
    </row>
    <row r="57" spans="1:20" x14ac:dyDescent="0.2">
      <c r="A57">
        <v>1</v>
      </c>
      <c r="B57" s="45">
        <v>41612</v>
      </c>
      <c r="C57" s="7">
        <v>3333</v>
      </c>
      <c r="D57" s="7" t="s">
        <v>46</v>
      </c>
      <c r="E57" s="7">
        <v>10</v>
      </c>
      <c r="F57" s="7"/>
      <c r="G57" s="13" t="s">
        <v>99</v>
      </c>
      <c r="H57" s="13"/>
      <c r="I57" s="13"/>
      <c r="J57" s="13"/>
      <c r="K57" s="47">
        <v>29900</v>
      </c>
      <c r="L57" s="8">
        <f>K57+L56</f>
        <v>119600</v>
      </c>
      <c r="M57" s="42">
        <v>29900</v>
      </c>
      <c r="N57" s="4">
        <f>K57-M57</f>
        <v>0</v>
      </c>
      <c r="O57" s="43">
        <f>M57+N57</f>
        <v>29900</v>
      </c>
      <c r="Q57" s="4">
        <f>K57-M57</f>
        <v>0</v>
      </c>
      <c r="R57" s="4">
        <f>N57-Q57</f>
        <v>0</v>
      </c>
      <c r="T57" s="4">
        <f>K57-S57</f>
        <v>29900</v>
      </c>
    </row>
    <row r="58" spans="1:20" x14ac:dyDescent="0.2">
      <c r="A58">
        <v>1</v>
      </c>
      <c r="B58" s="45">
        <v>41613</v>
      </c>
      <c r="C58" s="7">
        <v>3345</v>
      </c>
      <c r="D58" s="7" t="s">
        <v>46</v>
      </c>
      <c r="E58" s="7">
        <v>10</v>
      </c>
      <c r="F58" s="7" t="s">
        <v>51</v>
      </c>
      <c r="G58" s="13" t="s">
        <v>100</v>
      </c>
      <c r="H58" s="13"/>
      <c r="I58" s="13"/>
      <c r="J58" s="13"/>
      <c r="K58" s="47">
        <v>57500</v>
      </c>
      <c r="L58" s="8">
        <f>K58+L57</f>
        <v>177100</v>
      </c>
      <c r="M58" s="42">
        <v>57500</v>
      </c>
      <c r="N58" s="4">
        <f>K58-M58</f>
        <v>0</v>
      </c>
      <c r="O58" s="43">
        <f>M58+N58</f>
        <v>57500</v>
      </c>
      <c r="Q58" s="4">
        <f>K58-M58</f>
        <v>0</v>
      </c>
      <c r="R58" s="4">
        <f>N58-Q58</f>
        <v>0</v>
      </c>
      <c r="T58" s="4">
        <f>K58-S58</f>
        <v>57500</v>
      </c>
    </row>
    <row r="59" spans="1:20" x14ac:dyDescent="0.2">
      <c r="A59" s="44"/>
      <c r="B59" s="6"/>
      <c r="C59" s="7"/>
      <c r="D59" s="7"/>
      <c r="E59" s="13"/>
      <c r="F59" s="13"/>
      <c r="G59" s="13"/>
      <c r="H59" s="13"/>
      <c r="I59" s="13"/>
      <c r="J59" s="13"/>
      <c r="K59" s="13"/>
      <c r="L59" s="8"/>
      <c r="R59" s="4"/>
    </row>
  </sheetData>
  <conditionalFormatting sqref="C1">
    <cfRule type="duplicateValues" dxfId="171" priority="16"/>
  </conditionalFormatting>
  <conditionalFormatting sqref="C2">
    <cfRule type="duplicateValues" dxfId="170" priority="17"/>
  </conditionalFormatting>
  <conditionalFormatting sqref="C3">
    <cfRule type="duplicateValues" dxfId="169" priority="9"/>
  </conditionalFormatting>
  <conditionalFormatting sqref="C4:C5">
    <cfRule type="duplicateValues" dxfId="168" priority="14"/>
  </conditionalFormatting>
  <conditionalFormatting sqref="C6:C33">
    <cfRule type="duplicateValues" dxfId="167" priority="21"/>
    <cfRule type="duplicateValues" dxfId="166" priority="22"/>
  </conditionalFormatting>
  <conditionalFormatting sqref="C34:C35">
    <cfRule type="duplicateValues" dxfId="165" priority="5"/>
    <cfRule type="duplicateValues" dxfId="164" priority="6"/>
  </conditionalFormatting>
  <conditionalFormatting sqref="C36:C44">
    <cfRule type="duplicateValues" dxfId="163" priority="20"/>
  </conditionalFormatting>
  <conditionalFormatting sqref="C36:C53 C1:C5 C59:C1048576">
    <cfRule type="duplicateValues" dxfId="162" priority="7"/>
  </conditionalFormatting>
  <conditionalFormatting sqref="C45">
    <cfRule type="duplicateValues" dxfId="161" priority="19"/>
  </conditionalFormatting>
  <conditionalFormatting sqref="C46">
    <cfRule type="duplicateValues" dxfId="160" priority="8"/>
  </conditionalFormatting>
  <conditionalFormatting sqref="C47">
    <cfRule type="duplicateValues" dxfId="159" priority="11"/>
  </conditionalFormatting>
  <conditionalFormatting sqref="C48:C49">
    <cfRule type="duplicateValues" dxfId="158" priority="10"/>
  </conditionalFormatting>
  <conditionalFormatting sqref="C52">
    <cfRule type="duplicateValues" dxfId="157" priority="12"/>
  </conditionalFormatting>
  <conditionalFormatting sqref="C53">
    <cfRule type="duplicateValues" dxfId="156" priority="13"/>
  </conditionalFormatting>
  <conditionalFormatting sqref="C54:C58">
    <cfRule type="duplicateValues" dxfId="155" priority="1"/>
    <cfRule type="duplicateValues" dxfId="154" priority="2"/>
  </conditionalFormatting>
  <conditionalFormatting sqref="C59">
    <cfRule type="duplicateValues" dxfId="153" priority="15"/>
  </conditionalFormatting>
  <conditionalFormatting sqref="C61:C1048576">
    <cfRule type="duplicateValues" dxfId="152" priority="18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T38"/>
  <sheetViews>
    <sheetView topLeftCell="A2" workbookViewId="0">
      <selection activeCell="P27" sqref="P27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3" width="11.83203125" style="4" customWidth="1"/>
    <col min="14" max="14" width="13" style="4" customWidth="1"/>
    <col min="15" max="15" width="14.83203125" style="4" customWidth="1"/>
    <col min="17" max="17" width="13.33203125" style="4" customWidth="1"/>
    <col min="19" max="19" width="13.1640625" bestFit="1" customWidth="1"/>
  </cols>
  <sheetData>
    <row r="1" spans="1:20" ht="21" x14ac:dyDescent="0.25">
      <c r="A1"/>
      <c r="B1" s="23" t="s">
        <v>20</v>
      </c>
      <c r="C1" s="6"/>
      <c r="D1" s="6"/>
      <c r="E1" s="4"/>
      <c r="L1"/>
      <c r="Q1"/>
    </row>
    <row r="2" spans="1:20" ht="21" x14ac:dyDescent="0.25">
      <c r="A2"/>
      <c r="B2" s="23" t="s">
        <v>50</v>
      </c>
      <c r="C2" s="6"/>
      <c r="D2" s="6"/>
      <c r="E2" s="4"/>
      <c r="L2"/>
      <c r="Q2"/>
    </row>
    <row r="3" spans="1:20" ht="21" x14ac:dyDescent="0.25">
      <c r="B3" s="35" t="s">
        <v>29</v>
      </c>
      <c r="Q3"/>
    </row>
    <row r="4" spans="1:20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0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6" si="0">K5-M5</f>
        <v>0</v>
      </c>
      <c r="O5" s="43">
        <f t="shared" ref="O5:O6" si="1">M5+N5</f>
        <v>0</v>
      </c>
      <c r="Q5" s="4">
        <f>K5-M5</f>
        <v>0</v>
      </c>
      <c r="R5" s="4">
        <f>N5-Q5</f>
        <v>0</v>
      </c>
      <c r="T5" s="4">
        <f t="shared" ref="T5:T6" si="2">K5-S5</f>
        <v>0</v>
      </c>
    </row>
    <row r="6" spans="1:20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0" x14ac:dyDescent="0.2">
      <c r="A7" s="58">
        <v>26</v>
      </c>
      <c r="B7" s="59">
        <v>41648</v>
      </c>
      <c r="C7" s="60">
        <v>17545</v>
      </c>
      <c r="D7" s="60" t="s">
        <v>19</v>
      </c>
      <c r="E7" s="13">
        <v>25546.910000000007</v>
      </c>
      <c r="F7" s="13">
        <v>30985.46</v>
      </c>
      <c r="G7" s="13">
        <v>4400.6500000000005</v>
      </c>
      <c r="H7" s="13">
        <v>0</v>
      </c>
      <c r="I7" s="13">
        <v>0</v>
      </c>
      <c r="J7" s="13">
        <v>0</v>
      </c>
      <c r="K7" s="13">
        <v>60933.020000000011</v>
      </c>
      <c r="L7" s="8">
        <f t="shared" ref="L7:L18" si="3">K7+L6</f>
        <v>60933.020000000011</v>
      </c>
      <c r="M7" s="42">
        <v>4874.6400000000003</v>
      </c>
      <c r="N7" s="4">
        <f t="shared" ref="N7:N11" si="4">K7-M7</f>
        <v>56058.380000000012</v>
      </c>
      <c r="O7" s="43">
        <f t="shared" ref="O7:O11" si="5">M7+N7</f>
        <v>60933.020000000011</v>
      </c>
      <c r="P7" t="s">
        <v>52</v>
      </c>
      <c r="Q7" s="4">
        <f t="shared" ref="Q7:Q11" si="6">K7-M7</f>
        <v>56058.380000000012</v>
      </c>
      <c r="R7" s="4">
        <f t="shared" ref="R7:R11" si="7">N7-Q7</f>
        <v>0</v>
      </c>
      <c r="S7" s="4">
        <f>K7*0.08</f>
        <v>4874.6416000000008</v>
      </c>
      <c r="T7" s="4">
        <f t="shared" ref="T7:T11" si="8">K7-S7</f>
        <v>56058.378400000009</v>
      </c>
    </row>
    <row r="8" spans="1:20" x14ac:dyDescent="0.2">
      <c r="A8" s="65">
        <v>26</v>
      </c>
      <c r="B8" s="66">
        <v>41649</v>
      </c>
      <c r="C8" s="67">
        <v>17592</v>
      </c>
      <c r="D8" s="67" t="s">
        <v>19</v>
      </c>
      <c r="E8" s="13">
        <v>28462.120000000006</v>
      </c>
      <c r="F8" s="13">
        <v>35511.919999999998</v>
      </c>
      <c r="G8" s="13">
        <v>4895.9000000000005</v>
      </c>
      <c r="H8" s="13">
        <v>0</v>
      </c>
      <c r="I8" s="13">
        <v>0</v>
      </c>
      <c r="J8" s="13">
        <v>0</v>
      </c>
      <c r="K8" s="13">
        <v>68869.94</v>
      </c>
      <c r="L8" s="8">
        <f t="shared" si="3"/>
        <v>129802.96000000002</v>
      </c>
      <c r="M8" s="42">
        <v>4820.8999999999996</v>
      </c>
      <c r="N8" s="4">
        <f t="shared" si="4"/>
        <v>64049.04</v>
      </c>
      <c r="O8" s="43">
        <f t="shared" si="5"/>
        <v>68869.94</v>
      </c>
      <c r="P8" t="s">
        <v>53</v>
      </c>
      <c r="Q8" s="4">
        <f t="shared" si="6"/>
        <v>64049.04</v>
      </c>
      <c r="R8" s="4">
        <f t="shared" si="7"/>
        <v>0</v>
      </c>
      <c r="S8" s="4">
        <f>K8*0.07</f>
        <v>4820.8958000000002</v>
      </c>
      <c r="T8" s="4">
        <f t="shared" si="8"/>
        <v>64049.044200000004</v>
      </c>
    </row>
    <row r="9" spans="1:20" x14ac:dyDescent="0.2">
      <c r="A9" s="68">
        <v>26</v>
      </c>
      <c r="B9" s="69">
        <v>41650</v>
      </c>
      <c r="C9" s="70">
        <v>17615</v>
      </c>
      <c r="D9" s="70" t="s">
        <v>19</v>
      </c>
      <c r="E9" s="13">
        <v>36607.729999999996</v>
      </c>
      <c r="F9" s="13">
        <v>33685.919999999998</v>
      </c>
      <c r="G9" s="13">
        <v>5079.8500000000004</v>
      </c>
      <c r="H9" s="13">
        <v>0</v>
      </c>
      <c r="I9" s="13">
        <v>0</v>
      </c>
      <c r="J9" s="13">
        <v>0</v>
      </c>
      <c r="K9" s="13">
        <v>75373.5</v>
      </c>
      <c r="L9" s="8">
        <f t="shared" si="3"/>
        <v>205176.46000000002</v>
      </c>
      <c r="M9" s="42">
        <v>6783.62</v>
      </c>
      <c r="N9" s="4">
        <f t="shared" si="4"/>
        <v>68589.88</v>
      </c>
      <c r="O9" s="43">
        <f t="shared" si="5"/>
        <v>75373.5</v>
      </c>
      <c r="P9" t="s">
        <v>54</v>
      </c>
      <c r="Q9" s="4">
        <f t="shared" si="6"/>
        <v>68589.88</v>
      </c>
      <c r="R9" s="4">
        <f t="shared" si="7"/>
        <v>0</v>
      </c>
      <c r="S9" s="4">
        <f>K9*0.09</f>
        <v>6783.6149999999998</v>
      </c>
      <c r="T9" s="4">
        <f t="shared" si="8"/>
        <v>68589.884999999995</v>
      </c>
    </row>
    <row r="10" spans="1:20" x14ac:dyDescent="0.2">
      <c r="A10" s="71">
        <v>26</v>
      </c>
      <c r="B10" s="72">
        <v>41651</v>
      </c>
      <c r="C10" s="73">
        <v>17638</v>
      </c>
      <c r="D10" s="73" t="s">
        <v>19</v>
      </c>
      <c r="E10" s="13">
        <v>47208.899999999987</v>
      </c>
      <c r="F10" s="13">
        <v>35685.919999999998</v>
      </c>
      <c r="G10" s="13">
        <v>5079.8500000000004</v>
      </c>
      <c r="H10" s="13">
        <v>0</v>
      </c>
      <c r="I10" s="13">
        <v>0</v>
      </c>
      <c r="J10" s="13">
        <v>0</v>
      </c>
      <c r="K10" s="13">
        <v>87974.669999999984</v>
      </c>
      <c r="L10" s="8">
        <f t="shared" si="3"/>
        <v>293151.13</v>
      </c>
      <c r="M10" s="42">
        <v>7037.97</v>
      </c>
      <c r="N10" s="4">
        <f t="shared" si="4"/>
        <v>80936.699999999983</v>
      </c>
      <c r="O10" s="43">
        <f t="shared" si="5"/>
        <v>87974.669999999984</v>
      </c>
      <c r="P10" t="s">
        <v>56</v>
      </c>
      <c r="Q10" s="4">
        <f t="shared" si="6"/>
        <v>80936.699999999983</v>
      </c>
      <c r="R10" s="4">
        <f t="shared" si="7"/>
        <v>0</v>
      </c>
      <c r="S10" s="4">
        <f>K10*0.08</f>
        <v>7037.9735999999984</v>
      </c>
      <c r="T10" s="4">
        <f t="shared" si="8"/>
        <v>80936.696399999986</v>
      </c>
    </row>
    <row r="11" spans="1:20" x14ac:dyDescent="0.2">
      <c r="A11" s="44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 t="shared" si="3"/>
        <v>293151.13</v>
      </c>
      <c r="M11" s="42"/>
      <c r="N11" s="4">
        <f t="shared" si="4"/>
        <v>0</v>
      </c>
      <c r="O11" s="43">
        <f t="shared" si="5"/>
        <v>0</v>
      </c>
      <c r="Q11" s="4">
        <f t="shared" si="6"/>
        <v>0</v>
      </c>
      <c r="R11" s="4">
        <f t="shared" si="7"/>
        <v>0</v>
      </c>
      <c r="T11" s="4">
        <f t="shared" si="8"/>
        <v>0</v>
      </c>
    </row>
    <row r="12" spans="1:20" x14ac:dyDescent="0.2">
      <c r="A12" s="75">
        <v>26</v>
      </c>
      <c r="B12" s="77">
        <v>41652</v>
      </c>
      <c r="C12" s="76">
        <v>17763</v>
      </c>
      <c r="D12" s="76" t="s">
        <v>19</v>
      </c>
      <c r="E12" s="13">
        <v>28705.700000000012</v>
      </c>
      <c r="F12" s="13">
        <v>35109.589999999997</v>
      </c>
      <c r="G12" s="13">
        <v>4910.05</v>
      </c>
      <c r="H12" s="13">
        <v>0</v>
      </c>
      <c r="I12" s="13">
        <v>0</v>
      </c>
      <c r="J12" s="13">
        <v>0</v>
      </c>
      <c r="K12" s="13">
        <v>68725.340000000011</v>
      </c>
      <c r="L12" s="8">
        <f t="shared" si="3"/>
        <v>361876.47000000003</v>
      </c>
      <c r="M12" s="94">
        <v>6185.28</v>
      </c>
      <c r="N12" s="4">
        <f t="shared" ref="N12:N17" si="9">K12-M12</f>
        <v>62540.060000000012</v>
      </c>
      <c r="O12" s="43">
        <f t="shared" ref="O12:O17" si="10">M12+N12</f>
        <v>68725.340000000011</v>
      </c>
      <c r="P12" t="s">
        <v>83</v>
      </c>
      <c r="Q12" s="4">
        <f t="shared" ref="Q12:Q17" si="11">K12-M12</f>
        <v>62540.060000000012</v>
      </c>
      <c r="R12" s="4">
        <f t="shared" ref="R12:R17" si="12">N12-Q12</f>
        <v>0</v>
      </c>
      <c r="S12" s="4">
        <f>K12*0.09</f>
        <v>6185.280600000001</v>
      </c>
      <c r="T12" s="4">
        <f t="shared" ref="T12:T17" si="13">K12-S12</f>
        <v>62540.059400000013</v>
      </c>
    </row>
    <row r="13" spans="1:20" x14ac:dyDescent="0.2">
      <c r="A13" s="78">
        <v>26</v>
      </c>
      <c r="B13" s="80">
        <v>41653</v>
      </c>
      <c r="C13" s="79">
        <v>17804</v>
      </c>
      <c r="D13" s="79" t="s">
        <v>19</v>
      </c>
      <c r="E13" s="13">
        <v>28668.420000000009</v>
      </c>
      <c r="F13" s="13">
        <v>35045.589999999997</v>
      </c>
      <c r="G13" s="13">
        <v>4910.05</v>
      </c>
      <c r="H13" s="13">
        <v>0</v>
      </c>
      <c r="I13" s="13">
        <v>0</v>
      </c>
      <c r="J13" s="13">
        <v>0</v>
      </c>
      <c r="K13" s="13">
        <v>68624.060000000012</v>
      </c>
      <c r="L13" s="8">
        <f t="shared" si="3"/>
        <v>430500.53</v>
      </c>
      <c r="M13" s="42">
        <v>8234.89</v>
      </c>
      <c r="N13" s="4">
        <f t="shared" si="9"/>
        <v>60389.170000000013</v>
      </c>
      <c r="O13" s="43">
        <f t="shared" si="10"/>
        <v>68624.060000000012</v>
      </c>
      <c r="P13" t="s">
        <v>84</v>
      </c>
      <c r="Q13" s="4">
        <f t="shared" si="11"/>
        <v>60389.170000000013</v>
      </c>
      <c r="R13" s="4">
        <f t="shared" si="12"/>
        <v>0</v>
      </c>
      <c r="S13" s="4">
        <f>K13*0.12</f>
        <v>8234.887200000001</v>
      </c>
      <c r="T13" s="4">
        <f t="shared" si="13"/>
        <v>60389.172800000015</v>
      </c>
    </row>
    <row r="14" spans="1:20" x14ac:dyDescent="0.2">
      <c r="A14" s="81">
        <v>26</v>
      </c>
      <c r="B14" s="83">
        <v>41654</v>
      </c>
      <c r="C14" s="82">
        <v>17916</v>
      </c>
      <c r="D14" s="82" t="s">
        <v>19</v>
      </c>
      <c r="E14" s="13">
        <v>28850.180000000011</v>
      </c>
      <c r="F14" s="13">
        <v>36210.589999999997</v>
      </c>
      <c r="G14" s="13">
        <v>4910.05</v>
      </c>
      <c r="H14" s="13">
        <v>0</v>
      </c>
      <c r="I14" s="13">
        <v>0</v>
      </c>
      <c r="J14" s="13">
        <v>0</v>
      </c>
      <c r="K14" s="13">
        <v>69970.820000000007</v>
      </c>
      <c r="L14" s="8">
        <f t="shared" si="3"/>
        <v>500471.35000000003</v>
      </c>
      <c r="M14" s="42">
        <v>9795.91</v>
      </c>
      <c r="N14" s="4">
        <f t="shared" si="9"/>
        <v>60174.91</v>
      </c>
      <c r="O14" s="43">
        <f t="shared" si="10"/>
        <v>69970.820000000007</v>
      </c>
      <c r="P14" t="s">
        <v>85</v>
      </c>
      <c r="Q14" s="4">
        <f t="shared" si="11"/>
        <v>60174.91</v>
      </c>
      <c r="R14" s="4">
        <f t="shared" si="12"/>
        <v>0</v>
      </c>
      <c r="S14" s="4">
        <f>K14*0.14</f>
        <v>9795.9148000000023</v>
      </c>
      <c r="T14" s="4">
        <f t="shared" si="13"/>
        <v>60174.905200000008</v>
      </c>
    </row>
    <row r="15" spans="1:20" x14ac:dyDescent="0.2">
      <c r="A15" s="84">
        <v>26</v>
      </c>
      <c r="B15" s="86">
        <v>41655</v>
      </c>
      <c r="C15" s="85">
        <v>17947</v>
      </c>
      <c r="D15" s="85" t="s">
        <v>19</v>
      </c>
      <c r="E15" s="13">
        <v>29043.810000000012</v>
      </c>
      <c r="F15" s="13">
        <v>36210.589999999997</v>
      </c>
      <c r="G15" s="13">
        <v>4910.05</v>
      </c>
      <c r="H15" s="13">
        <v>0</v>
      </c>
      <c r="I15" s="13">
        <v>0</v>
      </c>
      <c r="J15" s="13">
        <v>0</v>
      </c>
      <c r="K15" s="13">
        <v>70164.450000000012</v>
      </c>
      <c r="L15" s="8">
        <f t="shared" si="3"/>
        <v>570635.80000000005</v>
      </c>
      <c r="M15" s="42">
        <v>9823.0230000000029</v>
      </c>
      <c r="N15" s="4">
        <f t="shared" si="9"/>
        <v>60341.427000000011</v>
      </c>
      <c r="O15" s="43">
        <f t="shared" si="10"/>
        <v>70164.450000000012</v>
      </c>
      <c r="P15" t="s">
        <v>87</v>
      </c>
      <c r="Q15" s="4">
        <f t="shared" si="11"/>
        <v>60341.427000000011</v>
      </c>
      <c r="R15" s="4">
        <f t="shared" si="12"/>
        <v>0</v>
      </c>
      <c r="S15" s="4">
        <f>K15*0.14</f>
        <v>9823.0230000000029</v>
      </c>
      <c r="T15" s="4">
        <f t="shared" si="13"/>
        <v>60341.427000000011</v>
      </c>
    </row>
    <row r="16" spans="1:20" x14ac:dyDescent="0.2">
      <c r="A16" s="84">
        <v>26</v>
      </c>
      <c r="B16" s="86">
        <v>41656</v>
      </c>
      <c r="C16" s="85">
        <v>17982</v>
      </c>
      <c r="D16" s="85" t="s">
        <v>19</v>
      </c>
      <c r="E16" s="13">
        <v>30027.260000000013</v>
      </c>
      <c r="F16" s="13">
        <v>37480.589999999997</v>
      </c>
      <c r="G16" s="13">
        <v>5079.8500000000004</v>
      </c>
      <c r="H16" s="13">
        <v>0</v>
      </c>
      <c r="I16" s="13">
        <v>0</v>
      </c>
      <c r="J16" s="13">
        <v>0</v>
      </c>
      <c r="K16" s="13">
        <v>72587.700000000012</v>
      </c>
      <c r="L16" s="8">
        <f t="shared" si="3"/>
        <v>643223.5</v>
      </c>
      <c r="M16" s="42">
        <v>8710.52</v>
      </c>
      <c r="N16" s="4">
        <f t="shared" si="9"/>
        <v>63877.180000000008</v>
      </c>
      <c r="O16" s="43">
        <f t="shared" si="10"/>
        <v>72587.700000000012</v>
      </c>
      <c r="P16" t="s">
        <v>86</v>
      </c>
      <c r="Q16" s="4">
        <f t="shared" si="11"/>
        <v>63877.180000000008</v>
      </c>
      <c r="R16" s="4">
        <f t="shared" si="12"/>
        <v>0</v>
      </c>
      <c r="S16" s="4">
        <f>K16*0.12</f>
        <v>8710.5240000000013</v>
      </c>
      <c r="T16" s="4">
        <f t="shared" si="13"/>
        <v>63877.176000000007</v>
      </c>
    </row>
    <row r="17" spans="1:20" x14ac:dyDescent="0.2">
      <c r="A17" s="87">
        <v>26</v>
      </c>
      <c r="B17" s="89">
        <v>41657</v>
      </c>
      <c r="C17" s="88">
        <v>18099</v>
      </c>
      <c r="D17" s="88" t="s">
        <v>19</v>
      </c>
      <c r="E17" s="13">
        <v>35739.5</v>
      </c>
      <c r="F17" s="13">
        <v>37480.589999999997</v>
      </c>
      <c r="G17" s="13">
        <v>4910.05</v>
      </c>
      <c r="H17" s="13">
        <v>0</v>
      </c>
      <c r="I17" s="13">
        <v>0</v>
      </c>
      <c r="J17" s="13">
        <v>0</v>
      </c>
      <c r="K17" s="13">
        <v>78130.14</v>
      </c>
      <c r="L17" s="8">
        <f t="shared" si="3"/>
        <v>721353.64</v>
      </c>
      <c r="M17" s="42">
        <v>8594.32</v>
      </c>
      <c r="N17" s="4">
        <f t="shared" si="9"/>
        <v>69535.820000000007</v>
      </c>
      <c r="O17" s="43">
        <f t="shared" si="10"/>
        <v>78130.140000000014</v>
      </c>
      <c r="P17" t="s">
        <v>88</v>
      </c>
      <c r="Q17" s="4">
        <f t="shared" si="11"/>
        <v>69535.820000000007</v>
      </c>
      <c r="R17" s="4">
        <f t="shared" si="12"/>
        <v>0</v>
      </c>
      <c r="S17" s="4">
        <f>K17*0.11</f>
        <v>8594.3153999999995</v>
      </c>
      <c r="T17" s="4">
        <f t="shared" si="13"/>
        <v>69535.824599999993</v>
      </c>
    </row>
    <row r="18" spans="1:20" x14ac:dyDescent="0.2">
      <c r="L18" s="8">
        <f t="shared" si="3"/>
        <v>721353.64</v>
      </c>
      <c r="M18" s="42"/>
      <c r="N18" s="4">
        <f t="shared" ref="N18" si="14">K18-M18</f>
        <v>0</v>
      </c>
      <c r="O18" s="43">
        <f t="shared" ref="O18" si="15">M18+N18</f>
        <v>0</v>
      </c>
      <c r="Q18" s="4">
        <f t="shared" ref="Q18" si="16">K18-M18</f>
        <v>0</v>
      </c>
      <c r="R18" s="4">
        <f t="shared" ref="R18" si="17">N18-Q18</f>
        <v>0</v>
      </c>
      <c r="T18" s="4">
        <f t="shared" ref="T18" si="18">K18-S18</f>
        <v>0</v>
      </c>
    </row>
    <row r="19" spans="1:20" x14ac:dyDescent="0.2">
      <c r="A19" s="90">
        <v>26</v>
      </c>
      <c r="B19" s="93">
        <v>41659</v>
      </c>
      <c r="C19" s="91">
        <v>18213</v>
      </c>
      <c r="D19" s="91" t="s">
        <v>19</v>
      </c>
      <c r="E19" s="13">
        <v>29379.920000000009</v>
      </c>
      <c r="F19" s="13">
        <v>37633.589999999997</v>
      </c>
      <c r="G19" s="13">
        <v>4938.3500000000004</v>
      </c>
      <c r="H19" s="13">
        <v>0</v>
      </c>
      <c r="I19" s="13">
        <v>0</v>
      </c>
      <c r="J19" s="13">
        <v>0</v>
      </c>
      <c r="K19" s="13">
        <v>71951.860000000015</v>
      </c>
      <c r="L19" s="8">
        <f t="shared" ref="L19:L27" si="19">K19+L18</f>
        <v>793305.5</v>
      </c>
      <c r="M19" s="42">
        <v>8634.2199999999993</v>
      </c>
      <c r="N19" s="4">
        <f t="shared" ref="N19:N27" si="20">K19-M19</f>
        <v>63317.640000000014</v>
      </c>
      <c r="O19" s="43">
        <f t="shared" ref="O19:O27" si="21">M19+N19</f>
        <v>71951.860000000015</v>
      </c>
      <c r="P19" t="s">
        <v>113</v>
      </c>
      <c r="Q19" s="4">
        <f t="shared" ref="Q19:Q27" si="22">K19-M19</f>
        <v>63317.640000000014</v>
      </c>
      <c r="R19" s="4">
        <f t="shared" ref="R19:R27" si="23">N19-Q19</f>
        <v>0</v>
      </c>
      <c r="S19" s="4">
        <f>K19*0.12</f>
        <v>8634.2232000000022</v>
      </c>
      <c r="T19" s="4">
        <f t="shared" ref="T19:T27" si="24">K19-S19</f>
        <v>63317.636800000015</v>
      </c>
    </row>
    <row r="20" spans="1:20" x14ac:dyDescent="0.2">
      <c r="A20" s="95">
        <v>26</v>
      </c>
      <c r="B20" s="98">
        <v>41660</v>
      </c>
      <c r="C20" s="96">
        <v>18275</v>
      </c>
      <c r="D20" s="96" t="s">
        <v>19</v>
      </c>
      <c r="E20" s="13">
        <v>30171.560000000012</v>
      </c>
      <c r="F20" s="13">
        <v>37480.589999999997</v>
      </c>
      <c r="G20" s="13">
        <v>5079.8500000000004</v>
      </c>
      <c r="H20" s="13">
        <v>0</v>
      </c>
      <c r="I20" s="13">
        <v>0</v>
      </c>
      <c r="J20" s="13">
        <v>0</v>
      </c>
      <c r="K20" s="13">
        <v>72732.000000000015</v>
      </c>
      <c r="L20" s="8">
        <f t="shared" si="19"/>
        <v>866037.5</v>
      </c>
      <c r="M20" s="42">
        <v>8727.84</v>
      </c>
      <c r="N20" s="4">
        <f t="shared" si="20"/>
        <v>64004.160000000018</v>
      </c>
      <c r="O20" s="43">
        <f t="shared" si="21"/>
        <v>72732.000000000015</v>
      </c>
      <c r="P20" t="s">
        <v>114</v>
      </c>
      <c r="Q20" s="4">
        <f t="shared" si="22"/>
        <v>64004.160000000018</v>
      </c>
      <c r="R20" s="4">
        <f t="shared" si="23"/>
        <v>0</v>
      </c>
      <c r="S20" s="4">
        <f>K20*0.12</f>
        <v>8727.840000000002</v>
      </c>
      <c r="T20" s="4">
        <f t="shared" si="24"/>
        <v>64004.160000000011</v>
      </c>
    </row>
    <row r="21" spans="1:20" x14ac:dyDescent="0.2">
      <c r="A21" s="99">
        <v>26</v>
      </c>
      <c r="B21" s="102">
        <v>41661</v>
      </c>
      <c r="C21" s="100">
        <v>18344</v>
      </c>
      <c r="D21" s="100" t="s">
        <v>19</v>
      </c>
      <c r="E21" s="13">
        <v>29018.690000000013</v>
      </c>
      <c r="F21" s="13">
        <v>37480.589999999997</v>
      </c>
      <c r="G21" s="13">
        <v>4910.05</v>
      </c>
      <c r="H21" s="13">
        <v>0</v>
      </c>
      <c r="I21" s="13">
        <v>0</v>
      </c>
      <c r="J21" s="13">
        <v>0</v>
      </c>
      <c r="K21" s="13">
        <v>71409.330000000016</v>
      </c>
      <c r="L21" s="8">
        <f t="shared" si="19"/>
        <v>937446.83000000007</v>
      </c>
      <c r="M21" s="42">
        <v>7855.03</v>
      </c>
      <c r="N21" s="4">
        <f t="shared" si="20"/>
        <v>63554.300000000017</v>
      </c>
      <c r="O21" s="43">
        <f t="shared" si="21"/>
        <v>71409.330000000016</v>
      </c>
      <c r="P21" t="s">
        <v>115</v>
      </c>
      <c r="Q21" s="4">
        <f t="shared" si="22"/>
        <v>63554.300000000017</v>
      </c>
      <c r="R21" s="4">
        <f t="shared" si="23"/>
        <v>0</v>
      </c>
      <c r="S21" s="4">
        <f>K21*0.11</f>
        <v>7855.0263000000023</v>
      </c>
      <c r="T21" s="4">
        <f t="shared" si="24"/>
        <v>63554.303700000011</v>
      </c>
    </row>
    <row r="22" spans="1:20" x14ac:dyDescent="0.2">
      <c r="A22" s="103">
        <v>26</v>
      </c>
      <c r="B22" s="106">
        <v>41662</v>
      </c>
      <c r="C22" s="104">
        <v>18409</v>
      </c>
      <c r="D22" s="104" t="s">
        <v>19</v>
      </c>
      <c r="E22" s="13">
        <v>29090.840000000015</v>
      </c>
      <c r="F22" s="13">
        <v>37480.589999999997</v>
      </c>
      <c r="G22" s="13">
        <v>4910.05</v>
      </c>
      <c r="H22" s="13">
        <v>0</v>
      </c>
      <c r="I22" s="13">
        <v>0</v>
      </c>
      <c r="J22" s="13">
        <v>0</v>
      </c>
      <c r="K22" s="13">
        <v>71481.48000000001</v>
      </c>
      <c r="L22" s="8">
        <f t="shared" si="19"/>
        <v>1008928.31</v>
      </c>
      <c r="M22" s="42">
        <v>8577.7800000000007</v>
      </c>
      <c r="N22" s="4">
        <f t="shared" si="20"/>
        <v>62903.700000000012</v>
      </c>
      <c r="O22" s="43">
        <f t="shared" si="21"/>
        <v>71481.48000000001</v>
      </c>
      <c r="P22" t="s">
        <v>116</v>
      </c>
      <c r="Q22" s="4">
        <f t="shared" si="22"/>
        <v>62903.700000000012</v>
      </c>
      <c r="R22" s="4">
        <f t="shared" si="23"/>
        <v>0</v>
      </c>
      <c r="S22" s="4">
        <f>K22*0.12</f>
        <v>8577.7776000000013</v>
      </c>
      <c r="T22" s="4">
        <f t="shared" si="24"/>
        <v>62903.702400000009</v>
      </c>
    </row>
    <row r="23" spans="1:20" x14ac:dyDescent="0.2">
      <c r="A23" s="103">
        <v>26</v>
      </c>
      <c r="B23" s="106">
        <v>41663</v>
      </c>
      <c r="C23" s="104">
        <v>18455</v>
      </c>
      <c r="D23" s="104" t="s">
        <v>19</v>
      </c>
      <c r="E23" s="13">
        <v>29018.690000000013</v>
      </c>
      <c r="F23" s="13">
        <v>37734.589999999997</v>
      </c>
      <c r="G23" s="13">
        <v>4910.05</v>
      </c>
      <c r="H23" s="13">
        <v>0</v>
      </c>
      <c r="I23" s="13">
        <v>0</v>
      </c>
      <c r="J23" s="13">
        <v>0</v>
      </c>
      <c r="K23" s="13">
        <v>71663.330000000016</v>
      </c>
      <c r="L23" s="8">
        <f t="shared" si="19"/>
        <v>1080591.6400000001</v>
      </c>
      <c r="M23" s="42">
        <v>8599.6</v>
      </c>
      <c r="N23" s="4">
        <f t="shared" si="20"/>
        <v>63063.730000000018</v>
      </c>
      <c r="O23" s="43">
        <f t="shared" si="21"/>
        <v>71663.330000000016</v>
      </c>
      <c r="P23" t="s">
        <v>117</v>
      </c>
      <c r="Q23" s="4">
        <f t="shared" si="22"/>
        <v>63063.730000000018</v>
      </c>
      <c r="R23" s="4">
        <f t="shared" si="23"/>
        <v>0</v>
      </c>
      <c r="S23" s="4">
        <f>K23*0.12</f>
        <v>8599.5996000000014</v>
      </c>
      <c r="T23" s="4">
        <f t="shared" si="24"/>
        <v>63063.730400000015</v>
      </c>
    </row>
    <row r="24" spans="1:20" x14ac:dyDescent="0.2">
      <c r="A24" s="107">
        <v>26</v>
      </c>
      <c r="B24" s="110">
        <v>41664</v>
      </c>
      <c r="C24" s="108">
        <v>18531</v>
      </c>
      <c r="D24" s="108" t="s">
        <v>19</v>
      </c>
      <c r="E24" s="13">
        <v>34631.119999999995</v>
      </c>
      <c r="F24" s="13">
        <v>37480.589999999997</v>
      </c>
      <c r="G24" s="13">
        <v>4726.1000000000004</v>
      </c>
      <c r="H24" s="13">
        <v>0</v>
      </c>
      <c r="I24" s="13">
        <v>0</v>
      </c>
      <c r="J24" s="13">
        <v>0</v>
      </c>
      <c r="K24" s="13">
        <v>76837.81</v>
      </c>
      <c r="L24" s="8">
        <f t="shared" si="19"/>
        <v>1157429.4500000002</v>
      </c>
      <c r="M24" s="42">
        <v>8452.16</v>
      </c>
      <c r="N24" s="4">
        <f t="shared" si="20"/>
        <v>68385.649999999994</v>
      </c>
      <c r="O24" s="43">
        <f t="shared" si="21"/>
        <v>76837.81</v>
      </c>
      <c r="P24" t="s">
        <v>137</v>
      </c>
      <c r="Q24" s="4">
        <f t="shared" si="22"/>
        <v>68385.649999999994</v>
      </c>
      <c r="R24" s="4">
        <f t="shared" si="23"/>
        <v>0</v>
      </c>
      <c r="S24" s="4">
        <f>K24*0.11</f>
        <v>8452.1590999999989</v>
      </c>
      <c r="T24" s="4">
        <f t="shared" si="24"/>
        <v>68385.650899999993</v>
      </c>
    </row>
    <row r="25" spans="1:20" x14ac:dyDescent="0.2">
      <c r="A25" s="107">
        <v>35</v>
      </c>
      <c r="B25" s="110">
        <v>41664</v>
      </c>
      <c r="C25" s="108">
        <v>18553</v>
      </c>
      <c r="D25" s="108" t="s">
        <v>19</v>
      </c>
      <c r="E25" s="13">
        <v>5806.97</v>
      </c>
      <c r="F25" s="13">
        <v>1135.19</v>
      </c>
      <c r="G25" s="13">
        <v>820.7</v>
      </c>
      <c r="H25" s="13">
        <v>0</v>
      </c>
      <c r="I25" s="13">
        <v>0</v>
      </c>
      <c r="J25" s="13">
        <v>0</v>
      </c>
      <c r="K25" s="13">
        <v>7762.86</v>
      </c>
      <c r="L25" s="8">
        <f t="shared" si="19"/>
        <v>1165192.3100000003</v>
      </c>
      <c r="M25" s="42"/>
      <c r="N25" s="4">
        <f t="shared" si="20"/>
        <v>7762.86</v>
      </c>
      <c r="O25" s="43">
        <f t="shared" si="21"/>
        <v>7762.86</v>
      </c>
      <c r="Q25" s="4">
        <f t="shared" si="22"/>
        <v>7762.86</v>
      </c>
      <c r="R25" s="4">
        <f t="shared" si="23"/>
        <v>0</v>
      </c>
      <c r="T25" s="4">
        <f t="shared" si="24"/>
        <v>7762.86</v>
      </c>
    </row>
    <row r="26" spans="1:20" x14ac:dyDescent="0.2">
      <c r="L26" s="8">
        <f t="shared" si="19"/>
        <v>1165192.3100000003</v>
      </c>
      <c r="M26" s="42"/>
      <c r="N26" s="4">
        <f t="shared" si="20"/>
        <v>0</v>
      </c>
      <c r="O26" s="43">
        <f t="shared" si="21"/>
        <v>0</v>
      </c>
      <c r="Q26" s="4">
        <f t="shared" si="22"/>
        <v>0</v>
      </c>
      <c r="R26" s="4">
        <f t="shared" si="23"/>
        <v>0</v>
      </c>
      <c r="T26" s="4">
        <f t="shared" si="24"/>
        <v>0</v>
      </c>
    </row>
    <row r="27" spans="1:20" x14ac:dyDescent="0.2">
      <c r="L27" s="8">
        <f t="shared" si="19"/>
        <v>1165192.3100000003</v>
      </c>
      <c r="M27" s="42"/>
      <c r="N27" s="4">
        <f t="shared" si="20"/>
        <v>0</v>
      </c>
      <c r="O27" s="43">
        <f t="shared" si="21"/>
        <v>0</v>
      </c>
      <c r="Q27" s="4">
        <f t="shared" si="22"/>
        <v>0</v>
      </c>
      <c r="R27" s="4">
        <f t="shared" si="23"/>
        <v>0</v>
      </c>
      <c r="T27" s="4">
        <f t="shared" si="24"/>
        <v>0</v>
      </c>
    </row>
    <row r="28" spans="1:20" x14ac:dyDescent="0.2">
      <c r="L28" s="8">
        <f t="shared" ref="L28:L30" si="25">K28+L27</f>
        <v>1165192.3100000003</v>
      </c>
      <c r="M28" s="42"/>
      <c r="N28" s="4">
        <f t="shared" ref="N28:N30" si="26">K28-M28</f>
        <v>0</v>
      </c>
      <c r="O28" s="43">
        <f t="shared" ref="O28:O30" si="27">M28+N28</f>
        <v>0</v>
      </c>
      <c r="Q28" s="4">
        <f t="shared" ref="Q28:Q30" si="28">K28-M28</f>
        <v>0</v>
      </c>
      <c r="R28" s="4">
        <f t="shared" ref="R28:R30" si="29">N28-Q28</f>
        <v>0</v>
      </c>
      <c r="T28" s="4">
        <f t="shared" ref="T28:T30" si="30">K28-S28</f>
        <v>0</v>
      </c>
    </row>
    <row r="29" spans="1:20" x14ac:dyDescent="0.2">
      <c r="L29" s="8">
        <f t="shared" si="25"/>
        <v>1165192.3100000003</v>
      </c>
      <c r="M29" s="42"/>
      <c r="N29" s="4">
        <f t="shared" si="26"/>
        <v>0</v>
      </c>
      <c r="O29" s="43">
        <f t="shared" si="27"/>
        <v>0</v>
      </c>
      <c r="Q29" s="4">
        <f t="shared" si="28"/>
        <v>0</v>
      </c>
      <c r="R29" s="4">
        <f t="shared" si="29"/>
        <v>0</v>
      </c>
      <c r="T29" s="4">
        <f t="shared" si="30"/>
        <v>0</v>
      </c>
    </row>
    <row r="30" spans="1:20" x14ac:dyDescent="0.2">
      <c r="A30" s="44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25"/>
        <v>1165192.3100000003</v>
      </c>
      <c r="M30" s="42"/>
      <c r="N30" s="4">
        <f t="shared" si="26"/>
        <v>0</v>
      </c>
      <c r="O30" s="43">
        <f t="shared" si="27"/>
        <v>0</v>
      </c>
      <c r="Q30" s="4">
        <f t="shared" si="28"/>
        <v>0</v>
      </c>
      <c r="R30" s="4">
        <f t="shared" si="29"/>
        <v>0</v>
      </c>
      <c r="T30" s="4">
        <f t="shared" si="30"/>
        <v>0</v>
      </c>
    </row>
    <row r="31" spans="1:20" ht="16" customHeight="1" x14ac:dyDescent="0.2">
      <c r="A31" t="s">
        <v>37</v>
      </c>
      <c r="B31" s="49"/>
      <c r="C31" s="50"/>
      <c r="D31" s="50"/>
      <c r="E31" s="13"/>
      <c r="F31" s="13"/>
      <c r="G31" s="13"/>
      <c r="H31" s="13">
        <v>0</v>
      </c>
      <c r="I31" s="13">
        <v>0</v>
      </c>
      <c r="J31" s="13">
        <v>0</v>
      </c>
      <c r="K31" s="13"/>
      <c r="L31" s="13"/>
      <c r="M31" s="42"/>
      <c r="N31" s="4">
        <f>K31-M31</f>
        <v>0</v>
      </c>
      <c r="O31" s="43">
        <f>M31+N31</f>
        <v>0</v>
      </c>
      <c r="Q31" s="4">
        <f>K31-M31</f>
        <v>0</v>
      </c>
    </row>
    <row r="32" spans="1:20" x14ac:dyDescent="0.2">
      <c r="B32" s="19" t="s">
        <v>35</v>
      </c>
      <c r="D32" s="20">
        <f>SUM(E32:G32)</f>
        <v>1165192.3099999996</v>
      </c>
      <c r="E32" s="4">
        <f t="shared" ref="E32:K32" si="31">SUM(E5:E31)</f>
        <v>505978.32000000007</v>
      </c>
      <c r="F32" s="4">
        <f t="shared" si="31"/>
        <v>579832.48999999964</v>
      </c>
      <c r="G32" s="4">
        <f t="shared" si="31"/>
        <v>79381.500000000015</v>
      </c>
      <c r="H32" s="4">
        <f t="shared" si="31"/>
        <v>0</v>
      </c>
      <c r="I32" s="4">
        <f t="shared" si="31"/>
        <v>0</v>
      </c>
      <c r="J32" s="4">
        <f t="shared" si="31"/>
        <v>0</v>
      </c>
      <c r="K32" s="20">
        <f t="shared" si="31"/>
        <v>1165192.3100000003</v>
      </c>
      <c r="M32" s="51">
        <f>SUM(M5:M31)</f>
        <v>125707.70300000001</v>
      </c>
      <c r="N32" s="52">
        <f>SUM(N5:N31)</f>
        <v>1039484.6070000001</v>
      </c>
      <c r="O32" s="53">
        <f>SUM(O5:O31)</f>
        <v>1165192.3100000003</v>
      </c>
      <c r="Q32"/>
    </row>
    <row r="33" spans="1:18" x14ac:dyDescent="0.2">
      <c r="B33" s="19"/>
      <c r="D33" s="20"/>
      <c r="E33" s="4"/>
      <c r="F33" s="20"/>
      <c r="G33" s="4"/>
      <c r="H33" s="4"/>
      <c r="I33" s="4"/>
      <c r="J33" s="4"/>
      <c r="K33" s="20"/>
      <c r="Q33"/>
    </row>
    <row r="34" spans="1:18" x14ac:dyDescent="0.2">
      <c r="C34" s="32" t="s">
        <v>38</v>
      </c>
      <c r="D34" s="30">
        <f>M32</f>
        <v>125707.70300000001</v>
      </c>
      <c r="Q34"/>
    </row>
    <row r="35" spans="1:18" x14ac:dyDescent="0.2">
      <c r="C35" s="32" t="s">
        <v>23</v>
      </c>
      <c r="D35" s="54"/>
      <c r="Q35"/>
    </row>
    <row r="36" spans="1:18" x14ac:dyDescent="0.2">
      <c r="C36" s="32" t="s">
        <v>24</v>
      </c>
      <c r="D36" s="20">
        <f>SUM(D34:D35)</f>
        <v>125707.70300000001</v>
      </c>
    </row>
    <row r="38" spans="1:18" x14ac:dyDescent="0.2">
      <c r="A38" s="44"/>
      <c r="B38" s="6"/>
      <c r="C38" s="7"/>
      <c r="D38" s="7"/>
      <c r="E38" s="13"/>
      <c r="F38" s="13"/>
      <c r="G38" s="13"/>
      <c r="H38" s="13"/>
      <c r="I38" s="13"/>
      <c r="J38" s="13"/>
      <c r="K38" s="13"/>
      <c r="L38" s="8"/>
      <c r="R38" s="4"/>
    </row>
  </sheetData>
  <conditionalFormatting sqref="C1">
    <cfRule type="duplicateValues" dxfId="151" priority="20"/>
  </conditionalFormatting>
  <conditionalFormatting sqref="C2">
    <cfRule type="duplicateValues" dxfId="150" priority="21"/>
  </conditionalFormatting>
  <conditionalFormatting sqref="C3">
    <cfRule type="duplicateValues" dxfId="149" priority="13"/>
  </conditionalFormatting>
  <conditionalFormatting sqref="C4:C5">
    <cfRule type="duplicateValues" dxfId="148" priority="18"/>
  </conditionalFormatting>
  <conditionalFormatting sqref="C7:C10">
    <cfRule type="duplicateValues" dxfId="147" priority="39"/>
  </conditionalFormatting>
  <conditionalFormatting sqref="C12:C17">
    <cfRule type="duplicateValues" dxfId="146" priority="105"/>
  </conditionalFormatting>
  <conditionalFormatting sqref="C19:C21">
    <cfRule type="duplicateValues" dxfId="145" priority="127"/>
  </conditionalFormatting>
  <conditionalFormatting sqref="C22:C25">
    <cfRule type="duplicateValues" dxfId="144" priority="148"/>
  </conditionalFormatting>
  <conditionalFormatting sqref="C26:C29 C18">
    <cfRule type="duplicateValues" dxfId="143" priority="4"/>
  </conditionalFormatting>
  <conditionalFormatting sqref="C26:C29">
    <cfRule type="duplicateValues" dxfId="142" priority="3"/>
  </conditionalFormatting>
  <conditionalFormatting sqref="C30 C11 C6">
    <cfRule type="duplicateValues" dxfId="141" priority="55"/>
    <cfRule type="duplicateValues" dxfId="140" priority="57"/>
  </conditionalFormatting>
  <conditionalFormatting sqref="C31">
    <cfRule type="duplicateValues" dxfId="139" priority="15"/>
  </conditionalFormatting>
  <conditionalFormatting sqref="C31:C1048576 C1:C5">
    <cfRule type="duplicateValues" dxfId="138" priority="52"/>
  </conditionalFormatting>
  <conditionalFormatting sqref="C32:C33">
    <cfRule type="duplicateValues" dxfId="137" priority="14"/>
  </conditionalFormatting>
  <conditionalFormatting sqref="C36">
    <cfRule type="duplicateValues" dxfId="136" priority="16"/>
  </conditionalFormatting>
  <conditionalFormatting sqref="C37">
    <cfRule type="duplicateValues" dxfId="135" priority="17"/>
  </conditionalFormatting>
  <conditionalFormatting sqref="C38">
    <cfRule type="duplicateValues" dxfId="134" priority="19"/>
  </conditionalFormatting>
  <conditionalFormatting sqref="C40:C1048576">
    <cfRule type="duplicateValues" dxfId="133" priority="22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000"/>
    <pageSetUpPr fitToPage="1"/>
  </sheetPr>
  <dimension ref="A1:U20"/>
  <sheetViews>
    <sheetView topLeftCell="A2" workbookViewId="0">
      <selection activeCell="U35" sqref="U35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89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12" si="0">K5-M5</f>
        <v>0</v>
      </c>
      <c r="O5" s="43">
        <f t="shared" ref="O5:O12" si="1">M5+N5</f>
        <v>0</v>
      </c>
      <c r="Q5" s="4">
        <f>K5-M5</f>
        <v>0</v>
      </c>
      <c r="R5" s="4">
        <f>N5-Q5</f>
        <v>0</v>
      </c>
      <c r="T5" s="4">
        <f t="shared" ref="T5:T12" si="2"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1" x14ac:dyDescent="0.2">
      <c r="A7" s="58">
        <v>7</v>
      </c>
      <c r="B7" s="59">
        <v>41648</v>
      </c>
      <c r="C7" s="60">
        <v>17549</v>
      </c>
      <c r="D7" s="60" t="s">
        <v>19</v>
      </c>
      <c r="E7" s="61">
        <v>5162.1499999999996</v>
      </c>
      <c r="F7" s="61">
        <v>421</v>
      </c>
      <c r="G7" s="61">
        <v>820.7</v>
      </c>
      <c r="H7" s="61">
        <v>0</v>
      </c>
      <c r="I7" s="61">
        <v>0</v>
      </c>
      <c r="J7" s="61">
        <v>0</v>
      </c>
      <c r="K7" s="61">
        <v>6403.8499999999995</v>
      </c>
      <c r="L7" s="8">
        <f t="shared" ref="L7:L9" si="3">K7+L6</f>
        <v>6403.8499999999995</v>
      </c>
      <c r="M7" s="42">
        <v>512.30999999999995</v>
      </c>
      <c r="N7" s="4">
        <f>K7-M7</f>
        <v>5891.5399999999991</v>
      </c>
      <c r="O7" s="43">
        <f>M7+N7</f>
        <v>6403.8499999999985</v>
      </c>
      <c r="P7" t="s">
        <v>66</v>
      </c>
      <c r="Q7" s="4">
        <f>K7-M7</f>
        <v>5891.5399999999991</v>
      </c>
      <c r="R7" s="4">
        <f>N7-Q7</f>
        <v>0</v>
      </c>
      <c r="S7" s="4">
        <f>K7*0.08</f>
        <v>512.30799999999999</v>
      </c>
      <c r="T7" s="4">
        <f>K7-S7</f>
        <v>5891.5419999999995</v>
      </c>
      <c r="U7" t="s">
        <v>67</v>
      </c>
    </row>
    <row r="8" spans="1:21" x14ac:dyDescent="0.2">
      <c r="A8" s="58"/>
      <c r="B8" s="59"/>
      <c r="C8" s="60"/>
      <c r="D8" s="60"/>
      <c r="E8" s="13"/>
      <c r="F8" s="13"/>
      <c r="G8" s="13"/>
      <c r="H8" s="13"/>
      <c r="I8" s="13"/>
      <c r="J8" s="13"/>
      <c r="K8" s="13"/>
      <c r="L8" s="8">
        <f t="shared" si="3"/>
        <v>6403.8499999999995</v>
      </c>
      <c r="M8" s="42"/>
      <c r="N8" s="4">
        <f t="shared" si="0"/>
        <v>0</v>
      </c>
      <c r="O8" s="43">
        <f t="shared" si="1"/>
        <v>0</v>
      </c>
      <c r="Q8" s="4">
        <f t="shared" ref="Q8:Q12" si="4">K8-M8</f>
        <v>0</v>
      </c>
      <c r="R8" s="4">
        <f t="shared" ref="R8:R12" si="5">N8-Q8</f>
        <v>0</v>
      </c>
      <c r="S8" s="4">
        <f>K8*0.08</f>
        <v>0</v>
      </c>
      <c r="T8" s="4">
        <f t="shared" si="2"/>
        <v>0</v>
      </c>
    </row>
    <row r="9" spans="1:21" ht="14.25" customHeight="1" x14ac:dyDescent="0.2">
      <c r="A9" s="95">
        <v>19</v>
      </c>
      <c r="B9" s="98">
        <v>41660</v>
      </c>
      <c r="C9" s="96">
        <v>18272</v>
      </c>
      <c r="D9" s="96" t="s">
        <v>19</v>
      </c>
      <c r="E9" s="13">
        <v>6679.8400000000011</v>
      </c>
      <c r="F9" s="13">
        <v>1928</v>
      </c>
      <c r="G9" s="13">
        <v>1358.4</v>
      </c>
      <c r="H9" s="13">
        <v>0</v>
      </c>
      <c r="I9" s="13">
        <v>0</v>
      </c>
      <c r="J9" s="13">
        <v>0</v>
      </c>
      <c r="K9" s="13">
        <v>9966.24</v>
      </c>
      <c r="L9" s="8">
        <f t="shared" si="3"/>
        <v>16370.09</v>
      </c>
      <c r="M9" s="42">
        <v>199.32</v>
      </c>
      <c r="N9" s="4">
        <f t="shared" ref="N9:N11" si="6">K9-M9</f>
        <v>9766.92</v>
      </c>
      <c r="O9" s="43">
        <f t="shared" ref="O9:O11" si="7">M9+N9</f>
        <v>9966.24</v>
      </c>
      <c r="P9" t="s">
        <v>118</v>
      </c>
      <c r="Q9" s="4">
        <f t="shared" ref="Q9:Q11" si="8">K9-M9</f>
        <v>9766.92</v>
      </c>
      <c r="R9" s="4">
        <f t="shared" ref="R9:R11" si="9">N9-Q9</f>
        <v>0</v>
      </c>
      <c r="S9" s="4">
        <f>K9*0.02</f>
        <v>199.32480000000001</v>
      </c>
      <c r="T9" s="4">
        <f t="shared" ref="T9:T11" si="10">K9-S9</f>
        <v>9766.9151999999995</v>
      </c>
    </row>
    <row r="10" spans="1:21" x14ac:dyDescent="0.2">
      <c r="A10" s="65"/>
      <c r="B10" s="66"/>
      <c r="C10" s="67"/>
      <c r="D10" s="67"/>
      <c r="E10" s="13"/>
      <c r="F10" s="13"/>
      <c r="G10" s="13"/>
      <c r="H10" s="13"/>
      <c r="I10" s="13"/>
      <c r="J10" s="13"/>
      <c r="K10" s="13"/>
      <c r="L10" s="8">
        <f>K10+L8</f>
        <v>6403.8499999999995</v>
      </c>
      <c r="M10" s="42"/>
      <c r="N10" s="4">
        <f t="shared" si="6"/>
        <v>0</v>
      </c>
      <c r="O10" s="43">
        <f t="shared" si="7"/>
        <v>0</v>
      </c>
      <c r="Q10" s="4">
        <f t="shared" si="8"/>
        <v>0</v>
      </c>
      <c r="R10" s="4">
        <f t="shared" si="9"/>
        <v>0</v>
      </c>
      <c r="S10" s="4">
        <f t="shared" ref="S10" si="11">K10*0.08</f>
        <v>0</v>
      </c>
      <c r="T10" s="4">
        <f t="shared" si="10"/>
        <v>0</v>
      </c>
    </row>
    <row r="11" spans="1:21" x14ac:dyDescent="0.2">
      <c r="A11" s="103">
        <v>2</v>
      </c>
      <c r="B11" s="106">
        <v>41663</v>
      </c>
      <c r="C11" s="104">
        <v>18444</v>
      </c>
      <c r="D11" s="104" t="s">
        <v>19</v>
      </c>
      <c r="E11" s="105">
        <v>16786.490000000002</v>
      </c>
      <c r="F11" s="105">
        <v>8516</v>
      </c>
      <c r="G11" s="105">
        <v>3042.25</v>
      </c>
      <c r="H11" s="105">
        <v>0</v>
      </c>
      <c r="I11" s="105">
        <v>0</v>
      </c>
      <c r="J11" s="105">
        <v>0</v>
      </c>
      <c r="K11" s="105">
        <v>28344.74</v>
      </c>
      <c r="L11" s="8">
        <f t="shared" ref="L11" si="12">K11+L10</f>
        <v>34748.590000000004</v>
      </c>
      <c r="M11" s="42">
        <v>566.89</v>
      </c>
      <c r="N11" s="4">
        <f t="shared" si="6"/>
        <v>27777.850000000002</v>
      </c>
      <c r="O11" s="43">
        <f t="shared" si="7"/>
        <v>28344.74</v>
      </c>
      <c r="P11" t="s">
        <v>119</v>
      </c>
      <c r="Q11" s="4">
        <f t="shared" si="8"/>
        <v>27777.850000000002</v>
      </c>
      <c r="R11" s="4">
        <f t="shared" si="9"/>
        <v>0</v>
      </c>
      <c r="S11" s="4">
        <f>K11*0.02</f>
        <v>566.89480000000003</v>
      </c>
      <c r="T11" s="4">
        <f t="shared" si="10"/>
        <v>27777.845200000003</v>
      </c>
    </row>
    <row r="12" spans="1:21" x14ac:dyDescent="0.2">
      <c r="A12" s="68"/>
      <c r="B12" s="69"/>
      <c r="C12" s="70"/>
      <c r="D12" s="70"/>
      <c r="E12" s="13"/>
      <c r="F12" s="13"/>
      <c r="G12" s="13"/>
      <c r="H12" s="13"/>
      <c r="I12" s="13"/>
      <c r="J12" s="13"/>
      <c r="K12" s="13"/>
      <c r="L12" s="8">
        <f>K12+L10</f>
        <v>6403.8499999999995</v>
      </c>
      <c r="M12" s="42"/>
      <c r="N12" s="4">
        <f t="shared" si="0"/>
        <v>0</v>
      </c>
      <c r="O12" s="43">
        <f t="shared" si="1"/>
        <v>0</v>
      </c>
      <c r="Q12" s="4">
        <f t="shared" si="4"/>
        <v>0</v>
      </c>
      <c r="R12" s="4">
        <f t="shared" si="5"/>
        <v>0</v>
      </c>
      <c r="S12" s="4">
        <f>K12*0.09</f>
        <v>0</v>
      </c>
      <c r="T12" s="4">
        <f t="shared" si="2"/>
        <v>0</v>
      </c>
    </row>
    <row r="13" spans="1:21" ht="16" customHeight="1" x14ac:dyDescent="0.2">
      <c r="A13" t="s">
        <v>37</v>
      </c>
      <c r="B13" s="49"/>
      <c r="C13" s="50"/>
      <c r="D13" s="50"/>
      <c r="E13" s="13"/>
      <c r="F13" s="13"/>
      <c r="G13" s="13"/>
      <c r="H13" s="13">
        <v>0</v>
      </c>
      <c r="I13" s="13">
        <v>0</v>
      </c>
      <c r="J13" s="13">
        <v>0</v>
      </c>
      <c r="K13" s="13"/>
      <c r="L13" s="13"/>
      <c r="M13" s="42"/>
      <c r="N13" s="4">
        <f>K13-M13</f>
        <v>0</v>
      </c>
      <c r="O13" s="43">
        <f>M13+N13</f>
        <v>0</v>
      </c>
      <c r="Q13" s="4">
        <f>K13-M13</f>
        <v>0</v>
      </c>
    </row>
    <row r="14" spans="1:21" x14ac:dyDescent="0.2">
      <c r="B14" s="19" t="s">
        <v>35</v>
      </c>
      <c r="D14" s="20">
        <f>SUM(E14:G14)</f>
        <v>44714.83</v>
      </c>
      <c r="E14" s="4">
        <f t="shared" ref="E14:K14" si="13">SUM(E5:E13)</f>
        <v>28628.480000000003</v>
      </c>
      <c r="F14" s="4">
        <f t="shared" si="13"/>
        <v>10865</v>
      </c>
      <c r="G14" s="4">
        <f t="shared" si="13"/>
        <v>5221.3500000000004</v>
      </c>
      <c r="H14" s="4">
        <f t="shared" si="13"/>
        <v>0</v>
      </c>
      <c r="I14" s="4">
        <f t="shared" si="13"/>
        <v>0</v>
      </c>
      <c r="J14" s="4">
        <f t="shared" si="13"/>
        <v>0</v>
      </c>
      <c r="K14" s="20">
        <f t="shared" si="13"/>
        <v>44714.83</v>
      </c>
      <c r="M14" s="51">
        <f>SUM(M5:M13)</f>
        <v>1278.52</v>
      </c>
      <c r="N14" s="52">
        <f>SUM(N5:N13)</f>
        <v>43436.31</v>
      </c>
      <c r="O14" s="53">
        <f>SUM(O5:O13)</f>
        <v>44714.83</v>
      </c>
      <c r="Q14"/>
    </row>
    <row r="15" spans="1:21" x14ac:dyDescent="0.2">
      <c r="B15" s="19"/>
      <c r="D15" s="20"/>
      <c r="E15" s="4"/>
      <c r="F15" s="20"/>
      <c r="G15" s="4"/>
      <c r="H15" s="4"/>
      <c r="I15" s="4"/>
      <c r="J15" s="4"/>
      <c r="K15" s="20"/>
      <c r="Q15"/>
    </row>
    <row r="16" spans="1:21" x14ac:dyDescent="0.2">
      <c r="C16" s="32" t="s">
        <v>38</v>
      </c>
      <c r="D16" s="30">
        <f>M14</f>
        <v>1278.52</v>
      </c>
      <c r="Q16"/>
    </row>
    <row r="17" spans="1:18" x14ac:dyDescent="0.2">
      <c r="C17" s="32" t="s">
        <v>23</v>
      </c>
      <c r="D17" s="54"/>
      <c r="Q17"/>
    </row>
    <row r="18" spans="1:18" x14ac:dyDescent="0.2">
      <c r="C18" s="32" t="s">
        <v>24</v>
      </c>
      <c r="D18" s="20">
        <f>SUM(D16:D17)</f>
        <v>1278.52</v>
      </c>
    </row>
    <row r="20" spans="1:18" x14ac:dyDescent="0.2">
      <c r="A20" s="44"/>
      <c r="B20" s="6"/>
      <c r="C20" s="7"/>
      <c r="D20" s="7"/>
      <c r="E20" s="13"/>
      <c r="F20" s="13"/>
      <c r="G20" s="13"/>
      <c r="H20" s="13"/>
      <c r="I20" s="13"/>
      <c r="J20" s="13"/>
      <c r="K20" s="13"/>
      <c r="L20" s="8"/>
      <c r="R20" s="4"/>
    </row>
  </sheetData>
  <conditionalFormatting sqref="C1">
    <cfRule type="duplicateValues" dxfId="132" priority="11"/>
  </conditionalFormatting>
  <conditionalFormatting sqref="C2">
    <cfRule type="duplicateValues" dxfId="131" priority="12"/>
  </conditionalFormatting>
  <conditionalFormatting sqref="C3">
    <cfRule type="duplicateValues" dxfId="130" priority="4"/>
  </conditionalFormatting>
  <conditionalFormatting sqref="C4:C5">
    <cfRule type="duplicateValues" dxfId="129" priority="9"/>
  </conditionalFormatting>
  <conditionalFormatting sqref="C6">
    <cfRule type="duplicateValues" dxfId="128" priority="106"/>
    <cfRule type="duplicateValues" dxfId="127" priority="107"/>
  </conditionalFormatting>
  <conditionalFormatting sqref="C7">
    <cfRule type="duplicateValues" dxfId="126" priority="3"/>
  </conditionalFormatting>
  <conditionalFormatting sqref="C8 C10 C12">
    <cfRule type="duplicateValues" dxfId="125" priority="104"/>
  </conditionalFormatting>
  <conditionalFormatting sqref="C9">
    <cfRule type="duplicateValues" dxfId="124" priority="2"/>
  </conditionalFormatting>
  <conditionalFormatting sqref="C11">
    <cfRule type="duplicateValues" dxfId="123" priority="1"/>
  </conditionalFormatting>
  <conditionalFormatting sqref="C13">
    <cfRule type="duplicateValues" dxfId="122" priority="6"/>
  </conditionalFormatting>
  <conditionalFormatting sqref="C13:C1048576 C1:C5">
    <cfRule type="duplicateValues" dxfId="121" priority="15"/>
  </conditionalFormatting>
  <conditionalFormatting sqref="C14:C15">
    <cfRule type="duplicateValues" dxfId="120" priority="5"/>
  </conditionalFormatting>
  <conditionalFormatting sqref="C18">
    <cfRule type="duplicateValues" dxfId="119" priority="7"/>
  </conditionalFormatting>
  <conditionalFormatting sqref="C19">
    <cfRule type="duplicateValues" dxfId="118" priority="8"/>
  </conditionalFormatting>
  <conditionalFormatting sqref="C20">
    <cfRule type="duplicateValues" dxfId="117" priority="10"/>
  </conditionalFormatting>
  <conditionalFormatting sqref="C22:C1048576">
    <cfRule type="duplicateValues" dxfId="116" priority="13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66FF"/>
    <pageSetUpPr fitToPage="1"/>
  </sheetPr>
  <dimension ref="A1:U31"/>
  <sheetViews>
    <sheetView topLeftCell="A2" workbookViewId="0">
      <selection activeCell="B70" sqref="B70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90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24" si="0">K5-M5</f>
        <v>0</v>
      </c>
      <c r="O5" s="43">
        <f t="shared" ref="O5:O24" si="1">M5+N5</f>
        <v>0</v>
      </c>
      <c r="Q5" s="4">
        <f>K5-M5</f>
        <v>0</v>
      </c>
      <c r="R5" s="4">
        <f>N5-Q5</f>
        <v>0</v>
      </c>
      <c r="T5" s="4">
        <f t="shared" ref="T5:T23" si="2"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1" ht="14.25" customHeight="1" x14ac:dyDescent="0.2">
      <c r="A7" s="62">
        <v>8</v>
      </c>
      <c r="B7" s="63">
        <v>41647</v>
      </c>
      <c r="C7" s="64">
        <v>17455</v>
      </c>
      <c r="D7" s="64" t="s">
        <v>19</v>
      </c>
      <c r="E7" s="13">
        <v>4385.6400000000003</v>
      </c>
      <c r="F7" s="13">
        <v>568</v>
      </c>
      <c r="G7" s="13">
        <v>650.9</v>
      </c>
      <c r="H7" s="13">
        <v>0</v>
      </c>
      <c r="I7" s="13">
        <v>0</v>
      </c>
      <c r="J7" s="13">
        <v>0</v>
      </c>
      <c r="K7" s="13">
        <v>5604.54</v>
      </c>
      <c r="L7" s="8">
        <f t="shared" ref="L7:L13" si="3">K7+L6</f>
        <v>5604.54</v>
      </c>
      <c r="M7" s="42">
        <v>1401.14</v>
      </c>
      <c r="N7" s="4">
        <f t="shared" si="0"/>
        <v>4203.3999999999996</v>
      </c>
      <c r="O7" s="43">
        <f t="shared" si="1"/>
        <v>5604.54</v>
      </c>
      <c r="P7" t="s">
        <v>64</v>
      </c>
      <c r="Q7" s="4">
        <f>K7-M7</f>
        <v>4203.3999999999996</v>
      </c>
      <c r="R7" s="4">
        <f>N7-Q7</f>
        <v>0</v>
      </c>
      <c r="S7" s="4">
        <f>K7*0.25</f>
        <v>1401.135</v>
      </c>
      <c r="T7" s="4">
        <f t="shared" si="2"/>
        <v>4203.4049999999997</v>
      </c>
      <c r="U7" t="s">
        <v>68</v>
      </c>
    </row>
    <row r="8" spans="1:21" ht="14.25" customHeight="1" x14ac:dyDescent="0.2">
      <c r="A8" s="58">
        <v>8</v>
      </c>
      <c r="B8" s="59">
        <v>41648</v>
      </c>
      <c r="C8" s="60">
        <v>17528</v>
      </c>
      <c r="D8" s="60" t="s">
        <v>19</v>
      </c>
      <c r="E8" s="13">
        <v>4385.6400000000003</v>
      </c>
      <c r="F8" s="13">
        <v>2062</v>
      </c>
      <c r="G8" s="13">
        <v>650.9</v>
      </c>
      <c r="H8" s="13">
        <v>0</v>
      </c>
      <c r="I8" s="13">
        <v>0</v>
      </c>
      <c r="J8" s="13">
        <v>0</v>
      </c>
      <c r="K8" s="13">
        <v>7098.54</v>
      </c>
      <c r="L8" s="8">
        <f t="shared" si="3"/>
        <v>12703.08</v>
      </c>
      <c r="M8" s="42">
        <v>4685.04</v>
      </c>
      <c r="N8" s="4">
        <f t="shared" si="0"/>
        <v>2413.5</v>
      </c>
      <c r="O8" s="43">
        <f t="shared" si="1"/>
        <v>7098.54</v>
      </c>
      <c r="P8" t="s">
        <v>65</v>
      </c>
      <c r="Q8" s="4">
        <f>K8-M8</f>
        <v>2413.5</v>
      </c>
      <c r="R8" s="4">
        <f>N8-Q8</f>
        <v>0</v>
      </c>
      <c r="S8" s="4">
        <f>K8*0.66</f>
        <v>4685.0364</v>
      </c>
      <c r="T8" s="4">
        <f t="shared" si="2"/>
        <v>2413.5036</v>
      </c>
      <c r="U8" t="s">
        <v>68</v>
      </c>
    </row>
    <row r="9" spans="1:21" x14ac:dyDescent="0.2">
      <c r="L9" s="8">
        <f t="shared" si="3"/>
        <v>12703.08</v>
      </c>
      <c r="M9" s="42"/>
      <c r="N9" s="4">
        <f t="shared" si="0"/>
        <v>0</v>
      </c>
      <c r="O9" s="43">
        <f t="shared" si="1"/>
        <v>0</v>
      </c>
      <c r="Q9" s="4">
        <f t="shared" ref="Q9" si="4">K9-M9</f>
        <v>0</v>
      </c>
      <c r="R9" s="4">
        <f t="shared" ref="R9" si="5">N9-Q9</f>
        <v>0</v>
      </c>
      <c r="S9" s="4">
        <f>K9*0.08</f>
        <v>0</v>
      </c>
      <c r="T9" s="4">
        <f t="shared" si="2"/>
        <v>0</v>
      </c>
    </row>
    <row r="10" spans="1:21" ht="14.25" customHeight="1" x14ac:dyDescent="0.2">
      <c r="A10" s="90">
        <v>8</v>
      </c>
      <c r="B10" s="93">
        <v>41659</v>
      </c>
      <c r="C10" s="91">
        <v>18199</v>
      </c>
      <c r="D10" s="91" t="s">
        <v>19</v>
      </c>
      <c r="E10" s="13">
        <v>6886.8</v>
      </c>
      <c r="F10" s="13">
        <v>1864</v>
      </c>
      <c r="G10" s="13">
        <v>1160.3</v>
      </c>
      <c r="H10" s="13">
        <v>0</v>
      </c>
      <c r="I10" s="13">
        <v>0</v>
      </c>
      <c r="J10" s="13">
        <v>0</v>
      </c>
      <c r="K10" s="13">
        <v>9911.0999999999985</v>
      </c>
      <c r="L10" s="8">
        <f t="shared" si="3"/>
        <v>22614.18</v>
      </c>
      <c r="M10" s="42">
        <v>1387.55</v>
      </c>
      <c r="N10" s="4">
        <f t="shared" ref="N10:N12" si="6">K10-M10</f>
        <v>8523.5499999999993</v>
      </c>
      <c r="O10" s="43">
        <f t="shared" ref="O10:O12" si="7">M10+N10</f>
        <v>9911.0999999999985</v>
      </c>
      <c r="P10" t="s">
        <v>120</v>
      </c>
      <c r="Q10" s="4">
        <f t="shared" ref="Q10:Q12" si="8">K10-M10</f>
        <v>8523.5499999999993</v>
      </c>
      <c r="R10" s="4">
        <f t="shared" ref="R10:R12" si="9">N10-Q10</f>
        <v>0</v>
      </c>
      <c r="S10" s="4">
        <f>K10*0.14</f>
        <v>1387.5539999999999</v>
      </c>
      <c r="T10" s="4">
        <f t="shared" ref="T10:T12" si="10">K10-S10</f>
        <v>8523.5459999999985</v>
      </c>
    </row>
    <row r="11" spans="1:21" ht="14.25" customHeight="1" x14ac:dyDescent="0.2">
      <c r="A11" s="95">
        <v>8</v>
      </c>
      <c r="B11" s="98">
        <v>41660</v>
      </c>
      <c r="C11" s="96">
        <v>18261</v>
      </c>
      <c r="D11" s="96" t="s">
        <v>19</v>
      </c>
      <c r="E11" s="13">
        <v>6886.8</v>
      </c>
      <c r="F11" s="13">
        <v>1864</v>
      </c>
      <c r="G11" s="13">
        <v>1160.3</v>
      </c>
      <c r="H11" s="13">
        <v>0</v>
      </c>
      <c r="I11" s="13">
        <v>0</v>
      </c>
      <c r="J11" s="13">
        <v>0</v>
      </c>
      <c r="K11" s="13">
        <v>9911.0999999999985</v>
      </c>
      <c r="L11" s="8">
        <f t="shared" si="3"/>
        <v>32525.279999999999</v>
      </c>
      <c r="M11" s="42">
        <v>3369.77</v>
      </c>
      <c r="N11" s="4">
        <f t="shared" si="6"/>
        <v>6541.3299999999981</v>
      </c>
      <c r="O11" s="43">
        <f t="shared" si="7"/>
        <v>9911.0999999999985</v>
      </c>
      <c r="Q11" s="4">
        <f t="shared" si="8"/>
        <v>6541.3299999999981</v>
      </c>
      <c r="R11" s="4">
        <f t="shared" si="9"/>
        <v>0</v>
      </c>
      <c r="S11" s="4">
        <f>K11*0.34</f>
        <v>3369.7739999999999</v>
      </c>
      <c r="T11" s="4">
        <f t="shared" si="10"/>
        <v>6541.3259999999991</v>
      </c>
    </row>
    <row r="12" spans="1:21" x14ac:dyDescent="0.2">
      <c r="A12" s="58"/>
      <c r="B12" s="59"/>
      <c r="C12" s="60"/>
      <c r="D12" s="60"/>
      <c r="E12" s="13"/>
      <c r="F12" s="13"/>
      <c r="G12" s="13"/>
      <c r="H12" s="13"/>
      <c r="I12" s="13"/>
      <c r="J12" s="13"/>
      <c r="K12" s="13"/>
      <c r="L12" s="8">
        <f t="shared" si="3"/>
        <v>32525.279999999999</v>
      </c>
      <c r="M12" s="42"/>
      <c r="N12" s="4">
        <f t="shared" si="6"/>
        <v>0</v>
      </c>
      <c r="O12" s="43">
        <f t="shared" si="7"/>
        <v>0</v>
      </c>
      <c r="Q12" s="4">
        <f t="shared" si="8"/>
        <v>0</v>
      </c>
      <c r="R12" s="4">
        <f t="shared" si="9"/>
        <v>0</v>
      </c>
      <c r="S12" s="4">
        <f t="shared" ref="S12" si="11">K12*0.08</f>
        <v>0</v>
      </c>
      <c r="T12" s="4">
        <f t="shared" si="10"/>
        <v>0</v>
      </c>
    </row>
    <row r="13" spans="1:21" x14ac:dyDescent="0.2">
      <c r="A13" s="65"/>
      <c r="B13" s="66"/>
      <c r="C13" s="67"/>
      <c r="D13" s="67"/>
      <c r="E13" s="13"/>
      <c r="F13" s="13"/>
      <c r="G13" s="13"/>
      <c r="H13" s="13"/>
      <c r="I13" s="13"/>
      <c r="J13" s="13"/>
      <c r="K13" s="13"/>
      <c r="L13" s="8">
        <f t="shared" si="3"/>
        <v>32525.279999999999</v>
      </c>
      <c r="M13" s="42"/>
      <c r="N13" s="4">
        <f t="shared" si="0"/>
        <v>0</v>
      </c>
      <c r="O13" s="43">
        <f t="shared" si="1"/>
        <v>0</v>
      </c>
      <c r="Q13" s="4">
        <f t="shared" ref="Q13:Q23" si="12">K13-M13</f>
        <v>0</v>
      </c>
      <c r="R13" s="4">
        <f t="shared" ref="R13:R23" si="13">N13-Q13</f>
        <v>0</v>
      </c>
      <c r="S13" s="4">
        <f>K13*0.07</f>
        <v>0</v>
      </c>
      <c r="T13" s="4">
        <f t="shared" si="2"/>
        <v>0</v>
      </c>
    </row>
    <row r="14" spans="1:21" x14ac:dyDescent="0.2">
      <c r="A14" s="68"/>
      <c r="B14" s="69"/>
      <c r="C14" s="70"/>
      <c r="D14" s="70"/>
      <c r="E14" s="13"/>
      <c r="F14" s="13"/>
      <c r="G14" s="13"/>
      <c r="H14" s="13"/>
      <c r="I14" s="13"/>
      <c r="J14" s="13"/>
      <c r="K14" s="13"/>
      <c r="L14" s="8">
        <f t="shared" ref="L14:L23" si="14">K14+L13</f>
        <v>32525.279999999999</v>
      </c>
      <c r="M14" s="42"/>
      <c r="N14" s="4">
        <f t="shared" si="0"/>
        <v>0</v>
      </c>
      <c r="O14" s="43">
        <f t="shared" si="1"/>
        <v>0</v>
      </c>
      <c r="Q14" s="4">
        <f t="shared" si="12"/>
        <v>0</v>
      </c>
      <c r="R14" s="4">
        <f t="shared" si="13"/>
        <v>0</v>
      </c>
      <c r="S14" s="4">
        <f>K14*0.09</f>
        <v>0</v>
      </c>
      <c r="T14" s="4">
        <f t="shared" si="2"/>
        <v>0</v>
      </c>
    </row>
    <row r="15" spans="1:21" x14ac:dyDescent="0.2">
      <c r="A15" s="71"/>
      <c r="B15" s="72"/>
      <c r="C15" s="73"/>
      <c r="D15" s="73"/>
      <c r="E15" s="13"/>
      <c r="F15" s="13"/>
      <c r="G15" s="13"/>
      <c r="H15" s="13"/>
      <c r="I15" s="13"/>
      <c r="J15" s="13"/>
      <c r="K15" s="13"/>
      <c r="L15" s="8">
        <f t="shared" si="14"/>
        <v>32525.279999999999</v>
      </c>
      <c r="M15" s="42"/>
      <c r="N15" s="4">
        <f t="shared" si="0"/>
        <v>0</v>
      </c>
      <c r="O15" s="43">
        <f t="shared" si="1"/>
        <v>0</v>
      </c>
      <c r="Q15" s="4">
        <f t="shared" si="12"/>
        <v>0</v>
      </c>
      <c r="R15" s="4">
        <f t="shared" si="13"/>
        <v>0</v>
      </c>
      <c r="S15" s="4">
        <f>K15*0.08</f>
        <v>0</v>
      </c>
      <c r="T15" s="4">
        <f t="shared" si="2"/>
        <v>0</v>
      </c>
    </row>
    <row r="16" spans="1:21" x14ac:dyDescent="0.2">
      <c r="A16" s="44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14"/>
        <v>32525.279999999999</v>
      </c>
      <c r="M16" s="42"/>
      <c r="N16" s="4">
        <f t="shared" si="0"/>
        <v>0</v>
      </c>
      <c r="O16" s="43">
        <f t="shared" si="1"/>
        <v>0</v>
      </c>
      <c r="Q16" s="4">
        <f t="shared" si="12"/>
        <v>0</v>
      </c>
      <c r="R16" s="4">
        <f t="shared" si="13"/>
        <v>0</v>
      </c>
      <c r="T16" s="4">
        <f t="shared" si="2"/>
        <v>0</v>
      </c>
    </row>
    <row r="17" spans="1:20" x14ac:dyDescent="0.2">
      <c r="A17" s="75"/>
      <c r="B17" s="77"/>
      <c r="C17" s="76"/>
      <c r="D17" s="76"/>
      <c r="E17" s="13"/>
      <c r="F17" s="13"/>
      <c r="G17" s="13"/>
      <c r="H17" s="13"/>
      <c r="I17" s="13"/>
      <c r="J17" s="13"/>
      <c r="K17" s="13"/>
      <c r="L17" s="8">
        <f t="shared" si="14"/>
        <v>32525.279999999999</v>
      </c>
      <c r="M17" s="42"/>
      <c r="N17" s="4">
        <f t="shared" si="0"/>
        <v>0</v>
      </c>
      <c r="O17" s="43">
        <f t="shared" si="1"/>
        <v>0</v>
      </c>
      <c r="Q17" s="4">
        <f t="shared" si="12"/>
        <v>0</v>
      </c>
      <c r="R17" s="4">
        <f t="shared" si="13"/>
        <v>0</v>
      </c>
      <c r="S17" s="4">
        <f>K17*0.09</f>
        <v>0</v>
      </c>
      <c r="T17" s="4">
        <f t="shared" si="2"/>
        <v>0</v>
      </c>
    </row>
    <row r="18" spans="1:20" x14ac:dyDescent="0.2">
      <c r="A18" s="78"/>
      <c r="B18" s="80"/>
      <c r="C18" s="79"/>
      <c r="D18" s="79"/>
      <c r="E18" s="13"/>
      <c r="F18" s="13"/>
      <c r="G18" s="13"/>
      <c r="H18" s="13"/>
      <c r="I18" s="13"/>
      <c r="J18" s="13"/>
      <c r="K18" s="13"/>
      <c r="L18" s="8">
        <f t="shared" si="14"/>
        <v>32525.279999999999</v>
      </c>
      <c r="M18" s="42"/>
      <c r="N18" s="4">
        <f t="shared" si="0"/>
        <v>0</v>
      </c>
      <c r="O18" s="43">
        <f t="shared" si="1"/>
        <v>0</v>
      </c>
      <c r="Q18" s="4">
        <f t="shared" si="12"/>
        <v>0</v>
      </c>
      <c r="R18" s="4">
        <f t="shared" si="13"/>
        <v>0</v>
      </c>
      <c r="S18" s="4">
        <f>K18*0.12</f>
        <v>0</v>
      </c>
      <c r="T18" s="4">
        <f t="shared" si="2"/>
        <v>0</v>
      </c>
    </row>
    <row r="19" spans="1:20" x14ac:dyDescent="0.2">
      <c r="A19" s="81"/>
      <c r="B19" s="83"/>
      <c r="C19" s="82"/>
      <c r="D19" s="82"/>
      <c r="E19" s="13"/>
      <c r="F19" s="13"/>
      <c r="G19" s="13"/>
      <c r="H19" s="13"/>
      <c r="I19" s="13"/>
      <c r="J19" s="13"/>
      <c r="K19" s="13"/>
      <c r="L19" s="8">
        <f t="shared" si="14"/>
        <v>32525.279999999999</v>
      </c>
      <c r="M19" s="42"/>
      <c r="N19" s="4">
        <f t="shared" si="0"/>
        <v>0</v>
      </c>
      <c r="O19" s="43">
        <f t="shared" si="1"/>
        <v>0</v>
      </c>
      <c r="Q19" s="4">
        <f t="shared" si="12"/>
        <v>0</v>
      </c>
      <c r="R19" s="4">
        <f t="shared" si="13"/>
        <v>0</v>
      </c>
      <c r="S19" s="4">
        <f>K19*0.14</f>
        <v>0</v>
      </c>
      <c r="T19" s="4">
        <f t="shared" si="2"/>
        <v>0</v>
      </c>
    </row>
    <row r="20" spans="1:20" x14ac:dyDescent="0.2">
      <c r="A20" s="84"/>
      <c r="B20" s="86"/>
      <c r="C20" s="85"/>
      <c r="D20" s="85"/>
      <c r="E20" s="13"/>
      <c r="F20" s="13"/>
      <c r="G20" s="13"/>
      <c r="H20" s="13"/>
      <c r="I20" s="13"/>
      <c r="J20" s="13"/>
      <c r="K20" s="13"/>
      <c r="L20" s="8">
        <f t="shared" si="14"/>
        <v>32525.279999999999</v>
      </c>
      <c r="M20" s="42"/>
      <c r="N20" s="4">
        <f t="shared" si="0"/>
        <v>0</v>
      </c>
      <c r="O20" s="43">
        <f t="shared" si="1"/>
        <v>0</v>
      </c>
      <c r="Q20" s="4">
        <f t="shared" si="12"/>
        <v>0</v>
      </c>
      <c r="R20" s="4">
        <f t="shared" si="13"/>
        <v>0</v>
      </c>
      <c r="S20" s="4">
        <f>K20*0.14</f>
        <v>0</v>
      </c>
      <c r="T20" s="4">
        <f t="shared" si="2"/>
        <v>0</v>
      </c>
    </row>
    <row r="21" spans="1:20" x14ac:dyDescent="0.2">
      <c r="A21" s="84"/>
      <c r="B21" s="86"/>
      <c r="C21" s="85"/>
      <c r="D21" s="85"/>
      <c r="E21" s="13"/>
      <c r="F21" s="13"/>
      <c r="G21" s="13"/>
      <c r="H21" s="13"/>
      <c r="I21" s="13"/>
      <c r="J21" s="13"/>
      <c r="K21" s="13"/>
      <c r="L21" s="8">
        <f t="shared" si="14"/>
        <v>32525.279999999999</v>
      </c>
      <c r="M21" s="42"/>
      <c r="N21" s="4">
        <f t="shared" si="0"/>
        <v>0</v>
      </c>
      <c r="O21" s="43">
        <f t="shared" si="1"/>
        <v>0</v>
      </c>
      <c r="Q21" s="4">
        <f t="shared" si="12"/>
        <v>0</v>
      </c>
      <c r="R21" s="4">
        <f t="shared" si="13"/>
        <v>0</v>
      </c>
      <c r="S21" s="4">
        <f>K21*0.12</f>
        <v>0</v>
      </c>
      <c r="T21" s="4">
        <f t="shared" si="2"/>
        <v>0</v>
      </c>
    </row>
    <row r="22" spans="1:20" x14ac:dyDescent="0.2">
      <c r="A22" s="87"/>
      <c r="B22" s="89"/>
      <c r="C22" s="88"/>
      <c r="D22" s="88"/>
      <c r="E22" s="13"/>
      <c r="F22" s="13"/>
      <c r="G22" s="13"/>
      <c r="H22" s="13"/>
      <c r="I22" s="13"/>
      <c r="J22" s="13"/>
      <c r="K22" s="13"/>
      <c r="L22" s="8">
        <f t="shared" si="14"/>
        <v>32525.279999999999</v>
      </c>
      <c r="M22" s="42"/>
      <c r="N22" s="4">
        <f t="shared" si="0"/>
        <v>0</v>
      </c>
      <c r="O22" s="43">
        <f t="shared" si="1"/>
        <v>0</v>
      </c>
      <c r="Q22" s="4">
        <f t="shared" si="12"/>
        <v>0</v>
      </c>
      <c r="R22" s="4">
        <f t="shared" si="13"/>
        <v>0</v>
      </c>
      <c r="S22" s="4">
        <f>K22*0.11</f>
        <v>0</v>
      </c>
      <c r="T22" s="4">
        <f t="shared" si="2"/>
        <v>0</v>
      </c>
    </row>
    <row r="23" spans="1:20" x14ac:dyDescent="0.2">
      <c r="A23" s="44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14"/>
        <v>32525.279999999999</v>
      </c>
      <c r="M23" s="42"/>
      <c r="N23" s="4">
        <f t="shared" si="0"/>
        <v>0</v>
      </c>
      <c r="O23" s="43">
        <f t="shared" si="1"/>
        <v>0</v>
      </c>
      <c r="Q23" s="4">
        <f t="shared" si="12"/>
        <v>0</v>
      </c>
      <c r="R23" s="4">
        <f t="shared" si="13"/>
        <v>0</v>
      </c>
      <c r="T23" s="4">
        <f t="shared" si="2"/>
        <v>0</v>
      </c>
    </row>
    <row r="24" spans="1:20" ht="16" customHeight="1" x14ac:dyDescent="0.2">
      <c r="A24" t="s">
        <v>37</v>
      </c>
      <c r="B24" s="49"/>
      <c r="C24" s="50"/>
      <c r="D24" s="50"/>
      <c r="E24" s="13"/>
      <c r="F24" s="13"/>
      <c r="G24" s="13"/>
      <c r="H24" s="13">
        <v>0</v>
      </c>
      <c r="I24" s="13">
        <v>0</v>
      </c>
      <c r="J24" s="13">
        <v>0</v>
      </c>
      <c r="K24" s="13"/>
      <c r="L24" s="13"/>
      <c r="M24" s="42"/>
      <c r="N24" s="4">
        <f t="shared" si="0"/>
        <v>0</v>
      </c>
      <c r="O24" s="43">
        <f t="shared" si="1"/>
        <v>0</v>
      </c>
      <c r="Q24" s="4">
        <f>K24-M24</f>
        <v>0</v>
      </c>
    </row>
    <row r="25" spans="1:20" x14ac:dyDescent="0.2">
      <c r="B25" s="19" t="s">
        <v>35</v>
      </c>
      <c r="D25" s="20">
        <f>SUM(E25:G25)</f>
        <v>32525.279999999999</v>
      </c>
      <c r="E25" s="4">
        <f t="shared" ref="E25:K25" si="15">SUM(E5:E24)</f>
        <v>22544.880000000001</v>
      </c>
      <c r="F25" s="4">
        <f t="shared" si="15"/>
        <v>6358</v>
      </c>
      <c r="G25" s="4">
        <f t="shared" si="15"/>
        <v>3622.3999999999996</v>
      </c>
      <c r="H25" s="4">
        <f t="shared" si="15"/>
        <v>0</v>
      </c>
      <c r="I25" s="4">
        <f t="shared" si="15"/>
        <v>0</v>
      </c>
      <c r="J25" s="4">
        <f t="shared" si="15"/>
        <v>0</v>
      </c>
      <c r="K25" s="20">
        <f t="shared" si="15"/>
        <v>32525.279999999999</v>
      </c>
      <c r="M25" s="51">
        <f>SUM(M5:M24)</f>
        <v>10843.5</v>
      </c>
      <c r="N25" s="52">
        <f>SUM(N5:N24)</f>
        <v>21681.78</v>
      </c>
      <c r="O25" s="53">
        <f>SUM(O5:O24)</f>
        <v>32525.279999999999</v>
      </c>
      <c r="Q25"/>
    </row>
    <row r="26" spans="1:20" x14ac:dyDescent="0.2">
      <c r="B26" s="19"/>
      <c r="D26" s="20"/>
      <c r="E26" s="4"/>
      <c r="F26" s="20"/>
      <c r="G26" s="4"/>
      <c r="H26" s="4"/>
      <c r="I26" s="4"/>
      <c r="J26" s="4"/>
      <c r="K26" s="20"/>
      <c r="Q26"/>
    </row>
    <row r="27" spans="1:20" x14ac:dyDescent="0.2">
      <c r="C27" s="32" t="s">
        <v>38</v>
      </c>
      <c r="D27" s="30">
        <f>M25</f>
        <v>10843.5</v>
      </c>
      <c r="Q27"/>
    </row>
    <row r="28" spans="1:20" x14ac:dyDescent="0.2">
      <c r="C28" s="32" t="s">
        <v>23</v>
      </c>
      <c r="D28" s="54"/>
      <c r="Q28"/>
    </row>
    <row r="29" spans="1:20" x14ac:dyDescent="0.2">
      <c r="C29" s="32" t="s">
        <v>24</v>
      </c>
      <c r="D29" s="20">
        <f>SUM(D27:D28)</f>
        <v>10843.5</v>
      </c>
    </row>
    <row r="31" spans="1:20" x14ac:dyDescent="0.2">
      <c r="A31" s="44"/>
      <c r="B31" s="6"/>
      <c r="C31" s="7"/>
      <c r="D31" s="7"/>
      <c r="E31" s="13"/>
      <c r="F31" s="13"/>
      <c r="G31" s="13"/>
      <c r="H31" s="13"/>
      <c r="I31" s="13"/>
      <c r="J31" s="13"/>
      <c r="K31" s="13"/>
      <c r="L31" s="8"/>
      <c r="R31" s="4"/>
    </row>
  </sheetData>
  <conditionalFormatting sqref="C1">
    <cfRule type="duplicateValues" dxfId="115" priority="15"/>
  </conditionalFormatting>
  <conditionalFormatting sqref="C2">
    <cfRule type="duplicateValues" dxfId="114" priority="16"/>
  </conditionalFormatting>
  <conditionalFormatting sqref="C3">
    <cfRule type="duplicateValues" dxfId="113" priority="8"/>
  </conditionalFormatting>
  <conditionalFormatting sqref="C4:C5">
    <cfRule type="duplicateValues" dxfId="112" priority="13"/>
  </conditionalFormatting>
  <conditionalFormatting sqref="C7">
    <cfRule type="duplicateValues" dxfId="111" priority="4"/>
  </conditionalFormatting>
  <conditionalFormatting sqref="C8">
    <cfRule type="duplicateValues" dxfId="110" priority="3"/>
  </conditionalFormatting>
  <conditionalFormatting sqref="C10">
    <cfRule type="duplicateValues" dxfId="109" priority="2"/>
  </conditionalFormatting>
  <conditionalFormatting sqref="C11">
    <cfRule type="duplicateValues" dxfId="108" priority="1"/>
  </conditionalFormatting>
  <conditionalFormatting sqref="C12:C15">
    <cfRule type="duplicateValues" dxfId="107" priority="18"/>
  </conditionalFormatting>
  <conditionalFormatting sqref="C17:C22">
    <cfRule type="duplicateValues" dxfId="106" priority="22"/>
  </conditionalFormatting>
  <conditionalFormatting sqref="C23 C16 C6">
    <cfRule type="duplicateValues" dxfId="105" priority="20"/>
    <cfRule type="duplicateValues" dxfId="104" priority="21"/>
  </conditionalFormatting>
  <conditionalFormatting sqref="C24">
    <cfRule type="duplicateValues" dxfId="103" priority="10"/>
  </conditionalFormatting>
  <conditionalFormatting sqref="C24:C1048576 C1:C5">
    <cfRule type="duplicateValues" dxfId="102" priority="19"/>
  </conditionalFormatting>
  <conditionalFormatting sqref="C25:C26">
    <cfRule type="duplicateValues" dxfId="101" priority="9"/>
  </conditionalFormatting>
  <conditionalFormatting sqref="C29">
    <cfRule type="duplicateValues" dxfId="100" priority="11"/>
  </conditionalFormatting>
  <conditionalFormatting sqref="C30">
    <cfRule type="duplicateValues" dxfId="99" priority="12"/>
  </conditionalFormatting>
  <conditionalFormatting sqref="C31">
    <cfRule type="duplicateValues" dxfId="98" priority="14"/>
  </conditionalFormatting>
  <conditionalFormatting sqref="C33:C1048576">
    <cfRule type="duplicateValues" dxfId="97" priority="17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  <pageSetUpPr fitToPage="1"/>
  </sheetPr>
  <dimension ref="A1:U38"/>
  <sheetViews>
    <sheetView workbookViewId="0">
      <selection activeCell="S15" sqref="S15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91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>K5-M5</f>
        <v>0</v>
      </c>
      <c r="O5" s="43">
        <f>M5+N5</f>
        <v>0</v>
      </c>
      <c r="Q5" s="4">
        <f>K5-M5</f>
        <v>0</v>
      </c>
      <c r="R5" s="4">
        <f>N5-Q5</f>
        <v>0</v>
      </c>
      <c r="T5" s="4">
        <f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>K6-M6</f>
        <v>0</v>
      </c>
      <c r="O6" s="43">
        <f>M6+N6</f>
        <v>0</v>
      </c>
      <c r="Q6" s="4">
        <f>K6-M6</f>
        <v>0</v>
      </c>
      <c r="R6" s="4">
        <f>N6-Q6</f>
        <v>0</v>
      </c>
      <c r="T6" s="4">
        <f>K6-S6</f>
        <v>0</v>
      </c>
    </row>
    <row r="7" spans="1:21" ht="14.25" customHeight="1" x14ac:dyDescent="0.2">
      <c r="A7" s="68">
        <v>24</v>
      </c>
      <c r="B7" s="69">
        <v>41650</v>
      </c>
      <c r="C7" s="70">
        <v>17622</v>
      </c>
      <c r="D7" s="70" t="s">
        <v>19</v>
      </c>
      <c r="E7" s="13">
        <v>29310.75</v>
      </c>
      <c r="F7" s="13">
        <v>23833.320000000007</v>
      </c>
      <c r="G7" s="13">
        <v>4202.55</v>
      </c>
      <c r="H7" s="13">
        <v>0</v>
      </c>
      <c r="I7" s="13">
        <v>0</v>
      </c>
      <c r="J7" s="13">
        <v>0</v>
      </c>
      <c r="K7" s="13">
        <v>57346.62000000001</v>
      </c>
      <c r="L7" s="8">
        <f t="shared" ref="L7:L21" si="0">K7+L6</f>
        <v>57346.62000000001</v>
      </c>
      <c r="M7" s="42">
        <v>4587.7299999999996</v>
      </c>
      <c r="N7" s="4">
        <f>K7-M7</f>
        <v>52758.890000000014</v>
      </c>
      <c r="O7" s="43">
        <f>M7+N7</f>
        <v>57346.62000000001</v>
      </c>
      <c r="P7" t="s">
        <v>59</v>
      </c>
      <c r="Q7" s="4">
        <f>K7-M7</f>
        <v>52758.890000000014</v>
      </c>
      <c r="R7" s="4">
        <f>N7-Q7</f>
        <v>0</v>
      </c>
      <c r="S7" s="4">
        <f>K7*0.08</f>
        <v>4587.7296000000006</v>
      </c>
      <c r="T7" s="4">
        <f>K7-S7</f>
        <v>52758.890400000011</v>
      </c>
      <c r="U7" t="s">
        <v>61</v>
      </c>
    </row>
    <row r="8" spans="1:21" x14ac:dyDescent="0.2">
      <c r="L8" s="8">
        <f t="shared" si="0"/>
        <v>57346.62000000001</v>
      </c>
      <c r="M8" s="42"/>
      <c r="N8" s="4">
        <f>K8-M8</f>
        <v>0</v>
      </c>
      <c r="O8" s="43">
        <f>M8+N8</f>
        <v>0</v>
      </c>
      <c r="Q8" s="4">
        <f>K8-M8</f>
        <v>0</v>
      </c>
      <c r="R8" s="4">
        <f>N8-Q8</f>
        <v>0</v>
      </c>
      <c r="T8" s="4">
        <f>K8-S8</f>
        <v>0</v>
      </c>
    </row>
    <row r="9" spans="1:21" ht="14.25" customHeight="1" x14ac:dyDescent="0.2">
      <c r="A9" s="95">
        <v>24</v>
      </c>
      <c r="B9" s="98">
        <v>41660</v>
      </c>
      <c r="C9" s="96">
        <v>18286</v>
      </c>
      <c r="D9" s="96" t="s">
        <v>19</v>
      </c>
      <c r="E9" s="13">
        <v>24299.480000000003</v>
      </c>
      <c r="F9" s="13">
        <v>23568.320000000007</v>
      </c>
      <c r="G9" s="13">
        <v>4273.3</v>
      </c>
      <c r="H9" s="13">
        <v>0</v>
      </c>
      <c r="I9" s="13">
        <v>0</v>
      </c>
      <c r="J9" s="13">
        <v>0</v>
      </c>
      <c r="K9" s="13">
        <v>52141.100000000013</v>
      </c>
      <c r="L9" s="8">
        <f t="shared" si="0"/>
        <v>109487.72000000003</v>
      </c>
      <c r="M9" s="74"/>
      <c r="N9" s="4">
        <f t="shared" ref="N9:N17" si="1">K9-M9</f>
        <v>52141.100000000013</v>
      </c>
      <c r="O9" s="43">
        <f t="shared" ref="O9:O17" si="2">M9+N9</f>
        <v>52141.100000000013</v>
      </c>
      <c r="P9" t="s">
        <v>124</v>
      </c>
      <c r="Q9" s="4">
        <f t="shared" ref="Q9:Q17" si="3">K9-M9</f>
        <v>52141.100000000013</v>
      </c>
      <c r="R9" s="4">
        <f t="shared" ref="R9:R17" si="4">N9-Q9</f>
        <v>0</v>
      </c>
      <c r="S9" s="4">
        <f>K9*0.03</f>
        <v>1564.2330000000004</v>
      </c>
      <c r="T9" s="4">
        <f t="shared" ref="T9:T17" si="5">K9-S9</f>
        <v>50576.867000000013</v>
      </c>
      <c r="U9" t="s">
        <v>121</v>
      </c>
    </row>
    <row r="10" spans="1:21" x14ac:dyDescent="0.2">
      <c r="A10" s="99">
        <v>2</v>
      </c>
      <c r="B10" s="102">
        <v>41661</v>
      </c>
      <c r="C10" s="100">
        <v>18322</v>
      </c>
      <c r="D10" s="100" t="s">
        <v>19</v>
      </c>
      <c r="E10" s="101">
        <v>17315.59</v>
      </c>
      <c r="F10" s="101">
        <v>8516</v>
      </c>
      <c r="G10" s="101">
        <v>3212.05</v>
      </c>
      <c r="H10" s="101">
        <v>0</v>
      </c>
      <c r="I10" s="101">
        <v>0</v>
      </c>
      <c r="J10" s="101">
        <v>0</v>
      </c>
      <c r="K10" s="101">
        <v>29043.64</v>
      </c>
      <c r="L10" s="8">
        <f t="shared" si="0"/>
        <v>138531.36000000004</v>
      </c>
      <c r="M10" s="42">
        <v>10746.15</v>
      </c>
      <c r="N10" s="4">
        <f t="shared" si="1"/>
        <v>18297.489999999998</v>
      </c>
      <c r="O10" s="43">
        <f t="shared" si="2"/>
        <v>29043.64</v>
      </c>
      <c r="P10" t="s">
        <v>126</v>
      </c>
      <c r="Q10" s="4">
        <f t="shared" si="3"/>
        <v>18297.489999999998</v>
      </c>
      <c r="R10" s="4">
        <f t="shared" si="4"/>
        <v>0</v>
      </c>
      <c r="S10" s="4">
        <f>K10*0.37</f>
        <v>10746.1468</v>
      </c>
      <c r="T10" s="4">
        <f t="shared" si="5"/>
        <v>18297.493199999997</v>
      </c>
      <c r="U10" t="s">
        <v>123</v>
      </c>
    </row>
    <row r="11" spans="1:21" ht="14.25" customHeight="1" x14ac:dyDescent="0.2">
      <c r="A11" s="99">
        <v>24</v>
      </c>
      <c r="B11" s="102">
        <v>41661</v>
      </c>
      <c r="C11" s="100">
        <v>18354</v>
      </c>
      <c r="D11" s="100" t="s">
        <v>19</v>
      </c>
      <c r="E11" s="13">
        <v>23303.83</v>
      </c>
      <c r="F11" s="13">
        <v>23568.320000000007</v>
      </c>
      <c r="G11" s="13">
        <v>4117.6500000000005</v>
      </c>
      <c r="H11" s="13">
        <v>0</v>
      </c>
      <c r="I11" s="13">
        <v>0</v>
      </c>
      <c r="J11" s="13">
        <v>0</v>
      </c>
      <c r="K11" s="13">
        <v>50989.80000000001</v>
      </c>
      <c r="L11" s="8">
        <f t="shared" si="0"/>
        <v>189521.16000000006</v>
      </c>
      <c r="M11" s="42">
        <v>6118.78</v>
      </c>
      <c r="N11" s="4">
        <f t="shared" si="1"/>
        <v>44871.020000000011</v>
      </c>
      <c r="O11" s="43">
        <f t="shared" si="2"/>
        <v>50989.80000000001</v>
      </c>
      <c r="P11" t="s">
        <v>125</v>
      </c>
      <c r="Q11" s="4">
        <f t="shared" si="3"/>
        <v>44871.020000000011</v>
      </c>
      <c r="R11" s="4">
        <f t="shared" si="4"/>
        <v>0</v>
      </c>
      <c r="S11" s="4">
        <f>K11*0.12</f>
        <v>6118.7760000000007</v>
      </c>
      <c r="T11" s="4">
        <f t="shared" si="5"/>
        <v>44871.024000000012</v>
      </c>
      <c r="U11" t="s">
        <v>122</v>
      </c>
    </row>
    <row r="12" spans="1:21" ht="14.25" customHeight="1" x14ac:dyDescent="0.2">
      <c r="A12" s="103">
        <v>24</v>
      </c>
      <c r="B12" s="106">
        <v>41662</v>
      </c>
      <c r="C12" s="104">
        <v>18419</v>
      </c>
      <c r="D12" s="104" t="s">
        <v>19</v>
      </c>
      <c r="E12" s="13">
        <v>23641.930000000004</v>
      </c>
      <c r="F12" s="13">
        <v>24309.320000000007</v>
      </c>
      <c r="G12" s="13">
        <v>4174.25</v>
      </c>
      <c r="H12" s="13">
        <v>0</v>
      </c>
      <c r="I12" s="13">
        <v>0</v>
      </c>
      <c r="J12" s="13">
        <v>0</v>
      </c>
      <c r="K12" s="13">
        <v>52125.500000000015</v>
      </c>
      <c r="L12" s="8">
        <f t="shared" si="0"/>
        <v>241646.66000000009</v>
      </c>
      <c r="M12" s="42">
        <v>521.26</v>
      </c>
      <c r="N12" s="4">
        <f t="shared" si="1"/>
        <v>51604.240000000013</v>
      </c>
      <c r="O12" s="43">
        <f t="shared" si="2"/>
        <v>52125.500000000015</v>
      </c>
      <c r="P12" t="s">
        <v>127</v>
      </c>
      <c r="Q12" s="4">
        <f t="shared" si="3"/>
        <v>51604.240000000013</v>
      </c>
      <c r="R12" s="4">
        <f t="shared" si="4"/>
        <v>0</v>
      </c>
      <c r="S12" s="4">
        <f>K12*0.01</f>
        <v>521.25500000000011</v>
      </c>
      <c r="T12" s="4">
        <f t="shared" si="5"/>
        <v>51604.245000000017</v>
      </c>
      <c r="U12" t="s">
        <v>132</v>
      </c>
    </row>
    <row r="13" spans="1:21" x14ac:dyDescent="0.2">
      <c r="A13" s="103">
        <v>29</v>
      </c>
      <c r="B13" s="106">
        <v>41663</v>
      </c>
      <c r="C13" s="104">
        <v>18456</v>
      </c>
      <c r="D13" s="104" t="s">
        <v>19</v>
      </c>
      <c r="E13" s="13">
        <v>5514.2999999999993</v>
      </c>
      <c r="F13" s="13">
        <v>4012</v>
      </c>
      <c r="G13" s="13">
        <v>820.7</v>
      </c>
      <c r="H13" s="13">
        <v>0</v>
      </c>
      <c r="I13" s="13">
        <v>0</v>
      </c>
      <c r="J13" s="13">
        <v>0</v>
      </c>
      <c r="K13" s="13">
        <v>10347</v>
      </c>
      <c r="L13" s="8">
        <f t="shared" si="0"/>
        <v>251993.66000000009</v>
      </c>
      <c r="M13" s="74"/>
      <c r="N13" s="4">
        <f t="shared" si="1"/>
        <v>10347</v>
      </c>
      <c r="O13" s="43">
        <f t="shared" si="2"/>
        <v>10347</v>
      </c>
      <c r="P13" t="s">
        <v>129</v>
      </c>
      <c r="Q13" s="4">
        <f t="shared" si="3"/>
        <v>10347</v>
      </c>
      <c r="R13" s="4">
        <f t="shared" si="4"/>
        <v>0</v>
      </c>
      <c r="S13" s="4">
        <f>K13*0.1</f>
        <v>1034.7</v>
      </c>
      <c r="T13" s="4">
        <f t="shared" si="5"/>
        <v>9312.2999999999993</v>
      </c>
    </row>
    <row r="14" spans="1:21" x14ac:dyDescent="0.2">
      <c r="A14" s="103">
        <v>35</v>
      </c>
      <c r="B14" s="106">
        <v>41663</v>
      </c>
      <c r="C14" s="104">
        <v>18474</v>
      </c>
      <c r="D14" s="104" t="s">
        <v>19</v>
      </c>
      <c r="E14" s="13">
        <v>4990.57</v>
      </c>
      <c r="F14" s="13">
        <v>1135.19</v>
      </c>
      <c r="G14" s="13">
        <v>820.7</v>
      </c>
      <c r="H14" s="13">
        <v>0</v>
      </c>
      <c r="I14" s="13">
        <v>0</v>
      </c>
      <c r="J14" s="13">
        <v>0</v>
      </c>
      <c r="K14" s="13">
        <v>6946.46</v>
      </c>
      <c r="L14" s="8">
        <f t="shared" si="0"/>
        <v>258940.12000000008</v>
      </c>
      <c r="M14" s="74"/>
      <c r="N14" s="4">
        <f t="shared" si="1"/>
        <v>6946.46</v>
      </c>
      <c r="O14" s="43">
        <f t="shared" si="2"/>
        <v>6946.46</v>
      </c>
      <c r="P14" t="s">
        <v>130</v>
      </c>
      <c r="Q14" s="4">
        <f t="shared" si="3"/>
        <v>6946.46</v>
      </c>
      <c r="R14" s="4">
        <f t="shared" si="4"/>
        <v>0</v>
      </c>
      <c r="S14" s="4">
        <f>K14*0.14</f>
        <v>972.50440000000015</v>
      </c>
      <c r="T14" s="4">
        <f t="shared" si="5"/>
        <v>5973.9556000000002</v>
      </c>
    </row>
    <row r="15" spans="1:21" ht="14.25" customHeight="1" x14ac:dyDescent="0.2">
      <c r="A15" s="103">
        <v>24</v>
      </c>
      <c r="B15" s="106">
        <v>41663</v>
      </c>
      <c r="C15" s="104">
        <v>18487</v>
      </c>
      <c r="D15" s="104" t="s">
        <v>19</v>
      </c>
      <c r="E15" s="13">
        <v>23130.490000000005</v>
      </c>
      <c r="F15" s="13">
        <v>24479.320000000007</v>
      </c>
      <c r="G15" s="13">
        <v>4089.35</v>
      </c>
      <c r="H15" s="13">
        <v>0</v>
      </c>
      <c r="I15" s="13">
        <v>0</v>
      </c>
      <c r="J15" s="13">
        <v>0</v>
      </c>
      <c r="K15" s="13">
        <v>51699.160000000011</v>
      </c>
      <c r="L15" s="8">
        <f t="shared" si="0"/>
        <v>310639.28000000009</v>
      </c>
      <c r="M15" s="42">
        <v>516.99</v>
      </c>
      <c r="N15" s="4">
        <f t="shared" si="1"/>
        <v>51182.170000000013</v>
      </c>
      <c r="O15" s="43">
        <f t="shared" si="2"/>
        <v>51699.160000000011</v>
      </c>
      <c r="P15" t="s">
        <v>128</v>
      </c>
      <c r="Q15" s="4">
        <f t="shared" si="3"/>
        <v>51182.170000000013</v>
      </c>
      <c r="R15" s="4">
        <f t="shared" si="4"/>
        <v>0</v>
      </c>
      <c r="S15" s="4">
        <f>K15*0.01</f>
        <v>516.99160000000006</v>
      </c>
      <c r="T15" s="4">
        <f t="shared" si="5"/>
        <v>51182.16840000001</v>
      </c>
      <c r="U15" t="s">
        <v>131</v>
      </c>
    </row>
    <row r="16" spans="1:21" ht="14.25" customHeight="1" x14ac:dyDescent="0.2">
      <c r="A16" s="62"/>
      <c r="B16" s="63"/>
      <c r="C16" s="64"/>
      <c r="D16" s="64"/>
      <c r="E16" s="13"/>
      <c r="F16" s="13"/>
      <c r="G16" s="13"/>
      <c r="H16" s="13"/>
      <c r="I16" s="13"/>
      <c r="J16" s="13"/>
      <c r="K16" s="13"/>
      <c r="L16" s="8">
        <f t="shared" si="0"/>
        <v>310639.28000000009</v>
      </c>
      <c r="M16" s="42"/>
      <c r="N16" s="4">
        <f t="shared" si="1"/>
        <v>0</v>
      </c>
      <c r="O16" s="43">
        <f t="shared" si="2"/>
        <v>0</v>
      </c>
      <c r="Q16" s="4">
        <f t="shared" si="3"/>
        <v>0</v>
      </c>
      <c r="R16" s="4">
        <f t="shared" si="4"/>
        <v>0</v>
      </c>
      <c r="S16" s="4">
        <f t="shared" ref="S16:S30" si="6">K16*0</f>
        <v>0</v>
      </c>
      <c r="T16" s="4">
        <f t="shared" si="5"/>
        <v>0</v>
      </c>
    </row>
    <row r="17" spans="1:20" ht="14.25" customHeight="1" x14ac:dyDescent="0.2">
      <c r="A17" s="58"/>
      <c r="B17" s="59"/>
      <c r="C17" s="60"/>
      <c r="D17" s="60"/>
      <c r="E17" s="13"/>
      <c r="F17" s="13"/>
      <c r="G17" s="13"/>
      <c r="H17" s="13"/>
      <c r="I17" s="13"/>
      <c r="J17" s="13"/>
      <c r="K17" s="13"/>
      <c r="L17" s="8">
        <f t="shared" si="0"/>
        <v>310639.28000000009</v>
      </c>
      <c r="M17" s="42"/>
      <c r="N17" s="4">
        <f t="shared" si="1"/>
        <v>0</v>
      </c>
      <c r="O17" s="43">
        <f t="shared" si="2"/>
        <v>0</v>
      </c>
      <c r="Q17" s="4">
        <f t="shared" si="3"/>
        <v>0</v>
      </c>
      <c r="R17" s="4">
        <f t="shared" si="4"/>
        <v>0</v>
      </c>
      <c r="S17" s="4">
        <f t="shared" si="6"/>
        <v>0</v>
      </c>
      <c r="T17" s="4">
        <f t="shared" si="5"/>
        <v>0</v>
      </c>
    </row>
    <row r="18" spans="1:20" x14ac:dyDescent="0.2">
      <c r="L18" s="8">
        <f t="shared" si="0"/>
        <v>310639.28000000009</v>
      </c>
      <c r="M18" s="42"/>
      <c r="N18" s="4">
        <f t="shared" ref="N18:N31" si="7">K18-M18</f>
        <v>0</v>
      </c>
      <c r="O18" s="43">
        <f t="shared" ref="O18:O31" si="8">M18+N18</f>
        <v>0</v>
      </c>
      <c r="Q18" s="4">
        <f t="shared" ref="Q18:Q30" si="9">K18-M18</f>
        <v>0</v>
      </c>
      <c r="R18" s="4">
        <f t="shared" ref="R18:R30" si="10">N18-Q18</f>
        <v>0</v>
      </c>
      <c r="S18" s="4">
        <f t="shared" si="6"/>
        <v>0</v>
      </c>
      <c r="T18" s="4">
        <f t="shared" ref="T18:T30" si="11">K18-S18</f>
        <v>0</v>
      </c>
    </row>
    <row r="19" spans="1:20" x14ac:dyDescent="0.2">
      <c r="A19" s="58"/>
      <c r="B19" s="59"/>
      <c r="C19" s="60"/>
      <c r="D19" s="60"/>
      <c r="E19" s="13"/>
      <c r="F19" s="13"/>
      <c r="G19" s="13"/>
      <c r="H19" s="13"/>
      <c r="I19" s="13"/>
      <c r="J19" s="13"/>
      <c r="K19" s="13"/>
      <c r="L19" s="8">
        <f t="shared" si="0"/>
        <v>310639.28000000009</v>
      </c>
      <c r="M19" s="42"/>
      <c r="N19" s="4">
        <f t="shared" si="7"/>
        <v>0</v>
      </c>
      <c r="O19" s="43">
        <f t="shared" si="8"/>
        <v>0</v>
      </c>
      <c r="Q19" s="4">
        <f t="shared" si="9"/>
        <v>0</v>
      </c>
      <c r="R19" s="4">
        <f t="shared" si="10"/>
        <v>0</v>
      </c>
      <c r="S19" s="4">
        <f t="shared" si="6"/>
        <v>0</v>
      </c>
      <c r="T19" s="4">
        <f t="shared" si="11"/>
        <v>0</v>
      </c>
    </row>
    <row r="20" spans="1:20" x14ac:dyDescent="0.2">
      <c r="A20" s="65"/>
      <c r="B20" s="66"/>
      <c r="C20" s="67"/>
      <c r="D20" s="67"/>
      <c r="E20" s="13"/>
      <c r="F20" s="13"/>
      <c r="G20" s="13"/>
      <c r="H20" s="13"/>
      <c r="I20" s="13"/>
      <c r="J20" s="13"/>
      <c r="K20" s="13"/>
      <c r="L20" s="8">
        <f t="shared" si="0"/>
        <v>310639.28000000009</v>
      </c>
      <c r="M20" s="42"/>
      <c r="N20" s="4">
        <f t="shared" si="7"/>
        <v>0</v>
      </c>
      <c r="O20" s="43">
        <f t="shared" si="8"/>
        <v>0</v>
      </c>
      <c r="Q20" s="4">
        <f t="shared" si="9"/>
        <v>0</v>
      </c>
      <c r="R20" s="4">
        <f t="shared" si="10"/>
        <v>0</v>
      </c>
      <c r="S20" s="4">
        <f t="shared" si="6"/>
        <v>0</v>
      </c>
      <c r="T20" s="4">
        <f t="shared" si="11"/>
        <v>0</v>
      </c>
    </row>
    <row r="21" spans="1:20" x14ac:dyDescent="0.2">
      <c r="A21" s="68"/>
      <c r="B21" s="69"/>
      <c r="C21" s="70"/>
      <c r="D21" s="70"/>
      <c r="E21" s="13"/>
      <c r="F21" s="13"/>
      <c r="G21" s="13"/>
      <c r="H21" s="13"/>
      <c r="I21" s="13"/>
      <c r="J21" s="13"/>
      <c r="K21" s="13"/>
      <c r="L21" s="8">
        <f t="shared" si="0"/>
        <v>310639.28000000009</v>
      </c>
      <c r="M21" s="42"/>
      <c r="N21" s="4">
        <f t="shared" si="7"/>
        <v>0</v>
      </c>
      <c r="O21" s="43">
        <f t="shared" si="8"/>
        <v>0</v>
      </c>
      <c r="Q21" s="4">
        <f t="shared" si="9"/>
        <v>0</v>
      </c>
      <c r="R21" s="4">
        <f t="shared" si="10"/>
        <v>0</v>
      </c>
      <c r="S21" s="4">
        <f t="shared" si="6"/>
        <v>0</v>
      </c>
      <c r="T21" s="4">
        <f t="shared" si="11"/>
        <v>0</v>
      </c>
    </row>
    <row r="22" spans="1:20" x14ac:dyDescent="0.2">
      <c r="A22" s="71"/>
      <c r="B22" s="72"/>
      <c r="C22" s="73"/>
      <c r="D22" s="73"/>
      <c r="E22" s="13"/>
      <c r="F22" s="13"/>
      <c r="G22" s="13"/>
      <c r="H22" s="13"/>
      <c r="I22" s="13"/>
      <c r="J22" s="13"/>
      <c r="K22" s="13"/>
      <c r="L22" s="8">
        <f t="shared" ref="L22:L30" si="12">K22+L21</f>
        <v>310639.28000000009</v>
      </c>
      <c r="M22" s="42"/>
      <c r="N22" s="4">
        <f t="shared" si="7"/>
        <v>0</v>
      </c>
      <c r="O22" s="43">
        <f t="shared" si="8"/>
        <v>0</v>
      </c>
      <c r="Q22" s="4">
        <f t="shared" si="9"/>
        <v>0</v>
      </c>
      <c r="R22" s="4">
        <f t="shared" si="10"/>
        <v>0</v>
      </c>
      <c r="S22" s="4">
        <f t="shared" si="6"/>
        <v>0</v>
      </c>
      <c r="T22" s="4">
        <f t="shared" si="11"/>
        <v>0</v>
      </c>
    </row>
    <row r="23" spans="1:20" x14ac:dyDescent="0.2">
      <c r="A23" s="44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12"/>
        <v>310639.28000000009</v>
      </c>
      <c r="M23" s="42"/>
      <c r="N23" s="4">
        <f t="shared" si="7"/>
        <v>0</v>
      </c>
      <c r="O23" s="43">
        <f t="shared" si="8"/>
        <v>0</v>
      </c>
      <c r="Q23" s="4">
        <f t="shared" si="9"/>
        <v>0</v>
      </c>
      <c r="R23" s="4">
        <f t="shared" si="10"/>
        <v>0</v>
      </c>
      <c r="S23" s="4">
        <f t="shared" si="6"/>
        <v>0</v>
      </c>
      <c r="T23" s="4">
        <f t="shared" si="11"/>
        <v>0</v>
      </c>
    </row>
    <row r="24" spans="1:20" x14ac:dyDescent="0.2">
      <c r="A24" s="75"/>
      <c r="B24" s="77"/>
      <c r="C24" s="76"/>
      <c r="D24" s="76"/>
      <c r="E24" s="13"/>
      <c r="F24" s="13"/>
      <c r="G24" s="13"/>
      <c r="H24" s="13"/>
      <c r="I24" s="13"/>
      <c r="J24" s="13"/>
      <c r="K24" s="13"/>
      <c r="L24" s="8">
        <f t="shared" si="12"/>
        <v>310639.28000000009</v>
      </c>
      <c r="M24" s="42"/>
      <c r="N24" s="4">
        <f t="shared" si="7"/>
        <v>0</v>
      </c>
      <c r="O24" s="43">
        <f t="shared" si="8"/>
        <v>0</v>
      </c>
      <c r="Q24" s="4">
        <f t="shared" si="9"/>
        <v>0</v>
      </c>
      <c r="R24" s="4">
        <f t="shared" si="10"/>
        <v>0</v>
      </c>
      <c r="S24" s="4">
        <f t="shared" si="6"/>
        <v>0</v>
      </c>
      <c r="T24" s="4">
        <f t="shared" si="11"/>
        <v>0</v>
      </c>
    </row>
    <row r="25" spans="1:20" x14ac:dyDescent="0.2">
      <c r="A25" s="78"/>
      <c r="B25" s="80"/>
      <c r="C25" s="79"/>
      <c r="D25" s="79"/>
      <c r="E25" s="13"/>
      <c r="F25" s="13"/>
      <c r="G25" s="13"/>
      <c r="H25" s="13"/>
      <c r="I25" s="13"/>
      <c r="J25" s="13"/>
      <c r="K25" s="13"/>
      <c r="L25" s="8">
        <f t="shared" si="12"/>
        <v>310639.28000000009</v>
      </c>
      <c r="M25" s="42"/>
      <c r="N25" s="4">
        <f t="shared" si="7"/>
        <v>0</v>
      </c>
      <c r="O25" s="43">
        <f t="shared" si="8"/>
        <v>0</v>
      </c>
      <c r="Q25" s="4">
        <f t="shared" si="9"/>
        <v>0</v>
      </c>
      <c r="R25" s="4">
        <f t="shared" si="10"/>
        <v>0</v>
      </c>
      <c r="S25" s="4">
        <f t="shared" si="6"/>
        <v>0</v>
      </c>
      <c r="T25" s="4">
        <f t="shared" si="11"/>
        <v>0</v>
      </c>
    </row>
    <row r="26" spans="1:20" x14ac:dyDescent="0.2">
      <c r="A26" s="81"/>
      <c r="B26" s="83"/>
      <c r="C26" s="82"/>
      <c r="D26" s="82"/>
      <c r="E26" s="13"/>
      <c r="F26" s="13"/>
      <c r="G26" s="13"/>
      <c r="H26" s="13"/>
      <c r="I26" s="13"/>
      <c r="J26" s="13"/>
      <c r="K26" s="13"/>
      <c r="L26" s="8">
        <f t="shared" si="12"/>
        <v>310639.28000000009</v>
      </c>
      <c r="M26" s="42"/>
      <c r="N26" s="4">
        <f t="shared" si="7"/>
        <v>0</v>
      </c>
      <c r="O26" s="43">
        <f t="shared" si="8"/>
        <v>0</v>
      </c>
      <c r="Q26" s="4">
        <f t="shared" si="9"/>
        <v>0</v>
      </c>
      <c r="R26" s="4">
        <f t="shared" si="10"/>
        <v>0</v>
      </c>
      <c r="S26" s="4">
        <f t="shared" si="6"/>
        <v>0</v>
      </c>
      <c r="T26" s="4">
        <f t="shared" si="11"/>
        <v>0</v>
      </c>
    </row>
    <row r="27" spans="1:20" x14ac:dyDescent="0.2">
      <c r="A27" s="84"/>
      <c r="B27" s="86"/>
      <c r="C27" s="85"/>
      <c r="D27" s="85"/>
      <c r="E27" s="13"/>
      <c r="F27" s="13"/>
      <c r="G27" s="13"/>
      <c r="H27" s="13"/>
      <c r="I27" s="13"/>
      <c r="J27" s="13"/>
      <c r="K27" s="13"/>
      <c r="L27" s="8">
        <f t="shared" si="12"/>
        <v>310639.28000000009</v>
      </c>
      <c r="M27" s="42"/>
      <c r="N27" s="4">
        <f t="shared" si="7"/>
        <v>0</v>
      </c>
      <c r="O27" s="43">
        <f t="shared" si="8"/>
        <v>0</v>
      </c>
      <c r="Q27" s="4">
        <f t="shared" si="9"/>
        <v>0</v>
      </c>
      <c r="R27" s="4">
        <f t="shared" si="10"/>
        <v>0</v>
      </c>
      <c r="S27" s="4">
        <f t="shared" si="6"/>
        <v>0</v>
      </c>
      <c r="T27" s="4">
        <f t="shared" si="11"/>
        <v>0</v>
      </c>
    </row>
    <row r="28" spans="1:20" x14ac:dyDescent="0.2">
      <c r="A28" s="84"/>
      <c r="B28" s="86"/>
      <c r="C28" s="85"/>
      <c r="D28" s="85"/>
      <c r="E28" s="13"/>
      <c r="F28" s="13"/>
      <c r="G28" s="13"/>
      <c r="H28" s="13"/>
      <c r="I28" s="13"/>
      <c r="J28" s="13"/>
      <c r="K28" s="13"/>
      <c r="L28" s="8">
        <f t="shared" si="12"/>
        <v>310639.28000000009</v>
      </c>
      <c r="M28" s="42"/>
      <c r="N28" s="4">
        <f t="shared" si="7"/>
        <v>0</v>
      </c>
      <c r="O28" s="43">
        <f t="shared" si="8"/>
        <v>0</v>
      </c>
      <c r="Q28" s="4">
        <f t="shared" si="9"/>
        <v>0</v>
      </c>
      <c r="R28" s="4">
        <f t="shared" si="10"/>
        <v>0</v>
      </c>
      <c r="S28" s="4">
        <f t="shared" si="6"/>
        <v>0</v>
      </c>
      <c r="T28" s="4">
        <f t="shared" si="11"/>
        <v>0</v>
      </c>
    </row>
    <row r="29" spans="1:20" x14ac:dyDescent="0.2">
      <c r="A29" s="87"/>
      <c r="B29" s="89"/>
      <c r="C29" s="88"/>
      <c r="D29" s="88"/>
      <c r="E29" s="13"/>
      <c r="F29" s="13"/>
      <c r="G29" s="13"/>
      <c r="H29" s="13"/>
      <c r="I29" s="13"/>
      <c r="J29" s="13"/>
      <c r="K29" s="13"/>
      <c r="L29" s="8">
        <f t="shared" si="12"/>
        <v>310639.28000000009</v>
      </c>
      <c r="M29" s="42"/>
      <c r="N29" s="4">
        <f t="shared" si="7"/>
        <v>0</v>
      </c>
      <c r="O29" s="43">
        <f t="shared" si="8"/>
        <v>0</v>
      </c>
      <c r="Q29" s="4">
        <f t="shared" si="9"/>
        <v>0</v>
      </c>
      <c r="R29" s="4">
        <f t="shared" si="10"/>
        <v>0</v>
      </c>
      <c r="S29" s="4">
        <f t="shared" si="6"/>
        <v>0</v>
      </c>
      <c r="T29" s="4">
        <f t="shared" si="11"/>
        <v>0</v>
      </c>
    </row>
    <row r="30" spans="1:20" x14ac:dyDescent="0.2">
      <c r="A30" s="44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12"/>
        <v>310639.28000000009</v>
      </c>
      <c r="M30" s="42"/>
      <c r="N30" s="4">
        <f t="shared" si="7"/>
        <v>0</v>
      </c>
      <c r="O30" s="43">
        <f t="shared" si="8"/>
        <v>0</v>
      </c>
      <c r="Q30" s="4">
        <f t="shared" si="9"/>
        <v>0</v>
      </c>
      <c r="R30" s="4">
        <f t="shared" si="10"/>
        <v>0</v>
      </c>
      <c r="S30" s="4">
        <f t="shared" si="6"/>
        <v>0</v>
      </c>
      <c r="T30" s="4">
        <f t="shared" si="11"/>
        <v>0</v>
      </c>
    </row>
    <row r="31" spans="1:20" ht="16" customHeight="1" x14ac:dyDescent="0.2">
      <c r="A31" t="s">
        <v>37</v>
      </c>
      <c r="B31" s="49"/>
      <c r="C31" s="50"/>
      <c r="D31" s="50"/>
      <c r="E31" s="13"/>
      <c r="F31" s="13"/>
      <c r="G31" s="13"/>
      <c r="H31" s="13">
        <v>0</v>
      </c>
      <c r="I31" s="13">
        <v>0</v>
      </c>
      <c r="J31" s="13">
        <v>0</v>
      </c>
      <c r="K31" s="13"/>
      <c r="L31" s="13"/>
      <c r="M31" s="42"/>
      <c r="N31" s="4">
        <f t="shared" si="7"/>
        <v>0</v>
      </c>
      <c r="O31" s="43">
        <f t="shared" si="8"/>
        <v>0</v>
      </c>
      <c r="Q31" s="4">
        <f t="shared" ref="Q31" si="13">K31-M31</f>
        <v>0</v>
      </c>
      <c r="R31" s="4">
        <f t="shared" ref="R31" si="14">N31-Q31</f>
        <v>0</v>
      </c>
      <c r="S31" s="4">
        <f t="shared" ref="S31" si="15">K31*0</f>
        <v>0</v>
      </c>
      <c r="T31" s="4">
        <f t="shared" ref="T31" si="16">K31-S31</f>
        <v>0</v>
      </c>
    </row>
    <row r="32" spans="1:20" x14ac:dyDescent="0.2">
      <c r="B32" s="19" t="s">
        <v>35</v>
      </c>
      <c r="D32" s="20">
        <f>SUM(E32:G32)</f>
        <v>310639.28000000003</v>
      </c>
      <c r="E32" s="4">
        <f t="shared" ref="E32:K32" si="17">SUM(E5:E31)</f>
        <v>151506.94</v>
      </c>
      <c r="F32" s="4">
        <f t="shared" si="17"/>
        <v>133421.79000000004</v>
      </c>
      <c r="G32" s="4">
        <f t="shared" si="17"/>
        <v>25710.550000000003</v>
      </c>
      <c r="H32" s="4">
        <f t="shared" si="17"/>
        <v>0</v>
      </c>
      <c r="I32" s="4">
        <f t="shared" si="17"/>
        <v>0</v>
      </c>
      <c r="J32" s="4">
        <f t="shared" si="17"/>
        <v>0</v>
      </c>
      <c r="K32" s="20">
        <f t="shared" si="17"/>
        <v>310639.28000000009</v>
      </c>
      <c r="M32" s="51">
        <f>SUM(M5:M31)</f>
        <v>22490.91</v>
      </c>
      <c r="N32" s="52">
        <f>SUM(N5:N31)</f>
        <v>288148.37000000005</v>
      </c>
      <c r="O32" s="53">
        <f>SUM(O5:O31)</f>
        <v>310639.28000000009</v>
      </c>
      <c r="Q32"/>
    </row>
    <row r="33" spans="1:18" x14ac:dyDescent="0.2">
      <c r="B33" s="19"/>
      <c r="D33" s="20"/>
      <c r="E33" s="4"/>
      <c r="F33" s="20"/>
      <c r="G33" s="4"/>
      <c r="H33" s="4"/>
      <c r="I33" s="4"/>
      <c r="J33" s="4"/>
      <c r="K33" s="20"/>
      <c r="Q33"/>
    </row>
    <row r="34" spans="1:18" x14ac:dyDescent="0.2">
      <c r="C34" s="32" t="s">
        <v>38</v>
      </c>
      <c r="D34" s="30">
        <f>M32</f>
        <v>22490.91</v>
      </c>
      <c r="Q34"/>
    </row>
    <row r="35" spans="1:18" x14ac:dyDescent="0.2">
      <c r="C35" s="32" t="s">
        <v>23</v>
      </c>
      <c r="D35" s="54"/>
      <c r="Q35"/>
    </row>
    <row r="36" spans="1:18" x14ac:dyDescent="0.2">
      <c r="C36" s="32" t="s">
        <v>24</v>
      </c>
      <c r="D36" s="20">
        <f>SUM(D34:D35)</f>
        <v>22490.91</v>
      </c>
    </row>
    <row r="38" spans="1:18" x14ac:dyDescent="0.2">
      <c r="A38" s="44"/>
      <c r="B38" s="6"/>
      <c r="C38" s="7"/>
      <c r="D38" s="7"/>
      <c r="E38" s="13"/>
      <c r="F38" s="13"/>
      <c r="G38" s="13"/>
      <c r="H38" s="13"/>
      <c r="I38" s="13"/>
      <c r="J38" s="13"/>
      <c r="K38" s="13"/>
      <c r="L38" s="8"/>
      <c r="R38" s="4"/>
    </row>
  </sheetData>
  <conditionalFormatting sqref="C1">
    <cfRule type="duplicateValues" dxfId="96" priority="13"/>
  </conditionalFormatting>
  <conditionalFormatting sqref="C2">
    <cfRule type="duplicateValues" dxfId="95" priority="14"/>
  </conditionalFormatting>
  <conditionalFormatting sqref="C3">
    <cfRule type="duplicateValues" dxfId="94" priority="6"/>
  </conditionalFormatting>
  <conditionalFormatting sqref="C4:C5">
    <cfRule type="duplicateValues" dxfId="93" priority="11"/>
  </conditionalFormatting>
  <conditionalFormatting sqref="C7">
    <cfRule type="duplicateValues" dxfId="92" priority="3"/>
  </conditionalFormatting>
  <conditionalFormatting sqref="C9:C11">
    <cfRule type="duplicateValues" dxfId="91" priority="161"/>
  </conditionalFormatting>
  <conditionalFormatting sqref="C12:C15">
    <cfRule type="duplicateValues" dxfId="90" priority="173"/>
  </conditionalFormatting>
  <conditionalFormatting sqref="C16">
    <cfRule type="duplicateValues" dxfId="89" priority="5"/>
  </conditionalFormatting>
  <conditionalFormatting sqref="C17">
    <cfRule type="duplicateValues" dxfId="88" priority="4"/>
  </conditionalFormatting>
  <conditionalFormatting sqref="C19:C22">
    <cfRule type="duplicateValues" dxfId="87" priority="16"/>
  </conditionalFormatting>
  <conditionalFormatting sqref="C24:C29">
    <cfRule type="duplicateValues" dxfId="86" priority="20"/>
  </conditionalFormatting>
  <conditionalFormatting sqref="C30 C23 C6">
    <cfRule type="duplicateValues" dxfId="85" priority="18"/>
    <cfRule type="duplicateValues" dxfId="84" priority="19"/>
  </conditionalFormatting>
  <conditionalFormatting sqref="C31">
    <cfRule type="duplicateValues" dxfId="83" priority="8"/>
  </conditionalFormatting>
  <conditionalFormatting sqref="C31:C1048576 C1:C5">
    <cfRule type="duplicateValues" dxfId="82" priority="17"/>
  </conditionalFormatting>
  <conditionalFormatting sqref="C32:C33">
    <cfRule type="duplicateValues" dxfId="81" priority="7"/>
  </conditionalFormatting>
  <conditionalFormatting sqref="C36">
    <cfRule type="duplicateValues" dxfId="80" priority="9"/>
  </conditionalFormatting>
  <conditionalFormatting sqref="C37">
    <cfRule type="duplicateValues" dxfId="79" priority="10"/>
  </conditionalFormatting>
  <conditionalFormatting sqref="C38">
    <cfRule type="duplicateValues" dxfId="78" priority="12"/>
  </conditionalFormatting>
  <conditionalFormatting sqref="C40:C1048576">
    <cfRule type="duplicateValues" dxfId="77" priority="15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90"/>
    <pageSetUpPr fitToPage="1"/>
  </sheetPr>
  <dimension ref="A1:O44"/>
  <sheetViews>
    <sheetView workbookViewId="0">
      <selection activeCell="B48" sqref="B48"/>
    </sheetView>
  </sheetViews>
  <sheetFormatPr baseColWidth="10" defaultRowHeight="16" x14ac:dyDescent="0.2"/>
  <cols>
    <col min="1" max="1" width="7" style="7" customWidth="1"/>
    <col min="2" max="2" width="26.5" customWidth="1"/>
    <col min="4" max="4" width="16" customWidth="1"/>
    <col min="5" max="5" width="14.16406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3" width="14.83203125" style="4" customWidth="1"/>
    <col min="14" max="14" width="1.83203125" customWidth="1"/>
  </cols>
  <sheetData>
    <row r="1" spans="1:15" ht="21" x14ac:dyDescent="0.25">
      <c r="A1"/>
      <c r="B1" s="23" t="s">
        <v>20</v>
      </c>
      <c r="C1" s="6"/>
      <c r="D1" s="6"/>
      <c r="E1" s="4"/>
      <c r="L1"/>
      <c r="M1"/>
    </row>
    <row r="2" spans="1:15" ht="21" x14ac:dyDescent="0.25">
      <c r="A2"/>
      <c r="B2" s="23" t="s">
        <v>142</v>
      </c>
      <c r="C2" s="6"/>
      <c r="D2" s="6"/>
      <c r="E2" s="4"/>
      <c r="L2"/>
      <c r="M2"/>
    </row>
    <row r="3" spans="1:15" x14ac:dyDescent="0.2">
      <c r="A3" s="1" t="s">
        <v>0</v>
      </c>
      <c r="B3" s="1" t="s">
        <v>1</v>
      </c>
      <c r="C3" s="1" t="s">
        <v>21</v>
      </c>
      <c r="D3" s="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M3" s="24" t="s">
        <v>26</v>
      </c>
      <c r="O3" s="24"/>
    </row>
    <row r="4" spans="1:15" x14ac:dyDescent="0.2">
      <c r="A4"/>
      <c r="B4" s="6"/>
      <c r="C4" s="7"/>
      <c r="D4" s="7"/>
      <c r="E4" s="4"/>
      <c r="F4" s="4"/>
      <c r="G4" s="4"/>
      <c r="H4" s="4"/>
      <c r="I4" s="4"/>
      <c r="J4" s="4"/>
      <c r="K4" s="4"/>
      <c r="L4" s="8"/>
    </row>
    <row r="5" spans="1:15" x14ac:dyDescent="0.2">
      <c r="A5"/>
      <c r="B5" s="6" t="s">
        <v>139</v>
      </c>
      <c r="C5" s="7">
        <v>1</v>
      </c>
      <c r="D5" s="7"/>
      <c r="E5" s="4"/>
      <c r="F5" s="4">
        <v>1582669.93</v>
      </c>
      <c r="G5" s="4"/>
      <c r="H5" s="4"/>
      <c r="I5" s="4"/>
      <c r="J5" s="4"/>
      <c r="K5" s="4">
        <f>F5*L16</f>
        <v>5855.8787410000004</v>
      </c>
      <c r="L5" s="8"/>
      <c r="M5" s="4">
        <f>K5*1.11</f>
        <v>6500.0254025100012</v>
      </c>
    </row>
    <row r="6" spans="1:15" x14ac:dyDescent="0.2">
      <c r="A6" s="25"/>
      <c r="B6" s="6" t="s">
        <v>22</v>
      </c>
      <c r="C6" s="26">
        <v>2</v>
      </c>
      <c r="D6" s="7"/>
      <c r="E6" s="13"/>
      <c r="F6" s="13">
        <v>1402335.64</v>
      </c>
      <c r="G6" s="13"/>
      <c r="H6" s="13"/>
      <c r="I6" s="13"/>
      <c r="J6" s="13"/>
      <c r="K6" s="4">
        <f>F6*$L16</f>
        <v>5188.6418679999997</v>
      </c>
      <c r="L6" s="8"/>
      <c r="M6" s="4">
        <f t="shared" ref="M6:M26" si="0">K6*1.11</f>
        <v>5759.3924734800003</v>
      </c>
    </row>
    <row r="7" spans="1:15" x14ac:dyDescent="0.2">
      <c r="A7" s="25"/>
      <c r="B7" s="6" t="s">
        <v>140</v>
      </c>
      <c r="C7" s="26">
        <v>3</v>
      </c>
      <c r="D7" s="7"/>
      <c r="E7" s="13"/>
      <c r="F7" s="13">
        <v>0</v>
      </c>
      <c r="G7" s="13"/>
      <c r="H7" s="13"/>
      <c r="I7" s="13"/>
      <c r="J7" s="13"/>
      <c r="K7" s="4">
        <f>F7*$L16</f>
        <v>0</v>
      </c>
      <c r="L7" s="8"/>
      <c r="M7" s="4">
        <f t="shared" si="0"/>
        <v>0</v>
      </c>
    </row>
    <row r="8" spans="1:15" x14ac:dyDescent="0.2">
      <c r="A8" s="25"/>
      <c r="B8" s="6" t="s">
        <v>27</v>
      </c>
      <c r="C8" s="26">
        <v>4</v>
      </c>
      <c r="D8" s="7"/>
      <c r="E8" s="13"/>
      <c r="F8" s="13">
        <v>477566.06</v>
      </c>
      <c r="G8" s="13"/>
      <c r="H8" s="13"/>
      <c r="I8" s="13"/>
      <c r="J8" s="13"/>
      <c r="K8" s="4">
        <f>F8*$L16</f>
        <v>1766.994422</v>
      </c>
      <c r="L8" s="8"/>
      <c r="M8" s="4">
        <f t="shared" si="0"/>
        <v>1961.3638084200002</v>
      </c>
    </row>
    <row r="9" spans="1:15" x14ac:dyDescent="0.2">
      <c r="A9" s="25"/>
      <c r="B9" s="6" t="s">
        <v>70</v>
      </c>
      <c r="C9" s="26">
        <v>5</v>
      </c>
      <c r="D9" s="7"/>
      <c r="E9" s="13"/>
      <c r="F9" s="13">
        <v>1111397.3600000001</v>
      </c>
      <c r="G9" s="13"/>
      <c r="H9" s="13"/>
      <c r="I9" s="13"/>
      <c r="J9" s="13"/>
      <c r="K9" s="4">
        <f>F9*$L16</f>
        <v>4112.1702320000004</v>
      </c>
      <c r="L9" s="8"/>
      <c r="M9" s="4">
        <f t="shared" si="0"/>
        <v>4564.5089575200009</v>
      </c>
    </row>
    <row r="10" spans="1:15" x14ac:dyDescent="0.2">
      <c r="A10" s="25"/>
      <c r="B10" s="6" t="s">
        <v>71</v>
      </c>
      <c r="C10" s="26">
        <v>6</v>
      </c>
      <c r="D10" s="7"/>
      <c r="E10" s="13"/>
      <c r="F10" s="13">
        <v>1364284.27</v>
      </c>
      <c r="G10" s="13"/>
      <c r="H10" s="13"/>
      <c r="I10" s="13"/>
      <c r="J10" s="13"/>
      <c r="K10" s="4">
        <f>F10*$L16</f>
        <v>5047.851799</v>
      </c>
      <c r="M10" s="4">
        <f t="shared" si="0"/>
        <v>5603.1154968900009</v>
      </c>
    </row>
    <row r="11" spans="1:15" x14ac:dyDescent="0.2">
      <c r="B11" s="6" t="s">
        <v>104</v>
      </c>
      <c r="C11" s="7">
        <v>7</v>
      </c>
      <c r="F11" s="4">
        <f>'CLX2'!F240</f>
        <v>1710248.9299999997</v>
      </c>
      <c r="K11" s="4">
        <f>F11*$L16</f>
        <v>6327.9210409999996</v>
      </c>
      <c r="M11" s="4">
        <f t="shared" si="0"/>
        <v>7023.9923555100004</v>
      </c>
    </row>
    <row r="12" spans="1:15" x14ac:dyDescent="0.2">
      <c r="B12" s="6"/>
      <c r="C12" s="7"/>
      <c r="K12" s="4">
        <f>F12*$L16</f>
        <v>0</v>
      </c>
      <c r="M12" s="4">
        <f t="shared" si="0"/>
        <v>0</v>
      </c>
    </row>
    <row r="13" spans="1:15" x14ac:dyDescent="0.2">
      <c r="B13" s="6"/>
      <c r="C13" s="7"/>
      <c r="K13" s="4">
        <f>F13*$L16</f>
        <v>0</v>
      </c>
      <c r="M13" s="4">
        <f t="shared" si="0"/>
        <v>0</v>
      </c>
    </row>
    <row r="14" spans="1:15" x14ac:dyDescent="0.2">
      <c r="B14" s="6"/>
      <c r="C14" s="7"/>
      <c r="K14" s="4">
        <f>F14*$L16</f>
        <v>0</v>
      </c>
      <c r="M14" s="4">
        <f t="shared" si="0"/>
        <v>0</v>
      </c>
    </row>
    <row r="15" spans="1:15" x14ac:dyDescent="0.2">
      <c r="B15" s="6"/>
      <c r="C15" s="7"/>
      <c r="K15" s="4">
        <f>F15*$L16</f>
        <v>0</v>
      </c>
      <c r="M15" s="4">
        <f t="shared" si="0"/>
        <v>0</v>
      </c>
    </row>
    <row r="16" spans="1:15" x14ac:dyDescent="0.2">
      <c r="B16" s="6"/>
      <c r="C16" s="7"/>
      <c r="K16" s="4">
        <f>F16*$L16</f>
        <v>0</v>
      </c>
      <c r="L16" s="27">
        <v>3.7000000000000002E-3</v>
      </c>
      <c r="M16" s="4">
        <f t="shared" si="0"/>
        <v>0</v>
      </c>
    </row>
    <row r="17" spans="2:13" x14ac:dyDescent="0.2">
      <c r="B17" s="6"/>
      <c r="C17" s="7"/>
      <c r="K17" s="4">
        <f>F17*$L16</f>
        <v>0</v>
      </c>
      <c r="M17" s="4">
        <f t="shared" si="0"/>
        <v>0</v>
      </c>
    </row>
    <row r="18" spans="2:13" x14ac:dyDescent="0.2">
      <c r="B18" s="6"/>
      <c r="C18" s="7"/>
      <c r="K18" s="4">
        <f>F18*$L16</f>
        <v>0</v>
      </c>
      <c r="M18" s="4">
        <f t="shared" si="0"/>
        <v>0</v>
      </c>
    </row>
    <row r="19" spans="2:13" x14ac:dyDescent="0.2">
      <c r="B19" s="6"/>
      <c r="C19" s="7"/>
      <c r="K19" s="4">
        <f>F19*$L16</f>
        <v>0</v>
      </c>
      <c r="M19" s="4">
        <f t="shared" si="0"/>
        <v>0</v>
      </c>
    </row>
    <row r="20" spans="2:13" x14ac:dyDescent="0.2">
      <c r="B20" s="6"/>
      <c r="C20" s="7"/>
      <c r="K20" s="4">
        <f>F20*$L16</f>
        <v>0</v>
      </c>
      <c r="M20" s="4">
        <f t="shared" si="0"/>
        <v>0</v>
      </c>
    </row>
    <row r="21" spans="2:13" x14ac:dyDescent="0.2">
      <c r="B21" s="6"/>
      <c r="C21" s="7"/>
      <c r="K21" s="4">
        <f>F21*$L16</f>
        <v>0</v>
      </c>
      <c r="M21" s="4">
        <f t="shared" si="0"/>
        <v>0</v>
      </c>
    </row>
    <row r="22" spans="2:13" x14ac:dyDescent="0.2">
      <c r="B22" s="6"/>
      <c r="C22" s="7"/>
      <c r="K22" s="4">
        <f>F22*$L16</f>
        <v>0</v>
      </c>
      <c r="M22" s="4">
        <f t="shared" si="0"/>
        <v>0</v>
      </c>
    </row>
    <row r="23" spans="2:13" x14ac:dyDescent="0.2">
      <c r="B23" s="6"/>
      <c r="C23" s="7"/>
      <c r="K23" s="4">
        <f>F23*$L16</f>
        <v>0</v>
      </c>
      <c r="M23" s="4">
        <f t="shared" si="0"/>
        <v>0</v>
      </c>
    </row>
    <row r="24" spans="2:13" x14ac:dyDescent="0.2">
      <c r="B24" s="28"/>
      <c r="C24" s="7"/>
      <c r="K24" s="4">
        <f>F24*$L16</f>
        <v>0</v>
      </c>
      <c r="M24" s="4">
        <f t="shared" si="0"/>
        <v>0</v>
      </c>
    </row>
    <row r="25" spans="2:13" x14ac:dyDescent="0.2">
      <c r="B25" s="28"/>
      <c r="C25" s="7"/>
      <c r="K25" s="4">
        <f>F25*$L16</f>
        <v>0</v>
      </c>
      <c r="M25" s="4">
        <f t="shared" si="0"/>
        <v>0</v>
      </c>
    </row>
    <row r="26" spans="2:13" x14ac:dyDescent="0.2">
      <c r="B26" s="28"/>
      <c r="C26" s="7"/>
      <c r="K26" s="4">
        <f>F26*$L16</f>
        <v>0</v>
      </c>
      <c r="M26" s="4">
        <f t="shared" si="0"/>
        <v>0</v>
      </c>
    </row>
    <row r="27" spans="2:13" x14ac:dyDescent="0.2">
      <c r="B27" s="28"/>
      <c r="C27" s="7"/>
      <c r="K27" s="4"/>
    </row>
    <row r="33" spans="1:15" x14ac:dyDescent="0.2">
      <c r="B33" s="6"/>
      <c r="C33" s="7"/>
      <c r="D33" s="7"/>
      <c r="E33" s="4"/>
      <c r="F33" s="4"/>
      <c r="G33" s="4"/>
      <c r="H33" s="4"/>
      <c r="I33" s="4"/>
      <c r="J33" s="4"/>
      <c r="K33" s="4"/>
      <c r="L33" s="29"/>
    </row>
    <row r="34" spans="1:15" x14ac:dyDescent="0.2">
      <c r="B34" s="19"/>
      <c r="D34" s="20">
        <f>SUM(E34:G34)</f>
        <v>7648502.1899999995</v>
      </c>
      <c r="E34" s="4">
        <f t="shared" ref="E34:J34" si="1">SUM(E4:E33)</f>
        <v>0</v>
      </c>
      <c r="F34" s="20">
        <f t="shared" si="1"/>
        <v>7648502.1899999995</v>
      </c>
      <c r="G34" s="4">
        <f t="shared" si="1"/>
        <v>0</v>
      </c>
      <c r="H34" s="4">
        <f t="shared" si="1"/>
        <v>0</v>
      </c>
      <c r="I34" s="4">
        <f t="shared" si="1"/>
        <v>0</v>
      </c>
      <c r="J34" s="4">
        <f t="shared" si="1"/>
        <v>0</v>
      </c>
      <c r="K34" s="20">
        <f>SUM(K4:K33)</f>
        <v>28299.458102999997</v>
      </c>
      <c r="M34" s="4">
        <f>SUM(M5:M33)</f>
        <v>31412.398494330002</v>
      </c>
    </row>
    <row r="35" spans="1:15" x14ac:dyDescent="0.2">
      <c r="F35" s="20">
        <f>E34+G34</f>
        <v>0</v>
      </c>
      <c r="M35"/>
    </row>
    <row r="37" spans="1:15" x14ac:dyDescent="0.2">
      <c r="F37" s="20"/>
      <c r="M37"/>
    </row>
    <row r="38" spans="1:15" s="4" customFormat="1" x14ac:dyDescent="0.2">
      <c r="A38" s="7"/>
      <c r="B38"/>
      <c r="C38" s="32" t="s">
        <v>141</v>
      </c>
      <c r="D38" s="30">
        <f>K11</f>
        <v>6327.9210409999996</v>
      </c>
      <c r="E38" s="31"/>
      <c r="F38"/>
      <c r="G38"/>
      <c r="H38"/>
      <c r="I38"/>
      <c r="J38"/>
      <c r="K38"/>
      <c r="L38" s="3"/>
      <c r="N38"/>
      <c r="O38"/>
    </row>
    <row r="39" spans="1:15" s="4" customFormat="1" x14ac:dyDescent="0.2">
      <c r="A39" s="7"/>
      <c r="B39"/>
      <c r="C39" s="32" t="s">
        <v>23</v>
      </c>
      <c r="D39" s="20">
        <f>SUM(K4)</f>
        <v>0</v>
      </c>
      <c r="E39" s="31"/>
      <c r="F39"/>
      <c r="G39"/>
      <c r="H39"/>
      <c r="I39"/>
      <c r="J39"/>
      <c r="K39"/>
      <c r="L39" s="3"/>
      <c r="N39"/>
      <c r="O39"/>
    </row>
    <row r="40" spans="1:15" s="4" customFormat="1" x14ac:dyDescent="0.2">
      <c r="A40" s="7"/>
      <c r="B40" s="32"/>
      <c r="C40" s="32" t="s">
        <v>24</v>
      </c>
      <c r="D40" s="20">
        <f>K34</f>
        <v>28299.458102999997</v>
      </c>
      <c r="E40" s="31"/>
      <c r="F40"/>
      <c r="G40"/>
      <c r="H40"/>
      <c r="I40"/>
      <c r="J40"/>
      <c r="K40"/>
      <c r="L40" s="3"/>
      <c r="N40"/>
      <c r="O40"/>
    </row>
    <row r="44" spans="1:15" x14ac:dyDescent="0.2">
      <c r="B44" s="119" t="s">
        <v>144</v>
      </c>
      <c r="D44" s="120" t="s">
        <v>143</v>
      </c>
    </row>
  </sheetData>
  <conditionalFormatting sqref="C32 C15:C27">
    <cfRule type="duplicateValues" dxfId="76" priority="1"/>
  </conditionalFormatting>
  <conditionalFormatting sqref="C36">
    <cfRule type="duplicateValues" dxfId="75" priority="4"/>
  </conditionalFormatting>
  <conditionalFormatting sqref="C37">
    <cfRule type="duplicateValues" dxfId="74" priority="2"/>
  </conditionalFormatting>
  <conditionalFormatting sqref="C40">
    <cfRule type="duplicateValues" dxfId="73" priority="3"/>
  </conditionalFormatting>
  <conditionalFormatting sqref="C41:C1048576 C28:C31 C1:C14 C33:C35">
    <cfRule type="duplicateValues" dxfId="72" priority="5"/>
  </conditionalFormatting>
  <pageMargins left="0.75000000000000011" right="0.75000000000000011" top="1" bottom="1" header="0.5" footer="0.5"/>
  <pageSetup scale="3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U34"/>
  <sheetViews>
    <sheetView workbookViewId="0">
      <selection activeCell="I34" sqref="I34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74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26" si="0">K5-M5</f>
        <v>0</v>
      </c>
      <c r="O5" s="43">
        <f t="shared" ref="O5:O26" si="1">M5+N5</f>
        <v>0</v>
      </c>
      <c r="Q5" s="4">
        <f>K5-M5</f>
        <v>0</v>
      </c>
      <c r="R5" s="4">
        <f>N5-Q5</f>
        <v>0</v>
      </c>
      <c r="T5" s="4">
        <f t="shared" ref="T5:T26" si="2"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1" x14ac:dyDescent="0.2">
      <c r="A7" s="81">
        <v>27</v>
      </c>
      <c r="B7" s="83">
        <v>41654</v>
      </c>
      <c r="C7" s="82">
        <v>17910</v>
      </c>
      <c r="D7" s="82" t="s">
        <v>19</v>
      </c>
      <c r="E7" s="13">
        <v>6655.5199999999986</v>
      </c>
      <c r="F7" s="13">
        <v>1792</v>
      </c>
      <c r="G7" s="13">
        <v>1160.3</v>
      </c>
      <c r="H7" s="13">
        <v>0</v>
      </c>
      <c r="I7" s="13">
        <v>0</v>
      </c>
      <c r="J7" s="13">
        <v>0</v>
      </c>
      <c r="K7" s="13">
        <v>9607.8199999999979</v>
      </c>
      <c r="L7" s="8">
        <f t="shared" ref="L7:L9" si="3">K7+L6</f>
        <v>9607.8199999999979</v>
      </c>
      <c r="M7" s="42">
        <v>4131.3599999999997</v>
      </c>
      <c r="N7" s="4">
        <f t="shared" ref="N7:N11" si="4">K7-M7</f>
        <v>5476.4599999999982</v>
      </c>
      <c r="O7" s="43">
        <f t="shared" ref="O7:O11" si="5">M7+N7</f>
        <v>9607.8199999999979</v>
      </c>
      <c r="P7" t="s">
        <v>75</v>
      </c>
      <c r="Q7" s="4">
        <f t="shared" ref="Q7:Q11" si="6">K7-M7</f>
        <v>5476.4599999999982</v>
      </c>
      <c r="R7" s="4">
        <f t="shared" ref="R7:R11" si="7">N7-Q7</f>
        <v>0</v>
      </c>
      <c r="S7" s="4">
        <f>K7*0.43</f>
        <v>4131.3625999999995</v>
      </c>
      <c r="T7" s="4">
        <f t="shared" ref="T7:T11" si="8">K7-S7</f>
        <v>5476.4573999999984</v>
      </c>
      <c r="U7" t="s">
        <v>72</v>
      </c>
    </row>
    <row r="8" spans="1:21" x14ac:dyDescent="0.2">
      <c r="A8" s="81">
        <v>35</v>
      </c>
      <c r="B8" s="83">
        <v>41654</v>
      </c>
      <c r="C8" s="82">
        <v>17925</v>
      </c>
      <c r="D8" s="82" t="s">
        <v>19</v>
      </c>
      <c r="E8" s="13">
        <v>4914.08</v>
      </c>
      <c r="F8" s="13">
        <v>1135.19</v>
      </c>
      <c r="G8" s="13">
        <v>820.7</v>
      </c>
      <c r="H8" s="13">
        <v>0</v>
      </c>
      <c r="I8" s="13">
        <v>0</v>
      </c>
      <c r="J8" s="13">
        <v>0</v>
      </c>
      <c r="K8" s="13">
        <v>6869.97</v>
      </c>
      <c r="L8" s="8">
        <f t="shared" si="3"/>
        <v>16477.789999999997</v>
      </c>
      <c r="M8" s="42">
        <v>2335.79</v>
      </c>
      <c r="N8" s="4">
        <f t="shared" si="4"/>
        <v>4534.18</v>
      </c>
      <c r="O8" s="43">
        <f t="shared" si="5"/>
        <v>6869.97</v>
      </c>
      <c r="P8" t="s">
        <v>76</v>
      </c>
      <c r="Q8" s="4">
        <f t="shared" si="6"/>
        <v>4534.18</v>
      </c>
      <c r="R8" s="4">
        <f t="shared" si="7"/>
        <v>0</v>
      </c>
      <c r="S8" s="4">
        <f>K8*0.34</f>
        <v>2335.7898000000005</v>
      </c>
      <c r="T8" s="4">
        <f t="shared" si="8"/>
        <v>4534.1801999999998</v>
      </c>
      <c r="U8" t="s">
        <v>72</v>
      </c>
    </row>
    <row r="9" spans="1:21" ht="14.25" customHeight="1" x14ac:dyDescent="0.2">
      <c r="A9" s="55"/>
      <c r="B9" s="56"/>
      <c r="C9" s="57"/>
      <c r="D9" s="57"/>
      <c r="E9" s="13"/>
      <c r="F9" s="13"/>
      <c r="G9" s="13"/>
      <c r="H9" s="13"/>
      <c r="I9" s="13"/>
      <c r="J9" s="13"/>
      <c r="K9" s="13"/>
      <c r="L9" s="8">
        <f t="shared" si="3"/>
        <v>16477.789999999997</v>
      </c>
      <c r="M9" s="42"/>
      <c r="N9" s="4">
        <f t="shared" si="4"/>
        <v>0</v>
      </c>
      <c r="O9" s="43">
        <f t="shared" si="5"/>
        <v>0</v>
      </c>
      <c r="Q9" s="4">
        <f t="shared" si="6"/>
        <v>0</v>
      </c>
      <c r="R9" s="4">
        <f t="shared" si="7"/>
        <v>0</v>
      </c>
      <c r="T9" s="4">
        <f t="shared" si="8"/>
        <v>0</v>
      </c>
    </row>
    <row r="10" spans="1:21" x14ac:dyDescent="0.2">
      <c r="L10" s="8">
        <f t="shared" ref="L10:L20" si="9">K10+L9</f>
        <v>16477.789999999997</v>
      </c>
      <c r="M10" s="42"/>
      <c r="N10" s="4">
        <f t="shared" si="4"/>
        <v>0</v>
      </c>
      <c r="O10" s="43">
        <f t="shared" si="5"/>
        <v>0</v>
      </c>
      <c r="Q10" s="4">
        <f t="shared" si="6"/>
        <v>0</v>
      </c>
      <c r="R10" s="4">
        <f t="shared" si="7"/>
        <v>0</v>
      </c>
      <c r="T10" s="4">
        <f t="shared" si="8"/>
        <v>0</v>
      </c>
    </row>
    <row r="11" spans="1:21" ht="14.25" customHeight="1" x14ac:dyDescent="0.2">
      <c r="A11" s="62"/>
      <c r="B11" s="63"/>
      <c r="C11" s="64"/>
      <c r="D11" s="64"/>
      <c r="E11" s="13"/>
      <c r="F11" s="13"/>
      <c r="G11" s="13"/>
      <c r="H11" s="13"/>
      <c r="I11" s="13"/>
      <c r="J11" s="13"/>
      <c r="K11" s="13"/>
      <c r="L11" s="8">
        <f t="shared" si="9"/>
        <v>16477.789999999997</v>
      </c>
      <c r="M11" s="42"/>
      <c r="N11" s="4">
        <f t="shared" si="4"/>
        <v>0</v>
      </c>
      <c r="O11" s="43">
        <f t="shared" si="5"/>
        <v>0</v>
      </c>
      <c r="Q11" s="4">
        <f t="shared" si="6"/>
        <v>0</v>
      </c>
      <c r="R11" s="4">
        <f t="shared" si="7"/>
        <v>0</v>
      </c>
      <c r="T11" s="4">
        <f t="shared" si="8"/>
        <v>0</v>
      </c>
    </row>
    <row r="12" spans="1:21" x14ac:dyDescent="0.2">
      <c r="L12" s="8">
        <f t="shared" si="9"/>
        <v>16477.789999999997</v>
      </c>
      <c r="M12" s="42"/>
      <c r="N12" s="4">
        <f t="shared" ref="N12:N17" si="10">K12-M12</f>
        <v>0</v>
      </c>
      <c r="O12" s="43">
        <f t="shared" ref="O12:O17" si="11">M12+N12</f>
        <v>0</v>
      </c>
      <c r="Q12" s="4">
        <f t="shared" ref="Q12:Q17" si="12">K12-M12</f>
        <v>0</v>
      </c>
      <c r="R12" s="4">
        <f t="shared" ref="R12:R17" si="13">N12-Q12</f>
        <v>0</v>
      </c>
      <c r="T12" s="4">
        <f t="shared" ref="T12:T17" si="14">K12-S12</f>
        <v>0</v>
      </c>
    </row>
    <row r="13" spans="1:21" ht="14.25" customHeight="1" x14ac:dyDescent="0.2">
      <c r="A13" s="58"/>
      <c r="B13" s="59"/>
      <c r="C13" s="60"/>
      <c r="D13" s="60"/>
      <c r="E13" s="13"/>
      <c r="F13" s="13"/>
      <c r="G13" s="13"/>
      <c r="H13" s="13"/>
      <c r="I13" s="13"/>
      <c r="J13" s="13"/>
      <c r="K13" s="13"/>
      <c r="L13" s="8">
        <f t="shared" si="9"/>
        <v>16477.789999999997</v>
      </c>
      <c r="M13" s="42"/>
      <c r="N13" s="4">
        <f t="shared" si="10"/>
        <v>0</v>
      </c>
      <c r="O13" s="43">
        <f t="shared" si="11"/>
        <v>0</v>
      </c>
      <c r="Q13" s="4">
        <f t="shared" si="12"/>
        <v>0</v>
      </c>
      <c r="R13" s="4">
        <f t="shared" si="13"/>
        <v>0</v>
      </c>
      <c r="T13" s="4">
        <f t="shared" si="14"/>
        <v>0</v>
      </c>
    </row>
    <row r="14" spans="1:21" ht="15" customHeight="1" x14ac:dyDescent="0.2">
      <c r="A14" s="58"/>
      <c r="B14" s="59"/>
      <c r="C14" s="60"/>
      <c r="D14" s="60"/>
      <c r="E14" s="13"/>
      <c r="F14" s="13"/>
      <c r="G14" s="13"/>
      <c r="H14" s="13"/>
      <c r="I14" s="13"/>
      <c r="J14" s="13"/>
      <c r="K14" s="13"/>
      <c r="L14" s="8">
        <f t="shared" si="9"/>
        <v>16477.789999999997</v>
      </c>
      <c r="M14" s="42"/>
      <c r="N14" s="4">
        <f t="shared" si="10"/>
        <v>0</v>
      </c>
      <c r="O14" s="43">
        <f t="shared" si="11"/>
        <v>0</v>
      </c>
      <c r="Q14" s="4">
        <f t="shared" si="12"/>
        <v>0</v>
      </c>
      <c r="R14" s="4">
        <f t="shared" si="13"/>
        <v>0</v>
      </c>
      <c r="T14" s="4">
        <f t="shared" si="14"/>
        <v>0</v>
      </c>
    </row>
    <row r="15" spans="1:21" x14ac:dyDescent="0.2">
      <c r="A15" s="58"/>
      <c r="B15" s="59"/>
      <c r="C15" s="60"/>
      <c r="D15" s="60"/>
      <c r="E15" s="61"/>
      <c r="F15" s="61"/>
      <c r="G15" s="61"/>
      <c r="H15" s="61"/>
      <c r="I15" s="61"/>
      <c r="J15" s="61"/>
      <c r="K15" s="61"/>
      <c r="L15" s="8">
        <f t="shared" si="9"/>
        <v>16477.789999999997</v>
      </c>
      <c r="M15" s="42"/>
      <c r="N15" s="4">
        <f t="shared" si="10"/>
        <v>0</v>
      </c>
      <c r="O15" s="43">
        <f t="shared" si="11"/>
        <v>0</v>
      </c>
      <c r="Q15" s="4">
        <f t="shared" si="12"/>
        <v>0</v>
      </c>
      <c r="R15" s="4">
        <f t="shared" si="13"/>
        <v>0</v>
      </c>
      <c r="T15" s="4">
        <f t="shared" si="14"/>
        <v>0</v>
      </c>
    </row>
    <row r="16" spans="1:21" ht="14.25" customHeight="1" x14ac:dyDescent="0.2">
      <c r="A16" s="68"/>
      <c r="B16" s="69"/>
      <c r="C16" s="70"/>
      <c r="D16" s="70"/>
      <c r="E16" s="13"/>
      <c r="F16" s="13"/>
      <c r="G16" s="13"/>
      <c r="H16" s="13"/>
      <c r="I16" s="13"/>
      <c r="J16" s="13"/>
      <c r="K16" s="13"/>
      <c r="L16" s="8">
        <f t="shared" si="9"/>
        <v>16477.789999999997</v>
      </c>
      <c r="M16" s="42"/>
      <c r="N16" s="4">
        <f t="shared" si="10"/>
        <v>0</v>
      </c>
      <c r="O16" s="43">
        <f t="shared" si="11"/>
        <v>0</v>
      </c>
      <c r="Q16" s="4">
        <f t="shared" si="12"/>
        <v>0</v>
      </c>
      <c r="R16" s="4">
        <f t="shared" si="13"/>
        <v>0</v>
      </c>
      <c r="T16" s="4">
        <f t="shared" si="14"/>
        <v>0</v>
      </c>
    </row>
    <row r="17" spans="1:20" x14ac:dyDescent="0.2">
      <c r="A17" s="68"/>
      <c r="B17" s="69"/>
      <c r="C17" s="70"/>
      <c r="D17" s="70"/>
      <c r="E17" s="13"/>
      <c r="F17" s="13"/>
      <c r="G17" s="13"/>
      <c r="H17" s="13"/>
      <c r="I17" s="13"/>
      <c r="J17" s="13"/>
      <c r="K17" s="13"/>
      <c r="L17" s="8">
        <f t="shared" si="9"/>
        <v>16477.789999999997</v>
      </c>
      <c r="M17" s="42"/>
      <c r="N17" s="4">
        <f t="shared" si="10"/>
        <v>0</v>
      </c>
      <c r="O17" s="43">
        <f t="shared" si="11"/>
        <v>0</v>
      </c>
      <c r="Q17" s="4">
        <f t="shared" si="12"/>
        <v>0</v>
      </c>
      <c r="R17" s="4">
        <f t="shared" si="13"/>
        <v>0</v>
      </c>
      <c r="T17" s="4">
        <f t="shared" si="14"/>
        <v>0</v>
      </c>
    </row>
    <row r="18" spans="1:20" x14ac:dyDescent="0.2">
      <c r="A18" s="44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9"/>
        <v>16477.789999999997</v>
      </c>
      <c r="M18" s="42"/>
      <c r="N18" s="4">
        <f t="shared" si="0"/>
        <v>0</v>
      </c>
      <c r="O18" s="43">
        <f t="shared" si="1"/>
        <v>0</v>
      </c>
      <c r="Q18" s="4">
        <f t="shared" ref="Q18:Q20" si="15">K18-M18</f>
        <v>0</v>
      </c>
      <c r="R18" s="4">
        <f t="shared" ref="R18:R20" si="16">N18-Q18</f>
        <v>0</v>
      </c>
      <c r="T18" s="4">
        <f t="shared" si="2"/>
        <v>0</v>
      </c>
    </row>
    <row r="19" spans="1:20" x14ac:dyDescent="0.2">
      <c r="A19" s="44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9"/>
        <v>16477.789999999997</v>
      </c>
      <c r="M19" s="42"/>
      <c r="N19" s="4">
        <f t="shared" si="0"/>
        <v>0</v>
      </c>
      <c r="O19" s="43">
        <f t="shared" si="1"/>
        <v>0</v>
      </c>
      <c r="Q19" s="4">
        <f t="shared" si="15"/>
        <v>0</v>
      </c>
      <c r="R19" s="4">
        <f t="shared" si="16"/>
        <v>0</v>
      </c>
      <c r="T19" s="4">
        <f t="shared" si="2"/>
        <v>0</v>
      </c>
    </row>
    <row r="20" spans="1:20" x14ac:dyDescent="0.2">
      <c r="A20" s="44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9"/>
        <v>16477.789999999997</v>
      </c>
      <c r="M20" s="42"/>
      <c r="N20" s="4">
        <f t="shared" si="0"/>
        <v>0</v>
      </c>
      <c r="O20" s="43">
        <f t="shared" si="1"/>
        <v>0</v>
      </c>
      <c r="Q20" s="4">
        <f t="shared" si="15"/>
        <v>0</v>
      </c>
      <c r="R20" s="4">
        <f t="shared" si="16"/>
        <v>0</v>
      </c>
      <c r="T20" s="4">
        <f t="shared" si="2"/>
        <v>0</v>
      </c>
    </row>
    <row r="21" spans="1:20" x14ac:dyDescent="0.2">
      <c r="A21" s="44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>K21+L20</f>
        <v>16477.789999999997</v>
      </c>
      <c r="M21" s="42"/>
      <c r="N21" s="4">
        <f t="shared" si="0"/>
        <v>0</v>
      </c>
      <c r="O21" s="43">
        <f t="shared" si="1"/>
        <v>0</v>
      </c>
      <c r="Q21" s="4">
        <f>K21-M21</f>
        <v>0</v>
      </c>
      <c r="R21" s="4">
        <f>N21-Q21</f>
        <v>0</v>
      </c>
      <c r="T21" s="4">
        <f t="shared" si="2"/>
        <v>0</v>
      </c>
    </row>
    <row r="22" spans="1:20" x14ac:dyDescent="0.2">
      <c r="A22" s="44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ref="L22:L26" si="17">K22+L21</f>
        <v>16477.789999999997</v>
      </c>
      <c r="M22" s="42"/>
      <c r="N22" s="4">
        <f t="shared" si="0"/>
        <v>0</v>
      </c>
      <c r="O22" s="43">
        <f t="shared" si="1"/>
        <v>0</v>
      </c>
      <c r="Q22" s="4">
        <f t="shared" ref="Q22:Q26" si="18">K22-M22</f>
        <v>0</v>
      </c>
      <c r="R22" s="4">
        <f t="shared" ref="R22:R26" si="19">N22-Q22</f>
        <v>0</v>
      </c>
      <c r="T22" s="4">
        <f t="shared" si="2"/>
        <v>0</v>
      </c>
    </row>
    <row r="23" spans="1:20" x14ac:dyDescent="0.2">
      <c r="A23" s="44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17"/>
        <v>16477.789999999997</v>
      </c>
      <c r="M23" s="42"/>
      <c r="N23" s="4">
        <f t="shared" si="0"/>
        <v>0</v>
      </c>
      <c r="O23" s="43">
        <f t="shared" si="1"/>
        <v>0</v>
      </c>
      <c r="Q23" s="4">
        <f t="shared" si="18"/>
        <v>0</v>
      </c>
      <c r="R23" s="4">
        <f t="shared" si="19"/>
        <v>0</v>
      </c>
      <c r="T23" s="4">
        <f t="shared" si="2"/>
        <v>0</v>
      </c>
    </row>
    <row r="24" spans="1:20" x14ac:dyDescent="0.2">
      <c r="A24" s="4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17"/>
        <v>16477.789999999997</v>
      </c>
      <c r="M24" s="42"/>
      <c r="N24" s="4">
        <f t="shared" si="0"/>
        <v>0</v>
      </c>
      <c r="O24" s="43">
        <f t="shared" si="1"/>
        <v>0</v>
      </c>
      <c r="Q24" s="4">
        <f t="shared" si="18"/>
        <v>0</v>
      </c>
      <c r="R24" s="4">
        <f t="shared" si="19"/>
        <v>0</v>
      </c>
      <c r="T24" s="4">
        <f t="shared" si="2"/>
        <v>0</v>
      </c>
    </row>
    <row r="25" spans="1:20" x14ac:dyDescent="0.2">
      <c r="A25" s="44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17"/>
        <v>16477.789999999997</v>
      </c>
      <c r="M25" s="42"/>
      <c r="N25" s="4">
        <f t="shared" si="0"/>
        <v>0</v>
      </c>
      <c r="O25" s="43">
        <f t="shared" si="1"/>
        <v>0</v>
      </c>
      <c r="Q25" s="4">
        <f t="shared" si="18"/>
        <v>0</v>
      </c>
      <c r="R25" s="4">
        <f t="shared" si="19"/>
        <v>0</v>
      </c>
      <c r="T25" s="4">
        <f t="shared" si="2"/>
        <v>0</v>
      </c>
    </row>
    <row r="26" spans="1:20" x14ac:dyDescent="0.2">
      <c r="A26" s="44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17"/>
        <v>16477.789999999997</v>
      </c>
      <c r="M26" s="42"/>
      <c r="N26" s="4">
        <f t="shared" si="0"/>
        <v>0</v>
      </c>
      <c r="O26" s="43">
        <f t="shared" si="1"/>
        <v>0</v>
      </c>
      <c r="Q26" s="4">
        <f t="shared" si="18"/>
        <v>0</v>
      </c>
      <c r="R26" s="4">
        <f t="shared" si="19"/>
        <v>0</v>
      </c>
      <c r="T26" s="4">
        <f t="shared" si="2"/>
        <v>0</v>
      </c>
    </row>
    <row r="27" spans="1:20" ht="16" customHeight="1" x14ac:dyDescent="0.2">
      <c r="A27" t="s">
        <v>37</v>
      </c>
      <c r="B27" s="49"/>
      <c r="C27" s="50"/>
      <c r="D27" s="50"/>
      <c r="E27" s="13"/>
      <c r="F27" s="13"/>
      <c r="G27" s="13"/>
      <c r="H27" s="13">
        <v>0</v>
      </c>
      <c r="I27" s="13">
        <v>0</v>
      </c>
      <c r="J27" s="13">
        <v>0</v>
      </c>
      <c r="K27" s="13"/>
      <c r="L27" s="13"/>
      <c r="M27" s="42"/>
      <c r="N27" s="4">
        <f>K27-M27</f>
        <v>0</v>
      </c>
      <c r="O27" s="43">
        <f>M27+N27</f>
        <v>0</v>
      </c>
      <c r="Q27" s="4">
        <f>K27-M27</f>
        <v>0</v>
      </c>
    </row>
    <row r="28" spans="1:20" x14ac:dyDescent="0.2">
      <c r="B28" s="19" t="s">
        <v>35</v>
      </c>
      <c r="D28" s="20">
        <f>SUM(E28:G28)</f>
        <v>16477.79</v>
      </c>
      <c r="E28" s="4">
        <f t="shared" ref="E28:K28" si="20">SUM(E5:E27)</f>
        <v>11569.599999999999</v>
      </c>
      <c r="F28" s="4">
        <f t="shared" si="20"/>
        <v>2927.19</v>
      </c>
      <c r="G28" s="4">
        <f t="shared" si="20"/>
        <v>1981</v>
      </c>
      <c r="H28" s="4">
        <f t="shared" si="20"/>
        <v>0</v>
      </c>
      <c r="I28" s="4">
        <f t="shared" si="20"/>
        <v>0</v>
      </c>
      <c r="J28" s="4">
        <f t="shared" si="20"/>
        <v>0</v>
      </c>
      <c r="K28" s="20">
        <f t="shared" si="20"/>
        <v>16477.789999999997</v>
      </c>
      <c r="M28" s="51">
        <f>SUM(M5:M27)</f>
        <v>6467.15</v>
      </c>
      <c r="N28" s="52">
        <f>SUM(N5:N27)</f>
        <v>10010.64</v>
      </c>
      <c r="O28" s="53">
        <f>SUM(O5:O27)</f>
        <v>16477.789999999997</v>
      </c>
      <c r="Q28"/>
    </row>
    <row r="29" spans="1:20" x14ac:dyDescent="0.2">
      <c r="B29" s="19"/>
      <c r="D29" s="20"/>
      <c r="E29" s="4"/>
      <c r="F29" s="20"/>
      <c r="G29" s="4"/>
      <c r="H29" s="4"/>
      <c r="I29" s="4"/>
      <c r="J29" s="4"/>
      <c r="K29" s="20"/>
      <c r="Q29"/>
    </row>
    <row r="30" spans="1:20" x14ac:dyDescent="0.2">
      <c r="C30" s="32" t="s">
        <v>38</v>
      </c>
      <c r="D30" s="30">
        <f>M28</f>
        <v>6467.15</v>
      </c>
      <c r="Q30"/>
    </row>
    <row r="31" spans="1:20" x14ac:dyDescent="0.2">
      <c r="C31" s="32" t="s">
        <v>23</v>
      </c>
      <c r="D31" s="54"/>
      <c r="Q31"/>
    </row>
    <row r="32" spans="1:20" x14ac:dyDescent="0.2">
      <c r="C32" s="32" t="s">
        <v>24</v>
      </c>
      <c r="D32" s="20">
        <f>SUM(D30:D31)</f>
        <v>6467.15</v>
      </c>
    </row>
    <row r="34" spans="1:18" x14ac:dyDescent="0.2">
      <c r="A34" s="44"/>
      <c r="B34" s="6"/>
      <c r="C34" s="7"/>
      <c r="D34" s="7"/>
      <c r="E34" s="13"/>
      <c r="F34" s="13"/>
      <c r="G34" s="13"/>
      <c r="H34" s="13"/>
      <c r="I34" s="13"/>
      <c r="J34" s="13"/>
      <c r="K34" s="13"/>
      <c r="L34" s="8"/>
      <c r="R34" s="4"/>
    </row>
  </sheetData>
  <conditionalFormatting sqref="C1">
    <cfRule type="duplicateValues" dxfId="71" priority="16"/>
  </conditionalFormatting>
  <conditionalFormatting sqref="C2">
    <cfRule type="duplicateValues" dxfId="70" priority="17"/>
  </conditionalFormatting>
  <conditionalFormatting sqref="C3">
    <cfRule type="duplicateValues" dxfId="69" priority="9"/>
  </conditionalFormatting>
  <conditionalFormatting sqref="C4:C5">
    <cfRule type="duplicateValues" dxfId="68" priority="14"/>
  </conditionalFormatting>
  <conditionalFormatting sqref="C7">
    <cfRule type="duplicateValues" dxfId="67" priority="2"/>
  </conditionalFormatting>
  <conditionalFormatting sqref="C8">
    <cfRule type="duplicateValues" dxfId="66" priority="1"/>
  </conditionalFormatting>
  <conditionalFormatting sqref="C9:C15">
    <cfRule type="duplicateValues" dxfId="65" priority="23"/>
  </conditionalFormatting>
  <conditionalFormatting sqref="C16">
    <cfRule type="duplicateValues" dxfId="64" priority="3"/>
  </conditionalFormatting>
  <conditionalFormatting sqref="C17">
    <cfRule type="duplicateValues" dxfId="63" priority="4"/>
  </conditionalFormatting>
  <conditionalFormatting sqref="C18:C26 C6">
    <cfRule type="duplicateValues" dxfId="62" priority="58"/>
    <cfRule type="duplicateValues" dxfId="61" priority="60"/>
  </conditionalFormatting>
  <conditionalFormatting sqref="C27">
    <cfRule type="duplicateValues" dxfId="60" priority="11"/>
  </conditionalFormatting>
  <conditionalFormatting sqref="C27:C1048576 C1:C5">
    <cfRule type="duplicateValues" dxfId="59" priority="55"/>
  </conditionalFormatting>
  <conditionalFormatting sqref="C28:C29">
    <cfRule type="duplicateValues" dxfId="58" priority="10"/>
  </conditionalFormatting>
  <conditionalFormatting sqref="C32">
    <cfRule type="duplicateValues" dxfId="57" priority="12"/>
  </conditionalFormatting>
  <conditionalFormatting sqref="C33">
    <cfRule type="duplicateValues" dxfId="56" priority="13"/>
  </conditionalFormatting>
  <conditionalFormatting sqref="C34">
    <cfRule type="duplicateValues" dxfId="55" priority="15"/>
  </conditionalFormatting>
  <conditionalFormatting sqref="C36:C1048576">
    <cfRule type="duplicateValues" dxfId="54" priority="18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U34"/>
  <sheetViews>
    <sheetView workbookViewId="0">
      <selection activeCell="E54" sqref="E54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57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 t="shared" ref="N5:N26" si="0">K5-M5</f>
        <v>0</v>
      </c>
      <c r="O5" s="43">
        <f t="shared" ref="O5:O26" si="1">M5+N5</f>
        <v>0</v>
      </c>
      <c r="Q5" s="4">
        <f>K5-M5</f>
        <v>0</v>
      </c>
      <c r="R5" s="4">
        <f>N5-Q5</f>
        <v>0</v>
      </c>
      <c r="T5" s="4">
        <f t="shared" ref="T5:T26" si="2"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 t="shared" si="0"/>
        <v>0</v>
      </c>
      <c r="O6" s="43">
        <f t="shared" si="1"/>
        <v>0</v>
      </c>
      <c r="Q6" s="4">
        <f>K6-M6</f>
        <v>0</v>
      </c>
      <c r="R6" s="4">
        <f>N6-Q6</f>
        <v>0</v>
      </c>
      <c r="T6" s="4">
        <f t="shared" si="2"/>
        <v>0</v>
      </c>
    </row>
    <row r="7" spans="1:21" x14ac:dyDescent="0.2">
      <c r="A7" s="68">
        <v>27</v>
      </c>
      <c r="B7" s="69">
        <v>41650</v>
      </c>
      <c r="C7" s="70">
        <v>17609</v>
      </c>
      <c r="D7" s="70" t="s">
        <v>19</v>
      </c>
      <c r="E7" s="13">
        <v>7946.4800000000005</v>
      </c>
      <c r="F7" s="13">
        <v>1828</v>
      </c>
      <c r="G7" s="13">
        <v>1160.3</v>
      </c>
      <c r="H7" s="13">
        <v>0</v>
      </c>
      <c r="I7" s="13">
        <v>0</v>
      </c>
      <c r="J7" s="13">
        <v>0</v>
      </c>
      <c r="K7" s="13">
        <v>10934.779999999999</v>
      </c>
      <c r="L7" s="8">
        <f t="shared" ref="L7:L8" si="3">K7+L6</f>
        <v>10934.779999999999</v>
      </c>
      <c r="M7" s="74"/>
      <c r="N7" s="4">
        <f t="shared" ref="N7" si="4">K7-M7</f>
        <v>10934.779999999999</v>
      </c>
      <c r="O7" s="43">
        <f t="shared" ref="O7" si="5">M7+N7</f>
        <v>10934.779999999999</v>
      </c>
      <c r="P7" t="s">
        <v>55</v>
      </c>
      <c r="Q7" s="4">
        <f>K7-M7</f>
        <v>10934.779999999999</v>
      </c>
      <c r="R7" s="4">
        <f>N7-Q7</f>
        <v>0</v>
      </c>
      <c r="S7" s="4">
        <f>K7*0.24</f>
        <v>2624.3471999999997</v>
      </c>
      <c r="T7" s="4">
        <f t="shared" ref="T7" si="6">K7-S7</f>
        <v>8310.4327999999987</v>
      </c>
      <c r="U7" t="s">
        <v>62</v>
      </c>
    </row>
    <row r="8" spans="1:21" x14ac:dyDescent="0.2">
      <c r="A8" s="44"/>
      <c r="B8" s="45"/>
      <c r="C8" s="46"/>
      <c r="D8" s="7"/>
      <c r="E8" s="7"/>
      <c r="F8" s="7"/>
      <c r="G8" s="13"/>
      <c r="H8" s="13"/>
      <c r="I8" s="13"/>
      <c r="J8" s="13"/>
      <c r="K8" s="47"/>
      <c r="L8" s="8">
        <f t="shared" si="3"/>
        <v>10934.779999999999</v>
      </c>
      <c r="M8" s="42"/>
      <c r="N8" s="4">
        <f t="shared" ref="N8:N11" si="7">K8-M8</f>
        <v>0</v>
      </c>
      <c r="O8" s="43">
        <f t="shared" ref="O8:O11" si="8">M8+N8</f>
        <v>0</v>
      </c>
      <c r="Q8" s="4">
        <f t="shared" ref="Q8:Q10" si="9">K8-M8</f>
        <v>0</v>
      </c>
      <c r="R8" s="4">
        <f t="shared" ref="R8:R10" si="10">N8-Q8</f>
        <v>0</v>
      </c>
      <c r="T8" s="4">
        <f t="shared" ref="T8:T11" si="11">K8-S8</f>
        <v>0</v>
      </c>
    </row>
    <row r="9" spans="1:21" x14ac:dyDescent="0.2">
      <c r="A9" s="44"/>
      <c r="B9" s="45"/>
      <c r="C9" s="46"/>
      <c r="D9" s="7"/>
      <c r="E9" s="7"/>
      <c r="F9" s="7"/>
      <c r="G9" s="13"/>
      <c r="H9" s="13"/>
      <c r="I9" s="13"/>
      <c r="J9" s="13"/>
      <c r="K9" s="47"/>
      <c r="L9" s="8">
        <f t="shared" ref="L9:L10" si="12">K9+L8</f>
        <v>10934.779999999999</v>
      </c>
      <c r="M9" s="42"/>
      <c r="N9" s="4">
        <f t="shared" si="7"/>
        <v>0</v>
      </c>
      <c r="O9" s="43">
        <f t="shared" si="8"/>
        <v>0</v>
      </c>
      <c r="Q9" s="4">
        <f t="shared" si="9"/>
        <v>0</v>
      </c>
      <c r="R9" s="4">
        <f t="shared" si="10"/>
        <v>0</v>
      </c>
      <c r="T9" s="4">
        <f t="shared" si="11"/>
        <v>0</v>
      </c>
    </row>
    <row r="10" spans="1:21" x14ac:dyDescent="0.2">
      <c r="A10" s="44"/>
      <c r="B10" s="45"/>
      <c r="C10" s="46"/>
      <c r="D10" s="7"/>
      <c r="E10" s="7"/>
      <c r="F10" s="7"/>
      <c r="G10" s="13"/>
      <c r="H10" s="13"/>
      <c r="I10" s="13"/>
      <c r="J10" s="13"/>
      <c r="K10" s="47"/>
      <c r="L10" s="8">
        <f t="shared" si="12"/>
        <v>10934.779999999999</v>
      </c>
      <c r="M10" s="42"/>
      <c r="N10" s="4">
        <f t="shared" si="7"/>
        <v>0</v>
      </c>
      <c r="O10" s="43">
        <f t="shared" si="8"/>
        <v>0</v>
      </c>
      <c r="Q10" s="4">
        <f t="shared" si="9"/>
        <v>0</v>
      </c>
      <c r="R10" s="4">
        <f t="shared" si="10"/>
        <v>0</v>
      </c>
      <c r="T10" s="4">
        <f t="shared" si="11"/>
        <v>0</v>
      </c>
    </row>
    <row r="11" spans="1:21" x14ac:dyDescent="0.2">
      <c r="A11" s="44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>K11+L10</f>
        <v>10934.779999999999</v>
      </c>
      <c r="M11" s="42"/>
      <c r="N11" s="4">
        <f t="shared" si="7"/>
        <v>0</v>
      </c>
      <c r="O11" s="43">
        <f t="shared" si="8"/>
        <v>0</v>
      </c>
      <c r="Q11" s="4">
        <f>K11-M11</f>
        <v>0</v>
      </c>
      <c r="R11" s="4">
        <f>N11-Q11</f>
        <v>0</v>
      </c>
      <c r="T11" s="4">
        <f t="shared" si="11"/>
        <v>0</v>
      </c>
    </row>
    <row r="12" spans="1:21" x14ac:dyDescent="0.2">
      <c r="A12" s="44"/>
      <c r="B12" s="45"/>
      <c r="C12" s="46"/>
      <c r="D12" s="7"/>
      <c r="E12" s="7"/>
      <c r="F12" s="7"/>
      <c r="G12" s="13"/>
      <c r="H12" s="13"/>
      <c r="I12" s="13"/>
      <c r="J12" s="13"/>
      <c r="K12" s="47"/>
      <c r="L12" s="8">
        <f t="shared" ref="L12:L26" si="13">K12+L11</f>
        <v>10934.779999999999</v>
      </c>
      <c r="M12" s="42"/>
      <c r="N12" s="4">
        <f t="shared" si="0"/>
        <v>0</v>
      </c>
      <c r="O12" s="43">
        <f t="shared" si="1"/>
        <v>0</v>
      </c>
      <c r="Q12" s="4">
        <f t="shared" ref="Q12:Q26" si="14">K12-M12</f>
        <v>0</v>
      </c>
      <c r="R12" s="4">
        <f t="shared" ref="R12:R26" si="15">N12-Q12</f>
        <v>0</v>
      </c>
      <c r="T12" s="4">
        <f t="shared" si="2"/>
        <v>0</v>
      </c>
    </row>
    <row r="13" spans="1:21" x14ac:dyDescent="0.2">
      <c r="A13" s="44"/>
      <c r="B13" s="45"/>
      <c r="C13" s="46"/>
      <c r="D13" s="7"/>
      <c r="E13" s="7"/>
      <c r="F13" s="7"/>
      <c r="G13" s="13"/>
      <c r="H13" s="13"/>
      <c r="I13" s="13"/>
      <c r="J13" s="13"/>
      <c r="K13" s="47"/>
      <c r="L13" s="8">
        <f t="shared" si="13"/>
        <v>10934.779999999999</v>
      </c>
      <c r="M13" s="42"/>
      <c r="N13" s="4">
        <f t="shared" si="0"/>
        <v>0</v>
      </c>
      <c r="O13" s="43">
        <f t="shared" si="1"/>
        <v>0</v>
      </c>
      <c r="Q13" s="4">
        <f t="shared" si="14"/>
        <v>0</v>
      </c>
      <c r="R13" s="4">
        <f t="shared" si="15"/>
        <v>0</v>
      </c>
      <c r="T13" s="4">
        <f t="shared" si="2"/>
        <v>0</v>
      </c>
    </row>
    <row r="14" spans="1:21" x14ac:dyDescent="0.2">
      <c r="A14" s="44"/>
      <c r="B14" s="45"/>
      <c r="C14" s="46"/>
      <c r="D14" s="7"/>
      <c r="E14" s="7"/>
      <c r="F14" s="7"/>
      <c r="G14" s="13"/>
      <c r="H14" s="13"/>
      <c r="I14" s="13"/>
      <c r="J14" s="13"/>
      <c r="K14" s="47"/>
      <c r="L14" s="8">
        <f t="shared" si="13"/>
        <v>10934.779999999999</v>
      </c>
      <c r="M14" s="42"/>
      <c r="N14" s="4">
        <f t="shared" si="0"/>
        <v>0</v>
      </c>
      <c r="O14" s="43">
        <f t="shared" si="1"/>
        <v>0</v>
      </c>
      <c r="Q14" s="4">
        <f t="shared" si="14"/>
        <v>0</v>
      </c>
      <c r="R14" s="4">
        <f t="shared" si="15"/>
        <v>0</v>
      </c>
      <c r="T14" s="4">
        <f t="shared" si="2"/>
        <v>0</v>
      </c>
    </row>
    <row r="15" spans="1:21" x14ac:dyDescent="0.2">
      <c r="A15" s="44"/>
      <c r="B15" s="45"/>
      <c r="C15" s="46"/>
      <c r="D15" s="7"/>
      <c r="E15" s="7"/>
      <c r="F15" s="7"/>
      <c r="G15" s="13"/>
      <c r="H15" s="13"/>
      <c r="I15" s="13"/>
      <c r="J15" s="13"/>
      <c r="K15" s="47"/>
      <c r="L15" s="8">
        <f t="shared" si="13"/>
        <v>10934.779999999999</v>
      </c>
      <c r="M15" s="42"/>
      <c r="N15" s="4">
        <f t="shared" si="0"/>
        <v>0</v>
      </c>
      <c r="O15" s="43">
        <f t="shared" si="1"/>
        <v>0</v>
      </c>
      <c r="Q15" s="4">
        <f t="shared" si="14"/>
        <v>0</v>
      </c>
      <c r="R15" s="4">
        <f t="shared" si="15"/>
        <v>0</v>
      </c>
      <c r="T15" s="4">
        <f t="shared" si="2"/>
        <v>0</v>
      </c>
    </row>
    <row r="16" spans="1:21" x14ac:dyDescent="0.2">
      <c r="A16" s="44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13"/>
        <v>10934.779999999999</v>
      </c>
      <c r="M16" s="42"/>
      <c r="N16" s="4">
        <f t="shared" si="0"/>
        <v>0</v>
      </c>
      <c r="O16" s="43">
        <f t="shared" si="1"/>
        <v>0</v>
      </c>
      <c r="Q16" s="4">
        <f t="shared" si="14"/>
        <v>0</v>
      </c>
      <c r="R16" s="4">
        <f t="shared" si="15"/>
        <v>0</v>
      </c>
      <c r="T16" s="4">
        <f t="shared" si="2"/>
        <v>0</v>
      </c>
    </row>
    <row r="17" spans="1:20" x14ac:dyDescent="0.2">
      <c r="A17"/>
      <c r="C17" s="46"/>
      <c r="E17" s="7"/>
      <c r="F17" s="7"/>
      <c r="G17" s="13"/>
      <c r="H17" s="13"/>
      <c r="I17" s="13"/>
      <c r="J17" s="13"/>
      <c r="K17" s="47"/>
      <c r="L17" s="8">
        <f t="shared" si="13"/>
        <v>10934.779999999999</v>
      </c>
      <c r="M17" s="42"/>
      <c r="N17" s="4">
        <f t="shared" si="0"/>
        <v>0</v>
      </c>
      <c r="O17" s="43">
        <f t="shared" si="1"/>
        <v>0</v>
      </c>
      <c r="Q17" s="4">
        <f t="shared" si="14"/>
        <v>0</v>
      </c>
      <c r="R17" s="4">
        <f t="shared" si="15"/>
        <v>0</v>
      </c>
      <c r="T17" s="4">
        <f t="shared" si="2"/>
        <v>0</v>
      </c>
    </row>
    <row r="18" spans="1:20" x14ac:dyDescent="0.2">
      <c r="A18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13"/>
        <v>10934.779999999999</v>
      </c>
      <c r="M18" s="42"/>
      <c r="N18" s="4">
        <f t="shared" si="0"/>
        <v>0</v>
      </c>
      <c r="O18" s="43">
        <f t="shared" si="1"/>
        <v>0</v>
      </c>
      <c r="Q18" s="4">
        <f t="shared" si="14"/>
        <v>0</v>
      </c>
      <c r="R18" s="4">
        <f t="shared" si="15"/>
        <v>0</v>
      </c>
      <c r="T18" s="4">
        <f t="shared" si="2"/>
        <v>0</v>
      </c>
    </row>
    <row r="19" spans="1:20" s="14" customFormat="1" x14ac:dyDescent="0.2">
      <c r="A19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13"/>
        <v>10934.779999999999</v>
      </c>
      <c r="M19" s="42"/>
      <c r="N19" s="4">
        <f t="shared" si="0"/>
        <v>0</v>
      </c>
      <c r="O19" s="48">
        <f t="shared" si="1"/>
        <v>0</v>
      </c>
      <c r="P19"/>
      <c r="Q19" s="4">
        <f t="shared" si="14"/>
        <v>0</v>
      </c>
      <c r="R19" s="4">
        <f t="shared" si="15"/>
        <v>0</v>
      </c>
      <c r="S19"/>
      <c r="T19" s="4">
        <f t="shared" si="2"/>
        <v>0</v>
      </c>
    </row>
    <row r="20" spans="1:20" ht="16.5" customHeight="1" x14ac:dyDescent="0.2">
      <c r="A20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13"/>
        <v>10934.779999999999</v>
      </c>
      <c r="M20" s="42"/>
      <c r="N20" s="4">
        <f t="shared" si="0"/>
        <v>0</v>
      </c>
      <c r="O20" s="43">
        <f t="shared" si="1"/>
        <v>0</v>
      </c>
      <c r="Q20" s="4">
        <f t="shared" si="14"/>
        <v>0</v>
      </c>
      <c r="R20" s="4">
        <f t="shared" si="15"/>
        <v>0</v>
      </c>
      <c r="T20" s="4">
        <f t="shared" si="2"/>
        <v>0</v>
      </c>
    </row>
    <row r="21" spans="1:20" x14ac:dyDescent="0.2">
      <c r="A21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si="13"/>
        <v>10934.779999999999</v>
      </c>
      <c r="M21" s="42"/>
      <c r="N21" s="4">
        <f t="shared" si="0"/>
        <v>0</v>
      </c>
      <c r="O21" s="43">
        <f t="shared" si="1"/>
        <v>0</v>
      </c>
      <c r="Q21" s="4">
        <f t="shared" si="14"/>
        <v>0</v>
      </c>
      <c r="R21" s="4">
        <f t="shared" si="15"/>
        <v>0</v>
      </c>
      <c r="T21" s="4">
        <f t="shared" si="2"/>
        <v>0</v>
      </c>
    </row>
    <row r="22" spans="1:20" x14ac:dyDescent="0.2">
      <c r="A22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13"/>
        <v>10934.779999999999</v>
      </c>
      <c r="M22" s="42"/>
      <c r="N22" s="4">
        <f t="shared" si="0"/>
        <v>0</v>
      </c>
      <c r="O22" s="43">
        <f t="shared" si="1"/>
        <v>0</v>
      </c>
      <c r="Q22" s="4">
        <f t="shared" si="14"/>
        <v>0</v>
      </c>
      <c r="R22" s="4">
        <f t="shared" si="15"/>
        <v>0</v>
      </c>
      <c r="T22" s="4">
        <f t="shared" si="2"/>
        <v>0</v>
      </c>
    </row>
    <row r="23" spans="1:20" ht="15" customHeight="1" x14ac:dyDescent="0.2">
      <c r="A23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13"/>
        <v>10934.779999999999</v>
      </c>
      <c r="M23" s="42"/>
      <c r="N23" s="4">
        <f t="shared" si="0"/>
        <v>0</v>
      </c>
      <c r="O23" s="43">
        <f t="shared" si="1"/>
        <v>0</v>
      </c>
      <c r="Q23" s="4">
        <f t="shared" si="14"/>
        <v>0</v>
      </c>
      <c r="R23" s="4">
        <f t="shared" si="15"/>
        <v>0</v>
      </c>
      <c r="T23" s="4">
        <f t="shared" si="2"/>
        <v>0</v>
      </c>
    </row>
    <row r="24" spans="1:20" x14ac:dyDescent="0.2">
      <c r="A2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13"/>
        <v>10934.779999999999</v>
      </c>
      <c r="M24" s="42"/>
      <c r="N24" s="4">
        <f t="shared" si="0"/>
        <v>0</v>
      </c>
      <c r="O24" s="43">
        <f t="shared" si="1"/>
        <v>0</v>
      </c>
      <c r="Q24" s="4">
        <f t="shared" si="14"/>
        <v>0</v>
      </c>
      <c r="R24" s="4">
        <f t="shared" si="15"/>
        <v>0</v>
      </c>
      <c r="T24" s="4">
        <f t="shared" si="2"/>
        <v>0</v>
      </c>
    </row>
    <row r="25" spans="1:20" x14ac:dyDescent="0.2">
      <c r="A25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13"/>
        <v>10934.779999999999</v>
      </c>
      <c r="M25" s="42"/>
      <c r="N25" s="4">
        <f t="shared" si="0"/>
        <v>0</v>
      </c>
      <c r="O25" s="43">
        <f t="shared" si="1"/>
        <v>0</v>
      </c>
      <c r="Q25" s="4">
        <f t="shared" si="14"/>
        <v>0</v>
      </c>
      <c r="R25" s="4">
        <f t="shared" si="15"/>
        <v>0</v>
      </c>
      <c r="T25" s="4">
        <f t="shared" si="2"/>
        <v>0</v>
      </c>
    </row>
    <row r="26" spans="1:20" ht="15" customHeight="1" x14ac:dyDescent="0.2">
      <c r="A26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13"/>
        <v>10934.779999999999</v>
      </c>
      <c r="M26" s="42"/>
      <c r="N26" s="4">
        <f t="shared" si="0"/>
        <v>0</v>
      </c>
      <c r="O26" s="43">
        <f t="shared" si="1"/>
        <v>0</v>
      </c>
      <c r="Q26" s="4">
        <f t="shared" si="14"/>
        <v>0</v>
      </c>
      <c r="R26" s="4">
        <f t="shared" si="15"/>
        <v>0</v>
      </c>
      <c r="T26" s="4">
        <f t="shared" si="2"/>
        <v>0</v>
      </c>
    </row>
    <row r="27" spans="1:20" ht="16" customHeight="1" x14ac:dyDescent="0.2">
      <c r="A27" t="s">
        <v>37</v>
      </c>
      <c r="B27" s="49"/>
      <c r="C27" s="50"/>
      <c r="D27" s="50"/>
      <c r="E27" s="13"/>
      <c r="F27" s="13"/>
      <c r="G27" s="13"/>
      <c r="H27" s="13">
        <v>0</v>
      </c>
      <c r="I27" s="13">
        <v>0</v>
      </c>
      <c r="J27" s="13">
        <v>0</v>
      </c>
      <c r="K27" s="13"/>
      <c r="L27" s="13"/>
      <c r="M27" s="42"/>
      <c r="N27" s="4">
        <f>K27-M27</f>
        <v>0</v>
      </c>
      <c r="O27" s="43">
        <f>M27+N27</f>
        <v>0</v>
      </c>
      <c r="Q27" s="4">
        <f>K27-M27</f>
        <v>0</v>
      </c>
    </row>
    <row r="28" spans="1:20" x14ac:dyDescent="0.2">
      <c r="B28" s="19" t="s">
        <v>35</v>
      </c>
      <c r="D28" s="20">
        <f>SUM(E28:G28)</f>
        <v>10934.779999999999</v>
      </c>
      <c r="E28" s="4">
        <f t="shared" ref="E28:K28" si="16">SUM(E5:E27)</f>
        <v>7946.4800000000005</v>
      </c>
      <c r="F28" s="4">
        <f t="shared" si="16"/>
        <v>1828</v>
      </c>
      <c r="G28" s="4">
        <f t="shared" si="16"/>
        <v>1160.3</v>
      </c>
      <c r="H28" s="4">
        <f t="shared" si="16"/>
        <v>0</v>
      </c>
      <c r="I28" s="4">
        <f t="shared" si="16"/>
        <v>0</v>
      </c>
      <c r="J28" s="4">
        <f t="shared" si="16"/>
        <v>0</v>
      </c>
      <c r="K28" s="20">
        <f t="shared" si="16"/>
        <v>10934.779999999999</v>
      </c>
      <c r="M28" s="51">
        <f>SUM(M5:M27)</f>
        <v>0</v>
      </c>
      <c r="N28" s="52">
        <f>SUM(N5:N27)</f>
        <v>10934.779999999999</v>
      </c>
      <c r="O28" s="53">
        <f>SUM(O5:O27)</f>
        <v>10934.779999999999</v>
      </c>
      <c r="Q28"/>
    </row>
    <row r="29" spans="1:20" x14ac:dyDescent="0.2">
      <c r="B29" s="19"/>
      <c r="D29" s="20"/>
      <c r="E29" s="4"/>
      <c r="F29" s="20"/>
      <c r="G29" s="4"/>
      <c r="H29" s="4"/>
      <c r="I29" s="4"/>
      <c r="J29" s="4"/>
      <c r="K29" s="20"/>
      <c r="Q29"/>
    </row>
    <row r="30" spans="1:20" x14ac:dyDescent="0.2">
      <c r="C30" s="32" t="s">
        <v>38</v>
      </c>
      <c r="D30" s="30">
        <f>M28</f>
        <v>0</v>
      </c>
      <c r="Q30"/>
    </row>
    <row r="31" spans="1:20" x14ac:dyDescent="0.2">
      <c r="C31" s="32" t="s">
        <v>23</v>
      </c>
      <c r="D31" s="54"/>
      <c r="Q31"/>
    </row>
    <row r="32" spans="1:20" x14ac:dyDescent="0.2">
      <c r="C32" s="32" t="s">
        <v>24</v>
      </c>
      <c r="D32" s="20">
        <f>SUM(D30:D31)</f>
        <v>0</v>
      </c>
    </row>
    <row r="34" spans="1:18" x14ac:dyDescent="0.2">
      <c r="A34" s="44"/>
      <c r="B34" s="6"/>
      <c r="C34" s="7"/>
      <c r="D34" s="7"/>
      <c r="E34" s="13"/>
      <c r="F34" s="13"/>
      <c r="G34" s="13"/>
      <c r="H34" s="13"/>
      <c r="I34" s="13"/>
      <c r="J34" s="13"/>
      <c r="K34" s="13"/>
      <c r="L34" s="8"/>
      <c r="R34" s="4"/>
    </row>
  </sheetData>
  <conditionalFormatting sqref="C1">
    <cfRule type="duplicateValues" dxfId="53" priority="13"/>
  </conditionalFormatting>
  <conditionalFormatting sqref="C2">
    <cfRule type="duplicateValues" dxfId="52" priority="14"/>
  </conditionalFormatting>
  <conditionalFormatting sqref="C3">
    <cfRule type="duplicateValues" dxfId="51" priority="6"/>
  </conditionalFormatting>
  <conditionalFormatting sqref="C4:C5">
    <cfRule type="duplicateValues" dxfId="50" priority="11"/>
  </conditionalFormatting>
  <conditionalFormatting sqref="C6 C8:C26">
    <cfRule type="duplicateValues" dxfId="49" priority="177"/>
    <cfRule type="duplicateValues" dxfId="48" priority="179"/>
  </conditionalFormatting>
  <conditionalFormatting sqref="C7">
    <cfRule type="duplicateValues" dxfId="47" priority="1"/>
  </conditionalFormatting>
  <conditionalFormatting sqref="C27">
    <cfRule type="duplicateValues" dxfId="46" priority="8"/>
  </conditionalFormatting>
  <conditionalFormatting sqref="C27:C1048576 C1:C5">
    <cfRule type="duplicateValues" dxfId="45" priority="174"/>
  </conditionalFormatting>
  <conditionalFormatting sqref="C28:C29">
    <cfRule type="duplicateValues" dxfId="44" priority="7"/>
  </conditionalFormatting>
  <conditionalFormatting sqref="C32">
    <cfRule type="duplicateValues" dxfId="43" priority="9"/>
  </conditionalFormatting>
  <conditionalFormatting sqref="C33">
    <cfRule type="duplicateValues" dxfId="42" priority="10"/>
  </conditionalFormatting>
  <conditionalFormatting sqref="C34">
    <cfRule type="duplicateValues" dxfId="41" priority="12"/>
  </conditionalFormatting>
  <conditionalFormatting sqref="C36:C1048576">
    <cfRule type="duplicateValues" dxfId="40" priority="15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Y33"/>
  <sheetViews>
    <sheetView workbookViewId="0">
      <selection activeCell="M12" sqref="M12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5" ht="21" x14ac:dyDescent="0.25">
      <c r="A1"/>
      <c r="B1" s="23" t="s">
        <v>20</v>
      </c>
      <c r="C1" s="6"/>
      <c r="D1" s="6"/>
      <c r="E1" s="4"/>
      <c r="L1"/>
      <c r="Q1"/>
    </row>
    <row r="2" spans="1:25" ht="21" x14ac:dyDescent="0.25">
      <c r="A2"/>
      <c r="B2" s="23" t="s">
        <v>58</v>
      </c>
      <c r="C2" s="6"/>
      <c r="D2" s="6"/>
      <c r="E2" s="4"/>
      <c r="L2"/>
      <c r="Q2"/>
    </row>
    <row r="3" spans="1:25" ht="21" x14ac:dyDescent="0.25">
      <c r="B3" s="35" t="s">
        <v>29</v>
      </c>
      <c r="Q3"/>
    </row>
    <row r="4" spans="1:25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5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>K5-M5</f>
        <v>0</v>
      </c>
      <c r="O5" s="43">
        <f>M5+N5</f>
        <v>0</v>
      </c>
      <c r="Q5" s="4">
        <f>K5-M5</f>
        <v>0</v>
      </c>
      <c r="R5" s="4">
        <f>N5-Q5</f>
        <v>0</v>
      </c>
      <c r="T5" s="4">
        <f>K5-S5</f>
        <v>0</v>
      </c>
    </row>
    <row r="6" spans="1:25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>K6-M6</f>
        <v>0</v>
      </c>
      <c r="O6" s="43">
        <f>M6+N6</f>
        <v>0</v>
      </c>
      <c r="Q6" s="4">
        <f>K6-M6</f>
        <v>0</v>
      </c>
      <c r="R6" s="4">
        <f>N6-Q6</f>
        <v>0</v>
      </c>
      <c r="T6" s="4">
        <f>K6-S6</f>
        <v>0</v>
      </c>
    </row>
    <row r="7" spans="1:25" x14ac:dyDescent="0.2">
      <c r="L7" s="8">
        <f t="shared" ref="L7:L12" si="0">K7+L6</f>
        <v>0</v>
      </c>
      <c r="M7" s="42"/>
      <c r="N7" s="4">
        <f>K7-M7</f>
        <v>0</v>
      </c>
      <c r="O7" s="43">
        <f>M7+N7</f>
        <v>0</v>
      </c>
      <c r="Q7" s="4">
        <f>K7-M7</f>
        <v>0</v>
      </c>
      <c r="R7" s="4">
        <f>N7-Q7</f>
        <v>0</v>
      </c>
      <c r="T7" s="4">
        <f>K7-S7</f>
        <v>0</v>
      </c>
    </row>
    <row r="8" spans="1:25" x14ac:dyDescent="0.2">
      <c r="A8" s="75">
        <v>29</v>
      </c>
      <c r="B8" s="77">
        <v>41652</v>
      </c>
      <c r="C8" s="76">
        <v>17767</v>
      </c>
      <c r="D8" s="76" t="s">
        <v>19</v>
      </c>
      <c r="E8" s="13">
        <v>4529.9399999999996</v>
      </c>
      <c r="F8" s="13">
        <v>3010</v>
      </c>
      <c r="G8" s="13">
        <v>650.9</v>
      </c>
      <c r="H8" s="13">
        <v>0</v>
      </c>
      <c r="I8" s="13">
        <v>0</v>
      </c>
      <c r="J8" s="13">
        <v>0</v>
      </c>
      <c r="K8" s="13">
        <v>8190.8399999999992</v>
      </c>
      <c r="L8" s="8">
        <f t="shared" si="0"/>
        <v>8190.8399999999992</v>
      </c>
      <c r="M8" s="42">
        <v>8190.8399999999992</v>
      </c>
      <c r="N8" s="4">
        <f>K8-M8</f>
        <v>0</v>
      </c>
      <c r="O8" s="43">
        <f>M8+N8</f>
        <v>8190.8399999999992</v>
      </c>
      <c r="P8" t="s">
        <v>80</v>
      </c>
      <c r="Q8" s="4">
        <f>K8-M8</f>
        <v>0</v>
      </c>
      <c r="R8" s="4">
        <f>N8-Q8</f>
        <v>0</v>
      </c>
      <c r="S8" s="4">
        <f>K8*1</f>
        <v>8190.8399999999992</v>
      </c>
      <c r="T8" s="4">
        <f t="shared" ref="T8:T10" si="1">K8-S8</f>
        <v>0</v>
      </c>
      <c r="U8" t="s">
        <v>77</v>
      </c>
      <c r="Y8" t="s">
        <v>94</v>
      </c>
    </row>
    <row r="9" spans="1:25" ht="14.25" customHeight="1" x14ac:dyDescent="0.2">
      <c r="A9" s="75">
        <v>24</v>
      </c>
      <c r="B9" s="77">
        <v>41652</v>
      </c>
      <c r="C9" s="76">
        <v>17781</v>
      </c>
      <c r="D9" s="76" t="s">
        <v>19</v>
      </c>
      <c r="E9" s="13">
        <v>22928.75</v>
      </c>
      <c r="F9" s="13">
        <v>23992.320000000007</v>
      </c>
      <c r="G9" s="13">
        <v>3976.15</v>
      </c>
      <c r="H9" s="13">
        <v>0</v>
      </c>
      <c r="I9" s="13">
        <v>0</v>
      </c>
      <c r="J9" s="13">
        <v>0</v>
      </c>
      <c r="K9" s="13">
        <v>50897.220000000008</v>
      </c>
      <c r="L9" s="8">
        <f t="shared" si="0"/>
        <v>59088.060000000005</v>
      </c>
      <c r="M9" s="42">
        <v>3562.81</v>
      </c>
      <c r="N9" s="4">
        <f>K9-M9</f>
        <v>47334.410000000011</v>
      </c>
      <c r="O9" s="43">
        <f>M9+N9</f>
        <v>50897.220000000008</v>
      </c>
      <c r="P9" t="s">
        <v>81</v>
      </c>
      <c r="Q9" s="4">
        <f>K9-M9</f>
        <v>47334.410000000011</v>
      </c>
      <c r="R9" s="4">
        <f>N9-Q9</f>
        <v>0</v>
      </c>
      <c r="S9" s="4">
        <f>K9*0.07</f>
        <v>3562.8054000000011</v>
      </c>
      <c r="T9" s="4">
        <f t="shared" si="1"/>
        <v>47334.414600000004</v>
      </c>
      <c r="U9" t="s">
        <v>78</v>
      </c>
      <c r="Y9" t="s">
        <v>94</v>
      </c>
    </row>
    <row r="10" spans="1:25" x14ac:dyDescent="0.2">
      <c r="A10" s="75">
        <v>24</v>
      </c>
      <c r="B10" s="77">
        <v>41652</v>
      </c>
      <c r="C10" s="76">
        <v>17781</v>
      </c>
      <c r="D10" s="76" t="s">
        <v>19</v>
      </c>
      <c r="E10" s="13">
        <v>22928.75</v>
      </c>
      <c r="F10" s="13">
        <v>23992.320000000007</v>
      </c>
      <c r="G10" s="13">
        <v>3976.15</v>
      </c>
      <c r="H10" s="13">
        <v>0</v>
      </c>
      <c r="I10" s="13">
        <v>0</v>
      </c>
      <c r="J10" s="13">
        <v>0</v>
      </c>
      <c r="K10" s="13">
        <v>50897.220000000008</v>
      </c>
      <c r="L10" s="8">
        <f t="shared" si="0"/>
        <v>109985.28000000001</v>
      </c>
      <c r="M10" s="42">
        <v>11197.39</v>
      </c>
      <c r="N10" s="4">
        <f t="shared" ref="N10" si="2">K10-M10</f>
        <v>39699.830000000009</v>
      </c>
      <c r="O10" s="43">
        <f t="shared" ref="O10" si="3">M10+N10</f>
        <v>50897.220000000008</v>
      </c>
      <c r="P10" t="s">
        <v>82</v>
      </c>
      <c r="Q10" s="4">
        <f t="shared" ref="Q10" si="4">K10-M10</f>
        <v>39699.830000000009</v>
      </c>
      <c r="R10" s="4">
        <f t="shared" ref="R10" si="5">N10-Q10</f>
        <v>0</v>
      </c>
      <c r="S10" s="4">
        <f>K10*0.22</f>
        <v>11197.388400000002</v>
      </c>
      <c r="T10" s="4">
        <f t="shared" si="1"/>
        <v>39699.831600000005</v>
      </c>
      <c r="U10" t="s">
        <v>79</v>
      </c>
      <c r="Y10" t="s">
        <v>94</v>
      </c>
    </row>
    <row r="11" spans="1:25" x14ac:dyDescent="0.2">
      <c r="A11" s="44"/>
      <c r="B11" s="45"/>
      <c r="C11" s="46"/>
      <c r="D11" s="7"/>
      <c r="E11" s="7"/>
      <c r="F11" s="7"/>
      <c r="G11" s="13"/>
      <c r="H11" s="13"/>
      <c r="I11" s="13"/>
      <c r="J11" s="13"/>
      <c r="K11" s="47"/>
      <c r="L11" s="8">
        <f t="shared" si="0"/>
        <v>109985.28000000001</v>
      </c>
      <c r="M11" s="42"/>
      <c r="N11" s="4">
        <f t="shared" ref="N11:N26" si="6">K11-M11</f>
        <v>0</v>
      </c>
      <c r="O11" s="43">
        <f t="shared" ref="O11:O26" si="7">M11+N11</f>
        <v>0</v>
      </c>
      <c r="Q11" s="4">
        <f t="shared" ref="Q11:Q26" si="8">K11-M11</f>
        <v>0</v>
      </c>
      <c r="R11" s="4">
        <f t="shared" ref="R11:R25" si="9">N11-Q11</f>
        <v>0</v>
      </c>
      <c r="T11" s="4">
        <f t="shared" ref="T11:T25" si="10">K11-S11</f>
        <v>0</v>
      </c>
    </row>
    <row r="12" spans="1:25" ht="14.25" customHeight="1" x14ac:dyDescent="0.2">
      <c r="A12" s="103">
        <v>19</v>
      </c>
      <c r="B12" s="106">
        <v>41662</v>
      </c>
      <c r="C12" s="104">
        <v>18406</v>
      </c>
      <c r="D12" s="104" t="s">
        <v>19</v>
      </c>
      <c r="E12" s="13">
        <v>6679.8400000000011</v>
      </c>
      <c r="F12" s="13">
        <v>1928</v>
      </c>
      <c r="G12" s="13">
        <v>1358.4</v>
      </c>
      <c r="H12" s="13">
        <v>0</v>
      </c>
      <c r="I12" s="13">
        <v>0</v>
      </c>
      <c r="J12" s="13">
        <v>0</v>
      </c>
      <c r="K12" s="13">
        <v>9966.24</v>
      </c>
      <c r="L12" s="8">
        <f t="shared" si="0"/>
        <v>119951.52000000002</v>
      </c>
      <c r="M12" s="42">
        <v>597.97</v>
      </c>
      <c r="N12" s="4">
        <f t="shared" ref="N12" si="11">K12-M12</f>
        <v>9368.27</v>
      </c>
      <c r="O12" s="43">
        <f t="shared" ref="O12" si="12">M12+N12</f>
        <v>9966.24</v>
      </c>
      <c r="P12" t="s">
        <v>136</v>
      </c>
      <c r="Q12" s="4">
        <f t="shared" ref="Q12" si="13">K12-M12</f>
        <v>9368.27</v>
      </c>
      <c r="R12" s="4">
        <f t="shared" ref="R12" si="14">N12-Q12</f>
        <v>0</v>
      </c>
      <c r="S12" s="4">
        <f>K12*0.06</f>
        <v>597.97439999999995</v>
      </c>
      <c r="T12" s="4">
        <f t="shared" ref="T12" si="15">K12-S12</f>
        <v>9368.2656000000006</v>
      </c>
      <c r="U12" t="s">
        <v>133</v>
      </c>
    </row>
    <row r="13" spans="1:25" x14ac:dyDescent="0.2">
      <c r="A13" s="44"/>
      <c r="B13" s="45"/>
      <c r="C13" s="46"/>
      <c r="D13" s="7"/>
      <c r="E13" s="7"/>
      <c r="F13" s="7"/>
      <c r="G13" s="13"/>
      <c r="H13" s="13"/>
      <c r="I13" s="13"/>
      <c r="J13" s="13"/>
      <c r="K13" s="47"/>
      <c r="L13" s="8">
        <f>K13+L11</f>
        <v>109985.28000000001</v>
      </c>
      <c r="M13" s="42"/>
      <c r="N13" s="4">
        <f t="shared" si="6"/>
        <v>0</v>
      </c>
      <c r="O13" s="43">
        <f t="shared" si="7"/>
        <v>0</v>
      </c>
      <c r="Q13" s="4">
        <f t="shared" si="8"/>
        <v>0</v>
      </c>
      <c r="R13" s="4">
        <f t="shared" si="9"/>
        <v>0</v>
      </c>
      <c r="T13" s="4">
        <f t="shared" si="10"/>
        <v>0</v>
      </c>
    </row>
    <row r="14" spans="1:25" x14ac:dyDescent="0.2">
      <c r="A14" s="44"/>
      <c r="B14" s="45"/>
      <c r="C14" s="46"/>
      <c r="D14" s="7"/>
      <c r="E14" s="7"/>
      <c r="F14" s="7"/>
      <c r="G14" s="13"/>
      <c r="H14" s="13"/>
      <c r="I14" s="13"/>
      <c r="J14" s="13"/>
      <c r="K14" s="47"/>
      <c r="L14" s="8">
        <f t="shared" ref="L14:L25" si="16">K14+L13</f>
        <v>109985.28000000001</v>
      </c>
      <c r="M14" s="42"/>
      <c r="N14" s="4">
        <f t="shared" si="6"/>
        <v>0</v>
      </c>
      <c r="O14" s="43">
        <f t="shared" si="7"/>
        <v>0</v>
      </c>
      <c r="Q14" s="4">
        <f t="shared" si="8"/>
        <v>0</v>
      </c>
      <c r="R14" s="4">
        <f t="shared" si="9"/>
        <v>0</v>
      </c>
      <c r="T14" s="4">
        <f t="shared" si="10"/>
        <v>0</v>
      </c>
    </row>
    <row r="15" spans="1:25" x14ac:dyDescent="0.2">
      <c r="A15" s="44"/>
      <c r="B15" s="45"/>
      <c r="C15" s="46"/>
      <c r="D15" s="7"/>
      <c r="E15" s="7"/>
      <c r="F15" s="7"/>
      <c r="G15" s="13"/>
      <c r="H15" s="13"/>
      <c r="I15" s="13"/>
      <c r="J15" s="13"/>
      <c r="K15" s="47"/>
      <c r="L15" s="8">
        <f t="shared" si="16"/>
        <v>109985.28000000001</v>
      </c>
      <c r="M15" s="42"/>
      <c r="N15" s="4">
        <f t="shared" si="6"/>
        <v>0</v>
      </c>
      <c r="O15" s="43">
        <f t="shared" si="7"/>
        <v>0</v>
      </c>
      <c r="Q15" s="4">
        <f t="shared" si="8"/>
        <v>0</v>
      </c>
      <c r="R15" s="4">
        <f t="shared" si="9"/>
        <v>0</v>
      </c>
      <c r="T15" s="4">
        <f t="shared" si="10"/>
        <v>0</v>
      </c>
    </row>
    <row r="16" spans="1:25" x14ac:dyDescent="0.2">
      <c r="A16" s="44"/>
      <c r="B16" s="45"/>
      <c r="C16" s="46"/>
      <c r="D16" s="7"/>
      <c r="E16" s="7"/>
      <c r="F16" s="7"/>
      <c r="G16" s="13"/>
      <c r="H16" s="13"/>
      <c r="I16" s="13"/>
      <c r="J16" s="13"/>
      <c r="K16" s="47"/>
      <c r="L16" s="8">
        <f t="shared" si="16"/>
        <v>109985.28000000001</v>
      </c>
      <c r="M16" s="42"/>
      <c r="N16" s="4">
        <f t="shared" si="6"/>
        <v>0</v>
      </c>
      <c r="O16" s="43">
        <f t="shared" si="7"/>
        <v>0</v>
      </c>
      <c r="Q16" s="4">
        <f t="shared" si="8"/>
        <v>0</v>
      </c>
      <c r="R16" s="4">
        <f t="shared" si="9"/>
        <v>0</v>
      </c>
      <c r="T16" s="4">
        <f t="shared" si="10"/>
        <v>0</v>
      </c>
    </row>
    <row r="17" spans="1:20" x14ac:dyDescent="0.2">
      <c r="A17" s="44"/>
      <c r="B17" s="45"/>
      <c r="C17" s="46"/>
      <c r="D17" s="7"/>
      <c r="E17" s="7"/>
      <c r="F17" s="7"/>
      <c r="G17" s="13"/>
      <c r="H17" s="13"/>
      <c r="I17" s="13"/>
      <c r="J17" s="13"/>
      <c r="K17" s="47"/>
      <c r="L17" s="8">
        <f t="shared" si="16"/>
        <v>109985.28000000001</v>
      </c>
      <c r="M17" s="42"/>
      <c r="N17" s="4">
        <f t="shared" si="6"/>
        <v>0</v>
      </c>
      <c r="O17" s="43">
        <f t="shared" si="7"/>
        <v>0</v>
      </c>
      <c r="Q17" s="4">
        <f t="shared" si="8"/>
        <v>0</v>
      </c>
      <c r="R17" s="4">
        <f t="shared" si="9"/>
        <v>0</v>
      </c>
      <c r="T17" s="4">
        <f t="shared" si="10"/>
        <v>0</v>
      </c>
    </row>
    <row r="18" spans="1:20" x14ac:dyDescent="0.2">
      <c r="A18" s="44"/>
      <c r="B18" s="45"/>
      <c r="C18" s="46"/>
      <c r="D18" s="7"/>
      <c r="E18" s="7"/>
      <c r="F18" s="7"/>
      <c r="G18" s="13"/>
      <c r="H18" s="13"/>
      <c r="I18" s="13"/>
      <c r="J18" s="13"/>
      <c r="K18" s="47"/>
      <c r="L18" s="8">
        <f t="shared" si="16"/>
        <v>109985.28000000001</v>
      </c>
      <c r="M18" s="42"/>
      <c r="N18" s="4">
        <f t="shared" si="6"/>
        <v>0</v>
      </c>
      <c r="O18" s="43">
        <f t="shared" si="7"/>
        <v>0</v>
      </c>
      <c r="Q18" s="4">
        <f t="shared" si="8"/>
        <v>0</v>
      </c>
      <c r="R18" s="4">
        <f t="shared" si="9"/>
        <v>0</v>
      </c>
      <c r="T18" s="4">
        <f t="shared" si="10"/>
        <v>0</v>
      </c>
    </row>
    <row r="19" spans="1:20" x14ac:dyDescent="0.2">
      <c r="A19" s="44"/>
      <c r="B19" s="45"/>
      <c r="C19" s="46"/>
      <c r="D19" s="7"/>
      <c r="E19" s="7"/>
      <c r="F19" s="7"/>
      <c r="G19" s="13"/>
      <c r="H19" s="13"/>
      <c r="I19" s="13"/>
      <c r="J19" s="13"/>
      <c r="K19" s="47"/>
      <c r="L19" s="8">
        <f t="shared" si="16"/>
        <v>109985.28000000001</v>
      </c>
      <c r="M19" s="42"/>
      <c r="N19" s="4">
        <f t="shared" si="6"/>
        <v>0</v>
      </c>
      <c r="O19" s="43">
        <f t="shared" si="7"/>
        <v>0</v>
      </c>
      <c r="Q19" s="4">
        <f t="shared" si="8"/>
        <v>0</v>
      </c>
      <c r="R19" s="4">
        <f t="shared" si="9"/>
        <v>0</v>
      </c>
      <c r="T19" s="4">
        <f t="shared" si="10"/>
        <v>0</v>
      </c>
    </row>
    <row r="20" spans="1:20" x14ac:dyDescent="0.2">
      <c r="A20"/>
      <c r="C20" s="46"/>
      <c r="E20" s="7"/>
      <c r="F20" s="7"/>
      <c r="G20" s="13"/>
      <c r="H20" s="13"/>
      <c r="I20" s="13"/>
      <c r="J20" s="13"/>
      <c r="K20" s="47"/>
      <c r="L20" s="8">
        <f t="shared" si="16"/>
        <v>109985.28000000001</v>
      </c>
      <c r="M20" s="42"/>
      <c r="N20" s="4">
        <f t="shared" si="6"/>
        <v>0</v>
      </c>
      <c r="O20" s="43">
        <f t="shared" si="7"/>
        <v>0</v>
      </c>
      <c r="Q20" s="4">
        <f t="shared" si="8"/>
        <v>0</v>
      </c>
      <c r="R20" s="4">
        <f t="shared" si="9"/>
        <v>0</v>
      </c>
      <c r="T20" s="4">
        <f t="shared" si="10"/>
        <v>0</v>
      </c>
    </row>
    <row r="21" spans="1:20" x14ac:dyDescent="0.2">
      <c r="A21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si="16"/>
        <v>109985.28000000001</v>
      </c>
      <c r="M21" s="42"/>
      <c r="N21" s="4">
        <f t="shared" si="6"/>
        <v>0</v>
      </c>
      <c r="O21" s="43">
        <f t="shared" si="7"/>
        <v>0</v>
      </c>
      <c r="Q21" s="4">
        <f t="shared" si="8"/>
        <v>0</v>
      </c>
      <c r="R21" s="4">
        <f t="shared" si="9"/>
        <v>0</v>
      </c>
      <c r="T21" s="4">
        <f t="shared" si="10"/>
        <v>0</v>
      </c>
    </row>
    <row r="22" spans="1:20" s="14" customFormat="1" x14ac:dyDescent="0.2">
      <c r="A22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16"/>
        <v>109985.28000000001</v>
      </c>
      <c r="M22" s="42"/>
      <c r="N22" s="4">
        <f t="shared" si="6"/>
        <v>0</v>
      </c>
      <c r="O22" s="48">
        <f t="shared" si="7"/>
        <v>0</v>
      </c>
      <c r="P22"/>
      <c r="Q22" s="4">
        <f t="shared" si="8"/>
        <v>0</v>
      </c>
      <c r="R22" s="4">
        <f t="shared" si="9"/>
        <v>0</v>
      </c>
      <c r="S22"/>
      <c r="T22" s="4">
        <f t="shared" si="10"/>
        <v>0</v>
      </c>
    </row>
    <row r="23" spans="1:20" ht="16.5" customHeight="1" x14ac:dyDescent="0.2">
      <c r="A23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 t="shared" si="16"/>
        <v>109985.28000000001</v>
      </c>
      <c r="M23" s="42"/>
      <c r="N23" s="4">
        <f t="shared" si="6"/>
        <v>0</v>
      </c>
      <c r="O23" s="43">
        <f t="shared" si="7"/>
        <v>0</v>
      </c>
      <c r="Q23" s="4">
        <f t="shared" si="8"/>
        <v>0</v>
      </c>
      <c r="R23" s="4">
        <f t="shared" si="9"/>
        <v>0</v>
      </c>
      <c r="T23" s="4">
        <f t="shared" si="10"/>
        <v>0</v>
      </c>
    </row>
    <row r="24" spans="1:20" x14ac:dyDescent="0.2">
      <c r="A2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si="16"/>
        <v>109985.28000000001</v>
      </c>
      <c r="M24" s="42"/>
      <c r="N24" s="4">
        <f t="shared" si="6"/>
        <v>0</v>
      </c>
      <c r="O24" s="43">
        <f t="shared" si="7"/>
        <v>0</v>
      </c>
      <c r="Q24" s="4">
        <f t="shared" si="8"/>
        <v>0</v>
      </c>
      <c r="R24" s="4">
        <f t="shared" si="9"/>
        <v>0</v>
      </c>
      <c r="T24" s="4">
        <f t="shared" si="10"/>
        <v>0</v>
      </c>
    </row>
    <row r="25" spans="1:20" x14ac:dyDescent="0.2">
      <c r="A25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16"/>
        <v>109985.28000000001</v>
      </c>
      <c r="M25" s="42"/>
      <c r="N25" s="4">
        <f t="shared" si="6"/>
        <v>0</v>
      </c>
      <c r="O25" s="43">
        <f t="shared" si="7"/>
        <v>0</v>
      </c>
      <c r="Q25" s="4">
        <f t="shared" si="8"/>
        <v>0</v>
      </c>
      <c r="R25" s="4">
        <f t="shared" si="9"/>
        <v>0</v>
      </c>
      <c r="T25" s="4">
        <f t="shared" si="10"/>
        <v>0</v>
      </c>
    </row>
    <row r="26" spans="1:20" ht="16" customHeight="1" x14ac:dyDescent="0.2">
      <c r="A26" t="s">
        <v>37</v>
      </c>
      <c r="B26" s="49"/>
      <c r="C26" s="50"/>
      <c r="D26" s="50"/>
      <c r="E26" s="13"/>
      <c r="F26" s="13"/>
      <c r="G26" s="13"/>
      <c r="H26" s="13">
        <v>0</v>
      </c>
      <c r="I26" s="13">
        <v>0</v>
      </c>
      <c r="J26" s="13">
        <v>0</v>
      </c>
      <c r="K26" s="13"/>
      <c r="L26" s="13"/>
      <c r="M26" s="42"/>
      <c r="N26" s="4">
        <f t="shared" si="6"/>
        <v>0</v>
      </c>
      <c r="O26" s="43">
        <f t="shared" si="7"/>
        <v>0</v>
      </c>
      <c r="Q26" s="4">
        <f t="shared" si="8"/>
        <v>0</v>
      </c>
    </row>
    <row r="27" spans="1:20" x14ac:dyDescent="0.2">
      <c r="B27" s="19" t="s">
        <v>35</v>
      </c>
      <c r="D27" s="20">
        <f>SUM(E27:G27)</f>
        <v>119951.52000000002</v>
      </c>
      <c r="E27" s="4">
        <f t="shared" ref="E27:K27" si="17">SUM(E5:E26)</f>
        <v>57067.280000000006</v>
      </c>
      <c r="F27" s="4">
        <f t="shared" si="17"/>
        <v>52922.640000000014</v>
      </c>
      <c r="G27" s="4">
        <f t="shared" si="17"/>
        <v>9961.6</v>
      </c>
      <c r="H27" s="4">
        <f t="shared" si="17"/>
        <v>0</v>
      </c>
      <c r="I27" s="4">
        <f t="shared" si="17"/>
        <v>0</v>
      </c>
      <c r="J27" s="4">
        <f t="shared" si="17"/>
        <v>0</v>
      </c>
      <c r="K27" s="20">
        <f t="shared" si="17"/>
        <v>119951.52000000002</v>
      </c>
      <c r="M27" s="51">
        <f>SUM(M5:M26)</f>
        <v>23549.010000000002</v>
      </c>
      <c r="N27" s="52">
        <f>SUM(N5:N26)</f>
        <v>96402.510000000024</v>
      </c>
      <c r="O27" s="53">
        <f>SUM(O5:O26)</f>
        <v>119951.52000000002</v>
      </c>
      <c r="Q27"/>
    </row>
    <row r="28" spans="1:20" x14ac:dyDescent="0.2">
      <c r="B28" s="19"/>
      <c r="D28" s="20"/>
      <c r="E28" s="4"/>
      <c r="F28" s="20"/>
      <c r="G28" s="4"/>
      <c r="H28" s="4"/>
      <c r="I28" s="4"/>
      <c r="J28" s="4"/>
      <c r="K28" s="20"/>
      <c r="Q28"/>
    </row>
    <row r="29" spans="1:20" x14ac:dyDescent="0.2">
      <c r="C29" s="32" t="s">
        <v>38</v>
      </c>
      <c r="D29" s="30">
        <f>M27</f>
        <v>23549.010000000002</v>
      </c>
      <c r="Q29"/>
    </row>
    <row r="30" spans="1:20" x14ac:dyDescent="0.2">
      <c r="C30" s="32" t="s">
        <v>23</v>
      </c>
      <c r="D30" s="54"/>
      <c r="Q30"/>
    </row>
    <row r="31" spans="1:20" x14ac:dyDescent="0.2">
      <c r="C31" s="32" t="s">
        <v>24</v>
      </c>
      <c r="D31" s="20">
        <f>SUM(D29:D30)</f>
        <v>23549.010000000002</v>
      </c>
    </row>
    <row r="33" spans="1:18" x14ac:dyDescent="0.2">
      <c r="A33" s="44"/>
      <c r="B33" s="6"/>
      <c r="C33" s="7"/>
      <c r="D33" s="7"/>
      <c r="E33" s="13"/>
      <c r="F33" s="13"/>
      <c r="G33" s="13"/>
      <c r="H33" s="13"/>
      <c r="I33" s="13"/>
      <c r="J33" s="13"/>
      <c r="K33" s="13"/>
      <c r="L33" s="8"/>
      <c r="R33" s="4"/>
    </row>
  </sheetData>
  <conditionalFormatting sqref="C1">
    <cfRule type="duplicateValues" dxfId="39" priority="17"/>
  </conditionalFormatting>
  <conditionalFormatting sqref="C2">
    <cfRule type="duplicateValues" dxfId="38" priority="18"/>
  </conditionalFormatting>
  <conditionalFormatting sqref="C3">
    <cfRule type="duplicateValues" dxfId="37" priority="10"/>
  </conditionalFormatting>
  <conditionalFormatting sqref="C4:C5">
    <cfRule type="duplicateValues" dxfId="36" priority="15"/>
  </conditionalFormatting>
  <conditionalFormatting sqref="C8:C9">
    <cfRule type="duplicateValues" dxfId="35" priority="66"/>
  </conditionalFormatting>
  <conditionalFormatting sqref="C10">
    <cfRule type="duplicateValues" dxfId="34" priority="2"/>
  </conditionalFormatting>
  <conditionalFormatting sqref="C11 C6 C13:C25">
    <cfRule type="duplicateValues" dxfId="33" priority="70"/>
    <cfRule type="duplicateValues" dxfId="32" priority="72"/>
  </conditionalFormatting>
  <conditionalFormatting sqref="C12">
    <cfRule type="duplicateValues" dxfId="31" priority="1"/>
  </conditionalFormatting>
  <conditionalFormatting sqref="C26">
    <cfRule type="duplicateValues" dxfId="30" priority="12"/>
  </conditionalFormatting>
  <conditionalFormatting sqref="C26:C1048576 C1:C5">
    <cfRule type="duplicateValues" dxfId="29" priority="67"/>
  </conditionalFormatting>
  <conditionalFormatting sqref="C27:C28">
    <cfRule type="duplicateValues" dxfId="28" priority="11"/>
  </conditionalFormatting>
  <conditionalFormatting sqref="C31">
    <cfRule type="duplicateValues" dxfId="27" priority="13"/>
  </conditionalFormatting>
  <conditionalFormatting sqref="C32">
    <cfRule type="duplicateValues" dxfId="26" priority="14"/>
  </conditionalFormatting>
  <conditionalFormatting sqref="C33">
    <cfRule type="duplicateValues" dxfId="25" priority="16"/>
  </conditionalFormatting>
  <conditionalFormatting sqref="C35:C1048576">
    <cfRule type="duplicateValues" dxfId="24" priority="19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U76"/>
  <sheetViews>
    <sheetView workbookViewId="0">
      <selection activeCell="M11" sqref="M11"/>
    </sheetView>
  </sheetViews>
  <sheetFormatPr baseColWidth="10" defaultRowHeight="16" x14ac:dyDescent="0.2"/>
  <cols>
    <col min="1" max="1" width="5.6640625" style="7" customWidth="1"/>
    <col min="2" max="2" width="28.33203125" customWidth="1"/>
    <col min="3" max="3" width="14.6640625" customWidth="1"/>
    <col min="4" max="4" width="15.1640625" customWidth="1"/>
    <col min="5" max="5" width="12.33203125" customWidth="1"/>
    <col min="6" max="6" width="15.1640625" customWidth="1"/>
    <col min="7" max="7" width="13.1640625" customWidth="1"/>
    <col min="11" max="11" width="13.1640625" bestFit="1" customWidth="1"/>
    <col min="12" max="12" width="14.83203125" style="3" customWidth="1"/>
    <col min="13" max="15" width="11.83203125" style="4" customWidth="1"/>
    <col min="17" max="17" width="13.33203125" style="4" customWidth="1"/>
    <col min="19" max="19" width="13.1640625" bestFit="1" customWidth="1"/>
  </cols>
  <sheetData>
    <row r="1" spans="1:21" ht="21" x14ac:dyDescent="0.25">
      <c r="A1"/>
      <c r="B1" s="23" t="s">
        <v>20</v>
      </c>
      <c r="C1" s="6"/>
      <c r="D1" s="6"/>
      <c r="E1" s="4"/>
      <c r="L1"/>
      <c r="Q1"/>
    </row>
    <row r="2" spans="1:21" ht="21" x14ac:dyDescent="0.25">
      <c r="A2"/>
      <c r="B2" s="23" t="s">
        <v>60</v>
      </c>
      <c r="C2" s="6"/>
      <c r="D2" s="6"/>
      <c r="E2" s="4"/>
      <c r="L2"/>
      <c r="Q2"/>
    </row>
    <row r="3" spans="1:21" ht="21" x14ac:dyDescent="0.25">
      <c r="B3" s="35" t="s">
        <v>29</v>
      </c>
      <c r="Q3"/>
    </row>
    <row r="4" spans="1:21" ht="28" customHeight="1" x14ac:dyDescent="0.2">
      <c r="A4" s="36" t="s">
        <v>0</v>
      </c>
      <c r="B4" s="1" t="s">
        <v>1</v>
      </c>
      <c r="C4" s="1" t="s">
        <v>21</v>
      </c>
      <c r="D4" s="1" t="s">
        <v>30</v>
      </c>
      <c r="E4" s="2" t="s">
        <v>47</v>
      </c>
      <c r="F4" s="2" t="s">
        <v>32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M4" s="37" t="s">
        <v>33</v>
      </c>
      <c r="N4" s="38" t="s">
        <v>34</v>
      </c>
      <c r="O4" s="39" t="s">
        <v>35</v>
      </c>
      <c r="P4" s="40" t="s">
        <v>36</v>
      </c>
      <c r="Q4" s="41"/>
      <c r="R4" s="41"/>
    </row>
    <row r="5" spans="1:21" x14ac:dyDescent="0.2">
      <c r="A5"/>
      <c r="B5" s="6"/>
      <c r="C5" s="7"/>
      <c r="D5" s="7"/>
      <c r="E5" s="4"/>
      <c r="F5" s="4"/>
      <c r="G5" s="4"/>
      <c r="H5" s="4"/>
      <c r="I5" s="4"/>
      <c r="J5" s="4"/>
      <c r="K5" s="4"/>
      <c r="L5" s="8"/>
      <c r="M5" s="42"/>
      <c r="N5" s="4">
        <f>K5-M5</f>
        <v>0</v>
      </c>
      <c r="O5" s="43">
        <f>M5+N5</f>
        <v>0</v>
      </c>
      <c r="Q5" s="4">
        <f>K5-M5</f>
        <v>0</v>
      </c>
      <c r="R5" s="4">
        <f>N5-Q5</f>
        <v>0</v>
      </c>
      <c r="T5" s="4">
        <f>K5-S5</f>
        <v>0</v>
      </c>
    </row>
    <row r="6" spans="1:21" x14ac:dyDescent="0.2">
      <c r="A6" s="44"/>
      <c r="B6" s="45"/>
      <c r="C6" s="46"/>
      <c r="D6" s="7"/>
      <c r="E6" s="7"/>
      <c r="F6" s="7"/>
      <c r="G6" s="13"/>
      <c r="H6" s="13"/>
      <c r="I6" s="13"/>
      <c r="J6" s="13"/>
      <c r="K6" s="47"/>
      <c r="L6" s="8">
        <f>K6+L5</f>
        <v>0</v>
      </c>
      <c r="M6" s="42"/>
      <c r="N6" s="4">
        <f>K6-M6</f>
        <v>0</v>
      </c>
      <c r="O6" s="43">
        <f>M6+N6</f>
        <v>0</v>
      </c>
      <c r="Q6" s="4">
        <f>K6-M6</f>
        <v>0</v>
      </c>
      <c r="R6" s="4">
        <f>N6-Q6</f>
        <v>0</v>
      </c>
      <c r="T6" s="4">
        <f>K6-S6</f>
        <v>0</v>
      </c>
    </row>
    <row r="7" spans="1:21" ht="14.25" customHeight="1" x14ac:dyDescent="0.2">
      <c r="A7" s="55">
        <v>8</v>
      </c>
      <c r="B7" s="56">
        <v>41646</v>
      </c>
      <c r="C7" s="57">
        <v>17413</v>
      </c>
      <c r="D7" s="57" t="s">
        <v>19</v>
      </c>
      <c r="E7" s="13">
        <v>4385.6400000000003</v>
      </c>
      <c r="F7" s="13">
        <v>568</v>
      </c>
      <c r="G7" s="13">
        <v>650.9</v>
      </c>
      <c r="H7" s="13">
        <v>0</v>
      </c>
      <c r="I7" s="13">
        <v>0</v>
      </c>
      <c r="J7" s="13">
        <v>0</v>
      </c>
      <c r="K7" s="13">
        <v>5604.54</v>
      </c>
      <c r="L7" s="8">
        <f t="shared" ref="L7:L9" si="0">K7+L6</f>
        <v>5604.54</v>
      </c>
      <c r="M7" s="42">
        <v>952.77</v>
      </c>
      <c r="N7" s="4">
        <f>K7-M7</f>
        <v>4651.7700000000004</v>
      </c>
      <c r="O7" s="43">
        <f>M7+N7</f>
        <v>5604.5400000000009</v>
      </c>
      <c r="P7" t="s">
        <v>63</v>
      </c>
      <c r="Q7" s="4">
        <f>K7-M7</f>
        <v>4651.7700000000004</v>
      </c>
      <c r="R7" s="4">
        <f>N7-Q7</f>
        <v>0</v>
      </c>
      <c r="S7" s="4">
        <f>K7*0.17</f>
        <v>952.7718000000001</v>
      </c>
      <c r="T7" s="4">
        <f>K7-S7</f>
        <v>4651.7681999999995</v>
      </c>
      <c r="U7" t="s">
        <v>69</v>
      </c>
    </row>
    <row r="8" spans="1:21" x14ac:dyDescent="0.2">
      <c r="L8" s="8">
        <f t="shared" si="0"/>
        <v>5604.54</v>
      </c>
      <c r="M8" s="42"/>
      <c r="N8" s="4">
        <f t="shared" ref="N8" si="1">K8-M8</f>
        <v>0</v>
      </c>
      <c r="O8" s="43">
        <f t="shared" ref="O8" si="2">M8+N8</f>
        <v>0</v>
      </c>
      <c r="Q8" s="4">
        <f t="shared" ref="Q8" si="3">K8-M8</f>
        <v>0</v>
      </c>
      <c r="R8" s="4">
        <f t="shared" ref="R8" si="4">N8-Q8</f>
        <v>0</v>
      </c>
      <c r="S8" s="4">
        <f t="shared" ref="S8" si="5">K8*0.17</f>
        <v>0</v>
      </c>
      <c r="T8" s="4">
        <f t="shared" ref="T8" si="6">K8-S8</f>
        <v>0</v>
      </c>
    </row>
    <row r="9" spans="1:21" ht="14.25" customHeight="1" x14ac:dyDescent="0.2">
      <c r="A9" s="103">
        <v>8</v>
      </c>
      <c r="B9" s="106">
        <v>41663</v>
      </c>
      <c r="C9" s="104">
        <v>18429</v>
      </c>
      <c r="D9" s="104" t="s">
        <v>19</v>
      </c>
      <c r="E9" s="13">
        <v>6573.99</v>
      </c>
      <c r="F9" s="13">
        <v>900</v>
      </c>
      <c r="G9" s="13">
        <v>1075.4000000000001</v>
      </c>
      <c r="H9" s="13">
        <v>0</v>
      </c>
      <c r="I9" s="13">
        <v>0</v>
      </c>
      <c r="J9" s="13">
        <v>0</v>
      </c>
      <c r="K9" s="13">
        <v>8549.39</v>
      </c>
      <c r="L9" s="8">
        <f t="shared" si="0"/>
        <v>14153.93</v>
      </c>
      <c r="M9" s="42">
        <v>6155.56</v>
      </c>
      <c r="N9" s="4">
        <f t="shared" ref="N9:N10" si="7">K9-M9</f>
        <v>2393.829999999999</v>
      </c>
      <c r="O9" s="43">
        <f t="shared" ref="O9:O10" si="8">M9+N9</f>
        <v>8549.39</v>
      </c>
      <c r="P9" t="s">
        <v>135</v>
      </c>
      <c r="Q9" s="4">
        <f t="shared" ref="Q9:Q10" si="9">K9-M9</f>
        <v>2393.829999999999</v>
      </c>
      <c r="R9" s="4">
        <f t="shared" ref="R9:R10" si="10">N9-Q9</f>
        <v>0</v>
      </c>
      <c r="S9" s="4">
        <f>K9*0.72</f>
        <v>6155.5607999999993</v>
      </c>
      <c r="T9" s="4">
        <f t="shared" ref="T9:T10" si="11">K9-S9</f>
        <v>2393.8292000000001</v>
      </c>
      <c r="U9" t="s">
        <v>134</v>
      </c>
    </row>
    <row r="10" spans="1:21" x14ac:dyDescent="0.2">
      <c r="L10" s="8">
        <f>K10+L8</f>
        <v>5604.54</v>
      </c>
      <c r="M10" s="42"/>
      <c r="N10" s="4">
        <f t="shared" si="7"/>
        <v>0</v>
      </c>
      <c r="O10" s="43">
        <f t="shared" si="8"/>
        <v>0</v>
      </c>
      <c r="Q10" s="4">
        <f t="shared" si="9"/>
        <v>0</v>
      </c>
      <c r="R10" s="4">
        <f t="shared" si="10"/>
        <v>0</v>
      </c>
      <c r="S10" s="4">
        <f t="shared" ref="S10" si="12">K10*0.72</f>
        <v>0</v>
      </c>
      <c r="T10" s="4">
        <f t="shared" si="11"/>
        <v>0</v>
      </c>
    </row>
    <row r="11" spans="1:21" ht="14.25" customHeight="1" x14ac:dyDescent="0.2">
      <c r="A11" s="107">
        <v>8</v>
      </c>
      <c r="B11" s="110">
        <v>41664</v>
      </c>
      <c r="C11" s="108">
        <v>18499</v>
      </c>
      <c r="D11" s="108" t="s">
        <v>19</v>
      </c>
      <c r="E11" s="13">
        <v>7512.9</v>
      </c>
      <c r="F11" s="13">
        <v>1864</v>
      </c>
      <c r="G11" s="13">
        <v>990.5</v>
      </c>
      <c r="H11" s="13">
        <v>0</v>
      </c>
      <c r="I11" s="13">
        <v>0</v>
      </c>
      <c r="J11" s="13">
        <v>0</v>
      </c>
      <c r="K11" s="13">
        <v>10367.4</v>
      </c>
      <c r="L11" s="8">
        <f t="shared" ref="L11" si="13">K11+L10</f>
        <v>15971.939999999999</v>
      </c>
      <c r="M11" s="42">
        <v>10367.4</v>
      </c>
      <c r="N11" s="4">
        <f t="shared" ref="N11:N13" si="14">K11-M11</f>
        <v>0</v>
      </c>
      <c r="O11" s="43">
        <f t="shared" ref="O11:O13" si="15">M11+N11</f>
        <v>10367.4</v>
      </c>
      <c r="P11" t="s">
        <v>138</v>
      </c>
      <c r="Q11" s="4">
        <f t="shared" ref="Q11:Q12" si="16">K11-M11</f>
        <v>0</v>
      </c>
      <c r="R11" s="4">
        <f t="shared" ref="R11:R12" si="17">N11-Q11</f>
        <v>0</v>
      </c>
      <c r="S11" s="4">
        <f>K11*1</f>
        <v>10367.4</v>
      </c>
      <c r="T11" s="4">
        <f t="shared" ref="T11:T12" si="18">K11-S11</f>
        <v>0</v>
      </c>
      <c r="U11" t="s">
        <v>134</v>
      </c>
    </row>
    <row r="12" spans="1:21" x14ac:dyDescent="0.2">
      <c r="L12" s="8">
        <f>K12+L10</f>
        <v>5604.54</v>
      </c>
      <c r="M12" s="42"/>
      <c r="N12" s="4">
        <f t="shared" si="14"/>
        <v>0</v>
      </c>
      <c r="O12" s="43">
        <f t="shared" si="15"/>
        <v>0</v>
      </c>
      <c r="Q12" s="4">
        <f t="shared" si="16"/>
        <v>0</v>
      </c>
      <c r="R12" s="4">
        <f t="shared" si="17"/>
        <v>0</v>
      </c>
      <c r="T12" s="4">
        <f t="shared" si="18"/>
        <v>0</v>
      </c>
    </row>
    <row r="13" spans="1:21" x14ac:dyDescent="0.2">
      <c r="L13" s="8">
        <f t="shared" ref="L13:L20" si="19">K13+L12</f>
        <v>5604.54</v>
      </c>
      <c r="M13" s="42"/>
      <c r="N13" s="4">
        <f t="shared" si="14"/>
        <v>0</v>
      </c>
      <c r="O13" s="43">
        <f t="shared" si="15"/>
        <v>0</v>
      </c>
      <c r="Q13" s="4">
        <f t="shared" ref="Q13:Q17" si="20">K13-M13</f>
        <v>0</v>
      </c>
      <c r="R13" s="4">
        <f t="shared" ref="R13:R17" si="21">N13-Q13</f>
        <v>0</v>
      </c>
      <c r="T13" s="4">
        <f t="shared" ref="T13:T17" si="22">K13-S13</f>
        <v>0</v>
      </c>
    </row>
    <row r="14" spans="1:21" x14ac:dyDescent="0.2">
      <c r="L14" s="8">
        <f t="shared" si="19"/>
        <v>5604.54</v>
      </c>
      <c r="M14" s="42"/>
      <c r="N14" s="4">
        <f t="shared" ref="N14:N17" si="23">K14-M14</f>
        <v>0</v>
      </c>
      <c r="O14" s="43">
        <f t="shared" ref="O14:O17" si="24">M14+N14</f>
        <v>0</v>
      </c>
      <c r="Q14" s="4">
        <f t="shared" si="20"/>
        <v>0</v>
      </c>
      <c r="R14" s="4">
        <f t="shared" si="21"/>
        <v>0</v>
      </c>
      <c r="T14" s="4">
        <f t="shared" si="22"/>
        <v>0</v>
      </c>
    </row>
    <row r="15" spans="1:21" x14ac:dyDescent="0.2">
      <c r="L15" s="8">
        <f t="shared" si="19"/>
        <v>5604.54</v>
      </c>
      <c r="M15" s="42"/>
      <c r="N15" s="4">
        <f t="shared" si="23"/>
        <v>0</v>
      </c>
      <c r="O15" s="43">
        <f t="shared" si="24"/>
        <v>0</v>
      </c>
      <c r="Q15" s="4">
        <f t="shared" si="20"/>
        <v>0</v>
      </c>
      <c r="R15" s="4">
        <f t="shared" si="21"/>
        <v>0</v>
      </c>
      <c r="T15" s="4">
        <f t="shared" si="22"/>
        <v>0</v>
      </c>
    </row>
    <row r="16" spans="1:21" ht="15" customHeight="1" x14ac:dyDescent="0.2">
      <c r="A16" s="58"/>
      <c r="B16" s="59"/>
      <c r="C16" s="60"/>
      <c r="D16" s="60"/>
      <c r="E16" s="13"/>
      <c r="F16" s="13"/>
      <c r="G16" s="13"/>
      <c r="H16" s="13"/>
      <c r="I16" s="13"/>
      <c r="J16" s="13"/>
      <c r="K16" s="13"/>
      <c r="L16" s="8">
        <f t="shared" si="19"/>
        <v>5604.54</v>
      </c>
      <c r="M16" s="42"/>
      <c r="N16" s="4">
        <f t="shared" si="23"/>
        <v>0</v>
      </c>
      <c r="O16" s="43">
        <f t="shared" si="24"/>
        <v>0</v>
      </c>
      <c r="Q16" s="4">
        <f t="shared" si="20"/>
        <v>0</v>
      </c>
      <c r="R16" s="4">
        <f t="shared" si="21"/>
        <v>0</v>
      </c>
      <c r="T16" s="4">
        <f t="shared" si="22"/>
        <v>0</v>
      </c>
    </row>
    <row r="17" spans="1:20" x14ac:dyDescent="0.2">
      <c r="L17" s="8">
        <f t="shared" si="19"/>
        <v>5604.54</v>
      </c>
      <c r="M17" s="42"/>
      <c r="N17" s="4">
        <f t="shared" si="23"/>
        <v>0</v>
      </c>
      <c r="O17" s="43">
        <f t="shared" si="24"/>
        <v>0</v>
      </c>
      <c r="Q17" s="4">
        <f t="shared" si="20"/>
        <v>0</v>
      </c>
      <c r="R17" s="4">
        <f t="shared" si="21"/>
        <v>0</v>
      </c>
      <c r="T17" s="4">
        <f t="shared" si="22"/>
        <v>0</v>
      </c>
    </row>
    <row r="18" spans="1:20" ht="14.25" customHeight="1" x14ac:dyDescent="0.2">
      <c r="A18" s="68"/>
      <c r="B18" s="69"/>
      <c r="C18" s="70"/>
      <c r="D18" s="70"/>
      <c r="E18" s="13"/>
      <c r="F18" s="13"/>
      <c r="G18" s="13"/>
      <c r="H18" s="13"/>
      <c r="I18" s="13"/>
      <c r="J18" s="13"/>
      <c r="K18" s="13"/>
      <c r="L18" s="8">
        <f t="shared" si="19"/>
        <v>5604.54</v>
      </c>
      <c r="M18" s="42"/>
      <c r="N18" s="4">
        <f t="shared" ref="N18:N49" si="25">K18-M18</f>
        <v>0</v>
      </c>
      <c r="O18" s="43">
        <f t="shared" ref="O18:O49" si="26">M18+N18</f>
        <v>0</v>
      </c>
      <c r="Q18" s="4">
        <f>K18-M18</f>
        <v>0</v>
      </c>
      <c r="R18" s="4">
        <f>N18-Q18</f>
        <v>0</v>
      </c>
      <c r="T18" s="4">
        <f t="shared" ref="T18:T65" si="27">K18-S18</f>
        <v>0</v>
      </c>
    </row>
    <row r="19" spans="1:20" x14ac:dyDescent="0.2">
      <c r="A19" s="68"/>
      <c r="B19" s="69"/>
      <c r="C19" s="70"/>
      <c r="D19" s="70"/>
      <c r="E19" s="13"/>
      <c r="F19" s="13"/>
      <c r="G19" s="13"/>
      <c r="H19" s="13"/>
      <c r="I19" s="13"/>
      <c r="J19" s="13"/>
      <c r="K19" s="13"/>
      <c r="L19" s="8">
        <f t="shared" si="19"/>
        <v>5604.54</v>
      </c>
      <c r="M19" s="42"/>
      <c r="N19" s="4">
        <f t="shared" si="25"/>
        <v>0</v>
      </c>
      <c r="O19" s="43">
        <f t="shared" si="26"/>
        <v>0</v>
      </c>
      <c r="Q19" s="4">
        <f>K19-M19</f>
        <v>0</v>
      </c>
      <c r="R19" s="4">
        <f>N19-Q19</f>
        <v>0</v>
      </c>
      <c r="S19" s="4">
        <f>K19*0.24</f>
        <v>0</v>
      </c>
      <c r="T19" s="4">
        <f t="shared" si="27"/>
        <v>0</v>
      </c>
    </row>
    <row r="20" spans="1:20" x14ac:dyDescent="0.2">
      <c r="A20" s="44"/>
      <c r="B20" s="45"/>
      <c r="C20" s="46"/>
      <c r="D20" s="7"/>
      <c r="E20" s="7"/>
      <c r="F20" s="7"/>
      <c r="G20" s="13"/>
      <c r="H20" s="13"/>
      <c r="I20" s="13"/>
      <c r="J20" s="13"/>
      <c r="K20" s="47"/>
      <c r="L20" s="8">
        <f t="shared" si="19"/>
        <v>5604.54</v>
      </c>
      <c r="M20" s="42"/>
      <c r="N20" s="4">
        <f t="shared" si="25"/>
        <v>0</v>
      </c>
      <c r="O20" s="43">
        <f t="shared" si="26"/>
        <v>0</v>
      </c>
      <c r="Q20" s="4">
        <f t="shared" ref="Q20:Q22" si="28">K20-M20</f>
        <v>0</v>
      </c>
      <c r="R20" s="4">
        <f t="shared" ref="R20:R22" si="29">N20-Q20</f>
        <v>0</v>
      </c>
      <c r="T20" s="4">
        <f t="shared" si="27"/>
        <v>0</v>
      </c>
    </row>
    <row r="21" spans="1:20" x14ac:dyDescent="0.2">
      <c r="A21" s="44"/>
      <c r="B21" s="45"/>
      <c r="C21" s="46"/>
      <c r="D21" s="7"/>
      <c r="E21" s="7"/>
      <c r="F21" s="7"/>
      <c r="G21" s="13"/>
      <c r="H21" s="13"/>
      <c r="I21" s="13"/>
      <c r="J21" s="13"/>
      <c r="K21" s="47"/>
      <c r="L21" s="8">
        <f t="shared" ref="L21:L22" si="30">K21+L20</f>
        <v>5604.54</v>
      </c>
      <c r="M21" s="42"/>
      <c r="N21" s="4">
        <f t="shared" si="25"/>
        <v>0</v>
      </c>
      <c r="O21" s="43">
        <f t="shared" si="26"/>
        <v>0</v>
      </c>
      <c r="Q21" s="4">
        <f t="shared" si="28"/>
        <v>0</v>
      </c>
      <c r="R21" s="4">
        <f t="shared" si="29"/>
        <v>0</v>
      </c>
      <c r="T21" s="4">
        <f t="shared" si="27"/>
        <v>0</v>
      </c>
    </row>
    <row r="22" spans="1:20" x14ac:dyDescent="0.2">
      <c r="A22" s="44"/>
      <c r="B22" s="45"/>
      <c r="C22" s="46"/>
      <c r="D22" s="7"/>
      <c r="E22" s="7"/>
      <c r="F22" s="7"/>
      <c r="G22" s="13"/>
      <c r="H22" s="13"/>
      <c r="I22" s="13"/>
      <c r="J22" s="13"/>
      <c r="K22" s="47"/>
      <c r="L22" s="8">
        <f t="shared" si="30"/>
        <v>5604.54</v>
      </c>
      <c r="M22" s="42"/>
      <c r="N22" s="4">
        <f t="shared" si="25"/>
        <v>0</v>
      </c>
      <c r="O22" s="43">
        <f t="shared" si="26"/>
        <v>0</v>
      </c>
      <c r="Q22" s="4">
        <f t="shared" si="28"/>
        <v>0</v>
      </c>
      <c r="R22" s="4">
        <f t="shared" si="29"/>
        <v>0</v>
      </c>
      <c r="T22" s="4">
        <f t="shared" si="27"/>
        <v>0</v>
      </c>
    </row>
    <row r="23" spans="1:20" x14ac:dyDescent="0.2">
      <c r="A23" s="44"/>
      <c r="B23" s="45"/>
      <c r="C23" s="46"/>
      <c r="D23" s="7"/>
      <c r="E23" s="7"/>
      <c r="F23" s="7"/>
      <c r="G23" s="13"/>
      <c r="H23" s="13"/>
      <c r="I23" s="13"/>
      <c r="J23" s="13"/>
      <c r="K23" s="47"/>
      <c r="L23" s="8">
        <f>K23+L22</f>
        <v>5604.54</v>
      </c>
      <c r="M23" s="42"/>
      <c r="N23" s="4">
        <f t="shared" si="25"/>
        <v>0</v>
      </c>
      <c r="O23" s="43">
        <f t="shared" si="26"/>
        <v>0</v>
      </c>
      <c r="Q23" s="4">
        <f>K23-M23</f>
        <v>0</v>
      </c>
      <c r="R23" s="4">
        <f>N23-Q23</f>
        <v>0</v>
      </c>
      <c r="T23" s="4">
        <f t="shared" si="27"/>
        <v>0</v>
      </c>
    </row>
    <row r="24" spans="1:20" x14ac:dyDescent="0.2">
      <c r="A24" s="44"/>
      <c r="B24" s="45"/>
      <c r="C24" s="46"/>
      <c r="D24" s="7"/>
      <c r="E24" s="7"/>
      <c r="F24" s="7"/>
      <c r="G24" s="13"/>
      <c r="H24" s="13"/>
      <c r="I24" s="13"/>
      <c r="J24" s="13"/>
      <c r="K24" s="47"/>
      <c r="L24" s="8">
        <f t="shared" ref="L24:L67" si="31">K24+L23</f>
        <v>5604.54</v>
      </c>
      <c r="M24" s="42"/>
      <c r="N24" s="4">
        <f t="shared" si="25"/>
        <v>0</v>
      </c>
      <c r="O24" s="43">
        <f t="shared" si="26"/>
        <v>0</v>
      </c>
      <c r="Q24" s="4">
        <f t="shared" ref="Q24:Q67" si="32">K24-M24</f>
        <v>0</v>
      </c>
      <c r="R24" s="4">
        <f t="shared" ref="R24:R67" si="33">N24-Q24</f>
        <v>0</v>
      </c>
      <c r="T24" s="4">
        <f t="shared" si="27"/>
        <v>0</v>
      </c>
    </row>
    <row r="25" spans="1:20" x14ac:dyDescent="0.2">
      <c r="A25" s="44"/>
      <c r="B25" s="45"/>
      <c r="C25" s="46"/>
      <c r="D25" s="7"/>
      <c r="E25" s="7"/>
      <c r="F25" s="7"/>
      <c r="G25" s="13"/>
      <c r="H25" s="13"/>
      <c r="I25" s="13"/>
      <c r="J25" s="13"/>
      <c r="K25" s="47"/>
      <c r="L25" s="8">
        <f t="shared" si="31"/>
        <v>5604.54</v>
      </c>
      <c r="M25" s="42"/>
      <c r="N25" s="4">
        <f t="shared" si="25"/>
        <v>0</v>
      </c>
      <c r="O25" s="43">
        <f t="shared" si="26"/>
        <v>0</v>
      </c>
      <c r="Q25" s="4">
        <f t="shared" si="32"/>
        <v>0</v>
      </c>
      <c r="R25" s="4">
        <f t="shared" si="33"/>
        <v>0</v>
      </c>
      <c r="T25" s="4">
        <f t="shared" si="27"/>
        <v>0</v>
      </c>
    </row>
    <row r="26" spans="1:20" x14ac:dyDescent="0.2">
      <c r="A26" s="44"/>
      <c r="B26" s="45"/>
      <c r="C26" s="46"/>
      <c r="D26" s="7"/>
      <c r="E26" s="7"/>
      <c r="F26" s="7"/>
      <c r="G26" s="13"/>
      <c r="H26" s="13"/>
      <c r="I26" s="13"/>
      <c r="J26" s="13"/>
      <c r="K26" s="47"/>
      <c r="L26" s="8">
        <f t="shared" si="31"/>
        <v>5604.54</v>
      </c>
      <c r="M26" s="42"/>
      <c r="N26" s="4">
        <f t="shared" si="25"/>
        <v>0</v>
      </c>
      <c r="O26" s="43">
        <f t="shared" si="26"/>
        <v>0</v>
      </c>
      <c r="Q26" s="4">
        <f t="shared" si="32"/>
        <v>0</v>
      </c>
      <c r="R26" s="4">
        <f t="shared" si="33"/>
        <v>0</v>
      </c>
      <c r="T26" s="4">
        <f t="shared" si="27"/>
        <v>0</v>
      </c>
    </row>
    <row r="27" spans="1:20" x14ac:dyDescent="0.2">
      <c r="A27" s="44"/>
      <c r="B27" s="45"/>
      <c r="C27" s="46"/>
      <c r="D27" s="7"/>
      <c r="E27" s="7"/>
      <c r="F27" s="7"/>
      <c r="G27" s="13"/>
      <c r="H27" s="13"/>
      <c r="I27" s="13"/>
      <c r="J27" s="13"/>
      <c r="K27" s="47"/>
      <c r="L27" s="8">
        <f t="shared" si="31"/>
        <v>5604.54</v>
      </c>
      <c r="M27" s="42"/>
      <c r="N27" s="4">
        <f t="shared" si="25"/>
        <v>0</v>
      </c>
      <c r="O27" s="43">
        <f t="shared" si="26"/>
        <v>0</v>
      </c>
      <c r="Q27" s="4">
        <f t="shared" si="32"/>
        <v>0</v>
      </c>
      <c r="R27" s="4">
        <f t="shared" si="33"/>
        <v>0</v>
      </c>
      <c r="T27" s="4">
        <f t="shared" si="27"/>
        <v>0</v>
      </c>
    </row>
    <row r="28" spans="1:20" x14ac:dyDescent="0.2">
      <c r="A28" s="44"/>
      <c r="B28" s="45"/>
      <c r="C28" s="46"/>
      <c r="D28" s="7"/>
      <c r="E28" s="7"/>
      <c r="F28" s="7"/>
      <c r="G28" s="13"/>
      <c r="H28" s="13"/>
      <c r="I28" s="13"/>
      <c r="J28" s="13"/>
      <c r="K28" s="47"/>
      <c r="L28" s="8">
        <f t="shared" si="31"/>
        <v>5604.54</v>
      </c>
      <c r="M28" s="42"/>
      <c r="N28" s="4">
        <f t="shared" si="25"/>
        <v>0</v>
      </c>
      <c r="O28" s="43">
        <f t="shared" si="26"/>
        <v>0</v>
      </c>
      <c r="Q28" s="4">
        <f t="shared" si="32"/>
        <v>0</v>
      </c>
      <c r="R28" s="4">
        <f t="shared" si="33"/>
        <v>0</v>
      </c>
      <c r="T28" s="4">
        <f t="shared" si="27"/>
        <v>0</v>
      </c>
    </row>
    <row r="29" spans="1:20" x14ac:dyDescent="0.2">
      <c r="A29"/>
      <c r="C29" s="46"/>
      <c r="E29" s="7"/>
      <c r="F29" s="7"/>
      <c r="G29" s="13"/>
      <c r="H29" s="13"/>
      <c r="I29" s="13"/>
      <c r="J29" s="13"/>
      <c r="K29" s="47"/>
      <c r="L29" s="8">
        <f t="shared" si="31"/>
        <v>5604.54</v>
      </c>
      <c r="M29" s="42"/>
      <c r="N29" s="4">
        <f t="shared" si="25"/>
        <v>0</v>
      </c>
      <c r="O29" s="43">
        <f t="shared" si="26"/>
        <v>0</v>
      </c>
      <c r="Q29" s="4">
        <f t="shared" si="32"/>
        <v>0</v>
      </c>
      <c r="R29" s="4">
        <f t="shared" si="33"/>
        <v>0</v>
      </c>
      <c r="T29" s="4">
        <f t="shared" si="27"/>
        <v>0</v>
      </c>
    </row>
    <row r="30" spans="1:20" x14ac:dyDescent="0.2">
      <c r="A30"/>
      <c r="B30" s="45"/>
      <c r="C30" s="46"/>
      <c r="D30" s="7"/>
      <c r="E30" s="7"/>
      <c r="F30" s="7"/>
      <c r="G30" s="13"/>
      <c r="H30" s="13"/>
      <c r="I30" s="13"/>
      <c r="J30" s="13"/>
      <c r="K30" s="47"/>
      <c r="L30" s="8">
        <f t="shared" si="31"/>
        <v>5604.54</v>
      </c>
      <c r="M30" s="42"/>
      <c r="N30" s="4">
        <f t="shared" si="25"/>
        <v>0</v>
      </c>
      <c r="O30" s="43">
        <f t="shared" si="26"/>
        <v>0</v>
      </c>
      <c r="Q30" s="4">
        <f t="shared" si="32"/>
        <v>0</v>
      </c>
      <c r="R30" s="4">
        <f t="shared" si="33"/>
        <v>0</v>
      </c>
      <c r="T30" s="4">
        <f t="shared" si="27"/>
        <v>0</v>
      </c>
    </row>
    <row r="31" spans="1:20" s="14" customFormat="1" x14ac:dyDescent="0.2">
      <c r="A31"/>
      <c r="B31" s="45"/>
      <c r="C31" s="46"/>
      <c r="D31" s="7"/>
      <c r="E31" s="7"/>
      <c r="F31" s="7"/>
      <c r="G31" s="13"/>
      <c r="H31" s="13"/>
      <c r="I31" s="13"/>
      <c r="J31" s="13"/>
      <c r="K31" s="47"/>
      <c r="L31" s="8">
        <f t="shared" si="31"/>
        <v>5604.54</v>
      </c>
      <c r="M31" s="42"/>
      <c r="N31" s="4">
        <f t="shared" si="25"/>
        <v>0</v>
      </c>
      <c r="O31" s="48">
        <f t="shared" si="26"/>
        <v>0</v>
      </c>
      <c r="P31"/>
      <c r="Q31" s="4">
        <f t="shared" si="32"/>
        <v>0</v>
      </c>
      <c r="R31" s="4">
        <f t="shared" si="33"/>
        <v>0</v>
      </c>
      <c r="S31"/>
      <c r="T31" s="4">
        <f t="shared" si="27"/>
        <v>0</v>
      </c>
    </row>
    <row r="32" spans="1:20" ht="16.5" customHeight="1" x14ac:dyDescent="0.2">
      <c r="A32"/>
      <c r="B32" s="45"/>
      <c r="C32" s="46"/>
      <c r="D32" s="7"/>
      <c r="E32" s="7"/>
      <c r="F32" s="7"/>
      <c r="G32" s="13"/>
      <c r="H32" s="13"/>
      <c r="I32" s="13"/>
      <c r="J32" s="13"/>
      <c r="K32" s="47"/>
      <c r="L32" s="8">
        <f t="shared" si="31"/>
        <v>5604.54</v>
      </c>
      <c r="M32" s="42"/>
      <c r="N32" s="4">
        <f t="shared" si="25"/>
        <v>0</v>
      </c>
      <c r="O32" s="43">
        <f t="shared" si="26"/>
        <v>0</v>
      </c>
      <c r="Q32" s="4">
        <f t="shared" si="32"/>
        <v>0</v>
      </c>
      <c r="R32" s="4">
        <f t="shared" si="33"/>
        <v>0</v>
      </c>
      <c r="T32" s="4">
        <f t="shared" si="27"/>
        <v>0</v>
      </c>
    </row>
    <row r="33" spans="1:20" x14ac:dyDescent="0.2">
      <c r="A33"/>
      <c r="B33" s="45"/>
      <c r="C33" s="46"/>
      <c r="D33" s="7"/>
      <c r="E33" s="7"/>
      <c r="F33" s="7"/>
      <c r="G33" s="13"/>
      <c r="H33" s="13"/>
      <c r="I33" s="13"/>
      <c r="J33" s="13"/>
      <c r="K33" s="47"/>
      <c r="L33" s="8">
        <f t="shared" si="31"/>
        <v>5604.54</v>
      </c>
      <c r="M33" s="42"/>
      <c r="N33" s="4">
        <f t="shared" si="25"/>
        <v>0</v>
      </c>
      <c r="O33" s="43">
        <f t="shared" si="26"/>
        <v>0</v>
      </c>
      <c r="Q33" s="4">
        <f t="shared" si="32"/>
        <v>0</v>
      </c>
      <c r="R33" s="4">
        <f t="shared" si="33"/>
        <v>0</v>
      </c>
      <c r="T33" s="4">
        <f t="shared" si="27"/>
        <v>0</v>
      </c>
    </row>
    <row r="34" spans="1:20" x14ac:dyDescent="0.2">
      <c r="A34"/>
      <c r="B34" s="45"/>
      <c r="C34" s="46"/>
      <c r="D34" s="7"/>
      <c r="E34" s="7"/>
      <c r="F34" s="7"/>
      <c r="G34" s="13"/>
      <c r="H34" s="13"/>
      <c r="I34" s="13"/>
      <c r="J34" s="13"/>
      <c r="K34" s="47"/>
      <c r="L34" s="8">
        <f t="shared" si="31"/>
        <v>5604.54</v>
      </c>
      <c r="M34" s="42"/>
      <c r="N34" s="4">
        <f t="shared" si="25"/>
        <v>0</v>
      </c>
      <c r="O34" s="43">
        <f t="shared" si="26"/>
        <v>0</v>
      </c>
      <c r="Q34" s="4">
        <f t="shared" si="32"/>
        <v>0</v>
      </c>
      <c r="R34" s="4">
        <f t="shared" si="33"/>
        <v>0</v>
      </c>
      <c r="T34" s="4">
        <f t="shared" si="27"/>
        <v>0</v>
      </c>
    </row>
    <row r="35" spans="1:20" ht="15" customHeight="1" x14ac:dyDescent="0.2">
      <c r="A35"/>
      <c r="B35" s="45"/>
      <c r="C35" s="46"/>
      <c r="D35" s="7"/>
      <c r="E35" s="7"/>
      <c r="F35" s="7"/>
      <c r="G35" s="13"/>
      <c r="H35" s="13"/>
      <c r="I35" s="13"/>
      <c r="J35" s="13"/>
      <c r="K35" s="47"/>
      <c r="L35" s="8">
        <f t="shared" si="31"/>
        <v>5604.54</v>
      </c>
      <c r="M35" s="42"/>
      <c r="N35" s="4">
        <f t="shared" si="25"/>
        <v>0</v>
      </c>
      <c r="O35" s="43">
        <f t="shared" si="26"/>
        <v>0</v>
      </c>
      <c r="Q35" s="4">
        <f t="shared" si="32"/>
        <v>0</v>
      </c>
      <c r="R35" s="4">
        <f t="shared" si="33"/>
        <v>0</v>
      </c>
      <c r="T35" s="4">
        <f t="shared" si="27"/>
        <v>0</v>
      </c>
    </row>
    <row r="36" spans="1:20" x14ac:dyDescent="0.2">
      <c r="A36"/>
      <c r="B36" s="45"/>
      <c r="C36" s="46"/>
      <c r="D36" s="7"/>
      <c r="E36" s="7"/>
      <c r="F36" s="7"/>
      <c r="G36" s="13"/>
      <c r="H36" s="13"/>
      <c r="I36" s="13"/>
      <c r="J36" s="13"/>
      <c r="K36" s="47"/>
      <c r="L36" s="8">
        <f t="shared" si="31"/>
        <v>5604.54</v>
      </c>
      <c r="M36" s="42"/>
      <c r="N36" s="4">
        <f t="shared" si="25"/>
        <v>0</v>
      </c>
      <c r="O36" s="43">
        <f t="shared" si="26"/>
        <v>0</v>
      </c>
      <c r="Q36" s="4">
        <f t="shared" si="32"/>
        <v>0</v>
      </c>
      <c r="R36" s="4">
        <f t="shared" si="33"/>
        <v>0</v>
      </c>
      <c r="T36" s="4">
        <f t="shared" si="27"/>
        <v>0</v>
      </c>
    </row>
    <row r="37" spans="1:20" x14ac:dyDescent="0.2">
      <c r="A37"/>
      <c r="B37" s="45"/>
      <c r="C37" s="46"/>
      <c r="D37" s="7"/>
      <c r="E37" s="7"/>
      <c r="F37" s="7"/>
      <c r="G37" s="13"/>
      <c r="H37" s="13"/>
      <c r="I37" s="13"/>
      <c r="J37" s="13"/>
      <c r="K37" s="47"/>
      <c r="L37" s="8">
        <f t="shared" si="31"/>
        <v>5604.54</v>
      </c>
      <c r="M37" s="42"/>
      <c r="N37" s="4">
        <f t="shared" si="25"/>
        <v>0</v>
      </c>
      <c r="O37" s="43">
        <f t="shared" si="26"/>
        <v>0</v>
      </c>
      <c r="Q37" s="4">
        <f t="shared" si="32"/>
        <v>0</v>
      </c>
      <c r="R37" s="4">
        <f t="shared" si="33"/>
        <v>0</v>
      </c>
      <c r="T37" s="4">
        <f t="shared" si="27"/>
        <v>0</v>
      </c>
    </row>
    <row r="38" spans="1:20" ht="15" customHeight="1" x14ac:dyDescent="0.2">
      <c r="A38"/>
      <c r="B38" s="45"/>
      <c r="C38" s="46"/>
      <c r="D38" s="7"/>
      <c r="E38" s="7"/>
      <c r="F38" s="7"/>
      <c r="G38" s="13"/>
      <c r="H38" s="13"/>
      <c r="I38" s="13"/>
      <c r="J38" s="13"/>
      <c r="K38" s="47"/>
      <c r="L38" s="8">
        <f t="shared" si="31"/>
        <v>5604.54</v>
      </c>
      <c r="M38" s="42"/>
      <c r="N38" s="4">
        <f t="shared" si="25"/>
        <v>0</v>
      </c>
      <c r="O38" s="43">
        <f t="shared" si="26"/>
        <v>0</v>
      </c>
      <c r="Q38" s="4">
        <f t="shared" si="32"/>
        <v>0</v>
      </c>
      <c r="R38" s="4">
        <f t="shared" si="33"/>
        <v>0</v>
      </c>
      <c r="T38" s="4">
        <f t="shared" si="27"/>
        <v>0</v>
      </c>
    </row>
    <row r="39" spans="1:20" x14ac:dyDescent="0.2">
      <c r="A39"/>
      <c r="B39" s="45"/>
      <c r="C39" s="46"/>
      <c r="D39" s="7"/>
      <c r="E39" s="7"/>
      <c r="F39" s="7"/>
      <c r="G39" s="13"/>
      <c r="H39" s="13"/>
      <c r="I39" s="13"/>
      <c r="J39" s="13"/>
      <c r="K39" s="47"/>
      <c r="L39" s="8">
        <f t="shared" si="31"/>
        <v>5604.54</v>
      </c>
      <c r="M39" s="42"/>
      <c r="N39" s="4">
        <f t="shared" si="25"/>
        <v>0</v>
      </c>
      <c r="O39" s="43">
        <f t="shared" si="26"/>
        <v>0</v>
      </c>
      <c r="Q39" s="4">
        <f t="shared" si="32"/>
        <v>0</v>
      </c>
      <c r="R39" s="4">
        <f t="shared" si="33"/>
        <v>0</v>
      </c>
      <c r="T39" s="4">
        <f t="shared" si="27"/>
        <v>0</v>
      </c>
    </row>
    <row r="40" spans="1:20" x14ac:dyDescent="0.2">
      <c r="A40"/>
      <c r="B40" s="45"/>
      <c r="C40" s="46"/>
      <c r="D40" s="7"/>
      <c r="E40" s="7"/>
      <c r="F40" s="7"/>
      <c r="G40" s="13"/>
      <c r="H40" s="13"/>
      <c r="I40" s="13"/>
      <c r="J40" s="13"/>
      <c r="K40" s="47"/>
      <c r="L40" s="8">
        <f t="shared" si="31"/>
        <v>5604.54</v>
      </c>
      <c r="M40" s="42"/>
      <c r="N40" s="4">
        <f t="shared" si="25"/>
        <v>0</v>
      </c>
      <c r="O40" s="43">
        <f t="shared" si="26"/>
        <v>0</v>
      </c>
      <c r="Q40" s="4">
        <f t="shared" si="32"/>
        <v>0</v>
      </c>
      <c r="R40" s="4">
        <f t="shared" si="33"/>
        <v>0</v>
      </c>
      <c r="T40" s="4">
        <f t="shared" si="27"/>
        <v>0</v>
      </c>
    </row>
    <row r="41" spans="1:20" x14ac:dyDescent="0.2">
      <c r="A41"/>
      <c r="B41" s="45"/>
      <c r="C41" s="46"/>
      <c r="D41" s="7"/>
      <c r="E41" s="7"/>
      <c r="F41" s="7"/>
      <c r="G41" s="13"/>
      <c r="H41" s="13"/>
      <c r="I41" s="13"/>
      <c r="J41" s="13"/>
      <c r="K41" s="47"/>
      <c r="L41" s="8">
        <f t="shared" si="31"/>
        <v>5604.54</v>
      </c>
      <c r="M41" s="42"/>
      <c r="N41" s="4">
        <f t="shared" si="25"/>
        <v>0</v>
      </c>
      <c r="O41" s="43">
        <f t="shared" si="26"/>
        <v>0</v>
      </c>
      <c r="Q41" s="4">
        <f t="shared" si="32"/>
        <v>0</v>
      </c>
      <c r="R41" s="4">
        <f t="shared" si="33"/>
        <v>0</v>
      </c>
      <c r="T41" s="4">
        <f t="shared" si="27"/>
        <v>0</v>
      </c>
    </row>
    <row r="42" spans="1:20" ht="15" customHeight="1" x14ac:dyDescent="0.2">
      <c r="A42"/>
      <c r="B42" s="45"/>
      <c r="C42" s="46"/>
      <c r="D42" s="7"/>
      <c r="E42" s="7"/>
      <c r="F42" s="7"/>
      <c r="G42" s="13"/>
      <c r="H42" s="13"/>
      <c r="I42" s="13"/>
      <c r="J42" s="13"/>
      <c r="K42" s="47"/>
      <c r="L42" s="8">
        <f t="shared" si="31"/>
        <v>5604.54</v>
      </c>
      <c r="M42" s="42"/>
      <c r="N42" s="4">
        <f t="shared" si="25"/>
        <v>0</v>
      </c>
      <c r="O42" s="43">
        <f t="shared" si="26"/>
        <v>0</v>
      </c>
      <c r="Q42" s="4">
        <f t="shared" si="32"/>
        <v>0</v>
      </c>
      <c r="R42" s="4">
        <f t="shared" si="33"/>
        <v>0</v>
      </c>
      <c r="T42" s="4">
        <f t="shared" si="27"/>
        <v>0</v>
      </c>
    </row>
    <row r="43" spans="1:20" ht="15" customHeight="1" x14ac:dyDescent="0.2">
      <c r="A43"/>
      <c r="B43" s="45"/>
      <c r="C43" s="46"/>
      <c r="D43" s="7"/>
      <c r="E43" s="7"/>
      <c r="F43" s="7"/>
      <c r="G43" s="13"/>
      <c r="H43" s="13"/>
      <c r="I43" s="13"/>
      <c r="J43" s="13"/>
      <c r="K43" s="47"/>
      <c r="L43" s="8">
        <f t="shared" si="31"/>
        <v>5604.54</v>
      </c>
      <c r="M43" s="42"/>
      <c r="N43" s="4">
        <f t="shared" si="25"/>
        <v>0</v>
      </c>
      <c r="O43" s="43">
        <f t="shared" si="26"/>
        <v>0</v>
      </c>
      <c r="Q43" s="4">
        <f t="shared" si="32"/>
        <v>0</v>
      </c>
      <c r="R43" s="4">
        <f t="shared" si="33"/>
        <v>0</v>
      </c>
      <c r="T43" s="4">
        <f t="shared" si="27"/>
        <v>0</v>
      </c>
    </row>
    <row r="44" spans="1:20" x14ac:dyDescent="0.2">
      <c r="A44"/>
      <c r="B44" s="45"/>
      <c r="C44" s="46"/>
      <c r="D44" s="7"/>
      <c r="E44" s="7"/>
      <c r="F44" s="7"/>
      <c r="G44" s="13"/>
      <c r="H44" s="13"/>
      <c r="I44" s="13"/>
      <c r="J44" s="13"/>
      <c r="K44" s="47"/>
      <c r="L44" s="8">
        <f t="shared" si="31"/>
        <v>5604.54</v>
      </c>
      <c r="M44" s="42"/>
      <c r="N44" s="4">
        <f t="shared" si="25"/>
        <v>0</v>
      </c>
      <c r="O44" s="43">
        <f t="shared" si="26"/>
        <v>0</v>
      </c>
      <c r="Q44" s="4">
        <f t="shared" si="32"/>
        <v>0</v>
      </c>
      <c r="R44" s="4">
        <f t="shared" si="33"/>
        <v>0</v>
      </c>
      <c r="T44" s="4">
        <f t="shared" si="27"/>
        <v>0</v>
      </c>
    </row>
    <row r="45" spans="1:20" x14ac:dyDescent="0.2">
      <c r="A45"/>
      <c r="B45" s="45"/>
      <c r="C45" s="46"/>
      <c r="D45" s="7"/>
      <c r="E45" s="7"/>
      <c r="F45" s="7"/>
      <c r="G45" s="13"/>
      <c r="H45" s="13"/>
      <c r="I45" s="13"/>
      <c r="J45" s="13"/>
      <c r="K45" s="47"/>
      <c r="L45" s="8">
        <f t="shared" si="31"/>
        <v>5604.54</v>
      </c>
      <c r="M45" s="42"/>
      <c r="N45" s="4">
        <f t="shared" si="25"/>
        <v>0</v>
      </c>
      <c r="O45" s="43">
        <f t="shared" si="26"/>
        <v>0</v>
      </c>
      <c r="Q45" s="4">
        <f t="shared" si="32"/>
        <v>0</v>
      </c>
      <c r="R45" s="4">
        <f t="shared" si="33"/>
        <v>0</v>
      </c>
      <c r="T45" s="4">
        <f t="shared" si="27"/>
        <v>0</v>
      </c>
    </row>
    <row r="46" spans="1:20" x14ac:dyDescent="0.2">
      <c r="A46"/>
      <c r="B46" s="45"/>
      <c r="C46" s="46"/>
      <c r="D46" s="7"/>
      <c r="E46" s="7"/>
      <c r="F46" s="7"/>
      <c r="G46" s="13"/>
      <c r="H46" s="13"/>
      <c r="I46" s="13"/>
      <c r="J46" s="13"/>
      <c r="K46" s="47"/>
      <c r="L46" s="8">
        <f t="shared" si="31"/>
        <v>5604.54</v>
      </c>
      <c r="M46" s="42"/>
      <c r="N46" s="4">
        <f t="shared" si="25"/>
        <v>0</v>
      </c>
      <c r="O46" s="43">
        <f t="shared" si="26"/>
        <v>0</v>
      </c>
      <c r="Q46" s="4">
        <f t="shared" si="32"/>
        <v>0</v>
      </c>
      <c r="R46" s="4">
        <f t="shared" si="33"/>
        <v>0</v>
      </c>
      <c r="T46" s="4">
        <f t="shared" si="27"/>
        <v>0</v>
      </c>
    </row>
    <row r="47" spans="1:20" x14ac:dyDescent="0.2">
      <c r="A47"/>
      <c r="B47" s="45"/>
      <c r="C47" s="46"/>
      <c r="D47" s="7"/>
      <c r="E47" s="7"/>
      <c r="F47" s="7"/>
      <c r="G47" s="13"/>
      <c r="H47" s="13"/>
      <c r="I47" s="13"/>
      <c r="J47" s="13"/>
      <c r="K47" s="47"/>
      <c r="L47" s="8">
        <f t="shared" si="31"/>
        <v>5604.54</v>
      </c>
      <c r="M47" s="42"/>
      <c r="N47" s="4">
        <f t="shared" si="25"/>
        <v>0</v>
      </c>
      <c r="O47" s="43">
        <f t="shared" si="26"/>
        <v>0</v>
      </c>
      <c r="Q47" s="4">
        <f t="shared" si="32"/>
        <v>0</v>
      </c>
      <c r="R47" s="4">
        <f t="shared" si="33"/>
        <v>0</v>
      </c>
      <c r="T47" s="4">
        <f t="shared" si="27"/>
        <v>0</v>
      </c>
    </row>
    <row r="48" spans="1:20" x14ac:dyDescent="0.2">
      <c r="A48"/>
      <c r="B48" s="45"/>
      <c r="C48" s="46"/>
      <c r="D48" s="7"/>
      <c r="E48" s="7"/>
      <c r="F48" s="7"/>
      <c r="G48" s="13"/>
      <c r="H48" s="13"/>
      <c r="I48" s="13"/>
      <c r="J48" s="13"/>
      <c r="K48" s="47"/>
      <c r="L48" s="8">
        <f t="shared" si="31"/>
        <v>5604.54</v>
      </c>
      <c r="M48" s="42"/>
      <c r="N48" s="4">
        <f t="shared" si="25"/>
        <v>0</v>
      </c>
      <c r="O48" s="43">
        <f t="shared" si="26"/>
        <v>0</v>
      </c>
      <c r="Q48" s="4">
        <f t="shared" si="32"/>
        <v>0</v>
      </c>
      <c r="R48" s="4">
        <f t="shared" si="33"/>
        <v>0</v>
      </c>
      <c r="T48" s="4">
        <f t="shared" si="27"/>
        <v>0</v>
      </c>
    </row>
    <row r="49" spans="1:20" x14ac:dyDescent="0.2">
      <c r="A49"/>
      <c r="B49" s="45"/>
      <c r="C49" s="46"/>
      <c r="D49" s="7"/>
      <c r="E49" s="7"/>
      <c r="F49" s="7"/>
      <c r="G49" s="13"/>
      <c r="H49" s="13"/>
      <c r="I49" s="13"/>
      <c r="J49" s="13"/>
      <c r="K49" s="47"/>
      <c r="L49" s="8">
        <f t="shared" si="31"/>
        <v>5604.54</v>
      </c>
      <c r="M49" s="42"/>
      <c r="N49" s="4">
        <f t="shared" si="25"/>
        <v>0</v>
      </c>
      <c r="O49" s="43">
        <f t="shared" si="26"/>
        <v>0</v>
      </c>
      <c r="Q49" s="4">
        <f t="shared" si="32"/>
        <v>0</v>
      </c>
      <c r="R49" s="4">
        <f t="shared" si="33"/>
        <v>0</v>
      </c>
      <c r="T49" s="4">
        <f t="shared" si="27"/>
        <v>0</v>
      </c>
    </row>
    <row r="50" spans="1:20" x14ac:dyDescent="0.2">
      <c r="A50"/>
      <c r="B50" s="45"/>
      <c r="C50" s="46"/>
      <c r="D50" s="7"/>
      <c r="E50" s="7"/>
      <c r="F50" s="7"/>
      <c r="G50" s="13"/>
      <c r="H50" s="13"/>
      <c r="I50" s="13"/>
      <c r="J50" s="13"/>
      <c r="K50" s="47"/>
      <c r="L50" s="8">
        <f t="shared" si="31"/>
        <v>5604.54</v>
      </c>
      <c r="M50" s="42"/>
      <c r="N50" s="4">
        <f t="shared" ref="N50:N69" si="34">K50-M50</f>
        <v>0</v>
      </c>
      <c r="O50" s="43">
        <f t="shared" ref="O50:O69" si="35">M50+N50</f>
        <v>0</v>
      </c>
      <c r="Q50" s="4">
        <f t="shared" si="32"/>
        <v>0</v>
      </c>
      <c r="R50" s="4">
        <f t="shared" si="33"/>
        <v>0</v>
      </c>
      <c r="T50" s="4">
        <f t="shared" si="27"/>
        <v>0</v>
      </c>
    </row>
    <row r="51" spans="1:20" x14ac:dyDescent="0.2">
      <c r="A51"/>
      <c r="B51" s="45"/>
      <c r="C51" s="46"/>
      <c r="D51" s="7"/>
      <c r="E51" s="7"/>
      <c r="F51" s="7"/>
      <c r="G51" s="13"/>
      <c r="H51" s="13"/>
      <c r="I51" s="13"/>
      <c r="J51" s="13"/>
      <c r="K51" s="47"/>
      <c r="L51" s="8">
        <f t="shared" si="31"/>
        <v>5604.54</v>
      </c>
      <c r="M51" s="42"/>
      <c r="N51" s="4">
        <f t="shared" si="34"/>
        <v>0</v>
      </c>
      <c r="O51" s="43">
        <f t="shared" si="35"/>
        <v>0</v>
      </c>
      <c r="Q51" s="4">
        <f t="shared" si="32"/>
        <v>0</v>
      </c>
      <c r="R51" s="4">
        <f t="shared" si="33"/>
        <v>0</v>
      </c>
      <c r="T51" s="4">
        <f t="shared" si="27"/>
        <v>0</v>
      </c>
    </row>
    <row r="52" spans="1:20" x14ac:dyDescent="0.2">
      <c r="A52"/>
      <c r="B52" s="45"/>
      <c r="C52" s="46"/>
      <c r="D52" s="7"/>
      <c r="E52" s="7"/>
      <c r="F52" s="7"/>
      <c r="G52" s="13"/>
      <c r="H52" s="13"/>
      <c r="I52" s="13"/>
      <c r="J52" s="13"/>
      <c r="K52" s="47"/>
      <c r="L52" s="8">
        <f t="shared" si="31"/>
        <v>5604.54</v>
      </c>
      <c r="M52" s="42"/>
      <c r="N52" s="4">
        <f t="shared" si="34"/>
        <v>0</v>
      </c>
      <c r="O52" s="43">
        <f t="shared" si="35"/>
        <v>0</v>
      </c>
      <c r="Q52" s="4">
        <f t="shared" si="32"/>
        <v>0</v>
      </c>
      <c r="R52" s="4">
        <f t="shared" si="33"/>
        <v>0</v>
      </c>
      <c r="T52" s="4">
        <f t="shared" si="27"/>
        <v>0</v>
      </c>
    </row>
    <row r="53" spans="1:20" x14ac:dyDescent="0.2">
      <c r="A53"/>
      <c r="B53" s="45"/>
      <c r="C53" s="46"/>
      <c r="D53" s="7"/>
      <c r="E53" s="7"/>
      <c r="F53" s="7"/>
      <c r="G53" s="13"/>
      <c r="H53" s="13"/>
      <c r="I53" s="13"/>
      <c r="J53" s="13"/>
      <c r="K53" s="47"/>
      <c r="L53" s="8">
        <f t="shared" si="31"/>
        <v>5604.54</v>
      </c>
      <c r="M53" s="42"/>
      <c r="N53" s="4">
        <f t="shared" si="34"/>
        <v>0</v>
      </c>
      <c r="O53" s="43">
        <f t="shared" si="35"/>
        <v>0</v>
      </c>
      <c r="Q53" s="4">
        <f t="shared" si="32"/>
        <v>0</v>
      </c>
      <c r="R53" s="4">
        <f t="shared" si="33"/>
        <v>0</v>
      </c>
      <c r="T53" s="4">
        <f t="shared" si="27"/>
        <v>0</v>
      </c>
    </row>
    <row r="54" spans="1:20" x14ac:dyDescent="0.2">
      <c r="A54"/>
      <c r="B54" s="45"/>
      <c r="C54" s="46"/>
      <c r="D54" s="7"/>
      <c r="E54" s="7"/>
      <c r="F54" s="7"/>
      <c r="G54" s="13"/>
      <c r="H54" s="13"/>
      <c r="I54" s="13"/>
      <c r="J54" s="13"/>
      <c r="K54" s="47"/>
      <c r="L54" s="8">
        <f t="shared" si="31"/>
        <v>5604.54</v>
      </c>
      <c r="M54" s="42"/>
      <c r="N54" s="4">
        <f t="shared" si="34"/>
        <v>0</v>
      </c>
      <c r="O54" s="43">
        <f t="shared" si="35"/>
        <v>0</v>
      </c>
      <c r="Q54" s="4">
        <f t="shared" si="32"/>
        <v>0</v>
      </c>
      <c r="R54" s="4">
        <f t="shared" si="33"/>
        <v>0</v>
      </c>
      <c r="T54" s="4">
        <f t="shared" si="27"/>
        <v>0</v>
      </c>
    </row>
    <row r="55" spans="1:20" x14ac:dyDescent="0.2">
      <c r="A55"/>
      <c r="B55" s="45"/>
      <c r="C55" s="46"/>
      <c r="D55" s="7"/>
      <c r="E55" s="7"/>
      <c r="F55" s="7"/>
      <c r="G55" s="13"/>
      <c r="H55" s="13"/>
      <c r="I55" s="13"/>
      <c r="J55" s="13"/>
      <c r="K55" s="47"/>
      <c r="L55" s="8">
        <f t="shared" si="31"/>
        <v>5604.54</v>
      </c>
      <c r="M55" s="42"/>
      <c r="N55" s="4">
        <f t="shared" si="34"/>
        <v>0</v>
      </c>
      <c r="O55" s="43">
        <f t="shared" si="35"/>
        <v>0</v>
      </c>
      <c r="Q55" s="4">
        <f t="shared" si="32"/>
        <v>0</v>
      </c>
      <c r="R55" s="4">
        <f t="shared" si="33"/>
        <v>0</v>
      </c>
      <c r="T55" s="4">
        <f t="shared" si="27"/>
        <v>0</v>
      </c>
    </row>
    <row r="56" spans="1:20" x14ac:dyDescent="0.2">
      <c r="A56"/>
      <c r="B56" s="45"/>
      <c r="C56" s="46"/>
      <c r="D56" s="7"/>
      <c r="E56" s="7"/>
      <c r="F56" s="7"/>
      <c r="G56" s="13"/>
      <c r="H56" s="13"/>
      <c r="I56" s="13"/>
      <c r="J56" s="13"/>
      <c r="K56" s="47"/>
      <c r="L56" s="8">
        <f t="shared" si="31"/>
        <v>5604.54</v>
      </c>
      <c r="M56" s="42"/>
      <c r="N56" s="4">
        <f t="shared" si="34"/>
        <v>0</v>
      </c>
      <c r="O56" s="43">
        <f t="shared" si="35"/>
        <v>0</v>
      </c>
      <c r="Q56" s="4">
        <f t="shared" si="32"/>
        <v>0</v>
      </c>
      <c r="R56" s="4">
        <f t="shared" si="33"/>
        <v>0</v>
      </c>
      <c r="T56" s="4">
        <f t="shared" si="27"/>
        <v>0</v>
      </c>
    </row>
    <row r="57" spans="1:20" x14ac:dyDescent="0.2">
      <c r="A57"/>
      <c r="B57" s="45"/>
      <c r="C57" s="46"/>
      <c r="D57" s="7"/>
      <c r="E57" s="7"/>
      <c r="F57" s="7"/>
      <c r="G57" s="13"/>
      <c r="H57" s="13"/>
      <c r="I57" s="13"/>
      <c r="J57" s="13"/>
      <c r="K57" s="47"/>
      <c r="L57" s="8">
        <f t="shared" si="31"/>
        <v>5604.54</v>
      </c>
      <c r="M57" s="42"/>
      <c r="N57" s="4">
        <f t="shared" si="34"/>
        <v>0</v>
      </c>
      <c r="O57" s="43">
        <f t="shared" si="35"/>
        <v>0</v>
      </c>
      <c r="Q57" s="4">
        <f t="shared" si="32"/>
        <v>0</v>
      </c>
      <c r="R57" s="4">
        <f t="shared" si="33"/>
        <v>0</v>
      </c>
      <c r="T57" s="4">
        <f t="shared" si="27"/>
        <v>0</v>
      </c>
    </row>
    <row r="58" spans="1:20" x14ac:dyDescent="0.2">
      <c r="A58" s="44"/>
      <c r="B58" s="18"/>
      <c r="C58" s="7"/>
      <c r="E58" s="13"/>
      <c r="F58" s="13"/>
      <c r="G58" s="13"/>
      <c r="H58" s="13"/>
      <c r="I58" s="13"/>
      <c r="J58" s="13"/>
      <c r="K58" s="13"/>
      <c r="L58" s="8">
        <f t="shared" si="31"/>
        <v>5604.54</v>
      </c>
      <c r="M58" s="42"/>
      <c r="N58" s="4">
        <f t="shared" si="34"/>
        <v>0</v>
      </c>
      <c r="O58" s="43">
        <f t="shared" si="35"/>
        <v>0</v>
      </c>
      <c r="Q58" s="4">
        <f t="shared" si="32"/>
        <v>0</v>
      </c>
      <c r="R58" s="4">
        <f t="shared" si="33"/>
        <v>0</v>
      </c>
      <c r="T58" s="4">
        <f t="shared" si="27"/>
        <v>0</v>
      </c>
    </row>
    <row r="59" spans="1:20" x14ac:dyDescent="0.2">
      <c r="A59" s="44"/>
      <c r="B59" s="49"/>
      <c r="C59" s="7"/>
      <c r="D59" s="18"/>
      <c r="E59" s="13"/>
      <c r="F59" s="13"/>
      <c r="G59" s="13"/>
      <c r="H59" s="13"/>
      <c r="I59" s="13"/>
      <c r="J59" s="13"/>
      <c r="K59" s="13"/>
      <c r="L59" s="8">
        <f t="shared" si="31"/>
        <v>5604.54</v>
      </c>
      <c r="M59" s="42"/>
      <c r="N59" s="4">
        <f t="shared" si="34"/>
        <v>0</v>
      </c>
      <c r="O59" s="43">
        <f t="shared" si="35"/>
        <v>0</v>
      </c>
      <c r="Q59" s="4">
        <f t="shared" si="32"/>
        <v>0</v>
      </c>
      <c r="R59" s="4">
        <f t="shared" si="33"/>
        <v>0</v>
      </c>
      <c r="T59" s="4">
        <f t="shared" si="27"/>
        <v>0</v>
      </c>
    </row>
    <row r="60" spans="1:20" x14ac:dyDescent="0.2">
      <c r="A60" s="44"/>
      <c r="B60" s="49"/>
      <c r="C60" s="7"/>
      <c r="D60" s="18"/>
      <c r="E60" s="13"/>
      <c r="F60" s="13"/>
      <c r="G60" s="13"/>
      <c r="H60" s="13"/>
      <c r="I60" s="13"/>
      <c r="J60" s="13"/>
      <c r="K60" s="13"/>
      <c r="L60" s="8">
        <f t="shared" si="31"/>
        <v>5604.54</v>
      </c>
      <c r="M60" s="42"/>
      <c r="N60" s="4">
        <f t="shared" si="34"/>
        <v>0</v>
      </c>
      <c r="O60" s="43">
        <f t="shared" si="35"/>
        <v>0</v>
      </c>
      <c r="Q60" s="4">
        <f t="shared" si="32"/>
        <v>0</v>
      </c>
      <c r="R60" s="4">
        <f t="shared" si="33"/>
        <v>0</v>
      </c>
      <c r="T60" s="4">
        <f t="shared" si="27"/>
        <v>0</v>
      </c>
    </row>
    <row r="61" spans="1:20" x14ac:dyDescent="0.2">
      <c r="A61" s="44"/>
      <c r="B61" s="49"/>
      <c r="C61" s="7"/>
      <c r="D61" s="18"/>
      <c r="E61" s="13"/>
      <c r="F61" s="13"/>
      <c r="G61" s="13"/>
      <c r="H61" s="13"/>
      <c r="I61" s="13"/>
      <c r="J61" s="13"/>
      <c r="K61" s="13"/>
      <c r="L61" s="8">
        <f t="shared" si="31"/>
        <v>5604.54</v>
      </c>
      <c r="M61" s="42"/>
      <c r="N61" s="4">
        <f t="shared" si="34"/>
        <v>0</v>
      </c>
      <c r="O61" s="43">
        <f t="shared" si="35"/>
        <v>0</v>
      </c>
      <c r="Q61" s="4">
        <f t="shared" si="32"/>
        <v>0</v>
      </c>
      <c r="R61" s="4">
        <f t="shared" si="33"/>
        <v>0</v>
      </c>
      <c r="T61" s="4">
        <f t="shared" si="27"/>
        <v>0</v>
      </c>
    </row>
    <row r="62" spans="1:20" x14ac:dyDescent="0.2">
      <c r="A62" s="44"/>
      <c r="B62" s="49"/>
      <c r="C62" s="7"/>
      <c r="D62" s="18"/>
      <c r="E62" s="13"/>
      <c r="F62" s="13"/>
      <c r="G62" s="13"/>
      <c r="H62" s="13"/>
      <c r="I62" s="13"/>
      <c r="J62" s="13"/>
      <c r="K62" s="13"/>
      <c r="L62" s="8">
        <f t="shared" si="31"/>
        <v>5604.54</v>
      </c>
      <c r="M62" s="42"/>
      <c r="N62" s="4">
        <f t="shared" si="34"/>
        <v>0</v>
      </c>
      <c r="O62" s="43">
        <f t="shared" si="35"/>
        <v>0</v>
      </c>
      <c r="Q62" s="4">
        <f t="shared" si="32"/>
        <v>0</v>
      </c>
      <c r="R62" s="4">
        <f t="shared" si="33"/>
        <v>0</v>
      </c>
      <c r="T62" s="4">
        <f t="shared" si="27"/>
        <v>0</v>
      </c>
    </row>
    <row r="63" spans="1:20" x14ac:dyDescent="0.2">
      <c r="A63" s="44"/>
      <c r="B63" s="49"/>
      <c r="C63" s="7"/>
      <c r="D63" s="18"/>
      <c r="E63" s="13"/>
      <c r="F63" s="13"/>
      <c r="G63" s="13"/>
      <c r="H63" s="13"/>
      <c r="I63" s="13"/>
      <c r="J63" s="13"/>
      <c r="K63" s="13"/>
      <c r="L63" s="8">
        <f t="shared" si="31"/>
        <v>5604.54</v>
      </c>
      <c r="M63" s="42"/>
      <c r="N63" s="4">
        <f t="shared" si="34"/>
        <v>0</v>
      </c>
      <c r="O63" s="43">
        <f t="shared" si="35"/>
        <v>0</v>
      </c>
      <c r="Q63" s="4">
        <f t="shared" si="32"/>
        <v>0</v>
      </c>
      <c r="R63" s="4">
        <f t="shared" si="33"/>
        <v>0</v>
      </c>
      <c r="T63" s="4">
        <f t="shared" si="27"/>
        <v>0</v>
      </c>
    </row>
    <row r="64" spans="1:20" x14ac:dyDescent="0.2">
      <c r="A64" s="44"/>
      <c r="B64" s="49"/>
      <c r="C64" s="7"/>
      <c r="D64" s="18"/>
      <c r="E64" s="13"/>
      <c r="F64" s="13"/>
      <c r="G64" s="13"/>
      <c r="H64" s="13"/>
      <c r="I64" s="13"/>
      <c r="J64" s="13"/>
      <c r="K64" s="13"/>
      <c r="L64" s="8">
        <f t="shared" si="31"/>
        <v>5604.54</v>
      </c>
      <c r="M64" s="42"/>
      <c r="N64" s="4">
        <f t="shared" si="34"/>
        <v>0</v>
      </c>
      <c r="O64" s="43">
        <f t="shared" si="35"/>
        <v>0</v>
      </c>
      <c r="Q64" s="4">
        <f t="shared" si="32"/>
        <v>0</v>
      </c>
      <c r="R64" s="4">
        <f t="shared" si="33"/>
        <v>0</v>
      </c>
      <c r="T64" s="4">
        <f t="shared" si="27"/>
        <v>0</v>
      </c>
    </row>
    <row r="65" spans="1:20" x14ac:dyDescent="0.2">
      <c r="A65" s="44"/>
      <c r="B65" s="49"/>
      <c r="C65" s="7"/>
      <c r="D65" s="18"/>
      <c r="E65" s="13"/>
      <c r="F65" s="13"/>
      <c r="G65" s="13"/>
      <c r="H65" s="13"/>
      <c r="I65" s="13"/>
      <c r="J65" s="13"/>
      <c r="K65" s="13"/>
      <c r="L65" s="8">
        <f t="shared" si="31"/>
        <v>5604.54</v>
      </c>
      <c r="M65" s="42"/>
      <c r="N65" s="4">
        <f t="shared" si="34"/>
        <v>0</v>
      </c>
      <c r="O65" s="43">
        <f t="shared" si="35"/>
        <v>0</v>
      </c>
      <c r="Q65" s="4">
        <f t="shared" si="32"/>
        <v>0</v>
      </c>
      <c r="R65" s="4">
        <f t="shared" si="33"/>
        <v>0</v>
      </c>
      <c r="T65" s="4">
        <f t="shared" si="27"/>
        <v>0</v>
      </c>
    </row>
    <row r="66" spans="1:20" x14ac:dyDescent="0.2">
      <c r="A66" s="44"/>
      <c r="B66" s="49"/>
      <c r="C66" s="7"/>
      <c r="D66" s="18"/>
      <c r="E66" s="13"/>
      <c r="F66" s="13"/>
      <c r="G66" s="13"/>
      <c r="H66" s="13"/>
      <c r="I66" s="13"/>
      <c r="J66" s="13"/>
      <c r="K66" s="13"/>
      <c r="L66" s="8">
        <f t="shared" si="31"/>
        <v>5604.54</v>
      </c>
      <c r="M66" s="42"/>
      <c r="N66" s="4">
        <f t="shared" si="34"/>
        <v>0</v>
      </c>
      <c r="O66" s="43">
        <f t="shared" si="35"/>
        <v>0</v>
      </c>
      <c r="Q66" s="4">
        <f t="shared" si="32"/>
        <v>0</v>
      </c>
      <c r="R66" s="4">
        <f t="shared" si="33"/>
        <v>0</v>
      </c>
    </row>
    <row r="67" spans="1:20" x14ac:dyDescent="0.2">
      <c r="A67" s="44"/>
      <c r="B67" s="49"/>
      <c r="C67" s="50"/>
      <c r="D67" s="50"/>
      <c r="E67" s="13"/>
      <c r="F67" s="13"/>
      <c r="G67" s="13"/>
      <c r="H67" s="13"/>
      <c r="I67" s="13"/>
      <c r="J67" s="13"/>
      <c r="K67" s="13"/>
      <c r="L67" s="8">
        <f t="shared" si="31"/>
        <v>5604.54</v>
      </c>
      <c r="M67" s="42"/>
      <c r="N67" s="4">
        <f t="shared" si="34"/>
        <v>0</v>
      </c>
      <c r="O67" s="43">
        <f t="shared" si="35"/>
        <v>0</v>
      </c>
      <c r="Q67" s="4">
        <f t="shared" si="32"/>
        <v>0</v>
      </c>
      <c r="R67" s="4">
        <f t="shared" si="33"/>
        <v>0</v>
      </c>
    </row>
    <row r="68" spans="1:20" x14ac:dyDescent="0.2">
      <c r="A68" s="44"/>
      <c r="B68" s="49"/>
      <c r="C68" s="50"/>
      <c r="D68" s="50"/>
      <c r="E68" s="13"/>
      <c r="F68" s="13"/>
      <c r="G68" s="13"/>
      <c r="H68" s="13"/>
      <c r="I68" s="13"/>
      <c r="J68" s="13"/>
      <c r="K68" s="13"/>
      <c r="L68" s="8">
        <f>K68+L67</f>
        <v>5604.54</v>
      </c>
      <c r="M68" s="42"/>
      <c r="N68" s="4">
        <f t="shared" si="34"/>
        <v>0</v>
      </c>
      <c r="O68" s="43">
        <f t="shared" si="35"/>
        <v>0</v>
      </c>
      <c r="Q68" s="4">
        <f>K68-M68</f>
        <v>0</v>
      </c>
      <c r="R68" s="4">
        <f>N68-Q68</f>
        <v>0</v>
      </c>
    </row>
    <row r="69" spans="1:20" ht="16" customHeight="1" x14ac:dyDescent="0.2">
      <c r="A69" t="s">
        <v>37</v>
      </c>
      <c r="B69" s="49"/>
      <c r="C69" s="50"/>
      <c r="D69" s="50"/>
      <c r="E69" s="13"/>
      <c r="F69" s="13"/>
      <c r="G69" s="13"/>
      <c r="H69" s="13">
        <v>0</v>
      </c>
      <c r="I69" s="13">
        <v>0</v>
      </c>
      <c r="J69" s="13">
        <v>0</v>
      </c>
      <c r="K69" s="13"/>
      <c r="L69" s="13"/>
      <c r="M69" s="42"/>
      <c r="N69" s="4">
        <f t="shared" si="34"/>
        <v>0</v>
      </c>
      <c r="O69" s="43">
        <f t="shared" si="35"/>
        <v>0</v>
      </c>
      <c r="Q69" s="4">
        <f>K69-M69</f>
        <v>0</v>
      </c>
    </row>
    <row r="70" spans="1:20" x14ac:dyDescent="0.2">
      <c r="B70" s="19" t="s">
        <v>35</v>
      </c>
      <c r="D70" s="20">
        <f>SUM(E70:G70)</f>
        <v>24521.329999999998</v>
      </c>
      <c r="E70" s="4">
        <f t="shared" ref="E70:K70" si="36">SUM(E5:E69)</f>
        <v>18472.53</v>
      </c>
      <c r="F70" s="4">
        <f t="shared" si="36"/>
        <v>3332</v>
      </c>
      <c r="G70" s="4">
        <f t="shared" si="36"/>
        <v>2716.8</v>
      </c>
      <c r="H70" s="4">
        <f t="shared" si="36"/>
        <v>0</v>
      </c>
      <c r="I70" s="4">
        <f t="shared" si="36"/>
        <v>0</v>
      </c>
      <c r="J70" s="4">
        <f t="shared" si="36"/>
        <v>0</v>
      </c>
      <c r="K70" s="20">
        <f t="shared" si="36"/>
        <v>24521.33</v>
      </c>
      <c r="M70" s="51">
        <f>SUM(M5:M69)</f>
        <v>17475.73</v>
      </c>
      <c r="N70" s="52">
        <f>SUM(N5:N69)</f>
        <v>7045.5999999999995</v>
      </c>
      <c r="O70" s="53">
        <f>SUM(O5:O69)</f>
        <v>24521.33</v>
      </c>
      <c r="Q70"/>
    </row>
    <row r="71" spans="1:20" x14ac:dyDescent="0.2">
      <c r="B71" s="19"/>
      <c r="D71" s="20"/>
      <c r="E71" s="4"/>
      <c r="F71" s="20"/>
      <c r="G71" s="4"/>
      <c r="H71" s="4"/>
      <c r="I71" s="4"/>
      <c r="J71" s="4"/>
      <c r="K71" s="20"/>
      <c r="Q71"/>
    </row>
    <row r="72" spans="1:20" x14ac:dyDescent="0.2">
      <c r="C72" s="32" t="s">
        <v>38</v>
      </c>
      <c r="D72" s="30">
        <f>M70</f>
        <v>17475.73</v>
      </c>
      <c r="Q72"/>
    </row>
    <row r="73" spans="1:20" x14ac:dyDescent="0.2">
      <c r="C73" s="32" t="s">
        <v>23</v>
      </c>
      <c r="D73" s="54"/>
      <c r="Q73"/>
    </row>
    <row r="74" spans="1:20" x14ac:dyDescent="0.2">
      <c r="C74" s="32" t="s">
        <v>24</v>
      </c>
      <c r="D74" s="20">
        <f>SUM(D72:D73)</f>
        <v>17475.73</v>
      </c>
    </row>
    <row r="76" spans="1:20" x14ac:dyDescent="0.2">
      <c r="A76" s="44"/>
      <c r="B76" s="6"/>
      <c r="C76" s="7"/>
      <c r="D76" s="7"/>
      <c r="E76" s="13"/>
      <c r="F76" s="13"/>
      <c r="G76" s="13"/>
      <c r="H76" s="13"/>
      <c r="I76" s="13"/>
      <c r="J76" s="13"/>
      <c r="K76" s="13"/>
      <c r="L76" s="8"/>
      <c r="R76" s="4"/>
    </row>
  </sheetData>
  <conditionalFormatting sqref="C1">
    <cfRule type="duplicateValues" dxfId="23" priority="19"/>
  </conditionalFormatting>
  <conditionalFormatting sqref="C2">
    <cfRule type="duplicateValues" dxfId="22" priority="20"/>
  </conditionalFormatting>
  <conditionalFormatting sqref="C3">
    <cfRule type="duplicateValues" dxfId="21" priority="12"/>
  </conditionalFormatting>
  <conditionalFormatting sqref="C4:C5">
    <cfRule type="duplicateValues" dxfId="20" priority="17"/>
  </conditionalFormatting>
  <conditionalFormatting sqref="C7">
    <cfRule type="duplicateValues" dxfId="19" priority="3"/>
  </conditionalFormatting>
  <conditionalFormatting sqref="C9">
    <cfRule type="duplicateValues" dxfId="18" priority="2"/>
  </conditionalFormatting>
  <conditionalFormatting sqref="C11">
    <cfRule type="duplicateValues" dxfId="17" priority="1"/>
  </conditionalFormatting>
  <conditionalFormatting sqref="C12 C16 C14">
    <cfRule type="duplicateValues" dxfId="16" priority="50"/>
  </conditionalFormatting>
  <conditionalFormatting sqref="C18">
    <cfRule type="duplicateValues" dxfId="15" priority="6"/>
  </conditionalFormatting>
  <conditionalFormatting sqref="C19">
    <cfRule type="duplicateValues" dxfId="14" priority="7"/>
  </conditionalFormatting>
  <conditionalFormatting sqref="C20:C55 C6">
    <cfRule type="duplicateValues" dxfId="13" priority="24"/>
    <cfRule type="duplicateValues" dxfId="12" priority="25"/>
  </conditionalFormatting>
  <conditionalFormatting sqref="C56:C57">
    <cfRule type="duplicateValues" dxfId="11" priority="9"/>
    <cfRule type="duplicateValues" dxfId="10" priority="8"/>
  </conditionalFormatting>
  <conditionalFormatting sqref="C58:C66">
    <cfRule type="duplicateValues" dxfId="9" priority="23"/>
  </conditionalFormatting>
  <conditionalFormatting sqref="C58:C1048576 C1:C5">
    <cfRule type="duplicateValues" dxfId="8" priority="10"/>
  </conditionalFormatting>
  <conditionalFormatting sqref="C67">
    <cfRule type="duplicateValues" dxfId="7" priority="22"/>
  </conditionalFormatting>
  <conditionalFormatting sqref="C68">
    <cfRule type="duplicateValues" dxfId="6" priority="11"/>
  </conditionalFormatting>
  <conditionalFormatting sqref="C69">
    <cfRule type="duplicateValues" dxfId="5" priority="14"/>
  </conditionalFormatting>
  <conditionalFormatting sqref="C70:C71">
    <cfRule type="duplicateValues" dxfId="4" priority="13"/>
  </conditionalFormatting>
  <conditionalFormatting sqref="C74">
    <cfRule type="duplicateValues" dxfId="3" priority="15"/>
  </conditionalFormatting>
  <conditionalFormatting sqref="C75">
    <cfRule type="duplicateValues" dxfId="2" priority="16"/>
  </conditionalFormatting>
  <conditionalFormatting sqref="C76">
    <cfRule type="duplicateValues" dxfId="1" priority="18"/>
  </conditionalFormatting>
  <conditionalFormatting sqref="C78:C1048576">
    <cfRule type="duplicateValues" dxfId="0" priority="21"/>
  </conditionalFormatting>
  <pageMargins left="0.75000000000000011" right="0.75000000000000011" top="1" bottom="1" header="0.5" footer="0.5"/>
  <pageSetup scale="41" orientation="portrait" horizontalDpi="4294967292" verticalDpi="4294967292"/>
  <extLst>
    <ext xmlns:mx="http://schemas.microsoft.com/office/mac/excel/2008/main" uri="{64002731-A6B0-56B0-2670-7721B7C09600}">
      <mx:PLV Mode="0" OnePage="0" WScale="5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CLX2</vt:lpstr>
      <vt:lpstr>CQ1</vt:lpstr>
      <vt:lpstr>CQ2</vt:lpstr>
      <vt:lpstr>CQ3</vt:lpstr>
      <vt:lpstr>CQ5</vt:lpstr>
      <vt:lpstr>CQ9</vt:lpstr>
      <vt:lpstr>CQ11</vt:lpstr>
      <vt:lpstr>CQ12</vt:lpstr>
      <vt:lpstr>CQ13</vt:lpstr>
      <vt:lpstr>CQA</vt:lpstr>
      <vt:lpstr>CQB</vt:lpstr>
      <vt:lpstr>CQE</vt:lpstr>
      <vt:lpstr>CQF</vt:lpstr>
    </vt:vector>
  </TitlesOfParts>
  <Company>Areion Ventures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Corrine Barta</dc:creator>
  <cp:lastModifiedBy>Rick Judson</cp:lastModifiedBy>
  <cp:lastPrinted>2014-02-01T18:47:19Z</cp:lastPrinted>
  <dcterms:created xsi:type="dcterms:W3CDTF">2013-07-03T22:20:19Z</dcterms:created>
  <dcterms:modified xsi:type="dcterms:W3CDTF">2025-11-27T20:04:17Z</dcterms:modified>
</cp:coreProperties>
</file>