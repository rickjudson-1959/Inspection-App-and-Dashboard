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22"/>
  <workbookPr autoCompressPictures="0"/>
  <mc:AlternateContent xmlns:mc="http://schemas.openxmlformats.org/markup-compatibility/2006">
    <mc:Choice Requires="x15">
      <x15ac:absPath xmlns:x15ac="http://schemas.microsoft.com/office/spreadsheetml/2010/11/ac" url="/Users/corrinebarta/Documents/Pipeline/Redacted/"/>
    </mc:Choice>
  </mc:AlternateContent>
  <xr:revisionPtr revIDLastSave="0" documentId="13_ncr:1_{EDA1F1AB-6261-BF4E-A06F-A6F497CF3D46}" xr6:coauthVersionLast="47" xr6:coauthVersionMax="47" xr10:uidLastSave="{00000000-0000-0000-0000-000000000000}"/>
  <bookViews>
    <workbookView xWindow="0" yWindow="760" windowWidth="34560" windowHeight="19980" tabRatio="860" firstSheet="44" activeTab="50" xr2:uid="{00000000-000D-0000-FFFF-FFFF00000000}"/>
  </bookViews>
  <sheets>
    <sheet name="Field Log (50)" sheetId="59" r:id="rId1"/>
    <sheet name="Field Log (49)" sheetId="58" r:id="rId2"/>
    <sheet name="Field Log (48)" sheetId="57" r:id="rId3"/>
    <sheet name="Field Log (47)" sheetId="56" r:id="rId4"/>
    <sheet name="Field Log (46)" sheetId="55" r:id="rId5"/>
    <sheet name="Field Log (45)" sheetId="54" r:id="rId6"/>
    <sheet name="Field Log (44)" sheetId="53" r:id="rId7"/>
    <sheet name="Field Log (43)" sheetId="52" r:id="rId8"/>
    <sheet name="Field Log (42)" sheetId="51" r:id="rId9"/>
    <sheet name="Field Log (41)" sheetId="50" r:id="rId10"/>
    <sheet name="Field Log (40)" sheetId="49" r:id="rId11"/>
    <sheet name="Field Log (39)" sheetId="48" r:id="rId12"/>
    <sheet name="Field Log (38)" sheetId="47" r:id="rId13"/>
    <sheet name="Field Log (37)" sheetId="46" r:id="rId14"/>
    <sheet name="Field Log (36)" sheetId="45" r:id="rId15"/>
    <sheet name="Field Log (34)" sheetId="43" r:id="rId16"/>
    <sheet name="Field Log (13)" sheetId="18" r:id="rId17"/>
    <sheet name="Field Log (22)" sheetId="27" r:id="rId18"/>
    <sheet name="Field Log (16)" sheetId="21" r:id="rId19"/>
    <sheet name="Field Log (15)" sheetId="20" r:id="rId20"/>
    <sheet name="Field Log (18)" sheetId="23" r:id="rId21"/>
    <sheet name="Field Log (20)" sheetId="25" r:id="rId22"/>
    <sheet name="Field Log (4)" sheetId="9" r:id="rId23"/>
    <sheet name="Field Log (30)" sheetId="35" r:id="rId24"/>
    <sheet name="Field Log (24)" sheetId="29" r:id="rId25"/>
    <sheet name="Field Log (35)" sheetId="44" r:id="rId26"/>
    <sheet name="Field Log (31)" sheetId="36" r:id="rId27"/>
    <sheet name="Field Log (7)" sheetId="12" r:id="rId28"/>
    <sheet name="Field Log (17)" sheetId="22" r:id="rId29"/>
    <sheet name="Field Log (14)" sheetId="19" r:id="rId30"/>
    <sheet name="Field Log (5)" sheetId="10" r:id="rId31"/>
    <sheet name="Field Log (33)" sheetId="42" r:id="rId32"/>
    <sheet name="Field Log (10)" sheetId="15" r:id="rId33"/>
    <sheet name="Field Log (29)" sheetId="34" r:id="rId34"/>
    <sheet name="Field Log (26)" sheetId="31" r:id="rId35"/>
    <sheet name="Field Log (3)" sheetId="8" r:id="rId36"/>
    <sheet name="Field Log (23)" sheetId="28" r:id="rId37"/>
    <sheet name="Field Log (19)" sheetId="24" r:id="rId38"/>
    <sheet name="Field Log (25)" sheetId="30" r:id="rId39"/>
    <sheet name="Field Log (6)" sheetId="11" r:id="rId40"/>
    <sheet name="Field Log (27)" sheetId="32" r:id="rId41"/>
    <sheet name="Field Log (9)" sheetId="61" r:id="rId42"/>
    <sheet name="Field Log (21)" sheetId="26" r:id="rId43"/>
    <sheet name="Field Log (2)" sheetId="7" r:id="rId44"/>
    <sheet name="Field Log (11)" sheetId="16" r:id="rId45"/>
    <sheet name="Field Log (32)" sheetId="41" r:id="rId46"/>
    <sheet name="Field Log (12)" sheetId="17" r:id="rId47"/>
    <sheet name="Field Log (28)" sheetId="33" r:id="rId48"/>
    <sheet name="Field Log (8)" sheetId="13" r:id="rId49"/>
    <sheet name="Field Log (1)" sheetId="1" r:id="rId50"/>
    <sheet name="Summary" sheetId="60" r:id="rId51"/>
    <sheet name="Sheet2" sheetId="40" r:id="rId52"/>
    <sheet name="Personnel" sheetId="38" r:id="rId53"/>
    <sheet name="Equipment" sheetId="39" r:id="rId54"/>
    <sheet name="Constr. Wage Rate Calculations" sheetId="4" r:id="rId55"/>
    <sheet name="Alberta Equip. Rates Year 3" sheetId="5" r:id="rId56"/>
    <sheet name="Accounts" sheetId="37" r:id="rId57"/>
  </sheets>
  <definedNames>
    <definedName name="_xlnm.Print_Area" localSheetId="55">'Alberta Equip. Rates Year 3'!$A$1:$K$292</definedName>
    <definedName name="_xlnm.Print_Area" localSheetId="54">'Constr. Wage Rate Calculations'!$A$1:$Z$288</definedName>
    <definedName name="_xlnm.Print_Area" localSheetId="49">'Field Log (10)'!$A$1:$K$89</definedName>
    <definedName name="_xlnm.Print_Area" localSheetId="32">'Field Log (16)'!$A$1:$K$138</definedName>
    <definedName name="_xlnm.Print_Area" localSheetId="44">'Field Log (11)'!$A$1:$K$62</definedName>
    <definedName name="_xlnm.Print_Area" localSheetId="46">'Field Log (1)'!$A$1:$K$58</definedName>
    <definedName name="_xlnm.Print_Area" localSheetId="16">'Field Log (13)'!$A$1:$K$76</definedName>
    <definedName name="_xlnm.Print_Area" localSheetId="29">'Field Log (14)'!$A$1:$K$64</definedName>
    <definedName name="_xlnm.Print_Area" localSheetId="19">'Field Log (6)'!$A$1:$K$223</definedName>
    <definedName name="_xlnm.Print_Area" localSheetId="18">'Field Log (8)'!$A$1:$K$48</definedName>
    <definedName name="_xlnm.Print_Area" localSheetId="28">'Field Log (17)'!$A$1:$K$48</definedName>
    <definedName name="_xlnm.Print_Area" localSheetId="20">'Field Log (20)'!$A$1:$K$215</definedName>
    <definedName name="_xlnm.Print_Area" localSheetId="37">'Field Log (19)'!$A$1:$K$82</definedName>
    <definedName name="_xlnm.Print_Area" localSheetId="43">'Field Log (2)'!$A$1:$K$61</definedName>
    <definedName name="_xlnm.Print_Area" localSheetId="21">'Field Log (18)'!$A$1:$K$57</definedName>
    <definedName name="_xlnm.Print_Area" localSheetId="42">'Field Log (21)'!$A$1:$K$90</definedName>
    <definedName name="_xlnm.Print_Area" localSheetId="17">'Field Log (22)'!$A$1:$K$118</definedName>
    <definedName name="_xlnm.Print_Area" localSheetId="36">'Field Log (28)'!$A$1:$K$81</definedName>
    <definedName name="_xlnm.Print_Area" localSheetId="24">'Field Log (4)'!$A$1:$K$83</definedName>
    <definedName name="_xlnm.Print_Area" localSheetId="38">'Field Log (25)'!$A$1:$K$97</definedName>
    <definedName name="_xlnm.Print_Area" localSheetId="34">'Field Log (26)'!$A$1:$K$100</definedName>
    <definedName name="_xlnm.Print_Area" localSheetId="40">'Field Log (27)'!$A$1:$K$71</definedName>
    <definedName name="_xlnm.Print_Area" localSheetId="47">'Field Log (15)'!$A$1:$K$68</definedName>
    <definedName name="_xlnm.Print_Area" localSheetId="33">'Field Log (29)'!$A$1:$K$55</definedName>
    <definedName name="_xlnm.Print_Area" localSheetId="35">'Field Log (3)'!$A$1:$K$50</definedName>
    <definedName name="_xlnm.Print_Area" localSheetId="23">'Field Log (12)'!$A$1:$K$64</definedName>
    <definedName name="_xlnm.Print_Area" localSheetId="26">'Field Log (31)'!$A$1:$K$72</definedName>
    <definedName name="_xlnm.Print_Area" localSheetId="45">'Field Log (32)'!$A$1:$K$148</definedName>
    <definedName name="_xlnm.Print_Area" localSheetId="31">'Field Log (33)'!$A$1:$K$103</definedName>
    <definedName name="_xlnm.Print_Area" localSheetId="15">'Field Log (34)'!$A$1:$K$54</definedName>
    <definedName name="_xlnm.Print_Area" localSheetId="25">'Field Log (35)'!$A$1:$K$116</definedName>
    <definedName name="_xlnm.Print_Area" localSheetId="14">'Field Log (36)'!$A$1:$K$100</definedName>
    <definedName name="_xlnm.Print_Area" localSheetId="13">'Field Log (37)'!$A$1:$K$86</definedName>
    <definedName name="_xlnm.Print_Area" localSheetId="12">'Field Log (38)'!$A$1:$K$73</definedName>
    <definedName name="_xlnm.Print_Area" localSheetId="11">'Field Log (39)'!$A$1:$K$54</definedName>
    <definedName name="_xlnm.Print_Area" localSheetId="22">'Field Log (5)'!$A$1:$K$85</definedName>
    <definedName name="_xlnm.Print_Area" localSheetId="10">'Field Log (40)'!$A$1:$K$54</definedName>
    <definedName name="_xlnm.Print_Area" localSheetId="9">'Field Log (41)'!$A$1:$K$54</definedName>
    <definedName name="_xlnm.Print_Area" localSheetId="8">'Field Log (42)'!$A$1:$K$54</definedName>
    <definedName name="_xlnm.Print_Area" localSheetId="7">'Field Log (43)'!$A$1:$K$54</definedName>
    <definedName name="_xlnm.Print_Area" localSheetId="6">'Field Log (44)'!$A$1:$K$54</definedName>
    <definedName name="_xlnm.Print_Area" localSheetId="5">'Field Log (45)'!$A$1:$K$54</definedName>
    <definedName name="_xlnm.Print_Area" localSheetId="4">'Field Log (46)'!$A$1:$K$61</definedName>
    <definedName name="_xlnm.Print_Area" localSheetId="3">'Field Log (47)'!$A$1:$K$61</definedName>
    <definedName name="_xlnm.Print_Area" localSheetId="2">'Field Log (48)'!$A$1:$K$61</definedName>
    <definedName name="_xlnm.Print_Area" localSheetId="1">'Field Log (49)'!$A$1:$K$61</definedName>
    <definedName name="_xlnm.Print_Area" localSheetId="30">'Field Log (30)'!$A$1:$K$134</definedName>
    <definedName name="_xlnm.Print_Area" localSheetId="0">'Field Log (50)'!$A$1:$K$61</definedName>
    <definedName name="_xlnm.Print_Area" localSheetId="39">'Field Log (24)'!$A$1:$K$66</definedName>
    <definedName name="_xlnm.Print_Area" localSheetId="27">'Field Log (7)'!$A$1:$K$63</definedName>
    <definedName name="_xlnm.Print_Area" localSheetId="48">'Field Log (23)'!$A$1:$K$155</definedName>
    <definedName name="_xlnm.Print_Titles" localSheetId="55">'Alberta Equip. Rates Year 3'!$10:$11</definedName>
    <definedName name="_xlnm.Print_Titles" localSheetId="54">'Constr. Wage Rate Calculations'!$1:$11</definedName>
    <definedName name="_xlnm.Print_Titles" localSheetId="50">Summary!$4:$9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M46" i="28" l="1"/>
  <c r="K11" i="28"/>
  <c r="B12" i="28"/>
  <c r="B13" i="28"/>
  <c r="E13" i="28" s="1"/>
  <c r="B14" i="28"/>
  <c r="E14" i="28" s="1"/>
  <c r="B15" i="28"/>
  <c r="I15" i="28" s="1"/>
  <c r="E15" i="28"/>
  <c r="G15" i="28"/>
  <c r="B16" i="28"/>
  <c r="E16" i="28"/>
  <c r="G16" i="28"/>
  <c r="I16" i="28"/>
  <c r="B17" i="28"/>
  <c r="B18" i="28"/>
  <c r="E18" i="28"/>
  <c r="G18" i="28"/>
  <c r="I18" i="28"/>
  <c r="B19" i="28"/>
  <c r="B20" i="28"/>
  <c r="E20" i="28" s="1"/>
  <c r="B21" i="28"/>
  <c r="E21" i="28"/>
  <c r="G21" i="28"/>
  <c r="B22" i="28"/>
  <c r="I22" i="28" s="1"/>
  <c r="E22" i="28"/>
  <c r="G22" i="28"/>
  <c r="B23" i="28"/>
  <c r="E23" i="28"/>
  <c r="G23" i="28"/>
  <c r="I23" i="28"/>
  <c r="B24" i="28"/>
  <c r="B25" i="28"/>
  <c r="E25" i="28"/>
  <c r="G25" i="28"/>
  <c r="I25" i="28"/>
  <c r="B26" i="28"/>
  <c r="B27" i="28"/>
  <c r="E27" i="28" s="1"/>
  <c r="B28" i="28"/>
  <c r="E28" i="28" s="1"/>
  <c r="B29" i="28"/>
  <c r="I29" i="28" s="1"/>
  <c r="E29" i="28"/>
  <c r="G29" i="28"/>
  <c r="B30" i="28"/>
  <c r="E30" i="28"/>
  <c r="G30" i="28"/>
  <c r="I30" i="28"/>
  <c r="B31" i="28"/>
  <c r="I31" i="28"/>
  <c r="B32" i="28"/>
  <c r="E32" i="28"/>
  <c r="G32" i="28"/>
  <c r="I32" i="28"/>
  <c r="B33" i="28"/>
  <c r="B34" i="28"/>
  <c r="E34" i="28" s="1"/>
  <c r="B35" i="28"/>
  <c r="G35" i="28" s="1"/>
  <c r="E35" i="28"/>
  <c r="B36" i="28"/>
  <c r="I36" i="28" s="1"/>
  <c r="E36" i="28"/>
  <c r="G36" i="28"/>
  <c r="B37" i="28"/>
  <c r="E37" i="28"/>
  <c r="G37" i="28"/>
  <c r="I37" i="28"/>
  <c r="B38" i="28"/>
  <c r="I38" i="28"/>
  <c r="B39" i="28"/>
  <c r="E39" i="28"/>
  <c r="G39" i="28"/>
  <c r="I39" i="28"/>
  <c r="B40" i="28"/>
  <c r="B41" i="28"/>
  <c r="E41" i="28" s="1"/>
  <c r="B42" i="28"/>
  <c r="E42" i="28" s="1"/>
  <c r="B43" i="28"/>
  <c r="I43" i="28" s="1"/>
  <c r="E43" i="28"/>
  <c r="G43" i="28"/>
  <c r="B44" i="28"/>
  <c r="E44" i="28"/>
  <c r="G44" i="28"/>
  <c r="I44" i="28"/>
  <c r="B45" i="28"/>
  <c r="I45" i="28"/>
  <c r="K46" i="28"/>
  <c r="B50" i="28"/>
  <c r="B51" i="28"/>
  <c r="B52" i="28"/>
  <c r="B53" i="28"/>
  <c r="B54" i="28"/>
  <c r="J54" i="28" s="1"/>
  <c r="K54" i="28" s="1"/>
  <c r="B55" i="28"/>
  <c r="J55" i="28"/>
  <c r="K55" i="28" s="1"/>
  <c r="B56" i="28"/>
  <c r="J56" i="28" s="1"/>
  <c r="K56" i="28" s="1"/>
  <c r="B57" i="28"/>
  <c r="B58" i="28"/>
  <c r="B59" i="28"/>
  <c r="B60" i="28"/>
  <c r="B61" i="28"/>
  <c r="B62" i="28"/>
  <c r="B63" i="28"/>
  <c r="B64" i="28"/>
  <c r="B65" i="28"/>
  <c r="J65" i="28" s="1"/>
  <c r="K65" i="28" s="1"/>
  <c r="B66" i="28"/>
  <c r="B67" i="28"/>
  <c r="B68" i="28"/>
  <c r="B69" i="28"/>
  <c r="J69" i="28" s="1"/>
  <c r="K69" i="28" s="1"/>
  <c r="B70" i="28"/>
  <c r="B71" i="28"/>
  <c r="B72" i="28"/>
  <c r="J72" i="28" s="1"/>
  <c r="K72" i="28" s="1"/>
  <c r="B73" i="28"/>
  <c r="B74" i="28"/>
  <c r="B75" i="28"/>
  <c r="B76" i="28"/>
  <c r="B77" i="28"/>
  <c r="K11" i="1"/>
  <c r="B12" i="1"/>
  <c r="E12" i="1"/>
  <c r="G12" i="1"/>
  <c r="I12" i="1"/>
  <c r="B13" i="1"/>
  <c r="E13" i="1"/>
  <c r="G13" i="1"/>
  <c r="I13" i="1"/>
  <c r="B14" i="1"/>
  <c r="B15" i="1"/>
  <c r="B16" i="1"/>
  <c r="B17" i="1"/>
  <c r="G17" i="1" s="1"/>
  <c r="E17" i="1"/>
  <c r="B18" i="1"/>
  <c r="E18" i="1"/>
  <c r="G18" i="1"/>
  <c r="I18" i="1"/>
  <c r="B19" i="1"/>
  <c r="E19" i="1"/>
  <c r="G19" i="1"/>
  <c r="I19" i="1"/>
  <c r="B20" i="1"/>
  <c r="E20" i="1"/>
  <c r="G20" i="1"/>
  <c r="I20" i="1"/>
  <c r="B21" i="1"/>
  <c r="B22" i="1"/>
  <c r="B23" i="1"/>
  <c r="E23" i="1" s="1"/>
  <c r="B24" i="1"/>
  <c r="G24" i="1" s="1"/>
  <c r="E24" i="1"/>
  <c r="B25" i="1"/>
  <c r="E25" i="1"/>
  <c r="G25" i="1"/>
  <c r="I25" i="1"/>
  <c r="B26" i="1"/>
  <c r="E26" i="1"/>
  <c r="G26" i="1"/>
  <c r="I26" i="1"/>
  <c r="B27" i="1"/>
  <c r="E27" i="1"/>
  <c r="G27" i="1"/>
  <c r="I27" i="1"/>
  <c r="B28" i="1"/>
  <c r="I28" i="1"/>
  <c r="B29" i="1"/>
  <c r="B30" i="1"/>
  <c r="E30" i="1" s="1"/>
  <c r="K31" i="1"/>
  <c r="B35" i="1"/>
  <c r="B36" i="1"/>
  <c r="B37" i="1"/>
  <c r="B38" i="1"/>
  <c r="B39" i="1"/>
  <c r="B40" i="1"/>
  <c r="B41" i="1"/>
  <c r="B42" i="1"/>
  <c r="B43" i="1"/>
  <c r="B44" i="1"/>
  <c r="B45" i="1"/>
  <c r="B46" i="1"/>
  <c r="B47" i="1"/>
  <c r="J47" i="1" s="1"/>
  <c r="K47" i="1" s="1"/>
  <c r="B48" i="1"/>
  <c r="J48" i="1" s="1"/>
  <c r="K48" i="1" s="1"/>
  <c r="B49" i="1"/>
  <c r="J49" i="1"/>
  <c r="K49" i="1"/>
  <c r="B50" i="1"/>
  <c r="J50" i="1"/>
  <c r="K50" i="1" s="1"/>
  <c r="B51" i="1"/>
  <c r="B52" i="1"/>
  <c r="B53" i="1"/>
  <c r="K11" i="13"/>
  <c r="B12" i="13"/>
  <c r="B13" i="13"/>
  <c r="B14" i="13"/>
  <c r="I14" i="13"/>
  <c r="B15" i="13"/>
  <c r="I15" i="13"/>
  <c r="B16" i="13"/>
  <c r="E16" i="13"/>
  <c r="G16" i="13"/>
  <c r="I16" i="13"/>
  <c r="B17" i="13"/>
  <c r="G17" i="13"/>
  <c r="B18" i="13"/>
  <c r="K19" i="13"/>
  <c r="K20" i="13"/>
  <c r="K21" i="13"/>
  <c r="K22" i="13"/>
  <c r="K23" i="13"/>
  <c r="K24" i="13"/>
  <c r="K25" i="13"/>
  <c r="K26" i="13"/>
  <c r="K27" i="13"/>
  <c r="K28" i="13"/>
  <c r="K29" i="13"/>
  <c r="K30" i="13"/>
  <c r="K31" i="13"/>
  <c r="B35" i="13"/>
  <c r="B36" i="13"/>
  <c r="J36" i="13" s="1"/>
  <c r="K36" i="13" s="1"/>
  <c r="B37" i="13"/>
  <c r="B38" i="13"/>
  <c r="B39" i="13"/>
  <c r="B40" i="13"/>
  <c r="B41" i="13"/>
  <c r="B42" i="13"/>
  <c r="B43" i="13"/>
  <c r="B44" i="13"/>
  <c r="B45" i="13"/>
  <c r="B46" i="13"/>
  <c r="B47" i="13"/>
  <c r="B48" i="13"/>
  <c r="B49" i="13"/>
  <c r="K11" i="33"/>
  <c r="B12" i="33"/>
  <c r="E12" i="33"/>
  <c r="G12" i="33"/>
  <c r="I12" i="33"/>
  <c r="B13" i="33"/>
  <c r="G13" i="33"/>
  <c r="B14" i="33"/>
  <c r="B15" i="33"/>
  <c r="E15" i="33" s="1"/>
  <c r="G15" i="33"/>
  <c r="I15" i="33"/>
  <c r="B16" i="33"/>
  <c r="E16" i="33"/>
  <c r="B17" i="33"/>
  <c r="E17" i="33" s="1"/>
  <c r="B18" i="33"/>
  <c r="I18" i="33"/>
  <c r="B19" i="33"/>
  <c r="E19" i="33"/>
  <c r="G19" i="33"/>
  <c r="I19" i="33"/>
  <c r="B20" i="33"/>
  <c r="B21" i="33"/>
  <c r="B22" i="33"/>
  <c r="B23" i="33"/>
  <c r="B24" i="33"/>
  <c r="G24" i="33" s="1"/>
  <c r="E24" i="33"/>
  <c r="B25" i="33"/>
  <c r="G25" i="33" s="1"/>
  <c r="B26" i="33"/>
  <c r="E26" i="33"/>
  <c r="G26" i="33"/>
  <c r="I26" i="33"/>
  <c r="B27" i="33"/>
  <c r="E27" i="33"/>
  <c r="B28" i="33"/>
  <c r="G28" i="33" s="1"/>
  <c r="I28" i="33"/>
  <c r="B29" i="33"/>
  <c r="B30" i="33"/>
  <c r="E30" i="33" s="1"/>
  <c r="B31" i="33"/>
  <c r="G31" i="33" s="1"/>
  <c r="E31" i="33"/>
  <c r="I31" i="33"/>
  <c r="B32" i="33"/>
  <c r="I32" i="33" s="1"/>
  <c r="B33" i="33"/>
  <c r="E33" i="33"/>
  <c r="G33" i="33"/>
  <c r="I33" i="33"/>
  <c r="B34" i="33"/>
  <c r="E34" i="33"/>
  <c r="G34" i="33"/>
  <c r="I34" i="33"/>
  <c r="B35" i="33"/>
  <c r="G35" i="33" s="1"/>
  <c r="B36" i="33"/>
  <c r="G36" i="33" s="1"/>
  <c r="E36" i="33"/>
  <c r="B37" i="33"/>
  <c r="E37" i="33" s="1"/>
  <c r="B38" i="33"/>
  <c r="G38" i="33" s="1"/>
  <c r="B39" i="33"/>
  <c r="E39" i="33"/>
  <c r="B40" i="33"/>
  <c r="E40" i="33"/>
  <c r="G40" i="33"/>
  <c r="I40" i="33"/>
  <c r="K41" i="33"/>
  <c r="K42" i="33"/>
  <c r="K43" i="33"/>
  <c r="K44" i="33"/>
  <c r="K45" i="33"/>
  <c r="K46" i="33"/>
  <c r="B50" i="33"/>
  <c r="B51" i="33"/>
  <c r="J51" i="33" s="1"/>
  <c r="K51" i="33" s="1"/>
  <c r="B52" i="33"/>
  <c r="B53" i="33"/>
  <c r="B54" i="33"/>
  <c r="B55" i="33"/>
  <c r="B56" i="33"/>
  <c r="B57" i="33"/>
  <c r="B58" i="33"/>
  <c r="B59" i="33"/>
  <c r="B60" i="33"/>
  <c r="B61" i="33"/>
  <c r="J61" i="33" s="1"/>
  <c r="K61" i="33" s="1"/>
  <c r="B62" i="33"/>
  <c r="B63" i="33"/>
  <c r="B64" i="33"/>
  <c r="B65" i="33"/>
  <c r="J65" i="33" s="1"/>
  <c r="K65" i="33"/>
  <c r="B66" i="33"/>
  <c r="B67" i="33"/>
  <c r="B68" i="33"/>
  <c r="B69" i="33"/>
  <c r="B70" i="33"/>
  <c r="B71" i="33"/>
  <c r="B72" i="33"/>
  <c r="B73" i="33"/>
  <c r="B74" i="33"/>
  <c r="B75" i="33"/>
  <c r="B76" i="33"/>
  <c r="K11" i="17"/>
  <c r="B12" i="17"/>
  <c r="G12" i="17" s="1"/>
  <c r="B13" i="17"/>
  <c r="B14" i="17"/>
  <c r="E14" i="17"/>
  <c r="B15" i="17"/>
  <c r="I15" i="17" s="1"/>
  <c r="E15" i="17"/>
  <c r="G15" i="17"/>
  <c r="B16" i="17"/>
  <c r="E16" i="17"/>
  <c r="G16" i="17"/>
  <c r="I16" i="17"/>
  <c r="B17" i="17"/>
  <c r="B18" i="17"/>
  <c r="E18" i="17"/>
  <c r="G18" i="17"/>
  <c r="I18" i="17"/>
  <c r="B19" i="17"/>
  <c r="E19" i="17"/>
  <c r="B20" i="17"/>
  <c r="G20" i="17"/>
  <c r="B21" i="17"/>
  <c r="B22" i="17"/>
  <c r="I22" i="17" s="1"/>
  <c r="B23" i="17"/>
  <c r="E23" i="17"/>
  <c r="G23" i="17"/>
  <c r="I23" i="17"/>
  <c r="B24" i="17"/>
  <c r="G24" i="17"/>
  <c r="K25" i="17"/>
  <c r="K26" i="17"/>
  <c r="K27" i="17"/>
  <c r="K28" i="17"/>
  <c r="K29" i="17"/>
  <c r="K30" i="17"/>
  <c r="B34" i="17"/>
  <c r="B35" i="17"/>
  <c r="B36" i="17"/>
  <c r="B37" i="17"/>
  <c r="B38" i="17"/>
  <c r="B39" i="17"/>
  <c r="B40" i="17"/>
  <c r="B41" i="17"/>
  <c r="B42" i="17"/>
  <c r="B43" i="17"/>
  <c r="B44" i="17"/>
  <c r="B45" i="17"/>
  <c r="B46" i="17"/>
  <c r="B47" i="17"/>
  <c r="B48" i="17"/>
  <c r="B49" i="17"/>
  <c r="B50" i="17"/>
  <c r="B51" i="17"/>
  <c r="K11" i="41"/>
  <c r="K12" i="41"/>
  <c r="K13" i="41"/>
  <c r="K14" i="41"/>
  <c r="B15" i="41"/>
  <c r="G15" i="41"/>
  <c r="I15" i="41"/>
  <c r="K16" i="41"/>
  <c r="K17" i="41"/>
  <c r="K18" i="41"/>
  <c r="K19" i="41"/>
  <c r="K20" i="41"/>
  <c r="K21" i="41"/>
  <c r="K22" i="41"/>
  <c r="K23" i="41"/>
  <c r="K24" i="41"/>
  <c r="K25" i="41"/>
  <c r="K26" i="41"/>
  <c r="K27" i="41"/>
  <c r="K28" i="41"/>
  <c r="B32" i="41"/>
  <c r="B33" i="41"/>
  <c r="B34" i="41"/>
  <c r="B35" i="41"/>
  <c r="B36" i="41"/>
  <c r="B37" i="41"/>
  <c r="B38" i="41"/>
  <c r="B39" i="41"/>
  <c r="B40" i="41"/>
  <c r="B41" i="41"/>
  <c r="B42" i="41"/>
  <c r="B43" i="41"/>
  <c r="B44" i="41"/>
  <c r="B45" i="41"/>
  <c r="B46" i="41"/>
  <c r="B47" i="41"/>
  <c r="B48" i="41"/>
  <c r="B49" i="41"/>
  <c r="B50" i="41"/>
  <c r="B51" i="41"/>
  <c r="B52" i="41"/>
  <c r="B53" i="41"/>
  <c r="B54" i="41"/>
  <c r="B55" i="41"/>
  <c r="B56" i="41"/>
  <c r="B57" i="41"/>
  <c r="B58" i="41"/>
  <c r="B59" i="41"/>
  <c r="B60" i="41"/>
  <c r="B61" i="41"/>
  <c r="B62" i="41"/>
  <c r="B63" i="41"/>
  <c r="B64" i="41"/>
  <c r="B65" i="41"/>
  <c r="B66" i="41"/>
  <c r="B67" i="41"/>
  <c r="B68" i="41"/>
  <c r="B69" i="41"/>
  <c r="B70" i="41"/>
  <c r="B71" i="41"/>
  <c r="B72" i="41"/>
  <c r="B73" i="41"/>
  <c r="B74" i="41"/>
  <c r="B75" i="41"/>
  <c r="B76" i="41"/>
  <c r="B77" i="41"/>
  <c r="B78" i="41"/>
  <c r="B79" i="41"/>
  <c r="B80" i="41"/>
  <c r="B81" i="41"/>
  <c r="B82" i="41"/>
  <c r="B83" i="41"/>
  <c r="B84" i="41"/>
  <c r="B85" i="41"/>
  <c r="B86" i="41"/>
  <c r="B87" i="41"/>
  <c r="B88" i="41"/>
  <c r="B89" i="41"/>
  <c r="B90" i="41"/>
  <c r="B91" i="41"/>
  <c r="B92" i="41"/>
  <c r="B93" i="41"/>
  <c r="B94" i="41"/>
  <c r="B95" i="41"/>
  <c r="B96" i="41"/>
  <c r="B97" i="41"/>
  <c r="B98" i="41"/>
  <c r="B99" i="41"/>
  <c r="B100" i="41"/>
  <c r="B101" i="41"/>
  <c r="B102" i="41"/>
  <c r="B103" i="41"/>
  <c r="B104" i="41"/>
  <c r="B105" i="41"/>
  <c r="B106" i="41"/>
  <c r="B107" i="41"/>
  <c r="B108" i="41"/>
  <c r="B109" i="41"/>
  <c r="B110" i="41"/>
  <c r="B111" i="41"/>
  <c r="B112" i="41"/>
  <c r="B113" i="41"/>
  <c r="B114" i="41"/>
  <c r="B115" i="41"/>
  <c r="B116" i="41"/>
  <c r="B117" i="41"/>
  <c r="B118" i="41"/>
  <c r="B119" i="41"/>
  <c r="B120" i="41"/>
  <c r="B121" i="41"/>
  <c r="B122" i="41"/>
  <c r="B123" i="41"/>
  <c r="B124" i="41"/>
  <c r="B125" i="41"/>
  <c r="B126" i="41"/>
  <c r="B127" i="41"/>
  <c r="B128" i="41"/>
  <c r="B129" i="41"/>
  <c r="B130" i="41"/>
  <c r="B131" i="41"/>
  <c r="B132" i="41"/>
  <c r="B133" i="41"/>
  <c r="B134" i="41"/>
  <c r="B135" i="41"/>
  <c r="B136" i="41"/>
  <c r="K11" i="16"/>
  <c r="B12" i="16"/>
  <c r="I12" i="16" s="1"/>
  <c r="E12" i="16"/>
  <c r="G12" i="16"/>
  <c r="B13" i="16"/>
  <c r="E13" i="16" s="1"/>
  <c r="B14" i="16"/>
  <c r="B15" i="16"/>
  <c r="B16" i="16"/>
  <c r="E16" i="16"/>
  <c r="G16" i="16"/>
  <c r="I16" i="16"/>
  <c r="B17" i="16"/>
  <c r="E17" i="16"/>
  <c r="G17" i="16"/>
  <c r="I17" i="16"/>
  <c r="B18" i="16"/>
  <c r="E18" i="16"/>
  <c r="G18" i="16"/>
  <c r="I18" i="16"/>
  <c r="B19" i="16"/>
  <c r="E19" i="16" s="1"/>
  <c r="G19" i="16"/>
  <c r="I19" i="16"/>
  <c r="B20" i="16"/>
  <c r="B21" i="16"/>
  <c r="K22" i="16"/>
  <c r="K23" i="16"/>
  <c r="K24" i="16"/>
  <c r="K25" i="16"/>
  <c r="K26" i="16"/>
  <c r="B30" i="16"/>
  <c r="B31" i="16"/>
  <c r="B32" i="16"/>
  <c r="B33" i="16"/>
  <c r="B34" i="16"/>
  <c r="B35" i="16"/>
  <c r="B36" i="16"/>
  <c r="B37" i="16"/>
  <c r="B38" i="16"/>
  <c r="B39" i="16"/>
  <c r="B40" i="16"/>
  <c r="B41" i="16"/>
  <c r="B42" i="16"/>
  <c r="B43" i="16"/>
  <c r="B44" i="16"/>
  <c r="B45" i="16"/>
  <c r="B46" i="16"/>
  <c r="B47" i="16"/>
  <c r="B48" i="16"/>
  <c r="B49" i="16"/>
  <c r="B50" i="16"/>
  <c r="K11" i="7"/>
  <c r="B12" i="7"/>
  <c r="E12" i="7"/>
  <c r="G12" i="7"/>
  <c r="I12" i="7"/>
  <c r="B13" i="7"/>
  <c r="E13" i="7"/>
  <c r="G13" i="7"/>
  <c r="I13" i="7"/>
  <c r="B14" i="7"/>
  <c r="E14" i="7"/>
  <c r="G14" i="7"/>
  <c r="I14" i="7"/>
  <c r="B15" i="7"/>
  <c r="B16" i="7"/>
  <c r="I16" i="7"/>
  <c r="B17" i="7"/>
  <c r="G17" i="7"/>
  <c r="I17" i="7"/>
  <c r="B18" i="7"/>
  <c r="I18" i="7" s="1"/>
  <c r="E18" i="7"/>
  <c r="G18" i="7"/>
  <c r="B19" i="7"/>
  <c r="E19" i="7" s="1"/>
  <c r="G19" i="7"/>
  <c r="B20" i="7"/>
  <c r="E20" i="7" s="1"/>
  <c r="I20" i="7"/>
  <c r="B21" i="7"/>
  <c r="E21" i="7"/>
  <c r="G21" i="7"/>
  <c r="I21" i="7"/>
  <c r="B22" i="7"/>
  <c r="I22" i="7" s="1"/>
  <c r="G22" i="7"/>
  <c r="B23" i="7"/>
  <c r="G23" i="7"/>
  <c r="B24" i="7"/>
  <c r="E24" i="7"/>
  <c r="G24" i="7"/>
  <c r="B25" i="7"/>
  <c r="G25" i="7" s="1"/>
  <c r="E25" i="7"/>
  <c r="B26" i="7"/>
  <c r="E26" i="7" s="1"/>
  <c r="B27" i="7"/>
  <c r="I27" i="7" s="1"/>
  <c r="E27" i="7"/>
  <c r="G27" i="7"/>
  <c r="B28" i="7"/>
  <c r="E28" i="7"/>
  <c r="G28" i="7"/>
  <c r="I28" i="7"/>
  <c r="B29" i="7"/>
  <c r="E29" i="7"/>
  <c r="G29" i="7"/>
  <c r="I29" i="7"/>
  <c r="B30" i="7"/>
  <c r="E30" i="7" s="1"/>
  <c r="G30" i="7"/>
  <c r="I30" i="7"/>
  <c r="K31" i="7"/>
  <c r="K32" i="7"/>
  <c r="B36" i="7"/>
  <c r="B37" i="7"/>
  <c r="B38" i="7"/>
  <c r="B39" i="7"/>
  <c r="B40" i="7"/>
  <c r="B41" i="7"/>
  <c r="B42" i="7"/>
  <c r="B43" i="7"/>
  <c r="B44" i="7"/>
  <c r="J44" i="7"/>
  <c r="K44" i="7" s="1"/>
  <c r="B45" i="7"/>
  <c r="B46" i="7"/>
  <c r="B47" i="7"/>
  <c r="B48" i="7"/>
  <c r="B49" i="7"/>
  <c r="K11" i="26"/>
  <c r="B12" i="26"/>
  <c r="E12" i="26"/>
  <c r="G12" i="26"/>
  <c r="I12" i="26"/>
  <c r="B13" i="26"/>
  <c r="E13" i="26" s="1"/>
  <c r="G13" i="26"/>
  <c r="I13" i="26"/>
  <c r="B14" i="26"/>
  <c r="E14" i="26" s="1"/>
  <c r="I14" i="26"/>
  <c r="B15" i="26"/>
  <c r="E15" i="26" s="1"/>
  <c r="G15" i="26"/>
  <c r="B16" i="26"/>
  <c r="I16" i="26" s="1"/>
  <c r="B17" i="26"/>
  <c r="I17" i="26"/>
  <c r="B18" i="26"/>
  <c r="E18" i="26"/>
  <c r="G18" i="26"/>
  <c r="I18" i="26"/>
  <c r="B19" i="26"/>
  <c r="E19" i="26"/>
  <c r="G19" i="26"/>
  <c r="I19" i="26"/>
  <c r="B20" i="26"/>
  <c r="E20" i="26" s="1"/>
  <c r="G20" i="26"/>
  <c r="I20" i="26"/>
  <c r="B21" i="26"/>
  <c r="E21" i="26" s="1"/>
  <c r="G21" i="26"/>
  <c r="I21" i="26"/>
  <c r="B22" i="26"/>
  <c r="G22" i="26"/>
  <c r="B23" i="26"/>
  <c r="I23" i="26" s="1"/>
  <c r="E23" i="26"/>
  <c r="G23" i="26"/>
  <c r="B24" i="26"/>
  <c r="G24" i="26" s="1"/>
  <c r="E24" i="26"/>
  <c r="I24" i="26"/>
  <c r="B25" i="26"/>
  <c r="E25" i="26"/>
  <c r="G25" i="26"/>
  <c r="I25" i="26"/>
  <c r="B26" i="26"/>
  <c r="E26" i="26"/>
  <c r="G26" i="26"/>
  <c r="I26" i="26"/>
  <c r="B27" i="26"/>
  <c r="E27" i="26" s="1"/>
  <c r="G27" i="26"/>
  <c r="I27" i="26"/>
  <c r="B28" i="26"/>
  <c r="I28" i="26" s="1"/>
  <c r="K29" i="26"/>
  <c r="K30" i="26"/>
  <c r="K31" i="26"/>
  <c r="K32" i="26"/>
  <c r="B36" i="26"/>
  <c r="B37" i="26"/>
  <c r="B38" i="26"/>
  <c r="B39" i="26"/>
  <c r="B40" i="26"/>
  <c r="B41" i="26"/>
  <c r="B42" i="26"/>
  <c r="B43" i="26"/>
  <c r="B44" i="26"/>
  <c r="B45" i="26"/>
  <c r="B46" i="26"/>
  <c r="J46" i="26" s="1"/>
  <c r="K46" i="26" s="1"/>
  <c r="B47" i="26"/>
  <c r="J47" i="26"/>
  <c r="K47" i="26" s="1"/>
  <c r="B48" i="26"/>
  <c r="J48" i="26"/>
  <c r="K48" i="26"/>
  <c r="B49" i="26"/>
  <c r="J49" i="26"/>
  <c r="K49" i="26" s="1"/>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K11" i="61"/>
  <c r="B12" i="61"/>
  <c r="E12" i="61"/>
  <c r="G12" i="61"/>
  <c r="I12" i="61"/>
  <c r="B13" i="61"/>
  <c r="G13" i="61" s="1"/>
  <c r="B14" i="61"/>
  <c r="G14" i="61"/>
  <c r="B15" i="61"/>
  <c r="G15" i="61"/>
  <c r="I15" i="61"/>
  <c r="B16" i="61"/>
  <c r="I16" i="61" s="1"/>
  <c r="B17" i="61"/>
  <c r="G17" i="61"/>
  <c r="B18" i="61"/>
  <c r="E18" i="61"/>
  <c r="G18" i="61"/>
  <c r="I18" i="61"/>
  <c r="B19" i="61"/>
  <c r="E19" i="61"/>
  <c r="G19" i="61"/>
  <c r="I19" i="61"/>
  <c r="B20" i="61"/>
  <c r="B21" i="61"/>
  <c r="E21" i="61" s="1"/>
  <c r="G21" i="61"/>
  <c r="I21" i="61"/>
  <c r="K22" i="61"/>
  <c r="K23" i="61"/>
  <c r="K24" i="61"/>
  <c r="K25" i="61"/>
  <c r="K26" i="61"/>
  <c r="K27" i="61"/>
  <c r="K28" i="61"/>
  <c r="K29" i="61"/>
  <c r="K30" i="61"/>
  <c r="K31" i="61"/>
  <c r="K32" i="61"/>
  <c r="K33" i="61"/>
  <c r="K34" i="61"/>
  <c r="K35" i="61"/>
  <c r="K36" i="61"/>
  <c r="K37" i="61"/>
  <c r="K38" i="61"/>
  <c r="K39" i="61"/>
  <c r="K40" i="61"/>
  <c r="K41" i="61"/>
  <c r="B45" i="61"/>
  <c r="B46" i="61"/>
  <c r="B47" i="61"/>
  <c r="B48" i="61"/>
  <c r="J48" i="61" s="1"/>
  <c r="K48" i="61"/>
  <c r="B49" i="61"/>
  <c r="B50" i="61"/>
  <c r="B51" i="61"/>
  <c r="B52" i="61"/>
  <c r="B53" i="61"/>
  <c r="B54" i="61"/>
  <c r="B55" i="61"/>
  <c r="B56" i="61"/>
  <c r="B57" i="61"/>
  <c r="B58" i="61"/>
  <c r="B59" i="61"/>
  <c r="B60" i="61"/>
  <c r="B61" i="61"/>
  <c r="B62" i="61"/>
  <c r="B63" i="61"/>
  <c r="B64" i="61"/>
  <c r="B65" i="61"/>
  <c r="B66" i="61"/>
  <c r="B67" i="61"/>
  <c r="B68" i="61"/>
  <c r="B69" i="61"/>
  <c r="B70" i="61"/>
  <c r="B71" i="61"/>
  <c r="B72" i="61"/>
  <c r="B73" i="61"/>
  <c r="B74" i="61"/>
  <c r="B75" i="61"/>
  <c r="B76" i="61"/>
  <c r="B77" i="61"/>
  <c r="B78" i="61"/>
  <c r="B79" i="61"/>
  <c r="B80" i="61"/>
  <c r="B81" i="61"/>
  <c r="B82" i="61"/>
  <c r="B83" i="61"/>
  <c r="B84" i="61"/>
  <c r="B85" i="61"/>
  <c r="B86" i="61"/>
  <c r="B87" i="61"/>
  <c r="B88" i="61"/>
  <c r="B89" i="61"/>
  <c r="B90" i="61"/>
  <c r="B91" i="61"/>
  <c r="B92" i="61"/>
  <c r="B93" i="61"/>
  <c r="B94" i="61"/>
  <c r="B95" i="61"/>
  <c r="K11" i="32"/>
  <c r="B12" i="32"/>
  <c r="E12" i="32"/>
  <c r="G12" i="32"/>
  <c r="I12" i="32"/>
  <c r="B13" i="32"/>
  <c r="E13" i="32" s="1"/>
  <c r="B14" i="32"/>
  <c r="E14" i="32"/>
  <c r="G14" i="32"/>
  <c r="I14" i="32"/>
  <c r="B15" i="32"/>
  <c r="I15" i="32" s="1"/>
  <c r="B16" i="32"/>
  <c r="E16" i="32" s="1"/>
  <c r="B17" i="32"/>
  <c r="G17" i="32"/>
  <c r="I17" i="32"/>
  <c r="B18" i="32"/>
  <c r="E18" i="32"/>
  <c r="G18" i="32"/>
  <c r="I18" i="32"/>
  <c r="B19" i="32"/>
  <c r="G19" i="32" s="1"/>
  <c r="B20" i="32"/>
  <c r="G20" i="32" s="1"/>
  <c r="E20" i="32"/>
  <c r="B21" i="32"/>
  <c r="B22" i="32"/>
  <c r="E22" i="32" s="1"/>
  <c r="I22" i="32"/>
  <c r="B23" i="32"/>
  <c r="G23" i="32" s="1"/>
  <c r="B24" i="32"/>
  <c r="G24" i="32"/>
  <c r="B25" i="32"/>
  <c r="E25" i="32" s="1"/>
  <c r="G25" i="32"/>
  <c r="I25" i="32"/>
  <c r="K26" i="32"/>
  <c r="K27" i="32"/>
  <c r="K28" i="32"/>
  <c r="K29" i="32"/>
  <c r="K30" i="32"/>
  <c r="K31" i="32"/>
  <c r="K32" i="32"/>
  <c r="K33" i="32"/>
  <c r="K34" i="32"/>
  <c r="K35" i="32"/>
  <c r="B39" i="32"/>
  <c r="B40" i="32"/>
  <c r="B41" i="32"/>
  <c r="B42" i="32"/>
  <c r="B43" i="32"/>
  <c r="B44" i="32"/>
  <c r="B45" i="32"/>
  <c r="B46" i="32"/>
  <c r="B47" i="32"/>
  <c r="B48" i="32"/>
  <c r="B49" i="32"/>
  <c r="B50" i="32"/>
  <c r="B51" i="32"/>
  <c r="B52" i="32"/>
  <c r="B53" i="32"/>
  <c r="B54" i="32"/>
  <c r="B55" i="32"/>
  <c r="B56" i="32"/>
  <c r="B57" i="32"/>
  <c r="B58" i="32"/>
  <c r="B59" i="32"/>
  <c r="K11" i="11"/>
  <c r="B12" i="11"/>
  <c r="E12" i="11" s="1"/>
  <c r="I12" i="11"/>
  <c r="B13" i="11"/>
  <c r="E13" i="11" s="1"/>
  <c r="G13" i="11"/>
  <c r="I13" i="11"/>
  <c r="B14" i="11"/>
  <c r="I14" i="11" s="1"/>
  <c r="E14" i="11"/>
  <c r="G14" i="11"/>
  <c r="B15" i="11"/>
  <c r="I15" i="11" s="1"/>
  <c r="B16" i="11"/>
  <c r="E16" i="11"/>
  <c r="G16" i="11"/>
  <c r="I16" i="11"/>
  <c r="B17" i="11"/>
  <c r="E17" i="11"/>
  <c r="G17" i="11"/>
  <c r="I17" i="11"/>
  <c r="K18" i="11"/>
  <c r="K19" i="11"/>
  <c r="K20" i="11"/>
  <c r="K21" i="11"/>
  <c r="K22" i="11"/>
  <c r="K23" i="11"/>
  <c r="K24" i="11"/>
  <c r="K25" i="11"/>
  <c r="B29" i="11"/>
  <c r="B30" i="11"/>
  <c r="J30" i="11" s="1"/>
  <c r="K30" i="11" s="1"/>
  <c r="B31" i="11"/>
  <c r="J31" i="11"/>
  <c r="K31" i="11"/>
  <c r="B32" i="11"/>
  <c r="B33" i="11"/>
  <c r="B34" i="11"/>
  <c r="B35" i="11"/>
  <c r="B36" i="11"/>
  <c r="B37" i="11"/>
  <c r="B38" i="11"/>
  <c r="B39" i="11"/>
  <c r="B40" i="11"/>
  <c r="B41" i="11"/>
  <c r="B42" i="11"/>
  <c r="B43" i="11"/>
  <c r="B44" i="11"/>
  <c r="K11" i="30"/>
  <c r="B12" i="30"/>
  <c r="E12" i="30"/>
  <c r="G12" i="30"/>
  <c r="I12" i="30"/>
  <c r="B13" i="30"/>
  <c r="G13" i="30" s="1"/>
  <c r="E13" i="30"/>
  <c r="K14" i="30"/>
  <c r="K15" i="30"/>
  <c r="K16" i="30"/>
  <c r="K17" i="30"/>
  <c r="K18" i="30"/>
  <c r="K19" i="30"/>
  <c r="K20" i="30"/>
  <c r="K21" i="30"/>
  <c r="K22" i="30"/>
  <c r="K23" i="30"/>
  <c r="K24" i="30"/>
  <c r="K25" i="30"/>
  <c r="K26" i="30"/>
  <c r="K27" i="30"/>
  <c r="K28" i="30"/>
  <c r="K29" i="30"/>
  <c r="K30" i="30"/>
  <c r="K31" i="30"/>
  <c r="K32" i="30"/>
  <c r="K33" i="30"/>
  <c r="K34" i="30"/>
  <c r="K35" i="30"/>
  <c r="K36" i="30"/>
  <c r="K37" i="30"/>
  <c r="K38" i="30"/>
  <c r="K39" i="30"/>
  <c r="K40" i="30"/>
  <c r="K41" i="30"/>
  <c r="K42" i="30"/>
  <c r="K43" i="30"/>
  <c r="K44" i="30"/>
  <c r="K45" i="30"/>
  <c r="K46" i="30"/>
  <c r="B50" i="30"/>
  <c r="B51" i="30"/>
  <c r="B52" i="30"/>
  <c r="B53" i="30"/>
  <c r="B54" i="30"/>
  <c r="B55" i="30"/>
  <c r="B56" i="30"/>
  <c r="B57" i="30"/>
  <c r="B58" i="30"/>
  <c r="B59" i="30"/>
  <c r="B60" i="30"/>
  <c r="B61" i="30"/>
  <c r="B62" i="30"/>
  <c r="B63" i="30"/>
  <c r="B64" i="30"/>
  <c r="B65" i="30"/>
  <c r="B66" i="30"/>
  <c r="B67" i="30"/>
  <c r="B68" i="30"/>
  <c r="B69" i="30"/>
  <c r="B70" i="30"/>
  <c r="B71" i="30"/>
  <c r="B72" i="30"/>
  <c r="B73" i="30"/>
  <c r="B74" i="30"/>
  <c r="B75" i="30"/>
  <c r="B76" i="30"/>
  <c r="B77" i="30"/>
  <c r="B78" i="30"/>
  <c r="B79" i="30"/>
  <c r="B80" i="30"/>
  <c r="B81" i="30"/>
  <c r="B82" i="30"/>
  <c r="B83" i="30"/>
  <c r="B84" i="30"/>
  <c r="B85" i="30"/>
  <c r="K11" i="24"/>
  <c r="B12" i="24"/>
  <c r="E12" i="24" s="1"/>
  <c r="I12" i="24"/>
  <c r="B13" i="24"/>
  <c r="E13" i="24"/>
  <c r="B14" i="24"/>
  <c r="E14" i="24" s="1"/>
  <c r="G14" i="24"/>
  <c r="I14" i="24"/>
  <c r="B15" i="24"/>
  <c r="G15" i="24" s="1"/>
  <c r="E15" i="24"/>
  <c r="B16" i="24"/>
  <c r="E16" i="24"/>
  <c r="G16" i="24"/>
  <c r="I16" i="24"/>
  <c r="B17" i="24"/>
  <c r="I17" i="24" s="1"/>
  <c r="B18" i="24"/>
  <c r="E18" i="24" s="1"/>
  <c r="B19" i="24"/>
  <c r="E19" i="24" s="1"/>
  <c r="G19" i="24"/>
  <c r="I19" i="24"/>
  <c r="K21" i="24"/>
  <c r="K22" i="24"/>
  <c r="K23" i="24"/>
  <c r="K24" i="24"/>
  <c r="K25" i="24"/>
  <c r="K26" i="24"/>
  <c r="K27" i="24"/>
  <c r="K28" i="24"/>
  <c r="K29" i="24"/>
  <c r="K30" i="24"/>
  <c r="K31" i="24"/>
  <c r="K32" i="24"/>
  <c r="K33" i="24"/>
  <c r="K34" i="24"/>
  <c r="K35" i="24"/>
  <c r="K36" i="24"/>
  <c r="K37" i="24"/>
  <c r="K38" i="24"/>
  <c r="K39" i="24"/>
  <c r="K40" i="24"/>
  <c r="K41" i="24"/>
  <c r="K42" i="24"/>
  <c r="K43" i="24"/>
  <c r="K44" i="24"/>
  <c r="K45" i="24"/>
  <c r="K46" i="24"/>
  <c r="K47" i="24"/>
  <c r="B51" i="24"/>
  <c r="B52" i="24"/>
  <c r="B53" i="24"/>
  <c r="B54" i="24"/>
  <c r="B55" i="24"/>
  <c r="B56" i="24"/>
  <c r="B57" i="24"/>
  <c r="B58" i="24"/>
  <c r="B59" i="24"/>
  <c r="B60" i="24"/>
  <c r="B61" i="24"/>
  <c r="B62" i="24"/>
  <c r="B63" i="24"/>
  <c r="B64" i="24"/>
  <c r="B65" i="24"/>
  <c r="B66" i="24"/>
  <c r="B67" i="24"/>
  <c r="B68" i="24"/>
  <c r="B69" i="24"/>
  <c r="B70" i="24"/>
  <c r="K11" i="8"/>
  <c r="K12" i="8"/>
  <c r="B13" i="8"/>
  <c r="B14" i="8"/>
  <c r="E14" i="8"/>
  <c r="G14" i="8"/>
  <c r="I14" i="8"/>
  <c r="B15" i="8"/>
  <c r="I15" i="8"/>
  <c r="K16" i="8"/>
  <c r="K17" i="8"/>
  <c r="K18" i="8"/>
  <c r="K19" i="8"/>
  <c r="K20" i="8"/>
  <c r="K21" i="8"/>
  <c r="K22" i="8"/>
  <c r="K23" i="8"/>
  <c r="B27" i="8"/>
  <c r="B28" i="8"/>
  <c r="B29" i="8"/>
  <c r="B30" i="8"/>
  <c r="B31" i="8"/>
  <c r="B32" i="8"/>
  <c r="B33" i="8"/>
  <c r="B34" i="8"/>
  <c r="B35" i="8"/>
  <c r="B36" i="8"/>
  <c r="B37" i="8"/>
  <c r="B38" i="8"/>
  <c r="K11" i="31"/>
  <c r="B12" i="31"/>
  <c r="B13" i="31"/>
  <c r="G13" i="31" s="1"/>
  <c r="E13" i="31"/>
  <c r="B14" i="31"/>
  <c r="G14" i="31"/>
  <c r="B15" i="31"/>
  <c r="E15" i="31"/>
  <c r="G15" i="31"/>
  <c r="I15" i="31"/>
  <c r="B16" i="31"/>
  <c r="I16" i="31" s="1"/>
  <c r="E16" i="31"/>
  <c r="G16" i="31"/>
  <c r="B17" i="31"/>
  <c r="E17" i="31" s="1"/>
  <c r="G17" i="31"/>
  <c r="I17" i="31"/>
  <c r="B18" i="31"/>
  <c r="E18" i="31"/>
  <c r="G18" i="31"/>
  <c r="I18" i="31"/>
  <c r="B19" i="31"/>
  <c r="E19" i="31"/>
  <c r="B20" i="31"/>
  <c r="B21" i="31"/>
  <c r="G21" i="31" s="1"/>
  <c r="E21" i="31"/>
  <c r="I21" i="31"/>
  <c r="B22" i="31"/>
  <c r="E22" i="31"/>
  <c r="G22" i="31"/>
  <c r="I22" i="31"/>
  <c r="B23" i="31"/>
  <c r="B24" i="31"/>
  <c r="I24" i="31" s="1"/>
  <c r="G24" i="31"/>
  <c r="B25" i="31"/>
  <c r="E25" i="31"/>
  <c r="G25" i="31"/>
  <c r="I25" i="31"/>
  <c r="B26" i="31"/>
  <c r="E26" i="31"/>
  <c r="B27" i="31"/>
  <c r="E27" i="31" s="1"/>
  <c r="G27" i="31"/>
  <c r="B28" i="31"/>
  <c r="G28" i="31" s="1"/>
  <c r="E28" i="31"/>
  <c r="I28" i="31"/>
  <c r="B29" i="31"/>
  <c r="E29" i="31"/>
  <c r="G29" i="31"/>
  <c r="I29" i="31"/>
  <c r="B30" i="31"/>
  <c r="G30" i="31"/>
  <c r="I30" i="31"/>
  <c r="B31" i="31"/>
  <c r="G31" i="31"/>
  <c r="I31" i="31"/>
  <c r="B32" i="31"/>
  <c r="E32" i="31"/>
  <c r="G32" i="31"/>
  <c r="I32" i="31"/>
  <c r="B33" i="31"/>
  <c r="E33" i="31"/>
  <c r="B34" i="31"/>
  <c r="E34" i="31" s="1"/>
  <c r="B35" i="31"/>
  <c r="I35" i="31" s="1"/>
  <c r="E35" i="31"/>
  <c r="G35" i="31"/>
  <c r="B36" i="31"/>
  <c r="E36" i="31"/>
  <c r="G36" i="31"/>
  <c r="I36" i="31"/>
  <c r="B37" i="31"/>
  <c r="I37" i="31"/>
  <c r="B38" i="31"/>
  <c r="I38" i="31" s="1"/>
  <c r="E38" i="31"/>
  <c r="G38" i="31"/>
  <c r="B39" i="31"/>
  <c r="G39" i="31" s="1"/>
  <c r="B40" i="31"/>
  <c r="G40" i="31" s="1"/>
  <c r="E40" i="31"/>
  <c r="I40" i="31"/>
  <c r="K41" i="31"/>
  <c r="B45" i="31"/>
  <c r="B46" i="31"/>
  <c r="J46" i="31"/>
  <c r="K46" i="31"/>
  <c r="B47" i="31"/>
  <c r="B48" i="31"/>
  <c r="B49" i="31"/>
  <c r="B50" i="31"/>
  <c r="B51" i="31"/>
  <c r="B52" i="31"/>
  <c r="B53" i="31"/>
  <c r="B54" i="31"/>
  <c r="B55" i="31"/>
  <c r="B56" i="31"/>
  <c r="B57" i="31"/>
  <c r="J57" i="31" s="1"/>
  <c r="K57" i="31" s="1"/>
  <c r="B58" i="31"/>
  <c r="B59" i="31"/>
  <c r="B60" i="31"/>
  <c r="B61" i="31"/>
  <c r="B62" i="31"/>
  <c r="B63" i="31"/>
  <c r="B64" i="31"/>
  <c r="B65" i="31"/>
  <c r="B66" i="31"/>
  <c r="B67" i="31"/>
  <c r="B68" i="31"/>
  <c r="B69" i="31"/>
  <c r="B70" i="31"/>
  <c r="B71" i="31"/>
  <c r="B72" i="31"/>
  <c r="B73" i="31"/>
  <c r="B74" i="31"/>
  <c r="B75" i="31"/>
  <c r="B76" i="31"/>
  <c r="B77" i="31"/>
  <c r="B78" i="31"/>
  <c r="B79" i="31"/>
  <c r="B80" i="31"/>
  <c r="B81" i="31"/>
  <c r="B82" i="31"/>
  <c r="B83" i="31"/>
  <c r="B84" i="31"/>
  <c r="J84" i="31"/>
  <c r="K84" i="31"/>
  <c r="B85" i="31"/>
  <c r="B86" i="31"/>
  <c r="B87" i="31"/>
  <c r="B88" i="31"/>
  <c r="K11" i="34"/>
  <c r="B12" i="34"/>
  <c r="B13" i="34"/>
  <c r="E13" i="34"/>
  <c r="G13" i="34"/>
  <c r="I13" i="34"/>
  <c r="B14" i="34"/>
  <c r="E14" i="34"/>
  <c r="G14" i="34"/>
  <c r="I14" i="34"/>
  <c r="B15" i="34"/>
  <c r="B16" i="34"/>
  <c r="I16" i="34"/>
  <c r="K17" i="34"/>
  <c r="K18" i="34"/>
  <c r="K19" i="34"/>
  <c r="K20" i="34"/>
  <c r="B24" i="34"/>
  <c r="B25" i="34"/>
  <c r="B26" i="34"/>
  <c r="B27" i="34"/>
  <c r="B28" i="34"/>
  <c r="B29" i="34"/>
  <c r="B30" i="34"/>
  <c r="B31" i="34"/>
  <c r="B32" i="34"/>
  <c r="B33" i="34"/>
  <c r="B34" i="34"/>
  <c r="B35" i="34"/>
  <c r="B36" i="34"/>
  <c r="B37" i="34"/>
  <c r="B38" i="34"/>
  <c r="B39" i="34"/>
  <c r="B40" i="34"/>
  <c r="B41" i="34"/>
  <c r="B42" i="34"/>
  <c r="B43" i="34"/>
  <c r="K11" i="15"/>
  <c r="B12" i="15"/>
  <c r="B13" i="15"/>
  <c r="I13" i="15" s="1"/>
  <c r="B14" i="15"/>
  <c r="G14" i="15" s="1"/>
  <c r="B15" i="15"/>
  <c r="I15" i="15" s="1"/>
  <c r="G15" i="15"/>
  <c r="B16" i="15"/>
  <c r="G16" i="15" s="1"/>
  <c r="I16" i="15"/>
  <c r="B17" i="15"/>
  <c r="E17" i="15"/>
  <c r="G17" i="15"/>
  <c r="I17" i="15"/>
  <c r="B18" i="15"/>
  <c r="E18" i="15"/>
  <c r="G18" i="15"/>
  <c r="I18" i="15"/>
  <c r="B19" i="15"/>
  <c r="I19" i="15" s="1"/>
  <c r="B20" i="15"/>
  <c r="I20" i="15" s="1"/>
  <c r="B21" i="15"/>
  <c r="E21" i="15"/>
  <c r="G21" i="15"/>
  <c r="B22" i="15"/>
  <c r="I22" i="15" s="1"/>
  <c r="E22" i="15"/>
  <c r="G22" i="15"/>
  <c r="K23" i="15"/>
  <c r="K24" i="15"/>
  <c r="K25" i="15"/>
  <c r="K26" i="15"/>
  <c r="K27" i="15"/>
  <c r="K28" i="15"/>
  <c r="K29" i="15"/>
  <c r="K30" i="15"/>
  <c r="K31" i="15"/>
  <c r="K32" i="15"/>
  <c r="K33" i="15"/>
  <c r="K34" i="15"/>
  <c r="K35" i="15"/>
  <c r="B39" i="15"/>
  <c r="B40" i="15"/>
  <c r="J40" i="15" s="1"/>
  <c r="K40" i="15" s="1"/>
  <c r="B41" i="15"/>
  <c r="J41" i="15" s="1"/>
  <c r="K41" i="15" s="1"/>
  <c r="B42" i="15"/>
  <c r="B43" i="15"/>
  <c r="B44" i="15"/>
  <c r="B45" i="15"/>
  <c r="B46" i="15"/>
  <c r="B47" i="15"/>
  <c r="B48" i="15"/>
  <c r="B49" i="15"/>
  <c r="B50" i="15"/>
  <c r="B51" i="15"/>
  <c r="B52" i="15"/>
  <c r="B53" i="15"/>
  <c r="B54" i="15"/>
  <c r="B55" i="15"/>
  <c r="B56" i="15"/>
  <c r="B57" i="15"/>
  <c r="B58" i="15"/>
  <c r="J58" i="15"/>
  <c r="K58" i="15" s="1"/>
  <c r="B59" i="15"/>
  <c r="J59" i="15" s="1"/>
  <c r="K59" i="15" s="1"/>
  <c r="B60" i="15"/>
  <c r="J60" i="15" s="1"/>
  <c r="K60" i="15" s="1"/>
  <c r="B61" i="15"/>
  <c r="B62" i="15"/>
  <c r="B63" i="15"/>
  <c r="B64" i="15"/>
  <c r="B65" i="15"/>
  <c r="B66" i="15"/>
  <c r="B67" i="15"/>
  <c r="J67" i="15"/>
  <c r="K67" i="15" s="1"/>
  <c r="B68" i="15"/>
  <c r="B69" i="15"/>
  <c r="B70" i="15"/>
  <c r="B71" i="15"/>
  <c r="B72" i="15"/>
  <c r="B73" i="15"/>
  <c r="B74" i="15"/>
  <c r="B75" i="15"/>
  <c r="B76" i="15"/>
  <c r="B77" i="15"/>
  <c r="B78" i="15"/>
  <c r="B79" i="15"/>
  <c r="B80" i="15"/>
  <c r="B81" i="15"/>
  <c r="B82" i="15"/>
  <c r="B83" i="15"/>
  <c r="B84" i="15"/>
  <c r="B85" i="15"/>
  <c r="B86" i="15"/>
  <c r="B87" i="15"/>
  <c r="B88" i="15"/>
  <c r="B89" i="15"/>
  <c r="B90" i="15"/>
  <c r="B91" i="15"/>
  <c r="B92" i="15"/>
  <c r="B93" i="15"/>
  <c r="B94" i="15"/>
  <c r="B95" i="15"/>
  <c r="B96" i="15"/>
  <c r="B97" i="15"/>
  <c r="B98" i="15"/>
  <c r="B99" i="15"/>
  <c r="B100" i="15"/>
  <c r="B101" i="15"/>
  <c r="B102" i="15"/>
  <c r="B103" i="15"/>
  <c r="B104" i="15"/>
  <c r="B105" i="15"/>
  <c r="B106" i="15"/>
  <c r="B107" i="15"/>
  <c r="B108" i="15"/>
  <c r="B109" i="15"/>
  <c r="B110" i="15"/>
  <c r="B111" i="15"/>
  <c r="B112" i="15"/>
  <c r="B113" i="15"/>
  <c r="B114" i="15"/>
  <c r="B115" i="15"/>
  <c r="B116" i="15"/>
  <c r="B117" i="15"/>
  <c r="J117" i="15"/>
  <c r="K117" i="15"/>
  <c r="B118" i="15"/>
  <c r="J118" i="15"/>
  <c r="K118" i="15" s="1"/>
  <c r="B119" i="15"/>
  <c r="J119" i="15" s="1"/>
  <c r="K119" i="15"/>
  <c r="B120" i="15"/>
  <c r="B121" i="15"/>
  <c r="B122" i="15"/>
  <c r="B123" i="15"/>
  <c r="B124" i="15"/>
  <c r="B125" i="15"/>
  <c r="B126" i="15"/>
  <c r="B127" i="15"/>
  <c r="B128" i="15"/>
  <c r="B129" i="15"/>
  <c r="B130" i="15"/>
  <c r="B131" i="15"/>
  <c r="B132" i="15"/>
  <c r="B133" i="15"/>
  <c r="B134" i="15"/>
  <c r="B135" i="15"/>
  <c r="B136" i="15"/>
  <c r="B137" i="15"/>
  <c r="B138" i="15"/>
  <c r="B139" i="15"/>
  <c r="B140" i="15"/>
  <c r="B141" i="15"/>
  <c r="B142" i="15"/>
  <c r="B143" i="15"/>
  <c r="B144" i="15"/>
  <c r="B145" i="15"/>
  <c r="B146" i="15"/>
  <c r="B147" i="15"/>
  <c r="B148" i="15"/>
  <c r="B149" i="15"/>
  <c r="B150" i="15"/>
  <c r="B151" i="15"/>
  <c r="B152" i="15"/>
  <c r="J152" i="15"/>
  <c r="K152" i="15" s="1"/>
  <c r="B153" i="15"/>
  <c r="J153" i="15" s="1"/>
  <c r="K153" i="15" s="1"/>
  <c r="B154" i="15"/>
  <c r="B155" i="15"/>
  <c r="B156" i="15"/>
  <c r="B157" i="15"/>
  <c r="B158" i="15"/>
  <c r="B159" i="15"/>
  <c r="B160" i="15"/>
  <c r="B161" i="15"/>
  <c r="K11" i="42"/>
  <c r="B12" i="42"/>
  <c r="B13" i="42"/>
  <c r="E13" i="42"/>
  <c r="G13" i="42"/>
  <c r="I13" i="42"/>
  <c r="B14" i="42"/>
  <c r="E14" i="42" s="1"/>
  <c r="G14" i="42"/>
  <c r="I14" i="42"/>
  <c r="B15" i="42"/>
  <c r="I15" i="42"/>
  <c r="B16" i="42"/>
  <c r="G16" i="42" s="1"/>
  <c r="E16" i="42"/>
  <c r="B17" i="42"/>
  <c r="B18" i="42"/>
  <c r="E18" i="42" s="1"/>
  <c r="B19" i="42"/>
  <c r="B20" i="42"/>
  <c r="E20" i="42"/>
  <c r="G20" i="42"/>
  <c r="I20" i="42"/>
  <c r="B21" i="42"/>
  <c r="E21" i="42" s="1"/>
  <c r="G21" i="42"/>
  <c r="I21" i="42"/>
  <c r="B22" i="42"/>
  <c r="I22" i="42"/>
  <c r="B23" i="42"/>
  <c r="G23" i="42" s="1"/>
  <c r="E23" i="42"/>
  <c r="B24" i="42"/>
  <c r="B25" i="42"/>
  <c r="E25" i="42" s="1"/>
  <c r="I25" i="42"/>
  <c r="K26" i="42"/>
  <c r="K27" i="42"/>
  <c r="K28" i="42"/>
  <c r="K29" i="42"/>
  <c r="K30" i="42"/>
  <c r="K31" i="42"/>
  <c r="K32" i="42"/>
  <c r="K33" i="42"/>
  <c r="K34" i="42"/>
  <c r="K35" i="42"/>
  <c r="K36" i="42"/>
  <c r="K37" i="42"/>
  <c r="K38" i="42"/>
  <c r="B42" i="42"/>
  <c r="B43" i="42"/>
  <c r="B44" i="42"/>
  <c r="B45" i="42"/>
  <c r="B46" i="42"/>
  <c r="B47" i="42"/>
  <c r="B48" i="42"/>
  <c r="B49" i="42"/>
  <c r="J49" i="42" s="1"/>
  <c r="K49" i="42" s="1"/>
  <c r="B50" i="42"/>
  <c r="J50" i="42"/>
  <c r="K50" i="42" s="1"/>
  <c r="B51" i="42"/>
  <c r="B52" i="42"/>
  <c r="B53" i="42"/>
  <c r="B54" i="42"/>
  <c r="B55" i="42"/>
  <c r="B56" i="42"/>
  <c r="B57" i="42"/>
  <c r="B58" i="42"/>
  <c r="B59" i="42"/>
  <c r="B60" i="42"/>
  <c r="B61" i="42"/>
  <c r="B62" i="42"/>
  <c r="B63" i="42"/>
  <c r="B64" i="42"/>
  <c r="B65" i="42"/>
  <c r="B66" i="42"/>
  <c r="B67" i="42"/>
  <c r="B68" i="42"/>
  <c r="B69" i="42"/>
  <c r="B70" i="42"/>
  <c r="B71" i="42"/>
  <c r="B72" i="42"/>
  <c r="B73" i="42"/>
  <c r="B74" i="42"/>
  <c r="B75" i="42"/>
  <c r="B76" i="42"/>
  <c r="B77" i="42"/>
  <c r="B78" i="42"/>
  <c r="B79" i="42"/>
  <c r="B80" i="42"/>
  <c r="B81" i="42"/>
  <c r="B82" i="42"/>
  <c r="B83" i="42"/>
  <c r="B84" i="42"/>
  <c r="B85" i="42"/>
  <c r="B86" i="42"/>
  <c r="B87" i="42"/>
  <c r="B88" i="42"/>
  <c r="B89" i="42"/>
  <c r="B90" i="42"/>
  <c r="B91" i="42"/>
  <c r="K11" i="10"/>
  <c r="B12" i="10"/>
  <c r="G12" i="10" s="1"/>
  <c r="E12" i="10"/>
  <c r="B13" i="10"/>
  <c r="E13" i="10" s="1"/>
  <c r="G13" i="10"/>
  <c r="B14" i="10"/>
  <c r="E14" i="10" s="1"/>
  <c r="I14" i="10"/>
  <c r="B15" i="10"/>
  <c r="E15" i="10"/>
  <c r="G15" i="10"/>
  <c r="I15" i="10"/>
  <c r="B16" i="10"/>
  <c r="B17" i="10"/>
  <c r="G17" i="10" s="1"/>
  <c r="I17" i="10"/>
  <c r="B18" i="10"/>
  <c r="E18" i="10"/>
  <c r="G18" i="10"/>
  <c r="I18" i="10"/>
  <c r="B19" i="10"/>
  <c r="E19" i="10" s="1"/>
  <c r="B20" i="10"/>
  <c r="G20" i="10" s="1"/>
  <c r="B21" i="10"/>
  <c r="G21" i="10" s="1"/>
  <c r="I21" i="10"/>
  <c r="B22" i="10"/>
  <c r="E22" i="10"/>
  <c r="G22" i="10"/>
  <c r="I22" i="10"/>
  <c r="B23" i="10"/>
  <c r="I23" i="10"/>
  <c r="B24" i="10"/>
  <c r="E24" i="10"/>
  <c r="B25" i="10"/>
  <c r="B26" i="10"/>
  <c r="E26" i="10" s="1"/>
  <c r="B27" i="10"/>
  <c r="I27" i="10" s="1"/>
  <c r="E27" i="10"/>
  <c r="G27" i="10"/>
  <c r="B28" i="10"/>
  <c r="B29" i="10"/>
  <c r="G29" i="10" s="1"/>
  <c r="E29" i="10"/>
  <c r="B30" i="10"/>
  <c r="E30" i="10"/>
  <c r="G30" i="10"/>
  <c r="I30" i="10"/>
  <c r="B31" i="10"/>
  <c r="G31" i="10" s="1"/>
  <c r="E31" i="10"/>
  <c r="I31" i="10"/>
  <c r="K32" i="10"/>
  <c r="K33" i="10"/>
  <c r="K34" i="10"/>
  <c r="K35" i="10"/>
  <c r="K36" i="10"/>
  <c r="K37" i="10"/>
  <c r="K38" i="10"/>
  <c r="K39" i="10"/>
  <c r="B43" i="10"/>
  <c r="B44" i="10"/>
  <c r="B45" i="10"/>
  <c r="B46" i="10"/>
  <c r="B47" i="10"/>
  <c r="B48" i="10"/>
  <c r="B49" i="10"/>
  <c r="B50" i="10"/>
  <c r="B51" i="10"/>
  <c r="B52" i="10"/>
  <c r="B53" i="10"/>
  <c r="B54" i="10"/>
  <c r="B55" i="10"/>
  <c r="B56" i="10"/>
  <c r="B57" i="10"/>
  <c r="J57" i="10"/>
  <c r="K57" i="10"/>
  <c r="B58" i="10"/>
  <c r="B59" i="10"/>
  <c r="B60" i="10"/>
  <c r="B61" i="10"/>
  <c r="B62" i="10"/>
  <c r="B63" i="10"/>
  <c r="B64" i="10"/>
  <c r="B65" i="10"/>
  <c r="B66" i="10"/>
  <c r="B67" i="10"/>
  <c r="B68" i="10"/>
  <c r="B69" i="10"/>
  <c r="B70" i="10"/>
  <c r="B71" i="10"/>
  <c r="B72" i="10"/>
  <c r="B73" i="10"/>
  <c r="B74" i="10"/>
  <c r="B75" i="10"/>
  <c r="B76" i="10"/>
  <c r="B77" i="10"/>
  <c r="B78" i="10"/>
  <c r="B79" i="10"/>
  <c r="B80" i="10"/>
  <c r="B81" i="10"/>
  <c r="B82" i="10"/>
  <c r="B83" i="10"/>
  <c r="B84" i="10"/>
  <c r="B85" i="10"/>
  <c r="B86" i="10"/>
  <c r="B87" i="10"/>
  <c r="B88" i="10"/>
  <c r="B89" i="10"/>
  <c r="B90" i="10"/>
  <c r="B91" i="10"/>
  <c r="B92" i="10"/>
  <c r="B93" i="10"/>
  <c r="B94" i="10"/>
  <c r="B95" i="10"/>
  <c r="B96" i="10"/>
  <c r="B97" i="10"/>
  <c r="B98" i="10"/>
  <c r="B99" i="10"/>
  <c r="B100" i="10"/>
  <c r="B101" i="10"/>
  <c r="B102" i="10"/>
  <c r="B103" i="10"/>
  <c r="B104" i="10"/>
  <c r="B105" i="10"/>
  <c r="B106" i="10"/>
  <c r="B107" i="10"/>
  <c r="B108" i="10"/>
  <c r="B109" i="10"/>
  <c r="B110" i="10"/>
  <c r="K11" i="19"/>
  <c r="B12" i="19"/>
  <c r="E12" i="19"/>
  <c r="G12" i="19"/>
  <c r="I12" i="19"/>
  <c r="B13" i="19"/>
  <c r="E13" i="19" s="1"/>
  <c r="G13" i="19"/>
  <c r="I13" i="19"/>
  <c r="B14" i="19"/>
  <c r="G14" i="19" s="1"/>
  <c r="E14" i="19"/>
  <c r="I14" i="19"/>
  <c r="B15" i="19"/>
  <c r="E15" i="19" s="1"/>
  <c r="G15" i="19"/>
  <c r="I15" i="19"/>
  <c r="B16" i="19"/>
  <c r="B17" i="19"/>
  <c r="E17" i="19"/>
  <c r="I17" i="19"/>
  <c r="B18" i="19"/>
  <c r="E18" i="19" s="1"/>
  <c r="G18" i="19"/>
  <c r="I18" i="19"/>
  <c r="B19" i="19"/>
  <c r="E19" i="19" s="1"/>
  <c r="G19" i="19"/>
  <c r="B20" i="19"/>
  <c r="E20" i="19" s="1"/>
  <c r="G20" i="19"/>
  <c r="I20" i="19"/>
  <c r="B21" i="19"/>
  <c r="B22" i="19"/>
  <c r="E22" i="19" s="1"/>
  <c r="I22" i="19"/>
  <c r="B23" i="19"/>
  <c r="E23" i="19" s="1"/>
  <c r="B24" i="19"/>
  <c r="E24" i="19" s="1"/>
  <c r="G24" i="19"/>
  <c r="B25" i="19"/>
  <c r="E25" i="19" s="1"/>
  <c r="G25" i="19"/>
  <c r="I25" i="19"/>
  <c r="B26" i="19"/>
  <c r="E26" i="19" s="1"/>
  <c r="B27" i="19"/>
  <c r="B28" i="19"/>
  <c r="K29" i="19"/>
  <c r="K30" i="19"/>
  <c r="K31" i="19"/>
  <c r="B35" i="19"/>
  <c r="B36" i="19"/>
  <c r="B37" i="19"/>
  <c r="B38" i="19"/>
  <c r="B39" i="19"/>
  <c r="B40" i="19"/>
  <c r="B41" i="19"/>
  <c r="B42" i="19"/>
  <c r="B43" i="19"/>
  <c r="B44" i="19"/>
  <c r="B45" i="19"/>
  <c r="B46" i="19"/>
  <c r="B47" i="19"/>
  <c r="B48" i="19"/>
  <c r="J48" i="19"/>
  <c r="K48" i="19" s="1"/>
  <c r="B49" i="19"/>
  <c r="J49" i="19" s="1"/>
  <c r="K49" i="19" s="1"/>
  <c r="B50" i="19"/>
  <c r="B51" i="19"/>
  <c r="B52" i="19"/>
  <c r="K11" i="22"/>
  <c r="B12" i="22"/>
  <c r="G12" i="22" s="1"/>
  <c r="E12" i="22"/>
  <c r="I12" i="22"/>
  <c r="B13" i="22"/>
  <c r="E13" i="22" s="1"/>
  <c r="G13" i="22"/>
  <c r="B14" i="22"/>
  <c r="E14" i="22"/>
  <c r="G14" i="22"/>
  <c r="I14" i="22"/>
  <c r="B15" i="22"/>
  <c r="B16" i="22"/>
  <c r="E16" i="22"/>
  <c r="G16" i="22"/>
  <c r="I16" i="22"/>
  <c r="B17" i="22"/>
  <c r="K18" i="22"/>
  <c r="K19" i="22"/>
  <c r="K20" i="22"/>
  <c r="K21" i="22"/>
  <c r="B25" i="22"/>
  <c r="B26" i="22"/>
  <c r="B27" i="22"/>
  <c r="B28" i="22"/>
  <c r="B29" i="22"/>
  <c r="B30" i="22"/>
  <c r="B31" i="22"/>
  <c r="B32" i="22"/>
  <c r="B33" i="22"/>
  <c r="B34" i="22"/>
  <c r="B35" i="22"/>
  <c r="B36" i="22"/>
  <c r="K11" i="12"/>
  <c r="B12" i="12"/>
  <c r="B13" i="12"/>
  <c r="G13" i="12"/>
  <c r="B14" i="12"/>
  <c r="E14" i="12"/>
  <c r="G14" i="12"/>
  <c r="I14" i="12"/>
  <c r="B15" i="12"/>
  <c r="B16" i="12"/>
  <c r="E16" i="12"/>
  <c r="G16" i="12"/>
  <c r="I16" i="12"/>
  <c r="K17" i="12"/>
  <c r="K18" i="12"/>
  <c r="K19" i="12"/>
  <c r="K20" i="12"/>
  <c r="K21" i="12"/>
  <c r="K22" i="12"/>
  <c r="K23" i="12"/>
  <c r="K24" i="12"/>
  <c r="K25" i="12"/>
  <c r="K26" i="12"/>
  <c r="K27" i="12"/>
  <c r="K31" i="12"/>
  <c r="K32" i="12"/>
  <c r="K33" i="12"/>
  <c r="K34" i="12"/>
  <c r="B38" i="12"/>
  <c r="B39" i="12"/>
  <c r="B40" i="12"/>
  <c r="B41" i="12"/>
  <c r="B42" i="12"/>
  <c r="B43" i="12"/>
  <c r="B44" i="12"/>
  <c r="B45" i="12"/>
  <c r="B46" i="12"/>
  <c r="B47" i="12"/>
  <c r="B48" i="12"/>
  <c r="B49" i="12"/>
  <c r="B50" i="12"/>
  <c r="B51" i="12"/>
  <c r="K11" i="36"/>
  <c r="B12" i="36"/>
  <c r="E12" i="36"/>
  <c r="G12" i="36"/>
  <c r="I12" i="36"/>
  <c r="B13" i="36"/>
  <c r="E13" i="36"/>
  <c r="G13" i="36"/>
  <c r="I13" i="36"/>
  <c r="B14" i="36"/>
  <c r="E14" i="36" s="1"/>
  <c r="G14" i="36"/>
  <c r="I14" i="36"/>
  <c r="B15" i="36"/>
  <c r="I15" i="36" s="1"/>
  <c r="B16" i="36"/>
  <c r="E16" i="36"/>
  <c r="G16" i="36"/>
  <c r="B17" i="36"/>
  <c r="G17" i="36"/>
  <c r="B18" i="36"/>
  <c r="I18" i="36"/>
  <c r="B19" i="36"/>
  <c r="E19" i="36"/>
  <c r="G19" i="36"/>
  <c r="I19" i="36"/>
  <c r="B20" i="36"/>
  <c r="E20" i="36"/>
  <c r="G20" i="36"/>
  <c r="I20" i="36"/>
  <c r="B21" i="36"/>
  <c r="E21" i="36" s="1"/>
  <c r="G21" i="36"/>
  <c r="I21" i="36"/>
  <c r="B22" i="36"/>
  <c r="G22" i="36" s="1"/>
  <c r="E22" i="36"/>
  <c r="I22" i="36"/>
  <c r="B23" i="36"/>
  <c r="E23" i="36"/>
  <c r="G23" i="36"/>
  <c r="B24" i="36"/>
  <c r="E24" i="36"/>
  <c r="G24" i="36"/>
  <c r="I24" i="36"/>
  <c r="B25" i="36"/>
  <c r="I25" i="36" s="1"/>
  <c r="B26" i="36"/>
  <c r="E26" i="36" s="1"/>
  <c r="G26" i="36"/>
  <c r="I26" i="36"/>
  <c r="B27" i="36"/>
  <c r="E27" i="36" s="1"/>
  <c r="G27" i="36"/>
  <c r="I27" i="36"/>
  <c r="B28" i="36"/>
  <c r="G28" i="36" s="1"/>
  <c r="E28" i="36"/>
  <c r="I28" i="36"/>
  <c r="B29" i="36"/>
  <c r="I29" i="36" s="1"/>
  <c r="E29" i="36"/>
  <c r="G29" i="36"/>
  <c r="B30" i="36"/>
  <c r="E30" i="36" s="1"/>
  <c r="B31" i="36"/>
  <c r="I31" i="36" s="1"/>
  <c r="E31" i="36"/>
  <c r="G31" i="36"/>
  <c r="B32" i="36"/>
  <c r="I32" i="36" s="1"/>
  <c r="E32" i="36"/>
  <c r="G32" i="36"/>
  <c r="K33" i="36"/>
  <c r="K34" i="36"/>
  <c r="B38" i="36"/>
  <c r="B39" i="36"/>
  <c r="B40" i="36"/>
  <c r="J40" i="36" s="1"/>
  <c r="K40" i="36" s="1"/>
  <c r="B41" i="36"/>
  <c r="J41" i="36" s="1"/>
  <c r="K41" i="36"/>
  <c r="B42" i="36"/>
  <c r="J42" i="36" s="1"/>
  <c r="K42" i="36"/>
  <c r="B43" i="36"/>
  <c r="J43" i="36"/>
  <c r="K43" i="36" s="1"/>
  <c r="B44" i="36"/>
  <c r="J44" i="36" s="1"/>
  <c r="K44" i="36"/>
  <c r="B45" i="36"/>
  <c r="J45" i="36"/>
  <c r="K45" i="36" s="1"/>
  <c r="B46" i="36"/>
  <c r="J46" i="36"/>
  <c r="K46" i="36" s="1"/>
  <c r="B47" i="36"/>
  <c r="J47" i="36"/>
  <c r="K47" i="36" s="1"/>
  <c r="B48" i="36"/>
  <c r="J48" i="36"/>
  <c r="K48" i="36" s="1"/>
  <c r="B49" i="36"/>
  <c r="J49" i="36"/>
  <c r="K49" i="36" s="1"/>
  <c r="B50" i="36"/>
  <c r="J50" i="36"/>
  <c r="K50" i="36" s="1"/>
  <c r="B51" i="36"/>
  <c r="J51" i="36"/>
  <c r="K51" i="36"/>
  <c r="B52" i="36"/>
  <c r="J52" i="36" s="1"/>
  <c r="K52" i="36"/>
  <c r="B53" i="36"/>
  <c r="J53" i="36" s="1"/>
  <c r="K53" i="36" s="1"/>
  <c r="B54" i="36"/>
  <c r="J54" i="36" s="1"/>
  <c r="K54" i="36" s="1"/>
  <c r="B55" i="36"/>
  <c r="J55" i="36" s="1"/>
  <c r="K55" i="36" s="1"/>
  <c r="B56" i="36"/>
  <c r="B57" i="36"/>
  <c r="B58" i="36"/>
  <c r="J58" i="36"/>
  <c r="K58" i="36"/>
  <c r="B59" i="36"/>
  <c r="J59" i="36"/>
  <c r="K59" i="36" s="1"/>
  <c r="B60" i="36"/>
  <c r="K11" i="44"/>
  <c r="B12" i="44"/>
  <c r="G12" i="44" s="1"/>
  <c r="E12" i="44"/>
  <c r="B13" i="44"/>
  <c r="E13" i="44"/>
  <c r="G13" i="44"/>
  <c r="I13" i="44"/>
  <c r="B14" i="44"/>
  <c r="G14" i="44" s="1"/>
  <c r="I14" i="44"/>
  <c r="B15" i="44"/>
  <c r="B16" i="44"/>
  <c r="E16" i="44" s="1"/>
  <c r="G16" i="44"/>
  <c r="I16" i="44"/>
  <c r="B17" i="44"/>
  <c r="E17" i="44"/>
  <c r="G17" i="44"/>
  <c r="K18" i="44"/>
  <c r="K19" i="44"/>
  <c r="K20" i="44"/>
  <c r="K21" i="44"/>
  <c r="K22" i="44"/>
  <c r="K23" i="44"/>
  <c r="K24" i="44"/>
  <c r="K25" i="44"/>
  <c r="K26" i="44"/>
  <c r="B30" i="44"/>
  <c r="B31" i="44"/>
  <c r="B32" i="44"/>
  <c r="B33" i="44"/>
  <c r="B34" i="44"/>
  <c r="J34" i="44" s="1"/>
  <c r="K34" i="44" s="1"/>
  <c r="B35" i="44"/>
  <c r="B36" i="44"/>
  <c r="B37" i="44"/>
  <c r="B38" i="44"/>
  <c r="B39" i="44"/>
  <c r="B40" i="44"/>
  <c r="B41" i="44"/>
  <c r="B42" i="44"/>
  <c r="B43" i="44"/>
  <c r="B44" i="44"/>
  <c r="B45" i="44"/>
  <c r="B46" i="44"/>
  <c r="B47" i="44"/>
  <c r="B48" i="44"/>
  <c r="B49" i="44"/>
  <c r="B50" i="44"/>
  <c r="B51" i="44"/>
  <c r="B52" i="44"/>
  <c r="B53" i="44"/>
  <c r="B54" i="44"/>
  <c r="B55" i="44"/>
  <c r="B56" i="44"/>
  <c r="B57" i="44"/>
  <c r="B58" i="44"/>
  <c r="B59" i="44"/>
  <c r="B60" i="44"/>
  <c r="B61" i="44"/>
  <c r="B62" i="44"/>
  <c r="B63" i="44"/>
  <c r="B64" i="44"/>
  <c r="B65" i="44"/>
  <c r="B66" i="44"/>
  <c r="B67" i="44"/>
  <c r="B68" i="44"/>
  <c r="B69" i="44"/>
  <c r="B70" i="44"/>
  <c r="B71" i="44"/>
  <c r="B72" i="44"/>
  <c r="B73" i="44"/>
  <c r="B74" i="44"/>
  <c r="B75" i="44"/>
  <c r="B76" i="44"/>
  <c r="B77" i="44"/>
  <c r="B78" i="44"/>
  <c r="B79" i="44"/>
  <c r="B80" i="44"/>
  <c r="B81" i="44"/>
  <c r="B82" i="44"/>
  <c r="B83" i="44"/>
  <c r="B84" i="44"/>
  <c r="B85" i="44"/>
  <c r="B86" i="44"/>
  <c r="B87" i="44"/>
  <c r="B88" i="44"/>
  <c r="B89" i="44"/>
  <c r="B90" i="44"/>
  <c r="B91" i="44"/>
  <c r="B92" i="44"/>
  <c r="B93" i="44"/>
  <c r="B94" i="44"/>
  <c r="B95" i="44"/>
  <c r="B96" i="44"/>
  <c r="B97" i="44"/>
  <c r="B98" i="44"/>
  <c r="B99" i="44"/>
  <c r="B100" i="44"/>
  <c r="B101" i="44"/>
  <c r="B102" i="44"/>
  <c r="B103" i="44"/>
  <c r="B104" i="44"/>
  <c r="K11" i="29"/>
  <c r="B12" i="29"/>
  <c r="E12" i="29"/>
  <c r="G12" i="29"/>
  <c r="I12" i="29"/>
  <c r="B13" i="29"/>
  <c r="I13" i="29" s="1"/>
  <c r="B14" i="29"/>
  <c r="G14" i="29"/>
  <c r="B15" i="29"/>
  <c r="E15" i="29" s="1"/>
  <c r="G15" i="29"/>
  <c r="B16" i="29"/>
  <c r="E16" i="29"/>
  <c r="G16" i="29"/>
  <c r="I16" i="29"/>
  <c r="B17" i="29"/>
  <c r="B18" i="29"/>
  <c r="E18" i="29"/>
  <c r="G18" i="29"/>
  <c r="I18" i="29"/>
  <c r="B19" i="29"/>
  <c r="B20" i="29"/>
  <c r="E20" i="29" s="1"/>
  <c r="G20" i="29"/>
  <c r="I20" i="29"/>
  <c r="B21" i="29"/>
  <c r="G21" i="29"/>
  <c r="I21" i="29"/>
  <c r="B22" i="29"/>
  <c r="E22" i="29"/>
  <c r="G22" i="29"/>
  <c r="B23" i="29"/>
  <c r="E23" i="29"/>
  <c r="G23" i="29"/>
  <c r="I23" i="29"/>
  <c r="B24" i="29"/>
  <c r="G24" i="29" s="1"/>
  <c r="E24" i="29"/>
  <c r="I24" i="29"/>
  <c r="B25" i="29"/>
  <c r="E25" i="29"/>
  <c r="G25" i="29"/>
  <c r="I25" i="29"/>
  <c r="B26" i="29"/>
  <c r="B27" i="29"/>
  <c r="B28" i="29"/>
  <c r="E28" i="29"/>
  <c r="G28" i="29"/>
  <c r="I28" i="29"/>
  <c r="B29" i="29"/>
  <c r="E29" i="29" s="1"/>
  <c r="G29" i="29"/>
  <c r="B30" i="29"/>
  <c r="E30" i="29"/>
  <c r="G30" i="29"/>
  <c r="B31" i="29"/>
  <c r="G31" i="29" s="1"/>
  <c r="B32" i="29"/>
  <c r="E32" i="29"/>
  <c r="G32" i="29"/>
  <c r="I32" i="29"/>
  <c r="B33" i="29"/>
  <c r="B34" i="29"/>
  <c r="K35" i="29"/>
  <c r="K36" i="29"/>
  <c r="K37" i="29"/>
  <c r="B41" i="29"/>
  <c r="B42" i="29"/>
  <c r="J42" i="29" s="1"/>
  <c r="K42" i="29" s="1"/>
  <c r="B43" i="29"/>
  <c r="B44" i="29"/>
  <c r="B45" i="29"/>
  <c r="B46" i="29"/>
  <c r="B47" i="29"/>
  <c r="B48" i="29"/>
  <c r="B49" i="29"/>
  <c r="J49" i="29"/>
  <c r="K49" i="29" s="1"/>
  <c r="B50" i="29"/>
  <c r="B51" i="29"/>
  <c r="B52" i="29"/>
  <c r="B53" i="29"/>
  <c r="B54" i="29"/>
  <c r="B55" i="29"/>
  <c r="B56" i="29"/>
  <c r="B57" i="29"/>
  <c r="B58" i="29"/>
  <c r="B59" i="29"/>
  <c r="B60" i="29"/>
  <c r="B61" i="29"/>
  <c r="B62" i="29"/>
  <c r="B63" i="29"/>
  <c r="B64" i="29"/>
  <c r="B65" i="29"/>
  <c r="B66" i="29"/>
  <c r="B67" i="29"/>
  <c r="B68" i="29"/>
  <c r="B69" i="29"/>
  <c r="B70" i="29"/>
  <c r="B71" i="29"/>
  <c r="B72" i="29"/>
  <c r="B73" i="29"/>
  <c r="B74" i="29"/>
  <c r="B75" i="29"/>
  <c r="B76" i="29"/>
  <c r="B77" i="29"/>
  <c r="B78" i="29"/>
  <c r="B79" i="29"/>
  <c r="B80" i="29"/>
  <c r="B81" i="29"/>
  <c r="B82" i="29"/>
  <c r="B83" i="29"/>
  <c r="B84" i="29"/>
  <c r="B85" i="29"/>
  <c r="B86" i="29"/>
  <c r="B87" i="29"/>
  <c r="B88" i="29"/>
  <c r="B89" i="29"/>
  <c r="B90" i="29"/>
  <c r="B91" i="29"/>
  <c r="B92" i="29"/>
  <c r="B93" i="29"/>
  <c r="B94" i="29"/>
  <c r="B95" i="29"/>
  <c r="B96" i="29"/>
  <c r="B97" i="29"/>
  <c r="B98" i="29"/>
  <c r="B99" i="29"/>
  <c r="B100" i="29"/>
  <c r="B101" i="29"/>
  <c r="J101" i="29" s="1"/>
  <c r="K101" i="29" s="1"/>
  <c r="B102" i="29"/>
  <c r="J102" i="29"/>
  <c r="K102" i="29" s="1"/>
  <c r="B103" i="29"/>
  <c r="J103" i="29"/>
  <c r="K103" i="29"/>
  <c r="B104" i="29"/>
  <c r="J104" i="29" s="1"/>
  <c r="K104" i="29" s="1"/>
  <c r="B105" i="29"/>
  <c r="J105" i="29"/>
  <c r="K105" i="29"/>
  <c r="B106" i="29"/>
  <c r="B107" i="29"/>
  <c r="B108" i="29"/>
  <c r="B109" i="29"/>
  <c r="K11" i="35"/>
  <c r="B12" i="35"/>
  <c r="B13" i="35"/>
  <c r="I13" i="35" s="1"/>
  <c r="E13" i="35"/>
  <c r="G13" i="35"/>
  <c r="B14" i="35"/>
  <c r="G14" i="35" s="1"/>
  <c r="E14" i="35"/>
  <c r="I14" i="35"/>
  <c r="B15" i="35"/>
  <c r="E15" i="35" s="1"/>
  <c r="G15" i="35"/>
  <c r="I15" i="35"/>
  <c r="B16" i="35"/>
  <c r="B17" i="35"/>
  <c r="E17" i="35"/>
  <c r="G17" i="35"/>
  <c r="I17" i="35"/>
  <c r="B18" i="35"/>
  <c r="K19" i="35"/>
  <c r="K20" i="35"/>
  <c r="K21" i="35"/>
  <c r="K22" i="35"/>
  <c r="K23" i="35"/>
  <c r="K24" i="35"/>
  <c r="K25" i="35"/>
  <c r="K26" i="35"/>
  <c r="K27" i="35"/>
  <c r="K28" i="35"/>
  <c r="K29" i="35"/>
  <c r="K30" i="35"/>
  <c r="K31" i="35"/>
  <c r="K32" i="35"/>
  <c r="K33" i="35"/>
  <c r="K34" i="35"/>
  <c r="K35" i="35"/>
  <c r="K36" i="35"/>
  <c r="K37" i="35"/>
  <c r="K38" i="35"/>
  <c r="K39" i="35"/>
  <c r="B43" i="35"/>
  <c r="B44" i="35"/>
  <c r="J44" i="35"/>
  <c r="K44" i="35"/>
  <c r="B45" i="35"/>
  <c r="B46" i="35"/>
  <c r="B47" i="35"/>
  <c r="B48" i="35"/>
  <c r="B49" i="35"/>
  <c r="B50" i="35"/>
  <c r="B51" i="35"/>
  <c r="B52" i="35"/>
  <c r="B53" i="35"/>
  <c r="B54" i="35"/>
  <c r="B55" i="35"/>
  <c r="B56" i="35"/>
  <c r="B57" i="35"/>
  <c r="B58" i="35"/>
  <c r="B59" i="35"/>
  <c r="B60" i="35"/>
  <c r="B61" i="35"/>
  <c r="B62" i="35"/>
  <c r="B63" i="35"/>
  <c r="B64" i="35"/>
  <c r="B65" i="35"/>
  <c r="B66" i="35"/>
  <c r="B67" i="35"/>
  <c r="B68" i="35"/>
  <c r="B69" i="35"/>
  <c r="B70" i="35"/>
  <c r="B71" i="35"/>
  <c r="B72" i="35"/>
  <c r="B73" i="35"/>
  <c r="B74" i="35"/>
  <c r="B75" i="35"/>
  <c r="B76" i="35"/>
  <c r="B77" i="35"/>
  <c r="B78" i="35"/>
  <c r="B79" i="35"/>
  <c r="B80" i="35"/>
  <c r="K11" i="9"/>
  <c r="B12" i="9"/>
  <c r="E12" i="9"/>
  <c r="G12" i="9"/>
  <c r="I12" i="9"/>
  <c r="B13" i="9"/>
  <c r="G13" i="9" s="1"/>
  <c r="B14" i="9"/>
  <c r="B15" i="9"/>
  <c r="B16" i="9"/>
  <c r="I16" i="9" s="1"/>
  <c r="E16" i="9"/>
  <c r="G16" i="9"/>
  <c r="B17" i="9"/>
  <c r="E17" i="9"/>
  <c r="G17" i="9"/>
  <c r="I17" i="9"/>
  <c r="B18" i="9"/>
  <c r="B19" i="9"/>
  <c r="E19" i="9"/>
  <c r="G19" i="9"/>
  <c r="I19" i="9"/>
  <c r="B21" i="9"/>
  <c r="E21" i="9"/>
  <c r="G21" i="9"/>
  <c r="I21" i="9"/>
  <c r="K22" i="9"/>
  <c r="K23" i="9"/>
  <c r="K24" i="9"/>
  <c r="K25" i="9"/>
  <c r="K26" i="9"/>
  <c r="K27" i="9"/>
  <c r="K28" i="9"/>
  <c r="K29" i="9"/>
  <c r="K30" i="9"/>
  <c r="B34" i="9"/>
  <c r="B35" i="9"/>
  <c r="B36" i="9"/>
  <c r="B37" i="9"/>
  <c r="B38" i="9"/>
  <c r="B39" i="9"/>
  <c r="B40" i="9"/>
  <c r="J40" i="9"/>
  <c r="K40" i="9" s="1"/>
  <c r="B41" i="9"/>
  <c r="J41" i="9" s="1"/>
  <c r="K41" i="9" s="1"/>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12" i="25"/>
  <c r="B13" i="25"/>
  <c r="I13" i="25" s="1"/>
  <c r="E13" i="25"/>
  <c r="G13" i="25"/>
  <c r="B14" i="25"/>
  <c r="E14" i="25"/>
  <c r="B15" i="25"/>
  <c r="K16" i="25"/>
  <c r="K17" i="25"/>
  <c r="K18" i="25"/>
  <c r="K19" i="25"/>
  <c r="K20" i="25"/>
  <c r="K21" i="25"/>
  <c r="K22" i="25"/>
  <c r="K23" i="25"/>
  <c r="K24" i="25"/>
  <c r="K25" i="25"/>
  <c r="B29" i="25"/>
  <c r="B30" i="25"/>
  <c r="J30" i="25" s="1"/>
  <c r="K30" i="25" s="1"/>
  <c r="B31" i="25"/>
  <c r="J31" i="25"/>
  <c r="K31" i="25" s="1"/>
  <c r="B32" i="25"/>
  <c r="J32" i="25"/>
  <c r="K32" i="25"/>
  <c r="B33" i="25"/>
  <c r="J33" i="25" s="1"/>
  <c r="K33" i="25" s="1"/>
  <c r="B34" i="25"/>
  <c r="B35" i="25"/>
  <c r="B36" i="25"/>
  <c r="B37" i="25"/>
  <c r="B38" i="25"/>
  <c r="B39" i="25"/>
  <c r="B40" i="25"/>
  <c r="B41" i="25"/>
  <c r="B42" i="25"/>
  <c r="B43" i="25"/>
  <c r="B44" i="25"/>
  <c r="B45" i="25"/>
  <c r="B46" i="25"/>
  <c r="B47" i="25"/>
  <c r="B48" i="25"/>
  <c r="B49" i="25"/>
  <c r="B50" i="25"/>
  <c r="B51" i="25"/>
  <c r="B52" i="25"/>
  <c r="B53" i="25"/>
  <c r="B54" i="25"/>
  <c r="J54" i="25"/>
  <c r="K54" i="25" s="1"/>
  <c r="B55" i="25"/>
  <c r="B56" i="25"/>
  <c r="B57" i="25"/>
  <c r="B58" i="25"/>
  <c r="B59" i="25"/>
  <c r="B60" i="25"/>
  <c r="B61" i="25"/>
  <c r="B62" i="25"/>
  <c r="B63" i="25"/>
  <c r="B64" i="25"/>
  <c r="B65" i="25"/>
  <c r="B66" i="25"/>
  <c r="B67" i="25"/>
  <c r="B68" i="25"/>
  <c r="B69" i="25"/>
  <c r="J69" i="25"/>
  <c r="K69" i="25" s="1"/>
  <c r="B70" i="25"/>
  <c r="J70" i="25" s="1"/>
  <c r="K70" i="25"/>
  <c r="B71" i="25"/>
  <c r="J71" i="25"/>
  <c r="K71" i="25" s="1"/>
  <c r="B72" i="25"/>
  <c r="J72" i="25" s="1"/>
  <c r="K72" i="25"/>
  <c r="B73" i="25"/>
  <c r="J73" i="25" s="1"/>
  <c r="K73" i="25" s="1"/>
  <c r="B74" i="25"/>
  <c r="J74" i="25" s="1"/>
  <c r="K74" i="25" s="1"/>
  <c r="B75" i="25"/>
  <c r="J75" i="25" s="1"/>
  <c r="K75" i="25" s="1"/>
  <c r="B76" i="25"/>
  <c r="J76" i="25"/>
  <c r="K76" i="25"/>
  <c r="B77" i="25"/>
  <c r="B78" i="25"/>
  <c r="J78" i="25" s="1"/>
  <c r="K78" i="25" s="1"/>
  <c r="B79" i="25"/>
  <c r="J79" i="25" s="1"/>
  <c r="K79" i="25" s="1"/>
  <c r="B80" i="25"/>
  <c r="J80" i="25" s="1"/>
  <c r="K80" i="25" s="1"/>
  <c r="B81" i="25"/>
  <c r="J81" i="25"/>
  <c r="K81" i="25"/>
  <c r="B82" i="25"/>
  <c r="B83" i="25"/>
  <c r="B84" i="25"/>
  <c r="J84" i="25" s="1"/>
  <c r="K84" i="25" s="1"/>
  <c r="B85" i="25"/>
  <c r="J85" i="25"/>
  <c r="K85" i="25" s="1"/>
  <c r="B86" i="25"/>
  <c r="B87" i="25"/>
  <c r="B88" i="25"/>
  <c r="B89" i="25"/>
  <c r="B90" i="25"/>
  <c r="B91" i="25"/>
  <c r="B92" i="25"/>
  <c r="B93" i="25"/>
  <c r="B94" i="25"/>
  <c r="B95" i="25"/>
  <c r="B96" i="25"/>
  <c r="B97" i="25"/>
  <c r="B98" i="25"/>
  <c r="B99" i="25"/>
  <c r="J99" i="25"/>
  <c r="K99" i="25"/>
  <c r="B100" i="25"/>
  <c r="J100" i="25" s="1"/>
  <c r="K100" i="25" s="1"/>
  <c r="B101" i="25"/>
  <c r="J101" i="25"/>
  <c r="K101" i="25" s="1"/>
  <c r="B102" i="25"/>
  <c r="B103" i="25"/>
  <c r="B104" i="25"/>
  <c r="B105" i="25"/>
  <c r="B106" i="25"/>
  <c r="B107" i="25"/>
  <c r="B108" i="25"/>
  <c r="B109" i="25"/>
  <c r="J109" i="25"/>
  <c r="K109" i="25" s="1"/>
  <c r="B110" i="25"/>
  <c r="J110" i="25"/>
  <c r="K110" i="25"/>
  <c r="B111" i="25"/>
  <c r="J111" i="25"/>
  <c r="K111" i="25" s="1"/>
  <c r="B112" i="25"/>
  <c r="J112" i="25"/>
  <c r="K112" i="25" s="1"/>
  <c r="B113" i="25"/>
  <c r="B114" i="25"/>
  <c r="J114" i="25"/>
  <c r="K114" i="25" s="1"/>
  <c r="B115" i="25"/>
  <c r="B116" i="25"/>
  <c r="B117" i="25"/>
  <c r="B118" i="25"/>
  <c r="B119" i="25"/>
  <c r="B120" i="25"/>
  <c r="B121" i="25"/>
  <c r="B122" i="25"/>
  <c r="B123" i="25"/>
  <c r="B124" i="25"/>
  <c r="B125" i="25"/>
  <c r="B126" i="25"/>
  <c r="B127" i="25"/>
  <c r="B128" i="25"/>
  <c r="B129" i="25"/>
  <c r="B130" i="25"/>
  <c r="B131" i="25"/>
  <c r="B132" i="25"/>
  <c r="B133" i="25"/>
  <c r="B134" i="25"/>
  <c r="B135" i="25"/>
  <c r="B136" i="25"/>
  <c r="B137" i="25"/>
  <c r="B138" i="25"/>
  <c r="B139" i="25"/>
  <c r="B140" i="25"/>
  <c r="J140" i="25" s="1"/>
  <c r="K140" i="25" s="1"/>
  <c r="B141" i="25"/>
  <c r="J141" i="25"/>
  <c r="K141" i="25" s="1"/>
  <c r="B142" i="25"/>
  <c r="B143" i="25"/>
  <c r="B144" i="25"/>
  <c r="B145" i="25"/>
  <c r="B146" i="25"/>
  <c r="B147" i="25"/>
  <c r="B148" i="25"/>
  <c r="B149" i="25"/>
  <c r="B150" i="25"/>
  <c r="B151" i="25"/>
  <c r="B152" i="25"/>
  <c r="B153" i="25"/>
  <c r="B154" i="25"/>
  <c r="B155" i="25"/>
  <c r="B156" i="25"/>
  <c r="B157" i="25"/>
  <c r="B158" i="25"/>
  <c r="B159" i="25"/>
  <c r="B160" i="25"/>
  <c r="B161" i="25"/>
  <c r="B162" i="25"/>
  <c r="B163" i="25"/>
  <c r="B164" i="25"/>
  <c r="B165" i="25"/>
  <c r="B166" i="25"/>
  <c r="B167" i="25"/>
  <c r="B168" i="25"/>
  <c r="B169" i="25"/>
  <c r="B170" i="25"/>
  <c r="B171" i="25"/>
  <c r="B172" i="25"/>
  <c r="B173" i="25"/>
  <c r="K11" i="23"/>
  <c r="B12" i="23"/>
  <c r="B13" i="23"/>
  <c r="E13" i="23"/>
  <c r="G13" i="23"/>
  <c r="I13" i="23"/>
  <c r="B14" i="23"/>
  <c r="G14" i="23" s="1"/>
  <c r="B15" i="23"/>
  <c r="B16" i="23"/>
  <c r="E16" i="23"/>
  <c r="G16" i="23"/>
  <c r="I16" i="23"/>
  <c r="B17" i="23"/>
  <c r="E17" i="23"/>
  <c r="G17" i="23"/>
  <c r="I17" i="23"/>
  <c r="B18" i="23"/>
  <c r="E18" i="23"/>
  <c r="G18" i="23"/>
  <c r="I18" i="23"/>
  <c r="B19" i="23"/>
  <c r="B20" i="23"/>
  <c r="B21" i="23"/>
  <c r="B22" i="23"/>
  <c r="G22" i="23"/>
  <c r="I22" i="23"/>
  <c r="B23" i="23"/>
  <c r="I23" i="23" s="1"/>
  <c r="B24" i="23"/>
  <c r="E24" i="23"/>
  <c r="G24" i="23"/>
  <c r="I24" i="23"/>
  <c r="B25" i="23"/>
  <c r="B26" i="23"/>
  <c r="E26" i="23" s="1"/>
  <c r="I26" i="23"/>
  <c r="B27" i="23"/>
  <c r="B28" i="23"/>
  <c r="B29" i="23"/>
  <c r="E29" i="23" s="1"/>
  <c r="B30" i="23"/>
  <c r="G30" i="23"/>
  <c r="I30" i="23"/>
  <c r="B31" i="23"/>
  <c r="E31" i="23"/>
  <c r="G31" i="23"/>
  <c r="I31" i="23"/>
  <c r="B32" i="23"/>
  <c r="J32" i="23" s="1"/>
  <c r="B33" i="23"/>
  <c r="G33" i="23"/>
  <c r="B34" i="23"/>
  <c r="E34" i="23" s="1"/>
  <c r="G34" i="23"/>
  <c r="I34" i="23"/>
  <c r="K35" i="23"/>
  <c r="K36" i="23"/>
  <c r="K37" i="23"/>
  <c r="K38" i="23"/>
  <c r="K39" i="23"/>
  <c r="K40" i="23"/>
  <c r="K41" i="23"/>
  <c r="K42" i="23"/>
  <c r="K43" i="23"/>
  <c r="K44" i="23"/>
  <c r="K45" i="23"/>
  <c r="K46" i="23"/>
  <c r="K47" i="23"/>
  <c r="K48" i="23"/>
  <c r="K49" i="23"/>
  <c r="B53" i="23"/>
  <c r="B54" i="23"/>
  <c r="B55" i="23"/>
  <c r="J55" i="23"/>
  <c r="K55" i="23" s="1"/>
  <c r="B56" i="23"/>
  <c r="J56" i="23" s="1"/>
  <c r="K56" i="23" s="1"/>
  <c r="B57" i="23"/>
  <c r="B58" i="23"/>
  <c r="B59" i="23"/>
  <c r="B60" i="23"/>
  <c r="B61" i="23"/>
  <c r="J61" i="23" s="1"/>
  <c r="K61" i="23"/>
  <c r="B62" i="23"/>
  <c r="J62" i="23" s="1"/>
  <c r="K62" i="23" s="1"/>
  <c r="B63" i="23"/>
  <c r="J63" i="23"/>
  <c r="K63" i="23" s="1"/>
  <c r="B64" i="23"/>
  <c r="J64" i="23" s="1"/>
  <c r="K64" i="23" s="1"/>
  <c r="B65" i="23"/>
  <c r="B66" i="23"/>
  <c r="B67" i="23"/>
  <c r="B68" i="23"/>
  <c r="B69" i="23"/>
  <c r="B70" i="23"/>
  <c r="B71" i="23"/>
  <c r="B72" i="23"/>
  <c r="B73" i="23"/>
  <c r="B74" i="23"/>
  <c r="B75" i="23"/>
  <c r="B76" i="23"/>
  <c r="B77" i="23"/>
  <c r="B78" i="23"/>
  <c r="B79" i="23"/>
  <c r="B80" i="23"/>
  <c r="B81" i="23"/>
  <c r="B82" i="23"/>
  <c r="B83" i="23"/>
  <c r="B84" i="23"/>
  <c r="B85" i="23"/>
  <c r="B86" i="23"/>
  <c r="B87" i="23"/>
  <c r="B88" i="23"/>
  <c r="B89" i="23"/>
  <c r="B90" i="23"/>
  <c r="K11" i="20"/>
  <c r="B12" i="20"/>
  <c r="B13" i="20"/>
  <c r="G13" i="20" s="1"/>
  <c r="B14" i="20"/>
  <c r="E14" i="20" s="1"/>
  <c r="I14" i="20"/>
  <c r="B15" i="20"/>
  <c r="E15" i="20"/>
  <c r="G15" i="20"/>
  <c r="I15" i="20"/>
  <c r="B16" i="20"/>
  <c r="G16" i="20" s="1"/>
  <c r="B17" i="20"/>
  <c r="B18" i="20"/>
  <c r="G18" i="20"/>
  <c r="I18" i="20"/>
  <c r="B19" i="20"/>
  <c r="I19" i="20" s="1"/>
  <c r="B20" i="20"/>
  <c r="E20" i="20"/>
  <c r="G20" i="20"/>
  <c r="I20" i="20"/>
  <c r="B21" i="20"/>
  <c r="E21" i="20"/>
  <c r="G21" i="20"/>
  <c r="I21" i="20"/>
  <c r="B22" i="20"/>
  <c r="E22" i="20"/>
  <c r="G22" i="20"/>
  <c r="I22" i="20"/>
  <c r="B23" i="20"/>
  <c r="G23" i="20"/>
  <c r="I23" i="20"/>
  <c r="B24" i="20"/>
  <c r="E24" i="20" s="1"/>
  <c r="B25" i="20"/>
  <c r="E25" i="20"/>
  <c r="G25" i="20"/>
  <c r="I25" i="20"/>
  <c r="B26" i="20"/>
  <c r="I26" i="20" s="1"/>
  <c r="E26" i="20"/>
  <c r="G26" i="20"/>
  <c r="B27" i="20"/>
  <c r="B28" i="20"/>
  <c r="E28" i="20"/>
  <c r="G28" i="20"/>
  <c r="I28" i="20"/>
  <c r="B29" i="20"/>
  <c r="E29" i="20"/>
  <c r="G29" i="20"/>
  <c r="I29" i="20"/>
  <c r="B30" i="20"/>
  <c r="G30" i="20" s="1"/>
  <c r="E30" i="20"/>
  <c r="I30" i="20"/>
  <c r="B31" i="20"/>
  <c r="E31" i="20" s="1"/>
  <c r="I31" i="20"/>
  <c r="B32" i="20"/>
  <c r="B33" i="20"/>
  <c r="I33" i="20" s="1"/>
  <c r="G33" i="20"/>
  <c r="B34" i="20"/>
  <c r="I34" i="20" s="1"/>
  <c r="G34" i="20"/>
  <c r="K35" i="20"/>
  <c r="B39" i="20"/>
  <c r="B40" i="20"/>
  <c r="J40" i="20" s="1"/>
  <c r="K40" i="20"/>
  <c r="B41" i="20"/>
  <c r="J41" i="20"/>
  <c r="K41" i="20" s="1"/>
  <c r="B42" i="20"/>
  <c r="B43" i="20"/>
  <c r="B44" i="20"/>
  <c r="B45" i="20"/>
  <c r="B46" i="20"/>
  <c r="B47" i="20"/>
  <c r="J47" i="20" s="1"/>
  <c r="K47" i="20"/>
  <c r="B48" i="20"/>
  <c r="B49" i="20"/>
  <c r="B50" i="20"/>
  <c r="B51" i="20"/>
  <c r="B52" i="20"/>
  <c r="B53" i="20"/>
  <c r="B54" i="20"/>
  <c r="B55" i="20"/>
  <c r="B56" i="20"/>
  <c r="B57" i="20"/>
  <c r="B58" i="20"/>
  <c r="B59" i="20"/>
  <c r="B60" i="20"/>
  <c r="B61" i="20"/>
  <c r="B62" i="20"/>
  <c r="B63" i="20"/>
  <c r="B64" i="20"/>
  <c r="B65" i="20"/>
  <c r="B66" i="20"/>
  <c r="B67" i="20"/>
  <c r="B68" i="20"/>
  <c r="B69" i="20"/>
  <c r="B70" i="20"/>
  <c r="B71" i="20"/>
  <c r="B72" i="20"/>
  <c r="B73" i="20"/>
  <c r="B74" i="20"/>
  <c r="B75" i="20"/>
  <c r="B76" i="20"/>
  <c r="B77" i="20"/>
  <c r="B78" i="20"/>
  <c r="B79" i="20"/>
  <c r="B80" i="20"/>
  <c r="B81" i="20"/>
  <c r="B82" i="20"/>
  <c r="B83" i="20"/>
  <c r="B84" i="20"/>
  <c r="B85" i="20"/>
  <c r="B86" i="20"/>
  <c r="B87" i="20"/>
  <c r="B88" i="20"/>
  <c r="B89" i="20"/>
  <c r="B90" i="20"/>
  <c r="B91" i="20"/>
  <c r="B92" i="20"/>
  <c r="B93" i="20"/>
  <c r="B94" i="20"/>
  <c r="B95" i="20"/>
  <c r="B96" i="20"/>
  <c r="B97" i="20"/>
  <c r="B98" i="20"/>
  <c r="B99" i="20"/>
  <c r="B100" i="20"/>
  <c r="B101" i="20"/>
  <c r="B102" i="20"/>
  <c r="K11" i="21"/>
  <c r="B12" i="21"/>
  <c r="E12" i="21"/>
  <c r="G12" i="21"/>
  <c r="B13" i="21"/>
  <c r="G13" i="21"/>
  <c r="I13" i="21"/>
  <c r="B14" i="21"/>
  <c r="G14" i="21" s="1"/>
  <c r="B15" i="21"/>
  <c r="G15" i="21"/>
  <c r="I15" i="21"/>
  <c r="B16" i="21"/>
  <c r="E16" i="21"/>
  <c r="G16" i="21"/>
  <c r="I16" i="21"/>
  <c r="B17" i="21"/>
  <c r="I17" i="21" s="1"/>
  <c r="B18" i="21"/>
  <c r="E18" i="21"/>
  <c r="B19" i="21"/>
  <c r="E19" i="21"/>
  <c r="G19" i="21"/>
  <c r="I19" i="21"/>
  <c r="B21" i="21"/>
  <c r="B22" i="21"/>
  <c r="G22" i="21" s="1"/>
  <c r="E22" i="21"/>
  <c r="I22" i="21"/>
  <c r="B23" i="21"/>
  <c r="I23" i="21" s="1"/>
  <c r="E23" i="21"/>
  <c r="G23" i="21"/>
  <c r="B24" i="21"/>
  <c r="E24" i="21" s="1"/>
  <c r="I24" i="21"/>
  <c r="B25" i="21"/>
  <c r="E25" i="21"/>
  <c r="G25" i="21"/>
  <c r="I25" i="21"/>
  <c r="B26" i="21"/>
  <c r="G26" i="21"/>
  <c r="B27" i="21"/>
  <c r="E27" i="21"/>
  <c r="G27" i="21"/>
  <c r="I27" i="21"/>
  <c r="B28" i="21"/>
  <c r="E28" i="21"/>
  <c r="G28" i="21"/>
  <c r="I28" i="21"/>
  <c r="B29" i="21"/>
  <c r="B30" i="21"/>
  <c r="E30" i="21" s="1"/>
  <c r="G30" i="21"/>
  <c r="B31" i="21"/>
  <c r="E31" i="21" s="1"/>
  <c r="G31" i="21"/>
  <c r="I31" i="21"/>
  <c r="B32" i="21"/>
  <c r="B33" i="21"/>
  <c r="E33" i="21"/>
  <c r="G33" i="21"/>
  <c r="I33" i="21"/>
  <c r="B34" i="21"/>
  <c r="E34" i="21"/>
  <c r="G34" i="21"/>
  <c r="I34" i="21"/>
  <c r="B35" i="21"/>
  <c r="E35" i="21"/>
  <c r="G35" i="21"/>
  <c r="I35" i="21"/>
  <c r="B36" i="21"/>
  <c r="G36" i="21" s="1"/>
  <c r="E36" i="21"/>
  <c r="I36" i="21"/>
  <c r="B37" i="21"/>
  <c r="B38" i="21"/>
  <c r="G38" i="21" s="1"/>
  <c r="E38" i="21"/>
  <c r="I38" i="21"/>
  <c r="B39" i="21"/>
  <c r="E39" i="21"/>
  <c r="G39" i="21"/>
  <c r="I39" i="21"/>
  <c r="B40" i="21"/>
  <c r="E40" i="21"/>
  <c r="G40" i="21"/>
  <c r="I40" i="21"/>
  <c r="B41" i="21"/>
  <c r="E41" i="21"/>
  <c r="G41" i="21"/>
  <c r="I41" i="21"/>
  <c r="B42" i="21"/>
  <c r="B43" i="21"/>
  <c r="E43" i="21"/>
  <c r="G43" i="21"/>
  <c r="I43" i="21"/>
  <c r="B44" i="21"/>
  <c r="E44" i="21"/>
  <c r="G44" i="21"/>
  <c r="I44" i="21"/>
  <c r="B45" i="21"/>
  <c r="G45" i="21" s="1"/>
  <c r="E45" i="21"/>
  <c r="I45" i="21"/>
  <c r="B46" i="21"/>
  <c r="E46" i="21"/>
  <c r="G46" i="21"/>
  <c r="I46" i="21"/>
  <c r="B47" i="21"/>
  <c r="B48" i="21"/>
  <c r="E48" i="21" s="1"/>
  <c r="B49" i="21"/>
  <c r="E49" i="21"/>
  <c r="G49" i="21"/>
  <c r="I49" i="21"/>
  <c r="B50" i="21"/>
  <c r="E50" i="21"/>
  <c r="G50" i="21"/>
  <c r="I50" i="21"/>
  <c r="B51" i="21"/>
  <c r="E51" i="21"/>
  <c r="G51" i="21"/>
  <c r="I51" i="21"/>
  <c r="B52" i="21"/>
  <c r="B53" i="21"/>
  <c r="E53" i="21"/>
  <c r="B54" i="21"/>
  <c r="E54" i="21"/>
  <c r="G54" i="21"/>
  <c r="I54" i="21"/>
  <c r="B55" i="21"/>
  <c r="G55" i="21"/>
  <c r="B56" i="21"/>
  <c r="E56" i="21"/>
  <c r="G56" i="21"/>
  <c r="I56" i="21"/>
  <c r="B57" i="21"/>
  <c r="B58" i="21"/>
  <c r="E58" i="21"/>
  <c r="B59" i="21"/>
  <c r="G59" i="21" s="1"/>
  <c r="E59" i="21"/>
  <c r="I59" i="21"/>
  <c r="K60" i="21"/>
  <c r="K61" i="21"/>
  <c r="K62" i="21"/>
  <c r="K63" i="21"/>
  <c r="B67" i="21"/>
  <c r="B68" i="21"/>
  <c r="J68" i="21" s="1"/>
  <c r="K68" i="21"/>
  <c r="B69" i="21"/>
  <c r="J69" i="21" s="1"/>
  <c r="K69" i="21" s="1"/>
  <c r="B70" i="21"/>
  <c r="J70" i="21"/>
  <c r="K70" i="21"/>
  <c r="B71" i="21"/>
  <c r="J71" i="21"/>
  <c r="K71" i="21" s="1"/>
  <c r="B72" i="21"/>
  <c r="J72" i="21"/>
  <c r="K72" i="21" s="1"/>
  <c r="B73" i="21"/>
  <c r="B74" i="21"/>
  <c r="B75" i="21"/>
  <c r="B76" i="21"/>
  <c r="B77" i="21"/>
  <c r="B78" i="21"/>
  <c r="B79" i="21"/>
  <c r="B80" i="21"/>
  <c r="B81" i="21"/>
  <c r="B82" i="21"/>
  <c r="B83" i="21"/>
  <c r="B84" i="21"/>
  <c r="B85" i="21"/>
  <c r="B86" i="21"/>
  <c r="J86" i="21" s="1"/>
  <c r="K86" i="21" s="1"/>
  <c r="B87" i="21"/>
  <c r="J87" i="21"/>
  <c r="K87" i="21"/>
  <c r="B88" i="21"/>
  <c r="J88" i="21"/>
  <c r="K88" i="21" s="1"/>
  <c r="B89" i="21"/>
  <c r="B90" i="21"/>
  <c r="B91" i="21"/>
  <c r="B92" i="21"/>
  <c r="B93" i="21"/>
  <c r="B94" i="21"/>
  <c r="B95" i="21"/>
  <c r="B96" i="21"/>
  <c r="B97" i="21"/>
  <c r="B98" i="21"/>
  <c r="B99" i="21"/>
  <c r="B100" i="21"/>
  <c r="B101" i="21"/>
  <c r="B102" i="21"/>
  <c r="B103" i="21"/>
  <c r="B104" i="21"/>
  <c r="B105" i="21"/>
  <c r="B106" i="21"/>
  <c r="B107" i="21"/>
  <c r="B108" i="21"/>
  <c r="B109" i="21"/>
  <c r="B110" i="21"/>
  <c r="B111" i="21"/>
  <c r="B112" i="21"/>
  <c r="K11" i="27"/>
  <c r="K12" i="27"/>
  <c r="K13" i="27"/>
  <c r="K14" i="27"/>
  <c r="K15" i="27"/>
  <c r="K16" i="27"/>
  <c r="K17" i="27"/>
  <c r="K18" i="27"/>
  <c r="K19" i="27"/>
  <c r="K20" i="27"/>
  <c r="K21" i="27"/>
  <c r="K22" i="27"/>
  <c r="K23" i="27"/>
  <c r="K24" i="27"/>
  <c r="K25" i="27"/>
  <c r="K26" i="27"/>
  <c r="K27" i="27"/>
  <c r="K28" i="27"/>
  <c r="K29" i="27"/>
  <c r="K30" i="27"/>
  <c r="K31" i="27"/>
  <c r="K32" i="27"/>
  <c r="K33" i="27"/>
  <c r="B37" i="27"/>
  <c r="B38" i="27"/>
  <c r="B39" i="27"/>
  <c r="B40" i="27"/>
  <c r="B41" i="27"/>
  <c r="B42" i="27"/>
  <c r="B43" i="27"/>
  <c r="B44" i="27"/>
  <c r="B45" i="27"/>
  <c r="B46" i="27"/>
  <c r="B47" i="27"/>
  <c r="B48" i="27"/>
  <c r="B49" i="27"/>
  <c r="B50" i="27"/>
  <c r="B51" i="27"/>
  <c r="B52" i="27"/>
  <c r="B53" i="27"/>
  <c r="B54" i="27"/>
  <c r="B55" i="27"/>
  <c r="B56" i="27"/>
  <c r="B57" i="27"/>
  <c r="B58" i="27"/>
  <c r="B59" i="27"/>
  <c r="B60" i="27"/>
  <c r="B61" i="27"/>
  <c r="B62" i="27"/>
  <c r="B63" i="27"/>
  <c r="B64" i="27"/>
  <c r="B65" i="27"/>
  <c r="B66" i="27"/>
  <c r="B67" i="27"/>
  <c r="B68" i="27"/>
  <c r="B69" i="27"/>
  <c r="B70" i="27"/>
  <c r="B71" i="27"/>
  <c r="B72" i="27"/>
  <c r="B73" i="27"/>
  <c r="B74" i="27"/>
  <c r="B75" i="27"/>
  <c r="B76" i="27"/>
  <c r="B77" i="27"/>
  <c r="B78" i="27"/>
  <c r="B79" i="27"/>
  <c r="B80" i="27"/>
  <c r="B81" i="27"/>
  <c r="B82" i="27"/>
  <c r="B83" i="27"/>
  <c r="B84" i="27"/>
  <c r="B85" i="27"/>
  <c r="B86" i="27"/>
  <c r="B87" i="27"/>
  <c r="B88" i="27"/>
  <c r="B89" i="27"/>
  <c r="B90" i="27"/>
  <c r="B91" i="27"/>
  <c r="B92" i="27"/>
  <c r="B93" i="27"/>
  <c r="B94" i="27"/>
  <c r="B95" i="27"/>
  <c r="B96" i="27"/>
  <c r="B97" i="27"/>
  <c r="B98" i="27"/>
  <c r="B99" i="27"/>
  <c r="B100" i="27"/>
  <c r="B101" i="27"/>
  <c r="B102" i="27"/>
  <c r="B103" i="27"/>
  <c r="B104" i="27"/>
  <c r="B105" i="27"/>
  <c r="B106" i="27"/>
  <c r="K11" i="18"/>
  <c r="K12" i="18"/>
  <c r="K13" i="18"/>
  <c r="K14" i="18"/>
  <c r="K15" i="18"/>
  <c r="K16" i="18"/>
  <c r="K17" i="18"/>
  <c r="K18" i="18"/>
  <c r="K19" i="18"/>
  <c r="K20" i="18"/>
  <c r="K21" i="18"/>
  <c r="K22" i="18"/>
  <c r="K23" i="18"/>
  <c r="K24" i="18"/>
  <c r="K25" i="18"/>
  <c r="K26" i="18"/>
  <c r="K27" i="18"/>
  <c r="K28" i="18"/>
  <c r="K29" i="18"/>
  <c r="K30" i="18"/>
  <c r="K31" i="18"/>
  <c r="K32" i="18"/>
  <c r="K33" i="18"/>
  <c r="K34" i="18"/>
  <c r="K35" i="18"/>
  <c r="K36" i="18"/>
  <c r="K37" i="18"/>
  <c r="K38" i="18"/>
  <c r="K39" i="18"/>
  <c r="K40" i="18"/>
  <c r="K41" i="18"/>
  <c r="B45" i="18"/>
  <c r="B46" i="18"/>
  <c r="B47" i="18"/>
  <c r="B48" i="18"/>
  <c r="B49" i="18"/>
  <c r="B50" i="18"/>
  <c r="B51" i="18"/>
  <c r="B52" i="18"/>
  <c r="B53" i="18"/>
  <c r="B54" i="18"/>
  <c r="B55" i="18"/>
  <c r="B56" i="18"/>
  <c r="B57" i="18"/>
  <c r="B58" i="18"/>
  <c r="B59" i="18"/>
  <c r="B60" i="18"/>
  <c r="B61" i="18"/>
  <c r="B62" i="18"/>
  <c r="B63" i="18"/>
  <c r="B64" i="18"/>
  <c r="B4" i="40"/>
  <c r="C4" i="40"/>
  <c r="D4" i="40"/>
  <c r="E4" i="40"/>
  <c r="F4" i="40"/>
  <c r="G4" i="40"/>
  <c r="H4" i="40"/>
  <c r="I4" i="40"/>
  <c r="J4" i="40"/>
  <c r="K4" i="40"/>
  <c r="L4" i="40"/>
  <c r="M4" i="40"/>
  <c r="N4" i="40"/>
  <c r="O4" i="40"/>
  <c r="P4" i="40"/>
  <c r="Q4" i="40"/>
  <c r="R4" i="40"/>
  <c r="S4" i="40"/>
  <c r="T4" i="40"/>
  <c r="U4" i="40"/>
  <c r="V4" i="40"/>
  <c r="W4" i="40"/>
  <c r="X4" i="40"/>
  <c r="Y4" i="40"/>
  <c r="Z4" i="40"/>
  <c r="AA4" i="40"/>
  <c r="AB4" i="40"/>
  <c r="AC4" i="40"/>
  <c r="AD4" i="40"/>
  <c r="AE4" i="40"/>
  <c r="AF4" i="40"/>
  <c r="AG4" i="40"/>
  <c r="AH4" i="40"/>
  <c r="AI4" i="40"/>
  <c r="AJ4" i="40"/>
  <c r="B5" i="40"/>
  <c r="C5" i="40"/>
  <c r="D5" i="40"/>
  <c r="E5" i="40"/>
  <c r="F5" i="40"/>
  <c r="G5" i="40"/>
  <c r="H5" i="40"/>
  <c r="I5" i="40"/>
  <c r="J5" i="40"/>
  <c r="K5" i="40"/>
  <c r="L5" i="40"/>
  <c r="M5" i="40"/>
  <c r="N5" i="40"/>
  <c r="O5" i="40"/>
  <c r="P5" i="40"/>
  <c r="Q5" i="40"/>
  <c r="R5" i="40"/>
  <c r="S5" i="40"/>
  <c r="T5" i="40"/>
  <c r="U5" i="40"/>
  <c r="V5" i="40"/>
  <c r="W5" i="40"/>
  <c r="X5" i="40"/>
  <c r="Y5" i="40"/>
  <c r="Z5" i="40"/>
  <c r="AA5" i="40"/>
  <c r="AB5" i="40"/>
  <c r="AC5" i="40"/>
  <c r="AD5" i="40"/>
  <c r="AE5" i="40"/>
  <c r="AF5" i="40"/>
  <c r="AG5" i="40"/>
  <c r="AH5" i="40"/>
  <c r="AI5" i="40"/>
  <c r="AJ5" i="40"/>
  <c r="B6" i="40"/>
  <c r="C6" i="40"/>
  <c r="D6" i="40"/>
  <c r="E6" i="40"/>
  <c r="F6" i="40"/>
  <c r="G6" i="40"/>
  <c r="H6" i="40"/>
  <c r="I6" i="40"/>
  <c r="J6" i="40"/>
  <c r="K6" i="40"/>
  <c r="L6" i="40"/>
  <c r="M6" i="40"/>
  <c r="N6" i="40"/>
  <c r="O6" i="40"/>
  <c r="P6" i="40"/>
  <c r="Q6" i="40"/>
  <c r="R6" i="40"/>
  <c r="S6" i="40"/>
  <c r="T6" i="40"/>
  <c r="U6" i="40"/>
  <c r="V6" i="40"/>
  <c r="W6" i="40"/>
  <c r="X6" i="40"/>
  <c r="Y6" i="40"/>
  <c r="Z6" i="40"/>
  <c r="AA6" i="40"/>
  <c r="AB6" i="40"/>
  <c r="AC6" i="40"/>
  <c r="AD6" i="40"/>
  <c r="AE6" i="40"/>
  <c r="AF6" i="40"/>
  <c r="AG6" i="40"/>
  <c r="AH6" i="40"/>
  <c r="AI6" i="40"/>
  <c r="AJ6" i="40"/>
  <c r="B7" i="40"/>
  <c r="C7" i="40"/>
  <c r="D7" i="40"/>
  <c r="E7" i="40"/>
  <c r="F7" i="40"/>
  <c r="G7" i="40"/>
  <c r="H7" i="40"/>
  <c r="I7" i="40"/>
  <c r="J7" i="40"/>
  <c r="K7" i="40"/>
  <c r="L7" i="40"/>
  <c r="M7" i="40"/>
  <c r="N7" i="40"/>
  <c r="O7" i="40"/>
  <c r="P7" i="40"/>
  <c r="Q7" i="40"/>
  <c r="R7" i="40"/>
  <c r="S7" i="40"/>
  <c r="T7" i="40"/>
  <c r="U7" i="40"/>
  <c r="V7" i="40"/>
  <c r="W7" i="40"/>
  <c r="X7" i="40"/>
  <c r="Y7" i="40"/>
  <c r="Z7" i="40"/>
  <c r="AA7" i="40"/>
  <c r="AB7" i="40"/>
  <c r="AC7" i="40"/>
  <c r="AD7" i="40"/>
  <c r="AE7" i="40"/>
  <c r="AF7" i="40"/>
  <c r="AG7" i="40"/>
  <c r="AH7" i="40"/>
  <c r="AI7" i="40"/>
  <c r="AJ7" i="40"/>
  <c r="B8" i="40"/>
  <c r="C8" i="40"/>
  <c r="D8" i="40"/>
  <c r="E8" i="40"/>
  <c r="F8" i="40"/>
  <c r="G8" i="40"/>
  <c r="H8" i="40"/>
  <c r="I8" i="40"/>
  <c r="J8" i="40"/>
  <c r="K8" i="40"/>
  <c r="L8" i="40"/>
  <c r="M8" i="40"/>
  <c r="N8" i="40"/>
  <c r="O8" i="40"/>
  <c r="P8" i="40"/>
  <c r="Q8" i="40"/>
  <c r="R8" i="40"/>
  <c r="S8" i="40"/>
  <c r="T8" i="40"/>
  <c r="U8" i="40"/>
  <c r="V8" i="40"/>
  <c r="W8" i="40"/>
  <c r="X8" i="40"/>
  <c r="Y8" i="40"/>
  <c r="Z8" i="40"/>
  <c r="AA8" i="40"/>
  <c r="AB8" i="40"/>
  <c r="AC8" i="40"/>
  <c r="AD8" i="40"/>
  <c r="AE8" i="40"/>
  <c r="AF8" i="40"/>
  <c r="AG8" i="40"/>
  <c r="AH8" i="40"/>
  <c r="AI8" i="40"/>
  <c r="AJ8" i="40"/>
  <c r="B9" i="40"/>
  <c r="C9" i="40"/>
  <c r="D9" i="40"/>
  <c r="E9" i="40"/>
  <c r="F9" i="40"/>
  <c r="G9" i="40"/>
  <c r="H9" i="40"/>
  <c r="I9" i="40"/>
  <c r="J9" i="40"/>
  <c r="K9" i="40"/>
  <c r="L9" i="40"/>
  <c r="M9" i="40"/>
  <c r="N9" i="40"/>
  <c r="O9" i="40"/>
  <c r="P9" i="40"/>
  <c r="Q9" i="40"/>
  <c r="R9" i="40"/>
  <c r="S9" i="40"/>
  <c r="T9" i="40"/>
  <c r="U9" i="40"/>
  <c r="V9" i="40"/>
  <c r="W9" i="40"/>
  <c r="X9" i="40"/>
  <c r="Y9" i="40"/>
  <c r="Z9" i="40"/>
  <c r="AA9" i="40"/>
  <c r="AB9" i="40"/>
  <c r="AC9" i="40"/>
  <c r="AD9" i="40"/>
  <c r="AE9" i="40"/>
  <c r="AF9" i="40"/>
  <c r="AG9" i="40"/>
  <c r="AH9" i="40"/>
  <c r="AI9" i="40"/>
  <c r="AJ9" i="40"/>
  <c r="B10" i="40"/>
  <c r="C10" i="40"/>
  <c r="D10" i="40"/>
  <c r="E10" i="40"/>
  <c r="F10" i="40"/>
  <c r="G10" i="40"/>
  <c r="H10" i="40"/>
  <c r="I10" i="40"/>
  <c r="J10" i="40"/>
  <c r="K10" i="40"/>
  <c r="L10" i="40"/>
  <c r="M10" i="40"/>
  <c r="N10" i="40"/>
  <c r="O10" i="40"/>
  <c r="P10" i="40"/>
  <c r="Q10" i="40"/>
  <c r="R10" i="40"/>
  <c r="S10" i="40"/>
  <c r="T10" i="40"/>
  <c r="U10" i="40"/>
  <c r="V10" i="40"/>
  <c r="W10" i="40"/>
  <c r="X10" i="40"/>
  <c r="Y10" i="40"/>
  <c r="Z10" i="40"/>
  <c r="AA10" i="40"/>
  <c r="AB10" i="40"/>
  <c r="AC10" i="40"/>
  <c r="AD10" i="40"/>
  <c r="AE10" i="40"/>
  <c r="AF10" i="40"/>
  <c r="AG10" i="40"/>
  <c r="AH10" i="40"/>
  <c r="AI10" i="40"/>
  <c r="AJ10" i="40"/>
  <c r="B11" i="40"/>
  <c r="C11" i="40"/>
  <c r="D11" i="40"/>
  <c r="E11" i="40"/>
  <c r="F11" i="40"/>
  <c r="G11" i="40"/>
  <c r="H11" i="40"/>
  <c r="I11" i="40"/>
  <c r="J11" i="40"/>
  <c r="K11" i="40"/>
  <c r="L11" i="40"/>
  <c r="M11" i="40"/>
  <c r="N11" i="40"/>
  <c r="O11" i="40"/>
  <c r="P11" i="40"/>
  <c r="Q11" i="40"/>
  <c r="R11" i="40"/>
  <c r="S11" i="40"/>
  <c r="T11" i="40"/>
  <c r="U11" i="40"/>
  <c r="V11" i="40"/>
  <c r="W11" i="40"/>
  <c r="X11" i="40"/>
  <c r="Y11" i="40"/>
  <c r="Z11" i="40"/>
  <c r="AA11" i="40"/>
  <c r="AB11" i="40"/>
  <c r="AC11" i="40"/>
  <c r="AD11" i="40"/>
  <c r="AE11" i="40"/>
  <c r="AF11" i="40"/>
  <c r="AG11" i="40"/>
  <c r="AH11" i="40"/>
  <c r="AI11" i="40"/>
  <c r="AJ11" i="40"/>
  <c r="B12" i="40"/>
  <c r="C12" i="40"/>
  <c r="D12" i="40"/>
  <c r="E12" i="40"/>
  <c r="F12" i="40"/>
  <c r="G12" i="40"/>
  <c r="H12" i="40"/>
  <c r="I12" i="40"/>
  <c r="J12" i="40"/>
  <c r="K12" i="40"/>
  <c r="L12" i="40"/>
  <c r="M12" i="40"/>
  <c r="N12" i="40"/>
  <c r="O12" i="40"/>
  <c r="P12" i="40"/>
  <c r="Q12" i="40"/>
  <c r="R12" i="40"/>
  <c r="S12" i="40"/>
  <c r="T12" i="40"/>
  <c r="U12" i="40"/>
  <c r="V12" i="40"/>
  <c r="W12" i="40"/>
  <c r="X12" i="40"/>
  <c r="Y12" i="40"/>
  <c r="Z12" i="40"/>
  <c r="AA12" i="40"/>
  <c r="AB12" i="40"/>
  <c r="AC12" i="40"/>
  <c r="AD12" i="40"/>
  <c r="AE12" i="40"/>
  <c r="AF12" i="40"/>
  <c r="AG12" i="40"/>
  <c r="AH12" i="40"/>
  <c r="AI12" i="40"/>
  <c r="AJ12" i="40"/>
  <c r="B13" i="40"/>
  <c r="C13" i="40"/>
  <c r="D13" i="40"/>
  <c r="E13" i="40"/>
  <c r="F13" i="40"/>
  <c r="G13" i="40"/>
  <c r="H13" i="40"/>
  <c r="I13" i="40"/>
  <c r="J13" i="40"/>
  <c r="K13" i="40"/>
  <c r="L13" i="40"/>
  <c r="M13" i="40"/>
  <c r="N13" i="40"/>
  <c r="O13" i="40"/>
  <c r="P13" i="40"/>
  <c r="Q13" i="40"/>
  <c r="R13" i="40"/>
  <c r="S13" i="40"/>
  <c r="T13" i="40"/>
  <c r="U13" i="40"/>
  <c r="V13" i="40"/>
  <c r="W13" i="40"/>
  <c r="X13" i="40"/>
  <c r="Y13" i="40"/>
  <c r="Z13" i="40"/>
  <c r="AA13" i="40"/>
  <c r="AB13" i="40"/>
  <c r="AC13" i="40"/>
  <c r="AD13" i="40"/>
  <c r="AE13" i="40"/>
  <c r="AF13" i="40"/>
  <c r="AG13" i="40"/>
  <c r="AH13" i="40"/>
  <c r="AI13" i="40"/>
  <c r="AJ13" i="40"/>
  <c r="B14" i="40"/>
  <c r="C14" i="40"/>
  <c r="D14" i="40"/>
  <c r="E14" i="40"/>
  <c r="F14" i="40"/>
  <c r="G14" i="40"/>
  <c r="H14" i="40"/>
  <c r="I14" i="40"/>
  <c r="J14" i="40"/>
  <c r="K14" i="40"/>
  <c r="L14" i="40"/>
  <c r="M14" i="40"/>
  <c r="N14" i="40"/>
  <c r="O14" i="40"/>
  <c r="P14" i="40"/>
  <c r="Q14" i="40"/>
  <c r="R14" i="40"/>
  <c r="S14" i="40"/>
  <c r="T14" i="40"/>
  <c r="U14" i="40"/>
  <c r="V14" i="40"/>
  <c r="W14" i="40"/>
  <c r="X14" i="40"/>
  <c r="Y14" i="40"/>
  <c r="Z14" i="40"/>
  <c r="AA14" i="40"/>
  <c r="AB14" i="40"/>
  <c r="AC14" i="40"/>
  <c r="AD14" i="40"/>
  <c r="AE14" i="40"/>
  <c r="AF14" i="40"/>
  <c r="AG14" i="40"/>
  <c r="AH14" i="40"/>
  <c r="AI14" i="40"/>
  <c r="AJ14" i="40"/>
  <c r="B15" i="40"/>
  <c r="C15" i="40"/>
  <c r="D15" i="40"/>
  <c r="E15" i="40"/>
  <c r="F15" i="40"/>
  <c r="G15" i="40"/>
  <c r="H15" i="40"/>
  <c r="I15" i="40"/>
  <c r="J15" i="40"/>
  <c r="K15" i="40"/>
  <c r="L15" i="40"/>
  <c r="M15" i="40"/>
  <c r="N15" i="40"/>
  <c r="O15" i="40"/>
  <c r="P15" i="40"/>
  <c r="Q15" i="40"/>
  <c r="R15" i="40"/>
  <c r="S15" i="40"/>
  <c r="T15" i="40"/>
  <c r="U15" i="40"/>
  <c r="V15" i="40"/>
  <c r="W15" i="40"/>
  <c r="X15" i="40"/>
  <c r="Y15" i="40"/>
  <c r="Z15" i="40"/>
  <c r="AA15" i="40"/>
  <c r="AB15" i="40"/>
  <c r="AC15" i="40"/>
  <c r="AD15" i="40"/>
  <c r="AE15" i="40"/>
  <c r="AF15" i="40"/>
  <c r="AG15" i="40"/>
  <c r="AH15" i="40"/>
  <c r="AI15" i="40"/>
  <c r="AJ15" i="40"/>
  <c r="B16" i="40"/>
  <c r="C16" i="40"/>
  <c r="D16" i="40"/>
  <c r="E16" i="40"/>
  <c r="F16" i="40"/>
  <c r="G16" i="40"/>
  <c r="H16" i="40"/>
  <c r="I16" i="40"/>
  <c r="J16" i="40"/>
  <c r="K16" i="40"/>
  <c r="L16" i="40"/>
  <c r="M16" i="40"/>
  <c r="N16" i="40"/>
  <c r="O16" i="40"/>
  <c r="P16" i="40"/>
  <c r="Q16" i="40"/>
  <c r="R16" i="40"/>
  <c r="S16" i="40"/>
  <c r="T16" i="40"/>
  <c r="U16" i="40"/>
  <c r="V16" i="40"/>
  <c r="W16" i="40"/>
  <c r="X16" i="40"/>
  <c r="Y16" i="40"/>
  <c r="Z16" i="40"/>
  <c r="AA16" i="40"/>
  <c r="AB16" i="40"/>
  <c r="AC16" i="40"/>
  <c r="AD16" i="40"/>
  <c r="AE16" i="40"/>
  <c r="AF16" i="40"/>
  <c r="AG16" i="40"/>
  <c r="AH16" i="40"/>
  <c r="AI16" i="40"/>
  <c r="AJ16" i="40"/>
  <c r="B17" i="40"/>
  <c r="C17" i="40"/>
  <c r="D17" i="40"/>
  <c r="E17" i="40"/>
  <c r="F17" i="40"/>
  <c r="G17" i="40"/>
  <c r="H17" i="40"/>
  <c r="I17" i="40"/>
  <c r="J17" i="40"/>
  <c r="K17" i="40"/>
  <c r="L17" i="40"/>
  <c r="M17" i="40"/>
  <c r="N17" i="40"/>
  <c r="O17" i="40"/>
  <c r="P17" i="40"/>
  <c r="Q17" i="40"/>
  <c r="R17" i="40"/>
  <c r="S17" i="40"/>
  <c r="T17" i="40"/>
  <c r="U17" i="40"/>
  <c r="V17" i="40"/>
  <c r="W17" i="40"/>
  <c r="X17" i="40"/>
  <c r="Y17" i="40"/>
  <c r="Z17" i="40"/>
  <c r="AA17" i="40"/>
  <c r="AB17" i="40"/>
  <c r="AC17" i="40"/>
  <c r="AD17" i="40"/>
  <c r="AE17" i="40"/>
  <c r="AF17" i="40"/>
  <c r="AG17" i="40"/>
  <c r="AH17" i="40"/>
  <c r="AI17" i="40"/>
  <c r="AJ17" i="40"/>
  <c r="B18" i="40"/>
  <c r="C18" i="40"/>
  <c r="D18" i="40"/>
  <c r="E18" i="40"/>
  <c r="F18" i="40"/>
  <c r="G18" i="40"/>
  <c r="H18" i="40"/>
  <c r="I18" i="40"/>
  <c r="J18" i="40"/>
  <c r="K18" i="40"/>
  <c r="L18" i="40"/>
  <c r="M18" i="40"/>
  <c r="N18" i="40"/>
  <c r="O18" i="40"/>
  <c r="P18" i="40"/>
  <c r="Q18" i="40"/>
  <c r="R18" i="40"/>
  <c r="S18" i="40"/>
  <c r="T18" i="40"/>
  <c r="U18" i="40"/>
  <c r="V18" i="40"/>
  <c r="W18" i="40"/>
  <c r="X18" i="40"/>
  <c r="Y18" i="40"/>
  <c r="Z18" i="40"/>
  <c r="AA18" i="40"/>
  <c r="AB18" i="40"/>
  <c r="AC18" i="40"/>
  <c r="AD18" i="40"/>
  <c r="AE18" i="40"/>
  <c r="AF18" i="40"/>
  <c r="AG18" i="40"/>
  <c r="AH18" i="40"/>
  <c r="AI18" i="40"/>
  <c r="AJ18" i="40"/>
  <c r="B19" i="40"/>
  <c r="C19" i="40"/>
  <c r="D19" i="40"/>
  <c r="E19" i="40"/>
  <c r="F19" i="40"/>
  <c r="G19" i="40"/>
  <c r="H19" i="40"/>
  <c r="I19" i="40"/>
  <c r="J19" i="40"/>
  <c r="K19" i="40"/>
  <c r="L19" i="40"/>
  <c r="M19" i="40"/>
  <c r="N19" i="40"/>
  <c r="O19" i="40"/>
  <c r="P19" i="40"/>
  <c r="Q19" i="40"/>
  <c r="R19" i="40"/>
  <c r="S19" i="40"/>
  <c r="T19" i="40"/>
  <c r="U19" i="40"/>
  <c r="V19" i="40"/>
  <c r="W19" i="40"/>
  <c r="X19" i="40"/>
  <c r="Y19" i="40"/>
  <c r="Z19" i="40"/>
  <c r="AA19" i="40"/>
  <c r="AB19" i="40"/>
  <c r="AC19" i="40"/>
  <c r="AD19" i="40"/>
  <c r="AE19" i="40"/>
  <c r="AF19" i="40"/>
  <c r="AG19" i="40"/>
  <c r="AH19" i="40"/>
  <c r="AI19" i="40"/>
  <c r="AJ19" i="40"/>
  <c r="B20" i="40"/>
  <c r="C20" i="40"/>
  <c r="D20" i="40"/>
  <c r="E20" i="40"/>
  <c r="F20" i="40"/>
  <c r="G20" i="40"/>
  <c r="H20" i="40"/>
  <c r="I20" i="40"/>
  <c r="J20" i="40"/>
  <c r="K20" i="40"/>
  <c r="L20" i="40"/>
  <c r="M20" i="40"/>
  <c r="N20" i="40"/>
  <c r="O20" i="40"/>
  <c r="P20" i="40"/>
  <c r="Q20" i="40"/>
  <c r="R20" i="40"/>
  <c r="S20" i="40"/>
  <c r="T20" i="40"/>
  <c r="U20" i="40"/>
  <c r="V20" i="40"/>
  <c r="W20" i="40"/>
  <c r="X20" i="40"/>
  <c r="Y20" i="40"/>
  <c r="Z20" i="40"/>
  <c r="AA20" i="40"/>
  <c r="AB20" i="40"/>
  <c r="AC20" i="40"/>
  <c r="AD20" i="40"/>
  <c r="AE20" i="40"/>
  <c r="AF20" i="40"/>
  <c r="AG20" i="40"/>
  <c r="AH20" i="40"/>
  <c r="AI20" i="40"/>
  <c r="AJ20" i="40"/>
  <c r="B21" i="40"/>
  <c r="C21" i="40"/>
  <c r="D21" i="40"/>
  <c r="E21" i="40"/>
  <c r="F21" i="40"/>
  <c r="G21" i="40"/>
  <c r="H21" i="40"/>
  <c r="I21" i="40"/>
  <c r="J21" i="40"/>
  <c r="K21" i="40"/>
  <c r="L21" i="40"/>
  <c r="M21" i="40"/>
  <c r="N21" i="40"/>
  <c r="O21" i="40"/>
  <c r="P21" i="40"/>
  <c r="Q21" i="40"/>
  <c r="R21" i="40"/>
  <c r="S21" i="40"/>
  <c r="T21" i="40"/>
  <c r="U21" i="40"/>
  <c r="V21" i="40"/>
  <c r="W21" i="40"/>
  <c r="X21" i="40"/>
  <c r="Y21" i="40"/>
  <c r="Z21" i="40"/>
  <c r="AA21" i="40"/>
  <c r="AB21" i="40"/>
  <c r="AC21" i="40"/>
  <c r="AD21" i="40"/>
  <c r="AE21" i="40"/>
  <c r="AF21" i="40"/>
  <c r="AG21" i="40"/>
  <c r="AH21" i="40"/>
  <c r="AI21" i="40"/>
  <c r="AJ21" i="40"/>
  <c r="B22" i="40"/>
  <c r="C22" i="40"/>
  <c r="D22" i="40"/>
  <c r="E22" i="40"/>
  <c r="F22" i="40"/>
  <c r="G22" i="40"/>
  <c r="H22" i="40"/>
  <c r="I22" i="40"/>
  <c r="J22" i="40"/>
  <c r="K22" i="40"/>
  <c r="L22" i="40"/>
  <c r="M22" i="40"/>
  <c r="N22" i="40"/>
  <c r="O22" i="40"/>
  <c r="P22" i="40"/>
  <c r="Q22" i="40"/>
  <c r="R22" i="40"/>
  <c r="S22" i="40"/>
  <c r="T22" i="40"/>
  <c r="U22" i="40"/>
  <c r="V22" i="40"/>
  <c r="W22" i="40"/>
  <c r="X22" i="40"/>
  <c r="Y22" i="40"/>
  <c r="Z22" i="40"/>
  <c r="AA22" i="40"/>
  <c r="AB22" i="40"/>
  <c r="AC22" i="40"/>
  <c r="AD22" i="40"/>
  <c r="AE22" i="40"/>
  <c r="AF22" i="40"/>
  <c r="AG22" i="40"/>
  <c r="AH22" i="40"/>
  <c r="AI22" i="40"/>
  <c r="AJ22" i="40"/>
  <c r="B23" i="40"/>
  <c r="C23" i="40"/>
  <c r="D23" i="40"/>
  <c r="E23" i="40"/>
  <c r="F23" i="40"/>
  <c r="G23" i="40"/>
  <c r="H23" i="40"/>
  <c r="I23" i="40"/>
  <c r="J23" i="40"/>
  <c r="K23" i="40"/>
  <c r="L23" i="40"/>
  <c r="M23" i="40"/>
  <c r="N23" i="40"/>
  <c r="O23" i="40"/>
  <c r="P23" i="40"/>
  <c r="Q23" i="40"/>
  <c r="R23" i="40"/>
  <c r="S23" i="40"/>
  <c r="T23" i="40"/>
  <c r="U23" i="40"/>
  <c r="V23" i="40"/>
  <c r="W23" i="40"/>
  <c r="X23" i="40"/>
  <c r="Y23" i="40"/>
  <c r="Z23" i="40"/>
  <c r="AA23" i="40"/>
  <c r="AB23" i="40"/>
  <c r="AC23" i="40"/>
  <c r="AD23" i="40"/>
  <c r="AE23" i="40"/>
  <c r="AF23" i="40"/>
  <c r="AG23" i="40"/>
  <c r="AH23" i="40"/>
  <c r="AI23" i="40"/>
  <c r="AJ23" i="40"/>
  <c r="B24" i="40"/>
  <c r="C24" i="40"/>
  <c r="D24" i="40"/>
  <c r="E24" i="40"/>
  <c r="F24" i="40"/>
  <c r="G24" i="40"/>
  <c r="H24" i="40"/>
  <c r="I24" i="40"/>
  <c r="J24" i="40"/>
  <c r="K24" i="40"/>
  <c r="L24" i="40"/>
  <c r="M24" i="40"/>
  <c r="N24" i="40"/>
  <c r="O24" i="40"/>
  <c r="P24" i="40"/>
  <c r="Q24" i="40"/>
  <c r="R24" i="40"/>
  <c r="S24" i="40"/>
  <c r="T24" i="40"/>
  <c r="U24" i="40"/>
  <c r="V24" i="40"/>
  <c r="W24" i="40"/>
  <c r="X24" i="40"/>
  <c r="Y24" i="40"/>
  <c r="Z24" i="40"/>
  <c r="AA24" i="40"/>
  <c r="AB24" i="40"/>
  <c r="AC24" i="40"/>
  <c r="AD24" i="40"/>
  <c r="AE24" i="40"/>
  <c r="AF24" i="40"/>
  <c r="AG24" i="40"/>
  <c r="AH24" i="40"/>
  <c r="AI24" i="40"/>
  <c r="AJ24" i="40"/>
  <c r="B25" i="40"/>
  <c r="C25" i="40"/>
  <c r="D25" i="40"/>
  <c r="E25" i="40"/>
  <c r="F25" i="40"/>
  <c r="G25" i="40"/>
  <c r="H25" i="40"/>
  <c r="I25" i="40"/>
  <c r="J25" i="40"/>
  <c r="K25" i="40"/>
  <c r="L25" i="40"/>
  <c r="M25" i="40"/>
  <c r="N25" i="40"/>
  <c r="O25" i="40"/>
  <c r="P25" i="40"/>
  <c r="Q25" i="40"/>
  <c r="R25" i="40"/>
  <c r="S25" i="40"/>
  <c r="T25" i="40"/>
  <c r="U25" i="40"/>
  <c r="V25" i="40"/>
  <c r="W25" i="40"/>
  <c r="X25" i="40"/>
  <c r="Y25" i="40"/>
  <c r="Z25" i="40"/>
  <c r="AA25" i="40"/>
  <c r="AB25" i="40"/>
  <c r="AC25" i="40"/>
  <c r="AD25" i="40"/>
  <c r="AE25" i="40"/>
  <c r="AF25" i="40"/>
  <c r="AG25" i="40"/>
  <c r="AH25" i="40"/>
  <c r="AI25" i="40"/>
  <c r="AJ25" i="40"/>
  <c r="B26" i="40"/>
  <c r="C26" i="40"/>
  <c r="D26" i="40"/>
  <c r="E26" i="40"/>
  <c r="F26" i="40"/>
  <c r="G26" i="40"/>
  <c r="H26" i="40"/>
  <c r="I26" i="40"/>
  <c r="J26" i="40"/>
  <c r="K26" i="40"/>
  <c r="L26" i="40"/>
  <c r="M26" i="40"/>
  <c r="N26" i="40"/>
  <c r="O26" i="40"/>
  <c r="P26" i="40"/>
  <c r="Q26" i="40"/>
  <c r="R26" i="40"/>
  <c r="S26" i="40"/>
  <c r="T26" i="40"/>
  <c r="U26" i="40"/>
  <c r="V26" i="40"/>
  <c r="W26" i="40"/>
  <c r="X26" i="40"/>
  <c r="Y26" i="40"/>
  <c r="Z26" i="40"/>
  <c r="AA26" i="40"/>
  <c r="AB26" i="40"/>
  <c r="AC26" i="40"/>
  <c r="AD26" i="40"/>
  <c r="AE26" i="40"/>
  <c r="AF26" i="40"/>
  <c r="AG26" i="40"/>
  <c r="AH26" i="40"/>
  <c r="AI26" i="40"/>
  <c r="AJ26" i="40"/>
  <c r="B27" i="40"/>
  <c r="C27" i="40"/>
  <c r="D27" i="40"/>
  <c r="E27" i="40"/>
  <c r="F27" i="40"/>
  <c r="G27" i="40"/>
  <c r="H27" i="40"/>
  <c r="I27" i="40"/>
  <c r="J27" i="40"/>
  <c r="K27" i="40"/>
  <c r="L27" i="40"/>
  <c r="M27" i="40"/>
  <c r="N27" i="40"/>
  <c r="O27" i="40"/>
  <c r="P27" i="40"/>
  <c r="Q27" i="40"/>
  <c r="R27" i="40"/>
  <c r="S27" i="40"/>
  <c r="T27" i="40"/>
  <c r="U27" i="40"/>
  <c r="V27" i="40"/>
  <c r="W27" i="40"/>
  <c r="X27" i="40"/>
  <c r="Y27" i="40"/>
  <c r="Z27" i="40"/>
  <c r="AA27" i="40"/>
  <c r="AB27" i="40"/>
  <c r="AC27" i="40"/>
  <c r="AD27" i="40"/>
  <c r="AE27" i="40"/>
  <c r="AF27" i="40"/>
  <c r="AG27" i="40"/>
  <c r="AH27" i="40"/>
  <c r="AI27" i="40"/>
  <c r="AJ27" i="40"/>
  <c r="B28" i="40"/>
  <c r="C28" i="40"/>
  <c r="D28" i="40"/>
  <c r="E28" i="40"/>
  <c r="F28" i="40"/>
  <c r="G28" i="40"/>
  <c r="H28" i="40"/>
  <c r="I28" i="40"/>
  <c r="J28" i="40"/>
  <c r="K28" i="40"/>
  <c r="L28" i="40"/>
  <c r="M28" i="40"/>
  <c r="N28" i="40"/>
  <c r="O28" i="40"/>
  <c r="P28" i="40"/>
  <c r="Q28" i="40"/>
  <c r="R28" i="40"/>
  <c r="S28" i="40"/>
  <c r="T28" i="40"/>
  <c r="U28" i="40"/>
  <c r="V28" i="40"/>
  <c r="W28" i="40"/>
  <c r="X28" i="40"/>
  <c r="Y28" i="40"/>
  <c r="Z28" i="40"/>
  <c r="AA28" i="40"/>
  <c r="AB28" i="40"/>
  <c r="AC28" i="40"/>
  <c r="AD28" i="40"/>
  <c r="AE28" i="40"/>
  <c r="AF28" i="40"/>
  <c r="AG28" i="40"/>
  <c r="AH28" i="40"/>
  <c r="AI28" i="40"/>
  <c r="AJ28" i="40"/>
  <c r="B29" i="40"/>
  <c r="C29" i="40"/>
  <c r="D29" i="40"/>
  <c r="E29" i="40"/>
  <c r="F29" i="40"/>
  <c r="G29" i="40"/>
  <c r="H29" i="40"/>
  <c r="I29" i="40"/>
  <c r="J29" i="40"/>
  <c r="K29" i="40"/>
  <c r="L29" i="40"/>
  <c r="M29" i="40"/>
  <c r="N29" i="40"/>
  <c r="O29" i="40"/>
  <c r="P29" i="40"/>
  <c r="Q29" i="40"/>
  <c r="R29" i="40"/>
  <c r="S29" i="40"/>
  <c r="T29" i="40"/>
  <c r="U29" i="40"/>
  <c r="V29" i="40"/>
  <c r="W29" i="40"/>
  <c r="X29" i="40"/>
  <c r="Y29" i="40"/>
  <c r="Z29" i="40"/>
  <c r="AA29" i="40"/>
  <c r="AB29" i="40"/>
  <c r="AC29" i="40"/>
  <c r="AD29" i="40"/>
  <c r="AE29" i="40"/>
  <c r="AF29" i="40"/>
  <c r="AG29" i="40"/>
  <c r="AH29" i="40"/>
  <c r="AI29" i="40"/>
  <c r="AJ29" i="40"/>
  <c r="B30" i="40"/>
  <c r="C30" i="40"/>
  <c r="D30" i="40"/>
  <c r="E30" i="40"/>
  <c r="F30" i="40"/>
  <c r="G30" i="40"/>
  <c r="H30" i="40"/>
  <c r="I30" i="40"/>
  <c r="J30" i="40"/>
  <c r="K30" i="40"/>
  <c r="L30" i="40"/>
  <c r="M30" i="40"/>
  <c r="N30" i="40"/>
  <c r="O30" i="40"/>
  <c r="P30" i="40"/>
  <c r="Q30" i="40"/>
  <c r="R30" i="40"/>
  <c r="S30" i="40"/>
  <c r="T30" i="40"/>
  <c r="U30" i="40"/>
  <c r="V30" i="40"/>
  <c r="W30" i="40"/>
  <c r="X30" i="40"/>
  <c r="Y30" i="40"/>
  <c r="Z30" i="40"/>
  <c r="AA30" i="40"/>
  <c r="AB30" i="40"/>
  <c r="AC30" i="40"/>
  <c r="AD30" i="40"/>
  <c r="AE30" i="40"/>
  <c r="AF30" i="40"/>
  <c r="AG30" i="40"/>
  <c r="AH30" i="40"/>
  <c r="AI30" i="40"/>
  <c r="AJ30" i="40"/>
  <c r="B31" i="40"/>
  <c r="C31" i="40"/>
  <c r="D31" i="40"/>
  <c r="E31" i="40"/>
  <c r="F31" i="40"/>
  <c r="G31" i="40"/>
  <c r="H31" i="40"/>
  <c r="I31" i="40"/>
  <c r="J31" i="40"/>
  <c r="K31" i="40"/>
  <c r="L31" i="40"/>
  <c r="M31" i="40"/>
  <c r="N31" i="40"/>
  <c r="O31" i="40"/>
  <c r="P31" i="40"/>
  <c r="Q31" i="40"/>
  <c r="R31" i="40"/>
  <c r="S31" i="40"/>
  <c r="T31" i="40"/>
  <c r="U31" i="40"/>
  <c r="V31" i="40"/>
  <c r="W31" i="40"/>
  <c r="X31" i="40"/>
  <c r="Y31" i="40"/>
  <c r="Z31" i="40"/>
  <c r="AA31" i="40"/>
  <c r="AB31" i="40"/>
  <c r="AC31" i="40"/>
  <c r="AD31" i="40"/>
  <c r="AE31" i="40"/>
  <c r="AF31" i="40"/>
  <c r="AG31" i="40"/>
  <c r="AH31" i="40"/>
  <c r="AI31" i="40"/>
  <c r="AJ31" i="40"/>
  <c r="B32" i="40"/>
  <c r="C32" i="40"/>
  <c r="D32" i="40"/>
  <c r="E32" i="40"/>
  <c r="F32" i="40"/>
  <c r="G32" i="40"/>
  <c r="H32" i="40"/>
  <c r="I32" i="40"/>
  <c r="J32" i="40"/>
  <c r="K32" i="40"/>
  <c r="L32" i="40"/>
  <c r="M32" i="40"/>
  <c r="N32" i="40"/>
  <c r="O32" i="40"/>
  <c r="P32" i="40"/>
  <c r="Q32" i="40"/>
  <c r="R32" i="40"/>
  <c r="S32" i="40"/>
  <c r="T32" i="40"/>
  <c r="U32" i="40"/>
  <c r="V32" i="40"/>
  <c r="W32" i="40"/>
  <c r="X32" i="40"/>
  <c r="Y32" i="40"/>
  <c r="Z32" i="40"/>
  <c r="AA32" i="40"/>
  <c r="AB32" i="40"/>
  <c r="AC32" i="40"/>
  <c r="AD32" i="40"/>
  <c r="AE32" i="40"/>
  <c r="AF32" i="40"/>
  <c r="AG32" i="40"/>
  <c r="AH32" i="40"/>
  <c r="AI32" i="40"/>
  <c r="AJ32" i="40"/>
  <c r="B33" i="40"/>
  <c r="C33" i="40"/>
  <c r="D33" i="40"/>
  <c r="E33" i="40"/>
  <c r="F33" i="40"/>
  <c r="G33" i="40"/>
  <c r="H33" i="40"/>
  <c r="I33" i="40"/>
  <c r="J33" i="40"/>
  <c r="K33" i="40"/>
  <c r="L33" i="40"/>
  <c r="M33" i="40"/>
  <c r="N33" i="40"/>
  <c r="O33" i="40"/>
  <c r="P33" i="40"/>
  <c r="Q33" i="40"/>
  <c r="R33" i="40"/>
  <c r="S33" i="40"/>
  <c r="T33" i="40"/>
  <c r="U33" i="40"/>
  <c r="V33" i="40"/>
  <c r="W33" i="40"/>
  <c r="X33" i="40"/>
  <c r="Y33" i="40"/>
  <c r="Z33" i="40"/>
  <c r="AA33" i="40"/>
  <c r="AB33" i="40"/>
  <c r="AC33" i="40"/>
  <c r="AD33" i="40"/>
  <c r="AE33" i="40"/>
  <c r="AF33" i="40"/>
  <c r="AG33" i="40"/>
  <c r="AH33" i="40"/>
  <c r="AI33" i="40"/>
  <c r="AJ33" i="40"/>
  <c r="B34" i="40"/>
  <c r="C34" i="40"/>
  <c r="D34" i="40"/>
  <c r="E34" i="40"/>
  <c r="F34" i="40"/>
  <c r="G34" i="40"/>
  <c r="H34" i="40"/>
  <c r="I34" i="40"/>
  <c r="J34" i="40"/>
  <c r="K34" i="40"/>
  <c r="L34" i="40"/>
  <c r="M34" i="40"/>
  <c r="N34" i="40"/>
  <c r="O34" i="40"/>
  <c r="P34" i="40"/>
  <c r="Q34" i="40"/>
  <c r="R34" i="40"/>
  <c r="S34" i="40"/>
  <c r="T34" i="40"/>
  <c r="U34" i="40"/>
  <c r="V34" i="40"/>
  <c r="W34" i="40"/>
  <c r="X34" i="40"/>
  <c r="Y34" i="40"/>
  <c r="Z34" i="40"/>
  <c r="AA34" i="40"/>
  <c r="AB34" i="40"/>
  <c r="AC34" i="40"/>
  <c r="AD34" i="40"/>
  <c r="AE34" i="40"/>
  <c r="AF34" i="40"/>
  <c r="AG34" i="40"/>
  <c r="AH34" i="40"/>
  <c r="AI34" i="40"/>
  <c r="AJ34" i="40"/>
  <c r="B35" i="40"/>
  <c r="C35" i="40"/>
  <c r="D35" i="40"/>
  <c r="E35" i="40"/>
  <c r="F35" i="40"/>
  <c r="G35" i="40"/>
  <c r="H35" i="40"/>
  <c r="I35" i="40"/>
  <c r="J35" i="40"/>
  <c r="K35" i="40"/>
  <c r="L35" i="40"/>
  <c r="M35" i="40"/>
  <c r="N35" i="40"/>
  <c r="O35" i="40"/>
  <c r="P35" i="40"/>
  <c r="Q35" i="40"/>
  <c r="R35" i="40"/>
  <c r="S35" i="40"/>
  <c r="T35" i="40"/>
  <c r="U35" i="40"/>
  <c r="V35" i="40"/>
  <c r="W35" i="40"/>
  <c r="X35" i="40"/>
  <c r="Y35" i="40"/>
  <c r="Z35" i="40"/>
  <c r="AA35" i="40"/>
  <c r="AB35" i="40"/>
  <c r="AC35" i="40"/>
  <c r="AD35" i="40"/>
  <c r="AE35" i="40"/>
  <c r="AF35" i="40"/>
  <c r="AG35" i="40"/>
  <c r="AH35" i="40"/>
  <c r="AI35" i="40"/>
  <c r="AJ35" i="40"/>
  <c r="B36" i="40"/>
  <c r="C36" i="40"/>
  <c r="D36" i="40"/>
  <c r="E36" i="40"/>
  <c r="F36" i="40"/>
  <c r="G36" i="40"/>
  <c r="H36" i="40"/>
  <c r="I36" i="40"/>
  <c r="J36" i="40"/>
  <c r="K36" i="40"/>
  <c r="L36" i="40"/>
  <c r="M36" i="40"/>
  <c r="N36" i="40"/>
  <c r="O36" i="40"/>
  <c r="P36" i="40"/>
  <c r="Q36" i="40"/>
  <c r="R36" i="40"/>
  <c r="S36" i="40"/>
  <c r="T36" i="40"/>
  <c r="U36" i="40"/>
  <c r="V36" i="40"/>
  <c r="W36" i="40"/>
  <c r="X36" i="40"/>
  <c r="Y36" i="40"/>
  <c r="Z36" i="40"/>
  <c r="AA36" i="40"/>
  <c r="AB36" i="40"/>
  <c r="AC36" i="40"/>
  <c r="AD36" i="40"/>
  <c r="AE36" i="40"/>
  <c r="AF36" i="40"/>
  <c r="AG36" i="40"/>
  <c r="AH36" i="40"/>
  <c r="AI36" i="40"/>
  <c r="AJ36" i="40"/>
  <c r="B37" i="40"/>
  <c r="C37" i="40"/>
  <c r="D37" i="40"/>
  <c r="E37" i="40"/>
  <c r="F37" i="40"/>
  <c r="G37" i="40"/>
  <c r="H37" i="40"/>
  <c r="I37" i="40"/>
  <c r="J37" i="40"/>
  <c r="K37" i="40"/>
  <c r="L37" i="40"/>
  <c r="M37" i="40"/>
  <c r="N37" i="40"/>
  <c r="O37" i="40"/>
  <c r="P37" i="40"/>
  <c r="Q37" i="40"/>
  <c r="R37" i="40"/>
  <c r="S37" i="40"/>
  <c r="T37" i="40"/>
  <c r="U37" i="40"/>
  <c r="V37" i="40"/>
  <c r="W37" i="40"/>
  <c r="X37" i="40"/>
  <c r="Y37" i="40"/>
  <c r="Z37" i="40"/>
  <c r="AA37" i="40"/>
  <c r="AB37" i="40"/>
  <c r="AC37" i="40"/>
  <c r="AD37" i="40"/>
  <c r="AE37" i="40"/>
  <c r="AF37" i="40"/>
  <c r="AG37" i="40"/>
  <c r="AH37" i="40"/>
  <c r="AI37" i="40"/>
  <c r="AJ37" i="40"/>
  <c r="B38" i="40"/>
  <c r="C38" i="40"/>
  <c r="D38" i="40"/>
  <c r="E38" i="40"/>
  <c r="F38" i="40"/>
  <c r="G38" i="40"/>
  <c r="H38" i="40"/>
  <c r="I38" i="40"/>
  <c r="J38" i="40"/>
  <c r="K38" i="40"/>
  <c r="L38" i="40"/>
  <c r="M38" i="40"/>
  <c r="N38" i="40"/>
  <c r="O38" i="40"/>
  <c r="P38" i="40"/>
  <c r="Q38" i="40"/>
  <c r="R38" i="40"/>
  <c r="S38" i="40"/>
  <c r="T38" i="40"/>
  <c r="U38" i="40"/>
  <c r="V38" i="40"/>
  <c r="W38" i="40"/>
  <c r="X38" i="40"/>
  <c r="Y38" i="40"/>
  <c r="Z38" i="40"/>
  <c r="AA38" i="40"/>
  <c r="AB38" i="40"/>
  <c r="AC38" i="40"/>
  <c r="AD38" i="40"/>
  <c r="AE38" i="40"/>
  <c r="AF38" i="40"/>
  <c r="AG38" i="40"/>
  <c r="AH38" i="40"/>
  <c r="AI38" i="40"/>
  <c r="AJ38" i="40"/>
  <c r="B39" i="40"/>
  <c r="C39" i="40"/>
  <c r="D39" i="40"/>
  <c r="E39" i="40"/>
  <c r="F39" i="40"/>
  <c r="G39" i="40"/>
  <c r="H39" i="40"/>
  <c r="I39" i="40"/>
  <c r="J39" i="40"/>
  <c r="K39" i="40"/>
  <c r="L39" i="40"/>
  <c r="M39" i="40"/>
  <c r="N39" i="40"/>
  <c r="O39" i="40"/>
  <c r="P39" i="40"/>
  <c r="Q39" i="40"/>
  <c r="R39" i="40"/>
  <c r="S39" i="40"/>
  <c r="T39" i="40"/>
  <c r="U39" i="40"/>
  <c r="V39" i="40"/>
  <c r="W39" i="40"/>
  <c r="X39" i="40"/>
  <c r="Y39" i="40"/>
  <c r="Z39" i="40"/>
  <c r="AA39" i="40"/>
  <c r="AB39" i="40"/>
  <c r="AC39" i="40"/>
  <c r="AD39" i="40"/>
  <c r="AE39" i="40"/>
  <c r="AF39" i="40"/>
  <c r="AG39" i="40"/>
  <c r="AH39" i="40"/>
  <c r="AI39" i="40"/>
  <c r="AJ39" i="40"/>
  <c r="B40" i="40"/>
  <c r="C40" i="40"/>
  <c r="D40" i="40"/>
  <c r="E40" i="40"/>
  <c r="F40" i="40"/>
  <c r="G40" i="40"/>
  <c r="H40" i="40"/>
  <c r="I40" i="40"/>
  <c r="J40" i="40"/>
  <c r="K40" i="40"/>
  <c r="L40" i="40"/>
  <c r="M40" i="40"/>
  <c r="N40" i="40"/>
  <c r="O40" i="40"/>
  <c r="P40" i="40"/>
  <c r="Q40" i="40"/>
  <c r="R40" i="40"/>
  <c r="S40" i="40"/>
  <c r="T40" i="40"/>
  <c r="U40" i="40"/>
  <c r="V40" i="40"/>
  <c r="W40" i="40"/>
  <c r="X40" i="40"/>
  <c r="Y40" i="40"/>
  <c r="Z40" i="40"/>
  <c r="AA40" i="40"/>
  <c r="AB40" i="40"/>
  <c r="AC40" i="40"/>
  <c r="AD40" i="40"/>
  <c r="AE40" i="40"/>
  <c r="AF40" i="40"/>
  <c r="AG40" i="40"/>
  <c r="AH40" i="40"/>
  <c r="AI40" i="40"/>
  <c r="AJ40" i="40"/>
  <c r="B41" i="40"/>
  <c r="C41" i="40"/>
  <c r="D41" i="40"/>
  <c r="E41" i="40"/>
  <c r="F41" i="40"/>
  <c r="G41" i="40"/>
  <c r="H41" i="40"/>
  <c r="I41" i="40"/>
  <c r="J41" i="40"/>
  <c r="K41" i="40"/>
  <c r="L41" i="40"/>
  <c r="M41" i="40"/>
  <c r="N41" i="40"/>
  <c r="O41" i="40"/>
  <c r="P41" i="40"/>
  <c r="Q41" i="40"/>
  <c r="R41" i="40"/>
  <c r="S41" i="40"/>
  <c r="T41" i="40"/>
  <c r="U41" i="40"/>
  <c r="V41" i="40"/>
  <c r="W41" i="40"/>
  <c r="X41" i="40"/>
  <c r="Y41" i="40"/>
  <c r="Z41" i="40"/>
  <c r="AA41" i="40"/>
  <c r="AB41" i="40"/>
  <c r="AC41" i="40"/>
  <c r="AD41" i="40"/>
  <c r="AE41" i="40"/>
  <c r="AF41" i="40"/>
  <c r="AG41" i="40"/>
  <c r="AH41" i="40"/>
  <c r="AI41" i="40"/>
  <c r="AJ41" i="40"/>
  <c r="B42" i="40"/>
  <c r="C42" i="40"/>
  <c r="D42" i="40"/>
  <c r="E42" i="40"/>
  <c r="F42" i="40"/>
  <c r="G42" i="40"/>
  <c r="H42" i="40"/>
  <c r="I42" i="40"/>
  <c r="J42" i="40"/>
  <c r="K42" i="40"/>
  <c r="L42" i="40"/>
  <c r="M42" i="40"/>
  <c r="N42" i="40"/>
  <c r="O42" i="40"/>
  <c r="P42" i="40"/>
  <c r="Q42" i="40"/>
  <c r="R42" i="40"/>
  <c r="S42" i="40"/>
  <c r="T42" i="40"/>
  <c r="U42" i="40"/>
  <c r="V42" i="40"/>
  <c r="W42" i="40"/>
  <c r="X42" i="40"/>
  <c r="Y42" i="40"/>
  <c r="Z42" i="40"/>
  <c r="AA42" i="40"/>
  <c r="AB42" i="40"/>
  <c r="AC42" i="40"/>
  <c r="AD42" i="40"/>
  <c r="AE42" i="40"/>
  <c r="AF42" i="40"/>
  <c r="AG42" i="40"/>
  <c r="AH42" i="40"/>
  <c r="AI42" i="40"/>
  <c r="AJ42" i="40"/>
  <c r="B43" i="40"/>
  <c r="C43" i="40"/>
  <c r="D43" i="40"/>
  <c r="E43" i="40"/>
  <c r="F43" i="40"/>
  <c r="G43" i="40"/>
  <c r="H43" i="40"/>
  <c r="I43" i="40"/>
  <c r="J43" i="40"/>
  <c r="K43" i="40"/>
  <c r="L43" i="40"/>
  <c r="M43" i="40"/>
  <c r="N43" i="40"/>
  <c r="O43" i="40"/>
  <c r="P43" i="40"/>
  <c r="Q43" i="40"/>
  <c r="R43" i="40"/>
  <c r="S43" i="40"/>
  <c r="T43" i="40"/>
  <c r="U43" i="40"/>
  <c r="V43" i="40"/>
  <c r="W43" i="40"/>
  <c r="X43" i="40"/>
  <c r="Y43" i="40"/>
  <c r="Z43" i="40"/>
  <c r="AA43" i="40"/>
  <c r="AB43" i="40"/>
  <c r="AC43" i="40"/>
  <c r="AD43" i="40"/>
  <c r="AE43" i="40"/>
  <c r="AF43" i="40"/>
  <c r="AG43" i="40"/>
  <c r="AH43" i="40"/>
  <c r="AI43" i="40"/>
  <c r="AJ43" i="40"/>
  <c r="B44" i="40"/>
  <c r="C44" i="40"/>
  <c r="D44" i="40"/>
  <c r="E44" i="40"/>
  <c r="F44" i="40"/>
  <c r="G44" i="40"/>
  <c r="H44" i="40"/>
  <c r="I44" i="40"/>
  <c r="J44" i="40"/>
  <c r="K44" i="40"/>
  <c r="L44" i="40"/>
  <c r="M44" i="40"/>
  <c r="N44" i="40"/>
  <c r="O44" i="40"/>
  <c r="P44" i="40"/>
  <c r="Q44" i="40"/>
  <c r="R44" i="40"/>
  <c r="S44" i="40"/>
  <c r="T44" i="40"/>
  <c r="U44" i="40"/>
  <c r="V44" i="40"/>
  <c r="W44" i="40"/>
  <c r="X44" i="40"/>
  <c r="Y44" i="40"/>
  <c r="Z44" i="40"/>
  <c r="AA44" i="40"/>
  <c r="AB44" i="40"/>
  <c r="AC44" i="40"/>
  <c r="AD44" i="40"/>
  <c r="AE44" i="40"/>
  <c r="AF44" i="40"/>
  <c r="AG44" i="40"/>
  <c r="AH44" i="40"/>
  <c r="AI44" i="40"/>
  <c r="AJ44" i="40"/>
  <c r="B45" i="40"/>
  <c r="C45" i="40"/>
  <c r="D45" i="40"/>
  <c r="E45" i="40"/>
  <c r="F45" i="40"/>
  <c r="G45" i="40"/>
  <c r="H45" i="40"/>
  <c r="I45" i="40"/>
  <c r="J45" i="40"/>
  <c r="K45" i="40"/>
  <c r="L45" i="40"/>
  <c r="M45" i="40"/>
  <c r="N45" i="40"/>
  <c r="O45" i="40"/>
  <c r="P45" i="40"/>
  <c r="Q45" i="40"/>
  <c r="R45" i="40"/>
  <c r="S45" i="40"/>
  <c r="T45" i="40"/>
  <c r="U45" i="40"/>
  <c r="V45" i="40"/>
  <c r="W45" i="40"/>
  <c r="X45" i="40"/>
  <c r="Y45" i="40"/>
  <c r="Z45" i="40"/>
  <c r="AA45" i="40"/>
  <c r="AB45" i="40"/>
  <c r="AC45" i="40"/>
  <c r="AD45" i="40"/>
  <c r="AE45" i="40"/>
  <c r="AF45" i="40"/>
  <c r="AG45" i="40"/>
  <c r="AH45" i="40"/>
  <c r="AI45" i="40"/>
  <c r="AJ45" i="40"/>
  <c r="B46" i="40"/>
  <c r="C46" i="40"/>
  <c r="D46" i="40"/>
  <c r="E46" i="40"/>
  <c r="F46" i="40"/>
  <c r="G46" i="40"/>
  <c r="H46" i="40"/>
  <c r="I46" i="40"/>
  <c r="J46" i="40"/>
  <c r="K46" i="40"/>
  <c r="L46" i="40"/>
  <c r="M46" i="40"/>
  <c r="N46" i="40"/>
  <c r="O46" i="40"/>
  <c r="P46" i="40"/>
  <c r="Q46" i="40"/>
  <c r="R46" i="40"/>
  <c r="S46" i="40"/>
  <c r="T46" i="40"/>
  <c r="U46" i="40"/>
  <c r="V46" i="40"/>
  <c r="W46" i="40"/>
  <c r="X46" i="40"/>
  <c r="Y46" i="40"/>
  <c r="Z46" i="40"/>
  <c r="AA46" i="40"/>
  <c r="AB46" i="40"/>
  <c r="AC46" i="40"/>
  <c r="AD46" i="40"/>
  <c r="AE46" i="40"/>
  <c r="AF46" i="40"/>
  <c r="AG46" i="40"/>
  <c r="AH46" i="40"/>
  <c r="AI46" i="40"/>
  <c r="AJ46" i="40"/>
  <c r="B47" i="40"/>
  <c r="C47" i="40"/>
  <c r="D47" i="40"/>
  <c r="E47" i="40"/>
  <c r="F47" i="40"/>
  <c r="G47" i="40"/>
  <c r="H47" i="40"/>
  <c r="I47" i="40"/>
  <c r="J47" i="40"/>
  <c r="K47" i="40"/>
  <c r="L47" i="40"/>
  <c r="M47" i="40"/>
  <c r="N47" i="40"/>
  <c r="O47" i="40"/>
  <c r="P47" i="40"/>
  <c r="Q47" i="40"/>
  <c r="R47" i="40"/>
  <c r="S47" i="40"/>
  <c r="T47" i="40"/>
  <c r="U47" i="40"/>
  <c r="V47" i="40"/>
  <c r="W47" i="40"/>
  <c r="X47" i="40"/>
  <c r="Y47" i="40"/>
  <c r="Z47" i="40"/>
  <c r="AA47" i="40"/>
  <c r="AB47" i="40"/>
  <c r="AC47" i="40"/>
  <c r="AD47" i="40"/>
  <c r="AE47" i="40"/>
  <c r="AF47" i="40"/>
  <c r="AG47" i="40"/>
  <c r="AH47" i="40"/>
  <c r="AI47" i="40"/>
  <c r="AJ47" i="40"/>
  <c r="B48" i="40"/>
  <c r="C48" i="40"/>
  <c r="D48" i="40"/>
  <c r="E48" i="40"/>
  <c r="F48" i="40"/>
  <c r="G48" i="40"/>
  <c r="H48" i="40"/>
  <c r="I48" i="40"/>
  <c r="J48" i="40"/>
  <c r="K48" i="40"/>
  <c r="L48" i="40"/>
  <c r="M48" i="40"/>
  <c r="N48" i="40"/>
  <c r="O48" i="40"/>
  <c r="P48" i="40"/>
  <c r="Q48" i="40"/>
  <c r="R48" i="40"/>
  <c r="S48" i="40"/>
  <c r="T48" i="40"/>
  <c r="U48" i="40"/>
  <c r="V48" i="40"/>
  <c r="W48" i="40"/>
  <c r="X48" i="40"/>
  <c r="Y48" i="40"/>
  <c r="Z48" i="40"/>
  <c r="AA48" i="40"/>
  <c r="AB48" i="40"/>
  <c r="AC48" i="40"/>
  <c r="AD48" i="40"/>
  <c r="AE48" i="40"/>
  <c r="AF48" i="40"/>
  <c r="AG48" i="40"/>
  <c r="AH48" i="40"/>
  <c r="AI48" i="40"/>
  <c r="AJ48" i="40"/>
  <c r="B49" i="40"/>
  <c r="C49" i="40"/>
  <c r="D49" i="40"/>
  <c r="E49" i="40"/>
  <c r="F49" i="40"/>
  <c r="G49" i="40"/>
  <c r="H49" i="40"/>
  <c r="I49" i="40"/>
  <c r="J49" i="40"/>
  <c r="K49" i="40"/>
  <c r="L49" i="40"/>
  <c r="M49" i="40"/>
  <c r="N49" i="40"/>
  <c r="O49" i="40"/>
  <c r="P49" i="40"/>
  <c r="Q49" i="40"/>
  <c r="R49" i="40"/>
  <c r="S49" i="40"/>
  <c r="T49" i="40"/>
  <c r="U49" i="40"/>
  <c r="V49" i="40"/>
  <c r="W49" i="40"/>
  <c r="X49" i="40"/>
  <c r="Y49" i="40"/>
  <c r="Z49" i="40"/>
  <c r="AA49" i="40"/>
  <c r="AB49" i="40"/>
  <c r="AC49" i="40"/>
  <c r="AD49" i="40"/>
  <c r="AE49" i="40"/>
  <c r="AF49" i="40"/>
  <c r="AG49" i="40"/>
  <c r="AH49" i="40"/>
  <c r="AI49" i="40"/>
  <c r="AJ49" i="40"/>
  <c r="B50" i="40"/>
  <c r="C50" i="40"/>
  <c r="D50" i="40"/>
  <c r="E50" i="40"/>
  <c r="F50" i="40"/>
  <c r="G50" i="40"/>
  <c r="H50" i="40"/>
  <c r="I50" i="40"/>
  <c r="J50" i="40"/>
  <c r="K50" i="40"/>
  <c r="L50" i="40"/>
  <c r="M50" i="40"/>
  <c r="N50" i="40"/>
  <c r="O50" i="40"/>
  <c r="P50" i="40"/>
  <c r="Q50" i="40"/>
  <c r="R50" i="40"/>
  <c r="S50" i="40"/>
  <c r="T50" i="40"/>
  <c r="U50" i="40"/>
  <c r="V50" i="40"/>
  <c r="W50" i="40"/>
  <c r="X50" i="40"/>
  <c r="Y50" i="40"/>
  <c r="Z50" i="40"/>
  <c r="AA50" i="40"/>
  <c r="AB50" i="40"/>
  <c r="AC50" i="40"/>
  <c r="AD50" i="40"/>
  <c r="AE50" i="40"/>
  <c r="AF50" i="40"/>
  <c r="AG50" i="40"/>
  <c r="AH50" i="40"/>
  <c r="AI50" i="40"/>
  <c r="AJ50" i="40"/>
  <c r="B51" i="40"/>
  <c r="C51" i="40"/>
  <c r="D51" i="40"/>
  <c r="E51" i="40"/>
  <c r="F51" i="40"/>
  <c r="G51" i="40"/>
  <c r="H51" i="40"/>
  <c r="I51" i="40"/>
  <c r="J51" i="40"/>
  <c r="K51" i="40"/>
  <c r="L51" i="40"/>
  <c r="M51" i="40"/>
  <c r="N51" i="40"/>
  <c r="O51" i="40"/>
  <c r="P51" i="40"/>
  <c r="Q51" i="40"/>
  <c r="R51" i="40"/>
  <c r="S51" i="40"/>
  <c r="T51" i="40"/>
  <c r="U51" i="40"/>
  <c r="V51" i="40"/>
  <c r="W51" i="40"/>
  <c r="X51" i="40"/>
  <c r="Y51" i="40"/>
  <c r="Z51" i="40"/>
  <c r="AA51" i="40"/>
  <c r="AB51" i="40"/>
  <c r="AC51" i="40"/>
  <c r="AD51" i="40"/>
  <c r="AE51" i="40"/>
  <c r="AF51" i="40"/>
  <c r="AG51" i="40"/>
  <c r="AH51" i="40"/>
  <c r="AI51" i="40"/>
  <c r="AJ51" i="40"/>
  <c r="B52" i="40"/>
  <c r="C52" i="40"/>
  <c r="D52" i="40"/>
  <c r="E52" i="40"/>
  <c r="F52" i="40"/>
  <c r="G52" i="40"/>
  <c r="H52" i="40"/>
  <c r="I52" i="40"/>
  <c r="J52" i="40"/>
  <c r="K52" i="40"/>
  <c r="L52" i="40"/>
  <c r="M52" i="40"/>
  <c r="N52" i="40"/>
  <c r="O52" i="40"/>
  <c r="P52" i="40"/>
  <c r="Q52" i="40"/>
  <c r="R52" i="40"/>
  <c r="S52" i="40"/>
  <c r="T52" i="40"/>
  <c r="U52" i="40"/>
  <c r="V52" i="40"/>
  <c r="W52" i="40"/>
  <c r="X52" i="40"/>
  <c r="Y52" i="40"/>
  <c r="Z52" i="40"/>
  <c r="AA52" i="40"/>
  <c r="AB52" i="40"/>
  <c r="AC52" i="40"/>
  <c r="AD52" i="40"/>
  <c r="AE52" i="40"/>
  <c r="AF52" i="40"/>
  <c r="AG52" i="40"/>
  <c r="AH52" i="40"/>
  <c r="AI52" i="40"/>
  <c r="AJ52" i="40"/>
  <c r="B53" i="40"/>
  <c r="C53" i="40"/>
  <c r="D53" i="40"/>
  <c r="E53" i="40"/>
  <c r="F53" i="40"/>
  <c r="G53" i="40"/>
  <c r="H53" i="40"/>
  <c r="I53" i="40"/>
  <c r="J53" i="40"/>
  <c r="K53" i="40"/>
  <c r="L53" i="40"/>
  <c r="M53" i="40"/>
  <c r="N53" i="40"/>
  <c r="O53" i="40"/>
  <c r="P53" i="40"/>
  <c r="Q53" i="40"/>
  <c r="R53" i="40"/>
  <c r="S53" i="40"/>
  <c r="T53" i="40"/>
  <c r="U53" i="40"/>
  <c r="V53" i="40"/>
  <c r="W53" i="40"/>
  <c r="X53" i="40"/>
  <c r="Y53" i="40"/>
  <c r="Z53" i="40"/>
  <c r="AA53" i="40"/>
  <c r="AB53" i="40"/>
  <c r="AC53" i="40"/>
  <c r="AD53" i="40"/>
  <c r="AE53" i="40"/>
  <c r="AF53" i="40"/>
  <c r="AG53" i="40"/>
  <c r="AH53" i="40"/>
  <c r="AI53" i="40"/>
  <c r="AJ53" i="40"/>
  <c r="B54" i="40"/>
  <c r="C54" i="40"/>
  <c r="D54" i="40"/>
  <c r="E54" i="40"/>
  <c r="F54" i="40"/>
  <c r="G54" i="40"/>
  <c r="H54" i="40"/>
  <c r="I54" i="40"/>
  <c r="J54" i="40"/>
  <c r="K54" i="40"/>
  <c r="L54" i="40"/>
  <c r="M54" i="40"/>
  <c r="N54" i="40"/>
  <c r="O54" i="40"/>
  <c r="P54" i="40"/>
  <c r="Q54" i="40"/>
  <c r="R54" i="40"/>
  <c r="S54" i="40"/>
  <c r="T54" i="40"/>
  <c r="U54" i="40"/>
  <c r="V54" i="40"/>
  <c r="W54" i="40"/>
  <c r="X54" i="40"/>
  <c r="Y54" i="40"/>
  <c r="Z54" i="40"/>
  <c r="AA54" i="40"/>
  <c r="AB54" i="40"/>
  <c r="AC54" i="40"/>
  <c r="AD54" i="40"/>
  <c r="AE54" i="40"/>
  <c r="AF54" i="40"/>
  <c r="AG54" i="40"/>
  <c r="AH54" i="40"/>
  <c r="AI54" i="40"/>
  <c r="AJ54" i="40"/>
  <c r="B55" i="40"/>
  <c r="C55" i="40"/>
  <c r="D55" i="40"/>
  <c r="E55" i="40"/>
  <c r="F55" i="40"/>
  <c r="G55" i="40"/>
  <c r="H55" i="40"/>
  <c r="I55" i="40"/>
  <c r="J55" i="40"/>
  <c r="K55" i="40"/>
  <c r="L55" i="40"/>
  <c r="M55" i="40"/>
  <c r="N55" i="40"/>
  <c r="O55" i="40"/>
  <c r="P55" i="40"/>
  <c r="Q55" i="40"/>
  <c r="R55" i="40"/>
  <c r="S55" i="40"/>
  <c r="T55" i="40"/>
  <c r="U55" i="40"/>
  <c r="V55" i="40"/>
  <c r="W55" i="40"/>
  <c r="X55" i="40"/>
  <c r="Y55" i="40"/>
  <c r="Z55" i="40"/>
  <c r="AA55" i="40"/>
  <c r="AB55" i="40"/>
  <c r="AC55" i="40"/>
  <c r="AD55" i="40"/>
  <c r="AE55" i="40"/>
  <c r="AF55" i="40"/>
  <c r="AG55" i="40"/>
  <c r="AH55" i="40"/>
  <c r="AI55" i="40"/>
  <c r="AJ55" i="40"/>
  <c r="B56" i="40"/>
  <c r="C56" i="40"/>
  <c r="D56" i="40"/>
  <c r="E56" i="40"/>
  <c r="F56" i="40"/>
  <c r="G56" i="40"/>
  <c r="H56" i="40"/>
  <c r="I56" i="40"/>
  <c r="J56" i="40"/>
  <c r="K56" i="40"/>
  <c r="L56" i="40"/>
  <c r="M56" i="40"/>
  <c r="N56" i="40"/>
  <c r="O56" i="40"/>
  <c r="P56" i="40"/>
  <c r="Q56" i="40"/>
  <c r="R56" i="40"/>
  <c r="S56" i="40"/>
  <c r="T56" i="40"/>
  <c r="U56" i="40"/>
  <c r="V56" i="40"/>
  <c r="W56" i="40"/>
  <c r="X56" i="40"/>
  <c r="Y56" i="40"/>
  <c r="Z56" i="40"/>
  <c r="AA56" i="40"/>
  <c r="AB56" i="40"/>
  <c r="AC56" i="40"/>
  <c r="AD56" i="40"/>
  <c r="AE56" i="40"/>
  <c r="AF56" i="40"/>
  <c r="AG56" i="40"/>
  <c r="AH56" i="40"/>
  <c r="AI56" i="40"/>
  <c r="AJ56" i="40"/>
  <c r="B57" i="40"/>
  <c r="C57" i="40"/>
  <c r="D57" i="40"/>
  <c r="E57" i="40"/>
  <c r="F57" i="40"/>
  <c r="G57" i="40"/>
  <c r="H57" i="40"/>
  <c r="I57" i="40"/>
  <c r="J57" i="40"/>
  <c r="K57" i="40"/>
  <c r="L57" i="40"/>
  <c r="M57" i="40"/>
  <c r="N57" i="40"/>
  <c r="O57" i="40"/>
  <c r="P57" i="40"/>
  <c r="Q57" i="40"/>
  <c r="R57" i="40"/>
  <c r="S57" i="40"/>
  <c r="T57" i="40"/>
  <c r="U57" i="40"/>
  <c r="V57" i="40"/>
  <c r="W57" i="40"/>
  <c r="X57" i="40"/>
  <c r="Y57" i="40"/>
  <c r="Z57" i="40"/>
  <c r="AA57" i="40"/>
  <c r="AB57" i="40"/>
  <c r="AC57" i="40"/>
  <c r="AD57" i="40"/>
  <c r="AE57" i="40"/>
  <c r="AF57" i="40"/>
  <c r="AG57" i="40"/>
  <c r="AH57" i="40"/>
  <c r="AI57" i="40"/>
  <c r="AJ57" i="40"/>
  <c r="B58" i="40"/>
  <c r="C58" i="40"/>
  <c r="D58" i="40"/>
  <c r="E58" i="40"/>
  <c r="F58" i="40"/>
  <c r="G58" i="40"/>
  <c r="H58" i="40"/>
  <c r="I58" i="40"/>
  <c r="J58" i="40"/>
  <c r="K58" i="40"/>
  <c r="L58" i="40"/>
  <c r="M58" i="40"/>
  <c r="N58" i="40"/>
  <c r="O58" i="40"/>
  <c r="P58" i="40"/>
  <c r="Q58" i="40"/>
  <c r="R58" i="40"/>
  <c r="S58" i="40"/>
  <c r="T58" i="40"/>
  <c r="U58" i="40"/>
  <c r="V58" i="40"/>
  <c r="W58" i="40"/>
  <c r="X58" i="40"/>
  <c r="Y58" i="40"/>
  <c r="Z58" i="40"/>
  <c r="AA58" i="40"/>
  <c r="AB58" i="40"/>
  <c r="AC58" i="40"/>
  <c r="AD58" i="40"/>
  <c r="AE58" i="40"/>
  <c r="AF58" i="40"/>
  <c r="AG58" i="40"/>
  <c r="AH58" i="40"/>
  <c r="AI58" i="40"/>
  <c r="AJ58" i="40"/>
  <c r="B59" i="40"/>
  <c r="C59" i="40"/>
  <c r="D59" i="40"/>
  <c r="E59" i="40"/>
  <c r="F59" i="40"/>
  <c r="G59" i="40"/>
  <c r="H59" i="40"/>
  <c r="I59" i="40"/>
  <c r="J59" i="40"/>
  <c r="K59" i="40"/>
  <c r="L59" i="40"/>
  <c r="M59" i="40"/>
  <c r="N59" i="40"/>
  <c r="O59" i="40"/>
  <c r="P59" i="40"/>
  <c r="Q59" i="40"/>
  <c r="R59" i="40"/>
  <c r="S59" i="40"/>
  <c r="T59" i="40"/>
  <c r="U59" i="40"/>
  <c r="V59" i="40"/>
  <c r="W59" i="40"/>
  <c r="X59" i="40"/>
  <c r="Y59" i="40"/>
  <c r="Z59" i="40"/>
  <c r="AA59" i="40"/>
  <c r="AB59" i="40"/>
  <c r="AC59" i="40"/>
  <c r="AD59" i="40"/>
  <c r="AE59" i="40"/>
  <c r="AF59" i="40"/>
  <c r="AG59" i="40"/>
  <c r="AH59" i="40"/>
  <c r="AI59" i="40"/>
  <c r="AJ59" i="40"/>
  <c r="B60" i="40"/>
  <c r="C60" i="40"/>
  <c r="D60" i="40"/>
  <c r="E60" i="40"/>
  <c r="F60" i="40"/>
  <c r="G60" i="40"/>
  <c r="H60" i="40"/>
  <c r="I60" i="40"/>
  <c r="J60" i="40"/>
  <c r="K60" i="40"/>
  <c r="L60" i="40"/>
  <c r="M60" i="40"/>
  <c r="N60" i="40"/>
  <c r="O60" i="40"/>
  <c r="P60" i="40"/>
  <c r="Q60" i="40"/>
  <c r="R60" i="40"/>
  <c r="S60" i="40"/>
  <c r="T60" i="40"/>
  <c r="U60" i="40"/>
  <c r="V60" i="40"/>
  <c r="W60" i="40"/>
  <c r="X60" i="40"/>
  <c r="Y60" i="40"/>
  <c r="Z60" i="40"/>
  <c r="AA60" i="40"/>
  <c r="AB60" i="40"/>
  <c r="AC60" i="40"/>
  <c r="AD60" i="40"/>
  <c r="AE60" i="40"/>
  <c r="AF60" i="40"/>
  <c r="AG60" i="40"/>
  <c r="AH60" i="40"/>
  <c r="AI60" i="40"/>
  <c r="AJ60" i="40"/>
  <c r="B61" i="40"/>
  <c r="C61" i="40"/>
  <c r="D61" i="40"/>
  <c r="E61" i="40"/>
  <c r="F61" i="40"/>
  <c r="G61" i="40"/>
  <c r="H61" i="40"/>
  <c r="I61" i="40"/>
  <c r="J61" i="40"/>
  <c r="K61" i="40"/>
  <c r="L61" i="40"/>
  <c r="M61" i="40"/>
  <c r="N61" i="40"/>
  <c r="O61" i="40"/>
  <c r="P61" i="40"/>
  <c r="Q61" i="40"/>
  <c r="R61" i="40"/>
  <c r="S61" i="40"/>
  <c r="T61" i="40"/>
  <c r="U61" i="40"/>
  <c r="V61" i="40"/>
  <c r="W61" i="40"/>
  <c r="X61" i="40"/>
  <c r="Y61" i="40"/>
  <c r="Z61" i="40"/>
  <c r="AA61" i="40"/>
  <c r="AB61" i="40"/>
  <c r="AC61" i="40"/>
  <c r="AD61" i="40"/>
  <c r="AE61" i="40"/>
  <c r="AF61" i="40"/>
  <c r="AG61" i="40"/>
  <c r="AH61" i="40"/>
  <c r="AI61" i="40"/>
  <c r="AJ61" i="40"/>
  <c r="B62" i="40"/>
  <c r="C62" i="40"/>
  <c r="D62" i="40"/>
  <c r="E62" i="40"/>
  <c r="F62" i="40"/>
  <c r="G62" i="40"/>
  <c r="H62" i="40"/>
  <c r="I62" i="40"/>
  <c r="J62" i="40"/>
  <c r="K62" i="40"/>
  <c r="L62" i="40"/>
  <c r="M62" i="40"/>
  <c r="N62" i="40"/>
  <c r="O62" i="40"/>
  <c r="P62" i="40"/>
  <c r="Q62" i="40"/>
  <c r="R62" i="40"/>
  <c r="S62" i="40"/>
  <c r="T62" i="40"/>
  <c r="U62" i="40"/>
  <c r="V62" i="40"/>
  <c r="W62" i="40"/>
  <c r="X62" i="40"/>
  <c r="Y62" i="40"/>
  <c r="Z62" i="40"/>
  <c r="AA62" i="40"/>
  <c r="AB62" i="40"/>
  <c r="AC62" i="40"/>
  <c r="AD62" i="40"/>
  <c r="AE62" i="40"/>
  <c r="AF62" i="40"/>
  <c r="AG62" i="40"/>
  <c r="AH62" i="40"/>
  <c r="AI62" i="40"/>
  <c r="AJ62" i="40"/>
  <c r="B63" i="40"/>
  <c r="C63" i="40"/>
  <c r="D63" i="40"/>
  <c r="E63" i="40"/>
  <c r="F63" i="40"/>
  <c r="G63" i="40"/>
  <c r="H63" i="40"/>
  <c r="I63" i="40"/>
  <c r="J63" i="40"/>
  <c r="K63" i="40"/>
  <c r="L63" i="40"/>
  <c r="M63" i="40"/>
  <c r="N63" i="40"/>
  <c r="O63" i="40"/>
  <c r="P63" i="40"/>
  <c r="Q63" i="40"/>
  <c r="R63" i="40"/>
  <c r="S63" i="40"/>
  <c r="T63" i="40"/>
  <c r="U63" i="40"/>
  <c r="V63" i="40"/>
  <c r="W63" i="40"/>
  <c r="X63" i="40"/>
  <c r="Y63" i="40"/>
  <c r="Z63" i="40"/>
  <c r="AA63" i="40"/>
  <c r="AB63" i="40"/>
  <c r="AC63" i="40"/>
  <c r="AD63" i="40"/>
  <c r="AE63" i="40"/>
  <c r="AF63" i="40"/>
  <c r="AG63" i="40"/>
  <c r="AH63" i="40"/>
  <c r="AI63" i="40"/>
  <c r="AJ63" i="40"/>
  <c r="B64" i="40"/>
  <c r="C64" i="40"/>
  <c r="D64" i="40"/>
  <c r="E64" i="40"/>
  <c r="F64" i="40"/>
  <c r="G64" i="40"/>
  <c r="H64" i="40"/>
  <c r="I64" i="40"/>
  <c r="J64" i="40"/>
  <c r="K64" i="40"/>
  <c r="L64" i="40"/>
  <c r="M64" i="40"/>
  <c r="N64" i="40"/>
  <c r="O64" i="40"/>
  <c r="P64" i="40"/>
  <c r="Q64" i="40"/>
  <c r="R64" i="40"/>
  <c r="S64" i="40"/>
  <c r="T64" i="40"/>
  <c r="U64" i="40"/>
  <c r="V64" i="40"/>
  <c r="W64" i="40"/>
  <c r="X64" i="40"/>
  <c r="Y64" i="40"/>
  <c r="Z64" i="40"/>
  <c r="AA64" i="40"/>
  <c r="AB64" i="40"/>
  <c r="AC64" i="40"/>
  <c r="AD64" i="40"/>
  <c r="AE64" i="40"/>
  <c r="AF64" i="40"/>
  <c r="AG64" i="40"/>
  <c r="AH64" i="40"/>
  <c r="AI64" i="40"/>
  <c r="AJ64" i="40"/>
  <c r="B65" i="40"/>
  <c r="C65" i="40"/>
  <c r="D65" i="40"/>
  <c r="E65" i="40"/>
  <c r="F65" i="40"/>
  <c r="G65" i="40"/>
  <c r="H65" i="40"/>
  <c r="I65" i="40"/>
  <c r="J65" i="40"/>
  <c r="K65" i="40"/>
  <c r="L65" i="40"/>
  <c r="M65" i="40"/>
  <c r="N65" i="40"/>
  <c r="O65" i="40"/>
  <c r="P65" i="40"/>
  <c r="Q65" i="40"/>
  <c r="R65" i="40"/>
  <c r="S65" i="40"/>
  <c r="T65" i="40"/>
  <c r="U65" i="40"/>
  <c r="V65" i="40"/>
  <c r="W65" i="40"/>
  <c r="X65" i="40"/>
  <c r="Y65" i="40"/>
  <c r="Z65" i="40"/>
  <c r="AA65" i="40"/>
  <c r="AB65" i="40"/>
  <c r="AC65" i="40"/>
  <c r="AD65" i="40"/>
  <c r="AE65" i="40"/>
  <c r="AF65" i="40"/>
  <c r="AG65" i="40"/>
  <c r="AH65" i="40"/>
  <c r="AI65" i="40"/>
  <c r="AJ65" i="40"/>
  <c r="B66" i="40"/>
  <c r="C66" i="40"/>
  <c r="D66" i="40"/>
  <c r="E66" i="40"/>
  <c r="F66" i="40"/>
  <c r="G66" i="40"/>
  <c r="H66" i="40"/>
  <c r="I66" i="40"/>
  <c r="J66" i="40"/>
  <c r="K66" i="40"/>
  <c r="L66" i="40"/>
  <c r="M66" i="40"/>
  <c r="N66" i="40"/>
  <c r="O66" i="40"/>
  <c r="P66" i="40"/>
  <c r="Q66" i="40"/>
  <c r="R66" i="40"/>
  <c r="S66" i="40"/>
  <c r="T66" i="40"/>
  <c r="U66" i="40"/>
  <c r="V66" i="40"/>
  <c r="W66" i="40"/>
  <c r="X66" i="40"/>
  <c r="Y66" i="40"/>
  <c r="Z66" i="40"/>
  <c r="AA66" i="40"/>
  <c r="AB66" i="40"/>
  <c r="AC66" i="40"/>
  <c r="AD66" i="40"/>
  <c r="AE66" i="40"/>
  <c r="AF66" i="40"/>
  <c r="AG66" i="40"/>
  <c r="AH66" i="40"/>
  <c r="AI66" i="40"/>
  <c r="AJ66" i="40"/>
  <c r="B67" i="40"/>
  <c r="C67" i="40"/>
  <c r="D67" i="40"/>
  <c r="E67" i="40"/>
  <c r="F67" i="40"/>
  <c r="G67" i="40"/>
  <c r="H67" i="40"/>
  <c r="I67" i="40"/>
  <c r="J67" i="40"/>
  <c r="K67" i="40"/>
  <c r="L67" i="40"/>
  <c r="M67" i="40"/>
  <c r="N67" i="40"/>
  <c r="O67" i="40"/>
  <c r="P67" i="40"/>
  <c r="Q67" i="40"/>
  <c r="R67" i="40"/>
  <c r="S67" i="40"/>
  <c r="T67" i="40"/>
  <c r="U67" i="40"/>
  <c r="V67" i="40"/>
  <c r="W67" i="40"/>
  <c r="X67" i="40"/>
  <c r="Y67" i="40"/>
  <c r="Z67" i="40"/>
  <c r="AA67" i="40"/>
  <c r="AB67" i="40"/>
  <c r="AC67" i="40"/>
  <c r="AD67" i="40"/>
  <c r="AE67" i="40"/>
  <c r="AF67" i="40"/>
  <c r="AG67" i="40"/>
  <c r="AH67" i="40"/>
  <c r="AI67" i="40"/>
  <c r="AJ67" i="40"/>
  <c r="B68" i="40"/>
  <c r="C68" i="40"/>
  <c r="D68" i="40"/>
  <c r="E68" i="40"/>
  <c r="F68" i="40"/>
  <c r="G68" i="40"/>
  <c r="H68" i="40"/>
  <c r="I68" i="40"/>
  <c r="J68" i="40"/>
  <c r="K68" i="40"/>
  <c r="L68" i="40"/>
  <c r="M68" i="40"/>
  <c r="N68" i="40"/>
  <c r="O68" i="40"/>
  <c r="P68" i="40"/>
  <c r="Q68" i="40"/>
  <c r="R68" i="40"/>
  <c r="S68" i="40"/>
  <c r="T68" i="40"/>
  <c r="U68" i="40"/>
  <c r="V68" i="40"/>
  <c r="W68" i="40"/>
  <c r="X68" i="40"/>
  <c r="Y68" i="40"/>
  <c r="Z68" i="40"/>
  <c r="AA68" i="40"/>
  <c r="AB68" i="40"/>
  <c r="AC68" i="40"/>
  <c r="AD68" i="40"/>
  <c r="AE68" i="40"/>
  <c r="AF68" i="40"/>
  <c r="AG68" i="40"/>
  <c r="AH68" i="40"/>
  <c r="AI68" i="40"/>
  <c r="AJ68" i="40"/>
  <c r="B69" i="40"/>
  <c r="C69" i="40"/>
  <c r="D69" i="40"/>
  <c r="E69" i="40"/>
  <c r="F69" i="40"/>
  <c r="G69" i="40"/>
  <c r="H69" i="40"/>
  <c r="I69" i="40"/>
  <c r="J69" i="40"/>
  <c r="K69" i="40"/>
  <c r="L69" i="40"/>
  <c r="M69" i="40"/>
  <c r="N69" i="40"/>
  <c r="O69" i="40"/>
  <c r="P69" i="40"/>
  <c r="Q69" i="40"/>
  <c r="R69" i="40"/>
  <c r="S69" i="40"/>
  <c r="T69" i="40"/>
  <c r="U69" i="40"/>
  <c r="V69" i="40"/>
  <c r="W69" i="40"/>
  <c r="X69" i="40"/>
  <c r="Y69" i="40"/>
  <c r="Z69" i="40"/>
  <c r="AA69" i="40"/>
  <c r="AB69" i="40"/>
  <c r="AC69" i="40"/>
  <c r="AD69" i="40"/>
  <c r="AE69" i="40"/>
  <c r="AF69" i="40"/>
  <c r="AG69" i="40"/>
  <c r="AH69" i="40"/>
  <c r="AI69" i="40"/>
  <c r="AJ69" i="40"/>
  <c r="B70" i="40"/>
  <c r="C70" i="40"/>
  <c r="D70" i="40"/>
  <c r="E70" i="40"/>
  <c r="F70" i="40"/>
  <c r="G70" i="40"/>
  <c r="H70" i="40"/>
  <c r="I70" i="40"/>
  <c r="J70" i="40"/>
  <c r="K70" i="40"/>
  <c r="L70" i="40"/>
  <c r="M70" i="40"/>
  <c r="N70" i="40"/>
  <c r="O70" i="40"/>
  <c r="P70" i="40"/>
  <c r="Q70" i="40"/>
  <c r="R70" i="40"/>
  <c r="S70" i="40"/>
  <c r="T70" i="40"/>
  <c r="U70" i="40"/>
  <c r="V70" i="40"/>
  <c r="W70" i="40"/>
  <c r="X70" i="40"/>
  <c r="Y70" i="40"/>
  <c r="Z70" i="40"/>
  <c r="AA70" i="40"/>
  <c r="AB70" i="40"/>
  <c r="AC70" i="40"/>
  <c r="AD70" i="40"/>
  <c r="AE70" i="40"/>
  <c r="AF70" i="40"/>
  <c r="AG70" i="40"/>
  <c r="AH70" i="40"/>
  <c r="AI70" i="40"/>
  <c r="AJ70" i="40"/>
  <c r="B71" i="40"/>
  <c r="C71" i="40"/>
  <c r="D71" i="40"/>
  <c r="E71" i="40"/>
  <c r="F71" i="40"/>
  <c r="G71" i="40"/>
  <c r="H71" i="40"/>
  <c r="I71" i="40"/>
  <c r="J71" i="40"/>
  <c r="K71" i="40"/>
  <c r="L71" i="40"/>
  <c r="M71" i="40"/>
  <c r="N71" i="40"/>
  <c r="O71" i="40"/>
  <c r="P71" i="40"/>
  <c r="Q71" i="40"/>
  <c r="R71" i="40"/>
  <c r="S71" i="40"/>
  <c r="T71" i="40"/>
  <c r="U71" i="40"/>
  <c r="V71" i="40"/>
  <c r="W71" i="40"/>
  <c r="X71" i="40"/>
  <c r="Y71" i="40"/>
  <c r="Z71" i="40"/>
  <c r="AA71" i="40"/>
  <c r="AB71" i="40"/>
  <c r="AC71" i="40"/>
  <c r="AD71" i="40"/>
  <c r="AE71" i="40"/>
  <c r="AF71" i="40"/>
  <c r="AG71" i="40"/>
  <c r="AH71" i="40"/>
  <c r="AI71" i="40"/>
  <c r="AJ71" i="40"/>
  <c r="B72" i="40"/>
  <c r="C72" i="40"/>
  <c r="D72" i="40"/>
  <c r="E72" i="40"/>
  <c r="F72" i="40"/>
  <c r="G72" i="40"/>
  <c r="H72" i="40"/>
  <c r="I72" i="40"/>
  <c r="J72" i="40"/>
  <c r="K72" i="40"/>
  <c r="L72" i="40"/>
  <c r="M72" i="40"/>
  <c r="N72" i="40"/>
  <c r="O72" i="40"/>
  <c r="P72" i="40"/>
  <c r="Q72" i="40"/>
  <c r="R72" i="40"/>
  <c r="S72" i="40"/>
  <c r="T72" i="40"/>
  <c r="U72" i="40"/>
  <c r="V72" i="40"/>
  <c r="W72" i="40"/>
  <c r="X72" i="40"/>
  <c r="Y72" i="40"/>
  <c r="Z72" i="40"/>
  <c r="AA72" i="40"/>
  <c r="AB72" i="40"/>
  <c r="AC72" i="40"/>
  <c r="AD72" i="40"/>
  <c r="AE72" i="40"/>
  <c r="AF72" i="40"/>
  <c r="AG72" i="40"/>
  <c r="AH72" i="40"/>
  <c r="AI72" i="40"/>
  <c r="AJ72" i="40"/>
  <c r="B73" i="40"/>
  <c r="C73" i="40"/>
  <c r="D73" i="40"/>
  <c r="E73" i="40"/>
  <c r="F73" i="40"/>
  <c r="G73" i="40"/>
  <c r="H73" i="40"/>
  <c r="I73" i="40"/>
  <c r="J73" i="40"/>
  <c r="K73" i="40"/>
  <c r="L73" i="40"/>
  <c r="M73" i="40"/>
  <c r="N73" i="40"/>
  <c r="O73" i="40"/>
  <c r="P73" i="40"/>
  <c r="Q73" i="40"/>
  <c r="R73" i="40"/>
  <c r="S73" i="40"/>
  <c r="T73" i="40"/>
  <c r="U73" i="40"/>
  <c r="V73" i="40"/>
  <c r="W73" i="40"/>
  <c r="X73" i="40"/>
  <c r="Y73" i="40"/>
  <c r="Z73" i="40"/>
  <c r="AA73" i="40"/>
  <c r="AB73" i="40"/>
  <c r="AC73" i="40"/>
  <c r="AD73" i="40"/>
  <c r="AE73" i="40"/>
  <c r="AF73" i="40"/>
  <c r="AG73" i="40"/>
  <c r="AH73" i="40"/>
  <c r="AI73" i="40"/>
  <c r="AJ73" i="40"/>
  <c r="B74" i="40"/>
  <c r="C74" i="40"/>
  <c r="D74" i="40"/>
  <c r="E74" i="40"/>
  <c r="F74" i="40"/>
  <c r="G74" i="40"/>
  <c r="H74" i="40"/>
  <c r="I74" i="40"/>
  <c r="J74" i="40"/>
  <c r="K74" i="40"/>
  <c r="L74" i="40"/>
  <c r="M74" i="40"/>
  <c r="N74" i="40"/>
  <c r="O74" i="40"/>
  <c r="P74" i="40"/>
  <c r="Q74" i="40"/>
  <c r="R74" i="40"/>
  <c r="S74" i="40"/>
  <c r="T74" i="40"/>
  <c r="U74" i="40"/>
  <c r="V74" i="40"/>
  <c r="W74" i="40"/>
  <c r="X74" i="40"/>
  <c r="Y74" i="40"/>
  <c r="Z74" i="40"/>
  <c r="AA74" i="40"/>
  <c r="AB74" i="40"/>
  <c r="AC74" i="40"/>
  <c r="AD74" i="40"/>
  <c r="AE74" i="40"/>
  <c r="AF74" i="40"/>
  <c r="AG74" i="40"/>
  <c r="AH74" i="40"/>
  <c r="AI74" i="40"/>
  <c r="AJ74" i="40"/>
  <c r="B75" i="40"/>
  <c r="C75" i="40"/>
  <c r="D75" i="40"/>
  <c r="E75" i="40"/>
  <c r="F75" i="40"/>
  <c r="G75" i="40"/>
  <c r="H75" i="40"/>
  <c r="I75" i="40"/>
  <c r="J75" i="40"/>
  <c r="K75" i="40"/>
  <c r="L75" i="40"/>
  <c r="M75" i="40"/>
  <c r="N75" i="40"/>
  <c r="O75" i="40"/>
  <c r="P75" i="40"/>
  <c r="Q75" i="40"/>
  <c r="R75" i="40"/>
  <c r="S75" i="40"/>
  <c r="T75" i="40"/>
  <c r="U75" i="40"/>
  <c r="V75" i="40"/>
  <c r="W75" i="40"/>
  <c r="X75" i="40"/>
  <c r="Y75" i="40"/>
  <c r="Z75" i="40"/>
  <c r="AA75" i="40"/>
  <c r="AB75" i="40"/>
  <c r="AC75" i="40"/>
  <c r="AD75" i="40"/>
  <c r="AE75" i="40"/>
  <c r="AF75" i="40"/>
  <c r="AG75" i="40"/>
  <c r="AH75" i="40"/>
  <c r="AI75" i="40"/>
  <c r="AJ75" i="40"/>
  <c r="B76" i="40"/>
  <c r="C76" i="40"/>
  <c r="D76" i="40"/>
  <c r="E76" i="40"/>
  <c r="F76" i="40"/>
  <c r="G76" i="40"/>
  <c r="H76" i="40"/>
  <c r="I76" i="40"/>
  <c r="J76" i="40"/>
  <c r="K76" i="40"/>
  <c r="L76" i="40"/>
  <c r="M76" i="40"/>
  <c r="N76" i="40"/>
  <c r="O76" i="40"/>
  <c r="P76" i="40"/>
  <c r="Q76" i="40"/>
  <c r="R76" i="40"/>
  <c r="S76" i="40"/>
  <c r="T76" i="40"/>
  <c r="U76" i="40"/>
  <c r="V76" i="40"/>
  <c r="W76" i="40"/>
  <c r="X76" i="40"/>
  <c r="Y76" i="40"/>
  <c r="Z76" i="40"/>
  <c r="AA76" i="40"/>
  <c r="AB76" i="40"/>
  <c r="AC76" i="40"/>
  <c r="AD76" i="40"/>
  <c r="AE76" i="40"/>
  <c r="AF76" i="40"/>
  <c r="AG76" i="40"/>
  <c r="AH76" i="40"/>
  <c r="AI76" i="40"/>
  <c r="AJ76" i="40"/>
  <c r="B77" i="40"/>
  <c r="C77" i="40"/>
  <c r="D77" i="40"/>
  <c r="E77" i="40"/>
  <c r="F77" i="40"/>
  <c r="G77" i="40"/>
  <c r="H77" i="40"/>
  <c r="I77" i="40"/>
  <c r="J77" i="40"/>
  <c r="K77" i="40"/>
  <c r="L77" i="40"/>
  <c r="M77" i="40"/>
  <c r="N77" i="40"/>
  <c r="O77" i="40"/>
  <c r="P77" i="40"/>
  <c r="Q77" i="40"/>
  <c r="R77" i="40"/>
  <c r="S77" i="40"/>
  <c r="T77" i="40"/>
  <c r="U77" i="40"/>
  <c r="V77" i="40"/>
  <c r="W77" i="40"/>
  <c r="X77" i="40"/>
  <c r="Y77" i="40"/>
  <c r="Z77" i="40"/>
  <c r="AA77" i="40"/>
  <c r="AB77" i="40"/>
  <c r="AC77" i="40"/>
  <c r="AD77" i="40"/>
  <c r="AE77" i="40"/>
  <c r="AF77" i="40"/>
  <c r="AG77" i="40"/>
  <c r="AH77" i="40"/>
  <c r="AI77" i="40"/>
  <c r="AJ77" i="40"/>
  <c r="B78" i="40"/>
  <c r="C78" i="40"/>
  <c r="D78" i="40"/>
  <c r="E78" i="40"/>
  <c r="F78" i="40"/>
  <c r="G78" i="40"/>
  <c r="H78" i="40"/>
  <c r="I78" i="40"/>
  <c r="J78" i="40"/>
  <c r="K78" i="40"/>
  <c r="L78" i="40"/>
  <c r="M78" i="40"/>
  <c r="N78" i="40"/>
  <c r="O78" i="40"/>
  <c r="P78" i="40"/>
  <c r="Q78" i="40"/>
  <c r="R78" i="40"/>
  <c r="S78" i="40"/>
  <c r="T78" i="40"/>
  <c r="U78" i="40"/>
  <c r="V78" i="40"/>
  <c r="W78" i="40"/>
  <c r="X78" i="40"/>
  <c r="Y78" i="40"/>
  <c r="Z78" i="40"/>
  <c r="AA78" i="40"/>
  <c r="AB78" i="40"/>
  <c r="AC78" i="40"/>
  <c r="AD78" i="40"/>
  <c r="AE78" i="40"/>
  <c r="AF78" i="40"/>
  <c r="AG78" i="40"/>
  <c r="AH78" i="40"/>
  <c r="AI78" i="40"/>
  <c r="AJ78" i="40"/>
  <c r="B79" i="40"/>
  <c r="C79" i="40"/>
  <c r="D79" i="40"/>
  <c r="E79" i="40"/>
  <c r="F79" i="40"/>
  <c r="G79" i="40"/>
  <c r="H79" i="40"/>
  <c r="I79" i="40"/>
  <c r="J79" i="40"/>
  <c r="K79" i="40"/>
  <c r="L79" i="40"/>
  <c r="M79" i="40"/>
  <c r="N79" i="40"/>
  <c r="O79" i="40"/>
  <c r="P79" i="40"/>
  <c r="Q79" i="40"/>
  <c r="R79" i="40"/>
  <c r="S79" i="40"/>
  <c r="T79" i="40"/>
  <c r="U79" i="40"/>
  <c r="V79" i="40"/>
  <c r="W79" i="40"/>
  <c r="X79" i="40"/>
  <c r="Y79" i="40"/>
  <c r="Z79" i="40"/>
  <c r="AA79" i="40"/>
  <c r="AB79" i="40"/>
  <c r="AC79" i="40"/>
  <c r="AD79" i="40"/>
  <c r="AE79" i="40"/>
  <c r="AF79" i="40"/>
  <c r="AG79" i="40"/>
  <c r="AH79" i="40"/>
  <c r="AI79" i="40"/>
  <c r="AJ79" i="40"/>
  <c r="B80" i="40"/>
  <c r="C80" i="40"/>
  <c r="D80" i="40"/>
  <c r="E80" i="40"/>
  <c r="F80" i="40"/>
  <c r="G80" i="40"/>
  <c r="H80" i="40"/>
  <c r="I80" i="40"/>
  <c r="J80" i="40"/>
  <c r="K80" i="40"/>
  <c r="L80" i="40"/>
  <c r="M80" i="40"/>
  <c r="N80" i="40"/>
  <c r="O80" i="40"/>
  <c r="P80" i="40"/>
  <c r="Q80" i="40"/>
  <c r="R80" i="40"/>
  <c r="S80" i="40"/>
  <c r="T80" i="40"/>
  <c r="U80" i="40"/>
  <c r="V80" i="40"/>
  <c r="W80" i="40"/>
  <c r="X80" i="40"/>
  <c r="Y80" i="40"/>
  <c r="Z80" i="40"/>
  <c r="AA80" i="40"/>
  <c r="AB80" i="40"/>
  <c r="AC80" i="40"/>
  <c r="AD80" i="40"/>
  <c r="AE80" i="40"/>
  <c r="AF80" i="40"/>
  <c r="AG80" i="40"/>
  <c r="AH80" i="40"/>
  <c r="AI80" i="40"/>
  <c r="AJ80" i="40"/>
  <c r="B81" i="40"/>
  <c r="C81" i="40"/>
  <c r="D81" i="40"/>
  <c r="E81" i="40"/>
  <c r="F81" i="40"/>
  <c r="G81" i="40"/>
  <c r="H81" i="40"/>
  <c r="I81" i="40"/>
  <c r="J81" i="40"/>
  <c r="K81" i="40"/>
  <c r="L81" i="40"/>
  <c r="M81" i="40"/>
  <c r="N81" i="40"/>
  <c r="O81" i="40"/>
  <c r="P81" i="40"/>
  <c r="Q81" i="40"/>
  <c r="R81" i="40"/>
  <c r="S81" i="40"/>
  <c r="T81" i="40"/>
  <c r="U81" i="40"/>
  <c r="V81" i="40"/>
  <c r="W81" i="40"/>
  <c r="X81" i="40"/>
  <c r="Y81" i="40"/>
  <c r="Z81" i="40"/>
  <c r="AA81" i="40"/>
  <c r="AB81" i="40"/>
  <c r="AC81" i="40"/>
  <c r="AD81" i="40"/>
  <c r="AE81" i="40"/>
  <c r="AF81" i="40"/>
  <c r="AG81" i="40"/>
  <c r="AH81" i="40"/>
  <c r="AI81" i="40"/>
  <c r="AJ81" i="40"/>
  <c r="B82" i="40"/>
  <c r="C82" i="40"/>
  <c r="D82" i="40"/>
  <c r="E82" i="40"/>
  <c r="F82" i="40"/>
  <c r="G82" i="40"/>
  <c r="H82" i="40"/>
  <c r="I82" i="40"/>
  <c r="J82" i="40"/>
  <c r="K82" i="40"/>
  <c r="L82" i="40"/>
  <c r="M82" i="40"/>
  <c r="N82" i="40"/>
  <c r="O82" i="40"/>
  <c r="P82" i="40"/>
  <c r="Q82" i="40"/>
  <c r="R82" i="40"/>
  <c r="S82" i="40"/>
  <c r="T82" i="40"/>
  <c r="U82" i="40"/>
  <c r="V82" i="40"/>
  <c r="W82" i="40"/>
  <c r="X82" i="40"/>
  <c r="Y82" i="40"/>
  <c r="Z82" i="40"/>
  <c r="AA82" i="40"/>
  <c r="AB82" i="40"/>
  <c r="AC82" i="40"/>
  <c r="AD82" i="40"/>
  <c r="AE82" i="40"/>
  <c r="AF82" i="40"/>
  <c r="AG82" i="40"/>
  <c r="AH82" i="40"/>
  <c r="AI82" i="40"/>
  <c r="AJ82" i="40"/>
  <c r="B83" i="40"/>
  <c r="C83" i="40"/>
  <c r="D83" i="40"/>
  <c r="E83" i="40"/>
  <c r="F83" i="40"/>
  <c r="G83" i="40"/>
  <c r="H83" i="40"/>
  <c r="I83" i="40"/>
  <c r="J83" i="40"/>
  <c r="K83" i="40"/>
  <c r="L83" i="40"/>
  <c r="M83" i="40"/>
  <c r="N83" i="40"/>
  <c r="O83" i="40"/>
  <c r="P83" i="40"/>
  <c r="Q83" i="40"/>
  <c r="R83" i="40"/>
  <c r="S83" i="40"/>
  <c r="T83" i="40"/>
  <c r="U83" i="40"/>
  <c r="V83" i="40"/>
  <c r="W83" i="40"/>
  <c r="X83" i="40"/>
  <c r="Y83" i="40"/>
  <c r="Z83" i="40"/>
  <c r="AA83" i="40"/>
  <c r="AB83" i="40"/>
  <c r="AC83" i="40"/>
  <c r="AD83" i="40"/>
  <c r="AE83" i="40"/>
  <c r="AF83" i="40"/>
  <c r="AG83" i="40"/>
  <c r="AH83" i="40"/>
  <c r="AI83" i="40"/>
  <c r="AJ83" i="40"/>
  <c r="B84" i="40"/>
  <c r="C84" i="40"/>
  <c r="D84" i="40"/>
  <c r="E84" i="40"/>
  <c r="F84" i="40"/>
  <c r="G84" i="40"/>
  <c r="H84" i="40"/>
  <c r="I84" i="40"/>
  <c r="J84" i="40"/>
  <c r="K84" i="40"/>
  <c r="L84" i="40"/>
  <c r="M84" i="40"/>
  <c r="N84" i="40"/>
  <c r="O84" i="40"/>
  <c r="P84" i="40"/>
  <c r="Q84" i="40"/>
  <c r="R84" i="40"/>
  <c r="S84" i="40"/>
  <c r="T84" i="40"/>
  <c r="U84" i="40"/>
  <c r="V84" i="40"/>
  <c r="W84" i="40"/>
  <c r="X84" i="40"/>
  <c r="Y84" i="40"/>
  <c r="Z84" i="40"/>
  <c r="AA84" i="40"/>
  <c r="AB84" i="40"/>
  <c r="AC84" i="40"/>
  <c r="AD84" i="40"/>
  <c r="AE84" i="40"/>
  <c r="AF84" i="40"/>
  <c r="AG84" i="40"/>
  <c r="AH84" i="40"/>
  <c r="AI84" i="40"/>
  <c r="AJ84" i="40"/>
  <c r="B85" i="40"/>
  <c r="C85" i="40"/>
  <c r="D85" i="40"/>
  <c r="E85" i="40"/>
  <c r="F85" i="40"/>
  <c r="G85" i="40"/>
  <c r="H85" i="40"/>
  <c r="I85" i="40"/>
  <c r="J85" i="40"/>
  <c r="K85" i="40"/>
  <c r="L85" i="40"/>
  <c r="M85" i="40"/>
  <c r="N85" i="40"/>
  <c r="O85" i="40"/>
  <c r="P85" i="40"/>
  <c r="Q85" i="40"/>
  <c r="R85" i="40"/>
  <c r="S85" i="40"/>
  <c r="T85" i="40"/>
  <c r="U85" i="40"/>
  <c r="V85" i="40"/>
  <c r="W85" i="40"/>
  <c r="X85" i="40"/>
  <c r="Y85" i="40"/>
  <c r="Z85" i="40"/>
  <c r="AA85" i="40"/>
  <c r="AB85" i="40"/>
  <c r="AC85" i="40"/>
  <c r="AD85" i="40"/>
  <c r="AE85" i="40"/>
  <c r="AF85" i="40"/>
  <c r="AG85" i="40"/>
  <c r="AH85" i="40"/>
  <c r="AI85" i="40"/>
  <c r="AJ85" i="40"/>
  <c r="B86" i="40"/>
  <c r="C86" i="40"/>
  <c r="D86" i="40"/>
  <c r="E86" i="40"/>
  <c r="F86" i="40"/>
  <c r="G86" i="40"/>
  <c r="H86" i="40"/>
  <c r="I86" i="40"/>
  <c r="J86" i="40"/>
  <c r="K86" i="40"/>
  <c r="L86" i="40"/>
  <c r="M86" i="40"/>
  <c r="N86" i="40"/>
  <c r="O86" i="40"/>
  <c r="P86" i="40"/>
  <c r="Q86" i="40"/>
  <c r="R86" i="40"/>
  <c r="S86" i="40"/>
  <c r="T86" i="40"/>
  <c r="U86" i="40"/>
  <c r="V86" i="40"/>
  <c r="W86" i="40"/>
  <c r="X86" i="40"/>
  <c r="Y86" i="40"/>
  <c r="Z86" i="40"/>
  <c r="AA86" i="40"/>
  <c r="AB86" i="40"/>
  <c r="AC86" i="40"/>
  <c r="AD86" i="40"/>
  <c r="AE86" i="40"/>
  <c r="AF86" i="40"/>
  <c r="AG86" i="40"/>
  <c r="AH86" i="40"/>
  <c r="AI86" i="40"/>
  <c r="AJ86" i="40"/>
  <c r="B87" i="40"/>
  <c r="C87" i="40"/>
  <c r="D87" i="40"/>
  <c r="E87" i="40"/>
  <c r="F87" i="40"/>
  <c r="G87" i="40"/>
  <c r="H87" i="40"/>
  <c r="I87" i="40"/>
  <c r="J87" i="40"/>
  <c r="K87" i="40"/>
  <c r="L87" i="40"/>
  <c r="M87" i="40"/>
  <c r="N87" i="40"/>
  <c r="O87" i="40"/>
  <c r="P87" i="40"/>
  <c r="Q87" i="40"/>
  <c r="R87" i="40"/>
  <c r="S87" i="40"/>
  <c r="T87" i="40"/>
  <c r="U87" i="40"/>
  <c r="V87" i="40"/>
  <c r="W87" i="40"/>
  <c r="X87" i="40"/>
  <c r="Y87" i="40"/>
  <c r="Z87" i="40"/>
  <c r="AA87" i="40"/>
  <c r="AB87" i="40"/>
  <c r="AC87" i="40"/>
  <c r="AD87" i="40"/>
  <c r="AE87" i="40"/>
  <c r="AF87" i="40"/>
  <c r="AG87" i="40"/>
  <c r="AH87" i="40"/>
  <c r="AI87" i="40"/>
  <c r="AJ87" i="40"/>
  <c r="B88" i="40"/>
  <c r="C88" i="40"/>
  <c r="D88" i="40"/>
  <c r="E88" i="40"/>
  <c r="F88" i="40"/>
  <c r="G88" i="40"/>
  <c r="H88" i="40"/>
  <c r="I88" i="40"/>
  <c r="J88" i="40"/>
  <c r="K88" i="40"/>
  <c r="L88" i="40"/>
  <c r="M88" i="40"/>
  <c r="N88" i="40"/>
  <c r="O88" i="40"/>
  <c r="P88" i="40"/>
  <c r="Q88" i="40"/>
  <c r="R88" i="40"/>
  <c r="S88" i="40"/>
  <c r="T88" i="40"/>
  <c r="U88" i="40"/>
  <c r="V88" i="40"/>
  <c r="W88" i="40"/>
  <c r="X88" i="40"/>
  <c r="Y88" i="40"/>
  <c r="Z88" i="40"/>
  <c r="AA88" i="40"/>
  <c r="AB88" i="40"/>
  <c r="AC88" i="40"/>
  <c r="AD88" i="40"/>
  <c r="AE88" i="40"/>
  <c r="AF88" i="40"/>
  <c r="AG88" i="40"/>
  <c r="AH88" i="40"/>
  <c r="AI88" i="40"/>
  <c r="AJ88" i="40"/>
  <c r="B89" i="40"/>
  <c r="C89" i="40"/>
  <c r="D89" i="40"/>
  <c r="E89" i="40"/>
  <c r="F89" i="40"/>
  <c r="G89" i="40"/>
  <c r="H89" i="40"/>
  <c r="I89" i="40"/>
  <c r="J89" i="40"/>
  <c r="K89" i="40"/>
  <c r="L89" i="40"/>
  <c r="M89" i="40"/>
  <c r="N89" i="40"/>
  <c r="O89" i="40"/>
  <c r="P89" i="40"/>
  <c r="Q89" i="40"/>
  <c r="R89" i="40"/>
  <c r="S89" i="40"/>
  <c r="T89" i="40"/>
  <c r="U89" i="40"/>
  <c r="V89" i="40"/>
  <c r="W89" i="40"/>
  <c r="X89" i="40"/>
  <c r="Y89" i="40"/>
  <c r="Z89" i="40"/>
  <c r="AA89" i="40"/>
  <c r="AB89" i="40"/>
  <c r="AC89" i="40"/>
  <c r="AD89" i="40"/>
  <c r="AE89" i="40"/>
  <c r="AF89" i="40"/>
  <c r="AG89" i="40"/>
  <c r="AH89" i="40"/>
  <c r="AI89" i="40"/>
  <c r="AJ89" i="40"/>
  <c r="B90" i="40"/>
  <c r="C90" i="40"/>
  <c r="D90" i="40"/>
  <c r="E90" i="40"/>
  <c r="F90" i="40"/>
  <c r="G90" i="40"/>
  <c r="H90" i="40"/>
  <c r="I90" i="40"/>
  <c r="J90" i="40"/>
  <c r="K90" i="40"/>
  <c r="L90" i="40"/>
  <c r="M90" i="40"/>
  <c r="N90" i="40"/>
  <c r="O90" i="40"/>
  <c r="P90" i="40"/>
  <c r="Q90" i="40"/>
  <c r="R90" i="40"/>
  <c r="S90" i="40"/>
  <c r="T90" i="40"/>
  <c r="U90" i="40"/>
  <c r="V90" i="40"/>
  <c r="W90" i="40"/>
  <c r="X90" i="40"/>
  <c r="Y90" i="40"/>
  <c r="Z90" i="40"/>
  <c r="AA90" i="40"/>
  <c r="AB90" i="40"/>
  <c r="AC90" i="40"/>
  <c r="AD90" i="40"/>
  <c r="AE90" i="40"/>
  <c r="AF90" i="40"/>
  <c r="AG90" i="40"/>
  <c r="AH90" i="40"/>
  <c r="AI90" i="40"/>
  <c r="AJ90" i="40"/>
  <c r="B91" i="40"/>
  <c r="C91" i="40"/>
  <c r="D91" i="40"/>
  <c r="E91" i="40"/>
  <c r="F91" i="40"/>
  <c r="G91" i="40"/>
  <c r="H91" i="40"/>
  <c r="I91" i="40"/>
  <c r="J91" i="40"/>
  <c r="K91" i="40"/>
  <c r="L91" i="40"/>
  <c r="M91" i="40"/>
  <c r="N91" i="40"/>
  <c r="O91" i="40"/>
  <c r="P91" i="40"/>
  <c r="Q91" i="40"/>
  <c r="R91" i="40"/>
  <c r="S91" i="40"/>
  <c r="T91" i="40"/>
  <c r="U91" i="40"/>
  <c r="V91" i="40"/>
  <c r="W91" i="40"/>
  <c r="X91" i="40"/>
  <c r="Y91" i="40"/>
  <c r="Z91" i="40"/>
  <c r="AA91" i="40"/>
  <c r="AB91" i="40"/>
  <c r="AC91" i="40"/>
  <c r="AD91" i="40"/>
  <c r="AE91" i="40"/>
  <c r="AF91" i="40"/>
  <c r="AG91" i="40"/>
  <c r="AH91" i="40"/>
  <c r="AI91" i="40"/>
  <c r="AJ91" i="40"/>
  <c r="B92" i="40"/>
  <c r="C92" i="40"/>
  <c r="D92" i="40"/>
  <c r="E92" i="40"/>
  <c r="F92" i="40"/>
  <c r="G92" i="40"/>
  <c r="H92" i="40"/>
  <c r="I92" i="40"/>
  <c r="J92" i="40"/>
  <c r="K92" i="40"/>
  <c r="L92" i="40"/>
  <c r="M92" i="40"/>
  <c r="N92" i="40"/>
  <c r="O92" i="40"/>
  <c r="P92" i="40"/>
  <c r="Q92" i="40"/>
  <c r="R92" i="40"/>
  <c r="S92" i="40"/>
  <c r="T92" i="40"/>
  <c r="U92" i="40"/>
  <c r="V92" i="40"/>
  <c r="W92" i="40"/>
  <c r="X92" i="40"/>
  <c r="Y92" i="40"/>
  <c r="Z92" i="40"/>
  <c r="AA92" i="40"/>
  <c r="AB92" i="40"/>
  <c r="AC92" i="40"/>
  <c r="AD92" i="40"/>
  <c r="AE92" i="40"/>
  <c r="AF92" i="40"/>
  <c r="AG92" i="40"/>
  <c r="AH92" i="40"/>
  <c r="AI92" i="40"/>
  <c r="AJ92" i="40"/>
  <c r="B93" i="40"/>
  <c r="C93" i="40"/>
  <c r="D93" i="40"/>
  <c r="E93" i="40"/>
  <c r="F93" i="40"/>
  <c r="G93" i="40"/>
  <c r="H93" i="40"/>
  <c r="I93" i="40"/>
  <c r="J93" i="40"/>
  <c r="K93" i="40"/>
  <c r="L93" i="40"/>
  <c r="M93" i="40"/>
  <c r="N93" i="40"/>
  <c r="O93" i="40"/>
  <c r="P93" i="40"/>
  <c r="Q93" i="40"/>
  <c r="R93" i="40"/>
  <c r="S93" i="40"/>
  <c r="T93" i="40"/>
  <c r="U93" i="40"/>
  <c r="V93" i="40"/>
  <c r="W93" i="40"/>
  <c r="X93" i="40"/>
  <c r="Y93" i="40"/>
  <c r="Z93" i="40"/>
  <c r="AA93" i="40"/>
  <c r="AB93" i="40"/>
  <c r="AC93" i="40"/>
  <c r="AD93" i="40"/>
  <c r="AE93" i="40"/>
  <c r="AF93" i="40"/>
  <c r="AG93" i="40"/>
  <c r="AH93" i="40"/>
  <c r="AI93" i="40"/>
  <c r="AJ93" i="40"/>
  <c r="B94" i="40"/>
  <c r="C94" i="40"/>
  <c r="D94" i="40"/>
  <c r="E94" i="40"/>
  <c r="F94" i="40"/>
  <c r="G94" i="40"/>
  <c r="H94" i="40"/>
  <c r="I94" i="40"/>
  <c r="J94" i="40"/>
  <c r="K94" i="40"/>
  <c r="L94" i="40"/>
  <c r="M94" i="40"/>
  <c r="N94" i="40"/>
  <c r="O94" i="40"/>
  <c r="P94" i="40"/>
  <c r="Q94" i="40"/>
  <c r="R94" i="40"/>
  <c r="S94" i="40"/>
  <c r="T94" i="40"/>
  <c r="U94" i="40"/>
  <c r="V94" i="40"/>
  <c r="W94" i="40"/>
  <c r="X94" i="40"/>
  <c r="Y94" i="40"/>
  <c r="Z94" i="40"/>
  <c r="AA94" i="40"/>
  <c r="AB94" i="40"/>
  <c r="AC94" i="40"/>
  <c r="AD94" i="40"/>
  <c r="AE94" i="40"/>
  <c r="AF94" i="40"/>
  <c r="AG94" i="40"/>
  <c r="AH94" i="40"/>
  <c r="AI94" i="40"/>
  <c r="AJ94" i="40"/>
  <c r="B95" i="40"/>
  <c r="C95" i="40"/>
  <c r="D95" i="40"/>
  <c r="E95" i="40"/>
  <c r="F95" i="40"/>
  <c r="G95" i="40"/>
  <c r="H95" i="40"/>
  <c r="I95" i="40"/>
  <c r="J95" i="40"/>
  <c r="K95" i="40"/>
  <c r="L95" i="40"/>
  <c r="M95" i="40"/>
  <c r="N95" i="40"/>
  <c r="O95" i="40"/>
  <c r="P95" i="40"/>
  <c r="Q95" i="40"/>
  <c r="R95" i="40"/>
  <c r="S95" i="40"/>
  <c r="T95" i="40"/>
  <c r="U95" i="40"/>
  <c r="V95" i="40"/>
  <c r="W95" i="40"/>
  <c r="X95" i="40"/>
  <c r="Y95" i="40"/>
  <c r="Z95" i="40"/>
  <c r="AA95" i="40"/>
  <c r="AB95" i="40"/>
  <c r="AC95" i="40"/>
  <c r="AD95" i="40"/>
  <c r="AE95" i="40"/>
  <c r="AF95" i="40"/>
  <c r="AG95" i="40"/>
  <c r="AH95" i="40"/>
  <c r="AI95" i="40"/>
  <c r="AJ95" i="40"/>
  <c r="B96" i="40"/>
  <c r="C96" i="40"/>
  <c r="D96" i="40"/>
  <c r="E96" i="40"/>
  <c r="F96" i="40"/>
  <c r="G96" i="40"/>
  <c r="H96" i="40"/>
  <c r="I96" i="40"/>
  <c r="J96" i="40"/>
  <c r="K96" i="40"/>
  <c r="L96" i="40"/>
  <c r="M96" i="40"/>
  <c r="N96" i="40"/>
  <c r="O96" i="40"/>
  <c r="P96" i="40"/>
  <c r="Q96" i="40"/>
  <c r="R96" i="40"/>
  <c r="S96" i="40"/>
  <c r="T96" i="40"/>
  <c r="U96" i="40"/>
  <c r="V96" i="40"/>
  <c r="W96" i="40"/>
  <c r="X96" i="40"/>
  <c r="Y96" i="40"/>
  <c r="Z96" i="40"/>
  <c r="AA96" i="40"/>
  <c r="AB96" i="40"/>
  <c r="AC96" i="40"/>
  <c r="AD96" i="40"/>
  <c r="AE96" i="40"/>
  <c r="AF96" i="40"/>
  <c r="AG96" i="40"/>
  <c r="AH96" i="40"/>
  <c r="AI96" i="40"/>
  <c r="AJ96" i="40"/>
  <c r="B97" i="40"/>
  <c r="C97" i="40"/>
  <c r="D97" i="40"/>
  <c r="E97" i="40"/>
  <c r="F97" i="40"/>
  <c r="G97" i="40"/>
  <c r="H97" i="40"/>
  <c r="I97" i="40"/>
  <c r="J97" i="40"/>
  <c r="K97" i="40"/>
  <c r="L97" i="40"/>
  <c r="M97" i="40"/>
  <c r="N97" i="40"/>
  <c r="O97" i="40"/>
  <c r="P97" i="40"/>
  <c r="Q97" i="40"/>
  <c r="R97" i="40"/>
  <c r="S97" i="40"/>
  <c r="T97" i="40"/>
  <c r="U97" i="40"/>
  <c r="V97" i="40"/>
  <c r="W97" i="40"/>
  <c r="X97" i="40"/>
  <c r="Y97" i="40"/>
  <c r="Z97" i="40"/>
  <c r="AA97" i="40"/>
  <c r="AB97" i="40"/>
  <c r="AC97" i="40"/>
  <c r="AD97" i="40"/>
  <c r="AE97" i="40"/>
  <c r="AF97" i="40"/>
  <c r="AG97" i="40"/>
  <c r="AH97" i="40"/>
  <c r="AI97" i="40"/>
  <c r="AJ97" i="40"/>
  <c r="B98" i="40"/>
  <c r="C98" i="40"/>
  <c r="D98" i="40"/>
  <c r="E98" i="40"/>
  <c r="F98" i="40"/>
  <c r="G98" i="40"/>
  <c r="H98" i="40"/>
  <c r="I98" i="40"/>
  <c r="J98" i="40"/>
  <c r="K98" i="40"/>
  <c r="L98" i="40"/>
  <c r="M98" i="40"/>
  <c r="N98" i="40"/>
  <c r="O98" i="40"/>
  <c r="P98" i="40"/>
  <c r="Q98" i="40"/>
  <c r="R98" i="40"/>
  <c r="S98" i="40"/>
  <c r="T98" i="40"/>
  <c r="U98" i="40"/>
  <c r="V98" i="40"/>
  <c r="W98" i="40"/>
  <c r="X98" i="40"/>
  <c r="Y98" i="40"/>
  <c r="Z98" i="40"/>
  <c r="AA98" i="40"/>
  <c r="AB98" i="40"/>
  <c r="AC98" i="40"/>
  <c r="AD98" i="40"/>
  <c r="AE98" i="40"/>
  <c r="AF98" i="40"/>
  <c r="AG98" i="40"/>
  <c r="AH98" i="40"/>
  <c r="AI98" i="40"/>
  <c r="AJ98" i="40"/>
  <c r="B99" i="40"/>
  <c r="C99" i="40"/>
  <c r="D99" i="40"/>
  <c r="E99" i="40"/>
  <c r="F99" i="40"/>
  <c r="G99" i="40"/>
  <c r="H99" i="40"/>
  <c r="I99" i="40"/>
  <c r="J99" i="40"/>
  <c r="K99" i="40"/>
  <c r="L99" i="40"/>
  <c r="M99" i="40"/>
  <c r="N99" i="40"/>
  <c r="O99" i="40"/>
  <c r="P99" i="40"/>
  <c r="Q99" i="40"/>
  <c r="R99" i="40"/>
  <c r="S99" i="40"/>
  <c r="T99" i="40"/>
  <c r="U99" i="40"/>
  <c r="V99" i="40"/>
  <c r="W99" i="40"/>
  <c r="X99" i="40"/>
  <c r="Y99" i="40"/>
  <c r="Z99" i="40"/>
  <c r="AA99" i="40"/>
  <c r="AB99" i="40"/>
  <c r="AC99" i="40"/>
  <c r="AD99" i="40"/>
  <c r="AE99" i="40"/>
  <c r="AF99" i="40"/>
  <c r="AG99" i="40"/>
  <c r="AH99" i="40"/>
  <c r="AI99" i="40"/>
  <c r="AJ99" i="40"/>
  <c r="B100" i="40"/>
  <c r="C100" i="40"/>
  <c r="D100" i="40"/>
  <c r="E100" i="40"/>
  <c r="F100" i="40"/>
  <c r="G100" i="40"/>
  <c r="H100" i="40"/>
  <c r="I100" i="40"/>
  <c r="J100" i="40"/>
  <c r="K100" i="40"/>
  <c r="L100" i="40"/>
  <c r="M100" i="40"/>
  <c r="N100" i="40"/>
  <c r="O100" i="40"/>
  <c r="P100" i="40"/>
  <c r="Q100" i="40"/>
  <c r="R100" i="40"/>
  <c r="S100" i="40"/>
  <c r="T100" i="40"/>
  <c r="U100" i="40"/>
  <c r="V100" i="40"/>
  <c r="W100" i="40"/>
  <c r="X100" i="40"/>
  <c r="Y100" i="40"/>
  <c r="Z100" i="40"/>
  <c r="AA100" i="40"/>
  <c r="AB100" i="40"/>
  <c r="AC100" i="40"/>
  <c r="AD100" i="40"/>
  <c r="AE100" i="40"/>
  <c r="AF100" i="40"/>
  <c r="AG100" i="40"/>
  <c r="AH100" i="40"/>
  <c r="AI100" i="40"/>
  <c r="AJ100" i="40"/>
  <c r="B101" i="40"/>
  <c r="C101" i="40"/>
  <c r="D101" i="40"/>
  <c r="E101" i="40"/>
  <c r="F101" i="40"/>
  <c r="G101" i="40"/>
  <c r="H101" i="40"/>
  <c r="I101" i="40"/>
  <c r="J101" i="40"/>
  <c r="K101" i="40"/>
  <c r="L101" i="40"/>
  <c r="M101" i="40"/>
  <c r="N101" i="40"/>
  <c r="O101" i="40"/>
  <c r="P101" i="40"/>
  <c r="Q101" i="40"/>
  <c r="R101" i="40"/>
  <c r="S101" i="40"/>
  <c r="T101" i="40"/>
  <c r="U101" i="40"/>
  <c r="V101" i="40"/>
  <c r="W101" i="40"/>
  <c r="X101" i="40"/>
  <c r="Y101" i="40"/>
  <c r="Z101" i="40"/>
  <c r="AA101" i="40"/>
  <c r="AB101" i="40"/>
  <c r="AC101" i="40"/>
  <c r="AD101" i="40"/>
  <c r="AE101" i="40"/>
  <c r="AF101" i="40"/>
  <c r="AG101" i="40"/>
  <c r="AH101" i="40"/>
  <c r="AI101" i="40"/>
  <c r="AJ101" i="40"/>
  <c r="B102" i="40"/>
  <c r="C102" i="40"/>
  <c r="D102" i="40"/>
  <c r="E102" i="40"/>
  <c r="F102" i="40"/>
  <c r="G102" i="40"/>
  <c r="H102" i="40"/>
  <c r="I102" i="40"/>
  <c r="J102" i="40"/>
  <c r="K102" i="40"/>
  <c r="L102" i="40"/>
  <c r="M102" i="40"/>
  <c r="N102" i="40"/>
  <c r="O102" i="40"/>
  <c r="P102" i="40"/>
  <c r="Q102" i="40"/>
  <c r="R102" i="40"/>
  <c r="S102" i="40"/>
  <c r="T102" i="40"/>
  <c r="U102" i="40"/>
  <c r="V102" i="40"/>
  <c r="W102" i="40"/>
  <c r="X102" i="40"/>
  <c r="Y102" i="40"/>
  <c r="Z102" i="40"/>
  <c r="AA102" i="40"/>
  <c r="AB102" i="40"/>
  <c r="AC102" i="40"/>
  <c r="AD102" i="40"/>
  <c r="AE102" i="40"/>
  <c r="AF102" i="40"/>
  <c r="AG102" i="40"/>
  <c r="AH102" i="40"/>
  <c r="AI102" i="40"/>
  <c r="AJ102" i="40"/>
  <c r="B103" i="40"/>
  <c r="C103" i="40"/>
  <c r="D103" i="40"/>
  <c r="E103" i="40"/>
  <c r="F103" i="40"/>
  <c r="G103" i="40"/>
  <c r="H103" i="40"/>
  <c r="I103" i="40"/>
  <c r="J103" i="40"/>
  <c r="K103" i="40"/>
  <c r="L103" i="40"/>
  <c r="M103" i="40"/>
  <c r="N103" i="40"/>
  <c r="O103" i="40"/>
  <c r="P103" i="40"/>
  <c r="Q103" i="40"/>
  <c r="R103" i="40"/>
  <c r="S103" i="40"/>
  <c r="T103" i="40"/>
  <c r="U103" i="40"/>
  <c r="V103" i="40"/>
  <c r="W103" i="40"/>
  <c r="X103" i="40"/>
  <c r="Y103" i="40"/>
  <c r="Z103" i="40"/>
  <c r="AA103" i="40"/>
  <c r="AB103" i="40"/>
  <c r="AC103" i="40"/>
  <c r="AD103" i="40"/>
  <c r="AE103" i="40"/>
  <c r="AF103" i="40"/>
  <c r="AG103" i="40"/>
  <c r="AH103" i="40"/>
  <c r="AI103" i="40"/>
  <c r="AJ103" i="40"/>
  <c r="B104" i="40"/>
  <c r="C104" i="40"/>
  <c r="D104" i="40"/>
  <c r="E104" i="40"/>
  <c r="F104" i="40"/>
  <c r="G104" i="40"/>
  <c r="H104" i="40"/>
  <c r="I104" i="40"/>
  <c r="J104" i="40"/>
  <c r="K104" i="40"/>
  <c r="L104" i="40"/>
  <c r="M104" i="40"/>
  <c r="N104" i="40"/>
  <c r="O104" i="40"/>
  <c r="P104" i="40"/>
  <c r="Q104" i="40"/>
  <c r="R104" i="40"/>
  <c r="S104" i="40"/>
  <c r="T104" i="40"/>
  <c r="U104" i="40"/>
  <c r="V104" i="40"/>
  <c r="W104" i="40"/>
  <c r="X104" i="40"/>
  <c r="Y104" i="40"/>
  <c r="Z104" i="40"/>
  <c r="AA104" i="40"/>
  <c r="AB104" i="40"/>
  <c r="AC104" i="40"/>
  <c r="AD104" i="40"/>
  <c r="AE104" i="40"/>
  <c r="AF104" i="40"/>
  <c r="AG104" i="40"/>
  <c r="AH104" i="40"/>
  <c r="AI104" i="40"/>
  <c r="AJ104" i="40"/>
  <c r="B105" i="40"/>
  <c r="C105" i="40"/>
  <c r="D105" i="40"/>
  <c r="E105" i="40"/>
  <c r="F105" i="40"/>
  <c r="G105" i="40"/>
  <c r="H105" i="40"/>
  <c r="I105" i="40"/>
  <c r="J105" i="40"/>
  <c r="K105" i="40"/>
  <c r="L105" i="40"/>
  <c r="M105" i="40"/>
  <c r="N105" i="40"/>
  <c r="O105" i="40"/>
  <c r="P105" i="40"/>
  <c r="Q105" i="40"/>
  <c r="R105" i="40"/>
  <c r="S105" i="40"/>
  <c r="T105" i="40"/>
  <c r="U105" i="40"/>
  <c r="V105" i="40"/>
  <c r="W105" i="40"/>
  <c r="X105" i="40"/>
  <c r="Y105" i="40"/>
  <c r="Z105" i="40"/>
  <c r="AA105" i="40"/>
  <c r="AB105" i="40"/>
  <c r="AC105" i="40"/>
  <c r="AD105" i="40"/>
  <c r="AE105" i="40"/>
  <c r="AF105" i="40"/>
  <c r="AG105" i="40"/>
  <c r="AH105" i="40"/>
  <c r="AI105" i="40"/>
  <c r="AJ105" i="40"/>
  <c r="B106" i="40"/>
  <c r="C106" i="40"/>
  <c r="D106" i="40"/>
  <c r="E106" i="40"/>
  <c r="F106" i="40"/>
  <c r="G106" i="40"/>
  <c r="H106" i="40"/>
  <c r="I106" i="40"/>
  <c r="J106" i="40"/>
  <c r="K106" i="40"/>
  <c r="L106" i="40"/>
  <c r="M106" i="40"/>
  <c r="N106" i="40"/>
  <c r="O106" i="40"/>
  <c r="P106" i="40"/>
  <c r="Q106" i="40"/>
  <c r="R106" i="40"/>
  <c r="S106" i="40"/>
  <c r="T106" i="40"/>
  <c r="U106" i="40"/>
  <c r="V106" i="40"/>
  <c r="W106" i="40"/>
  <c r="X106" i="40"/>
  <c r="Y106" i="40"/>
  <c r="Z106" i="40"/>
  <c r="AA106" i="40"/>
  <c r="AB106" i="40"/>
  <c r="AC106" i="40"/>
  <c r="AD106" i="40"/>
  <c r="AE106" i="40"/>
  <c r="AF106" i="40"/>
  <c r="AG106" i="40"/>
  <c r="AH106" i="40"/>
  <c r="AI106" i="40"/>
  <c r="AJ106" i="40"/>
  <c r="B107" i="40"/>
  <c r="C107" i="40"/>
  <c r="D107" i="40"/>
  <c r="E107" i="40"/>
  <c r="F107" i="40"/>
  <c r="G107" i="40"/>
  <c r="H107" i="40"/>
  <c r="I107" i="40"/>
  <c r="J107" i="40"/>
  <c r="K107" i="40"/>
  <c r="L107" i="40"/>
  <c r="M107" i="40"/>
  <c r="N107" i="40"/>
  <c r="O107" i="40"/>
  <c r="P107" i="40"/>
  <c r="Q107" i="40"/>
  <c r="R107" i="40"/>
  <c r="S107" i="40"/>
  <c r="T107" i="40"/>
  <c r="U107" i="40"/>
  <c r="V107" i="40"/>
  <c r="W107" i="40"/>
  <c r="X107" i="40"/>
  <c r="Y107" i="40"/>
  <c r="Z107" i="40"/>
  <c r="AA107" i="40"/>
  <c r="AB107" i="40"/>
  <c r="AC107" i="40"/>
  <c r="AD107" i="40"/>
  <c r="AE107" i="40"/>
  <c r="AF107" i="40"/>
  <c r="AG107" i="40"/>
  <c r="AH107" i="40"/>
  <c r="AI107" i="40"/>
  <c r="AJ107" i="40"/>
  <c r="B108" i="40"/>
  <c r="C108" i="40"/>
  <c r="D108" i="40"/>
  <c r="E108" i="40"/>
  <c r="F108" i="40"/>
  <c r="G108" i="40"/>
  <c r="H108" i="40"/>
  <c r="I108" i="40"/>
  <c r="J108" i="40"/>
  <c r="K108" i="40"/>
  <c r="L108" i="40"/>
  <c r="M108" i="40"/>
  <c r="N108" i="40"/>
  <c r="O108" i="40"/>
  <c r="P108" i="40"/>
  <c r="Q108" i="40"/>
  <c r="R108" i="40"/>
  <c r="S108" i="40"/>
  <c r="T108" i="40"/>
  <c r="U108" i="40"/>
  <c r="V108" i="40"/>
  <c r="W108" i="40"/>
  <c r="X108" i="40"/>
  <c r="Y108" i="40"/>
  <c r="Z108" i="40"/>
  <c r="AA108" i="40"/>
  <c r="AB108" i="40"/>
  <c r="AC108" i="40"/>
  <c r="AD108" i="40"/>
  <c r="AE108" i="40"/>
  <c r="AF108" i="40"/>
  <c r="AG108" i="40"/>
  <c r="AH108" i="40"/>
  <c r="AI108" i="40"/>
  <c r="AJ108" i="40"/>
  <c r="B109" i="40"/>
  <c r="C109" i="40"/>
  <c r="D109" i="40"/>
  <c r="E109" i="40"/>
  <c r="F109" i="40"/>
  <c r="G109" i="40"/>
  <c r="H109" i="40"/>
  <c r="I109" i="40"/>
  <c r="J109" i="40"/>
  <c r="K109" i="40"/>
  <c r="L109" i="40"/>
  <c r="M109" i="40"/>
  <c r="N109" i="40"/>
  <c r="O109" i="40"/>
  <c r="P109" i="40"/>
  <c r="Q109" i="40"/>
  <c r="R109" i="40"/>
  <c r="S109" i="40"/>
  <c r="T109" i="40"/>
  <c r="U109" i="40"/>
  <c r="V109" i="40"/>
  <c r="W109" i="40"/>
  <c r="X109" i="40"/>
  <c r="Y109" i="40"/>
  <c r="Z109" i="40"/>
  <c r="AA109" i="40"/>
  <c r="AB109" i="40"/>
  <c r="AC109" i="40"/>
  <c r="AD109" i="40"/>
  <c r="AE109" i="40"/>
  <c r="AF109" i="40"/>
  <c r="AG109" i="40"/>
  <c r="AH109" i="40"/>
  <c r="AI109" i="40"/>
  <c r="AJ109" i="40"/>
  <c r="B110" i="40"/>
  <c r="C110" i="40"/>
  <c r="D110" i="40"/>
  <c r="E110" i="40"/>
  <c r="F110" i="40"/>
  <c r="G110" i="40"/>
  <c r="H110" i="40"/>
  <c r="I110" i="40"/>
  <c r="J110" i="40"/>
  <c r="K110" i="40"/>
  <c r="L110" i="40"/>
  <c r="M110" i="40"/>
  <c r="N110" i="40"/>
  <c r="O110" i="40"/>
  <c r="P110" i="40"/>
  <c r="Q110" i="40"/>
  <c r="R110" i="40"/>
  <c r="S110" i="40"/>
  <c r="T110" i="40"/>
  <c r="U110" i="40"/>
  <c r="V110" i="40"/>
  <c r="W110" i="40"/>
  <c r="X110" i="40"/>
  <c r="Y110" i="40"/>
  <c r="Z110" i="40"/>
  <c r="AA110" i="40"/>
  <c r="AB110" i="40"/>
  <c r="AC110" i="40"/>
  <c r="AD110" i="40"/>
  <c r="AE110" i="40"/>
  <c r="AF110" i="40"/>
  <c r="AG110" i="40"/>
  <c r="AH110" i="40"/>
  <c r="AI110" i="40"/>
  <c r="AJ110" i="40"/>
  <c r="B111" i="40"/>
  <c r="C111" i="40"/>
  <c r="D111" i="40"/>
  <c r="E111" i="40"/>
  <c r="F111" i="40"/>
  <c r="G111" i="40"/>
  <c r="H111" i="40"/>
  <c r="I111" i="40"/>
  <c r="J111" i="40"/>
  <c r="K111" i="40"/>
  <c r="L111" i="40"/>
  <c r="M111" i="40"/>
  <c r="N111" i="40"/>
  <c r="O111" i="40"/>
  <c r="P111" i="40"/>
  <c r="Q111" i="40"/>
  <c r="R111" i="40"/>
  <c r="S111" i="40"/>
  <c r="T111" i="40"/>
  <c r="U111" i="40"/>
  <c r="V111" i="40"/>
  <c r="W111" i="40"/>
  <c r="X111" i="40"/>
  <c r="Y111" i="40"/>
  <c r="Z111" i="40"/>
  <c r="AA111" i="40"/>
  <c r="AB111" i="40"/>
  <c r="AC111" i="40"/>
  <c r="AD111" i="40"/>
  <c r="AE111" i="40"/>
  <c r="AF111" i="40"/>
  <c r="AG111" i="40"/>
  <c r="AH111" i="40"/>
  <c r="AI111" i="40"/>
  <c r="AJ111" i="40"/>
  <c r="B112" i="40"/>
  <c r="C112" i="40"/>
  <c r="D112" i="40"/>
  <c r="E112" i="40"/>
  <c r="F112" i="40"/>
  <c r="G112" i="40"/>
  <c r="H112" i="40"/>
  <c r="I112" i="40"/>
  <c r="J112" i="40"/>
  <c r="K112" i="40"/>
  <c r="L112" i="40"/>
  <c r="M112" i="40"/>
  <c r="N112" i="40"/>
  <c r="O112" i="40"/>
  <c r="P112" i="40"/>
  <c r="Q112" i="40"/>
  <c r="R112" i="40"/>
  <c r="S112" i="40"/>
  <c r="T112" i="40"/>
  <c r="U112" i="40"/>
  <c r="V112" i="40"/>
  <c r="W112" i="40"/>
  <c r="X112" i="40"/>
  <c r="Y112" i="40"/>
  <c r="Z112" i="40"/>
  <c r="AA112" i="40"/>
  <c r="AB112" i="40"/>
  <c r="AC112" i="40"/>
  <c r="AD112" i="40"/>
  <c r="AE112" i="40"/>
  <c r="AF112" i="40"/>
  <c r="AG112" i="40"/>
  <c r="AH112" i="40"/>
  <c r="AI112" i="40"/>
  <c r="AJ112" i="40"/>
  <c r="B113" i="40"/>
  <c r="C113" i="40"/>
  <c r="D113" i="40"/>
  <c r="E113" i="40"/>
  <c r="F113" i="40"/>
  <c r="G113" i="40"/>
  <c r="H113" i="40"/>
  <c r="I113" i="40"/>
  <c r="J113" i="40"/>
  <c r="K113" i="40"/>
  <c r="L113" i="40"/>
  <c r="M113" i="40"/>
  <c r="N113" i="40"/>
  <c r="O113" i="40"/>
  <c r="P113" i="40"/>
  <c r="Q113" i="40"/>
  <c r="R113" i="40"/>
  <c r="S113" i="40"/>
  <c r="T113" i="40"/>
  <c r="U113" i="40"/>
  <c r="V113" i="40"/>
  <c r="W113" i="40"/>
  <c r="X113" i="40"/>
  <c r="Y113" i="40"/>
  <c r="Z113" i="40"/>
  <c r="AA113" i="40"/>
  <c r="AB113" i="40"/>
  <c r="AC113" i="40"/>
  <c r="AD113" i="40"/>
  <c r="AE113" i="40"/>
  <c r="AF113" i="40"/>
  <c r="AG113" i="40"/>
  <c r="AH113" i="40"/>
  <c r="AI113" i="40"/>
  <c r="AJ113" i="40"/>
  <c r="B114" i="40"/>
  <c r="C114" i="40"/>
  <c r="D114" i="40"/>
  <c r="E114" i="40"/>
  <c r="F114" i="40"/>
  <c r="G114" i="40"/>
  <c r="H114" i="40"/>
  <c r="I114" i="40"/>
  <c r="J114" i="40"/>
  <c r="K114" i="40"/>
  <c r="L114" i="40"/>
  <c r="M114" i="40"/>
  <c r="N114" i="40"/>
  <c r="O114" i="40"/>
  <c r="P114" i="40"/>
  <c r="Q114" i="40"/>
  <c r="R114" i="40"/>
  <c r="S114" i="40"/>
  <c r="T114" i="40"/>
  <c r="U114" i="40"/>
  <c r="V114" i="40"/>
  <c r="W114" i="40"/>
  <c r="X114" i="40"/>
  <c r="Y114" i="40"/>
  <c r="Z114" i="40"/>
  <c r="AA114" i="40"/>
  <c r="AB114" i="40"/>
  <c r="AC114" i="40"/>
  <c r="AD114" i="40"/>
  <c r="AE114" i="40"/>
  <c r="AF114" i="40"/>
  <c r="AG114" i="40"/>
  <c r="AH114" i="40"/>
  <c r="AI114" i="40"/>
  <c r="AJ114" i="40"/>
  <c r="B115" i="40"/>
  <c r="C115" i="40"/>
  <c r="D115" i="40"/>
  <c r="E115" i="40"/>
  <c r="F115" i="40"/>
  <c r="G115" i="40"/>
  <c r="H115" i="40"/>
  <c r="I115" i="40"/>
  <c r="J115" i="40"/>
  <c r="K115" i="40"/>
  <c r="L115" i="40"/>
  <c r="M115" i="40"/>
  <c r="N115" i="40"/>
  <c r="O115" i="40"/>
  <c r="P115" i="40"/>
  <c r="Q115" i="40"/>
  <c r="R115" i="40"/>
  <c r="S115" i="40"/>
  <c r="T115" i="40"/>
  <c r="U115" i="40"/>
  <c r="V115" i="40"/>
  <c r="W115" i="40"/>
  <c r="X115" i="40"/>
  <c r="Y115" i="40"/>
  <c r="Z115" i="40"/>
  <c r="AA115" i="40"/>
  <c r="AB115" i="40"/>
  <c r="AC115" i="40"/>
  <c r="AD115" i="40"/>
  <c r="AE115" i="40"/>
  <c r="AF115" i="40"/>
  <c r="AG115" i="40"/>
  <c r="AH115" i="40"/>
  <c r="AI115" i="40"/>
  <c r="AJ115" i="40"/>
  <c r="B116" i="40"/>
  <c r="C116" i="40"/>
  <c r="D116" i="40"/>
  <c r="E116" i="40"/>
  <c r="F116" i="40"/>
  <c r="G116" i="40"/>
  <c r="H116" i="40"/>
  <c r="I116" i="40"/>
  <c r="J116" i="40"/>
  <c r="K116" i="40"/>
  <c r="L116" i="40"/>
  <c r="M116" i="40"/>
  <c r="N116" i="40"/>
  <c r="O116" i="40"/>
  <c r="P116" i="40"/>
  <c r="Q116" i="40"/>
  <c r="R116" i="40"/>
  <c r="S116" i="40"/>
  <c r="T116" i="40"/>
  <c r="U116" i="40"/>
  <c r="V116" i="40"/>
  <c r="W116" i="40"/>
  <c r="X116" i="40"/>
  <c r="Y116" i="40"/>
  <c r="Z116" i="40"/>
  <c r="AA116" i="40"/>
  <c r="AB116" i="40"/>
  <c r="AC116" i="40"/>
  <c r="AD116" i="40"/>
  <c r="AE116" i="40"/>
  <c r="AF116" i="40"/>
  <c r="AG116" i="40"/>
  <c r="AH116" i="40"/>
  <c r="AI116" i="40"/>
  <c r="AJ116" i="40"/>
  <c r="B117" i="40"/>
  <c r="C117" i="40"/>
  <c r="D117" i="40"/>
  <c r="E117" i="40"/>
  <c r="F117" i="40"/>
  <c r="G117" i="40"/>
  <c r="H117" i="40"/>
  <c r="I117" i="40"/>
  <c r="J117" i="40"/>
  <c r="K117" i="40"/>
  <c r="L117" i="40"/>
  <c r="M117" i="40"/>
  <c r="N117" i="40"/>
  <c r="O117" i="40"/>
  <c r="P117" i="40"/>
  <c r="Q117" i="40"/>
  <c r="R117" i="40"/>
  <c r="S117" i="40"/>
  <c r="T117" i="40"/>
  <c r="U117" i="40"/>
  <c r="V117" i="40"/>
  <c r="W117" i="40"/>
  <c r="X117" i="40"/>
  <c r="Y117" i="40"/>
  <c r="Z117" i="40"/>
  <c r="AA117" i="40"/>
  <c r="AB117" i="40"/>
  <c r="AC117" i="40"/>
  <c r="AD117" i="40"/>
  <c r="AE117" i="40"/>
  <c r="AF117" i="40"/>
  <c r="AG117" i="40"/>
  <c r="AH117" i="40"/>
  <c r="AI117" i="40"/>
  <c r="AJ117" i="40"/>
  <c r="B118" i="40"/>
  <c r="C118" i="40"/>
  <c r="D118" i="40"/>
  <c r="E118" i="40"/>
  <c r="F118" i="40"/>
  <c r="G118" i="40"/>
  <c r="H118" i="40"/>
  <c r="I118" i="40"/>
  <c r="J118" i="40"/>
  <c r="K118" i="40"/>
  <c r="L118" i="40"/>
  <c r="M118" i="40"/>
  <c r="N118" i="40"/>
  <c r="O118" i="40"/>
  <c r="P118" i="40"/>
  <c r="Q118" i="40"/>
  <c r="R118" i="40"/>
  <c r="S118" i="40"/>
  <c r="T118" i="40"/>
  <c r="U118" i="40"/>
  <c r="V118" i="40"/>
  <c r="W118" i="40"/>
  <c r="X118" i="40"/>
  <c r="Y118" i="40"/>
  <c r="Z118" i="40"/>
  <c r="AA118" i="40"/>
  <c r="AB118" i="40"/>
  <c r="AC118" i="40"/>
  <c r="AD118" i="40"/>
  <c r="AE118" i="40"/>
  <c r="AF118" i="40"/>
  <c r="AG118" i="40"/>
  <c r="AH118" i="40"/>
  <c r="AI118" i="40"/>
  <c r="AJ118" i="40"/>
  <c r="B119" i="40"/>
  <c r="C119" i="40"/>
  <c r="D119" i="40"/>
  <c r="E119" i="40"/>
  <c r="F119" i="40"/>
  <c r="G119" i="40"/>
  <c r="H119" i="40"/>
  <c r="I119" i="40"/>
  <c r="J119" i="40"/>
  <c r="K119" i="40"/>
  <c r="L119" i="40"/>
  <c r="M119" i="40"/>
  <c r="N119" i="40"/>
  <c r="O119" i="40"/>
  <c r="P119" i="40"/>
  <c r="Q119" i="40"/>
  <c r="R119" i="40"/>
  <c r="S119" i="40"/>
  <c r="T119" i="40"/>
  <c r="U119" i="40"/>
  <c r="V119" i="40"/>
  <c r="W119" i="40"/>
  <c r="X119" i="40"/>
  <c r="Y119" i="40"/>
  <c r="Z119" i="40"/>
  <c r="AA119" i="40"/>
  <c r="AB119" i="40"/>
  <c r="AC119" i="40"/>
  <c r="AD119" i="40"/>
  <c r="AE119" i="40"/>
  <c r="AF119" i="40"/>
  <c r="AG119" i="40"/>
  <c r="AH119" i="40"/>
  <c r="AI119" i="40"/>
  <c r="AJ119" i="40"/>
  <c r="B120" i="40"/>
  <c r="C120" i="40"/>
  <c r="D120" i="40"/>
  <c r="E120" i="40"/>
  <c r="F120" i="40"/>
  <c r="G120" i="40"/>
  <c r="H120" i="40"/>
  <c r="I120" i="40"/>
  <c r="J120" i="40"/>
  <c r="K120" i="40"/>
  <c r="L120" i="40"/>
  <c r="M120" i="40"/>
  <c r="N120" i="40"/>
  <c r="O120" i="40"/>
  <c r="P120" i="40"/>
  <c r="Q120" i="40"/>
  <c r="R120" i="40"/>
  <c r="S120" i="40"/>
  <c r="T120" i="40"/>
  <c r="U120" i="40"/>
  <c r="V120" i="40"/>
  <c r="W120" i="40"/>
  <c r="X120" i="40"/>
  <c r="Y120" i="40"/>
  <c r="Z120" i="40"/>
  <c r="AA120" i="40"/>
  <c r="AB120" i="40"/>
  <c r="AC120" i="40"/>
  <c r="AD120" i="40"/>
  <c r="AE120" i="40"/>
  <c r="AF120" i="40"/>
  <c r="AG120" i="40"/>
  <c r="AH120" i="40"/>
  <c r="AI120" i="40"/>
  <c r="AJ120" i="40"/>
  <c r="B121" i="40"/>
  <c r="C121" i="40"/>
  <c r="D121" i="40"/>
  <c r="E121" i="40"/>
  <c r="F121" i="40"/>
  <c r="G121" i="40"/>
  <c r="H121" i="40"/>
  <c r="I121" i="40"/>
  <c r="J121" i="40"/>
  <c r="K121" i="40"/>
  <c r="L121" i="40"/>
  <c r="M121" i="40"/>
  <c r="N121" i="40"/>
  <c r="O121" i="40"/>
  <c r="P121" i="40"/>
  <c r="Q121" i="40"/>
  <c r="R121" i="40"/>
  <c r="S121" i="40"/>
  <c r="T121" i="40"/>
  <c r="U121" i="40"/>
  <c r="V121" i="40"/>
  <c r="W121" i="40"/>
  <c r="X121" i="40"/>
  <c r="Y121" i="40"/>
  <c r="Z121" i="40"/>
  <c r="AA121" i="40"/>
  <c r="AB121" i="40"/>
  <c r="AC121" i="40"/>
  <c r="AD121" i="40"/>
  <c r="AE121" i="40"/>
  <c r="AF121" i="40"/>
  <c r="AG121" i="40"/>
  <c r="AH121" i="40"/>
  <c r="AI121" i="40"/>
  <c r="AJ121" i="40"/>
  <c r="B122" i="40"/>
  <c r="C122" i="40"/>
  <c r="D122" i="40"/>
  <c r="E122" i="40"/>
  <c r="F122" i="40"/>
  <c r="G122" i="40"/>
  <c r="H122" i="40"/>
  <c r="I122" i="40"/>
  <c r="J122" i="40"/>
  <c r="K122" i="40"/>
  <c r="L122" i="40"/>
  <c r="M122" i="40"/>
  <c r="N122" i="40"/>
  <c r="O122" i="40"/>
  <c r="P122" i="40"/>
  <c r="Q122" i="40"/>
  <c r="R122" i="40"/>
  <c r="S122" i="40"/>
  <c r="T122" i="40"/>
  <c r="U122" i="40"/>
  <c r="V122" i="40"/>
  <c r="W122" i="40"/>
  <c r="X122" i="40"/>
  <c r="Y122" i="40"/>
  <c r="Z122" i="40"/>
  <c r="AA122" i="40"/>
  <c r="AB122" i="40"/>
  <c r="AC122" i="40"/>
  <c r="AD122" i="40"/>
  <c r="AE122" i="40"/>
  <c r="AF122" i="40"/>
  <c r="AG122" i="40"/>
  <c r="AH122" i="40"/>
  <c r="AI122" i="40"/>
  <c r="AJ122" i="40"/>
  <c r="B123" i="40"/>
  <c r="C123" i="40"/>
  <c r="D123" i="40"/>
  <c r="E123" i="40"/>
  <c r="F123" i="40"/>
  <c r="G123" i="40"/>
  <c r="H123" i="40"/>
  <c r="I123" i="40"/>
  <c r="J123" i="40"/>
  <c r="K123" i="40"/>
  <c r="L123" i="40"/>
  <c r="M123" i="40"/>
  <c r="N123" i="40"/>
  <c r="O123" i="40"/>
  <c r="P123" i="40"/>
  <c r="Q123" i="40"/>
  <c r="R123" i="40"/>
  <c r="S123" i="40"/>
  <c r="T123" i="40"/>
  <c r="U123" i="40"/>
  <c r="V123" i="40"/>
  <c r="W123" i="40"/>
  <c r="X123" i="40"/>
  <c r="Y123" i="40"/>
  <c r="Z123" i="40"/>
  <c r="AA123" i="40"/>
  <c r="AB123" i="40"/>
  <c r="AC123" i="40"/>
  <c r="AD123" i="40"/>
  <c r="AE123" i="40"/>
  <c r="AF123" i="40"/>
  <c r="AG123" i="40"/>
  <c r="AH123" i="40"/>
  <c r="AI123" i="40"/>
  <c r="AJ123" i="40"/>
  <c r="B124" i="40"/>
  <c r="C124" i="40"/>
  <c r="D124" i="40"/>
  <c r="E124" i="40"/>
  <c r="F124" i="40"/>
  <c r="G124" i="40"/>
  <c r="H124" i="40"/>
  <c r="I124" i="40"/>
  <c r="J124" i="40"/>
  <c r="K124" i="40"/>
  <c r="L124" i="40"/>
  <c r="M124" i="40"/>
  <c r="N124" i="40"/>
  <c r="O124" i="40"/>
  <c r="P124" i="40"/>
  <c r="Q124" i="40"/>
  <c r="R124" i="40"/>
  <c r="S124" i="40"/>
  <c r="T124" i="40"/>
  <c r="U124" i="40"/>
  <c r="V124" i="40"/>
  <c r="W124" i="40"/>
  <c r="X124" i="40"/>
  <c r="Y124" i="40"/>
  <c r="Z124" i="40"/>
  <c r="AA124" i="40"/>
  <c r="AB124" i="40"/>
  <c r="AC124" i="40"/>
  <c r="AD124" i="40"/>
  <c r="AE124" i="40"/>
  <c r="AF124" i="40"/>
  <c r="AG124" i="40"/>
  <c r="AH124" i="40"/>
  <c r="AI124" i="40"/>
  <c r="AJ124" i="40"/>
  <c r="B125" i="40"/>
  <c r="C125" i="40"/>
  <c r="D125" i="40"/>
  <c r="E125" i="40"/>
  <c r="F125" i="40"/>
  <c r="G125" i="40"/>
  <c r="H125" i="40"/>
  <c r="I125" i="40"/>
  <c r="J125" i="40"/>
  <c r="K125" i="40"/>
  <c r="L125" i="40"/>
  <c r="M125" i="40"/>
  <c r="N125" i="40"/>
  <c r="O125" i="40"/>
  <c r="P125" i="40"/>
  <c r="Q125" i="40"/>
  <c r="R125" i="40"/>
  <c r="S125" i="40"/>
  <c r="T125" i="40"/>
  <c r="U125" i="40"/>
  <c r="V125" i="40"/>
  <c r="W125" i="40"/>
  <c r="X125" i="40"/>
  <c r="Y125" i="40"/>
  <c r="Z125" i="40"/>
  <c r="AA125" i="40"/>
  <c r="AB125" i="40"/>
  <c r="AC125" i="40"/>
  <c r="AD125" i="40"/>
  <c r="AE125" i="40"/>
  <c r="AF125" i="40"/>
  <c r="AG125" i="40"/>
  <c r="AH125" i="40"/>
  <c r="AI125" i="40"/>
  <c r="AJ125" i="40"/>
  <c r="B126" i="40"/>
  <c r="C126" i="40"/>
  <c r="D126" i="40"/>
  <c r="E126" i="40"/>
  <c r="F126" i="40"/>
  <c r="G126" i="40"/>
  <c r="H126" i="40"/>
  <c r="I126" i="40"/>
  <c r="J126" i="40"/>
  <c r="K126" i="40"/>
  <c r="L126" i="40"/>
  <c r="M126" i="40"/>
  <c r="N126" i="40"/>
  <c r="O126" i="40"/>
  <c r="P126" i="40"/>
  <c r="Q126" i="40"/>
  <c r="R126" i="40"/>
  <c r="S126" i="40"/>
  <c r="T126" i="40"/>
  <c r="U126" i="40"/>
  <c r="V126" i="40"/>
  <c r="W126" i="40"/>
  <c r="X126" i="40"/>
  <c r="Y126" i="40"/>
  <c r="Z126" i="40"/>
  <c r="AA126" i="40"/>
  <c r="AB126" i="40"/>
  <c r="AC126" i="40"/>
  <c r="AD126" i="40"/>
  <c r="AE126" i="40"/>
  <c r="AF126" i="40"/>
  <c r="AG126" i="40"/>
  <c r="AH126" i="40"/>
  <c r="AI126" i="40"/>
  <c r="AJ126" i="40"/>
  <c r="B127" i="40"/>
  <c r="C127" i="40"/>
  <c r="D127" i="40"/>
  <c r="E127" i="40"/>
  <c r="F127" i="40"/>
  <c r="G127" i="40"/>
  <c r="H127" i="40"/>
  <c r="I127" i="40"/>
  <c r="J127" i="40"/>
  <c r="K127" i="40"/>
  <c r="L127" i="40"/>
  <c r="M127" i="40"/>
  <c r="N127" i="40"/>
  <c r="O127" i="40"/>
  <c r="P127" i="40"/>
  <c r="Q127" i="40"/>
  <c r="R127" i="40"/>
  <c r="S127" i="40"/>
  <c r="T127" i="40"/>
  <c r="U127" i="40"/>
  <c r="V127" i="40"/>
  <c r="W127" i="40"/>
  <c r="X127" i="40"/>
  <c r="Y127" i="40"/>
  <c r="Z127" i="40"/>
  <c r="AA127" i="40"/>
  <c r="AB127" i="40"/>
  <c r="AC127" i="40"/>
  <c r="AD127" i="40"/>
  <c r="AE127" i="40"/>
  <c r="AF127" i="40"/>
  <c r="AG127" i="40"/>
  <c r="AH127" i="40"/>
  <c r="AI127" i="40"/>
  <c r="AJ127" i="40"/>
  <c r="B128" i="40"/>
  <c r="C128" i="40"/>
  <c r="D128" i="40"/>
  <c r="E128" i="40"/>
  <c r="F128" i="40"/>
  <c r="G128" i="40"/>
  <c r="H128" i="40"/>
  <c r="I128" i="40"/>
  <c r="J128" i="40"/>
  <c r="K128" i="40"/>
  <c r="L128" i="40"/>
  <c r="M128" i="40"/>
  <c r="N128" i="40"/>
  <c r="O128" i="40"/>
  <c r="P128" i="40"/>
  <c r="Q128" i="40"/>
  <c r="R128" i="40"/>
  <c r="S128" i="40"/>
  <c r="T128" i="40"/>
  <c r="U128" i="40"/>
  <c r="V128" i="40"/>
  <c r="W128" i="40"/>
  <c r="X128" i="40"/>
  <c r="Y128" i="40"/>
  <c r="Z128" i="40"/>
  <c r="AA128" i="40"/>
  <c r="AB128" i="40"/>
  <c r="AC128" i="40"/>
  <c r="AD128" i="40"/>
  <c r="AE128" i="40"/>
  <c r="AF128" i="40"/>
  <c r="AG128" i="40"/>
  <c r="AH128" i="40"/>
  <c r="AI128" i="40"/>
  <c r="AJ128" i="40"/>
  <c r="B129" i="40"/>
  <c r="C129" i="40"/>
  <c r="D129" i="40"/>
  <c r="E129" i="40"/>
  <c r="F129" i="40"/>
  <c r="G129" i="40"/>
  <c r="H129" i="40"/>
  <c r="I129" i="40"/>
  <c r="J129" i="40"/>
  <c r="K129" i="40"/>
  <c r="L129" i="40"/>
  <c r="M129" i="40"/>
  <c r="N129" i="40"/>
  <c r="O129" i="40"/>
  <c r="P129" i="40"/>
  <c r="Q129" i="40"/>
  <c r="R129" i="40"/>
  <c r="S129" i="40"/>
  <c r="T129" i="40"/>
  <c r="U129" i="40"/>
  <c r="V129" i="40"/>
  <c r="W129" i="40"/>
  <c r="X129" i="40"/>
  <c r="Y129" i="40"/>
  <c r="Z129" i="40"/>
  <c r="AA129" i="40"/>
  <c r="AB129" i="40"/>
  <c r="AC129" i="40"/>
  <c r="AD129" i="40"/>
  <c r="AE129" i="40"/>
  <c r="AF129" i="40"/>
  <c r="AG129" i="40"/>
  <c r="AH129" i="40"/>
  <c r="AI129" i="40"/>
  <c r="AJ129" i="40"/>
  <c r="B130" i="40"/>
  <c r="C130" i="40"/>
  <c r="D130" i="40"/>
  <c r="E130" i="40"/>
  <c r="F130" i="40"/>
  <c r="G130" i="40"/>
  <c r="H130" i="40"/>
  <c r="I130" i="40"/>
  <c r="J130" i="40"/>
  <c r="K130" i="40"/>
  <c r="L130" i="40"/>
  <c r="M130" i="40"/>
  <c r="N130" i="40"/>
  <c r="O130" i="40"/>
  <c r="P130" i="40"/>
  <c r="Q130" i="40"/>
  <c r="R130" i="40"/>
  <c r="S130" i="40"/>
  <c r="T130" i="40"/>
  <c r="U130" i="40"/>
  <c r="V130" i="40"/>
  <c r="W130" i="40"/>
  <c r="X130" i="40"/>
  <c r="Y130" i="40"/>
  <c r="Z130" i="40"/>
  <c r="AA130" i="40"/>
  <c r="AB130" i="40"/>
  <c r="AC130" i="40"/>
  <c r="AD130" i="40"/>
  <c r="AE130" i="40"/>
  <c r="AF130" i="40"/>
  <c r="AG130" i="40"/>
  <c r="AH130" i="40"/>
  <c r="AI130" i="40"/>
  <c r="AJ130" i="40"/>
  <c r="B131" i="40"/>
  <c r="C131" i="40"/>
  <c r="D131" i="40"/>
  <c r="E131" i="40"/>
  <c r="F131" i="40"/>
  <c r="G131" i="40"/>
  <c r="H131" i="40"/>
  <c r="I131" i="40"/>
  <c r="J131" i="40"/>
  <c r="K131" i="40"/>
  <c r="L131" i="40"/>
  <c r="M131" i="40"/>
  <c r="N131" i="40"/>
  <c r="O131" i="40"/>
  <c r="P131" i="40"/>
  <c r="Q131" i="40"/>
  <c r="R131" i="40"/>
  <c r="S131" i="40"/>
  <c r="T131" i="40"/>
  <c r="U131" i="40"/>
  <c r="V131" i="40"/>
  <c r="W131" i="40"/>
  <c r="X131" i="40"/>
  <c r="Y131" i="40"/>
  <c r="Z131" i="40"/>
  <c r="AA131" i="40"/>
  <c r="AB131" i="40"/>
  <c r="AC131" i="40"/>
  <c r="AD131" i="40"/>
  <c r="AE131" i="40"/>
  <c r="AF131" i="40"/>
  <c r="AG131" i="40"/>
  <c r="AH131" i="40"/>
  <c r="AI131" i="40"/>
  <c r="AJ131" i="40"/>
  <c r="B132" i="40"/>
  <c r="C132" i="40"/>
  <c r="D132" i="40"/>
  <c r="E132" i="40"/>
  <c r="F132" i="40"/>
  <c r="G132" i="40"/>
  <c r="H132" i="40"/>
  <c r="I132" i="40"/>
  <c r="J132" i="40"/>
  <c r="K132" i="40"/>
  <c r="L132" i="40"/>
  <c r="M132" i="40"/>
  <c r="N132" i="40"/>
  <c r="O132" i="40"/>
  <c r="P132" i="40"/>
  <c r="Q132" i="40"/>
  <c r="R132" i="40"/>
  <c r="S132" i="40"/>
  <c r="T132" i="40"/>
  <c r="U132" i="40"/>
  <c r="V132" i="40"/>
  <c r="W132" i="40"/>
  <c r="X132" i="40"/>
  <c r="Y132" i="40"/>
  <c r="Z132" i="40"/>
  <c r="AA132" i="40"/>
  <c r="AB132" i="40"/>
  <c r="AC132" i="40"/>
  <c r="AD132" i="40"/>
  <c r="AE132" i="40"/>
  <c r="AF132" i="40"/>
  <c r="AG132" i="40"/>
  <c r="AH132" i="40"/>
  <c r="AI132" i="40"/>
  <c r="AJ132" i="40"/>
  <c r="B133" i="40"/>
  <c r="C133" i="40"/>
  <c r="D133" i="40"/>
  <c r="E133" i="40"/>
  <c r="F133" i="40"/>
  <c r="G133" i="40"/>
  <c r="H133" i="40"/>
  <c r="I133" i="40"/>
  <c r="J133" i="40"/>
  <c r="K133" i="40"/>
  <c r="L133" i="40"/>
  <c r="M133" i="40"/>
  <c r="N133" i="40"/>
  <c r="O133" i="40"/>
  <c r="P133" i="40"/>
  <c r="Q133" i="40"/>
  <c r="R133" i="40"/>
  <c r="S133" i="40"/>
  <c r="T133" i="40"/>
  <c r="U133" i="40"/>
  <c r="V133" i="40"/>
  <c r="W133" i="40"/>
  <c r="X133" i="40"/>
  <c r="Y133" i="40"/>
  <c r="Z133" i="40"/>
  <c r="AA133" i="40"/>
  <c r="AB133" i="40"/>
  <c r="AC133" i="40"/>
  <c r="AD133" i="40"/>
  <c r="AE133" i="40"/>
  <c r="AF133" i="40"/>
  <c r="AG133" i="40"/>
  <c r="AH133" i="40"/>
  <c r="AI133" i="40"/>
  <c r="AJ133" i="40"/>
  <c r="B134" i="40"/>
  <c r="C134" i="40"/>
  <c r="D134" i="40"/>
  <c r="E134" i="40"/>
  <c r="F134" i="40"/>
  <c r="G134" i="40"/>
  <c r="H134" i="40"/>
  <c r="I134" i="40"/>
  <c r="J134" i="40"/>
  <c r="K134" i="40"/>
  <c r="L134" i="40"/>
  <c r="M134" i="40"/>
  <c r="N134" i="40"/>
  <c r="O134" i="40"/>
  <c r="P134" i="40"/>
  <c r="Q134" i="40"/>
  <c r="R134" i="40"/>
  <c r="S134" i="40"/>
  <c r="T134" i="40"/>
  <c r="U134" i="40"/>
  <c r="V134" i="40"/>
  <c r="W134" i="40"/>
  <c r="X134" i="40"/>
  <c r="Y134" i="40"/>
  <c r="Z134" i="40"/>
  <c r="AA134" i="40"/>
  <c r="AB134" i="40"/>
  <c r="AC134" i="40"/>
  <c r="AD134" i="40"/>
  <c r="AE134" i="40"/>
  <c r="AF134" i="40"/>
  <c r="AG134" i="40"/>
  <c r="AH134" i="40"/>
  <c r="AI134" i="40"/>
  <c r="AJ134" i="40"/>
  <c r="B135" i="40"/>
  <c r="C135" i="40"/>
  <c r="D135" i="40"/>
  <c r="E135" i="40"/>
  <c r="F135" i="40"/>
  <c r="G135" i="40"/>
  <c r="H135" i="40"/>
  <c r="I135" i="40"/>
  <c r="J135" i="40"/>
  <c r="K135" i="40"/>
  <c r="L135" i="40"/>
  <c r="M135" i="40"/>
  <c r="N135" i="40"/>
  <c r="O135" i="40"/>
  <c r="P135" i="40"/>
  <c r="Q135" i="40"/>
  <c r="R135" i="40"/>
  <c r="S135" i="40"/>
  <c r="T135" i="40"/>
  <c r="U135" i="40"/>
  <c r="V135" i="40"/>
  <c r="W135" i="40"/>
  <c r="X135" i="40"/>
  <c r="Y135" i="40"/>
  <c r="Z135" i="40"/>
  <c r="AA135" i="40"/>
  <c r="AB135" i="40"/>
  <c r="AC135" i="40"/>
  <c r="AD135" i="40"/>
  <c r="AE135" i="40"/>
  <c r="AF135" i="40"/>
  <c r="AG135" i="40"/>
  <c r="AH135" i="40"/>
  <c r="AI135" i="40"/>
  <c r="AJ135" i="40"/>
  <c r="B136" i="40"/>
  <c r="C136" i="40"/>
  <c r="D136" i="40"/>
  <c r="E136" i="40"/>
  <c r="F136" i="40"/>
  <c r="G136" i="40"/>
  <c r="H136" i="40"/>
  <c r="I136" i="40"/>
  <c r="J136" i="40"/>
  <c r="K136" i="40"/>
  <c r="L136" i="40"/>
  <c r="M136" i="40"/>
  <c r="N136" i="40"/>
  <c r="O136" i="40"/>
  <c r="P136" i="40"/>
  <c r="Q136" i="40"/>
  <c r="R136" i="40"/>
  <c r="S136" i="40"/>
  <c r="T136" i="40"/>
  <c r="U136" i="40"/>
  <c r="V136" i="40"/>
  <c r="W136" i="40"/>
  <c r="X136" i="40"/>
  <c r="Y136" i="40"/>
  <c r="Z136" i="40"/>
  <c r="AA136" i="40"/>
  <c r="AB136" i="40"/>
  <c r="AC136" i="40"/>
  <c r="AD136" i="40"/>
  <c r="AE136" i="40"/>
  <c r="AF136" i="40"/>
  <c r="AG136" i="40"/>
  <c r="AH136" i="40"/>
  <c r="AI136" i="40"/>
  <c r="AJ136" i="40"/>
  <c r="B137" i="40"/>
  <c r="C137" i="40"/>
  <c r="D137" i="40"/>
  <c r="E137" i="40"/>
  <c r="F137" i="40"/>
  <c r="G137" i="40"/>
  <c r="H137" i="40"/>
  <c r="I137" i="40"/>
  <c r="J137" i="40"/>
  <c r="K137" i="40"/>
  <c r="L137" i="40"/>
  <c r="M137" i="40"/>
  <c r="N137" i="40"/>
  <c r="O137" i="40"/>
  <c r="P137" i="40"/>
  <c r="Q137" i="40"/>
  <c r="R137" i="40"/>
  <c r="S137" i="40"/>
  <c r="T137" i="40"/>
  <c r="U137" i="40"/>
  <c r="V137" i="40"/>
  <c r="W137" i="40"/>
  <c r="X137" i="40"/>
  <c r="Y137" i="40"/>
  <c r="Z137" i="40"/>
  <c r="AA137" i="40"/>
  <c r="AB137" i="40"/>
  <c r="AC137" i="40"/>
  <c r="AD137" i="40"/>
  <c r="AE137" i="40"/>
  <c r="AF137" i="40"/>
  <c r="AG137" i="40"/>
  <c r="AH137" i="40"/>
  <c r="AI137" i="40"/>
  <c r="AJ137" i="40"/>
  <c r="B138" i="40"/>
  <c r="C138" i="40"/>
  <c r="D138" i="40"/>
  <c r="E138" i="40"/>
  <c r="F138" i="40"/>
  <c r="G138" i="40"/>
  <c r="H138" i="40"/>
  <c r="I138" i="40"/>
  <c r="J138" i="40"/>
  <c r="K138" i="40"/>
  <c r="L138" i="40"/>
  <c r="M138" i="40"/>
  <c r="N138" i="40"/>
  <c r="O138" i="40"/>
  <c r="P138" i="40"/>
  <c r="Q138" i="40"/>
  <c r="R138" i="40"/>
  <c r="S138" i="40"/>
  <c r="T138" i="40"/>
  <c r="U138" i="40"/>
  <c r="V138" i="40"/>
  <c r="W138" i="40"/>
  <c r="X138" i="40"/>
  <c r="Y138" i="40"/>
  <c r="Z138" i="40"/>
  <c r="AA138" i="40"/>
  <c r="AB138" i="40"/>
  <c r="AC138" i="40"/>
  <c r="AD138" i="40"/>
  <c r="AE138" i="40"/>
  <c r="AF138" i="40"/>
  <c r="AG138" i="40"/>
  <c r="AH138" i="40"/>
  <c r="AI138" i="40"/>
  <c r="AJ138" i="40"/>
  <c r="B139" i="40"/>
  <c r="C139" i="40"/>
  <c r="D139" i="40"/>
  <c r="E139" i="40"/>
  <c r="F139" i="40"/>
  <c r="G139" i="40"/>
  <c r="H139" i="40"/>
  <c r="I139" i="40"/>
  <c r="J139" i="40"/>
  <c r="K139" i="40"/>
  <c r="L139" i="40"/>
  <c r="M139" i="40"/>
  <c r="N139" i="40"/>
  <c r="O139" i="40"/>
  <c r="P139" i="40"/>
  <c r="Q139" i="40"/>
  <c r="R139" i="40"/>
  <c r="S139" i="40"/>
  <c r="T139" i="40"/>
  <c r="U139" i="40"/>
  <c r="V139" i="40"/>
  <c r="W139" i="40"/>
  <c r="X139" i="40"/>
  <c r="Y139" i="40"/>
  <c r="Z139" i="40"/>
  <c r="AA139" i="40"/>
  <c r="AB139" i="40"/>
  <c r="AC139" i="40"/>
  <c r="AD139" i="40"/>
  <c r="AE139" i="40"/>
  <c r="AF139" i="40"/>
  <c r="AG139" i="40"/>
  <c r="AH139" i="40"/>
  <c r="AI139" i="40"/>
  <c r="AJ139" i="40"/>
  <c r="B140" i="40"/>
  <c r="C140" i="40"/>
  <c r="D140" i="40"/>
  <c r="E140" i="40"/>
  <c r="F140" i="40"/>
  <c r="G140" i="40"/>
  <c r="H140" i="40"/>
  <c r="I140" i="40"/>
  <c r="J140" i="40"/>
  <c r="K140" i="40"/>
  <c r="L140" i="40"/>
  <c r="M140" i="40"/>
  <c r="N140" i="40"/>
  <c r="O140" i="40"/>
  <c r="P140" i="40"/>
  <c r="Q140" i="40"/>
  <c r="R140" i="40"/>
  <c r="S140" i="40"/>
  <c r="T140" i="40"/>
  <c r="U140" i="40"/>
  <c r="V140" i="40"/>
  <c r="W140" i="40"/>
  <c r="X140" i="40"/>
  <c r="Y140" i="40"/>
  <c r="Z140" i="40"/>
  <c r="AA140" i="40"/>
  <c r="AB140" i="40"/>
  <c r="AC140" i="40"/>
  <c r="AD140" i="40"/>
  <c r="AE140" i="40"/>
  <c r="AF140" i="40"/>
  <c r="AG140" i="40"/>
  <c r="AH140" i="40"/>
  <c r="AI140" i="40"/>
  <c r="AJ140" i="40"/>
  <c r="B141" i="40"/>
  <c r="C141" i="40"/>
  <c r="D141" i="40"/>
  <c r="E141" i="40"/>
  <c r="F141" i="40"/>
  <c r="G141" i="40"/>
  <c r="H141" i="40"/>
  <c r="I141" i="40"/>
  <c r="J141" i="40"/>
  <c r="K141" i="40"/>
  <c r="L141" i="40"/>
  <c r="M141" i="40"/>
  <c r="N141" i="40"/>
  <c r="O141" i="40"/>
  <c r="P141" i="40"/>
  <c r="Q141" i="40"/>
  <c r="R141" i="40"/>
  <c r="S141" i="40"/>
  <c r="T141" i="40"/>
  <c r="U141" i="40"/>
  <c r="V141" i="40"/>
  <c r="W141" i="40"/>
  <c r="X141" i="40"/>
  <c r="Y141" i="40"/>
  <c r="Z141" i="40"/>
  <c r="AA141" i="40"/>
  <c r="AB141" i="40"/>
  <c r="AC141" i="40"/>
  <c r="AD141" i="40"/>
  <c r="AE141" i="40"/>
  <c r="AF141" i="40"/>
  <c r="AG141" i="40"/>
  <c r="AH141" i="40"/>
  <c r="AI141" i="40"/>
  <c r="AJ141" i="40"/>
  <c r="B142" i="40"/>
  <c r="C142" i="40"/>
  <c r="D142" i="40"/>
  <c r="E142" i="40"/>
  <c r="F142" i="40"/>
  <c r="G142" i="40"/>
  <c r="H142" i="40"/>
  <c r="I142" i="40"/>
  <c r="J142" i="40"/>
  <c r="K142" i="40"/>
  <c r="L142" i="40"/>
  <c r="M142" i="40"/>
  <c r="N142" i="40"/>
  <c r="O142" i="40"/>
  <c r="P142" i="40"/>
  <c r="Q142" i="40"/>
  <c r="R142" i="40"/>
  <c r="S142" i="40"/>
  <c r="T142" i="40"/>
  <c r="U142" i="40"/>
  <c r="V142" i="40"/>
  <c r="W142" i="40"/>
  <c r="X142" i="40"/>
  <c r="Y142" i="40"/>
  <c r="Z142" i="40"/>
  <c r="AA142" i="40"/>
  <c r="AB142" i="40"/>
  <c r="AC142" i="40"/>
  <c r="AD142" i="40"/>
  <c r="AE142" i="40"/>
  <c r="AF142" i="40"/>
  <c r="AG142" i="40"/>
  <c r="AH142" i="40"/>
  <c r="AI142" i="40"/>
  <c r="AJ142" i="40"/>
  <c r="B143" i="40"/>
  <c r="C143" i="40"/>
  <c r="D143" i="40"/>
  <c r="E143" i="40"/>
  <c r="F143" i="40"/>
  <c r="G143" i="40"/>
  <c r="H143" i="40"/>
  <c r="I143" i="40"/>
  <c r="J143" i="40"/>
  <c r="K143" i="40"/>
  <c r="L143" i="40"/>
  <c r="M143" i="40"/>
  <c r="N143" i="40"/>
  <c r="O143" i="40"/>
  <c r="P143" i="40"/>
  <c r="Q143" i="40"/>
  <c r="R143" i="40"/>
  <c r="S143" i="40"/>
  <c r="T143" i="40"/>
  <c r="U143" i="40"/>
  <c r="V143" i="40"/>
  <c r="W143" i="40"/>
  <c r="X143" i="40"/>
  <c r="Y143" i="40"/>
  <c r="Z143" i="40"/>
  <c r="AA143" i="40"/>
  <c r="AB143" i="40"/>
  <c r="AC143" i="40"/>
  <c r="AD143" i="40"/>
  <c r="AE143" i="40"/>
  <c r="AF143" i="40"/>
  <c r="AG143" i="40"/>
  <c r="AH143" i="40"/>
  <c r="AI143" i="40"/>
  <c r="AJ143" i="40"/>
  <c r="B144" i="40"/>
  <c r="C144" i="40"/>
  <c r="D144" i="40"/>
  <c r="E144" i="40"/>
  <c r="F144" i="40"/>
  <c r="G144" i="40"/>
  <c r="H144" i="40"/>
  <c r="I144" i="40"/>
  <c r="J144" i="40"/>
  <c r="K144" i="40"/>
  <c r="L144" i="40"/>
  <c r="M144" i="40"/>
  <c r="N144" i="40"/>
  <c r="O144" i="40"/>
  <c r="P144" i="40"/>
  <c r="Q144" i="40"/>
  <c r="R144" i="40"/>
  <c r="S144" i="40"/>
  <c r="T144" i="40"/>
  <c r="U144" i="40"/>
  <c r="V144" i="40"/>
  <c r="W144" i="40"/>
  <c r="X144" i="40"/>
  <c r="Y144" i="40"/>
  <c r="Z144" i="40"/>
  <c r="AA144" i="40"/>
  <c r="AB144" i="40"/>
  <c r="AC144" i="40"/>
  <c r="AD144" i="40"/>
  <c r="AE144" i="40"/>
  <c r="AF144" i="40"/>
  <c r="AG144" i="40"/>
  <c r="AH144" i="40"/>
  <c r="AI144" i="40"/>
  <c r="AJ144" i="40"/>
  <c r="B145" i="40"/>
  <c r="C145" i="40"/>
  <c r="D145" i="40"/>
  <c r="E145" i="40"/>
  <c r="F145" i="40"/>
  <c r="G145" i="40"/>
  <c r="H145" i="40"/>
  <c r="I145" i="40"/>
  <c r="J145" i="40"/>
  <c r="K145" i="40"/>
  <c r="L145" i="40"/>
  <c r="M145" i="40"/>
  <c r="N145" i="40"/>
  <c r="O145" i="40"/>
  <c r="P145" i="40"/>
  <c r="Q145" i="40"/>
  <c r="R145" i="40"/>
  <c r="S145" i="40"/>
  <c r="T145" i="40"/>
  <c r="U145" i="40"/>
  <c r="V145" i="40"/>
  <c r="W145" i="40"/>
  <c r="X145" i="40"/>
  <c r="Y145" i="40"/>
  <c r="Z145" i="40"/>
  <c r="AA145" i="40"/>
  <c r="AB145" i="40"/>
  <c r="AC145" i="40"/>
  <c r="AD145" i="40"/>
  <c r="AE145" i="40"/>
  <c r="AF145" i="40"/>
  <c r="AG145" i="40"/>
  <c r="AH145" i="40"/>
  <c r="AI145" i="40"/>
  <c r="AJ145" i="40"/>
  <c r="B146" i="40"/>
  <c r="C146" i="40"/>
  <c r="D146" i="40"/>
  <c r="E146" i="40"/>
  <c r="F146" i="40"/>
  <c r="G146" i="40"/>
  <c r="H146" i="40"/>
  <c r="I146" i="40"/>
  <c r="J146" i="40"/>
  <c r="K146" i="40"/>
  <c r="L146" i="40"/>
  <c r="M146" i="40"/>
  <c r="N146" i="40"/>
  <c r="O146" i="40"/>
  <c r="P146" i="40"/>
  <c r="Q146" i="40"/>
  <c r="R146" i="40"/>
  <c r="S146" i="40"/>
  <c r="T146" i="40"/>
  <c r="U146" i="40"/>
  <c r="V146" i="40"/>
  <c r="W146" i="40"/>
  <c r="X146" i="40"/>
  <c r="Y146" i="40"/>
  <c r="Z146" i="40"/>
  <c r="AA146" i="40"/>
  <c r="AB146" i="40"/>
  <c r="AC146" i="40"/>
  <c r="AD146" i="40"/>
  <c r="AE146" i="40"/>
  <c r="AF146" i="40"/>
  <c r="AG146" i="40"/>
  <c r="AH146" i="40"/>
  <c r="AI146" i="40"/>
  <c r="AJ146" i="40"/>
  <c r="B147" i="40"/>
  <c r="C147" i="40"/>
  <c r="D147" i="40"/>
  <c r="E147" i="40"/>
  <c r="F147" i="40"/>
  <c r="G147" i="40"/>
  <c r="H147" i="40"/>
  <c r="I147" i="40"/>
  <c r="J147" i="40"/>
  <c r="K147" i="40"/>
  <c r="L147" i="40"/>
  <c r="M147" i="40"/>
  <c r="N147" i="40"/>
  <c r="O147" i="40"/>
  <c r="P147" i="40"/>
  <c r="Q147" i="40"/>
  <c r="R147" i="40"/>
  <c r="S147" i="40"/>
  <c r="T147" i="40"/>
  <c r="U147" i="40"/>
  <c r="V147" i="40"/>
  <c r="W147" i="40"/>
  <c r="X147" i="40"/>
  <c r="Y147" i="40"/>
  <c r="Z147" i="40"/>
  <c r="AA147" i="40"/>
  <c r="AB147" i="40"/>
  <c r="AC147" i="40"/>
  <c r="AD147" i="40"/>
  <c r="AE147" i="40"/>
  <c r="AF147" i="40"/>
  <c r="AG147" i="40"/>
  <c r="AH147" i="40"/>
  <c r="AI147" i="40"/>
  <c r="AJ147" i="40"/>
  <c r="B148" i="40"/>
  <c r="C148" i="40"/>
  <c r="D148" i="40"/>
  <c r="E148" i="40"/>
  <c r="F148" i="40"/>
  <c r="G148" i="40"/>
  <c r="H148" i="40"/>
  <c r="I148" i="40"/>
  <c r="J148" i="40"/>
  <c r="K148" i="40"/>
  <c r="L148" i="40"/>
  <c r="M148" i="40"/>
  <c r="N148" i="40"/>
  <c r="O148" i="40"/>
  <c r="P148" i="40"/>
  <c r="Q148" i="40"/>
  <c r="R148" i="40"/>
  <c r="S148" i="40"/>
  <c r="T148" i="40"/>
  <c r="U148" i="40"/>
  <c r="V148" i="40"/>
  <c r="W148" i="40"/>
  <c r="X148" i="40"/>
  <c r="Y148" i="40"/>
  <c r="Z148" i="40"/>
  <c r="AA148" i="40"/>
  <c r="AB148" i="40"/>
  <c r="AC148" i="40"/>
  <c r="AD148" i="40"/>
  <c r="AE148" i="40"/>
  <c r="AF148" i="40"/>
  <c r="AG148" i="40"/>
  <c r="AH148" i="40"/>
  <c r="AI148" i="40"/>
  <c r="AJ148" i="40"/>
  <c r="B149" i="40"/>
  <c r="C149" i="40"/>
  <c r="D149" i="40"/>
  <c r="E149" i="40"/>
  <c r="F149" i="40"/>
  <c r="G149" i="40"/>
  <c r="H149" i="40"/>
  <c r="I149" i="40"/>
  <c r="J149" i="40"/>
  <c r="K149" i="40"/>
  <c r="L149" i="40"/>
  <c r="M149" i="40"/>
  <c r="N149" i="40"/>
  <c r="O149" i="40"/>
  <c r="P149" i="40"/>
  <c r="Q149" i="40"/>
  <c r="R149" i="40"/>
  <c r="S149" i="40"/>
  <c r="T149" i="40"/>
  <c r="U149" i="40"/>
  <c r="V149" i="40"/>
  <c r="W149" i="40"/>
  <c r="X149" i="40"/>
  <c r="Y149" i="40"/>
  <c r="Z149" i="40"/>
  <c r="AA149" i="40"/>
  <c r="AB149" i="40"/>
  <c r="AC149" i="40"/>
  <c r="AD149" i="40"/>
  <c r="AE149" i="40"/>
  <c r="AF149" i="40"/>
  <c r="AG149" i="40"/>
  <c r="AH149" i="40"/>
  <c r="AI149" i="40"/>
  <c r="AJ149" i="40"/>
  <c r="B150" i="40"/>
  <c r="C150" i="40"/>
  <c r="D150" i="40"/>
  <c r="E150" i="40"/>
  <c r="F150" i="40"/>
  <c r="G150" i="40"/>
  <c r="H150" i="40"/>
  <c r="I150" i="40"/>
  <c r="J150" i="40"/>
  <c r="K150" i="40"/>
  <c r="L150" i="40"/>
  <c r="M150" i="40"/>
  <c r="N150" i="40"/>
  <c r="O150" i="40"/>
  <c r="P150" i="40"/>
  <c r="Q150" i="40"/>
  <c r="R150" i="40"/>
  <c r="S150" i="40"/>
  <c r="T150" i="40"/>
  <c r="U150" i="40"/>
  <c r="V150" i="40"/>
  <c r="W150" i="40"/>
  <c r="X150" i="40"/>
  <c r="Y150" i="40"/>
  <c r="Z150" i="40"/>
  <c r="AA150" i="40"/>
  <c r="AB150" i="40"/>
  <c r="AC150" i="40"/>
  <c r="AD150" i="40"/>
  <c r="AE150" i="40"/>
  <c r="AF150" i="40"/>
  <c r="AG150" i="40"/>
  <c r="AH150" i="40"/>
  <c r="AI150" i="40"/>
  <c r="AJ150" i="40"/>
  <c r="B151" i="40"/>
  <c r="C151" i="40"/>
  <c r="D151" i="40"/>
  <c r="E151" i="40"/>
  <c r="F151" i="40"/>
  <c r="G151" i="40"/>
  <c r="H151" i="40"/>
  <c r="I151" i="40"/>
  <c r="J151" i="40"/>
  <c r="K151" i="40"/>
  <c r="L151" i="40"/>
  <c r="M151" i="40"/>
  <c r="N151" i="40"/>
  <c r="O151" i="40"/>
  <c r="P151" i="40"/>
  <c r="Q151" i="40"/>
  <c r="R151" i="40"/>
  <c r="S151" i="40"/>
  <c r="T151" i="40"/>
  <c r="U151" i="40"/>
  <c r="V151" i="40"/>
  <c r="W151" i="40"/>
  <c r="X151" i="40"/>
  <c r="Y151" i="40"/>
  <c r="Z151" i="40"/>
  <c r="AA151" i="40"/>
  <c r="AB151" i="40"/>
  <c r="AC151" i="40"/>
  <c r="AD151" i="40"/>
  <c r="AE151" i="40"/>
  <c r="AF151" i="40"/>
  <c r="AG151" i="40"/>
  <c r="AH151" i="40"/>
  <c r="AI151" i="40"/>
  <c r="AJ151" i="40"/>
  <c r="B152" i="40"/>
  <c r="C152" i="40"/>
  <c r="D152" i="40"/>
  <c r="E152" i="40"/>
  <c r="F152" i="40"/>
  <c r="G152" i="40"/>
  <c r="H152" i="40"/>
  <c r="I152" i="40"/>
  <c r="J152" i="40"/>
  <c r="K152" i="40"/>
  <c r="L152" i="40"/>
  <c r="M152" i="40"/>
  <c r="N152" i="40"/>
  <c r="O152" i="40"/>
  <c r="P152" i="40"/>
  <c r="Q152" i="40"/>
  <c r="R152" i="40"/>
  <c r="S152" i="40"/>
  <c r="T152" i="40"/>
  <c r="U152" i="40"/>
  <c r="V152" i="40"/>
  <c r="W152" i="40"/>
  <c r="X152" i="40"/>
  <c r="Y152" i="40"/>
  <c r="Z152" i="40"/>
  <c r="AA152" i="40"/>
  <c r="AB152" i="40"/>
  <c r="AC152" i="40"/>
  <c r="AD152" i="40"/>
  <c r="AE152" i="40"/>
  <c r="AF152" i="40"/>
  <c r="AG152" i="40"/>
  <c r="AH152" i="40"/>
  <c r="AI152" i="40"/>
  <c r="AJ152" i="40"/>
  <c r="B153" i="40"/>
  <c r="C153" i="40"/>
  <c r="D153" i="40"/>
  <c r="E153" i="40"/>
  <c r="F153" i="40"/>
  <c r="G153" i="40"/>
  <c r="H153" i="40"/>
  <c r="I153" i="40"/>
  <c r="J153" i="40"/>
  <c r="K153" i="40"/>
  <c r="L153" i="40"/>
  <c r="M153" i="40"/>
  <c r="N153" i="40"/>
  <c r="O153" i="40"/>
  <c r="P153" i="40"/>
  <c r="Q153" i="40"/>
  <c r="R153" i="40"/>
  <c r="S153" i="40"/>
  <c r="T153" i="40"/>
  <c r="U153" i="40"/>
  <c r="V153" i="40"/>
  <c r="W153" i="40"/>
  <c r="X153" i="40"/>
  <c r="Y153" i="40"/>
  <c r="Z153" i="40"/>
  <c r="AA153" i="40"/>
  <c r="AB153" i="40"/>
  <c r="AC153" i="40"/>
  <c r="AD153" i="40"/>
  <c r="AE153" i="40"/>
  <c r="AF153" i="40"/>
  <c r="AG153" i="40"/>
  <c r="AH153" i="40"/>
  <c r="AI153" i="40"/>
  <c r="AJ153" i="40"/>
  <c r="B154" i="40"/>
  <c r="C154" i="40"/>
  <c r="D154" i="40"/>
  <c r="E154" i="40"/>
  <c r="F154" i="40"/>
  <c r="G154" i="40"/>
  <c r="H154" i="40"/>
  <c r="I154" i="40"/>
  <c r="J154" i="40"/>
  <c r="K154" i="40"/>
  <c r="L154" i="40"/>
  <c r="M154" i="40"/>
  <c r="N154" i="40"/>
  <c r="O154" i="40"/>
  <c r="P154" i="40"/>
  <c r="Q154" i="40"/>
  <c r="R154" i="40"/>
  <c r="S154" i="40"/>
  <c r="T154" i="40"/>
  <c r="U154" i="40"/>
  <c r="V154" i="40"/>
  <c r="W154" i="40"/>
  <c r="X154" i="40"/>
  <c r="Y154" i="40"/>
  <c r="Z154" i="40"/>
  <c r="AA154" i="40"/>
  <c r="AB154" i="40"/>
  <c r="AC154" i="40"/>
  <c r="AD154" i="40"/>
  <c r="AE154" i="40"/>
  <c r="AF154" i="40"/>
  <c r="AG154" i="40"/>
  <c r="AH154" i="40"/>
  <c r="AI154" i="40"/>
  <c r="AJ154" i="40"/>
  <c r="B155" i="40"/>
  <c r="C155" i="40"/>
  <c r="D155" i="40"/>
  <c r="E155" i="40"/>
  <c r="F155" i="40"/>
  <c r="G155" i="40"/>
  <c r="H155" i="40"/>
  <c r="I155" i="40"/>
  <c r="J155" i="40"/>
  <c r="K155" i="40"/>
  <c r="L155" i="40"/>
  <c r="M155" i="40"/>
  <c r="N155" i="40"/>
  <c r="O155" i="40"/>
  <c r="P155" i="40"/>
  <c r="Q155" i="40"/>
  <c r="R155" i="40"/>
  <c r="S155" i="40"/>
  <c r="T155" i="40"/>
  <c r="U155" i="40"/>
  <c r="V155" i="40"/>
  <c r="W155" i="40"/>
  <c r="X155" i="40"/>
  <c r="Y155" i="40"/>
  <c r="Z155" i="40"/>
  <c r="AA155" i="40"/>
  <c r="AB155" i="40"/>
  <c r="AC155" i="40"/>
  <c r="AD155" i="40"/>
  <c r="AE155" i="40"/>
  <c r="AF155" i="40"/>
  <c r="AG155" i="40"/>
  <c r="AH155" i="40"/>
  <c r="AI155" i="40"/>
  <c r="AJ155" i="40"/>
  <c r="B156" i="40"/>
  <c r="C156" i="40"/>
  <c r="D156" i="40"/>
  <c r="E156" i="40"/>
  <c r="F156" i="40"/>
  <c r="G156" i="40"/>
  <c r="H156" i="40"/>
  <c r="I156" i="40"/>
  <c r="J156" i="40"/>
  <c r="K156" i="40"/>
  <c r="L156" i="40"/>
  <c r="M156" i="40"/>
  <c r="N156" i="40"/>
  <c r="O156" i="40"/>
  <c r="P156" i="40"/>
  <c r="Q156" i="40"/>
  <c r="R156" i="40"/>
  <c r="S156" i="40"/>
  <c r="T156" i="40"/>
  <c r="U156" i="40"/>
  <c r="V156" i="40"/>
  <c r="W156" i="40"/>
  <c r="X156" i="40"/>
  <c r="Y156" i="40"/>
  <c r="Z156" i="40"/>
  <c r="AA156" i="40"/>
  <c r="AB156" i="40"/>
  <c r="AC156" i="40"/>
  <c r="AD156" i="40"/>
  <c r="AE156" i="40"/>
  <c r="AF156" i="40"/>
  <c r="AG156" i="40"/>
  <c r="AH156" i="40"/>
  <c r="AI156" i="40"/>
  <c r="AJ156" i="40"/>
  <c r="B157" i="40"/>
  <c r="C157" i="40"/>
  <c r="D157" i="40"/>
  <c r="E157" i="40"/>
  <c r="F157" i="40"/>
  <c r="G157" i="40"/>
  <c r="H157" i="40"/>
  <c r="I157" i="40"/>
  <c r="J157" i="40"/>
  <c r="K157" i="40"/>
  <c r="L157" i="40"/>
  <c r="M157" i="40"/>
  <c r="N157" i="40"/>
  <c r="O157" i="40"/>
  <c r="P157" i="40"/>
  <c r="Q157" i="40"/>
  <c r="R157" i="40"/>
  <c r="S157" i="40"/>
  <c r="T157" i="40"/>
  <c r="U157" i="40"/>
  <c r="V157" i="40"/>
  <c r="W157" i="40"/>
  <c r="X157" i="40"/>
  <c r="Y157" i="40"/>
  <c r="Z157" i="40"/>
  <c r="AA157" i="40"/>
  <c r="AB157" i="40"/>
  <c r="AC157" i="40"/>
  <c r="AD157" i="40"/>
  <c r="AE157" i="40"/>
  <c r="AF157" i="40"/>
  <c r="AG157" i="40"/>
  <c r="AH157" i="40"/>
  <c r="AI157" i="40"/>
  <c r="AJ157" i="40"/>
  <c r="B158" i="40"/>
  <c r="C158" i="40"/>
  <c r="D158" i="40"/>
  <c r="E158" i="40"/>
  <c r="F158" i="40"/>
  <c r="G158" i="40"/>
  <c r="H158" i="40"/>
  <c r="I158" i="40"/>
  <c r="J158" i="40"/>
  <c r="K158" i="40"/>
  <c r="L158" i="40"/>
  <c r="M158" i="40"/>
  <c r="N158" i="40"/>
  <c r="O158" i="40"/>
  <c r="P158" i="40"/>
  <c r="Q158" i="40"/>
  <c r="R158" i="40"/>
  <c r="S158" i="40"/>
  <c r="T158" i="40"/>
  <c r="U158" i="40"/>
  <c r="V158" i="40"/>
  <c r="W158" i="40"/>
  <c r="X158" i="40"/>
  <c r="Y158" i="40"/>
  <c r="Z158" i="40"/>
  <c r="AA158" i="40"/>
  <c r="AB158" i="40"/>
  <c r="AC158" i="40"/>
  <c r="AD158" i="40"/>
  <c r="AE158" i="40"/>
  <c r="AF158" i="40"/>
  <c r="AG158" i="40"/>
  <c r="AH158" i="40"/>
  <c r="AI158" i="40"/>
  <c r="AJ158" i="40"/>
  <c r="B159" i="40"/>
  <c r="C159" i="40"/>
  <c r="D159" i="40"/>
  <c r="E159" i="40"/>
  <c r="F159" i="40"/>
  <c r="G159" i="40"/>
  <c r="H159" i="40"/>
  <c r="I159" i="40"/>
  <c r="J159" i="40"/>
  <c r="K159" i="40"/>
  <c r="L159" i="40"/>
  <c r="M159" i="40"/>
  <c r="N159" i="40"/>
  <c r="O159" i="40"/>
  <c r="P159" i="40"/>
  <c r="Q159" i="40"/>
  <c r="R159" i="40"/>
  <c r="S159" i="40"/>
  <c r="T159" i="40"/>
  <c r="U159" i="40"/>
  <c r="V159" i="40"/>
  <c r="W159" i="40"/>
  <c r="X159" i="40"/>
  <c r="Y159" i="40"/>
  <c r="Z159" i="40"/>
  <c r="AA159" i="40"/>
  <c r="AB159" i="40"/>
  <c r="AC159" i="40"/>
  <c r="AD159" i="40"/>
  <c r="AE159" i="40"/>
  <c r="AF159" i="40"/>
  <c r="AG159" i="40"/>
  <c r="AH159" i="40"/>
  <c r="AI159" i="40"/>
  <c r="AJ159" i="40"/>
  <c r="B160" i="40"/>
  <c r="C160" i="40"/>
  <c r="D160" i="40"/>
  <c r="E160" i="40"/>
  <c r="F160" i="40"/>
  <c r="G160" i="40"/>
  <c r="H160" i="40"/>
  <c r="I160" i="40"/>
  <c r="J160" i="40"/>
  <c r="K160" i="40"/>
  <c r="L160" i="40"/>
  <c r="M160" i="40"/>
  <c r="N160" i="40"/>
  <c r="O160" i="40"/>
  <c r="P160" i="40"/>
  <c r="Q160" i="40"/>
  <c r="R160" i="40"/>
  <c r="S160" i="40"/>
  <c r="T160" i="40"/>
  <c r="U160" i="40"/>
  <c r="V160" i="40"/>
  <c r="W160" i="40"/>
  <c r="X160" i="40"/>
  <c r="Y160" i="40"/>
  <c r="Z160" i="40"/>
  <c r="AA160" i="40"/>
  <c r="AB160" i="40"/>
  <c r="AC160" i="40"/>
  <c r="AD160" i="40"/>
  <c r="AE160" i="40"/>
  <c r="AF160" i="40"/>
  <c r="AG160" i="40"/>
  <c r="AH160" i="40"/>
  <c r="AI160" i="40"/>
  <c r="AJ160" i="40"/>
  <c r="B161" i="40"/>
  <c r="C161" i="40"/>
  <c r="D161" i="40"/>
  <c r="E161" i="40"/>
  <c r="F161" i="40"/>
  <c r="G161" i="40"/>
  <c r="H161" i="40"/>
  <c r="I161" i="40"/>
  <c r="J161" i="40"/>
  <c r="K161" i="40"/>
  <c r="L161" i="40"/>
  <c r="M161" i="40"/>
  <c r="N161" i="40"/>
  <c r="O161" i="40"/>
  <c r="P161" i="40"/>
  <c r="Q161" i="40"/>
  <c r="R161" i="40"/>
  <c r="S161" i="40"/>
  <c r="T161" i="40"/>
  <c r="U161" i="40"/>
  <c r="V161" i="40"/>
  <c r="W161" i="40"/>
  <c r="X161" i="40"/>
  <c r="Y161" i="40"/>
  <c r="Z161" i="40"/>
  <c r="AA161" i="40"/>
  <c r="AB161" i="40"/>
  <c r="AC161" i="40"/>
  <c r="AD161" i="40"/>
  <c r="AE161" i="40"/>
  <c r="AF161" i="40"/>
  <c r="AG161" i="40"/>
  <c r="AH161" i="40"/>
  <c r="AI161" i="40"/>
  <c r="AJ161" i="40"/>
  <c r="B162" i="40"/>
  <c r="C162" i="40"/>
  <c r="D162" i="40"/>
  <c r="E162" i="40"/>
  <c r="F162" i="40"/>
  <c r="G162" i="40"/>
  <c r="H162" i="40"/>
  <c r="I162" i="40"/>
  <c r="J162" i="40"/>
  <c r="K162" i="40"/>
  <c r="L162" i="40"/>
  <c r="M162" i="40"/>
  <c r="N162" i="40"/>
  <c r="O162" i="40"/>
  <c r="P162" i="40"/>
  <c r="Q162" i="40"/>
  <c r="R162" i="40"/>
  <c r="S162" i="40"/>
  <c r="T162" i="40"/>
  <c r="U162" i="40"/>
  <c r="V162" i="40"/>
  <c r="W162" i="40"/>
  <c r="X162" i="40"/>
  <c r="Y162" i="40"/>
  <c r="Z162" i="40"/>
  <c r="AA162" i="40"/>
  <c r="AB162" i="40"/>
  <c r="AC162" i="40"/>
  <c r="AD162" i="40"/>
  <c r="AE162" i="40"/>
  <c r="AF162" i="40"/>
  <c r="AG162" i="40"/>
  <c r="AH162" i="40"/>
  <c r="AI162" i="40"/>
  <c r="AJ162" i="40"/>
  <c r="B163" i="40"/>
  <c r="C163" i="40"/>
  <c r="D163" i="40"/>
  <c r="E163" i="40"/>
  <c r="F163" i="40"/>
  <c r="G163" i="40"/>
  <c r="H163" i="40"/>
  <c r="I163" i="40"/>
  <c r="J163" i="40"/>
  <c r="K163" i="40"/>
  <c r="L163" i="40"/>
  <c r="M163" i="40"/>
  <c r="N163" i="40"/>
  <c r="O163" i="40"/>
  <c r="P163" i="40"/>
  <c r="Q163" i="40"/>
  <c r="R163" i="40"/>
  <c r="S163" i="40"/>
  <c r="T163" i="40"/>
  <c r="U163" i="40"/>
  <c r="V163" i="40"/>
  <c r="W163" i="40"/>
  <c r="X163" i="40"/>
  <c r="Y163" i="40"/>
  <c r="Z163" i="40"/>
  <c r="AA163" i="40"/>
  <c r="AB163" i="40"/>
  <c r="AC163" i="40"/>
  <c r="AD163" i="40"/>
  <c r="AE163" i="40"/>
  <c r="AF163" i="40"/>
  <c r="AG163" i="40"/>
  <c r="AH163" i="40"/>
  <c r="AI163" i="40"/>
  <c r="AJ163" i="40"/>
  <c r="B164" i="40"/>
  <c r="C164" i="40"/>
  <c r="D164" i="40"/>
  <c r="E164" i="40"/>
  <c r="F164" i="40"/>
  <c r="G164" i="40"/>
  <c r="H164" i="40"/>
  <c r="I164" i="40"/>
  <c r="J164" i="40"/>
  <c r="K164" i="40"/>
  <c r="L164" i="40"/>
  <c r="M164" i="40"/>
  <c r="N164" i="40"/>
  <c r="O164" i="40"/>
  <c r="P164" i="40"/>
  <c r="Q164" i="40"/>
  <c r="R164" i="40"/>
  <c r="S164" i="40"/>
  <c r="T164" i="40"/>
  <c r="U164" i="40"/>
  <c r="V164" i="40"/>
  <c r="W164" i="40"/>
  <c r="X164" i="40"/>
  <c r="Y164" i="40"/>
  <c r="Z164" i="40"/>
  <c r="AA164" i="40"/>
  <c r="AB164" i="40"/>
  <c r="AC164" i="40"/>
  <c r="AD164" i="40"/>
  <c r="AE164" i="40"/>
  <c r="AF164" i="40"/>
  <c r="AG164" i="40"/>
  <c r="AH164" i="40"/>
  <c r="AI164" i="40"/>
  <c r="AJ164" i="40"/>
  <c r="B165" i="40"/>
  <c r="C165" i="40"/>
  <c r="D165" i="40"/>
  <c r="E165" i="40"/>
  <c r="F165" i="40"/>
  <c r="G165" i="40"/>
  <c r="H165" i="40"/>
  <c r="I165" i="40"/>
  <c r="J165" i="40"/>
  <c r="K165" i="40"/>
  <c r="L165" i="40"/>
  <c r="M165" i="40"/>
  <c r="N165" i="40"/>
  <c r="O165" i="40"/>
  <c r="P165" i="40"/>
  <c r="Q165" i="40"/>
  <c r="R165" i="40"/>
  <c r="S165" i="40"/>
  <c r="T165" i="40"/>
  <c r="U165" i="40"/>
  <c r="V165" i="40"/>
  <c r="W165" i="40"/>
  <c r="X165" i="40"/>
  <c r="Y165" i="40"/>
  <c r="Z165" i="40"/>
  <c r="AA165" i="40"/>
  <c r="AB165" i="40"/>
  <c r="AC165" i="40"/>
  <c r="AD165" i="40"/>
  <c r="AE165" i="40"/>
  <c r="AF165" i="40"/>
  <c r="AG165" i="40"/>
  <c r="AH165" i="40"/>
  <c r="AI165" i="40"/>
  <c r="AJ165" i="40"/>
  <c r="B166" i="40"/>
  <c r="C166" i="40"/>
  <c r="D166" i="40"/>
  <c r="E166" i="40"/>
  <c r="F166" i="40"/>
  <c r="G166" i="40"/>
  <c r="H166" i="40"/>
  <c r="I166" i="40"/>
  <c r="J166" i="40"/>
  <c r="K166" i="40"/>
  <c r="L166" i="40"/>
  <c r="M166" i="40"/>
  <c r="N166" i="40"/>
  <c r="O166" i="40"/>
  <c r="P166" i="40"/>
  <c r="Q166" i="40"/>
  <c r="R166" i="40"/>
  <c r="S166" i="40"/>
  <c r="T166" i="40"/>
  <c r="U166" i="40"/>
  <c r="V166" i="40"/>
  <c r="W166" i="40"/>
  <c r="X166" i="40"/>
  <c r="Y166" i="40"/>
  <c r="Z166" i="40"/>
  <c r="AA166" i="40"/>
  <c r="AB166" i="40"/>
  <c r="AC166" i="40"/>
  <c r="AD166" i="40"/>
  <c r="AE166" i="40"/>
  <c r="AF166" i="40"/>
  <c r="AG166" i="40"/>
  <c r="AH166" i="40"/>
  <c r="AI166" i="40"/>
  <c r="AJ166" i="40"/>
  <c r="B167" i="40"/>
  <c r="C167" i="40"/>
  <c r="D167" i="40"/>
  <c r="E167" i="40"/>
  <c r="F167" i="40"/>
  <c r="G167" i="40"/>
  <c r="H167" i="40"/>
  <c r="I167" i="40"/>
  <c r="J167" i="40"/>
  <c r="K167" i="40"/>
  <c r="L167" i="40"/>
  <c r="M167" i="40"/>
  <c r="N167" i="40"/>
  <c r="O167" i="40"/>
  <c r="P167" i="40"/>
  <c r="Q167" i="40"/>
  <c r="R167" i="40"/>
  <c r="S167" i="40"/>
  <c r="T167" i="40"/>
  <c r="U167" i="40"/>
  <c r="V167" i="40"/>
  <c r="W167" i="40"/>
  <c r="X167" i="40"/>
  <c r="Y167" i="40"/>
  <c r="Z167" i="40"/>
  <c r="AA167" i="40"/>
  <c r="AB167" i="40"/>
  <c r="AC167" i="40"/>
  <c r="AD167" i="40"/>
  <c r="AE167" i="40"/>
  <c r="AF167" i="40"/>
  <c r="AG167" i="40"/>
  <c r="AH167" i="40"/>
  <c r="AI167" i="40"/>
  <c r="AJ167" i="40"/>
  <c r="B168" i="40"/>
  <c r="C168" i="40"/>
  <c r="D168" i="40"/>
  <c r="E168" i="40"/>
  <c r="F168" i="40"/>
  <c r="G168" i="40"/>
  <c r="H168" i="40"/>
  <c r="I168" i="40"/>
  <c r="J168" i="40"/>
  <c r="K168" i="40"/>
  <c r="L168" i="40"/>
  <c r="M168" i="40"/>
  <c r="N168" i="40"/>
  <c r="O168" i="40"/>
  <c r="P168" i="40"/>
  <c r="Q168" i="40"/>
  <c r="R168" i="40"/>
  <c r="S168" i="40"/>
  <c r="T168" i="40"/>
  <c r="U168" i="40"/>
  <c r="V168" i="40"/>
  <c r="W168" i="40"/>
  <c r="X168" i="40"/>
  <c r="Y168" i="40"/>
  <c r="Z168" i="40"/>
  <c r="AA168" i="40"/>
  <c r="AB168" i="40"/>
  <c r="AC168" i="40"/>
  <c r="AD168" i="40"/>
  <c r="AE168" i="40"/>
  <c r="AF168" i="40"/>
  <c r="AG168" i="40"/>
  <c r="AH168" i="40"/>
  <c r="AI168" i="40"/>
  <c r="AJ168" i="40"/>
  <c r="B169" i="40"/>
  <c r="C169" i="40"/>
  <c r="D169" i="40"/>
  <c r="E169" i="40"/>
  <c r="F169" i="40"/>
  <c r="G169" i="40"/>
  <c r="H169" i="40"/>
  <c r="I169" i="40"/>
  <c r="J169" i="40"/>
  <c r="K169" i="40"/>
  <c r="L169" i="40"/>
  <c r="M169" i="40"/>
  <c r="N169" i="40"/>
  <c r="O169" i="40"/>
  <c r="P169" i="40"/>
  <c r="Q169" i="40"/>
  <c r="R169" i="40"/>
  <c r="S169" i="40"/>
  <c r="T169" i="40"/>
  <c r="U169" i="40"/>
  <c r="V169" i="40"/>
  <c r="W169" i="40"/>
  <c r="X169" i="40"/>
  <c r="Y169" i="40"/>
  <c r="Z169" i="40"/>
  <c r="AA169" i="40"/>
  <c r="AB169" i="40"/>
  <c r="AC169" i="40"/>
  <c r="AD169" i="40"/>
  <c r="AE169" i="40"/>
  <c r="AF169" i="40"/>
  <c r="AG169" i="40"/>
  <c r="AH169" i="40"/>
  <c r="AI169" i="40"/>
  <c r="AJ169" i="40"/>
  <c r="B170" i="40"/>
  <c r="C170" i="40"/>
  <c r="D170" i="40"/>
  <c r="E170" i="40"/>
  <c r="F170" i="40"/>
  <c r="G170" i="40"/>
  <c r="H170" i="40"/>
  <c r="I170" i="40"/>
  <c r="J170" i="40"/>
  <c r="K170" i="40"/>
  <c r="L170" i="40"/>
  <c r="M170" i="40"/>
  <c r="N170" i="40"/>
  <c r="O170" i="40"/>
  <c r="P170" i="40"/>
  <c r="Q170" i="40"/>
  <c r="R170" i="40"/>
  <c r="S170" i="40"/>
  <c r="T170" i="40"/>
  <c r="U170" i="40"/>
  <c r="V170" i="40"/>
  <c r="W170" i="40"/>
  <c r="X170" i="40"/>
  <c r="Y170" i="40"/>
  <c r="Z170" i="40"/>
  <c r="AA170" i="40"/>
  <c r="AB170" i="40"/>
  <c r="AC170" i="40"/>
  <c r="AD170" i="40"/>
  <c r="AE170" i="40"/>
  <c r="AF170" i="40"/>
  <c r="AG170" i="40"/>
  <c r="AH170" i="40"/>
  <c r="AI170" i="40"/>
  <c r="AJ170" i="40"/>
  <c r="B171" i="40"/>
  <c r="C171" i="40"/>
  <c r="D171" i="40"/>
  <c r="E171" i="40"/>
  <c r="F171" i="40"/>
  <c r="G171" i="40"/>
  <c r="H171" i="40"/>
  <c r="I171" i="40"/>
  <c r="J171" i="40"/>
  <c r="K171" i="40"/>
  <c r="L171" i="40"/>
  <c r="M171" i="40"/>
  <c r="N171" i="40"/>
  <c r="O171" i="40"/>
  <c r="P171" i="40"/>
  <c r="Q171" i="40"/>
  <c r="R171" i="40"/>
  <c r="S171" i="40"/>
  <c r="T171" i="40"/>
  <c r="U171" i="40"/>
  <c r="V171" i="40"/>
  <c r="W171" i="40"/>
  <c r="X171" i="40"/>
  <c r="Y171" i="40"/>
  <c r="Z171" i="40"/>
  <c r="AA171" i="40"/>
  <c r="AB171" i="40"/>
  <c r="AC171" i="40"/>
  <c r="AD171" i="40"/>
  <c r="AE171" i="40"/>
  <c r="AF171" i="40"/>
  <c r="AG171" i="40"/>
  <c r="AH171" i="40"/>
  <c r="AI171" i="40"/>
  <c r="AJ171" i="40"/>
  <c r="B172" i="40"/>
  <c r="C172" i="40"/>
  <c r="D172" i="40"/>
  <c r="E172" i="40"/>
  <c r="F172" i="40"/>
  <c r="G172" i="40"/>
  <c r="H172" i="40"/>
  <c r="I172" i="40"/>
  <c r="J172" i="40"/>
  <c r="K172" i="40"/>
  <c r="L172" i="40"/>
  <c r="M172" i="40"/>
  <c r="N172" i="40"/>
  <c r="O172" i="40"/>
  <c r="P172" i="40"/>
  <c r="Q172" i="40"/>
  <c r="R172" i="40"/>
  <c r="S172" i="40"/>
  <c r="T172" i="40"/>
  <c r="U172" i="40"/>
  <c r="V172" i="40"/>
  <c r="W172" i="40"/>
  <c r="X172" i="40"/>
  <c r="Y172" i="40"/>
  <c r="Z172" i="40"/>
  <c r="AA172" i="40"/>
  <c r="AB172" i="40"/>
  <c r="AC172" i="40"/>
  <c r="AD172" i="40"/>
  <c r="AE172" i="40"/>
  <c r="AF172" i="40"/>
  <c r="AG172" i="40"/>
  <c r="AH172" i="40"/>
  <c r="AI172" i="40"/>
  <c r="AJ172" i="40"/>
  <c r="B173" i="40"/>
  <c r="C173" i="40"/>
  <c r="D173" i="40"/>
  <c r="E173" i="40"/>
  <c r="F173" i="40"/>
  <c r="G173" i="40"/>
  <c r="H173" i="40"/>
  <c r="I173" i="40"/>
  <c r="J173" i="40"/>
  <c r="K173" i="40"/>
  <c r="L173" i="40"/>
  <c r="M173" i="40"/>
  <c r="N173" i="40"/>
  <c r="O173" i="40"/>
  <c r="P173" i="40"/>
  <c r="Q173" i="40"/>
  <c r="R173" i="40"/>
  <c r="S173" i="40"/>
  <c r="T173" i="40"/>
  <c r="U173" i="40"/>
  <c r="V173" i="40"/>
  <c r="W173" i="40"/>
  <c r="X173" i="40"/>
  <c r="Y173" i="40"/>
  <c r="Z173" i="40"/>
  <c r="AA173" i="40"/>
  <c r="AB173" i="40"/>
  <c r="AC173" i="40"/>
  <c r="AD173" i="40"/>
  <c r="AE173" i="40"/>
  <c r="AF173" i="40"/>
  <c r="AG173" i="40"/>
  <c r="AH173" i="40"/>
  <c r="AI173" i="40"/>
  <c r="AJ173" i="40"/>
  <c r="B174" i="40"/>
  <c r="C174" i="40"/>
  <c r="D174" i="40"/>
  <c r="E174" i="40"/>
  <c r="F174" i="40"/>
  <c r="G174" i="40"/>
  <c r="H174" i="40"/>
  <c r="I174" i="40"/>
  <c r="J174" i="40"/>
  <c r="K174" i="40"/>
  <c r="L174" i="40"/>
  <c r="M174" i="40"/>
  <c r="N174" i="40"/>
  <c r="O174" i="40"/>
  <c r="P174" i="40"/>
  <c r="Q174" i="40"/>
  <c r="R174" i="40"/>
  <c r="S174" i="40"/>
  <c r="T174" i="40"/>
  <c r="U174" i="40"/>
  <c r="V174" i="40"/>
  <c r="W174" i="40"/>
  <c r="X174" i="40"/>
  <c r="Y174" i="40"/>
  <c r="Z174" i="40"/>
  <c r="AA174" i="40"/>
  <c r="AB174" i="40"/>
  <c r="AC174" i="40"/>
  <c r="AD174" i="40"/>
  <c r="AE174" i="40"/>
  <c r="AF174" i="40"/>
  <c r="AG174" i="40"/>
  <c r="AH174" i="40"/>
  <c r="AI174" i="40"/>
  <c r="AJ174" i="40"/>
  <c r="B175" i="40"/>
  <c r="C175" i="40"/>
  <c r="D175" i="40"/>
  <c r="E175" i="40"/>
  <c r="F175" i="40"/>
  <c r="G175" i="40"/>
  <c r="H175" i="40"/>
  <c r="I175" i="40"/>
  <c r="J175" i="40"/>
  <c r="K175" i="40"/>
  <c r="L175" i="40"/>
  <c r="M175" i="40"/>
  <c r="N175" i="40"/>
  <c r="O175" i="40"/>
  <c r="P175" i="40"/>
  <c r="Q175" i="40"/>
  <c r="R175" i="40"/>
  <c r="S175" i="40"/>
  <c r="T175" i="40"/>
  <c r="U175" i="40"/>
  <c r="V175" i="40"/>
  <c r="W175" i="40"/>
  <c r="X175" i="40"/>
  <c r="Y175" i="40"/>
  <c r="Z175" i="40"/>
  <c r="AA175" i="40"/>
  <c r="AB175" i="40"/>
  <c r="AC175" i="40"/>
  <c r="AD175" i="40"/>
  <c r="AE175" i="40"/>
  <c r="AF175" i="40"/>
  <c r="AG175" i="40"/>
  <c r="AH175" i="40"/>
  <c r="AI175" i="40"/>
  <c r="AJ175" i="40"/>
  <c r="B176" i="40"/>
  <c r="C176" i="40"/>
  <c r="D176" i="40"/>
  <c r="E176" i="40"/>
  <c r="F176" i="40"/>
  <c r="G176" i="40"/>
  <c r="H176" i="40"/>
  <c r="I176" i="40"/>
  <c r="J176" i="40"/>
  <c r="K176" i="40"/>
  <c r="L176" i="40"/>
  <c r="M176" i="40"/>
  <c r="N176" i="40"/>
  <c r="O176" i="40"/>
  <c r="P176" i="40"/>
  <c r="Q176" i="40"/>
  <c r="R176" i="40"/>
  <c r="S176" i="40"/>
  <c r="T176" i="40"/>
  <c r="U176" i="40"/>
  <c r="V176" i="40"/>
  <c r="W176" i="40"/>
  <c r="X176" i="40"/>
  <c r="Y176" i="40"/>
  <c r="Z176" i="40"/>
  <c r="AA176" i="40"/>
  <c r="AB176" i="40"/>
  <c r="AC176" i="40"/>
  <c r="AD176" i="40"/>
  <c r="AE176" i="40"/>
  <c r="AF176" i="40"/>
  <c r="AG176" i="40"/>
  <c r="AH176" i="40"/>
  <c r="AI176" i="40"/>
  <c r="AJ176" i="40"/>
  <c r="B177" i="40"/>
  <c r="C177" i="40"/>
  <c r="D177" i="40"/>
  <c r="E177" i="40"/>
  <c r="F177" i="40"/>
  <c r="G177" i="40"/>
  <c r="H177" i="40"/>
  <c r="I177" i="40"/>
  <c r="J177" i="40"/>
  <c r="K177" i="40"/>
  <c r="L177" i="40"/>
  <c r="M177" i="40"/>
  <c r="N177" i="40"/>
  <c r="O177" i="40"/>
  <c r="P177" i="40"/>
  <c r="Q177" i="40"/>
  <c r="R177" i="40"/>
  <c r="S177" i="40"/>
  <c r="T177" i="40"/>
  <c r="U177" i="40"/>
  <c r="V177" i="40"/>
  <c r="W177" i="40"/>
  <c r="X177" i="40"/>
  <c r="Y177" i="40"/>
  <c r="Z177" i="40"/>
  <c r="AA177" i="40"/>
  <c r="AB177" i="40"/>
  <c r="AC177" i="40"/>
  <c r="AD177" i="40"/>
  <c r="AE177" i="40"/>
  <c r="AF177" i="40"/>
  <c r="AG177" i="40"/>
  <c r="AH177" i="40"/>
  <c r="AI177" i="40"/>
  <c r="AJ177" i="40"/>
  <c r="B178" i="40"/>
  <c r="C178" i="40"/>
  <c r="D178" i="40"/>
  <c r="E178" i="40"/>
  <c r="F178" i="40"/>
  <c r="G178" i="40"/>
  <c r="H178" i="40"/>
  <c r="I178" i="40"/>
  <c r="J178" i="40"/>
  <c r="K178" i="40"/>
  <c r="L178" i="40"/>
  <c r="M178" i="40"/>
  <c r="N178" i="40"/>
  <c r="O178" i="40"/>
  <c r="P178" i="40"/>
  <c r="Q178" i="40"/>
  <c r="R178" i="40"/>
  <c r="S178" i="40"/>
  <c r="T178" i="40"/>
  <c r="U178" i="40"/>
  <c r="V178" i="40"/>
  <c r="W178" i="40"/>
  <c r="X178" i="40"/>
  <c r="Y178" i="40"/>
  <c r="Z178" i="40"/>
  <c r="AA178" i="40"/>
  <c r="AB178" i="40"/>
  <c r="AC178" i="40"/>
  <c r="AD178" i="40"/>
  <c r="AE178" i="40"/>
  <c r="AF178" i="40"/>
  <c r="AG178" i="40"/>
  <c r="AH178" i="40"/>
  <c r="AI178" i="40"/>
  <c r="AJ178" i="40"/>
  <c r="B179" i="40"/>
  <c r="C179" i="40"/>
  <c r="D179" i="40"/>
  <c r="E179" i="40"/>
  <c r="F179" i="40"/>
  <c r="G179" i="40"/>
  <c r="H179" i="40"/>
  <c r="I179" i="40"/>
  <c r="J179" i="40"/>
  <c r="K179" i="40"/>
  <c r="L179" i="40"/>
  <c r="M179" i="40"/>
  <c r="N179" i="40"/>
  <c r="O179" i="40"/>
  <c r="P179" i="40"/>
  <c r="Q179" i="40"/>
  <c r="R179" i="40"/>
  <c r="S179" i="40"/>
  <c r="T179" i="40"/>
  <c r="U179" i="40"/>
  <c r="V179" i="40"/>
  <c r="W179" i="40"/>
  <c r="X179" i="40"/>
  <c r="Y179" i="40"/>
  <c r="Z179" i="40"/>
  <c r="AA179" i="40"/>
  <c r="AB179" i="40"/>
  <c r="AC179" i="40"/>
  <c r="AD179" i="40"/>
  <c r="AE179" i="40"/>
  <c r="AF179" i="40"/>
  <c r="AG179" i="40"/>
  <c r="AH179" i="40"/>
  <c r="AI179" i="40"/>
  <c r="AJ179" i="40"/>
  <c r="B180" i="40"/>
  <c r="C180" i="40"/>
  <c r="D180" i="40"/>
  <c r="E180" i="40"/>
  <c r="F180" i="40"/>
  <c r="G180" i="40"/>
  <c r="H180" i="40"/>
  <c r="I180" i="40"/>
  <c r="J180" i="40"/>
  <c r="K180" i="40"/>
  <c r="L180" i="40"/>
  <c r="M180" i="40"/>
  <c r="N180" i="40"/>
  <c r="O180" i="40"/>
  <c r="P180" i="40"/>
  <c r="Q180" i="40"/>
  <c r="R180" i="40"/>
  <c r="S180" i="40"/>
  <c r="T180" i="40"/>
  <c r="U180" i="40"/>
  <c r="V180" i="40"/>
  <c r="W180" i="40"/>
  <c r="X180" i="40"/>
  <c r="Y180" i="40"/>
  <c r="Z180" i="40"/>
  <c r="AA180" i="40"/>
  <c r="AB180" i="40"/>
  <c r="AC180" i="40"/>
  <c r="AD180" i="40"/>
  <c r="AE180" i="40"/>
  <c r="AF180" i="40"/>
  <c r="AG180" i="40"/>
  <c r="AH180" i="40"/>
  <c r="AI180" i="40"/>
  <c r="AJ180" i="40"/>
  <c r="B181" i="40"/>
  <c r="C181" i="40"/>
  <c r="D181" i="40"/>
  <c r="E181" i="40"/>
  <c r="F181" i="40"/>
  <c r="G181" i="40"/>
  <c r="H181" i="40"/>
  <c r="I181" i="40"/>
  <c r="J181" i="40"/>
  <c r="K181" i="40"/>
  <c r="L181" i="40"/>
  <c r="M181" i="40"/>
  <c r="N181" i="40"/>
  <c r="O181" i="40"/>
  <c r="P181" i="40"/>
  <c r="Q181" i="40"/>
  <c r="R181" i="40"/>
  <c r="S181" i="40"/>
  <c r="T181" i="40"/>
  <c r="U181" i="40"/>
  <c r="V181" i="40"/>
  <c r="W181" i="40"/>
  <c r="X181" i="40"/>
  <c r="Y181" i="40"/>
  <c r="Z181" i="40"/>
  <c r="AA181" i="40"/>
  <c r="AB181" i="40"/>
  <c r="AC181" i="40"/>
  <c r="AD181" i="40"/>
  <c r="AE181" i="40"/>
  <c r="AF181" i="40"/>
  <c r="AG181" i="40"/>
  <c r="AH181" i="40"/>
  <c r="AI181" i="40"/>
  <c r="AJ181" i="40"/>
  <c r="B182" i="40"/>
  <c r="C182" i="40"/>
  <c r="D182" i="40"/>
  <c r="E182" i="40"/>
  <c r="F182" i="40"/>
  <c r="G182" i="40"/>
  <c r="H182" i="40"/>
  <c r="I182" i="40"/>
  <c r="J182" i="40"/>
  <c r="K182" i="40"/>
  <c r="L182" i="40"/>
  <c r="M182" i="40"/>
  <c r="N182" i="40"/>
  <c r="O182" i="40"/>
  <c r="P182" i="40"/>
  <c r="Q182" i="40"/>
  <c r="R182" i="40"/>
  <c r="S182" i="40"/>
  <c r="T182" i="40"/>
  <c r="U182" i="40"/>
  <c r="V182" i="40"/>
  <c r="W182" i="40"/>
  <c r="X182" i="40"/>
  <c r="Y182" i="40"/>
  <c r="Z182" i="40"/>
  <c r="AA182" i="40"/>
  <c r="AB182" i="40"/>
  <c r="AC182" i="40"/>
  <c r="AD182" i="40"/>
  <c r="AE182" i="40"/>
  <c r="AF182" i="40"/>
  <c r="AG182" i="40"/>
  <c r="AH182" i="40"/>
  <c r="AI182" i="40"/>
  <c r="AJ182" i="40"/>
  <c r="B183" i="40"/>
  <c r="C183" i="40"/>
  <c r="D183" i="40"/>
  <c r="E183" i="40"/>
  <c r="F183" i="40"/>
  <c r="G183" i="40"/>
  <c r="H183" i="40"/>
  <c r="I183" i="40"/>
  <c r="J183" i="40"/>
  <c r="K183" i="40"/>
  <c r="L183" i="40"/>
  <c r="M183" i="40"/>
  <c r="N183" i="40"/>
  <c r="O183" i="40"/>
  <c r="P183" i="40"/>
  <c r="Q183" i="40"/>
  <c r="R183" i="40"/>
  <c r="S183" i="40"/>
  <c r="T183" i="40"/>
  <c r="U183" i="40"/>
  <c r="V183" i="40"/>
  <c r="W183" i="40"/>
  <c r="X183" i="40"/>
  <c r="Y183" i="40"/>
  <c r="Z183" i="40"/>
  <c r="AA183" i="40"/>
  <c r="AB183" i="40"/>
  <c r="AC183" i="40"/>
  <c r="AD183" i="40"/>
  <c r="AE183" i="40"/>
  <c r="AF183" i="40"/>
  <c r="AG183" i="40"/>
  <c r="AH183" i="40"/>
  <c r="AI183" i="40"/>
  <c r="AJ183" i="40"/>
  <c r="B184" i="40"/>
  <c r="C184" i="40"/>
  <c r="D184" i="40"/>
  <c r="E184" i="40"/>
  <c r="F184" i="40"/>
  <c r="G184" i="40"/>
  <c r="H184" i="40"/>
  <c r="I184" i="40"/>
  <c r="J184" i="40"/>
  <c r="K184" i="40"/>
  <c r="L184" i="40"/>
  <c r="M184" i="40"/>
  <c r="N184" i="40"/>
  <c r="O184" i="40"/>
  <c r="P184" i="40"/>
  <c r="Q184" i="40"/>
  <c r="R184" i="40"/>
  <c r="S184" i="40"/>
  <c r="T184" i="40"/>
  <c r="U184" i="40"/>
  <c r="V184" i="40"/>
  <c r="W184" i="40"/>
  <c r="X184" i="40"/>
  <c r="Y184" i="40"/>
  <c r="Z184" i="40"/>
  <c r="AA184" i="40"/>
  <c r="AB184" i="40"/>
  <c r="AC184" i="40"/>
  <c r="AD184" i="40"/>
  <c r="AE184" i="40"/>
  <c r="AF184" i="40"/>
  <c r="AG184" i="40"/>
  <c r="AH184" i="40"/>
  <c r="AI184" i="40"/>
  <c r="AJ184" i="40"/>
  <c r="B185" i="40"/>
  <c r="C185" i="40"/>
  <c r="D185" i="40"/>
  <c r="E185" i="40"/>
  <c r="F185" i="40"/>
  <c r="G185" i="40"/>
  <c r="H185" i="40"/>
  <c r="I185" i="40"/>
  <c r="J185" i="40"/>
  <c r="K185" i="40"/>
  <c r="L185" i="40"/>
  <c r="M185" i="40"/>
  <c r="N185" i="40"/>
  <c r="O185" i="40"/>
  <c r="P185" i="40"/>
  <c r="Q185" i="40"/>
  <c r="R185" i="40"/>
  <c r="S185" i="40"/>
  <c r="T185" i="40"/>
  <c r="U185" i="40"/>
  <c r="V185" i="40"/>
  <c r="W185" i="40"/>
  <c r="X185" i="40"/>
  <c r="Y185" i="40"/>
  <c r="Z185" i="40"/>
  <c r="AA185" i="40"/>
  <c r="AB185" i="40"/>
  <c r="AC185" i="40"/>
  <c r="AD185" i="40"/>
  <c r="AE185" i="40"/>
  <c r="AF185" i="40"/>
  <c r="AG185" i="40"/>
  <c r="AH185" i="40"/>
  <c r="AI185" i="40"/>
  <c r="AJ185" i="40"/>
  <c r="B186" i="40"/>
  <c r="C186" i="40"/>
  <c r="D186" i="40"/>
  <c r="E186" i="40"/>
  <c r="F186" i="40"/>
  <c r="G186" i="40"/>
  <c r="H186" i="40"/>
  <c r="I186" i="40"/>
  <c r="J186" i="40"/>
  <c r="K186" i="40"/>
  <c r="L186" i="40"/>
  <c r="M186" i="40"/>
  <c r="N186" i="40"/>
  <c r="O186" i="40"/>
  <c r="P186" i="40"/>
  <c r="Q186" i="40"/>
  <c r="R186" i="40"/>
  <c r="S186" i="40"/>
  <c r="T186" i="40"/>
  <c r="U186" i="40"/>
  <c r="V186" i="40"/>
  <c r="W186" i="40"/>
  <c r="X186" i="40"/>
  <c r="Y186" i="40"/>
  <c r="Z186" i="40"/>
  <c r="AA186" i="40"/>
  <c r="AB186" i="40"/>
  <c r="AC186" i="40"/>
  <c r="AD186" i="40"/>
  <c r="AE186" i="40"/>
  <c r="AF186" i="40"/>
  <c r="AG186" i="40"/>
  <c r="AH186" i="40"/>
  <c r="AI186" i="40"/>
  <c r="AJ186" i="40"/>
  <c r="B187" i="40"/>
  <c r="C187" i="40"/>
  <c r="D187" i="40"/>
  <c r="E187" i="40"/>
  <c r="F187" i="40"/>
  <c r="G187" i="40"/>
  <c r="H187" i="40"/>
  <c r="I187" i="40"/>
  <c r="J187" i="40"/>
  <c r="K187" i="40"/>
  <c r="L187" i="40"/>
  <c r="M187" i="40"/>
  <c r="N187" i="40"/>
  <c r="O187" i="40"/>
  <c r="P187" i="40"/>
  <c r="Q187" i="40"/>
  <c r="R187" i="40"/>
  <c r="S187" i="40"/>
  <c r="T187" i="40"/>
  <c r="U187" i="40"/>
  <c r="V187" i="40"/>
  <c r="W187" i="40"/>
  <c r="X187" i="40"/>
  <c r="Y187" i="40"/>
  <c r="Z187" i="40"/>
  <c r="AA187" i="40"/>
  <c r="AB187" i="40"/>
  <c r="AC187" i="40"/>
  <c r="AD187" i="40"/>
  <c r="AE187" i="40"/>
  <c r="AF187" i="40"/>
  <c r="AG187" i="40"/>
  <c r="AH187" i="40"/>
  <c r="AI187" i="40"/>
  <c r="AJ187" i="40"/>
  <c r="B188" i="40"/>
  <c r="C188" i="40"/>
  <c r="D188" i="40"/>
  <c r="E188" i="40"/>
  <c r="F188" i="40"/>
  <c r="G188" i="40"/>
  <c r="H188" i="40"/>
  <c r="I188" i="40"/>
  <c r="J188" i="40"/>
  <c r="K188" i="40"/>
  <c r="L188" i="40"/>
  <c r="M188" i="40"/>
  <c r="N188" i="40"/>
  <c r="O188" i="40"/>
  <c r="P188" i="40"/>
  <c r="Q188" i="40"/>
  <c r="R188" i="40"/>
  <c r="S188" i="40"/>
  <c r="T188" i="40"/>
  <c r="U188" i="40"/>
  <c r="V188" i="40"/>
  <c r="W188" i="40"/>
  <c r="X188" i="40"/>
  <c r="Y188" i="40"/>
  <c r="Z188" i="40"/>
  <c r="AA188" i="40"/>
  <c r="AB188" i="40"/>
  <c r="AC188" i="40"/>
  <c r="AD188" i="40"/>
  <c r="AE188" i="40"/>
  <c r="AF188" i="40"/>
  <c r="AG188" i="40"/>
  <c r="AH188" i="40"/>
  <c r="AI188" i="40"/>
  <c r="AJ188" i="40"/>
  <c r="B189" i="40"/>
  <c r="C189" i="40"/>
  <c r="D189" i="40"/>
  <c r="E189" i="40"/>
  <c r="F189" i="40"/>
  <c r="G189" i="40"/>
  <c r="H189" i="40"/>
  <c r="I189" i="40"/>
  <c r="J189" i="40"/>
  <c r="K189" i="40"/>
  <c r="L189" i="40"/>
  <c r="M189" i="40"/>
  <c r="N189" i="40"/>
  <c r="O189" i="40"/>
  <c r="P189" i="40"/>
  <c r="Q189" i="40"/>
  <c r="R189" i="40"/>
  <c r="S189" i="40"/>
  <c r="T189" i="40"/>
  <c r="U189" i="40"/>
  <c r="V189" i="40"/>
  <c r="W189" i="40"/>
  <c r="X189" i="40"/>
  <c r="Y189" i="40"/>
  <c r="Z189" i="40"/>
  <c r="AA189" i="40"/>
  <c r="AB189" i="40"/>
  <c r="AC189" i="40"/>
  <c r="AD189" i="40"/>
  <c r="AE189" i="40"/>
  <c r="AF189" i="40"/>
  <c r="AG189" i="40"/>
  <c r="AH189" i="40"/>
  <c r="AI189" i="40"/>
  <c r="AJ189" i="40"/>
  <c r="B190" i="40"/>
  <c r="C190" i="40"/>
  <c r="D190" i="40"/>
  <c r="E190" i="40"/>
  <c r="F190" i="40"/>
  <c r="G190" i="40"/>
  <c r="H190" i="40"/>
  <c r="I190" i="40"/>
  <c r="J190" i="40"/>
  <c r="K190" i="40"/>
  <c r="L190" i="40"/>
  <c r="M190" i="40"/>
  <c r="N190" i="40"/>
  <c r="O190" i="40"/>
  <c r="P190" i="40"/>
  <c r="Q190" i="40"/>
  <c r="R190" i="40"/>
  <c r="S190" i="40"/>
  <c r="T190" i="40"/>
  <c r="U190" i="40"/>
  <c r="V190" i="40"/>
  <c r="W190" i="40"/>
  <c r="X190" i="40"/>
  <c r="Y190" i="40"/>
  <c r="Z190" i="40"/>
  <c r="AA190" i="40"/>
  <c r="AB190" i="40"/>
  <c r="AC190" i="40"/>
  <c r="AD190" i="40"/>
  <c r="AE190" i="40"/>
  <c r="AF190" i="40"/>
  <c r="AG190" i="40"/>
  <c r="AH190" i="40"/>
  <c r="AI190" i="40"/>
  <c r="AJ190" i="40"/>
  <c r="B191" i="40"/>
  <c r="C191" i="40"/>
  <c r="D191" i="40"/>
  <c r="E191" i="40"/>
  <c r="F191" i="40"/>
  <c r="G191" i="40"/>
  <c r="H191" i="40"/>
  <c r="I191" i="40"/>
  <c r="J191" i="40"/>
  <c r="K191" i="40"/>
  <c r="L191" i="40"/>
  <c r="M191" i="40"/>
  <c r="N191" i="40"/>
  <c r="O191" i="40"/>
  <c r="P191" i="40"/>
  <c r="Q191" i="40"/>
  <c r="R191" i="40"/>
  <c r="S191" i="40"/>
  <c r="T191" i="40"/>
  <c r="U191" i="40"/>
  <c r="V191" i="40"/>
  <c r="W191" i="40"/>
  <c r="X191" i="40"/>
  <c r="Y191" i="40"/>
  <c r="Z191" i="40"/>
  <c r="AA191" i="40"/>
  <c r="AB191" i="40"/>
  <c r="AC191" i="40"/>
  <c r="AD191" i="40"/>
  <c r="AE191" i="40"/>
  <c r="AF191" i="40"/>
  <c r="AG191" i="40"/>
  <c r="AH191" i="40"/>
  <c r="AI191" i="40"/>
  <c r="AJ191" i="40"/>
  <c r="B192" i="40"/>
  <c r="C192" i="40"/>
  <c r="D192" i="40"/>
  <c r="E192" i="40"/>
  <c r="F192" i="40"/>
  <c r="G192" i="40"/>
  <c r="H192" i="40"/>
  <c r="I192" i="40"/>
  <c r="J192" i="40"/>
  <c r="K192" i="40"/>
  <c r="L192" i="40"/>
  <c r="M192" i="40"/>
  <c r="N192" i="40"/>
  <c r="O192" i="40"/>
  <c r="P192" i="40"/>
  <c r="Q192" i="40"/>
  <c r="R192" i="40"/>
  <c r="S192" i="40"/>
  <c r="T192" i="40"/>
  <c r="U192" i="40"/>
  <c r="V192" i="40"/>
  <c r="W192" i="40"/>
  <c r="X192" i="40"/>
  <c r="Y192" i="40"/>
  <c r="Z192" i="40"/>
  <c r="AA192" i="40"/>
  <c r="AB192" i="40"/>
  <c r="AC192" i="40"/>
  <c r="AD192" i="40"/>
  <c r="AE192" i="40"/>
  <c r="AF192" i="40"/>
  <c r="AG192" i="40"/>
  <c r="AH192" i="40"/>
  <c r="AI192" i="40"/>
  <c r="AJ192" i="40"/>
  <c r="B193" i="40"/>
  <c r="C193" i="40"/>
  <c r="D193" i="40"/>
  <c r="E193" i="40"/>
  <c r="F193" i="40"/>
  <c r="G193" i="40"/>
  <c r="H193" i="40"/>
  <c r="I193" i="40"/>
  <c r="J193" i="40"/>
  <c r="K193" i="40"/>
  <c r="L193" i="40"/>
  <c r="M193" i="40"/>
  <c r="N193" i="40"/>
  <c r="O193" i="40"/>
  <c r="P193" i="40"/>
  <c r="Q193" i="40"/>
  <c r="R193" i="40"/>
  <c r="S193" i="40"/>
  <c r="T193" i="40"/>
  <c r="U193" i="40"/>
  <c r="V193" i="40"/>
  <c r="W193" i="40"/>
  <c r="X193" i="40"/>
  <c r="Y193" i="40"/>
  <c r="Z193" i="40"/>
  <c r="AA193" i="40"/>
  <c r="AB193" i="40"/>
  <c r="AC193" i="40"/>
  <c r="AD193" i="40"/>
  <c r="AE193" i="40"/>
  <c r="AF193" i="40"/>
  <c r="AG193" i="40"/>
  <c r="AH193" i="40"/>
  <c r="AI193" i="40"/>
  <c r="AJ193" i="40"/>
  <c r="B194" i="40"/>
  <c r="C194" i="40"/>
  <c r="D194" i="40"/>
  <c r="E194" i="40"/>
  <c r="F194" i="40"/>
  <c r="G194" i="40"/>
  <c r="H194" i="40"/>
  <c r="I194" i="40"/>
  <c r="J194" i="40"/>
  <c r="K194" i="40"/>
  <c r="L194" i="40"/>
  <c r="M194" i="40"/>
  <c r="N194" i="40"/>
  <c r="O194" i="40"/>
  <c r="P194" i="40"/>
  <c r="Q194" i="40"/>
  <c r="R194" i="40"/>
  <c r="S194" i="40"/>
  <c r="T194" i="40"/>
  <c r="U194" i="40"/>
  <c r="V194" i="40"/>
  <c r="W194" i="40"/>
  <c r="X194" i="40"/>
  <c r="Y194" i="40"/>
  <c r="Z194" i="40"/>
  <c r="AA194" i="40"/>
  <c r="AB194" i="40"/>
  <c r="AC194" i="40"/>
  <c r="AD194" i="40"/>
  <c r="AE194" i="40"/>
  <c r="AF194" i="40"/>
  <c r="AG194" i="40"/>
  <c r="AH194" i="40"/>
  <c r="AI194" i="40"/>
  <c r="AJ194" i="40"/>
  <c r="B195" i="40"/>
  <c r="C195" i="40"/>
  <c r="D195" i="40"/>
  <c r="E195" i="40"/>
  <c r="F195" i="40"/>
  <c r="G195" i="40"/>
  <c r="H195" i="40"/>
  <c r="I195" i="40"/>
  <c r="J195" i="40"/>
  <c r="K195" i="40"/>
  <c r="L195" i="40"/>
  <c r="M195" i="40"/>
  <c r="N195" i="40"/>
  <c r="O195" i="40"/>
  <c r="P195" i="40"/>
  <c r="Q195" i="40"/>
  <c r="R195" i="40"/>
  <c r="S195" i="40"/>
  <c r="T195" i="40"/>
  <c r="U195" i="40"/>
  <c r="V195" i="40"/>
  <c r="W195" i="40"/>
  <c r="X195" i="40"/>
  <c r="Y195" i="40"/>
  <c r="Z195" i="40"/>
  <c r="AA195" i="40"/>
  <c r="AB195" i="40"/>
  <c r="AC195" i="40"/>
  <c r="AD195" i="40"/>
  <c r="AE195" i="40"/>
  <c r="AF195" i="40"/>
  <c r="AG195" i="40"/>
  <c r="AH195" i="40"/>
  <c r="AI195" i="40"/>
  <c r="AJ195" i="40"/>
  <c r="B196" i="40"/>
  <c r="C196" i="40"/>
  <c r="D196" i="40"/>
  <c r="E196" i="40"/>
  <c r="F196" i="40"/>
  <c r="G196" i="40"/>
  <c r="H196" i="40"/>
  <c r="I196" i="40"/>
  <c r="J196" i="40"/>
  <c r="K196" i="40"/>
  <c r="L196" i="40"/>
  <c r="M196" i="40"/>
  <c r="N196" i="40"/>
  <c r="O196" i="40"/>
  <c r="P196" i="40"/>
  <c r="Q196" i="40"/>
  <c r="R196" i="40"/>
  <c r="S196" i="40"/>
  <c r="T196" i="40"/>
  <c r="U196" i="40"/>
  <c r="V196" i="40"/>
  <c r="W196" i="40"/>
  <c r="X196" i="40"/>
  <c r="Y196" i="40"/>
  <c r="Z196" i="40"/>
  <c r="AA196" i="40"/>
  <c r="AB196" i="40"/>
  <c r="AC196" i="40"/>
  <c r="AD196" i="40"/>
  <c r="AE196" i="40"/>
  <c r="AF196" i="40"/>
  <c r="AG196" i="40"/>
  <c r="AH196" i="40"/>
  <c r="AI196" i="40"/>
  <c r="AJ196" i="40"/>
  <c r="B197" i="40"/>
  <c r="C197" i="40"/>
  <c r="D197" i="40"/>
  <c r="E197" i="40"/>
  <c r="F197" i="40"/>
  <c r="G197" i="40"/>
  <c r="H197" i="40"/>
  <c r="I197" i="40"/>
  <c r="J197" i="40"/>
  <c r="K197" i="40"/>
  <c r="L197" i="40"/>
  <c r="M197" i="40"/>
  <c r="N197" i="40"/>
  <c r="O197" i="40"/>
  <c r="P197" i="40"/>
  <c r="Q197" i="40"/>
  <c r="R197" i="40"/>
  <c r="S197" i="40"/>
  <c r="T197" i="40"/>
  <c r="U197" i="40"/>
  <c r="V197" i="40"/>
  <c r="W197" i="40"/>
  <c r="X197" i="40"/>
  <c r="Y197" i="40"/>
  <c r="Z197" i="40"/>
  <c r="AA197" i="40"/>
  <c r="AB197" i="40"/>
  <c r="AC197" i="40"/>
  <c r="AD197" i="40"/>
  <c r="AE197" i="40"/>
  <c r="AF197" i="40"/>
  <c r="AG197" i="40"/>
  <c r="AH197" i="40"/>
  <c r="AI197" i="40"/>
  <c r="AJ197" i="40"/>
  <c r="B198" i="40"/>
  <c r="C198" i="40"/>
  <c r="D198" i="40"/>
  <c r="E198" i="40"/>
  <c r="F198" i="40"/>
  <c r="G198" i="40"/>
  <c r="H198" i="40"/>
  <c r="I198" i="40"/>
  <c r="J198" i="40"/>
  <c r="K198" i="40"/>
  <c r="L198" i="40"/>
  <c r="M198" i="40"/>
  <c r="N198" i="40"/>
  <c r="O198" i="40"/>
  <c r="P198" i="40"/>
  <c r="Q198" i="40"/>
  <c r="R198" i="40"/>
  <c r="S198" i="40"/>
  <c r="T198" i="40"/>
  <c r="U198" i="40"/>
  <c r="V198" i="40"/>
  <c r="W198" i="40"/>
  <c r="X198" i="40"/>
  <c r="Y198" i="40"/>
  <c r="Z198" i="40"/>
  <c r="AA198" i="40"/>
  <c r="AB198" i="40"/>
  <c r="AC198" i="40"/>
  <c r="AD198" i="40"/>
  <c r="AE198" i="40"/>
  <c r="AF198" i="40"/>
  <c r="AG198" i="40"/>
  <c r="AH198" i="40"/>
  <c r="AI198" i="40"/>
  <c r="AJ198" i="40"/>
  <c r="B199" i="40"/>
  <c r="C199" i="40"/>
  <c r="D199" i="40"/>
  <c r="E199" i="40"/>
  <c r="F199" i="40"/>
  <c r="G199" i="40"/>
  <c r="H199" i="40"/>
  <c r="I199" i="40"/>
  <c r="J199" i="40"/>
  <c r="K199" i="40"/>
  <c r="L199" i="40"/>
  <c r="M199" i="40"/>
  <c r="N199" i="40"/>
  <c r="O199" i="40"/>
  <c r="P199" i="40"/>
  <c r="Q199" i="40"/>
  <c r="R199" i="40"/>
  <c r="S199" i="40"/>
  <c r="T199" i="40"/>
  <c r="U199" i="40"/>
  <c r="V199" i="40"/>
  <c r="W199" i="40"/>
  <c r="X199" i="40"/>
  <c r="Y199" i="40"/>
  <c r="Z199" i="40"/>
  <c r="AA199" i="40"/>
  <c r="AB199" i="40"/>
  <c r="AC199" i="40"/>
  <c r="AD199" i="40"/>
  <c r="AE199" i="40"/>
  <c r="AF199" i="40"/>
  <c r="AG199" i="40"/>
  <c r="AH199" i="40"/>
  <c r="AI199" i="40"/>
  <c r="AJ199" i="40"/>
  <c r="B200" i="40"/>
  <c r="C200" i="40"/>
  <c r="D200" i="40"/>
  <c r="E200" i="40"/>
  <c r="F200" i="40"/>
  <c r="G200" i="40"/>
  <c r="H200" i="40"/>
  <c r="I200" i="40"/>
  <c r="J200" i="40"/>
  <c r="K200" i="40"/>
  <c r="L200" i="40"/>
  <c r="M200" i="40"/>
  <c r="N200" i="40"/>
  <c r="O200" i="40"/>
  <c r="P200" i="40"/>
  <c r="Q200" i="40"/>
  <c r="R200" i="40"/>
  <c r="S200" i="40"/>
  <c r="T200" i="40"/>
  <c r="U200" i="40"/>
  <c r="V200" i="40"/>
  <c r="W200" i="40"/>
  <c r="X200" i="40"/>
  <c r="Y200" i="40"/>
  <c r="Z200" i="40"/>
  <c r="AA200" i="40"/>
  <c r="AB200" i="40"/>
  <c r="AC200" i="40"/>
  <c r="AD200" i="40"/>
  <c r="AE200" i="40"/>
  <c r="AF200" i="40"/>
  <c r="AG200" i="40"/>
  <c r="AH200" i="40"/>
  <c r="AI200" i="40"/>
  <c r="AJ200" i="40"/>
  <c r="B201" i="40"/>
  <c r="C201" i="40"/>
  <c r="D201" i="40"/>
  <c r="E201" i="40"/>
  <c r="F201" i="40"/>
  <c r="G201" i="40"/>
  <c r="H201" i="40"/>
  <c r="I201" i="40"/>
  <c r="J201" i="40"/>
  <c r="K201" i="40"/>
  <c r="L201" i="40"/>
  <c r="M201" i="40"/>
  <c r="N201" i="40"/>
  <c r="O201" i="40"/>
  <c r="P201" i="40"/>
  <c r="Q201" i="40"/>
  <c r="R201" i="40"/>
  <c r="S201" i="40"/>
  <c r="T201" i="40"/>
  <c r="U201" i="40"/>
  <c r="V201" i="40"/>
  <c r="W201" i="40"/>
  <c r="X201" i="40"/>
  <c r="Y201" i="40"/>
  <c r="Z201" i="40"/>
  <c r="AA201" i="40"/>
  <c r="AB201" i="40"/>
  <c r="AC201" i="40"/>
  <c r="AD201" i="40"/>
  <c r="AE201" i="40"/>
  <c r="AF201" i="40"/>
  <c r="AG201" i="40"/>
  <c r="AH201" i="40"/>
  <c r="AI201" i="40"/>
  <c r="AJ201" i="40"/>
  <c r="B202" i="40"/>
  <c r="C202" i="40"/>
  <c r="D202" i="40"/>
  <c r="E202" i="40"/>
  <c r="F202" i="40"/>
  <c r="G202" i="40"/>
  <c r="H202" i="40"/>
  <c r="I202" i="40"/>
  <c r="J202" i="40"/>
  <c r="K202" i="40"/>
  <c r="L202" i="40"/>
  <c r="M202" i="40"/>
  <c r="N202" i="40"/>
  <c r="O202" i="40"/>
  <c r="P202" i="40"/>
  <c r="Q202" i="40"/>
  <c r="R202" i="40"/>
  <c r="S202" i="40"/>
  <c r="T202" i="40"/>
  <c r="U202" i="40"/>
  <c r="V202" i="40"/>
  <c r="W202" i="40"/>
  <c r="X202" i="40"/>
  <c r="Y202" i="40"/>
  <c r="Z202" i="40"/>
  <c r="AA202" i="40"/>
  <c r="AB202" i="40"/>
  <c r="AC202" i="40"/>
  <c r="AD202" i="40"/>
  <c r="AE202" i="40"/>
  <c r="AF202" i="40"/>
  <c r="AG202" i="40"/>
  <c r="AH202" i="40"/>
  <c r="AI202" i="40"/>
  <c r="AJ202" i="40"/>
  <c r="B203" i="40"/>
  <c r="C203" i="40"/>
  <c r="D203" i="40"/>
  <c r="E203" i="40"/>
  <c r="F203" i="40"/>
  <c r="G203" i="40"/>
  <c r="H203" i="40"/>
  <c r="I203" i="40"/>
  <c r="J203" i="40"/>
  <c r="K203" i="40"/>
  <c r="L203" i="40"/>
  <c r="M203" i="40"/>
  <c r="N203" i="40"/>
  <c r="O203" i="40"/>
  <c r="P203" i="40"/>
  <c r="Q203" i="40"/>
  <c r="R203" i="40"/>
  <c r="S203" i="40"/>
  <c r="T203" i="40"/>
  <c r="U203" i="40"/>
  <c r="V203" i="40"/>
  <c r="W203" i="40"/>
  <c r="X203" i="40"/>
  <c r="Y203" i="40"/>
  <c r="Z203" i="40"/>
  <c r="AA203" i="40"/>
  <c r="AB203" i="40"/>
  <c r="AC203" i="40"/>
  <c r="AD203" i="40"/>
  <c r="AE203" i="40"/>
  <c r="AF203" i="40"/>
  <c r="AG203" i="40"/>
  <c r="AH203" i="40"/>
  <c r="AI203" i="40"/>
  <c r="AJ203" i="40"/>
  <c r="B204" i="40"/>
  <c r="C204" i="40"/>
  <c r="D204" i="40"/>
  <c r="E204" i="40"/>
  <c r="F204" i="40"/>
  <c r="G204" i="40"/>
  <c r="H204" i="40"/>
  <c r="I204" i="40"/>
  <c r="J204" i="40"/>
  <c r="K204" i="40"/>
  <c r="L204" i="40"/>
  <c r="M204" i="40"/>
  <c r="N204" i="40"/>
  <c r="O204" i="40"/>
  <c r="P204" i="40"/>
  <c r="Q204" i="40"/>
  <c r="R204" i="40"/>
  <c r="S204" i="40"/>
  <c r="T204" i="40"/>
  <c r="U204" i="40"/>
  <c r="V204" i="40"/>
  <c r="W204" i="40"/>
  <c r="X204" i="40"/>
  <c r="Y204" i="40"/>
  <c r="Z204" i="40"/>
  <c r="AA204" i="40"/>
  <c r="AB204" i="40"/>
  <c r="AC204" i="40"/>
  <c r="AD204" i="40"/>
  <c r="AE204" i="40"/>
  <c r="AF204" i="40"/>
  <c r="AG204" i="40"/>
  <c r="AH204" i="40"/>
  <c r="AI204" i="40"/>
  <c r="AJ204" i="40"/>
  <c r="B205" i="40"/>
  <c r="C205" i="40"/>
  <c r="D205" i="40"/>
  <c r="E205" i="40"/>
  <c r="F205" i="40"/>
  <c r="G205" i="40"/>
  <c r="H205" i="40"/>
  <c r="I205" i="40"/>
  <c r="J205" i="40"/>
  <c r="K205" i="40"/>
  <c r="L205" i="40"/>
  <c r="M205" i="40"/>
  <c r="N205" i="40"/>
  <c r="O205" i="40"/>
  <c r="P205" i="40"/>
  <c r="Q205" i="40"/>
  <c r="R205" i="40"/>
  <c r="S205" i="40"/>
  <c r="T205" i="40"/>
  <c r="U205" i="40"/>
  <c r="V205" i="40"/>
  <c r="W205" i="40"/>
  <c r="X205" i="40"/>
  <c r="Y205" i="40"/>
  <c r="Z205" i="40"/>
  <c r="AA205" i="40"/>
  <c r="AB205" i="40"/>
  <c r="AC205" i="40"/>
  <c r="AD205" i="40"/>
  <c r="AE205" i="40"/>
  <c r="AF205" i="40"/>
  <c r="AG205" i="40"/>
  <c r="AH205" i="40"/>
  <c r="AI205" i="40"/>
  <c r="AJ205" i="40"/>
  <c r="B206" i="40"/>
  <c r="C206" i="40"/>
  <c r="D206" i="40"/>
  <c r="E206" i="40"/>
  <c r="F206" i="40"/>
  <c r="G206" i="40"/>
  <c r="H206" i="40"/>
  <c r="I206" i="40"/>
  <c r="J206" i="40"/>
  <c r="K206" i="40"/>
  <c r="L206" i="40"/>
  <c r="M206" i="40"/>
  <c r="N206" i="40"/>
  <c r="O206" i="40"/>
  <c r="P206" i="40"/>
  <c r="Q206" i="40"/>
  <c r="R206" i="40"/>
  <c r="S206" i="40"/>
  <c r="T206" i="40"/>
  <c r="U206" i="40"/>
  <c r="V206" i="40"/>
  <c r="W206" i="40"/>
  <c r="X206" i="40"/>
  <c r="Y206" i="40"/>
  <c r="Z206" i="40"/>
  <c r="AA206" i="40"/>
  <c r="AB206" i="40"/>
  <c r="AC206" i="40"/>
  <c r="AD206" i="40"/>
  <c r="AE206" i="40"/>
  <c r="AF206" i="40"/>
  <c r="AG206" i="40"/>
  <c r="AH206" i="40"/>
  <c r="AI206" i="40"/>
  <c r="AJ206" i="40"/>
  <c r="B207" i="40"/>
  <c r="C207" i="40"/>
  <c r="D207" i="40"/>
  <c r="E207" i="40"/>
  <c r="F207" i="40"/>
  <c r="G207" i="40"/>
  <c r="H207" i="40"/>
  <c r="I207" i="40"/>
  <c r="J207" i="40"/>
  <c r="K207" i="40"/>
  <c r="L207" i="40"/>
  <c r="M207" i="40"/>
  <c r="N207" i="40"/>
  <c r="O207" i="40"/>
  <c r="P207" i="40"/>
  <c r="Q207" i="40"/>
  <c r="R207" i="40"/>
  <c r="S207" i="40"/>
  <c r="T207" i="40"/>
  <c r="U207" i="40"/>
  <c r="V207" i="40"/>
  <c r="W207" i="40"/>
  <c r="X207" i="40"/>
  <c r="Y207" i="40"/>
  <c r="Z207" i="40"/>
  <c r="AA207" i="40"/>
  <c r="AB207" i="40"/>
  <c r="AC207" i="40"/>
  <c r="AD207" i="40"/>
  <c r="AE207" i="40"/>
  <c r="AF207" i="40"/>
  <c r="AG207" i="40"/>
  <c r="AH207" i="40"/>
  <c r="AI207" i="40"/>
  <c r="AJ207" i="40"/>
  <c r="B60" i="21"/>
  <c r="G60" i="21" s="1"/>
  <c r="E60" i="21"/>
  <c r="J60" i="21"/>
  <c r="B61" i="21"/>
  <c r="B62" i="21"/>
  <c r="I62" i="21" s="1"/>
  <c r="E62" i="21"/>
  <c r="B29" i="19"/>
  <c r="I29" i="19" s="1"/>
  <c r="B30" i="19"/>
  <c r="G30" i="19" s="1"/>
  <c r="E30" i="19"/>
  <c r="J30" i="19"/>
  <c r="B29" i="26"/>
  <c r="E29" i="26" s="1"/>
  <c r="B30" i="26"/>
  <c r="B31" i="26"/>
  <c r="J31" i="26" s="1"/>
  <c r="I31" i="26"/>
  <c r="B32" i="26"/>
  <c r="B63" i="21"/>
  <c r="B12" i="27"/>
  <c r="J12" i="27"/>
  <c r="E12" i="27"/>
  <c r="G12" i="27"/>
  <c r="I12" i="27"/>
  <c r="B13" i="27"/>
  <c r="B14" i="27"/>
  <c r="G14" i="27" s="1"/>
  <c r="J14" i="27"/>
  <c r="E14" i="27"/>
  <c r="I14" i="27"/>
  <c r="B15" i="27"/>
  <c r="J15" i="27"/>
  <c r="E15" i="27"/>
  <c r="G15" i="27"/>
  <c r="I15" i="27"/>
  <c r="B16" i="27"/>
  <c r="J16" i="27"/>
  <c r="B17" i="27"/>
  <c r="I17" i="27" s="1"/>
  <c r="B18" i="27"/>
  <c r="E18" i="27" s="1"/>
  <c r="I18" i="27"/>
  <c r="J18" i="60"/>
  <c r="I18" i="60"/>
  <c r="H18" i="60"/>
  <c r="M42" i="61"/>
  <c r="N42" i="61"/>
  <c r="M41" i="61"/>
  <c r="B25" i="17"/>
  <c r="E25" i="17"/>
  <c r="B41" i="33"/>
  <c r="E41" i="33" s="1"/>
  <c r="B42" i="33"/>
  <c r="E42" i="33"/>
  <c r="B43" i="33"/>
  <c r="E43" i="33"/>
  <c r="B44" i="33"/>
  <c r="E44" i="33"/>
  <c r="B45" i="33"/>
  <c r="E45" i="33" s="1"/>
  <c r="B46" i="33"/>
  <c r="E46" i="33" s="1"/>
  <c r="J3" i="40"/>
  <c r="B12" i="18"/>
  <c r="I12" i="18" s="1"/>
  <c r="M63" i="21"/>
  <c r="M35" i="20"/>
  <c r="F50" i="23"/>
  <c r="D50" i="23"/>
  <c r="B20" i="9"/>
  <c r="B33" i="36"/>
  <c r="M34" i="36"/>
  <c r="F47" i="28"/>
  <c r="D47" i="28"/>
  <c r="B22" i="16"/>
  <c r="E22" i="16"/>
  <c r="M37" i="29"/>
  <c r="B26" i="15"/>
  <c r="J26" i="15" s="1"/>
  <c r="M41" i="31"/>
  <c r="B20" i="21"/>
  <c r="I20" i="21" s="1"/>
  <c r="E20" i="21"/>
  <c r="G20" i="21"/>
  <c r="B35" i="20"/>
  <c r="J35" i="20" s="1"/>
  <c r="M49" i="23"/>
  <c r="F42" i="31"/>
  <c r="D42" i="31"/>
  <c r="M46" i="33"/>
  <c r="B46" i="23"/>
  <c r="E46" i="23" s="1"/>
  <c r="B47" i="23"/>
  <c r="E47" i="23"/>
  <c r="B43" i="23"/>
  <c r="G43" i="23" s="1"/>
  <c r="B38" i="23"/>
  <c r="B37" i="23"/>
  <c r="J37" i="23" s="1"/>
  <c r="B36" i="23"/>
  <c r="E36" i="23" s="1"/>
  <c r="G36" i="23"/>
  <c r="B42" i="23"/>
  <c r="G42" i="23"/>
  <c r="B41" i="23"/>
  <c r="G41" i="23" s="1"/>
  <c r="B40" i="23"/>
  <c r="G40" i="23"/>
  <c r="B35" i="23"/>
  <c r="E35" i="23" s="1"/>
  <c r="B39" i="23"/>
  <c r="G39" i="23" s="1"/>
  <c r="B44" i="23"/>
  <c r="E44" i="23" s="1"/>
  <c r="B45" i="23"/>
  <c r="G46" i="23"/>
  <c r="G47" i="23"/>
  <c r="B48" i="23"/>
  <c r="G48" i="23"/>
  <c r="B49" i="23"/>
  <c r="G49" i="23"/>
  <c r="J48" i="23"/>
  <c r="E48" i="23"/>
  <c r="I48" i="23"/>
  <c r="J47" i="23"/>
  <c r="I47" i="23"/>
  <c r="J45" i="23"/>
  <c r="E45" i="23"/>
  <c r="J42" i="23"/>
  <c r="E42" i="23"/>
  <c r="I42" i="23"/>
  <c r="F47" i="33"/>
  <c r="D47" i="33"/>
  <c r="J42" i="33"/>
  <c r="G42" i="33"/>
  <c r="I42" i="33"/>
  <c r="B36" i="29"/>
  <c r="J36" i="29" s="1"/>
  <c r="B31" i="7"/>
  <c r="E31" i="7"/>
  <c r="J22" i="16"/>
  <c r="G22" i="16"/>
  <c r="I22" i="16"/>
  <c r="B10" i="60"/>
  <c r="B6" i="60" s="1"/>
  <c r="E309" i="5"/>
  <c r="E310" i="5"/>
  <c r="E311" i="5"/>
  <c r="F311" i="5" s="1"/>
  <c r="E312" i="5"/>
  <c r="F312" i="5" s="1"/>
  <c r="E313" i="5"/>
  <c r="F313" i="5" s="1"/>
  <c r="I313" i="5" s="1"/>
  <c r="F309" i="5"/>
  <c r="F310" i="5"/>
  <c r="G310" i="5"/>
  <c r="G311" i="5"/>
  <c r="H310" i="5"/>
  <c r="H311" i="5"/>
  <c r="I310" i="5"/>
  <c r="J310" i="5" s="1"/>
  <c r="I311" i="5"/>
  <c r="J311" i="5" s="1"/>
  <c r="I44" i="23"/>
  <c r="I35" i="23"/>
  <c r="J35" i="23"/>
  <c r="E40" i="23"/>
  <c r="I40" i="23"/>
  <c r="J40" i="23"/>
  <c r="I41" i="23"/>
  <c r="J41" i="23"/>
  <c r="I36" i="23"/>
  <c r="J36" i="23"/>
  <c r="G41" i="33"/>
  <c r="I41" i="33"/>
  <c r="J41" i="33"/>
  <c r="B12" i="41"/>
  <c r="E12" i="41" s="1"/>
  <c r="B13" i="41"/>
  <c r="E13" i="41"/>
  <c r="B16" i="8"/>
  <c r="J16" i="8" s="1"/>
  <c r="B14" i="30"/>
  <c r="E14" i="30"/>
  <c r="B15" i="30"/>
  <c r="E15" i="30" s="1"/>
  <c r="B18" i="11"/>
  <c r="E18" i="11" s="1"/>
  <c r="B19" i="11"/>
  <c r="E19" i="11"/>
  <c r="B11" i="32"/>
  <c r="J11" i="32"/>
  <c r="E223" i="5"/>
  <c r="F223" i="5" s="1"/>
  <c r="E210" i="5"/>
  <c r="F210" i="5" s="1"/>
  <c r="G210" i="5" s="1"/>
  <c r="E40" i="5"/>
  <c r="F40" i="5" s="1"/>
  <c r="G40" i="5" s="1"/>
  <c r="H40" i="5"/>
  <c r="I40" i="5"/>
  <c r="E26" i="5"/>
  <c r="F26" i="5" s="1"/>
  <c r="G26" i="5"/>
  <c r="H26" i="5"/>
  <c r="I26" i="5"/>
  <c r="J26" i="5" s="1"/>
  <c r="E48" i="5"/>
  <c r="F48" i="5" s="1"/>
  <c r="E33" i="5"/>
  <c r="F33" i="5" s="1"/>
  <c r="J33" i="5" s="1"/>
  <c r="I33" i="5"/>
  <c r="E177" i="5"/>
  <c r="F177" i="5"/>
  <c r="E175" i="5"/>
  <c r="F175" i="5" s="1"/>
  <c r="G175" i="5" s="1"/>
  <c r="I175" i="5"/>
  <c r="E77" i="5"/>
  <c r="F77" i="5"/>
  <c r="H77" i="5" s="1"/>
  <c r="E14" i="5"/>
  <c r="F14" i="5" s="1"/>
  <c r="H14" i="5" s="1"/>
  <c r="E259" i="5"/>
  <c r="F259" i="5" s="1"/>
  <c r="I259" i="5" s="1"/>
  <c r="Y223" i="4"/>
  <c r="J43" i="23"/>
  <c r="E43" i="23"/>
  <c r="I43" i="23"/>
  <c r="Y205" i="4"/>
  <c r="J59" i="21" s="1"/>
  <c r="I38" i="23"/>
  <c r="Y89" i="4"/>
  <c r="Y199" i="4"/>
  <c r="Y198" i="4"/>
  <c r="Z198" i="4" s="1"/>
  <c r="Y188" i="4"/>
  <c r="Y160" i="4"/>
  <c r="Y211" i="4"/>
  <c r="J21" i="20" s="1"/>
  <c r="Y232" i="4"/>
  <c r="E188" i="5"/>
  <c r="F188" i="5"/>
  <c r="G188" i="5" s="1"/>
  <c r="E108" i="5"/>
  <c r="F108" i="5" s="1"/>
  <c r="G108" i="5" s="1"/>
  <c r="Y125" i="4"/>
  <c r="Y30" i="4"/>
  <c r="J12" i="35" s="1"/>
  <c r="Y27" i="4"/>
  <c r="J13" i="35" s="1"/>
  <c r="Y193" i="4"/>
  <c r="Y24" i="4"/>
  <c r="J15" i="35" s="1"/>
  <c r="K15" i="35" s="1"/>
  <c r="Y144" i="4"/>
  <c r="J16" i="11" s="1"/>
  <c r="K16" i="11" s="1"/>
  <c r="Y45" i="4"/>
  <c r="E94" i="5"/>
  <c r="F94" i="5" s="1"/>
  <c r="G94" i="5" s="1"/>
  <c r="I94" i="5"/>
  <c r="J94" i="5"/>
  <c r="Y231" i="4"/>
  <c r="J23" i="29" s="1"/>
  <c r="Y170" i="4"/>
  <c r="Y60" i="4"/>
  <c r="Y171" i="4"/>
  <c r="Y172" i="4"/>
  <c r="Y164" i="4"/>
  <c r="Z164" i="4" s="1"/>
  <c r="G33" i="36"/>
  <c r="E258" i="5"/>
  <c r="F258" i="5"/>
  <c r="H258" i="5"/>
  <c r="I258" i="5"/>
  <c r="J258" i="5"/>
  <c r="E254" i="5"/>
  <c r="F254" i="5" s="1"/>
  <c r="H254" i="5" s="1"/>
  <c r="I254" i="5"/>
  <c r="E109" i="5"/>
  <c r="F109" i="5"/>
  <c r="G109" i="5"/>
  <c r="I109" i="5"/>
  <c r="Y250" i="4"/>
  <c r="B25" i="15"/>
  <c r="J25" i="15" s="1"/>
  <c r="Y152" i="4"/>
  <c r="Y236" i="4"/>
  <c r="J16" i="15" s="1"/>
  <c r="Y252" i="4"/>
  <c r="Y235" i="4"/>
  <c r="J17" i="15" s="1"/>
  <c r="K17" i="15" s="1"/>
  <c r="B24" i="15"/>
  <c r="E24" i="15" s="1"/>
  <c r="J24" i="15"/>
  <c r="G24" i="15"/>
  <c r="I24" i="15"/>
  <c r="Y63" i="4"/>
  <c r="Z63" i="4" s="1"/>
  <c r="B23" i="15"/>
  <c r="G23" i="15"/>
  <c r="Y71" i="4"/>
  <c r="E70" i="5"/>
  <c r="F70" i="5"/>
  <c r="G70" i="5" s="1"/>
  <c r="I70" i="5"/>
  <c r="E71" i="5"/>
  <c r="F71" i="5"/>
  <c r="E79" i="5"/>
  <c r="F79" i="5"/>
  <c r="G79" i="5"/>
  <c r="H79" i="5"/>
  <c r="E80" i="5"/>
  <c r="F80" i="5"/>
  <c r="G80" i="5" s="1"/>
  <c r="H80" i="5"/>
  <c r="Y166" i="4"/>
  <c r="Y190" i="4"/>
  <c r="Y159" i="4"/>
  <c r="Z159" i="4" s="1"/>
  <c r="Y51" i="4"/>
  <c r="I16" i="8"/>
  <c r="Y122" i="4"/>
  <c r="J15" i="11" s="1"/>
  <c r="Y119" i="4"/>
  <c r="J13" i="11" s="1"/>
  <c r="Y116" i="4"/>
  <c r="J12" i="16" s="1"/>
  <c r="K12" i="16" s="1"/>
  <c r="Y36" i="4"/>
  <c r="Y21" i="4"/>
  <c r="J16" i="16" s="1"/>
  <c r="Y146" i="4"/>
  <c r="J17" i="16" s="1"/>
  <c r="K17" i="16" s="1"/>
  <c r="Y54" i="4"/>
  <c r="J18" i="16" s="1"/>
  <c r="K18" i="16" s="1"/>
  <c r="Y134" i="4"/>
  <c r="Y158" i="4"/>
  <c r="B34" i="30"/>
  <c r="J34" i="30"/>
  <c r="B35" i="30"/>
  <c r="J35" i="30"/>
  <c r="B36" i="30"/>
  <c r="J36" i="30" s="1"/>
  <c r="B37" i="30"/>
  <c r="J37" i="30"/>
  <c r="B38" i="30"/>
  <c r="J38" i="30" s="1"/>
  <c r="B39" i="30"/>
  <c r="J39" i="30"/>
  <c r="B40" i="30"/>
  <c r="J40" i="30" s="1"/>
  <c r="B41" i="30"/>
  <c r="J41" i="30"/>
  <c r="B42" i="30"/>
  <c r="J42" i="30"/>
  <c r="B43" i="30"/>
  <c r="J43" i="30"/>
  <c r="B44" i="30"/>
  <c r="J44" i="30"/>
  <c r="B45" i="30"/>
  <c r="J45" i="30"/>
  <c r="B46" i="30"/>
  <c r="J46" i="30"/>
  <c r="B16" i="41"/>
  <c r="I16" i="41" s="1"/>
  <c r="B17" i="41"/>
  <c r="I17" i="41"/>
  <c r="B18" i="41"/>
  <c r="J18" i="41" s="1"/>
  <c r="I18" i="41"/>
  <c r="B19" i="41"/>
  <c r="I19" i="41" s="1"/>
  <c r="B20" i="41"/>
  <c r="I20" i="41" s="1"/>
  <c r="B21" i="41"/>
  <c r="I21" i="41" s="1"/>
  <c r="B22" i="41"/>
  <c r="I22" i="41"/>
  <c r="J21" i="41"/>
  <c r="J16" i="41"/>
  <c r="M32" i="7"/>
  <c r="E211" i="5"/>
  <c r="F211" i="5" s="1"/>
  <c r="G211" i="5"/>
  <c r="E209" i="5"/>
  <c r="F209" i="5"/>
  <c r="G209" i="5"/>
  <c r="K209" i="5" s="1"/>
  <c r="H209" i="5"/>
  <c r="I209" i="5"/>
  <c r="J209" i="5" s="1"/>
  <c r="E167" i="5"/>
  <c r="F167" i="5"/>
  <c r="I167" i="5" s="1"/>
  <c r="E166" i="5"/>
  <c r="F166" i="5" s="1"/>
  <c r="I166" i="5"/>
  <c r="J166" i="5"/>
  <c r="E164" i="5"/>
  <c r="F164" i="5" s="1"/>
  <c r="E132" i="5"/>
  <c r="F132" i="5" s="1"/>
  <c r="E147" i="5"/>
  <c r="F147" i="5"/>
  <c r="H147" i="5" s="1"/>
  <c r="G147" i="5"/>
  <c r="I147" i="5"/>
  <c r="J147" i="5"/>
  <c r="K147" i="5"/>
  <c r="E161" i="5"/>
  <c r="F161" i="5"/>
  <c r="G161" i="5" s="1"/>
  <c r="I161" i="5"/>
  <c r="J161" i="5"/>
  <c r="E160" i="5"/>
  <c r="F160" i="5"/>
  <c r="G160" i="5"/>
  <c r="E154" i="5"/>
  <c r="F154" i="5" s="1"/>
  <c r="E36" i="29"/>
  <c r="Y189" i="4"/>
  <c r="Y254" i="4"/>
  <c r="Y245" i="4"/>
  <c r="J32" i="29" s="1"/>
  <c r="B15" i="60"/>
  <c r="E182" i="5"/>
  <c r="F182" i="5" s="1"/>
  <c r="E134" i="5"/>
  <c r="F134" i="5" s="1"/>
  <c r="E257" i="5"/>
  <c r="F257" i="5"/>
  <c r="G257" i="5"/>
  <c r="H257" i="5"/>
  <c r="I257" i="5"/>
  <c r="E255" i="5"/>
  <c r="F255" i="5" s="1"/>
  <c r="I255" i="5"/>
  <c r="E207" i="5"/>
  <c r="F207" i="5"/>
  <c r="H207" i="5" s="1"/>
  <c r="G207" i="5"/>
  <c r="E277" i="5"/>
  <c r="F277" i="5" s="1"/>
  <c r="H277" i="5" s="1"/>
  <c r="I277" i="5"/>
  <c r="E81" i="5"/>
  <c r="F81" i="5" s="1"/>
  <c r="G81" i="5"/>
  <c r="H81" i="5"/>
  <c r="I81" i="5"/>
  <c r="J81" i="5"/>
  <c r="K81" i="5" s="1"/>
  <c r="J92" i="15" s="1"/>
  <c r="K92" i="15" s="1"/>
  <c r="E306" i="5"/>
  <c r="F306" i="5" s="1"/>
  <c r="E307" i="5"/>
  <c r="E308" i="5"/>
  <c r="F307" i="5"/>
  <c r="H307" i="5" s="1"/>
  <c r="F308" i="5"/>
  <c r="G306" i="5"/>
  <c r="H306" i="5"/>
  <c r="I306" i="5"/>
  <c r="J306" i="5" s="1"/>
  <c r="I308" i="5"/>
  <c r="E133" i="5"/>
  <c r="F133" i="5" s="1"/>
  <c r="I133" i="5" s="1"/>
  <c r="G31" i="7"/>
  <c r="I31" i="7"/>
  <c r="J31" i="7"/>
  <c r="E249" i="5"/>
  <c r="F249" i="5"/>
  <c r="I249" i="5" s="1"/>
  <c r="E261" i="5"/>
  <c r="F261" i="5"/>
  <c r="G261" i="5" s="1"/>
  <c r="H261" i="5"/>
  <c r="I261" i="5"/>
  <c r="J261" i="5"/>
  <c r="E263" i="5"/>
  <c r="F263" i="5" s="1"/>
  <c r="E117" i="5"/>
  <c r="F117" i="5"/>
  <c r="H117" i="5" s="1"/>
  <c r="E116" i="5"/>
  <c r="F116" i="5" s="1"/>
  <c r="G116" i="5"/>
  <c r="I116" i="5"/>
  <c r="E165" i="5"/>
  <c r="F165" i="5" s="1"/>
  <c r="H165" i="5" s="1"/>
  <c r="AA254" i="4"/>
  <c r="Z254" i="4"/>
  <c r="E254" i="4"/>
  <c r="H254" i="4"/>
  <c r="I254" i="4" s="1"/>
  <c r="J254" i="4"/>
  <c r="P254" i="4" s="1"/>
  <c r="O16" i="4"/>
  <c r="P199" i="4" s="1"/>
  <c r="R7" i="4"/>
  <c r="Q254" i="4"/>
  <c r="R254" i="4"/>
  <c r="AA253" i="4"/>
  <c r="AB253" i="4" s="1"/>
  <c r="Y253" i="4"/>
  <c r="Z253" i="4"/>
  <c r="E253" i="4"/>
  <c r="H253" i="4"/>
  <c r="I253" i="4" s="1"/>
  <c r="J253" i="4"/>
  <c r="P253" i="4" s="1"/>
  <c r="R253" i="4"/>
  <c r="AA252" i="4"/>
  <c r="E252" i="4"/>
  <c r="H252" i="4" s="1"/>
  <c r="J252" i="4"/>
  <c r="P252" i="4" s="1"/>
  <c r="AA251" i="4"/>
  <c r="Y251" i="4"/>
  <c r="Z251" i="4" s="1"/>
  <c r="AB251" i="4"/>
  <c r="E251" i="4"/>
  <c r="H251" i="4"/>
  <c r="J251" i="4"/>
  <c r="P251" i="4" s="1"/>
  <c r="R251" i="4"/>
  <c r="AA250" i="4"/>
  <c r="Z250" i="4"/>
  <c r="E250" i="4"/>
  <c r="H250" i="4"/>
  <c r="I250" i="4" s="1"/>
  <c r="N250" i="4" s="1"/>
  <c r="J250" i="4"/>
  <c r="P250" i="4" s="1"/>
  <c r="R250" i="4"/>
  <c r="AA249" i="4"/>
  <c r="Y249" i="4"/>
  <c r="Z249" i="4"/>
  <c r="E249" i="4"/>
  <c r="R249" i="4" s="1"/>
  <c r="H249" i="4"/>
  <c r="J249" i="4"/>
  <c r="P249" i="4" s="1"/>
  <c r="AA248" i="4"/>
  <c r="Y248" i="4"/>
  <c r="Z248" i="4" s="1"/>
  <c r="E248" i="4"/>
  <c r="H248" i="4"/>
  <c r="J248" i="4"/>
  <c r="P248" i="4"/>
  <c r="R248" i="4"/>
  <c r="AA247" i="4"/>
  <c r="Y247" i="4"/>
  <c r="Z247" i="4"/>
  <c r="E247" i="4"/>
  <c r="H247" i="4"/>
  <c r="I247" i="4" s="1"/>
  <c r="J247" i="4"/>
  <c r="P247" i="4" s="1"/>
  <c r="R247" i="4"/>
  <c r="AA246" i="4"/>
  <c r="Y246" i="4"/>
  <c r="Z246" i="4" s="1"/>
  <c r="E246" i="4"/>
  <c r="R246" i="4" s="1"/>
  <c r="H246" i="4"/>
  <c r="I246" i="4"/>
  <c r="O246" i="4" s="1"/>
  <c r="J246" i="4"/>
  <c r="P246" i="4" s="1"/>
  <c r="N246" i="4"/>
  <c r="AA245" i="4"/>
  <c r="E245" i="4"/>
  <c r="H245" i="4"/>
  <c r="J245" i="4"/>
  <c r="P245" i="4"/>
  <c r="Q245" i="4"/>
  <c r="R245" i="4"/>
  <c r="AA244" i="4"/>
  <c r="Y244" i="4"/>
  <c r="Z244" i="4" s="1"/>
  <c r="E244" i="4"/>
  <c r="H244" i="4" s="1"/>
  <c r="J244" i="4"/>
  <c r="P244" i="4" s="1"/>
  <c r="AA243" i="4"/>
  <c r="AB243" i="4" s="1"/>
  <c r="Y243" i="4"/>
  <c r="Z243" i="4"/>
  <c r="E243" i="4"/>
  <c r="J243" i="4"/>
  <c r="P243" i="4" s="1"/>
  <c r="AA242" i="4"/>
  <c r="Y242" i="4"/>
  <c r="E242" i="4"/>
  <c r="H242" i="4" s="1"/>
  <c r="J242" i="4"/>
  <c r="P242" i="4"/>
  <c r="AA241" i="4"/>
  <c r="AB241" i="4" s="1"/>
  <c r="Y241" i="4"/>
  <c r="Z241" i="4"/>
  <c r="E241" i="4"/>
  <c r="H241" i="4"/>
  <c r="I241" i="4"/>
  <c r="M241" i="4" s="1"/>
  <c r="J241" i="4"/>
  <c r="P241" i="4" s="1"/>
  <c r="N241" i="4"/>
  <c r="R241" i="4"/>
  <c r="AA240" i="4"/>
  <c r="Y240" i="4"/>
  <c r="Z240" i="4" s="1"/>
  <c r="E240" i="4"/>
  <c r="R240" i="4" s="1"/>
  <c r="H240" i="4"/>
  <c r="J240" i="4"/>
  <c r="P240" i="4"/>
  <c r="AA239" i="4"/>
  <c r="Y239" i="4"/>
  <c r="Z239" i="4" s="1"/>
  <c r="E239" i="4"/>
  <c r="H239" i="4"/>
  <c r="I239" i="4"/>
  <c r="J239" i="4"/>
  <c r="P239" i="4"/>
  <c r="R239" i="4"/>
  <c r="AA238" i="4"/>
  <c r="AB238" i="4" s="1"/>
  <c r="Y238" i="4"/>
  <c r="Z238" i="4"/>
  <c r="E238" i="4"/>
  <c r="H238" i="4" s="1"/>
  <c r="J238" i="4"/>
  <c r="P238" i="4" s="1"/>
  <c r="R238" i="4"/>
  <c r="AA237" i="4"/>
  <c r="Y237" i="4"/>
  <c r="Z237" i="4"/>
  <c r="E237" i="4"/>
  <c r="H237" i="4"/>
  <c r="J237" i="4"/>
  <c r="P237" i="4" s="1"/>
  <c r="R237" i="4"/>
  <c r="AA236" i="4"/>
  <c r="Z236" i="4"/>
  <c r="E236" i="4"/>
  <c r="H236" i="4"/>
  <c r="I236" i="4"/>
  <c r="O236" i="4" s="1"/>
  <c r="J236" i="4"/>
  <c r="R236" i="4"/>
  <c r="AA235" i="4"/>
  <c r="Z235" i="4"/>
  <c r="AB235" i="4"/>
  <c r="E235" i="4"/>
  <c r="H235" i="4" s="1"/>
  <c r="J235" i="4"/>
  <c r="P235" i="4"/>
  <c r="R235" i="4"/>
  <c r="AA234" i="4"/>
  <c r="AB234" i="4" s="1"/>
  <c r="Y234" i="4"/>
  <c r="Z234" i="4"/>
  <c r="E234" i="4"/>
  <c r="H234" i="4" s="1"/>
  <c r="I234" i="4"/>
  <c r="J234" i="4"/>
  <c r="P234" i="4" s="1"/>
  <c r="R234" i="4"/>
  <c r="AA233" i="4"/>
  <c r="Y233" i="4"/>
  <c r="Z233" i="4"/>
  <c r="E233" i="4"/>
  <c r="H233" i="4" s="1"/>
  <c r="J233" i="4"/>
  <c r="P233" i="4" s="1"/>
  <c r="AA232" i="4"/>
  <c r="Z232" i="4"/>
  <c r="AB232" i="4"/>
  <c r="E232" i="4"/>
  <c r="H232" i="4"/>
  <c r="J232" i="4"/>
  <c r="P232" i="4"/>
  <c r="R232" i="4"/>
  <c r="AA231" i="4"/>
  <c r="Z231" i="4"/>
  <c r="AB231" i="4" s="1"/>
  <c r="E231" i="4"/>
  <c r="H231" i="4" s="1"/>
  <c r="I231" i="4"/>
  <c r="J231" i="4"/>
  <c r="M231" i="4"/>
  <c r="O231" i="4"/>
  <c r="P231" i="4"/>
  <c r="R231" i="4"/>
  <c r="AA230" i="4"/>
  <c r="Y230" i="4"/>
  <c r="Z230" i="4"/>
  <c r="AB230" i="4"/>
  <c r="E230" i="4"/>
  <c r="H230" i="4" s="1"/>
  <c r="J230" i="4"/>
  <c r="P230" i="4"/>
  <c r="R230" i="4"/>
  <c r="Y229" i="4"/>
  <c r="Z229" i="4"/>
  <c r="Y228" i="4"/>
  <c r="Z228" i="4"/>
  <c r="AA223" i="4"/>
  <c r="AB223" i="4" s="1"/>
  <c r="Z223" i="4"/>
  <c r="E223" i="4"/>
  <c r="H223" i="4"/>
  <c r="J223" i="4"/>
  <c r="P223" i="4" s="1"/>
  <c r="R223" i="4"/>
  <c r="AA222" i="4"/>
  <c r="Y222" i="4"/>
  <c r="Z222" i="4"/>
  <c r="AB222" i="4" s="1"/>
  <c r="E222" i="4"/>
  <c r="H222" i="4"/>
  <c r="J222" i="4"/>
  <c r="R222" i="4"/>
  <c r="AA221" i="4"/>
  <c r="Y221" i="4"/>
  <c r="Z221" i="4"/>
  <c r="AB221" i="4"/>
  <c r="E221" i="4"/>
  <c r="H221" i="4"/>
  <c r="I221" i="4"/>
  <c r="J221" i="4"/>
  <c r="P221" i="4" s="1"/>
  <c r="R221" i="4"/>
  <c r="AA220" i="4"/>
  <c r="AB220" i="4" s="1"/>
  <c r="Y220" i="4"/>
  <c r="Z220" i="4"/>
  <c r="E220" i="4"/>
  <c r="H220" i="4"/>
  <c r="I220" i="4" s="1"/>
  <c r="O220" i="4" s="1"/>
  <c r="J220" i="4"/>
  <c r="P220" i="4" s="1"/>
  <c r="R220" i="4"/>
  <c r="AA219" i="4"/>
  <c r="Y219" i="4"/>
  <c r="Z219" i="4" s="1"/>
  <c r="AB219" i="4"/>
  <c r="E219" i="4"/>
  <c r="H219" i="4"/>
  <c r="J219" i="4"/>
  <c r="P219" i="4" s="1"/>
  <c r="R219" i="4"/>
  <c r="AA218" i="4"/>
  <c r="Y218" i="4"/>
  <c r="Z218" i="4"/>
  <c r="E218" i="4"/>
  <c r="H218" i="4"/>
  <c r="I218" i="4" s="1"/>
  <c r="J218" i="4"/>
  <c r="P218" i="4" s="1"/>
  <c r="R218" i="4"/>
  <c r="AA217" i="4"/>
  <c r="Y217" i="4"/>
  <c r="Z217" i="4"/>
  <c r="E217" i="4"/>
  <c r="H217" i="4"/>
  <c r="I217" i="4"/>
  <c r="J217" i="4"/>
  <c r="P217" i="4" s="1"/>
  <c r="R217" i="4"/>
  <c r="AA216" i="4"/>
  <c r="Y216" i="4"/>
  <c r="Z216" i="4"/>
  <c r="AB216" i="4"/>
  <c r="E216" i="4"/>
  <c r="H216" i="4"/>
  <c r="I216" i="4"/>
  <c r="J216" i="4"/>
  <c r="P216" i="4" s="1"/>
  <c r="N216" i="4"/>
  <c r="R216" i="4"/>
  <c r="AA215" i="4"/>
  <c r="Y215" i="4"/>
  <c r="Z215" i="4" s="1"/>
  <c r="AB215" i="4" s="1"/>
  <c r="E215" i="4"/>
  <c r="H215" i="4"/>
  <c r="I215" i="4" s="1"/>
  <c r="J215" i="4"/>
  <c r="N215" i="4"/>
  <c r="O215" i="4"/>
  <c r="R215" i="4"/>
  <c r="AA214" i="4"/>
  <c r="Y214" i="4"/>
  <c r="Z214" i="4"/>
  <c r="AB214" i="4"/>
  <c r="E214" i="4"/>
  <c r="H214" i="4"/>
  <c r="I214" i="4"/>
  <c r="O214" i="4" s="1"/>
  <c r="J214" i="4"/>
  <c r="N214" i="4"/>
  <c r="R214" i="4"/>
  <c r="AA213" i="4"/>
  <c r="Y213" i="4"/>
  <c r="Z213" i="4" s="1"/>
  <c r="E213" i="4"/>
  <c r="H213" i="4"/>
  <c r="I213" i="4" s="1"/>
  <c r="J213" i="4"/>
  <c r="P213" i="4" s="1"/>
  <c r="R213" i="4"/>
  <c r="AA212" i="4"/>
  <c r="Y212" i="4"/>
  <c r="Z212" i="4"/>
  <c r="E212" i="4"/>
  <c r="H212" i="4"/>
  <c r="J212" i="4"/>
  <c r="P212" i="4" s="1"/>
  <c r="R212" i="4"/>
  <c r="AA211" i="4"/>
  <c r="Z211" i="4"/>
  <c r="AB211" i="4"/>
  <c r="E211" i="4"/>
  <c r="H211" i="4" s="1"/>
  <c r="I211" i="4"/>
  <c r="N211" i="4" s="1"/>
  <c r="J211" i="4"/>
  <c r="M211" i="4"/>
  <c r="O211" i="4"/>
  <c r="R211" i="4"/>
  <c r="AA210" i="4"/>
  <c r="Y210" i="4"/>
  <c r="Z210" i="4"/>
  <c r="E210" i="4"/>
  <c r="J210" i="4"/>
  <c r="P210" i="4"/>
  <c r="AA209" i="4"/>
  <c r="AB209" i="4" s="1"/>
  <c r="Y209" i="4"/>
  <c r="Z209" i="4"/>
  <c r="E209" i="4"/>
  <c r="H209" i="4" s="1"/>
  <c r="I209" i="4"/>
  <c r="J209" i="4"/>
  <c r="M209" i="4"/>
  <c r="P209" i="4"/>
  <c r="AA208" i="4"/>
  <c r="AB208" i="4" s="1"/>
  <c r="Y208" i="4"/>
  <c r="Z208" i="4"/>
  <c r="E208" i="4"/>
  <c r="H208" i="4" s="1"/>
  <c r="I208" i="4"/>
  <c r="J208" i="4"/>
  <c r="P208" i="4" s="1"/>
  <c r="R208" i="4"/>
  <c r="AA207" i="4"/>
  <c r="Y207" i="4"/>
  <c r="Z207" i="4"/>
  <c r="AB207" i="4" s="1"/>
  <c r="E207" i="4"/>
  <c r="J207" i="4"/>
  <c r="P207" i="4" s="1"/>
  <c r="AA206" i="4"/>
  <c r="AB206" i="4" s="1"/>
  <c r="Y206" i="4"/>
  <c r="Z206" i="4"/>
  <c r="E206" i="4"/>
  <c r="H206" i="4" s="1"/>
  <c r="J206" i="4"/>
  <c r="P206" i="4" s="1"/>
  <c r="R206" i="4"/>
  <c r="AA205" i="4"/>
  <c r="Z205" i="4"/>
  <c r="E205" i="4"/>
  <c r="R205" i="4" s="1"/>
  <c r="H205" i="4"/>
  <c r="J205" i="4"/>
  <c r="P205" i="4" s="1"/>
  <c r="AA204" i="4"/>
  <c r="Y204" i="4"/>
  <c r="J14" i="9" s="1"/>
  <c r="E204" i="4"/>
  <c r="H204" i="4"/>
  <c r="J204" i="4"/>
  <c r="P204" i="4" s="1"/>
  <c r="R204" i="4"/>
  <c r="AA203" i="4"/>
  <c r="Y203" i="4"/>
  <c r="Z203" i="4"/>
  <c r="AB203" i="4"/>
  <c r="E203" i="4"/>
  <c r="H203" i="4" s="1"/>
  <c r="J203" i="4"/>
  <c r="P203" i="4"/>
  <c r="R203" i="4"/>
  <c r="AA201" i="4"/>
  <c r="Y201" i="4"/>
  <c r="Z201" i="4"/>
  <c r="AB201" i="4" s="1"/>
  <c r="E201" i="4"/>
  <c r="H201" i="4"/>
  <c r="J201" i="4"/>
  <c r="P201" i="4"/>
  <c r="R201" i="4"/>
  <c r="AA199" i="4"/>
  <c r="AB199" i="4" s="1"/>
  <c r="Z199" i="4"/>
  <c r="E199" i="4"/>
  <c r="H199" i="4"/>
  <c r="I199" i="4" s="1"/>
  <c r="J199" i="4"/>
  <c r="R199" i="4"/>
  <c r="AA198" i="4"/>
  <c r="AB198" i="4" s="1"/>
  <c r="E198" i="4"/>
  <c r="H198" i="4"/>
  <c r="J198" i="4"/>
  <c r="P198" i="4" s="1"/>
  <c r="R198" i="4"/>
  <c r="AA193" i="4"/>
  <c r="E193" i="4"/>
  <c r="J193" i="4"/>
  <c r="P193" i="4" s="1"/>
  <c r="AA192" i="4"/>
  <c r="AB192" i="4" s="1"/>
  <c r="Y192" i="4"/>
  <c r="Z192" i="4"/>
  <c r="E192" i="4"/>
  <c r="H192" i="4" s="1"/>
  <c r="J192" i="4"/>
  <c r="P192" i="4"/>
  <c r="R192" i="4"/>
  <c r="AA191" i="4"/>
  <c r="Y191" i="4"/>
  <c r="Z191" i="4"/>
  <c r="AB191" i="4"/>
  <c r="E191" i="4"/>
  <c r="J191" i="4"/>
  <c r="P191" i="4"/>
  <c r="AA190" i="4"/>
  <c r="Z190" i="4"/>
  <c r="AB190" i="4" s="1"/>
  <c r="E190" i="4"/>
  <c r="R190" i="4" s="1"/>
  <c r="H190" i="4"/>
  <c r="J190" i="4"/>
  <c r="P190" i="4" s="1"/>
  <c r="AA189" i="4"/>
  <c r="Z189" i="4"/>
  <c r="E189" i="4"/>
  <c r="R189" i="4" s="1"/>
  <c r="J189" i="4"/>
  <c r="AA188" i="4"/>
  <c r="Z188" i="4"/>
  <c r="E188" i="4"/>
  <c r="J188" i="4"/>
  <c r="P188" i="4" s="1"/>
  <c r="AA187" i="4"/>
  <c r="Y187" i="4"/>
  <c r="J13" i="44" s="1"/>
  <c r="E187" i="4"/>
  <c r="J187" i="4"/>
  <c r="P187" i="4" s="1"/>
  <c r="Y186" i="4"/>
  <c r="Y185" i="4"/>
  <c r="Z185" i="4"/>
  <c r="AA180" i="4"/>
  <c r="Y180" i="4"/>
  <c r="Z180" i="4" s="1"/>
  <c r="E180" i="4"/>
  <c r="J180" i="4"/>
  <c r="P180" i="4" s="1"/>
  <c r="AA179" i="4"/>
  <c r="Y179" i="4"/>
  <c r="Z179" i="4" s="1"/>
  <c r="AB179" i="4" s="1"/>
  <c r="E179" i="4"/>
  <c r="H179" i="4"/>
  <c r="I179" i="4" s="1"/>
  <c r="J179" i="4"/>
  <c r="P179" i="4"/>
  <c r="R179" i="4"/>
  <c r="AA178" i="4"/>
  <c r="Y178" i="4"/>
  <c r="E178" i="4"/>
  <c r="H178" i="4" s="1"/>
  <c r="I178" i="4" s="1"/>
  <c r="J178" i="4"/>
  <c r="P178" i="4" s="1"/>
  <c r="AA177" i="4"/>
  <c r="Y177" i="4"/>
  <c r="Z177" i="4"/>
  <c r="AB177" i="4" s="1"/>
  <c r="E177" i="4"/>
  <c r="H177" i="4"/>
  <c r="J177" i="4"/>
  <c r="P177" i="4" s="1"/>
  <c r="R177" i="4"/>
  <c r="AA176" i="4"/>
  <c r="AB176" i="4" s="1"/>
  <c r="Y176" i="4"/>
  <c r="Z176" i="4"/>
  <c r="E176" i="4"/>
  <c r="R176" i="4" s="1"/>
  <c r="H176" i="4"/>
  <c r="J176" i="4"/>
  <c r="P176" i="4"/>
  <c r="AA175" i="4"/>
  <c r="Y175" i="4"/>
  <c r="Z175" i="4" s="1"/>
  <c r="AB175" i="4"/>
  <c r="E175" i="4"/>
  <c r="H175" i="4"/>
  <c r="J175" i="4"/>
  <c r="P175" i="4"/>
  <c r="Q175" i="4"/>
  <c r="R175" i="4"/>
  <c r="AA174" i="4"/>
  <c r="AB174" i="4" s="1"/>
  <c r="Y174" i="4"/>
  <c r="Z174" i="4" s="1"/>
  <c r="E174" i="4"/>
  <c r="H174" i="4"/>
  <c r="N174" i="4" s="1"/>
  <c r="I174" i="4"/>
  <c r="J174" i="4"/>
  <c r="O174" i="4"/>
  <c r="Q174" i="4"/>
  <c r="R174" i="4"/>
  <c r="AA173" i="4"/>
  <c r="AB173" i="4" s="1"/>
  <c r="Y173" i="4"/>
  <c r="Z173" i="4"/>
  <c r="E173" i="4"/>
  <c r="H173" i="4" s="1"/>
  <c r="J173" i="4"/>
  <c r="P173" i="4"/>
  <c r="Q173" i="4"/>
  <c r="R173" i="4"/>
  <c r="AA172" i="4"/>
  <c r="E172" i="4"/>
  <c r="R172" i="4" s="1"/>
  <c r="H172" i="4"/>
  <c r="J172" i="4"/>
  <c r="P172" i="4"/>
  <c r="Q172" i="4"/>
  <c r="AA171" i="4"/>
  <c r="Z171" i="4"/>
  <c r="E171" i="4"/>
  <c r="H171" i="4"/>
  <c r="J171" i="4"/>
  <c r="P171" i="4" s="1"/>
  <c r="Q171" i="4"/>
  <c r="R171" i="4"/>
  <c r="AA170" i="4"/>
  <c r="Z170" i="4"/>
  <c r="AB170" i="4"/>
  <c r="E170" i="4"/>
  <c r="H170" i="4"/>
  <c r="I170" i="4" s="1"/>
  <c r="J170" i="4"/>
  <c r="P170" i="4" s="1"/>
  <c r="M170" i="4"/>
  <c r="N170" i="4"/>
  <c r="O170" i="4"/>
  <c r="Q170" i="4"/>
  <c r="R170" i="4"/>
  <c r="AA169" i="4"/>
  <c r="Y169" i="4"/>
  <c r="Z169" i="4" s="1"/>
  <c r="E169" i="4"/>
  <c r="H169" i="4" s="1"/>
  <c r="I169" i="4"/>
  <c r="J169" i="4"/>
  <c r="P169" i="4" s="1"/>
  <c r="M169" i="4"/>
  <c r="N169" i="4"/>
  <c r="O169" i="4"/>
  <c r="R169" i="4"/>
  <c r="AA168" i="4"/>
  <c r="Y168" i="4"/>
  <c r="Z168" i="4"/>
  <c r="AB168" i="4" s="1"/>
  <c r="E168" i="4"/>
  <c r="J168" i="4"/>
  <c r="P168" i="4"/>
  <c r="AA167" i="4"/>
  <c r="Y167" i="4"/>
  <c r="Z167" i="4"/>
  <c r="E167" i="4"/>
  <c r="H167" i="4" s="1"/>
  <c r="I167" i="4"/>
  <c r="J167" i="4"/>
  <c r="M167" i="4"/>
  <c r="AA166" i="4"/>
  <c r="AB166" i="4" s="1"/>
  <c r="Z166" i="4"/>
  <c r="E166" i="4"/>
  <c r="J166" i="4"/>
  <c r="P166" i="4"/>
  <c r="AA165" i="4"/>
  <c r="Y165" i="4"/>
  <c r="Z165" i="4"/>
  <c r="AB165" i="4"/>
  <c r="E165" i="4"/>
  <c r="H165" i="4" s="1"/>
  <c r="J165" i="4"/>
  <c r="P165" i="4" s="1"/>
  <c r="R165" i="4"/>
  <c r="AA164" i="4"/>
  <c r="E164" i="4"/>
  <c r="H164" i="4" s="1"/>
  <c r="I164" i="4" s="1"/>
  <c r="O164" i="4" s="1"/>
  <c r="J164" i="4"/>
  <c r="AA163" i="4"/>
  <c r="AB163" i="4" s="1"/>
  <c r="Y163" i="4"/>
  <c r="Z163" i="4"/>
  <c r="E163" i="4"/>
  <c r="J163" i="4"/>
  <c r="AA162" i="4"/>
  <c r="Y162" i="4"/>
  <c r="Z162" i="4"/>
  <c r="E162" i="4"/>
  <c r="H162" i="4"/>
  <c r="I162" i="4"/>
  <c r="J162" i="4"/>
  <c r="R162" i="4"/>
  <c r="AA161" i="4"/>
  <c r="Y161" i="4"/>
  <c r="Z161" i="4"/>
  <c r="E161" i="4"/>
  <c r="R161" i="4" s="1"/>
  <c r="H161" i="4"/>
  <c r="I161" i="4"/>
  <c r="J161" i="4"/>
  <c r="N161" i="4"/>
  <c r="AA160" i="4"/>
  <c r="Z160" i="4"/>
  <c r="AB160" i="4" s="1"/>
  <c r="E160" i="4"/>
  <c r="H160" i="4"/>
  <c r="J160" i="4"/>
  <c r="P160" i="4"/>
  <c r="R160" i="4"/>
  <c r="AA159" i="4"/>
  <c r="AB159" i="4"/>
  <c r="E159" i="4"/>
  <c r="R159" i="4" s="1"/>
  <c r="H159" i="4"/>
  <c r="J159" i="4"/>
  <c r="P159" i="4" s="1"/>
  <c r="Z158" i="4"/>
  <c r="Y157" i="4"/>
  <c r="Z157" i="4"/>
  <c r="AA152" i="4"/>
  <c r="AB152" i="4" s="1"/>
  <c r="Z152" i="4"/>
  <c r="H152" i="4"/>
  <c r="AA150" i="4"/>
  <c r="AB150" i="4" s="1"/>
  <c r="Y150" i="4"/>
  <c r="J14" i="25" s="1"/>
  <c r="Z150" i="4"/>
  <c r="H150" i="4"/>
  <c r="I150" i="4"/>
  <c r="O150" i="4" s="1"/>
  <c r="N150" i="4"/>
  <c r="AA148" i="4"/>
  <c r="Y148" i="4"/>
  <c r="Z148" i="4" s="1"/>
  <c r="AB148" i="4" s="1"/>
  <c r="H148" i="4"/>
  <c r="R148" i="4"/>
  <c r="AA146" i="4"/>
  <c r="Z146" i="4"/>
  <c r="H146" i="4"/>
  <c r="I146" i="4"/>
  <c r="O146" i="4"/>
  <c r="R146" i="4"/>
  <c r="AA144" i="4"/>
  <c r="Z144" i="4"/>
  <c r="AB144" i="4"/>
  <c r="H144" i="4"/>
  <c r="I144" i="4" s="1"/>
  <c r="R144" i="4"/>
  <c r="AA142" i="4"/>
  <c r="Y142" i="4"/>
  <c r="Z142" i="4" s="1"/>
  <c r="AB142" i="4" s="1"/>
  <c r="H142" i="4"/>
  <c r="E142" i="4"/>
  <c r="R142" i="4" s="1"/>
  <c r="AA140" i="4"/>
  <c r="Y140" i="4"/>
  <c r="Z140" i="4"/>
  <c r="AB140" i="4"/>
  <c r="H140" i="4"/>
  <c r="I140" i="4"/>
  <c r="E140" i="4"/>
  <c r="R140" i="4"/>
  <c r="AA138" i="4"/>
  <c r="AB138" i="4" s="1"/>
  <c r="Y138" i="4"/>
  <c r="Z138" i="4"/>
  <c r="H138" i="4"/>
  <c r="I138" i="4"/>
  <c r="N138" i="4" s="1"/>
  <c r="M138" i="4"/>
  <c r="T138" i="4" s="1"/>
  <c r="O138" i="4"/>
  <c r="R138" i="4"/>
  <c r="AA136" i="4"/>
  <c r="Y136" i="4"/>
  <c r="Z136" i="4"/>
  <c r="AB136" i="4" s="1"/>
  <c r="H136" i="4"/>
  <c r="I136" i="4"/>
  <c r="N136" i="4" s="1"/>
  <c r="R136" i="4"/>
  <c r="AA134" i="4"/>
  <c r="H134" i="4"/>
  <c r="R134" i="4"/>
  <c r="AA132" i="4"/>
  <c r="Y132" i="4"/>
  <c r="Z132" i="4" s="1"/>
  <c r="AB132" i="4" s="1"/>
  <c r="H132" i="4"/>
  <c r="R132" i="4"/>
  <c r="AA131" i="4"/>
  <c r="Y131" i="4"/>
  <c r="Z131" i="4"/>
  <c r="AB131" i="4"/>
  <c r="H131" i="4"/>
  <c r="N131" i="4" s="1"/>
  <c r="I131" i="4"/>
  <c r="R131" i="4"/>
  <c r="AA129" i="4"/>
  <c r="Y129" i="4"/>
  <c r="Z129" i="4"/>
  <c r="H129" i="4"/>
  <c r="I129" i="4"/>
  <c r="M129" i="4"/>
  <c r="N129" i="4"/>
  <c r="O129" i="4"/>
  <c r="R129" i="4"/>
  <c r="AA128" i="4"/>
  <c r="Y128" i="4"/>
  <c r="Z128" i="4"/>
  <c r="AB128" i="4" s="1"/>
  <c r="H128" i="4"/>
  <c r="I128" i="4"/>
  <c r="N128" i="4"/>
  <c r="R128" i="4"/>
  <c r="AA126" i="4"/>
  <c r="AB126" i="4" s="1"/>
  <c r="Y126" i="4"/>
  <c r="Z126" i="4"/>
  <c r="H126" i="4"/>
  <c r="R126" i="4"/>
  <c r="AA125" i="4"/>
  <c r="Z125" i="4"/>
  <c r="AB125" i="4"/>
  <c r="H125" i="4"/>
  <c r="I125" i="4" s="1"/>
  <c r="M125" i="4"/>
  <c r="R125" i="4"/>
  <c r="AA123" i="4"/>
  <c r="AB123" i="4" s="1"/>
  <c r="Y123" i="4"/>
  <c r="Z123" i="4" s="1"/>
  <c r="H123" i="4"/>
  <c r="I123" i="4"/>
  <c r="M123" i="4" s="1"/>
  <c r="R123" i="4"/>
  <c r="AA122" i="4"/>
  <c r="AB122" i="4" s="1"/>
  <c r="Z122" i="4"/>
  <c r="H122" i="4"/>
  <c r="R122" i="4"/>
  <c r="AA120" i="4"/>
  <c r="AB120" i="4" s="1"/>
  <c r="Y120" i="4"/>
  <c r="Z120" i="4" s="1"/>
  <c r="H120" i="4"/>
  <c r="I120" i="4" s="1"/>
  <c r="R120" i="4"/>
  <c r="AA119" i="4"/>
  <c r="Z119" i="4"/>
  <c r="AB119" i="4" s="1"/>
  <c r="H119" i="4"/>
  <c r="I119" i="4"/>
  <c r="R119" i="4"/>
  <c r="AA117" i="4"/>
  <c r="AB117" i="4" s="1"/>
  <c r="Y117" i="4"/>
  <c r="Z117" i="4" s="1"/>
  <c r="H117" i="4"/>
  <c r="R117" i="4"/>
  <c r="AA116" i="4"/>
  <c r="Z116" i="4"/>
  <c r="H116" i="4"/>
  <c r="R116" i="4"/>
  <c r="AA114" i="4"/>
  <c r="Z114" i="4"/>
  <c r="AB114" i="4"/>
  <c r="H114" i="4"/>
  <c r="I114" i="4"/>
  <c r="N114" i="4" s="1"/>
  <c r="M114" i="4"/>
  <c r="O114" i="4"/>
  <c r="R114" i="4"/>
  <c r="T114" i="4"/>
  <c r="AA113" i="4"/>
  <c r="AB113" i="4" s="1"/>
  <c r="Z113" i="4"/>
  <c r="H113" i="4"/>
  <c r="I113" i="4"/>
  <c r="M113" i="4" s="1"/>
  <c r="R113" i="4"/>
  <c r="AA111" i="4"/>
  <c r="Y111" i="4"/>
  <c r="Z111" i="4"/>
  <c r="AB111" i="4"/>
  <c r="H111" i="4"/>
  <c r="R111" i="4"/>
  <c r="AA110" i="4"/>
  <c r="Y110" i="4"/>
  <c r="Z110" i="4"/>
  <c r="AB110" i="4"/>
  <c r="H110" i="4"/>
  <c r="I110" i="4"/>
  <c r="O110" i="4"/>
  <c r="R110" i="4"/>
  <c r="AA108" i="4"/>
  <c r="Y108" i="4"/>
  <c r="Z108" i="4" s="1"/>
  <c r="H108" i="4"/>
  <c r="I108" i="4"/>
  <c r="M108" i="4"/>
  <c r="N108" i="4"/>
  <c r="R108" i="4"/>
  <c r="AA107" i="4"/>
  <c r="Y107" i="4"/>
  <c r="Z107" i="4"/>
  <c r="H107" i="4"/>
  <c r="I107" i="4"/>
  <c r="N107" i="4"/>
  <c r="O107" i="4"/>
  <c r="R107" i="4"/>
  <c r="AA105" i="4"/>
  <c r="Y105" i="4"/>
  <c r="Z105" i="4"/>
  <c r="AB105" i="4"/>
  <c r="H105" i="4"/>
  <c r="N105" i="4" s="1"/>
  <c r="I105" i="4"/>
  <c r="M105" i="4"/>
  <c r="R105" i="4"/>
  <c r="AA104" i="4"/>
  <c r="AB104" i="4" s="1"/>
  <c r="Y104" i="4"/>
  <c r="Z104" i="4" s="1"/>
  <c r="H104" i="4"/>
  <c r="I104" i="4"/>
  <c r="M104" i="4" s="1"/>
  <c r="N104" i="4"/>
  <c r="R104" i="4"/>
  <c r="AA102" i="4"/>
  <c r="Y102" i="4"/>
  <c r="Z102" i="4"/>
  <c r="AB102" i="4"/>
  <c r="H102" i="4"/>
  <c r="I102" i="4" s="1"/>
  <c r="O102" i="4" s="1"/>
  <c r="R102" i="4"/>
  <c r="AA101" i="4"/>
  <c r="AB101" i="4" s="1"/>
  <c r="Y101" i="4"/>
  <c r="Z101" i="4"/>
  <c r="H101" i="4"/>
  <c r="I101" i="4"/>
  <c r="N101" i="4" s="1"/>
  <c r="M101" i="4"/>
  <c r="O101" i="4"/>
  <c r="R101" i="4"/>
  <c r="AA99" i="4"/>
  <c r="Y99" i="4"/>
  <c r="Z99" i="4"/>
  <c r="AB99" i="4"/>
  <c r="H99" i="4"/>
  <c r="I99" i="4"/>
  <c r="O99" i="4" s="1"/>
  <c r="R99" i="4"/>
  <c r="AA98" i="4"/>
  <c r="Y98" i="4"/>
  <c r="Z98" i="4" s="1"/>
  <c r="H98" i="4"/>
  <c r="I98" i="4" s="1"/>
  <c r="R98" i="4"/>
  <c r="AA96" i="4"/>
  <c r="Y96" i="4"/>
  <c r="Z96" i="4" s="1"/>
  <c r="AB96" i="4" s="1"/>
  <c r="H96" i="4"/>
  <c r="R96" i="4"/>
  <c r="AA95" i="4"/>
  <c r="Y95" i="4"/>
  <c r="H95" i="4"/>
  <c r="I95" i="4"/>
  <c r="M95" i="4"/>
  <c r="N95" i="4"/>
  <c r="O95" i="4"/>
  <c r="R95" i="4"/>
  <c r="AA93" i="4"/>
  <c r="Y93" i="4"/>
  <c r="Z93" i="4"/>
  <c r="AB93" i="4" s="1"/>
  <c r="H93" i="4"/>
  <c r="R93" i="4"/>
  <c r="AA92" i="4"/>
  <c r="AB92" i="4" s="1"/>
  <c r="Y92" i="4"/>
  <c r="Z92" i="4"/>
  <c r="H92" i="4"/>
  <c r="I92" i="4"/>
  <c r="N92" i="4"/>
  <c r="R92" i="4"/>
  <c r="AA90" i="4"/>
  <c r="AB90" i="4" s="1"/>
  <c r="Y90" i="4"/>
  <c r="Z90" i="4"/>
  <c r="H90" i="4"/>
  <c r="R90" i="4"/>
  <c r="AA89" i="4"/>
  <c r="Z89" i="4"/>
  <c r="AB89" i="4" s="1"/>
  <c r="H89" i="4"/>
  <c r="I89" i="4" s="1"/>
  <c r="M89" i="4"/>
  <c r="N89" i="4"/>
  <c r="O89" i="4"/>
  <c r="R89" i="4"/>
  <c r="T89" i="4"/>
  <c r="AA87" i="4"/>
  <c r="Y87" i="4"/>
  <c r="Z87" i="4"/>
  <c r="H87" i="4"/>
  <c r="I87" i="4" s="1"/>
  <c r="M87" i="4" s="1"/>
  <c r="R87" i="4"/>
  <c r="AA86" i="4"/>
  <c r="Y86" i="4"/>
  <c r="Z86" i="4" s="1"/>
  <c r="AB86" i="4" s="1"/>
  <c r="H86" i="4"/>
  <c r="I86" i="4"/>
  <c r="N86" i="4" s="1"/>
  <c r="M86" i="4"/>
  <c r="R86" i="4"/>
  <c r="AA84" i="4"/>
  <c r="Y84" i="4"/>
  <c r="Z84" i="4"/>
  <c r="AB84" i="4"/>
  <c r="H84" i="4"/>
  <c r="I84" i="4" s="1"/>
  <c r="M84" i="4" s="1"/>
  <c r="R84" i="4"/>
  <c r="AA83" i="4"/>
  <c r="Y83" i="4"/>
  <c r="Z83" i="4" s="1"/>
  <c r="H83" i="4"/>
  <c r="I83" i="4" s="1"/>
  <c r="R83" i="4"/>
  <c r="AA81" i="4"/>
  <c r="Y81" i="4"/>
  <c r="Z81" i="4" s="1"/>
  <c r="AB81" i="4" s="1"/>
  <c r="H81" i="4"/>
  <c r="R81" i="4"/>
  <c r="AA80" i="4"/>
  <c r="Y80" i="4"/>
  <c r="Z80" i="4" s="1"/>
  <c r="AB80" i="4"/>
  <c r="H80" i="4"/>
  <c r="I80" i="4" s="1"/>
  <c r="M80" i="4"/>
  <c r="R80" i="4"/>
  <c r="AA78" i="4"/>
  <c r="AB78" i="4" s="1"/>
  <c r="Y78" i="4"/>
  <c r="Z78" i="4"/>
  <c r="H78" i="4"/>
  <c r="I78" i="4" s="1"/>
  <c r="M78" i="4"/>
  <c r="N78" i="4"/>
  <c r="O78" i="4"/>
  <c r="R78" i="4"/>
  <c r="T78" i="4"/>
  <c r="AA77" i="4"/>
  <c r="AB77" i="4" s="1"/>
  <c r="Y77" i="4"/>
  <c r="Z77" i="4"/>
  <c r="H77" i="4"/>
  <c r="I77" i="4" s="1"/>
  <c r="M77" i="4" s="1"/>
  <c r="R77" i="4"/>
  <c r="AA75" i="4"/>
  <c r="Y75" i="4"/>
  <c r="Z75" i="4" s="1"/>
  <c r="AB75" i="4"/>
  <c r="H75" i="4"/>
  <c r="I75" i="4"/>
  <c r="N75" i="4" s="1"/>
  <c r="M75" i="4"/>
  <c r="R75" i="4"/>
  <c r="AA74" i="4"/>
  <c r="Y74" i="4"/>
  <c r="Z74" i="4"/>
  <c r="AB74" i="4"/>
  <c r="H74" i="4"/>
  <c r="I74" i="4" s="1"/>
  <c r="M74" i="4"/>
  <c r="R74" i="4"/>
  <c r="AA72" i="4"/>
  <c r="Y72" i="4"/>
  <c r="Z72" i="4" s="1"/>
  <c r="H72" i="4"/>
  <c r="I72" i="4" s="1"/>
  <c r="R72" i="4"/>
  <c r="AA71" i="4"/>
  <c r="Z71" i="4"/>
  <c r="AB71" i="4" s="1"/>
  <c r="H71" i="4"/>
  <c r="I71" i="4"/>
  <c r="R71" i="4"/>
  <c r="Y69" i="4"/>
  <c r="Z69" i="4" s="1"/>
  <c r="AB69" i="4" s="1"/>
  <c r="AA69" i="4"/>
  <c r="H69" i="4"/>
  <c r="I69" i="4" s="1"/>
  <c r="M69" i="4"/>
  <c r="R69" i="4"/>
  <c r="AA68" i="4"/>
  <c r="Y68" i="4"/>
  <c r="Z68" i="4" s="1"/>
  <c r="AB68" i="4" s="1"/>
  <c r="H68" i="4"/>
  <c r="I68" i="4" s="1"/>
  <c r="O68" i="4" s="1"/>
  <c r="R68" i="4"/>
  <c r="AA66" i="4"/>
  <c r="AB66" i="4" s="1"/>
  <c r="Y66" i="4"/>
  <c r="Z66" i="4" s="1"/>
  <c r="H66" i="4"/>
  <c r="R66" i="4"/>
  <c r="Y64" i="4"/>
  <c r="Z64" i="4"/>
  <c r="AB64" i="4"/>
  <c r="AA64" i="4"/>
  <c r="H64" i="4"/>
  <c r="R64" i="4"/>
  <c r="AA63" i="4"/>
  <c r="AB63" i="4"/>
  <c r="H63" i="4"/>
  <c r="I63" i="4" s="1"/>
  <c r="R63" i="4"/>
  <c r="Y61" i="4"/>
  <c r="Z61" i="4"/>
  <c r="AB61" i="4"/>
  <c r="AA61" i="4"/>
  <c r="H61" i="4"/>
  <c r="I61" i="4" s="1"/>
  <c r="N61" i="4"/>
  <c r="R61" i="4"/>
  <c r="AA60" i="4"/>
  <c r="AB60" i="4" s="1"/>
  <c r="Z60" i="4"/>
  <c r="H60" i="4"/>
  <c r="R60" i="4"/>
  <c r="AA58" i="4"/>
  <c r="Y58" i="4"/>
  <c r="Z58" i="4" s="1"/>
  <c r="H58" i="4"/>
  <c r="I58" i="4" s="1"/>
  <c r="M58" i="4"/>
  <c r="O58" i="4"/>
  <c r="R58" i="4"/>
  <c r="AA57" i="4"/>
  <c r="AB57" i="4" s="1"/>
  <c r="Y57" i="4"/>
  <c r="Z57" i="4"/>
  <c r="H57" i="4"/>
  <c r="I57" i="4" s="1"/>
  <c r="R57" i="4"/>
  <c r="AA55" i="4"/>
  <c r="Y55" i="4"/>
  <c r="Z55" i="4" s="1"/>
  <c r="AB55" i="4" s="1"/>
  <c r="H55" i="4"/>
  <c r="I55" i="4"/>
  <c r="M55" i="4"/>
  <c r="O55" i="4"/>
  <c r="R55" i="4"/>
  <c r="AA54" i="4"/>
  <c r="Z54" i="4"/>
  <c r="AB54" i="4"/>
  <c r="H54" i="4"/>
  <c r="I54" i="4"/>
  <c r="R54" i="4"/>
  <c r="Y52" i="4"/>
  <c r="Z52" i="4" s="1"/>
  <c r="AB52" i="4" s="1"/>
  <c r="AA52" i="4"/>
  <c r="H52" i="4"/>
  <c r="I52" i="4"/>
  <c r="O52" i="4" s="1"/>
  <c r="M52" i="4"/>
  <c r="N52" i="4"/>
  <c r="T52" i="4" s="1"/>
  <c r="R52" i="4"/>
  <c r="AA51" i="4"/>
  <c r="Z51" i="4"/>
  <c r="AB51" i="4" s="1"/>
  <c r="I51" i="4"/>
  <c r="O51" i="4" s="1"/>
  <c r="N51" i="4"/>
  <c r="R51" i="4"/>
  <c r="AA49" i="4"/>
  <c r="Y49" i="4"/>
  <c r="Z49" i="4" s="1"/>
  <c r="AB49" i="4" s="1"/>
  <c r="H49" i="4"/>
  <c r="I49" i="4" s="1"/>
  <c r="M49" i="4"/>
  <c r="N49" i="4"/>
  <c r="R49" i="4"/>
  <c r="AA48" i="4"/>
  <c r="AB48" i="4" s="1"/>
  <c r="Y48" i="4"/>
  <c r="Z48" i="4" s="1"/>
  <c r="H48" i="4"/>
  <c r="M48" i="4" s="1"/>
  <c r="I48" i="4"/>
  <c r="N48" i="4"/>
  <c r="R48" i="4"/>
  <c r="AA46" i="4"/>
  <c r="AB46" i="4" s="1"/>
  <c r="Y46" i="4"/>
  <c r="Z46" i="4"/>
  <c r="H46" i="4"/>
  <c r="I46" i="4" s="1"/>
  <c r="R46" i="4"/>
  <c r="AA45" i="4"/>
  <c r="Z45" i="4"/>
  <c r="AB45" i="4"/>
  <c r="H45" i="4"/>
  <c r="R45" i="4"/>
  <c r="AA43" i="4"/>
  <c r="AB43" i="4" s="1"/>
  <c r="Y43" i="4"/>
  <c r="Z43" i="4"/>
  <c r="H43" i="4"/>
  <c r="I43" i="4"/>
  <c r="O43" i="4" s="1"/>
  <c r="M43" i="4"/>
  <c r="N43" i="4"/>
  <c r="R43" i="4"/>
  <c r="AA42" i="4"/>
  <c r="AB42" i="4" s="1"/>
  <c r="Y42" i="4"/>
  <c r="Z42" i="4" s="1"/>
  <c r="H42" i="4"/>
  <c r="M42" i="4" s="1"/>
  <c r="I42" i="4"/>
  <c r="O42" i="4"/>
  <c r="R42" i="4"/>
  <c r="AA40" i="4"/>
  <c r="AB40" i="4" s="1"/>
  <c r="Y40" i="4"/>
  <c r="Z40" i="4"/>
  <c r="H40" i="4"/>
  <c r="I40" i="4" s="1"/>
  <c r="R40" i="4"/>
  <c r="AA39" i="4"/>
  <c r="Y39" i="4"/>
  <c r="Z39" i="4" s="1"/>
  <c r="AB39" i="4" s="1"/>
  <c r="H39" i="4"/>
  <c r="R39" i="4"/>
  <c r="AA37" i="4"/>
  <c r="Y37" i="4"/>
  <c r="Z37" i="4" s="1"/>
  <c r="AB37" i="4"/>
  <c r="H37" i="4"/>
  <c r="I37" i="4"/>
  <c r="O37" i="4"/>
  <c r="R37" i="4"/>
  <c r="AA36" i="4"/>
  <c r="Z36" i="4"/>
  <c r="AB36" i="4" s="1"/>
  <c r="I36" i="4"/>
  <c r="N36" i="4" s="1"/>
  <c r="M36" i="4"/>
  <c r="T36" i="4" s="1"/>
  <c r="O36" i="4"/>
  <c r="R36" i="4"/>
  <c r="AA33" i="4"/>
  <c r="AB33" i="4" s="1"/>
  <c r="Y33" i="4"/>
  <c r="Z33" i="4"/>
  <c r="H33" i="4"/>
  <c r="M33" i="4" s="1"/>
  <c r="I33" i="4"/>
  <c r="N33" i="4"/>
  <c r="R33" i="4"/>
  <c r="AA31" i="4"/>
  <c r="AB31" i="4" s="1"/>
  <c r="Y31" i="4"/>
  <c r="Z31" i="4"/>
  <c r="H31" i="4"/>
  <c r="R31" i="4"/>
  <c r="AA30" i="4"/>
  <c r="AB30" i="4" s="1"/>
  <c r="Z30" i="4"/>
  <c r="I30" i="4"/>
  <c r="M30" i="4"/>
  <c r="N30" i="4"/>
  <c r="O30" i="4"/>
  <c r="R30" i="4"/>
  <c r="T30" i="4"/>
  <c r="AA28" i="4"/>
  <c r="AB28" i="4" s="1"/>
  <c r="Y28" i="4"/>
  <c r="Z28" i="4"/>
  <c r="H28" i="4"/>
  <c r="I28" i="4" s="1"/>
  <c r="M28" i="4" s="1"/>
  <c r="R28" i="4"/>
  <c r="AA27" i="4"/>
  <c r="AB27" i="4" s="1"/>
  <c r="Z27" i="4"/>
  <c r="I27" i="4"/>
  <c r="O27" i="4"/>
  <c r="R27" i="4"/>
  <c r="AA25" i="4"/>
  <c r="AB25" i="4" s="1"/>
  <c r="Y25" i="4"/>
  <c r="Z25" i="4"/>
  <c r="H25" i="4"/>
  <c r="N25" i="4" s="1"/>
  <c r="I25" i="4"/>
  <c r="M25" i="4"/>
  <c r="O25" i="4"/>
  <c r="R25" i="4"/>
  <c r="AA24" i="4"/>
  <c r="H24" i="4"/>
  <c r="I24" i="4" s="1"/>
  <c r="M24" i="4"/>
  <c r="N24" i="4"/>
  <c r="R24" i="4"/>
  <c r="AA22" i="4"/>
  <c r="Y22" i="4"/>
  <c r="Z22" i="4"/>
  <c r="H22" i="4"/>
  <c r="I22" i="4"/>
  <c r="R22" i="4"/>
  <c r="AA21" i="4"/>
  <c r="AB21" i="4" s="1"/>
  <c r="Z21" i="4"/>
  <c r="H21" i="4"/>
  <c r="M21" i="4" s="1"/>
  <c r="I21" i="4"/>
  <c r="O21" i="4" s="1"/>
  <c r="T21" i="4" s="1"/>
  <c r="N21" i="4"/>
  <c r="R21" i="4"/>
  <c r="B18" i="44"/>
  <c r="J18" i="44" s="1"/>
  <c r="B19" i="44"/>
  <c r="J19" i="44" s="1"/>
  <c r="B20" i="44"/>
  <c r="J20" i="44" s="1"/>
  <c r="B21" i="44"/>
  <c r="J21" i="44"/>
  <c r="B22" i="44"/>
  <c r="J22" i="44"/>
  <c r="B23" i="44"/>
  <c r="J23" i="44"/>
  <c r="B24" i="44"/>
  <c r="J24" i="44"/>
  <c r="B25" i="44"/>
  <c r="J25" i="44" s="1"/>
  <c r="B17" i="8"/>
  <c r="I17" i="8" s="1"/>
  <c r="J17" i="8"/>
  <c r="G17" i="8"/>
  <c r="B19" i="35"/>
  <c r="J19" i="35"/>
  <c r="E19" i="35"/>
  <c r="G19" i="35"/>
  <c r="I19" i="35"/>
  <c r="B20" i="35"/>
  <c r="B21" i="27"/>
  <c r="I21" i="27" s="1"/>
  <c r="E21" i="27"/>
  <c r="M33" i="27"/>
  <c r="E303" i="5"/>
  <c r="E304" i="5"/>
  <c r="F304" i="5"/>
  <c r="E305" i="5"/>
  <c r="F305" i="5"/>
  <c r="G305" i="5" s="1"/>
  <c r="F303" i="5"/>
  <c r="H305" i="5"/>
  <c r="B29" i="27"/>
  <c r="G29" i="27"/>
  <c r="B30" i="27"/>
  <c r="E30" i="27" s="1"/>
  <c r="B28" i="15"/>
  <c r="I28" i="15" s="1"/>
  <c r="E28" i="15"/>
  <c r="B29" i="15"/>
  <c r="B30" i="15"/>
  <c r="B31" i="15"/>
  <c r="I31" i="15" s="1"/>
  <c r="E31" i="15"/>
  <c r="B32" i="15"/>
  <c r="E32" i="15"/>
  <c r="B33" i="15"/>
  <c r="E33" i="15"/>
  <c r="B34" i="15"/>
  <c r="J34" i="15" s="1"/>
  <c r="I29" i="27"/>
  <c r="E29" i="27"/>
  <c r="I30" i="27"/>
  <c r="J33" i="15"/>
  <c r="G33" i="15"/>
  <c r="G31" i="15"/>
  <c r="G34" i="15"/>
  <c r="I32" i="15"/>
  <c r="E40" i="30"/>
  <c r="E42" i="30"/>
  <c r="E43" i="30"/>
  <c r="G44" i="30"/>
  <c r="G45" i="30"/>
  <c r="I45" i="30"/>
  <c r="I44" i="30"/>
  <c r="G42" i="30"/>
  <c r="I42" i="30"/>
  <c r="I40" i="30"/>
  <c r="M46" i="30"/>
  <c r="E65" i="5"/>
  <c r="F65" i="5" s="1"/>
  <c r="B24" i="27"/>
  <c r="B23" i="27"/>
  <c r="E23" i="27"/>
  <c r="B33" i="27"/>
  <c r="J33" i="27" s="1"/>
  <c r="B27" i="15"/>
  <c r="I27" i="15"/>
  <c r="B35" i="15"/>
  <c r="I23" i="27"/>
  <c r="B26" i="27"/>
  <c r="E35" i="30"/>
  <c r="B31" i="30"/>
  <c r="E31" i="30"/>
  <c r="B20" i="27"/>
  <c r="I20" i="27"/>
  <c r="B19" i="27"/>
  <c r="B22" i="27"/>
  <c r="E22" i="27"/>
  <c r="B27" i="27"/>
  <c r="I27" i="27"/>
  <c r="B28" i="27"/>
  <c r="E28" i="27"/>
  <c r="B31" i="27"/>
  <c r="B25" i="27"/>
  <c r="B32" i="27"/>
  <c r="I32" i="27" s="1"/>
  <c r="M25" i="11"/>
  <c r="E208" i="5"/>
  <c r="F208" i="5"/>
  <c r="J23" i="27"/>
  <c r="G13" i="41"/>
  <c r="E20" i="41"/>
  <c r="B24" i="41"/>
  <c r="G24" i="41"/>
  <c r="B16" i="30"/>
  <c r="J16" i="30"/>
  <c r="B17" i="30"/>
  <c r="G17" i="30" s="1"/>
  <c r="B18" i="30"/>
  <c r="J18" i="30" s="1"/>
  <c r="B19" i="30"/>
  <c r="B20" i="30"/>
  <c r="J20" i="30" s="1"/>
  <c r="B21" i="30"/>
  <c r="J21" i="30" s="1"/>
  <c r="B22" i="30"/>
  <c r="J22" i="30" s="1"/>
  <c r="B23" i="30"/>
  <c r="J23" i="30" s="1"/>
  <c r="B24" i="30"/>
  <c r="J24" i="30" s="1"/>
  <c r="B25" i="30"/>
  <c r="E25" i="30"/>
  <c r="B26" i="30"/>
  <c r="J26" i="30"/>
  <c r="B27" i="30"/>
  <c r="G27" i="30" s="1"/>
  <c r="B28" i="30"/>
  <c r="J28" i="30" s="1"/>
  <c r="B29" i="30"/>
  <c r="J29" i="30" s="1"/>
  <c r="B30" i="30"/>
  <c r="J30" i="30" s="1"/>
  <c r="B32" i="30"/>
  <c r="B33" i="30"/>
  <c r="J33" i="30" s="1"/>
  <c r="E36" i="30"/>
  <c r="E37" i="30"/>
  <c r="E39" i="30"/>
  <c r="B12" i="8"/>
  <c r="G12" i="8" s="1"/>
  <c r="J18" i="11"/>
  <c r="J19" i="11"/>
  <c r="B20" i="11"/>
  <c r="J20" i="11" s="1"/>
  <c r="E36" i="5"/>
  <c r="F36" i="5" s="1"/>
  <c r="G36" i="5"/>
  <c r="B35" i="60"/>
  <c r="B38" i="60"/>
  <c r="E180" i="5"/>
  <c r="F180" i="5" s="1"/>
  <c r="H180" i="5" s="1"/>
  <c r="E228" i="5"/>
  <c r="F228" i="5" s="1"/>
  <c r="E190" i="5"/>
  <c r="F190" i="5" s="1"/>
  <c r="E34" i="30"/>
  <c r="J45" i="33"/>
  <c r="G45" i="33"/>
  <c r="I45" i="33"/>
  <c r="J43" i="33"/>
  <c r="G43" i="33"/>
  <c r="I43" i="33"/>
  <c r="J44" i="33"/>
  <c r="G44" i="33"/>
  <c r="I44" i="33"/>
  <c r="B35" i="29"/>
  <c r="I35" i="29"/>
  <c r="B16" i="25"/>
  <c r="J16" i="25"/>
  <c r="B17" i="25"/>
  <c r="E17" i="25"/>
  <c r="B18" i="25"/>
  <c r="B19" i="25"/>
  <c r="B20" i="25"/>
  <c r="J20" i="25" s="1"/>
  <c r="B21" i="25"/>
  <c r="I21" i="25"/>
  <c r="B22" i="25"/>
  <c r="J22" i="25"/>
  <c r="B23" i="25"/>
  <c r="E23" i="25"/>
  <c r="B24" i="25"/>
  <c r="J24" i="25"/>
  <c r="B25" i="25"/>
  <c r="I25" i="25"/>
  <c r="B34" i="36"/>
  <c r="I34" i="36"/>
  <c r="B21" i="35"/>
  <c r="J21" i="35" s="1"/>
  <c r="B22" i="35"/>
  <c r="G22" i="35" s="1"/>
  <c r="B23" i="35"/>
  <c r="J23" i="35"/>
  <c r="B24" i="35"/>
  <c r="G24" i="35"/>
  <c r="B25" i="35"/>
  <c r="J25" i="35"/>
  <c r="B26" i="35"/>
  <c r="G26" i="35"/>
  <c r="B27" i="35"/>
  <c r="J27" i="35"/>
  <c r="B28" i="35"/>
  <c r="G28" i="35" s="1"/>
  <c r="B29" i="35"/>
  <c r="J29" i="35"/>
  <c r="B30" i="35"/>
  <c r="G30" i="35"/>
  <c r="B31" i="35"/>
  <c r="J31" i="35"/>
  <c r="B32" i="35"/>
  <c r="G32" i="35"/>
  <c r="B33" i="35"/>
  <c r="J33" i="35"/>
  <c r="B34" i="35"/>
  <c r="I34" i="35"/>
  <c r="B35" i="35"/>
  <c r="J35" i="35" s="1"/>
  <c r="B36" i="35"/>
  <c r="B37" i="35"/>
  <c r="J37" i="35" s="1"/>
  <c r="B38" i="35"/>
  <c r="E38" i="35" s="1"/>
  <c r="B39" i="35"/>
  <c r="J39" i="35" s="1"/>
  <c r="J35" i="15"/>
  <c r="B29" i="54"/>
  <c r="B30" i="54"/>
  <c r="B31" i="54"/>
  <c r="B32" i="54"/>
  <c r="B33" i="54"/>
  <c r="B34" i="54"/>
  <c r="B35" i="54"/>
  <c r="B36" i="54"/>
  <c r="B37" i="54"/>
  <c r="B38" i="54"/>
  <c r="B39" i="54"/>
  <c r="B40" i="54"/>
  <c r="B41" i="54"/>
  <c r="B42" i="54"/>
  <c r="M38" i="29"/>
  <c r="N38" i="29"/>
  <c r="O38" i="29"/>
  <c r="K114" i="29" s="1"/>
  <c r="G35" i="60" s="1"/>
  <c r="E120" i="5"/>
  <c r="F120" i="5" s="1"/>
  <c r="E150" i="5"/>
  <c r="F150" i="5"/>
  <c r="I150" i="5" s="1"/>
  <c r="H150" i="5"/>
  <c r="E119" i="5"/>
  <c r="F119" i="5" s="1"/>
  <c r="H35" i="60"/>
  <c r="I35" i="60"/>
  <c r="J35" i="60"/>
  <c r="E213" i="5"/>
  <c r="F213" i="5" s="1"/>
  <c r="G213" i="5"/>
  <c r="M21" i="34"/>
  <c r="N21" i="34"/>
  <c r="M20" i="34"/>
  <c r="H26" i="60"/>
  <c r="I26" i="60"/>
  <c r="J26" i="60"/>
  <c r="G208" i="5"/>
  <c r="I208" i="5"/>
  <c r="J208" i="5"/>
  <c r="E187" i="5"/>
  <c r="F187" i="5"/>
  <c r="H187" i="5"/>
  <c r="E18" i="5"/>
  <c r="F18" i="5" s="1"/>
  <c r="G18" i="5" s="1"/>
  <c r="M36" i="15"/>
  <c r="N36" i="15"/>
  <c r="M35" i="15"/>
  <c r="H27" i="60"/>
  <c r="I27" i="60"/>
  <c r="J27" i="60"/>
  <c r="M47" i="33"/>
  <c r="N47" i="33"/>
  <c r="H12" i="60"/>
  <c r="I12" i="60"/>
  <c r="J12" i="60"/>
  <c r="E184" i="5"/>
  <c r="F184" i="5" s="1"/>
  <c r="E97" i="5"/>
  <c r="F97" i="5"/>
  <c r="G97" i="5"/>
  <c r="I97" i="5"/>
  <c r="E151" i="5"/>
  <c r="F151" i="5"/>
  <c r="H151" i="5" s="1"/>
  <c r="E159" i="5"/>
  <c r="F159" i="5"/>
  <c r="M34" i="27"/>
  <c r="N34" i="27"/>
  <c r="H43" i="60"/>
  <c r="I43" i="60"/>
  <c r="J43" i="60"/>
  <c r="E144" i="5"/>
  <c r="F144" i="5"/>
  <c r="E34" i="5"/>
  <c r="F34" i="5"/>
  <c r="M47" i="30"/>
  <c r="N47" i="30"/>
  <c r="H21" i="60"/>
  <c r="I21" i="60"/>
  <c r="J21" i="60"/>
  <c r="M40" i="35"/>
  <c r="N40" i="35"/>
  <c r="M39" i="35"/>
  <c r="H36" i="60"/>
  <c r="I36" i="60"/>
  <c r="J36" i="60"/>
  <c r="M35" i="36"/>
  <c r="N35" i="36"/>
  <c r="H33" i="60"/>
  <c r="I33" i="60"/>
  <c r="J33" i="60"/>
  <c r="K11" i="25"/>
  <c r="E25" i="5"/>
  <c r="F25" i="5"/>
  <c r="I25" i="5" s="1"/>
  <c r="H25" i="5"/>
  <c r="M26" i="25"/>
  <c r="N26" i="25"/>
  <c r="M25" i="25"/>
  <c r="O26" i="25"/>
  <c r="K178" i="25" s="1"/>
  <c r="G38" i="60" s="1"/>
  <c r="H38" i="60"/>
  <c r="I38" i="60"/>
  <c r="J38" i="60"/>
  <c r="M29" i="41"/>
  <c r="N29" i="41"/>
  <c r="M28" i="41"/>
  <c r="H14" i="60"/>
  <c r="I14" i="60"/>
  <c r="J14" i="60"/>
  <c r="E61" i="5"/>
  <c r="F61" i="5" s="1"/>
  <c r="H61" i="5" s="1"/>
  <c r="E56" i="5"/>
  <c r="F56" i="5"/>
  <c r="M26" i="11"/>
  <c r="N26" i="11"/>
  <c r="H20" i="60"/>
  <c r="I20" i="60"/>
  <c r="J20" i="60"/>
  <c r="M27" i="44"/>
  <c r="N27" i="44"/>
  <c r="M26" i="44"/>
  <c r="H34" i="60"/>
  <c r="I34" i="60"/>
  <c r="J34" i="60"/>
  <c r="M24" i="8"/>
  <c r="N24" i="8"/>
  <c r="M23" i="8"/>
  <c r="N23" i="8"/>
  <c r="H24" i="60"/>
  <c r="I24" i="60"/>
  <c r="J24" i="60"/>
  <c r="B26" i="60"/>
  <c r="E16" i="41"/>
  <c r="G16" i="41"/>
  <c r="E19" i="41"/>
  <c r="B23" i="41"/>
  <c r="J23" i="41"/>
  <c r="B14" i="41"/>
  <c r="B25" i="41"/>
  <c r="J25" i="41" s="1"/>
  <c r="B26" i="41"/>
  <c r="J26" i="41" s="1"/>
  <c r="B27" i="41"/>
  <c r="J27" i="41"/>
  <c r="B28" i="41"/>
  <c r="C18" i="60"/>
  <c r="B18" i="60"/>
  <c r="B41" i="61"/>
  <c r="I41" i="61" s="1"/>
  <c r="B40" i="61"/>
  <c r="B39" i="61"/>
  <c r="I39" i="61"/>
  <c r="B38" i="61"/>
  <c r="B37" i="61"/>
  <c r="B36" i="61"/>
  <c r="I36" i="61"/>
  <c r="B35" i="61"/>
  <c r="I35" i="61"/>
  <c r="B34" i="61"/>
  <c r="E34" i="61"/>
  <c r="B33" i="61"/>
  <c r="I33" i="61"/>
  <c r="B32" i="61"/>
  <c r="B31" i="61"/>
  <c r="I31" i="61" s="1"/>
  <c r="B30" i="61"/>
  <c r="B29" i="61"/>
  <c r="B28" i="61"/>
  <c r="I28" i="61"/>
  <c r="B27" i="61"/>
  <c r="I27" i="61" s="1"/>
  <c r="B26" i="61"/>
  <c r="E26" i="61" s="1"/>
  <c r="B25" i="61"/>
  <c r="I25" i="61" s="1"/>
  <c r="B24" i="61"/>
  <c r="B23" i="61"/>
  <c r="I23" i="61"/>
  <c r="B22" i="61"/>
  <c r="B11" i="61"/>
  <c r="B11" i="34"/>
  <c r="G11" i="34" s="1"/>
  <c r="B19" i="34"/>
  <c r="G19" i="34"/>
  <c r="B20" i="34"/>
  <c r="J20" i="34"/>
  <c r="E194" i="5"/>
  <c r="F194" i="5"/>
  <c r="H194" i="5" s="1"/>
  <c r="B11" i="29"/>
  <c r="E11" i="29" s="1"/>
  <c r="B11" i="30"/>
  <c r="J11" i="30"/>
  <c r="B18" i="8"/>
  <c r="J18" i="8"/>
  <c r="B19" i="8"/>
  <c r="E19" i="8"/>
  <c r="B20" i="8"/>
  <c r="J20" i="8" s="1"/>
  <c r="B21" i="8"/>
  <c r="E21" i="8" s="1"/>
  <c r="B22" i="8"/>
  <c r="J22" i="8" s="1"/>
  <c r="B17" i="34"/>
  <c r="B18" i="34"/>
  <c r="J18" i="34"/>
  <c r="B20" i="22"/>
  <c r="J20" i="22" s="1"/>
  <c r="I20" i="22"/>
  <c r="B18" i="22"/>
  <c r="G18" i="22" s="1"/>
  <c r="M22" i="22"/>
  <c r="N22" i="22"/>
  <c r="M21" i="22"/>
  <c r="H31" i="60"/>
  <c r="I31" i="60"/>
  <c r="J31" i="60"/>
  <c r="E22" i="5"/>
  <c r="F22" i="5"/>
  <c r="G22" i="5"/>
  <c r="H22" i="5"/>
  <c r="I22" i="5"/>
  <c r="J22" i="5" s="1"/>
  <c r="E229" i="5"/>
  <c r="F229" i="5" s="1"/>
  <c r="H229" i="5" s="1"/>
  <c r="M35" i="12"/>
  <c r="N35" i="12"/>
  <c r="M34" i="12"/>
  <c r="H32" i="60"/>
  <c r="I32" i="60"/>
  <c r="J32" i="60"/>
  <c r="M33" i="7"/>
  <c r="O33" i="7" s="1"/>
  <c r="N33" i="7"/>
  <c r="H16" i="60"/>
  <c r="I16" i="60"/>
  <c r="J16" i="60"/>
  <c r="J39" i="23"/>
  <c r="E39" i="23"/>
  <c r="I39" i="23"/>
  <c r="J46" i="23"/>
  <c r="I46" i="23"/>
  <c r="M50" i="23"/>
  <c r="N50" i="23"/>
  <c r="H39" i="60"/>
  <c r="I39" i="60"/>
  <c r="J39" i="60"/>
  <c r="M27" i="16"/>
  <c r="N27" i="16"/>
  <c r="M26" i="16"/>
  <c r="H15" i="60"/>
  <c r="I15" i="60"/>
  <c r="J15" i="60"/>
  <c r="B19" i="13"/>
  <c r="J19" i="13" s="1"/>
  <c r="M32" i="13"/>
  <c r="N32" i="13"/>
  <c r="M31" i="13"/>
  <c r="H11" i="60"/>
  <c r="I11" i="60"/>
  <c r="J11" i="60"/>
  <c r="M36" i="32"/>
  <c r="O36" i="32" s="1"/>
  <c r="K64" i="32" s="1"/>
  <c r="G19" i="60" s="1"/>
  <c r="N36" i="32"/>
  <c r="M35" i="32"/>
  <c r="H19" i="60"/>
  <c r="I19" i="60"/>
  <c r="J19" i="60"/>
  <c r="M47" i="28"/>
  <c r="N47" i="28"/>
  <c r="H23" i="60"/>
  <c r="I23" i="60"/>
  <c r="J23" i="60"/>
  <c r="N42" i="31"/>
  <c r="O42" i="31"/>
  <c r="H25" i="60"/>
  <c r="I25" i="60"/>
  <c r="J25" i="60"/>
  <c r="M32" i="1"/>
  <c r="N32" i="1"/>
  <c r="M31" i="1"/>
  <c r="O32" i="1" s="1"/>
  <c r="K58" i="1" s="1"/>
  <c r="G10" i="60" s="1"/>
  <c r="H10" i="60"/>
  <c r="I10" i="60"/>
  <c r="J10" i="60"/>
  <c r="J25" i="17"/>
  <c r="G25" i="17"/>
  <c r="I25" i="17"/>
  <c r="M31" i="17"/>
  <c r="N31" i="17"/>
  <c r="M30" i="17"/>
  <c r="N30" i="17"/>
  <c r="H13" i="60"/>
  <c r="I13" i="60"/>
  <c r="J13" i="60"/>
  <c r="B23" i="8"/>
  <c r="E23" i="8" s="1"/>
  <c r="F24" i="8"/>
  <c r="D24" i="8"/>
  <c r="B11" i="44"/>
  <c r="E18" i="44"/>
  <c r="E19" i="44"/>
  <c r="B11" i="41"/>
  <c r="B11" i="27"/>
  <c r="G11" i="27"/>
  <c r="B11" i="36"/>
  <c r="E11" i="36" s="1"/>
  <c r="B32" i="10"/>
  <c r="E32" i="10" s="1"/>
  <c r="B33" i="10"/>
  <c r="B34" i="10"/>
  <c r="E34" i="10"/>
  <c r="B35" i="10"/>
  <c r="E35" i="10"/>
  <c r="B36" i="10"/>
  <c r="G36" i="10"/>
  <c r="J29" i="27"/>
  <c r="B37" i="10"/>
  <c r="E37" i="10"/>
  <c r="B38" i="10"/>
  <c r="M40" i="10"/>
  <c r="N40" i="10"/>
  <c r="M39" i="10"/>
  <c r="H29" i="60"/>
  <c r="I29" i="60"/>
  <c r="J29" i="60"/>
  <c r="B11" i="11"/>
  <c r="J11" i="11"/>
  <c r="B21" i="11"/>
  <c r="J21" i="27"/>
  <c r="B17" i="12"/>
  <c r="E17" i="12" s="1"/>
  <c r="B18" i="12"/>
  <c r="I18" i="12" s="1"/>
  <c r="B19" i="12"/>
  <c r="B21" i="12"/>
  <c r="I21" i="12" s="1"/>
  <c r="B22" i="12"/>
  <c r="E22" i="12" s="1"/>
  <c r="B24" i="12"/>
  <c r="E24" i="12" s="1"/>
  <c r="B25" i="12"/>
  <c r="B26" i="12"/>
  <c r="E26" i="12"/>
  <c r="B29" i="12"/>
  <c r="B20" i="12"/>
  <c r="E20" i="12"/>
  <c r="B27" i="12"/>
  <c r="E27" i="12" s="1"/>
  <c r="B23" i="12"/>
  <c r="I23" i="12" s="1"/>
  <c r="B30" i="12"/>
  <c r="E30" i="12" s="1"/>
  <c r="B28" i="12"/>
  <c r="B31" i="12"/>
  <c r="E31" i="12"/>
  <c r="B32" i="12"/>
  <c r="I32" i="12" s="1"/>
  <c r="B33" i="12"/>
  <c r="E33" i="12"/>
  <c r="E197" i="5"/>
  <c r="F197" i="5" s="1"/>
  <c r="E153" i="5"/>
  <c r="F153" i="5" s="1"/>
  <c r="G153" i="5" s="1"/>
  <c r="E214" i="5"/>
  <c r="F214" i="5" s="1"/>
  <c r="H214" i="5" s="1"/>
  <c r="E233" i="5"/>
  <c r="F233" i="5" s="1"/>
  <c r="E37" i="5"/>
  <c r="F37" i="5" s="1"/>
  <c r="E103" i="5"/>
  <c r="F103" i="5" s="1"/>
  <c r="E105" i="5"/>
  <c r="F105" i="5" s="1"/>
  <c r="E100" i="5"/>
  <c r="F100" i="5" s="1"/>
  <c r="H100" i="5"/>
  <c r="E101" i="5"/>
  <c r="F101" i="5"/>
  <c r="E99" i="5"/>
  <c r="F99" i="5"/>
  <c r="H99" i="5" s="1"/>
  <c r="E106" i="5"/>
  <c r="F106" i="5" s="1"/>
  <c r="E98" i="5"/>
  <c r="F98" i="5" s="1"/>
  <c r="H98" i="5"/>
  <c r="E95" i="5"/>
  <c r="F95" i="5"/>
  <c r="H95" i="5"/>
  <c r="E252" i="5"/>
  <c r="F252" i="5" s="1"/>
  <c r="E145" i="5"/>
  <c r="F145" i="5" s="1"/>
  <c r="H145" i="5" s="1"/>
  <c r="E146" i="5"/>
  <c r="F146" i="5"/>
  <c r="I146" i="5" s="1"/>
  <c r="G146" i="5"/>
  <c r="B23" i="16"/>
  <c r="E23" i="16"/>
  <c r="B24" i="16"/>
  <c r="B25" i="16"/>
  <c r="J25" i="16"/>
  <c r="E102" i="5"/>
  <c r="F102" i="5"/>
  <c r="H102" i="5" s="1"/>
  <c r="E96" i="5"/>
  <c r="F96" i="5" s="1"/>
  <c r="J14" i="41"/>
  <c r="G14" i="41"/>
  <c r="B20" i="13"/>
  <c r="J20" i="13"/>
  <c r="B21" i="13"/>
  <c r="E21" i="13" s="1"/>
  <c r="E260" i="5"/>
  <c r="F260" i="5"/>
  <c r="H260" i="5"/>
  <c r="E11" i="32"/>
  <c r="B26" i="32"/>
  <c r="E26" i="32" s="1"/>
  <c r="B27" i="32"/>
  <c r="I27" i="32" s="1"/>
  <c r="B28" i="32"/>
  <c r="B29" i="32"/>
  <c r="B30" i="32"/>
  <c r="B31" i="32"/>
  <c r="B32" i="32"/>
  <c r="I32" i="32"/>
  <c r="E135" i="5"/>
  <c r="F135" i="5" s="1"/>
  <c r="E51" i="5"/>
  <c r="F51" i="5"/>
  <c r="H51" i="5" s="1"/>
  <c r="E242" i="5"/>
  <c r="F242" i="5" s="1"/>
  <c r="G242" i="5"/>
  <c r="E168" i="5"/>
  <c r="F168" i="5"/>
  <c r="E141" i="5"/>
  <c r="F141" i="5"/>
  <c r="E137" i="5"/>
  <c r="F137" i="5" s="1"/>
  <c r="I137" i="5" s="1"/>
  <c r="E143" i="5"/>
  <c r="F143" i="5"/>
  <c r="E238" i="5"/>
  <c r="F238" i="5" s="1"/>
  <c r="M32" i="26"/>
  <c r="M33" i="26"/>
  <c r="N33" i="26"/>
  <c r="H17" i="60"/>
  <c r="I17" i="60"/>
  <c r="J17" i="60"/>
  <c r="J20" i="9"/>
  <c r="E20" i="9"/>
  <c r="G20" i="9"/>
  <c r="I20" i="9"/>
  <c r="M31" i="9"/>
  <c r="N31" i="9"/>
  <c r="M30" i="9"/>
  <c r="O31" i="9" s="1"/>
  <c r="K75" i="9" s="1"/>
  <c r="G37" i="60" s="1"/>
  <c r="H37" i="60"/>
  <c r="I37" i="60"/>
  <c r="J37" i="60"/>
  <c r="B11" i="19"/>
  <c r="J11" i="19"/>
  <c r="M32" i="19"/>
  <c r="N32" i="19"/>
  <c r="O32" i="19" s="1"/>
  <c r="K57" i="19" s="1"/>
  <c r="G30" i="60" s="1"/>
  <c r="M31" i="19"/>
  <c r="H30" i="60"/>
  <c r="I30" i="60"/>
  <c r="J30" i="60"/>
  <c r="E234" i="5"/>
  <c r="F234" i="5" s="1"/>
  <c r="H234" i="5" s="1"/>
  <c r="E32" i="5"/>
  <c r="F32" i="5"/>
  <c r="E107" i="5"/>
  <c r="F107" i="5"/>
  <c r="E111" i="5"/>
  <c r="F111" i="5"/>
  <c r="E129" i="5"/>
  <c r="F129" i="5"/>
  <c r="E253" i="5"/>
  <c r="F253" i="5" s="1"/>
  <c r="E250" i="5"/>
  <c r="F250" i="5" s="1"/>
  <c r="E251" i="5"/>
  <c r="F251" i="5"/>
  <c r="M36" i="20"/>
  <c r="N36" i="20"/>
  <c r="O36" i="20"/>
  <c r="K107" i="20" s="1"/>
  <c r="G40" i="60" s="1"/>
  <c r="H40" i="60"/>
  <c r="I40" i="60"/>
  <c r="J40" i="60"/>
  <c r="B11" i="21"/>
  <c r="M64" i="21"/>
  <c r="N64" i="21"/>
  <c r="H41" i="60"/>
  <c r="I41" i="60"/>
  <c r="J41" i="60"/>
  <c r="K11" i="59"/>
  <c r="K12" i="59"/>
  <c r="K13" i="59"/>
  <c r="K14" i="59"/>
  <c r="K15" i="59"/>
  <c r="K16" i="59"/>
  <c r="K17" i="59"/>
  <c r="K18" i="59"/>
  <c r="K19" i="59"/>
  <c r="K20" i="59"/>
  <c r="K21" i="59"/>
  <c r="K25" i="59" s="1"/>
  <c r="K52" i="59" s="1"/>
  <c r="E60" i="60" s="1"/>
  <c r="K22" i="59"/>
  <c r="K23" i="59"/>
  <c r="K24" i="59"/>
  <c r="B28" i="59"/>
  <c r="B29" i="59"/>
  <c r="B30" i="59"/>
  <c r="B31" i="59"/>
  <c r="B32" i="59"/>
  <c r="B33" i="59"/>
  <c r="B34" i="59"/>
  <c r="B35" i="59"/>
  <c r="B36" i="59"/>
  <c r="B37" i="59"/>
  <c r="B38" i="59"/>
  <c r="B39" i="59"/>
  <c r="B40" i="59"/>
  <c r="B41" i="59"/>
  <c r="B42" i="59"/>
  <c r="B43" i="59"/>
  <c r="B44" i="59"/>
  <c r="B45" i="59"/>
  <c r="B46" i="59"/>
  <c r="B47" i="59"/>
  <c r="B48" i="59"/>
  <c r="B49" i="59"/>
  <c r="M25" i="59"/>
  <c r="N25" i="59"/>
  <c r="M24" i="59"/>
  <c r="H60" i="60"/>
  <c r="I60" i="60"/>
  <c r="J60" i="60"/>
  <c r="C60" i="60"/>
  <c r="B60" i="60"/>
  <c r="K11" i="58"/>
  <c r="K12" i="58"/>
  <c r="K13" i="58"/>
  <c r="K14" i="58"/>
  <c r="K15" i="58"/>
  <c r="K16" i="58"/>
  <c r="K17" i="58"/>
  <c r="K18" i="58"/>
  <c r="K19" i="58"/>
  <c r="K20" i="58"/>
  <c r="K21" i="58"/>
  <c r="K22" i="58"/>
  <c r="K23" i="58"/>
  <c r="K24" i="58"/>
  <c r="B28" i="58"/>
  <c r="B29" i="58"/>
  <c r="B30" i="58"/>
  <c r="B31" i="58"/>
  <c r="B32" i="58"/>
  <c r="B33" i="58"/>
  <c r="B34" i="58"/>
  <c r="B35" i="58"/>
  <c r="B36" i="58"/>
  <c r="B37" i="58"/>
  <c r="B38" i="58"/>
  <c r="B39" i="58"/>
  <c r="B40" i="58"/>
  <c r="B41" i="58"/>
  <c r="B42" i="58"/>
  <c r="B43" i="58"/>
  <c r="B44" i="58"/>
  <c r="B45" i="58"/>
  <c r="B46" i="58"/>
  <c r="B47" i="58"/>
  <c r="B48" i="58"/>
  <c r="B49" i="58"/>
  <c r="M25" i="58"/>
  <c r="N25" i="58"/>
  <c r="M24" i="58"/>
  <c r="H59" i="60"/>
  <c r="I59" i="60"/>
  <c r="J59" i="60"/>
  <c r="C59" i="60"/>
  <c r="B59" i="60"/>
  <c r="K11" i="57"/>
  <c r="K12" i="57"/>
  <c r="K13" i="57"/>
  <c r="K14" i="57"/>
  <c r="K15" i="57"/>
  <c r="K16" i="57"/>
  <c r="K17" i="57"/>
  <c r="K18" i="57"/>
  <c r="K19" i="57"/>
  <c r="K20" i="57"/>
  <c r="K21" i="57"/>
  <c r="K22" i="57"/>
  <c r="K23" i="57"/>
  <c r="K24" i="57"/>
  <c r="B28" i="57"/>
  <c r="B29" i="57"/>
  <c r="B30" i="57"/>
  <c r="B31" i="57"/>
  <c r="B32" i="57"/>
  <c r="B33" i="57"/>
  <c r="B34" i="57"/>
  <c r="B35" i="57"/>
  <c r="B36" i="57"/>
  <c r="B37" i="57"/>
  <c r="B38" i="57"/>
  <c r="B39" i="57"/>
  <c r="B40" i="57"/>
  <c r="B41" i="57"/>
  <c r="B42" i="57"/>
  <c r="B43" i="57"/>
  <c r="B44" i="57"/>
  <c r="B45" i="57"/>
  <c r="B46" i="57"/>
  <c r="B47" i="57"/>
  <c r="B48" i="57"/>
  <c r="B49" i="57"/>
  <c r="M25" i="57"/>
  <c r="N25" i="57"/>
  <c r="M24" i="57"/>
  <c r="H58" i="60"/>
  <c r="I58" i="60"/>
  <c r="J58" i="60"/>
  <c r="C58" i="60"/>
  <c r="B58" i="60"/>
  <c r="K11" i="56"/>
  <c r="K12" i="56"/>
  <c r="K13" i="56"/>
  <c r="K14" i="56"/>
  <c r="K15" i="56"/>
  <c r="K25" i="56" s="1"/>
  <c r="K52" i="56" s="1"/>
  <c r="K16" i="56"/>
  <c r="K17" i="56"/>
  <c r="K18" i="56"/>
  <c r="K19" i="56"/>
  <c r="K20" i="56"/>
  <c r="K21" i="56"/>
  <c r="K22" i="56"/>
  <c r="K23" i="56"/>
  <c r="K24" i="56"/>
  <c r="B28" i="56"/>
  <c r="B29" i="56"/>
  <c r="B30" i="56"/>
  <c r="B31" i="56"/>
  <c r="B32" i="56"/>
  <c r="B33" i="56"/>
  <c r="B34" i="56"/>
  <c r="B35" i="56"/>
  <c r="B36" i="56"/>
  <c r="B37" i="56"/>
  <c r="B38" i="56"/>
  <c r="B39" i="56"/>
  <c r="B40" i="56"/>
  <c r="B41" i="56"/>
  <c r="B42" i="56"/>
  <c r="B43" i="56"/>
  <c r="B44" i="56"/>
  <c r="B45" i="56"/>
  <c r="B46" i="56"/>
  <c r="B47" i="56"/>
  <c r="B48" i="56"/>
  <c r="B49" i="56"/>
  <c r="M25" i="56"/>
  <c r="N25" i="56"/>
  <c r="M24" i="56"/>
  <c r="O25" i="56" s="1"/>
  <c r="K54" i="56" s="1"/>
  <c r="G57" i="60" s="1"/>
  <c r="H57" i="60"/>
  <c r="I57" i="60"/>
  <c r="J57" i="60"/>
  <c r="C57" i="60"/>
  <c r="B57" i="60"/>
  <c r="K11" i="55"/>
  <c r="K12" i="55"/>
  <c r="K13" i="55"/>
  <c r="K14" i="55"/>
  <c r="K15" i="55"/>
  <c r="K16" i="55"/>
  <c r="K17" i="55"/>
  <c r="K18" i="55"/>
  <c r="K19" i="55"/>
  <c r="K20" i="55"/>
  <c r="K21" i="55"/>
  <c r="K22" i="55"/>
  <c r="K23" i="55"/>
  <c r="K24" i="55"/>
  <c r="B28" i="55"/>
  <c r="B29" i="55"/>
  <c r="B30" i="55"/>
  <c r="B31" i="55"/>
  <c r="B32" i="55"/>
  <c r="B33" i="55"/>
  <c r="B34" i="55"/>
  <c r="B35" i="55"/>
  <c r="B36" i="55"/>
  <c r="B37" i="55"/>
  <c r="B38" i="55"/>
  <c r="B39" i="55"/>
  <c r="B40" i="55"/>
  <c r="B41" i="55"/>
  <c r="B42" i="55"/>
  <c r="B43" i="55"/>
  <c r="B44" i="55"/>
  <c r="B45" i="55"/>
  <c r="B46" i="55"/>
  <c r="B47" i="55"/>
  <c r="B48" i="55"/>
  <c r="B49" i="55"/>
  <c r="M25" i="55"/>
  <c r="N25" i="55"/>
  <c r="M24" i="55"/>
  <c r="H56" i="60"/>
  <c r="I56" i="60"/>
  <c r="J56" i="60"/>
  <c r="C56" i="60"/>
  <c r="B56" i="60"/>
  <c r="K11" i="54"/>
  <c r="K12" i="54"/>
  <c r="K13" i="54"/>
  <c r="K14" i="54"/>
  <c r="K15" i="54"/>
  <c r="K16" i="54"/>
  <c r="K17" i="54"/>
  <c r="K18" i="54"/>
  <c r="K19" i="54"/>
  <c r="K20" i="54"/>
  <c r="K21" i="54"/>
  <c r="K22" i="54"/>
  <c r="K23" i="54"/>
  <c r="K24" i="54"/>
  <c r="K25" i="54"/>
  <c r="M26" i="54"/>
  <c r="N26" i="54"/>
  <c r="O26" i="54" s="1"/>
  <c r="K47" i="54" s="1"/>
  <c r="G55" i="60" s="1"/>
  <c r="M25" i="54"/>
  <c r="H55" i="60"/>
  <c r="I55" i="60"/>
  <c r="J55" i="60"/>
  <c r="C55" i="60"/>
  <c r="B55" i="60"/>
  <c r="K11" i="53"/>
  <c r="K12" i="53"/>
  <c r="K13" i="53"/>
  <c r="K14" i="53"/>
  <c r="K15" i="53"/>
  <c r="K16" i="53"/>
  <c r="K17" i="53"/>
  <c r="K18" i="53"/>
  <c r="K19" i="53"/>
  <c r="K20" i="53"/>
  <c r="K21" i="53"/>
  <c r="K22" i="53"/>
  <c r="K23" i="53"/>
  <c r="K24" i="53"/>
  <c r="K25" i="53"/>
  <c r="B29" i="53"/>
  <c r="B30" i="53"/>
  <c r="B31" i="53"/>
  <c r="B32" i="53"/>
  <c r="B33" i="53"/>
  <c r="B34" i="53"/>
  <c r="B35" i="53"/>
  <c r="B36" i="53"/>
  <c r="B37" i="53"/>
  <c r="B38" i="53"/>
  <c r="B39" i="53"/>
  <c r="B40" i="53"/>
  <c r="B41" i="53"/>
  <c r="B42" i="53"/>
  <c r="M26" i="53"/>
  <c r="N26" i="53"/>
  <c r="M25" i="53"/>
  <c r="H54" i="60"/>
  <c r="I54" i="60"/>
  <c r="J54" i="60"/>
  <c r="C54" i="60"/>
  <c r="B54" i="60"/>
  <c r="K11" i="52"/>
  <c r="K12" i="52"/>
  <c r="K13" i="52"/>
  <c r="K14" i="52"/>
  <c r="K15" i="52"/>
  <c r="K16" i="52"/>
  <c r="K17" i="52"/>
  <c r="K18" i="52"/>
  <c r="K19" i="52"/>
  <c r="K20" i="52"/>
  <c r="K21" i="52"/>
  <c r="K22" i="52"/>
  <c r="K23" i="52"/>
  <c r="K24" i="52"/>
  <c r="K25" i="52"/>
  <c r="B29" i="52"/>
  <c r="B30" i="52"/>
  <c r="B31" i="52"/>
  <c r="B32" i="52"/>
  <c r="B33" i="52"/>
  <c r="B34" i="52"/>
  <c r="B35" i="52"/>
  <c r="B36" i="52"/>
  <c r="B37" i="52"/>
  <c r="B38" i="52"/>
  <c r="B39" i="52"/>
  <c r="B40" i="52"/>
  <c r="B41" i="52"/>
  <c r="B42" i="52"/>
  <c r="M26" i="52"/>
  <c r="N26" i="52"/>
  <c r="M25" i="52"/>
  <c r="H53" i="60"/>
  <c r="I53" i="60"/>
  <c r="J53" i="60"/>
  <c r="C53" i="60"/>
  <c r="B53" i="60"/>
  <c r="K11" i="51"/>
  <c r="K12" i="51"/>
  <c r="K26" i="51" s="1"/>
  <c r="K45" i="51" s="1"/>
  <c r="K13" i="51"/>
  <c r="K14" i="51"/>
  <c r="K15" i="51"/>
  <c r="K16" i="51"/>
  <c r="K17" i="51"/>
  <c r="K18" i="51"/>
  <c r="K19" i="51"/>
  <c r="K20" i="51"/>
  <c r="K21" i="51"/>
  <c r="K22" i="51"/>
  <c r="K23" i="51"/>
  <c r="K24" i="51"/>
  <c r="K25" i="51"/>
  <c r="B29" i="51"/>
  <c r="B30" i="51"/>
  <c r="B31" i="51"/>
  <c r="B32" i="51"/>
  <c r="B33" i="51"/>
  <c r="B34" i="51"/>
  <c r="B35" i="51"/>
  <c r="B36" i="51"/>
  <c r="B37" i="51"/>
  <c r="B38" i="51"/>
  <c r="B39" i="51"/>
  <c r="B40" i="51"/>
  <c r="B41" i="51"/>
  <c r="B42" i="51"/>
  <c r="M26" i="51"/>
  <c r="N26" i="51"/>
  <c r="O26" i="51" s="1"/>
  <c r="K47" i="51" s="1"/>
  <c r="G52" i="60" s="1"/>
  <c r="M25" i="51"/>
  <c r="H52" i="60"/>
  <c r="I52" i="60"/>
  <c r="J52" i="60"/>
  <c r="C52" i="60"/>
  <c r="B52" i="60"/>
  <c r="K11" i="50"/>
  <c r="K12" i="50"/>
  <c r="K13" i="50"/>
  <c r="K14" i="50"/>
  <c r="K15" i="50"/>
  <c r="K16" i="50"/>
  <c r="K17" i="50"/>
  <c r="K18" i="50"/>
  <c r="K19" i="50"/>
  <c r="K20" i="50"/>
  <c r="K21" i="50"/>
  <c r="K22" i="50"/>
  <c r="K23" i="50"/>
  <c r="K24" i="50"/>
  <c r="K25" i="50"/>
  <c r="B29" i="50"/>
  <c r="B30" i="50"/>
  <c r="B31" i="50"/>
  <c r="B32" i="50"/>
  <c r="B33" i="50"/>
  <c r="B34" i="50"/>
  <c r="B35" i="50"/>
  <c r="B36" i="50"/>
  <c r="B37" i="50"/>
  <c r="B38" i="50"/>
  <c r="B39" i="50"/>
  <c r="B40" i="50"/>
  <c r="B41" i="50"/>
  <c r="B42" i="50"/>
  <c r="M26" i="50"/>
  <c r="N26" i="50"/>
  <c r="M25" i="50"/>
  <c r="O26" i="50"/>
  <c r="H51" i="60"/>
  <c r="I51" i="60"/>
  <c r="J51" i="60"/>
  <c r="C51" i="60"/>
  <c r="B51" i="60"/>
  <c r="K11" i="49"/>
  <c r="K12" i="49"/>
  <c r="K13" i="49"/>
  <c r="K14" i="49"/>
  <c r="K15" i="49"/>
  <c r="K16" i="49"/>
  <c r="K17" i="49"/>
  <c r="K18" i="49"/>
  <c r="K19" i="49"/>
  <c r="K20" i="49"/>
  <c r="K21" i="49"/>
  <c r="K26" i="49" s="1"/>
  <c r="K45" i="49" s="1"/>
  <c r="K22" i="49"/>
  <c r="K23" i="49"/>
  <c r="K24" i="49"/>
  <c r="K25" i="49"/>
  <c r="B29" i="49"/>
  <c r="B30" i="49"/>
  <c r="B31" i="49"/>
  <c r="B32" i="49"/>
  <c r="B33" i="49"/>
  <c r="B34" i="49"/>
  <c r="B35" i="49"/>
  <c r="B36" i="49"/>
  <c r="B37" i="49"/>
  <c r="B38" i="49"/>
  <c r="B39" i="49"/>
  <c r="B40" i="49"/>
  <c r="B41" i="49"/>
  <c r="B42" i="49"/>
  <c r="M26" i="49"/>
  <c r="N26" i="49"/>
  <c r="M25" i="49"/>
  <c r="H50" i="60"/>
  <c r="I50" i="60"/>
  <c r="J50" i="60"/>
  <c r="C50" i="60"/>
  <c r="B50" i="60"/>
  <c r="K11" i="48"/>
  <c r="K12" i="48"/>
  <c r="K13" i="48"/>
  <c r="K14" i="48"/>
  <c r="K15" i="48"/>
  <c r="K16" i="48"/>
  <c r="K17" i="48"/>
  <c r="K18" i="48"/>
  <c r="K19" i="48"/>
  <c r="K20" i="48"/>
  <c r="K21" i="48"/>
  <c r="K22" i="48"/>
  <c r="K23" i="48"/>
  <c r="K24" i="48"/>
  <c r="K25" i="48"/>
  <c r="B29" i="48"/>
  <c r="B30" i="48"/>
  <c r="B31" i="48"/>
  <c r="B32" i="48"/>
  <c r="B33" i="48"/>
  <c r="B34" i="48"/>
  <c r="B35" i="48"/>
  <c r="B36" i="48"/>
  <c r="B37" i="48"/>
  <c r="B38" i="48"/>
  <c r="B39" i="48"/>
  <c r="B40" i="48"/>
  <c r="B41" i="48"/>
  <c r="B42" i="48"/>
  <c r="M26" i="48"/>
  <c r="O26" i="48" s="1"/>
  <c r="K47" i="48" s="1"/>
  <c r="G49" i="60" s="1"/>
  <c r="N26" i="48"/>
  <c r="M25" i="48"/>
  <c r="H49" i="60"/>
  <c r="I49" i="60"/>
  <c r="J49" i="60"/>
  <c r="C49" i="60"/>
  <c r="B49" i="60"/>
  <c r="K11" i="47"/>
  <c r="K12" i="47"/>
  <c r="K13" i="47"/>
  <c r="K14" i="47"/>
  <c r="K15" i="47"/>
  <c r="K16" i="47"/>
  <c r="K17" i="47"/>
  <c r="K18" i="47"/>
  <c r="K19" i="47"/>
  <c r="K20" i="47"/>
  <c r="K21" i="47"/>
  <c r="K22" i="47"/>
  <c r="K23" i="47"/>
  <c r="K24" i="47"/>
  <c r="K25" i="47"/>
  <c r="K26" i="47"/>
  <c r="K27" i="47"/>
  <c r="K28" i="47"/>
  <c r="K29" i="47"/>
  <c r="K30" i="47"/>
  <c r="K31" i="47"/>
  <c r="K32" i="47"/>
  <c r="K33" i="47"/>
  <c r="K34" i="47"/>
  <c r="K35" i="47"/>
  <c r="K36" i="47"/>
  <c r="B40" i="47"/>
  <c r="B41" i="47"/>
  <c r="B42" i="47"/>
  <c r="B43" i="47"/>
  <c r="B44" i="47"/>
  <c r="B45" i="47"/>
  <c r="B46" i="47"/>
  <c r="B47" i="47"/>
  <c r="B48" i="47"/>
  <c r="B49" i="47"/>
  <c r="B50" i="47"/>
  <c r="B51" i="47"/>
  <c r="B52" i="47"/>
  <c r="B53" i="47"/>
  <c r="B54" i="47"/>
  <c r="B55" i="47"/>
  <c r="B56" i="47"/>
  <c r="B57" i="47"/>
  <c r="B58" i="47"/>
  <c r="B59" i="47"/>
  <c r="B60" i="47"/>
  <c r="B61" i="47"/>
  <c r="M37" i="47"/>
  <c r="N37" i="47"/>
  <c r="M36" i="47"/>
  <c r="H48" i="60"/>
  <c r="I48" i="60"/>
  <c r="J48" i="60"/>
  <c r="C48" i="60"/>
  <c r="B48" i="60"/>
  <c r="K11" i="46"/>
  <c r="K12" i="46"/>
  <c r="K13" i="46"/>
  <c r="K14" i="46"/>
  <c r="K15" i="46"/>
  <c r="K16" i="46"/>
  <c r="K17" i="46"/>
  <c r="K18" i="46"/>
  <c r="K19" i="46"/>
  <c r="K20" i="46"/>
  <c r="K21" i="46"/>
  <c r="K22" i="46"/>
  <c r="K23" i="46"/>
  <c r="K24" i="46"/>
  <c r="K25" i="46"/>
  <c r="B29" i="46"/>
  <c r="B30" i="46"/>
  <c r="B31" i="46"/>
  <c r="B32" i="46"/>
  <c r="B33" i="46"/>
  <c r="B34" i="46"/>
  <c r="B35" i="46"/>
  <c r="B36" i="46"/>
  <c r="B37" i="46"/>
  <c r="B38" i="46"/>
  <c r="B39" i="46"/>
  <c r="B40" i="46"/>
  <c r="B41" i="46"/>
  <c r="B42" i="46"/>
  <c r="B43" i="46"/>
  <c r="B44" i="46"/>
  <c r="B45" i="46"/>
  <c r="B46" i="46"/>
  <c r="B47" i="46"/>
  <c r="B48" i="46"/>
  <c r="B49" i="46"/>
  <c r="B50" i="46"/>
  <c r="B51" i="46"/>
  <c r="B52" i="46"/>
  <c r="B53" i="46"/>
  <c r="B54" i="46"/>
  <c r="B55" i="46"/>
  <c r="B56" i="46"/>
  <c r="B57" i="46"/>
  <c r="B58" i="46"/>
  <c r="B59" i="46"/>
  <c r="B60" i="46"/>
  <c r="B61" i="46"/>
  <c r="B62" i="46"/>
  <c r="B63" i="46"/>
  <c r="B64" i="46"/>
  <c r="B65" i="46"/>
  <c r="B66" i="46"/>
  <c r="B67" i="46"/>
  <c r="B68" i="46"/>
  <c r="B69" i="46"/>
  <c r="B70" i="46"/>
  <c r="B71" i="46"/>
  <c r="B72" i="46"/>
  <c r="B73" i="46"/>
  <c r="B74" i="46"/>
  <c r="M26" i="46"/>
  <c r="O26" i="46" s="1"/>
  <c r="K79" i="46" s="1"/>
  <c r="G47" i="60" s="1"/>
  <c r="N26" i="46"/>
  <c r="M25" i="46"/>
  <c r="H47" i="60"/>
  <c r="I47" i="60"/>
  <c r="J47" i="60"/>
  <c r="C47" i="60"/>
  <c r="B47" i="60"/>
  <c r="K11" i="45"/>
  <c r="K12" i="45"/>
  <c r="K13" i="45"/>
  <c r="K14" i="45"/>
  <c r="K15" i="45"/>
  <c r="K16" i="45"/>
  <c r="K26" i="45" s="1"/>
  <c r="K91" i="45" s="1"/>
  <c r="E46" i="60" s="1"/>
  <c r="K17" i="45"/>
  <c r="K18" i="45"/>
  <c r="K19" i="45"/>
  <c r="K20" i="45"/>
  <c r="K21" i="45"/>
  <c r="K22" i="45"/>
  <c r="K23" i="45"/>
  <c r="K24" i="45"/>
  <c r="K25" i="45"/>
  <c r="B29" i="45"/>
  <c r="B30" i="45"/>
  <c r="B31" i="45"/>
  <c r="B32" i="45"/>
  <c r="B33" i="45"/>
  <c r="B34" i="45"/>
  <c r="B35" i="45"/>
  <c r="B36" i="45"/>
  <c r="B37" i="45"/>
  <c r="B38" i="45"/>
  <c r="B39" i="45"/>
  <c r="B40" i="45"/>
  <c r="B41" i="45"/>
  <c r="B42" i="45"/>
  <c r="B43" i="45"/>
  <c r="B44" i="45"/>
  <c r="B45" i="45"/>
  <c r="B46" i="45"/>
  <c r="B47" i="45"/>
  <c r="B48" i="45"/>
  <c r="B49" i="45"/>
  <c r="B50" i="45"/>
  <c r="B51" i="45"/>
  <c r="B52" i="45"/>
  <c r="B53" i="45"/>
  <c r="B54" i="45"/>
  <c r="B55" i="45"/>
  <c r="B56" i="45"/>
  <c r="B57" i="45"/>
  <c r="B58" i="45"/>
  <c r="B59" i="45"/>
  <c r="B60" i="45"/>
  <c r="B61" i="45"/>
  <c r="B62" i="45"/>
  <c r="B63" i="45"/>
  <c r="B64" i="45"/>
  <c r="B65" i="45"/>
  <c r="B66" i="45"/>
  <c r="B67" i="45"/>
  <c r="B68" i="45"/>
  <c r="B69" i="45"/>
  <c r="B70" i="45"/>
  <c r="B71" i="45"/>
  <c r="B72" i="45"/>
  <c r="B73" i="45"/>
  <c r="B74" i="45"/>
  <c r="B75" i="45"/>
  <c r="B76" i="45"/>
  <c r="B77" i="45"/>
  <c r="B78" i="45"/>
  <c r="B79" i="45"/>
  <c r="B80" i="45"/>
  <c r="B81" i="45"/>
  <c r="B82" i="45"/>
  <c r="B83" i="45"/>
  <c r="B84" i="45"/>
  <c r="B85" i="45"/>
  <c r="B86" i="45"/>
  <c r="B87" i="45"/>
  <c r="B88" i="45"/>
  <c r="M26" i="45"/>
  <c r="O26" i="45" s="1"/>
  <c r="K93" i="45" s="1"/>
  <c r="G46" i="60" s="1"/>
  <c r="N26" i="45"/>
  <c r="M25" i="45"/>
  <c r="H46" i="60"/>
  <c r="I46" i="60"/>
  <c r="J46" i="60"/>
  <c r="C46" i="60"/>
  <c r="B46" i="60"/>
  <c r="K11" i="43"/>
  <c r="K12" i="43"/>
  <c r="K13" i="43"/>
  <c r="K14" i="43"/>
  <c r="K15" i="43"/>
  <c r="K16" i="43"/>
  <c r="K17" i="43"/>
  <c r="K26" i="43" s="1"/>
  <c r="K45" i="43" s="1"/>
  <c r="E45" i="60" s="1"/>
  <c r="K18" i="43"/>
  <c r="K19" i="43"/>
  <c r="K20" i="43"/>
  <c r="K21" i="43"/>
  <c r="K22" i="43"/>
  <c r="K23" i="43"/>
  <c r="K24" i="43"/>
  <c r="K25" i="43"/>
  <c r="B29" i="43"/>
  <c r="B30" i="43"/>
  <c r="B31" i="43"/>
  <c r="B32" i="43"/>
  <c r="B33" i="43"/>
  <c r="B34" i="43"/>
  <c r="B35" i="43"/>
  <c r="B36" i="43"/>
  <c r="B37" i="43"/>
  <c r="B38" i="43"/>
  <c r="B39" i="43"/>
  <c r="B40" i="43"/>
  <c r="B41" i="43"/>
  <c r="B42" i="43"/>
  <c r="M26" i="43"/>
  <c r="N26" i="43"/>
  <c r="M25" i="43"/>
  <c r="H45" i="60"/>
  <c r="I45" i="60"/>
  <c r="J45" i="60"/>
  <c r="C45" i="60"/>
  <c r="B45" i="60"/>
  <c r="B11" i="18"/>
  <c r="B13" i="18"/>
  <c r="B14" i="18"/>
  <c r="E14" i="18" s="1"/>
  <c r="B15" i="18"/>
  <c r="B16" i="18"/>
  <c r="G16" i="18" s="1"/>
  <c r="B17" i="18"/>
  <c r="I17" i="18"/>
  <c r="B18" i="18"/>
  <c r="G18" i="18" s="1"/>
  <c r="B19" i="18"/>
  <c r="E19" i="18" s="1"/>
  <c r="B20" i="18"/>
  <c r="J20" i="18"/>
  <c r="B21" i="18"/>
  <c r="E21" i="18"/>
  <c r="B22" i="18"/>
  <c r="J22" i="18" s="1"/>
  <c r="B23" i="18"/>
  <c r="I23" i="18" s="1"/>
  <c r="B24" i="18"/>
  <c r="J24" i="18"/>
  <c r="B25" i="18"/>
  <c r="I25" i="18" s="1"/>
  <c r="B26" i="18"/>
  <c r="J26" i="18" s="1"/>
  <c r="B27" i="18"/>
  <c r="E27" i="18"/>
  <c r="B28" i="18"/>
  <c r="J28" i="18"/>
  <c r="B29" i="18"/>
  <c r="E29" i="18" s="1"/>
  <c r="B30" i="18"/>
  <c r="J30" i="18" s="1"/>
  <c r="B31" i="18"/>
  <c r="I31" i="18"/>
  <c r="B32" i="18"/>
  <c r="G32" i="18" s="1"/>
  <c r="B33" i="18"/>
  <c r="I33" i="18" s="1"/>
  <c r="M42" i="18"/>
  <c r="N42" i="18"/>
  <c r="M41" i="18"/>
  <c r="H44" i="60"/>
  <c r="I44" i="60"/>
  <c r="J44" i="60"/>
  <c r="C44" i="60"/>
  <c r="B44" i="60"/>
  <c r="M48" i="24"/>
  <c r="N48" i="24"/>
  <c r="M47" i="24"/>
  <c r="O48" i="24" s="1"/>
  <c r="K75" i="24" s="1"/>
  <c r="G22" i="60" s="1"/>
  <c r="H22" i="60"/>
  <c r="I22" i="60"/>
  <c r="J22" i="60"/>
  <c r="C22" i="60"/>
  <c r="B22" i="60"/>
  <c r="C26" i="60"/>
  <c r="M39" i="42"/>
  <c r="N39" i="42"/>
  <c r="M38" i="42"/>
  <c r="H28" i="60"/>
  <c r="I28" i="60"/>
  <c r="J28" i="60"/>
  <c r="C28" i="60"/>
  <c r="B28" i="60"/>
  <c r="C36" i="60"/>
  <c r="B36" i="60"/>
  <c r="C35" i="60"/>
  <c r="C27" i="60"/>
  <c r="B27" i="60"/>
  <c r="C37" i="60"/>
  <c r="B37" i="60"/>
  <c r="C29" i="60"/>
  <c r="B29" i="60"/>
  <c r="C17" i="60"/>
  <c r="B17" i="60"/>
  <c r="C13" i="60"/>
  <c r="B13" i="60"/>
  <c r="C10" i="60"/>
  <c r="C25" i="60"/>
  <c r="B25" i="60"/>
  <c r="C12" i="60"/>
  <c r="B12" i="60"/>
  <c r="C19" i="60"/>
  <c r="B19" i="60"/>
  <c r="C11" i="60"/>
  <c r="B11" i="60"/>
  <c r="C41" i="60"/>
  <c r="B41" i="60"/>
  <c r="C15" i="60"/>
  <c r="C40" i="60"/>
  <c r="B40" i="60"/>
  <c r="C39" i="60"/>
  <c r="B39" i="60"/>
  <c r="C16" i="60"/>
  <c r="B16" i="60"/>
  <c r="C23" i="60"/>
  <c r="B23" i="60"/>
  <c r="C32" i="60"/>
  <c r="B32" i="60"/>
  <c r="C30" i="60"/>
  <c r="B30" i="60"/>
  <c r="C31" i="60"/>
  <c r="B31" i="60"/>
  <c r="C24" i="60"/>
  <c r="B24" i="60"/>
  <c r="C20" i="60"/>
  <c r="B20" i="60"/>
  <c r="C34" i="60"/>
  <c r="B34" i="60"/>
  <c r="C14" i="60"/>
  <c r="B14" i="60"/>
  <c r="C38" i="60"/>
  <c r="C43" i="60"/>
  <c r="B43" i="60"/>
  <c r="C33" i="60"/>
  <c r="B33" i="60"/>
  <c r="C21" i="60"/>
  <c r="B21" i="60"/>
  <c r="AC3" i="40"/>
  <c r="X3" i="40"/>
  <c r="Q3" i="40"/>
  <c r="P3" i="40"/>
  <c r="E302" i="5"/>
  <c r="F302" i="5"/>
  <c r="G302" i="5" s="1"/>
  <c r="E301" i="5"/>
  <c r="F301" i="5" s="1"/>
  <c r="E300" i="5"/>
  <c r="F300" i="5" s="1"/>
  <c r="E299" i="5"/>
  <c r="F299" i="5"/>
  <c r="E298" i="5"/>
  <c r="F298" i="5" s="1"/>
  <c r="F297" i="5"/>
  <c r="G297" i="5"/>
  <c r="H297" i="5"/>
  <c r="F296" i="5"/>
  <c r="H296" i="5"/>
  <c r="F295" i="5"/>
  <c r="H295" i="5" s="1"/>
  <c r="F294" i="5"/>
  <c r="H294" i="5" s="1"/>
  <c r="F293" i="5"/>
  <c r="H293" i="5"/>
  <c r="F292" i="5"/>
  <c r="H292" i="5" s="1"/>
  <c r="F291" i="5"/>
  <c r="H291" i="5" s="1"/>
  <c r="F290" i="5"/>
  <c r="G290" i="5"/>
  <c r="F289" i="5"/>
  <c r="G289" i="5" s="1"/>
  <c r="I289" i="5"/>
  <c r="H289" i="5"/>
  <c r="E288" i="5"/>
  <c r="F288" i="5" s="1"/>
  <c r="E287" i="5"/>
  <c r="F287" i="5"/>
  <c r="G287" i="5" s="1"/>
  <c r="E286" i="5"/>
  <c r="F286" i="5" s="1"/>
  <c r="E285" i="5"/>
  <c r="F285" i="5" s="1"/>
  <c r="E284" i="5"/>
  <c r="F284" i="5" s="1"/>
  <c r="E283" i="5"/>
  <c r="F283" i="5" s="1"/>
  <c r="G283" i="5" s="1"/>
  <c r="E282" i="5"/>
  <c r="F282" i="5" s="1"/>
  <c r="G282" i="5" s="1"/>
  <c r="E281" i="5"/>
  <c r="F281" i="5"/>
  <c r="G281" i="5"/>
  <c r="E280" i="5"/>
  <c r="F280" i="5"/>
  <c r="H280" i="5" s="1"/>
  <c r="E279" i="5"/>
  <c r="F279" i="5"/>
  <c r="H279" i="5" s="1"/>
  <c r="E278" i="5"/>
  <c r="F278" i="5"/>
  <c r="E276" i="5"/>
  <c r="F276" i="5" s="1"/>
  <c r="A18" i="5"/>
  <c r="A21" i="5"/>
  <c r="A22" i="5"/>
  <c r="A24" i="5" s="1"/>
  <c r="A25" i="5" s="1"/>
  <c r="A26" i="5" s="1"/>
  <c r="A27" i="5" s="1"/>
  <c r="A28" i="5" s="1"/>
  <c r="A29" i="5" s="1"/>
  <c r="A30" i="5" s="1"/>
  <c r="A31" i="5" s="1"/>
  <c r="A32" i="5" s="1"/>
  <c r="A33" i="5" s="1"/>
  <c r="A34" i="5" s="1"/>
  <c r="A35" i="5" s="1"/>
  <c r="A36" i="5" s="1"/>
  <c r="A37" i="5" s="1"/>
  <c r="A38" i="5" s="1"/>
  <c r="A40" i="5" s="1"/>
  <c r="A42" i="5" s="1"/>
  <c r="A43" i="5" s="1"/>
  <c r="A44" i="5" s="1"/>
  <c r="A45" i="5" s="1"/>
  <c r="A48" i="5" s="1"/>
  <c r="A49" i="5" s="1"/>
  <c r="A50" i="5" s="1"/>
  <c r="A51" i="5" s="1"/>
  <c r="A52" i="5" s="1"/>
  <c r="A53" i="5" s="1"/>
  <c r="A55" i="5" s="1"/>
  <c r="A56" i="5" s="1"/>
  <c r="A57" i="5" s="1"/>
  <c r="A58" i="5" s="1"/>
  <c r="A59" i="5" s="1"/>
  <c r="A60" i="5" s="1"/>
  <c r="A61" i="5" s="1"/>
  <c r="A62" i="5" s="1"/>
  <c r="A63" i="5" s="1"/>
  <c r="A64" i="5" s="1"/>
  <c r="A65" i="5" s="1"/>
  <c r="A66" i="5" s="1"/>
  <c r="A67" i="5" s="1"/>
  <c r="A68" i="5" s="1"/>
  <c r="A69" i="5" s="1"/>
  <c r="A70" i="5" s="1"/>
  <c r="A71" i="5" s="1"/>
  <c r="A72" i="5" s="1"/>
  <c r="A75" i="5" s="1"/>
  <c r="A76" i="5" s="1"/>
  <c r="A77" i="5" s="1"/>
  <c r="A78" i="5" s="1"/>
  <c r="A79" i="5" s="1"/>
  <c r="A80" i="5" s="1"/>
  <c r="A81" i="5" s="1"/>
  <c r="A82" i="5" s="1"/>
  <c r="A83" i="5" s="1"/>
  <c r="A84" i="5" s="1"/>
  <c r="A85" i="5" s="1"/>
  <c r="A86" i="5" s="1"/>
  <c r="A87" i="5" s="1"/>
  <c r="A88" i="5" s="1"/>
  <c r="A89" i="5" s="1"/>
  <c r="A90" i="5" s="1"/>
  <c r="A91" i="5" s="1"/>
  <c r="A92" i="5" s="1"/>
  <c r="A93" i="5" s="1"/>
  <c r="A94" i="5" s="1"/>
  <c r="A95" i="5" s="1"/>
  <c r="A96" i="5" s="1"/>
  <c r="A97" i="5" s="1"/>
  <c r="A98" i="5" s="1"/>
  <c r="A99" i="5" s="1"/>
  <c r="A100" i="5" s="1"/>
  <c r="A101" i="5" s="1"/>
  <c r="A102" i="5" s="1"/>
  <c r="A103" i="5" s="1"/>
  <c r="A104" i="5" s="1"/>
  <c r="A105" i="5" s="1"/>
  <c r="A106" i="5" s="1"/>
  <c r="A107" i="5" s="1"/>
  <c r="A108" i="5" s="1"/>
  <c r="A109" i="5" s="1"/>
  <c r="A110" i="5" s="1"/>
  <c r="A111" i="5" s="1"/>
  <c r="A112" i="5" s="1"/>
  <c r="A113" i="5" s="1"/>
  <c r="A114" i="5" s="1"/>
  <c r="A116" i="5" s="1"/>
  <c r="A117" i="5" s="1"/>
  <c r="A118" i="5" s="1"/>
  <c r="A119" i="5" s="1"/>
  <c r="A120" i="5" s="1"/>
  <c r="A125" i="5" s="1"/>
  <c r="A126" i="5" s="1"/>
  <c r="A127" i="5" s="1"/>
  <c r="A128" i="5" s="1"/>
  <c r="A129" i="5" s="1"/>
  <c r="A130" i="5" s="1"/>
  <c r="A131" i="5" s="1"/>
  <c r="A132" i="5" s="1"/>
  <c r="A133" i="5" s="1"/>
  <c r="A134" i="5" s="1"/>
  <c r="A135" i="5" s="1"/>
  <c r="A136" i="5" s="1"/>
  <c r="A137" i="5" s="1"/>
  <c r="A138" i="5" s="1"/>
  <c r="A139" i="5" s="1"/>
  <c r="A140" i="5" s="1"/>
  <c r="A141" i="5" s="1"/>
  <c r="A142" i="5" s="1"/>
  <c r="A143" i="5" s="1"/>
  <c r="A144" i="5" s="1"/>
  <c r="A145" i="5" s="1"/>
  <c r="A146" i="5" s="1"/>
  <c r="A147" i="5" s="1"/>
  <c r="A148" i="5" s="1"/>
  <c r="A149" i="5" s="1"/>
  <c r="A150" i="5" s="1"/>
  <c r="A151" i="5" s="1"/>
  <c r="A152" i="5" s="1"/>
  <c r="A153" i="5" s="1"/>
  <c r="A154" i="5" s="1"/>
  <c r="A155" i="5" s="1"/>
  <c r="A156" i="5" s="1"/>
  <c r="A157" i="5" s="1"/>
  <c r="A158" i="5" s="1"/>
  <c r="A159" i="5" s="1"/>
  <c r="A160" i="5" s="1"/>
  <c r="A161" i="5" s="1"/>
  <c r="A164" i="5" s="1"/>
  <c r="A165" i="5" s="1"/>
  <c r="A166" i="5" s="1"/>
  <c r="A167" i="5" s="1"/>
  <c r="A168" i="5" s="1"/>
  <c r="A172" i="5" s="1"/>
  <c r="A173" i="5" s="1"/>
  <c r="A175" i="5" s="1"/>
  <c r="A177" i="5" s="1"/>
  <c r="A178" i="5" s="1"/>
  <c r="A180" i="5" s="1"/>
  <c r="A182" i="5" s="1"/>
  <c r="A183" i="5" s="1"/>
  <c r="A184" i="5" s="1"/>
  <c r="A185" i="5" s="1"/>
  <c r="A186" i="5" s="1"/>
  <c r="A187" i="5" s="1"/>
  <c r="A188" i="5" s="1"/>
  <c r="A189" i="5" s="1"/>
  <c r="A190" i="5" s="1"/>
  <c r="A191" i="5" s="1"/>
  <c r="A193" i="5" s="1"/>
  <c r="A194" i="5" s="1"/>
  <c r="A196" i="5" s="1"/>
  <c r="A197" i="5" s="1"/>
  <c r="A198" i="5" s="1"/>
  <c r="A199" i="5" s="1"/>
  <c r="A200" i="5" s="1"/>
  <c r="A201" i="5" s="1"/>
  <c r="A203" i="5" s="1"/>
  <c r="A204" i="5" s="1"/>
  <c r="A205" i="5" s="1"/>
  <c r="A207" i="5" s="1"/>
  <c r="A208" i="5" s="1"/>
  <c r="A209" i="5" s="1"/>
  <c r="A210" i="5" s="1"/>
  <c r="A211" i="5" s="1"/>
  <c r="A212" i="5" s="1"/>
  <c r="A213" i="5" s="1"/>
  <c r="A214" i="5" s="1"/>
  <c r="A215" i="5" s="1"/>
  <c r="A216" i="5" s="1"/>
  <c r="A217" i="5" s="1"/>
  <c r="A218" i="5" s="1"/>
  <c r="A220" i="5" s="1"/>
  <c r="A221" i="5" s="1"/>
  <c r="A222" i="5" s="1"/>
  <c r="A223" i="5" s="1"/>
  <c r="A224" i="5" s="1"/>
  <c r="A225" i="5" s="1"/>
  <c r="E275" i="5"/>
  <c r="F275" i="5"/>
  <c r="H275" i="5" s="1"/>
  <c r="E274" i="5"/>
  <c r="F274" i="5" s="1"/>
  <c r="E273" i="5"/>
  <c r="F273" i="5" s="1"/>
  <c r="E272" i="5"/>
  <c r="F272" i="5" s="1"/>
  <c r="I272" i="5" s="1"/>
  <c r="E271" i="5"/>
  <c r="F271" i="5" s="1"/>
  <c r="E270" i="5"/>
  <c r="F270" i="5" s="1"/>
  <c r="E269" i="5"/>
  <c r="F269" i="5"/>
  <c r="H269" i="5"/>
  <c r="E268" i="5"/>
  <c r="F268" i="5"/>
  <c r="I268" i="5" s="1"/>
  <c r="J268" i="5" s="1"/>
  <c r="E267" i="5"/>
  <c r="F267" i="5"/>
  <c r="H267" i="5" s="1"/>
  <c r="E266" i="5"/>
  <c r="F266" i="5"/>
  <c r="I266" i="5"/>
  <c r="E265" i="5"/>
  <c r="F265" i="5"/>
  <c r="H265" i="5" s="1"/>
  <c r="E264" i="5"/>
  <c r="F264" i="5"/>
  <c r="I264" i="5" s="1"/>
  <c r="J264" i="5" s="1"/>
  <c r="E262" i="5"/>
  <c r="F262" i="5" s="1"/>
  <c r="G262" i="5" s="1"/>
  <c r="F256" i="5"/>
  <c r="I256" i="5" s="1"/>
  <c r="E248" i="5"/>
  <c r="F248" i="5" s="1"/>
  <c r="E247" i="5"/>
  <c r="F247" i="5" s="1"/>
  <c r="E246" i="5"/>
  <c r="F246" i="5"/>
  <c r="H246" i="5"/>
  <c r="E245" i="5"/>
  <c r="F245" i="5"/>
  <c r="I245" i="5" s="1"/>
  <c r="E244" i="5"/>
  <c r="F244" i="5"/>
  <c r="H244" i="5" s="1"/>
  <c r="E243" i="5"/>
  <c r="F243" i="5"/>
  <c r="I243" i="5"/>
  <c r="E241" i="5"/>
  <c r="F241" i="5"/>
  <c r="H241" i="5" s="1"/>
  <c r="E240" i="5"/>
  <c r="F240" i="5"/>
  <c r="I240" i="5" s="1"/>
  <c r="J240" i="5" s="1"/>
  <c r="E239" i="5"/>
  <c r="F239" i="5" s="1"/>
  <c r="E237" i="5"/>
  <c r="F237" i="5" s="1"/>
  <c r="I237" i="5" s="1"/>
  <c r="E236" i="5"/>
  <c r="F236" i="5"/>
  <c r="H236" i="5" s="1"/>
  <c r="E235" i="5"/>
  <c r="F235" i="5" s="1"/>
  <c r="E232" i="5"/>
  <c r="F232" i="5" s="1"/>
  <c r="E231" i="5"/>
  <c r="F231" i="5" s="1"/>
  <c r="E230" i="5"/>
  <c r="F230" i="5" s="1"/>
  <c r="E227" i="5"/>
  <c r="F227" i="5" s="1"/>
  <c r="E226" i="5"/>
  <c r="F226" i="5"/>
  <c r="H226" i="5"/>
  <c r="E225" i="5"/>
  <c r="F225" i="5"/>
  <c r="E224" i="5"/>
  <c r="F224" i="5" s="1"/>
  <c r="E222" i="5"/>
  <c r="F222" i="5" s="1"/>
  <c r="E221" i="5"/>
  <c r="F221" i="5" s="1"/>
  <c r="I221" i="5" s="1"/>
  <c r="E220" i="5"/>
  <c r="F220" i="5" s="1"/>
  <c r="E219" i="5"/>
  <c r="F219" i="5" s="1"/>
  <c r="E218" i="5"/>
  <c r="F218" i="5" s="1"/>
  <c r="E212" i="5"/>
  <c r="F212" i="5" s="1"/>
  <c r="E206" i="5"/>
  <c r="F206" i="5" s="1"/>
  <c r="E205" i="5"/>
  <c r="F205" i="5"/>
  <c r="E204" i="5"/>
  <c r="F204" i="5" s="1"/>
  <c r="E203" i="5"/>
  <c r="F203" i="5" s="1"/>
  <c r="I203" i="5" s="1"/>
  <c r="E202" i="5"/>
  <c r="F202" i="5" s="1"/>
  <c r="E201" i="5"/>
  <c r="F201" i="5" s="1"/>
  <c r="E200" i="5"/>
  <c r="F200" i="5"/>
  <c r="H200" i="5"/>
  <c r="E199" i="5"/>
  <c r="F199" i="5"/>
  <c r="I199" i="5" s="1"/>
  <c r="E198" i="5"/>
  <c r="F198" i="5"/>
  <c r="H198" i="5" s="1"/>
  <c r="E196" i="5"/>
  <c r="F196" i="5"/>
  <c r="I196" i="5"/>
  <c r="E195" i="5"/>
  <c r="F195" i="5"/>
  <c r="G195" i="5" s="1"/>
  <c r="E193" i="5"/>
  <c r="F193" i="5"/>
  <c r="H193" i="5" s="1"/>
  <c r="E192" i="5"/>
  <c r="F192" i="5" s="1"/>
  <c r="H192" i="5" s="1"/>
  <c r="E191" i="5"/>
  <c r="F191" i="5" s="1"/>
  <c r="E189" i="5"/>
  <c r="F189" i="5"/>
  <c r="E186" i="5"/>
  <c r="F186" i="5" s="1"/>
  <c r="E185" i="5"/>
  <c r="F185" i="5"/>
  <c r="E183" i="5"/>
  <c r="F183" i="5"/>
  <c r="E181" i="5"/>
  <c r="F181" i="5" s="1"/>
  <c r="E179" i="5"/>
  <c r="F179" i="5" s="1"/>
  <c r="G179" i="5" s="1"/>
  <c r="E178" i="5"/>
  <c r="F178" i="5" s="1"/>
  <c r="E176" i="5"/>
  <c r="F176" i="5" s="1"/>
  <c r="E174" i="5"/>
  <c r="F174" i="5" s="1"/>
  <c r="H174" i="5" s="1"/>
  <c r="E173" i="5"/>
  <c r="F173" i="5" s="1"/>
  <c r="G173" i="5" s="1"/>
  <c r="E172" i="5"/>
  <c r="F172" i="5" s="1"/>
  <c r="I172" i="5" s="1"/>
  <c r="E171" i="5"/>
  <c r="F171" i="5"/>
  <c r="I171" i="5" s="1"/>
  <c r="E170" i="5"/>
  <c r="F170" i="5"/>
  <c r="H170" i="5"/>
  <c r="E169" i="5"/>
  <c r="F169" i="5"/>
  <c r="I169" i="5" s="1"/>
  <c r="E163" i="5"/>
  <c r="F163" i="5"/>
  <c r="H163" i="5" s="1"/>
  <c r="E162" i="5"/>
  <c r="F162" i="5"/>
  <c r="E158" i="5"/>
  <c r="F158" i="5" s="1"/>
  <c r="I158" i="5" s="1"/>
  <c r="E157" i="5"/>
  <c r="F157" i="5"/>
  <c r="H157" i="5"/>
  <c r="E156" i="5"/>
  <c r="F156" i="5"/>
  <c r="I156" i="5" s="1"/>
  <c r="J156" i="5" s="1"/>
  <c r="E155" i="5"/>
  <c r="F155" i="5"/>
  <c r="H155" i="5" s="1"/>
  <c r="E152" i="5"/>
  <c r="F152" i="5"/>
  <c r="I152" i="5"/>
  <c r="E149" i="5"/>
  <c r="F149" i="5"/>
  <c r="H149" i="5" s="1"/>
  <c r="E148" i="5"/>
  <c r="F148" i="5"/>
  <c r="I148" i="5" s="1"/>
  <c r="J148" i="5" s="1"/>
  <c r="E142" i="5"/>
  <c r="F142" i="5" s="1"/>
  <c r="H142" i="5" s="1"/>
  <c r="E140" i="5"/>
  <c r="F140" i="5" s="1"/>
  <c r="E139" i="5"/>
  <c r="F139" i="5"/>
  <c r="H139" i="5" s="1"/>
  <c r="E138" i="5"/>
  <c r="F138" i="5" s="1"/>
  <c r="E136" i="5"/>
  <c r="F136" i="5" s="1"/>
  <c r="E131" i="5"/>
  <c r="F131" i="5" s="1"/>
  <c r="H131" i="5" s="1"/>
  <c r="E130" i="5"/>
  <c r="F130" i="5" s="1"/>
  <c r="E128" i="5"/>
  <c r="F128" i="5" s="1"/>
  <c r="E127" i="5"/>
  <c r="F127" i="5"/>
  <c r="I127" i="5"/>
  <c r="E126" i="5"/>
  <c r="F126" i="5"/>
  <c r="H126" i="5" s="1"/>
  <c r="E125" i="5"/>
  <c r="F125" i="5"/>
  <c r="I125" i="5" s="1"/>
  <c r="E124" i="5"/>
  <c r="F124" i="5"/>
  <c r="G124" i="5"/>
  <c r="E123" i="5"/>
  <c r="F123" i="5"/>
  <c r="G123" i="5" s="1"/>
  <c r="E122" i="5"/>
  <c r="F122" i="5"/>
  <c r="G122" i="5" s="1"/>
  <c r="E121" i="5"/>
  <c r="F121" i="5" s="1"/>
  <c r="G121" i="5" s="1"/>
  <c r="E118" i="5"/>
  <c r="F118" i="5" s="1"/>
  <c r="E115" i="5"/>
  <c r="F115" i="5"/>
  <c r="H115" i="5" s="1"/>
  <c r="E114" i="5"/>
  <c r="F114" i="5" s="1"/>
  <c r="E113" i="5"/>
  <c r="F113" i="5"/>
  <c r="E112" i="5"/>
  <c r="F112" i="5"/>
  <c r="G112" i="5" s="1"/>
  <c r="E110" i="5"/>
  <c r="F110" i="5" s="1"/>
  <c r="E104" i="5"/>
  <c r="F104" i="5" s="1"/>
  <c r="E93" i="5"/>
  <c r="F93" i="5" s="1"/>
  <c r="E92" i="5"/>
  <c r="F92" i="5" s="1"/>
  <c r="E91" i="5"/>
  <c r="F91" i="5"/>
  <c r="E90" i="5"/>
  <c r="F90" i="5"/>
  <c r="E89" i="5"/>
  <c r="F89" i="5" s="1"/>
  <c r="E88" i="5"/>
  <c r="F88" i="5" s="1"/>
  <c r="E87" i="5"/>
  <c r="F87" i="5" s="1"/>
  <c r="I87" i="5" s="1"/>
  <c r="E86" i="5"/>
  <c r="F86" i="5" s="1"/>
  <c r="E85" i="5"/>
  <c r="F85" i="5"/>
  <c r="E84" i="5"/>
  <c r="F84" i="5"/>
  <c r="G84" i="5" s="1"/>
  <c r="E83" i="5"/>
  <c r="F83" i="5" s="1"/>
  <c r="E82" i="5"/>
  <c r="F82" i="5"/>
  <c r="E78" i="5"/>
  <c r="F78" i="5" s="1"/>
  <c r="E76" i="5"/>
  <c r="F76" i="5" s="1"/>
  <c r="E75" i="5"/>
  <c r="F75" i="5"/>
  <c r="E74" i="5"/>
  <c r="F74" i="5"/>
  <c r="G74" i="5" s="1"/>
  <c r="E73" i="5"/>
  <c r="F73" i="5"/>
  <c r="G73" i="5" s="1"/>
  <c r="E72" i="5"/>
  <c r="F72" i="5"/>
  <c r="E69" i="5"/>
  <c r="F69" i="5" s="1"/>
  <c r="I69" i="5" s="1"/>
  <c r="E68" i="5"/>
  <c r="F68" i="5" s="1"/>
  <c r="I68" i="5" s="1"/>
  <c r="E67" i="5"/>
  <c r="F67" i="5"/>
  <c r="I67" i="5" s="1"/>
  <c r="G67" i="5"/>
  <c r="E66" i="5"/>
  <c r="F66" i="5" s="1"/>
  <c r="E64" i="5"/>
  <c r="F64" i="5" s="1"/>
  <c r="E63" i="5"/>
  <c r="F63" i="5"/>
  <c r="E62" i="5"/>
  <c r="F62" i="5" s="1"/>
  <c r="E60" i="5"/>
  <c r="F60" i="5" s="1"/>
  <c r="E59" i="5"/>
  <c r="F59" i="5"/>
  <c r="G59" i="5" s="1"/>
  <c r="E58" i="5"/>
  <c r="F58" i="5"/>
  <c r="E57" i="5"/>
  <c r="F57" i="5" s="1"/>
  <c r="E55" i="5"/>
  <c r="F55" i="5"/>
  <c r="E54" i="5"/>
  <c r="F54" i="5" s="1"/>
  <c r="I54" i="5" s="1"/>
  <c r="E53" i="5"/>
  <c r="F53" i="5" s="1"/>
  <c r="E52" i="5"/>
  <c r="F52" i="5" s="1"/>
  <c r="E50" i="5"/>
  <c r="F50" i="5" s="1"/>
  <c r="I50" i="5" s="1"/>
  <c r="E49" i="5"/>
  <c r="F49" i="5" s="1"/>
  <c r="H49" i="5" s="1"/>
  <c r="E47" i="5"/>
  <c r="F47" i="5" s="1"/>
  <c r="E46" i="5"/>
  <c r="F46" i="5"/>
  <c r="E45" i="5"/>
  <c r="F45" i="5" s="1"/>
  <c r="E44" i="5"/>
  <c r="F44" i="5" s="1"/>
  <c r="H44" i="5" s="1"/>
  <c r="E43" i="5"/>
  <c r="F43" i="5" s="1"/>
  <c r="E42" i="5"/>
  <c r="F42" i="5" s="1"/>
  <c r="H42" i="5" s="1"/>
  <c r="E41" i="5"/>
  <c r="F41" i="5"/>
  <c r="H41" i="5"/>
  <c r="E39" i="5"/>
  <c r="F39" i="5"/>
  <c r="H39" i="5" s="1"/>
  <c r="E38" i="5"/>
  <c r="F38" i="5" s="1"/>
  <c r="E35" i="5"/>
  <c r="F35" i="5" s="1"/>
  <c r="E31" i="5"/>
  <c r="F31" i="5" s="1"/>
  <c r="E30" i="5"/>
  <c r="F30" i="5"/>
  <c r="H30" i="5"/>
  <c r="E29" i="5"/>
  <c r="F29" i="5"/>
  <c r="I29" i="5" s="1"/>
  <c r="J29" i="5" s="1"/>
  <c r="E28" i="5"/>
  <c r="F28" i="5"/>
  <c r="H28" i="5" s="1"/>
  <c r="E27" i="5"/>
  <c r="F27" i="5"/>
  <c r="I27" i="5"/>
  <c r="E24" i="5"/>
  <c r="F24" i="5"/>
  <c r="H24" i="5" s="1"/>
  <c r="E23" i="5"/>
  <c r="F23" i="5"/>
  <c r="H23" i="5" s="1"/>
  <c r="E21" i="5"/>
  <c r="F21" i="5" s="1"/>
  <c r="G21" i="5" s="1"/>
  <c r="E20" i="5"/>
  <c r="F20" i="5"/>
  <c r="G20" i="5" s="1"/>
  <c r="E19" i="5"/>
  <c r="F19" i="5"/>
  <c r="G19" i="5"/>
  <c r="E17" i="5"/>
  <c r="F17" i="5"/>
  <c r="G17" i="5" s="1"/>
  <c r="E16" i="5"/>
  <c r="F16" i="5"/>
  <c r="AJ3" i="40"/>
  <c r="AI3" i="40"/>
  <c r="AH3" i="40"/>
  <c r="AG3" i="40"/>
  <c r="AF3" i="40"/>
  <c r="AE3" i="40"/>
  <c r="AD3" i="40"/>
  <c r="AB3" i="40"/>
  <c r="AA3" i="40"/>
  <c r="Z3" i="40"/>
  <c r="Y3" i="40"/>
  <c r="W3" i="40"/>
  <c r="V3" i="40"/>
  <c r="U3" i="40"/>
  <c r="T3" i="40"/>
  <c r="S3" i="40"/>
  <c r="R3" i="40"/>
  <c r="O3" i="40"/>
  <c r="N3" i="40"/>
  <c r="M3" i="40"/>
  <c r="L3" i="40"/>
  <c r="K3" i="40"/>
  <c r="I3" i="40"/>
  <c r="H3" i="40"/>
  <c r="G3" i="40"/>
  <c r="F3" i="40"/>
  <c r="E3" i="40"/>
  <c r="D3" i="40"/>
  <c r="C3" i="40"/>
  <c r="B3" i="40"/>
  <c r="G33" i="27"/>
  <c r="J11" i="25"/>
  <c r="I11" i="25"/>
  <c r="G11" i="25"/>
  <c r="E11" i="25"/>
  <c r="B25" i="11"/>
  <c r="J25" i="11"/>
  <c r="B24" i="11"/>
  <c r="J24" i="11"/>
  <c r="B23" i="11"/>
  <c r="J23" i="11"/>
  <c r="B22" i="11"/>
  <c r="B26" i="44"/>
  <c r="J26" i="44"/>
  <c r="I23" i="44"/>
  <c r="B11" i="8"/>
  <c r="B21" i="22"/>
  <c r="E21" i="22" s="1"/>
  <c r="B19" i="22"/>
  <c r="I19" i="22"/>
  <c r="B11" i="22"/>
  <c r="J11" i="22" s="1"/>
  <c r="B34" i="12"/>
  <c r="E34" i="12" s="1"/>
  <c r="B11" i="12"/>
  <c r="I11" i="12" s="1"/>
  <c r="E11" i="12"/>
  <c r="B32" i="7"/>
  <c r="B11" i="7"/>
  <c r="E49" i="23"/>
  <c r="B11" i="23"/>
  <c r="B26" i="16"/>
  <c r="B11" i="16"/>
  <c r="G11" i="16" s="1"/>
  <c r="B31" i="13"/>
  <c r="B30" i="13"/>
  <c r="J30" i="13" s="1"/>
  <c r="B29" i="13"/>
  <c r="B28" i="13"/>
  <c r="B27" i="13"/>
  <c r="J27" i="13"/>
  <c r="B26" i="13"/>
  <c r="I26" i="13" s="1"/>
  <c r="B25" i="13"/>
  <c r="B24" i="13"/>
  <c r="B23" i="13"/>
  <c r="B22" i="13"/>
  <c r="E22" i="13" s="1"/>
  <c r="B11" i="13"/>
  <c r="B35" i="32"/>
  <c r="E35" i="32"/>
  <c r="B34" i="32"/>
  <c r="J34" i="32"/>
  <c r="B33" i="32"/>
  <c r="B46" i="28"/>
  <c r="E46" i="28"/>
  <c r="B11" i="28"/>
  <c r="J11" i="28"/>
  <c r="B11" i="20"/>
  <c r="I11" i="20" s="1"/>
  <c r="B11" i="33"/>
  <c r="B41" i="31"/>
  <c r="B11" i="31"/>
  <c r="E11" i="31"/>
  <c r="B31" i="1"/>
  <c r="B11" i="1"/>
  <c r="E11" i="1"/>
  <c r="B30" i="17"/>
  <c r="B29" i="17"/>
  <c r="B28" i="17"/>
  <c r="J28" i="17" s="1"/>
  <c r="B27" i="17"/>
  <c r="E27" i="17" s="1"/>
  <c r="B26" i="17"/>
  <c r="E26" i="17" s="1"/>
  <c r="B11" i="17"/>
  <c r="I11" i="17" s="1"/>
  <c r="E32" i="26"/>
  <c r="B11" i="26"/>
  <c r="E11" i="26"/>
  <c r="B39" i="10"/>
  <c r="L14" i="10"/>
  <c r="B11" i="10"/>
  <c r="J11" i="10"/>
  <c r="B30" i="9"/>
  <c r="B29" i="9"/>
  <c r="B28" i="9"/>
  <c r="B27" i="9"/>
  <c r="B26" i="9"/>
  <c r="B25" i="9"/>
  <c r="E25" i="9" s="1"/>
  <c r="B24" i="9"/>
  <c r="E24" i="9"/>
  <c r="B23" i="9"/>
  <c r="J23" i="9" s="1"/>
  <c r="B22" i="9"/>
  <c r="B11" i="9"/>
  <c r="B31" i="19"/>
  <c r="J31" i="19"/>
  <c r="I35" i="15"/>
  <c r="G35" i="15"/>
  <c r="E35" i="15"/>
  <c r="B11" i="15"/>
  <c r="J11" i="15" s="1"/>
  <c r="B37" i="29"/>
  <c r="J37" i="29" s="1"/>
  <c r="B11" i="35"/>
  <c r="J11" i="35"/>
  <c r="B38" i="42"/>
  <c r="G38" i="42" s="1"/>
  <c r="B37" i="42"/>
  <c r="J37" i="42"/>
  <c r="B36" i="42"/>
  <c r="E36" i="42"/>
  <c r="B35" i="42"/>
  <c r="B34" i="42"/>
  <c r="B33" i="42"/>
  <c r="J33" i="42" s="1"/>
  <c r="B32" i="42"/>
  <c r="B31" i="42"/>
  <c r="B30" i="42"/>
  <c r="B29" i="42"/>
  <c r="B28" i="42"/>
  <c r="B27" i="42"/>
  <c r="B26" i="42"/>
  <c r="I26" i="42"/>
  <c r="B11" i="42"/>
  <c r="B47" i="24"/>
  <c r="B46" i="24"/>
  <c r="B45" i="24"/>
  <c r="B44" i="24"/>
  <c r="B43" i="24"/>
  <c r="B42" i="24"/>
  <c r="B41" i="24"/>
  <c r="E41" i="24" s="1"/>
  <c r="B40" i="24"/>
  <c r="E40" i="24"/>
  <c r="B39" i="24"/>
  <c r="E39" i="24" s="1"/>
  <c r="B38" i="24"/>
  <c r="J38" i="24" s="1"/>
  <c r="B37" i="24"/>
  <c r="E37" i="24"/>
  <c r="B36" i="24"/>
  <c r="J36" i="24"/>
  <c r="B35" i="24"/>
  <c r="E35" i="24" s="1"/>
  <c r="B34" i="24"/>
  <c r="E34" i="24" s="1"/>
  <c r="B33" i="24"/>
  <c r="E33" i="24"/>
  <c r="B32" i="24"/>
  <c r="B31" i="24"/>
  <c r="B30" i="24"/>
  <c r="J30" i="24" s="1"/>
  <c r="B29" i="24"/>
  <c r="E29" i="24"/>
  <c r="B28" i="24"/>
  <c r="J28" i="24"/>
  <c r="B27" i="24"/>
  <c r="B26" i="24"/>
  <c r="E26" i="24"/>
  <c r="B25" i="24"/>
  <c r="I25" i="24"/>
  <c r="B24" i="24"/>
  <c r="J24" i="24"/>
  <c r="B23" i="24"/>
  <c r="J23" i="24"/>
  <c r="B22" i="24"/>
  <c r="B21" i="24"/>
  <c r="E21" i="24"/>
  <c r="B20" i="24"/>
  <c r="B11" i="24"/>
  <c r="I11" i="24" s="1"/>
  <c r="B41" i="18"/>
  <c r="E41" i="18"/>
  <c r="B40" i="18"/>
  <c r="B39" i="18"/>
  <c r="B38" i="18"/>
  <c r="B37" i="18"/>
  <c r="B36" i="18"/>
  <c r="J36" i="18"/>
  <c r="B35" i="18"/>
  <c r="E35" i="18"/>
  <c r="B34" i="18"/>
  <c r="J34" i="18" s="1"/>
  <c r="B25" i="43"/>
  <c r="B24" i="43"/>
  <c r="B23" i="43"/>
  <c r="E23" i="43"/>
  <c r="B22" i="43"/>
  <c r="E22" i="43"/>
  <c r="B21" i="43"/>
  <c r="E21" i="43"/>
  <c r="B20" i="43"/>
  <c r="E20" i="43"/>
  <c r="B19" i="43"/>
  <c r="E19" i="43"/>
  <c r="B18" i="43"/>
  <c r="E18" i="43" s="1"/>
  <c r="B17" i="43"/>
  <c r="E17" i="43" s="1"/>
  <c r="B16" i="43"/>
  <c r="J16" i="43"/>
  <c r="B15" i="43"/>
  <c r="E15" i="43"/>
  <c r="B14" i="43"/>
  <c r="G14" i="43" s="1"/>
  <c r="J14" i="43"/>
  <c r="B13" i="43"/>
  <c r="E13" i="43"/>
  <c r="B12" i="43"/>
  <c r="G12" i="43"/>
  <c r="B11" i="43"/>
  <c r="I11" i="43" s="1"/>
  <c r="B25" i="45"/>
  <c r="B24" i="45"/>
  <c r="B23" i="45"/>
  <c r="B22" i="45"/>
  <c r="J22" i="45" s="1"/>
  <c r="B21" i="45"/>
  <c r="B20" i="45"/>
  <c r="B19" i="45"/>
  <c r="B18" i="45"/>
  <c r="B17" i="45"/>
  <c r="B16" i="45"/>
  <c r="B15" i="45"/>
  <c r="B14" i="45"/>
  <c r="I14" i="45"/>
  <c r="B13" i="45"/>
  <c r="J13" i="45"/>
  <c r="B12" i="45"/>
  <c r="B11" i="45"/>
  <c r="B25" i="46"/>
  <c r="B24" i="46"/>
  <c r="B23" i="46"/>
  <c r="J23" i="46"/>
  <c r="B22" i="46"/>
  <c r="B21" i="46"/>
  <c r="B20" i="46"/>
  <c r="E20" i="46" s="1"/>
  <c r="B19" i="46"/>
  <c r="J19" i="46"/>
  <c r="B18" i="46"/>
  <c r="B17" i="46"/>
  <c r="B16" i="46"/>
  <c r="B15" i="46"/>
  <c r="J15" i="46"/>
  <c r="B14" i="46"/>
  <c r="B13" i="46"/>
  <c r="B12" i="46"/>
  <c r="I12" i="46" s="1"/>
  <c r="B11" i="46"/>
  <c r="B36" i="47"/>
  <c r="G36" i="47" s="1"/>
  <c r="B35" i="47"/>
  <c r="G35" i="47" s="1"/>
  <c r="B34" i="47"/>
  <c r="E34" i="47" s="1"/>
  <c r="B33" i="47"/>
  <c r="E33" i="47" s="1"/>
  <c r="B32" i="47"/>
  <c r="E32" i="47" s="1"/>
  <c r="B31" i="47"/>
  <c r="I31" i="47" s="1"/>
  <c r="B30" i="47"/>
  <c r="I30" i="47" s="1"/>
  <c r="B29" i="47"/>
  <c r="I29" i="47" s="1"/>
  <c r="B28" i="47"/>
  <c r="G28" i="47" s="1"/>
  <c r="B27" i="47"/>
  <c r="J27" i="47" s="1"/>
  <c r="B26" i="47"/>
  <c r="J26" i="47" s="1"/>
  <c r="B25" i="47"/>
  <c r="I25" i="47" s="1"/>
  <c r="B24" i="47"/>
  <c r="J24" i="47" s="1"/>
  <c r="B23" i="47"/>
  <c r="E23" i="47" s="1"/>
  <c r="B22" i="47"/>
  <c r="I22" i="47" s="1"/>
  <c r="B21" i="47"/>
  <c r="G21" i="47" s="1"/>
  <c r="I21" i="47"/>
  <c r="B20" i="47"/>
  <c r="G20" i="47" s="1"/>
  <c r="B19" i="47"/>
  <c r="B18" i="47"/>
  <c r="E18" i="47" s="1"/>
  <c r="B17" i="47"/>
  <c r="G17" i="47" s="1"/>
  <c r="B16" i="47"/>
  <c r="I16" i="47" s="1"/>
  <c r="B15" i="47"/>
  <c r="J15" i="47" s="1"/>
  <c r="B14" i="47"/>
  <c r="J14" i="47" s="1"/>
  <c r="B13" i="47"/>
  <c r="G13" i="47" s="1"/>
  <c r="B12" i="47"/>
  <c r="J12" i="47" s="1"/>
  <c r="B11" i="47"/>
  <c r="J11" i="47" s="1"/>
  <c r="B25" i="48"/>
  <c r="J25" i="48"/>
  <c r="B24" i="48"/>
  <c r="J24" i="48"/>
  <c r="B23" i="48"/>
  <c r="J23" i="48" s="1"/>
  <c r="B22" i="48"/>
  <c r="J22" i="48" s="1"/>
  <c r="B21" i="48"/>
  <c r="J21" i="48"/>
  <c r="B20" i="48"/>
  <c r="J20" i="48" s="1"/>
  <c r="B19" i="48"/>
  <c r="J19" i="48" s="1"/>
  <c r="B18" i="48"/>
  <c r="J18" i="48"/>
  <c r="B17" i="48"/>
  <c r="J17" i="48"/>
  <c r="B16" i="48"/>
  <c r="J16" i="48" s="1"/>
  <c r="B15" i="48"/>
  <c r="J15" i="48" s="1"/>
  <c r="B14" i="48"/>
  <c r="J14" i="48"/>
  <c r="B13" i="48"/>
  <c r="E13" i="48" s="1"/>
  <c r="B12" i="48"/>
  <c r="E12" i="48" s="1"/>
  <c r="B11" i="48"/>
  <c r="J11" i="48"/>
  <c r="B25" i="49"/>
  <c r="J25" i="49"/>
  <c r="B24" i="49"/>
  <c r="J24" i="49" s="1"/>
  <c r="B23" i="49"/>
  <c r="J23" i="49" s="1"/>
  <c r="B22" i="49"/>
  <c r="E22" i="49" s="1"/>
  <c r="J22" i="49"/>
  <c r="B21" i="49"/>
  <c r="J21" i="49" s="1"/>
  <c r="B20" i="49"/>
  <c r="J20" i="49" s="1"/>
  <c r="B19" i="49"/>
  <c r="J19" i="49"/>
  <c r="B18" i="49"/>
  <c r="J18" i="49"/>
  <c r="B17" i="49"/>
  <c r="J17" i="49" s="1"/>
  <c r="B16" i="49"/>
  <c r="E16" i="49" s="1"/>
  <c r="B15" i="49"/>
  <c r="J15" i="49"/>
  <c r="B14" i="49"/>
  <c r="E14" i="49" s="1"/>
  <c r="B13" i="49"/>
  <c r="J13" i="49" s="1"/>
  <c r="B12" i="49"/>
  <c r="J12" i="49"/>
  <c r="B11" i="49"/>
  <c r="J11" i="49"/>
  <c r="B25" i="50"/>
  <c r="J25" i="50" s="1"/>
  <c r="B24" i="50"/>
  <c r="J24" i="50" s="1"/>
  <c r="B23" i="50"/>
  <c r="E23" i="50" s="1"/>
  <c r="J23" i="50"/>
  <c r="B22" i="50"/>
  <c r="J22" i="50" s="1"/>
  <c r="B21" i="50"/>
  <c r="J21" i="50"/>
  <c r="B20" i="50"/>
  <c r="J20" i="50"/>
  <c r="B19" i="50"/>
  <c r="I19" i="50" s="1"/>
  <c r="J19" i="50"/>
  <c r="B18" i="50"/>
  <c r="J18" i="50" s="1"/>
  <c r="B17" i="50"/>
  <c r="J17" i="50" s="1"/>
  <c r="B16" i="50"/>
  <c r="J16" i="50"/>
  <c r="B15" i="50"/>
  <c r="E15" i="50" s="1"/>
  <c r="B14" i="50"/>
  <c r="E14" i="50" s="1"/>
  <c r="J14" i="50"/>
  <c r="B13" i="50"/>
  <c r="J13" i="50"/>
  <c r="B12" i="50"/>
  <c r="J12" i="50"/>
  <c r="B11" i="50"/>
  <c r="J11" i="50" s="1"/>
  <c r="B25" i="51"/>
  <c r="J25" i="51" s="1"/>
  <c r="B24" i="51"/>
  <c r="E24" i="51" s="1"/>
  <c r="J24" i="51"/>
  <c r="B23" i="51"/>
  <c r="J23" i="51" s="1"/>
  <c r="B22" i="51"/>
  <c r="J22" i="51"/>
  <c r="B21" i="51"/>
  <c r="E21" i="51" s="1"/>
  <c r="J21" i="51"/>
  <c r="B20" i="51"/>
  <c r="J20" i="51"/>
  <c r="B19" i="51"/>
  <c r="J19" i="51" s="1"/>
  <c r="B18" i="51"/>
  <c r="J18" i="51" s="1"/>
  <c r="B17" i="51"/>
  <c r="J17" i="51"/>
  <c r="B16" i="51"/>
  <c r="E16" i="51" s="1"/>
  <c r="B15" i="51"/>
  <c r="J15" i="51"/>
  <c r="B14" i="51"/>
  <c r="J14" i="51"/>
  <c r="B13" i="51"/>
  <c r="J13" i="51"/>
  <c r="B12" i="51"/>
  <c r="J12" i="51" s="1"/>
  <c r="B11" i="51"/>
  <c r="J11" i="51" s="1"/>
  <c r="B25" i="52"/>
  <c r="J25" i="52"/>
  <c r="B24" i="52"/>
  <c r="J24" i="52" s="1"/>
  <c r="B23" i="52"/>
  <c r="J23" i="52"/>
  <c r="B22" i="52"/>
  <c r="J22" i="52"/>
  <c r="B21" i="52"/>
  <c r="J21" i="52"/>
  <c r="B20" i="52"/>
  <c r="J20" i="52" s="1"/>
  <c r="B19" i="52"/>
  <c r="J19" i="52" s="1"/>
  <c r="B18" i="52"/>
  <c r="J18" i="52"/>
  <c r="B17" i="52"/>
  <c r="E17" i="52" s="1"/>
  <c r="B16" i="52"/>
  <c r="E16" i="52" s="1"/>
  <c r="J16" i="52"/>
  <c r="B15" i="52"/>
  <c r="E15" i="52" s="1"/>
  <c r="J15" i="52"/>
  <c r="B14" i="52"/>
  <c r="J14" i="52"/>
  <c r="B13" i="52"/>
  <c r="J13" i="52" s="1"/>
  <c r="B12" i="52"/>
  <c r="I12" i="52" s="1"/>
  <c r="B11" i="52"/>
  <c r="J11" i="52"/>
  <c r="B25" i="53"/>
  <c r="I25" i="53" s="1"/>
  <c r="B24" i="53"/>
  <c r="J24" i="53"/>
  <c r="B23" i="53"/>
  <c r="J23" i="53"/>
  <c r="B22" i="53"/>
  <c r="J22" i="53"/>
  <c r="B21" i="53"/>
  <c r="J21" i="53" s="1"/>
  <c r="B20" i="53"/>
  <c r="J20" i="53" s="1"/>
  <c r="B19" i="53"/>
  <c r="G19" i="53" s="1"/>
  <c r="J19" i="53"/>
  <c r="B18" i="53"/>
  <c r="J18" i="53" s="1"/>
  <c r="B17" i="53"/>
  <c r="J17" i="53"/>
  <c r="B16" i="53"/>
  <c r="E16" i="53" s="1"/>
  <c r="J16" i="53"/>
  <c r="B15" i="53"/>
  <c r="J15" i="53"/>
  <c r="B14" i="53"/>
  <c r="J14" i="53" s="1"/>
  <c r="B13" i="53"/>
  <c r="J13" i="53" s="1"/>
  <c r="B12" i="53"/>
  <c r="J12" i="53"/>
  <c r="B11" i="53"/>
  <c r="J11" i="53" s="1"/>
  <c r="B25" i="54"/>
  <c r="J25" i="54"/>
  <c r="B24" i="54"/>
  <c r="J24" i="54" s="1"/>
  <c r="B23" i="54"/>
  <c r="B22" i="54"/>
  <c r="B21" i="54"/>
  <c r="B20" i="54"/>
  <c r="B19" i="54"/>
  <c r="J19" i="54"/>
  <c r="B18" i="54"/>
  <c r="B17" i="54"/>
  <c r="B16" i="54"/>
  <c r="B15" i="54"/>
  <c r="J15" i="54" s="1"/>
  <c r="B14" i="54"/>
  <c r="B13" i="54"/>
  <c r="B12" i="54"/>
  <c r="J12" i="54"/>
  <c r="B11" i="54"/>
  <c r="B24" i="55"/>
  <c r="B23" i="55"/>
  <c r="B22" i="55"/>
  <c r="B21" i="55"/>
  <c r="I21" i="55" s="1"/>
  <c r="B20" i="55"/>
  <c r="J20" i="55"/>
  <c r="B19" i="55"/>
  <c r="B18" i="55"/>
  <c r="J18" i="55" s="1"/>
  <c r="B17" i="55"/>
  <c r="B16" i="55"/>
  <c r="B15" i="55"/>
  <c r="E15" i="55" s="1"/>
  <c r="B14" i="55"/>
  <c r="B13" i="55"/>
  <c r="B12" i="55"/>
  <c r="J12" i="55" s="1"/>
  <c r="B11" i="55"/>
  <c r="B24" i="56"/>
  <c r="E24" i="56" s="1"/>
  <c r="B23" i="56"/>
  <c r="J23" i="56"/>
  <c r="B22" i="56"/>
  <c r="E22" i="56" s="1"/>
  <c r="B21" i="56"/>
  <c r="B20" i="56"/>
  <c r="J20" i="56"/>
  <c r="B19" i="56"/>
  <c r="J19" i="56" s="1"/>
  <c r="B18" i="56"/>
  <c r="B17" i="56"/>
  <c r="B16" i="56"/>
  <c r="I16" i="56" s="1"/>
  <c r="B15" i="56"/>
  <c r="J15" i="56" s="1"/>
  <c r="B14" i="56"/>
  <c r="B13" i="56"/>
  <c r="B12" i="56"/>
  <c r="B11" i="56"/>
  <c r="J11" i="56"/>
  <c r="B24" i="57"/>
  <c r="B23" i="57"/>
  <c r="B22" i="57"/>
  <c r="J22" i="57" s="1"/>
  <c r="B21" i="57"/>
  <c r="B20" i="57"/>
  <c r="B19" i="57"/>
  <c r="B18" i="57"/>
  <c r="I18" i="57" s="1"/>
  <c r="B17" i="57"/>
  <c r="B16" i="57"/>
  <c r="B15" i="57"/>
  <c r="B14" i="57"/>
  <c r="B13" i="57"/>
  <c r="J13" i="57" s="1"/>
  <c r="B12" i="57"/>
  <c r="B11" i="57"/>
  <c r="J11" i="57" s="1"/>
  <c r="B24" i="58"/>
  <c r="J24" i="58" s="1"/>
  <c r="B23" i="58"/>
  <c r="E23" i="58" s="1"/>
  <c r="B22" i="58"/>
  <c r="I22" i="58" s="1"/>
  <c r="B21" i="58"/>
  <c r="G21" i="58" s="1"/>
  <c r="B20" i="58"/>
  <c r="I20" i="58"/>
  <c r="B19" i="58"/>
  <c r="B18" i="58"/>
  <c r="J18" i="58"/>
  <c r="B17" i="58"/>
  <c r="J17" i="58" s="1"/>
  <c r="B16" i="58"/>
  <c r="I16" i="58" s="1"/>
  <c r="B15" i="58"/>
  <c r="B14" i="58"/>
  <c r="J14" i="58" s="1"/>
  <c r="B13" i="58"/>
  <c r="B12" i="58"/>
  <c r="I12" i="58"/>
  <c r="B11" i="58"/>
  <c r="B24" i="59"/>
  <c r="B23" i="59"/>
  <c r="J23" i="59"/>
  <c r="B22" i="59"/>
  <c r="B21" i="59"/>
  <c r="I21" i="59"/>
  <c r="B20" i="59"/>
  <c r="I20" i="59" s="1"/>
  <c r="B19" i="59"/>
  <c r="G19" i="59" s="1"/>
  <c r="B18" i="59"/>
  <c r="B17" i="59"/>
  <c r="I17" i="59" s="1"/>
  <c r="B16" i="59"/>
  <c r="B15" i="59"/>
  <c r="I15" i="59"/>
  <c r="B14" i="59"/>
  <c r="B13" i="59"/>
  <c r="J13" i="59"/>
  <c r="B12" i="59"/>
  <c r="B11" i="59"/>
  <c r="J11" i="59" s="1"/>
  <c r="O32" i="13"/>
  <c r="K54" i="13" s="1"/>
  <c r="G11" i="60" s="1"/>
  <c r="O27" i="16"/>
  <c r="K55" i="16" s="1"/>
  <c r="G15" i="60" s="1"/>
  <c r="O33" i="26"/>
  <c r="K83" i="26"/>
  <c r="G17" i="60" s="1"/>
  <c r="K54" i="7"/>
  <c r="G16" i="60"/>
  <c r="E20" i="34"/>
  <c r="I13" i="18"/>
  <c r="I39" i="5"/>
  <c r="I59" i="5"/>
  <c r="I82" i="5"/>
  <c r="G82" i="5"/>
  <c r="I302" i="5"/>
  <c r="I112" i="5"/>
  <c r="G256" i="5"/>
  <c r="H256" i="5"/>
  <c r="I290" i="5"/>
  <c r="H290" i="5"/>
  <c r="G32" i="5"/>
  <c r="H32" i="5"/>
  <c r="O64" i="21"/>
  <c r="K117" i="21"/>
  <c r="G41" i="60"/>
  <c r="G56" i="5"/>
  <c r="H56" i="5"/>
  <c r="I297" i="5"/>
  <c r="O42" i="18"/>
  <c r="K69" i="18" s="1"/>
  <c r="G44" i="60" s="1"/>
  <c r="O25" i="55"/>
  <c r="K54" i="55" s="1"/>
  <c r="G56" i="60" s="1"/>
  <c r="O25" i="57"/>
  <c r="K54" i="57"/>
  <c r="G58" i="60"/>
  <c r="O25" i="58"/>
  <c r="K54" i="58"/>
  <c r="G59" i="60" s="1"/>
  <c r="O25" i="59"/>
  <c r="K54" i="59" s="1"/>
  <c r="G60" i="60" s="1"/>
  <c r="G31" i="32"/>
  <c r="J31" i="32"/>
  <c r="O26" i="43"/>
  <c r="K47" i="43" s="1"/>
  <c r="G45" i="60" s="1"/>
  <c r="K47" i="50"/>
  <c r="G51" i="60" s="1"/>
  <c r="O26" i="52"/>
  <c r="K47" i="52" s="1"/>
  <c r="G53" i="60" s="1"/>
  <c r="O40" i="10"/>
  <c r="K116" i="10" s="1"/>
  <c r="G29" i="60" s="1"/>
  <c r="P42" i="31"/>
  <c r="K93" i="31"/>
  <c r="G25" i="60" s="1"/>
  <c r="G159" i="5"/>
  <c r="H159" i="5"/>
  <c r="G61" i="5"/>
  <c r="O39" i="42"/>
  <c r="K96" i="42" s="1"/>
  <c r="G28" i="60" s="1"/>
  <c r="O31" i="17"/>
  <c r="K56" i="17"/>
  <c r="G13" i="60" s="1"/>
  <c r="I36" i="5"/>
  <c r="J15" i="30"/>
  <c r="J20" i="41"/>
  <c r="J22" i="41"/>
  <c r="J28" i="15"/>
  <c r="J27" i="15"/>
  <c r="J25" i="27"/>
  <c r="J19" i="27"/>
  <c r="J26" i="27"/>
  <c r="J18" i="25"/>
  <c r="J32" i="30"/>
  <c r="E27" i="30"/>
  <c r="J25" i="30"/>
  <c r="J19" i="30"/>
  <c r="J12" i="41"/>
  <c r="G12" i="41"/>
  <c r="I12" i="41"/>
  <c r="G30" i="18"/>
  <c r="J23" i="8"/>
  <c r="G23" i="8"/>
  <c r="J16" i="18"/>
  <c r="G22" i="18"/>
  <c r="G26" i="18"/>
  <c r="G11" i="18"/>
  <c r="I15" i="18"/>
  <c r="G17" i="18"/>
  <c r="I19" i="18"/>
  <c r="I27" i="18"/>
  <c r="I20" i="34"/>
  <c r="G39" i="35"/>
  <c r="L14" i="9"/>
  <c r="I23" i="8"/>
  <c r="I27" i="41"/>
  <c r="G33" i="35"/>
  <c r="G31" i="35"/>
  <c r="G29" i="35"/>
  <c r="G27" i="35"/>
  <c r="G25" i="35"/>
  <c r="I38" i="35"/>
  <c r="I46" i="33"/>
  <c r="E27" i="41"/>
  <c r="I23" i="25"/>
  <c r="E25" i="25"/>
  <c r="E34" i="36"/>
  <c r="G20" i="34"/>
  <c r="L15" i="9"/>
  <c r="L34" i="10"/>
  <c r="I18" i="25"/>
  <c r="E32" i="27"/>
  <c r="J11" i="18"/>
  <c r="E13" i="18"/>
  <c r="E15" i="18"/>
  <c r="I21" i="18"/>
  <c r="E23" i="18"/>
  <c r="I29" i="18"/>
  <c r="E31" i="18"/>
  <c r="E39" i="35"/>
  <c r="I39" i="35"/>
  <c r="L15" i="10"/>
  <c r="I24" i="25"/>
  <c r="I22" i="25"/>
  <c r="E18" i="25"/>
  <c r="G16" i="25"/>
  <c r="I37" i="35"/>
  <c r="J12" i="8"/>
  <c r="E23" i="35"/>
  <c r="E33" i="18"/>
  <c r="E14" i="54"/>
  <c r="E11" i="18"/>
  <c r="I11" i="18"/>
  <c r="G13" i="18"/>
  <c r="J13" i="18"/>
  <c r="G15" i="18"/>
  <c r="J15" i="18"/>
  <c r="E17" i="18"/>
  <c r="G18" i="25"/>
  <c r="I35" i="35"/>
  <c r="I21" i="35"/>
  <c r="E34" i="18"/>
  <c r="I22" i="12"/>
  <c r="I35" i="10"/>
  <c r="E21" i="50"/>
  <c r="I23" i="50"/>
  <c r="E11" i="49"/>
  <c r="E17" i="48"/>
  <c r="E15" i="45"/>
  <c r="J14" i="18"/>
  <c r="G20" i="18"/>
  <c r="G24" i="18"/>
  <c r="G28" i="18"/>
  <c r="J19" i="34"/>
  <c r="L22" i="10"/>
  <c r="I25" i="41"/>
  <c r="G27" i="41"/>
  <c r="I20" i="13"/>
  <c r="E21" i="25"/>
  <c r="I22" i="54"/>
  <c r="E12" i="51"/>
  <c r="E11" i="24"/>
  <c r="I11" i="19"/>
  <c r="J27" i="24"/>
  <c r="E27" i="24"/>
  <c r="I26" i="41"/>
  <c r="E18" i="41"/>
  <c r="I19" i="11"/>
  <c r="E12" i="54"/>
  <c r="E13" i="50"/>
  <c r="E16" i="47"/>
  <c r="I24" i="46"/>
  <c r="E11" i="43"/>
  <c r="E36" i="18"/>
  <c r="L12" i="10"/>
  <c r="L20" i="10"/>
  <c r="J33" i="18"/>
  <c r="G33" i="18"/>
  <c r="J31" i="18"/>
  <c r="G31" i="18"/>
  <c r="J29" i="18"/>
  <c r="G29" i="18"/>
  <c r="J27" i="18"/>
  <c r="G27" i="18"/>
  <c r="J25" i="18"/>
  <c r="J23" i="18"/>
  <c r="G23" i="18"/>
  <c r="J21" i="18"/>
  <c r="G21" i="18"/>
  <c r="J19" i="18"/>
  <c r="G19" i="18"/>
  <c r="J17" i="18"/>
  <c r="J29" i="32"/>
  <c r="I29" i="32"/>
  <c r="E33" i="10"/>
  <c r="I33" i="10"/>
  <c r="L33" i="10"/>
  <c r="L16" i="10"/>
  <c r="E36" i="61"/>
  <c r="J46" i="33"/>
  <c r="G46" i="33"/>
  <c r="J38" i="35"/>
  <c r="G38" i="35"/>
  <c r="J34" i="36"/>
  <c r="G34" i="36"/>
  <c r="J25" i="25"/>
  <c r="G25" i="25"/>
  <c r="J23" i="25"/>
  <c r="G23" i="25"/>
  <c r="I32" i="42"/>
  <c r="E32" i="42"/>
  <c r="J27" i="32"/>
  <c r="E27" i="32"/>
  <c r="J36" i="10"/>
  <c r="L24" i="10"/>
  <c r="I19" i="34"/>
  <c r="E19" i="34"/>
  <c r="J28" i="41"/>
  <c r="E28" i="41"/>
  <c r="E17" i="30"/>
  <c r="E24" i="41"/>
  <c r="E14" i="43"/>
  <c r="I14" i="43"/>
  <c r="E16" i="43"/>
  <c r="I16" i="43"/>
  <c r="E20" i="56"/>
  <c r="E22" i="55"/>
  <c r="E13" i="52"/>
  <c r="E11" i="50"/>
  <c r="E19" i="50"/>
  <c r="E19" i="49"/>
  <c r="E25" i="48"/>
  <c r="E11" i="45"/>
  <c r="I13" i="45"/>
  <c r="I15" i="45"/>
  <c r="G16" i="43"/>
  <c r="I22" i="43"/>
  <c r="I34" i="18"/>
  <c r="I36" i="18"/>
  <c r="E38" i="24"/>
  <c r="E11" i="20"/>
  <c r="E13" i="45"/>
  <c r="E28" i="17"/>
  <c r="E29" i="32"/>
  <c r="G27" i="32"/>
  <c r="I26" i="32"/>
  <c r="E20" i="13"/>
  <c r="I34" i="10"/>
  <c r="I32" i="10"/>
  <c r="E17" i="46"/>
  <c r="E26" i="42"/>
  <c r="E11" i="10"/>
  <c r="I28" i="17"/>
  <c r="E11" i="19"/>
  <c r="J23" i="12"/>
  <c r="E23" i="12"/>
  <c r="G20" i="12"/>
  <c r="J25" i="12"/>
  <c r="G25" i="12"/>
  <c r="J22" i="12"/>
  <c r="G22" i="12"/>
  <c r="E19" i="12"/>
  <c r="I19" i="12"/>
  <c r="I17" i="12"/>
  <c r="I12" i="59"/>
  <c r="I14" i="56"/>
  <c r="E17" i="56"/>
  <c r="I20" i="56"/>
  <c r="G24" i="56"/>
  <c r="E12" i="55"/>
  <c r="E20" i="55"/>
  <c r="I12" i="54"/>
  <c r="I18" i="54"/>
  <c r="G22" i="54"/>
  <c r="E13" i="53"/>
  <c r="E21" i="52"/>
  <c r="I11" i="50"/>
  <c r="I13" i="50"/>
  <c r="G15" i="50"/>
  <c r="E16" i="50"/>
  <c r="E17" i="50"/>
  <c r="I21" i="50"/>
  <c r="G23" i="50"/>
  <c r="E24" i="50"/>
  <c r="E25" i="50"/>
  <c r="E21" i="48"/>
  <c r="E23" i="24"/>
  <c r="E36" i="24"/>
  <c r="E11" i="28"/>
  <c r="E26" i="13"/>
  <c r="J24" i="16"/>
  <c r="I24" i="16"/>
  <c r="E28" i="12"/>
  <c r="I28" i="12"/>
  <c r="E29" i="12"/>
  <c r="I29" i="12"/>
  <c r="E21" i="12"/>
  <c r="E36" i="10"/>
  <c r="I36" i="10"/>
  <c r="J35" i="10"/>
  <c r="G35" i="10"/>
  <c r="J34" i="10"/>
  <c r="G34" i="10"/>
  <c r="J33" i="10"/>
  <c r="G33" i="10"/>
  <c r="J32" i="10"/>
  <c r="G32" i="10"/>
  <c r="E24" i="54"/>
  <c r="E21" i="53"/>
  <c r="I13" i="52"/>
  <c r="I21" i="52"/>
  <c r="E20" i="51"/>
  <c r="E15" i="49"/>
  <c r="I19" i="49"/>
  <c r="E20" i="49"/>
  <c r="E21" i="49"/>
  <c r="E24" i="49"/>
  <c r="E25" i="49"/>
  <c r="E11" i="48"/>
  <c r="E19" i="48"/>
  <c r="I21" i="48"/>
  <c r="E12" i="47"/>
  <c r="E27" i="47"/>
  <c r="I23" i="24"/>
  <c r="I27" i="24"/>
  <c r="E28" i="24"/>
  <c r="I36" i="24"/>
  <c r="I38" i="24"/>
  <c r="I46" i="24"/>
  <c r="I28" i="9"/>
  <c r="I11" i="10"/>
  <c r="I11" i="28"/>
  <c r="I11" i="21"/>
  <c r="G11" i="19"/>
  <c r="E28" i="61"/>
  <c r="E17" i="53"/>
  <c r="E25" i="52"/>
  <c r="I14" i="57"/>
  <c r="E16" i="57"/>
  <c r="E22" i="57"/>
  <c r="E14" i="53"/>
  <c r="E15" i="53"/>
  <c r="I17" i="53"/>
  <c r="E19" i="53"/>
  <c r="I21" i="53"/>
  <c r="E22" i="53"/>
  <c r="E23" i="53"/>
  <c r="E11" i="52"/>
  <c r="G13" i="52"/>
  <c r="E14" i="52"/>
  <c r="I19" i="52"/>
  <c r="G21" i="52"/>
  <c r="E22" i="52"/>
  <c r="E23" i="52"/>
  <c r="I25" i="52"/>
  <c r="I12" i="51"/>
  <c r="E13" i="51"/>
  <c r="E14" i="51"/>
  <c r="E17" i="51"/>
  <c r="E18" i="51"/>
  <c r="I20" i="51"/>
  <c r="E22" i="51"/>
  <c r="I24" i="51"/>
  <c r="E25" i="51"/>
  <c r="I11" i="49"/>
  <c r="E12" i="49"/>
  <c r="E13" i="49"/>
  <c r="I15" i="49"/>
  <c r="E17" i="49"/>
  <c r="G28" i="42"/>
  <c r="I30" i="42"/>
  <c r="E30" i="42"/>
  <c r="J32" i="42"/>
  <c r="G32" i="42"/>
  <c r="J24" i="9"/>
  <c r="I24" i="9"/>
  <c r="J11" i="26"/>
  <c r="I11" i="26"/>
  <c r="J31" i="1"/>
  <c r="E31" i="1"/>
  <c r="J11" i="20"/>
  <c r="G11" i="20"/>
  <c r="J23" i="13"/>
  <c r="E23" i="13"/>
  <c r="J31" i="13"/>
  <c r="E31" i="13"/>
  <c r="J11" i="12"/>
  <c r="I11" i="48"/>
  <c r="G13" i="48"/>
  <c r="E14" i="48"/>
  <c r="E15" i="48"/>
  <c r="I17" i="48"/>
  <c r="I19" i="48"/>
  <c r="G21" i="48"/>
  <c r="E22" i="48"/>
  <c r="E23" i="48"/>
  <c r="I25" i="48"/>
  <c r="E17" i="47"/>
  <c r="E24" i="47"/>
  <c r="G23" i="24"/>
  <c r="E24" i="24"/>
  <c r="E25" i="24"/>
  <c r="G27" i="24"/>
  <c r="J11" i="9"/>
  <c r="J25" i="9"/>
  <c r="J11" i="1"/>
  <c r="I11" i="1"/>
  <c r="J11" i="31"/>
  <c r="J46" i="28"/>
  <c r="I46" i="28"/>
  <c r="J22" i="13"/>
  <c r="I22" i="13"/>
  <c r="J49" i="23"/>
  <c r="I49" i="23"/>
  <c r="J34" i="12"/>
  <c r="J11" i="36"/>
  <c r="I21" i="8"/>
  <c r="E37" i="35"/>
  <c r="E35" i="35"/>
  <c r="I23" i="35"/>
  <c r="E21" i="35"/>
  <c r="I26" i="15"/>
  <c r="E23" i="11"/>
  <c r="J23" i="47"/>
  <c r="G11" i="46"/>
  <c r="E12" i="46"/>
  <c r="J18" i="46"/>
  <c r="I18" i="46"/>
  <c r="J20" i="46"/>
  <c r="G20" i="46"/>
  <c r="J17" i="45"/>
  <c r="I17" i="45"/>
  <c r="I25" i="45"/>
  <c r="E25" i="45"/>
  <c r="J40" i="18"/>
  <c r="I40" i="18"/>
  <c r="J32" i="24"/>
  <c r="I32" i="24"/>
  <c r="I42" i="24"/>
  <c r="J36" i="42"/>
  <c r="G36" i="42"/>
  <c r="I38" i="42"/>
  <c r="E38" i="42"/>
  <c r="J26" i="9"/>
  <c r="I26" i="9"/>
  <c r="J30" i="9"/>
  <c r="I30" i="9"/>
  <c r="J27" i="17"/>
  <c r="J63" i="21"/>
  <c r="E63" i="21"/>
  <c r="J33" i="32"/>
  <c r="I33" i="32"/>
  <c r="J35" i="32"/>
  <c r="G35" i="32"/>
  <c r="J24" i="13"/>
  <c r="I24" i="13"/>
  <c r="J28" i="13"/>
  <c r="I28" i="13"/>
  <c r="J26" i="16"/>
  <c r="E26" i="16"/>
  <c r="I11" i="7"/>
  <c r="K25" i="57"/>
  <c r="K52" i="57" s="1"/>
  <c r="E58" i="60" s="1"/>
  <c r="E30" i="32"/>
  <c r="I30" i="32"/>
  <c r="E24" i="57"/>
  <c r="G20" i="56"/>
  <c r="I12" i="55"/>
  <c r="I16" i="55"/>
  <c r="I20" i="55"/>
  <c r="I24" i="55"/>
  <c r="I16" i="54"/>
  <c r="E19" i="54"/>
  <c r="I24" i="54"/>
  <c r="I11" i="53"/>
  <c r="E12" i="53"/>
  <c r="I15" i="53"/>
  <c r="E20" i="53"/>
  <c r="I23" i="53"/>
  <c r="E24" i="53"/>
  <c r="I15" i="52"/>
  <c r="G17" i="52"/>
  <c r="E18" i="52"/>
  <c r="I23" i="52"/>
  <c r="G25" i="52"/>
  <c r="I14" i="51"/>
  <c r="E15" i="51"/>
  <c r="I18" i="51"/>
  <c r="I22" i="51"/>
  <c r="E23" i="51"/>
  <c r="G11" i="50"/>
  <c r="E12" i="50"/>
  <c r="I17" i="50"/>
  <c r="G19" i="50"/>
  <c r="E20" i="50"/>
  <c r="I25" i="50"/>
  <c r="I13" i="49"/>
  <c r="I17" i="49"/>
  <c r="E18" i="49"/>
  <c r="I21" i="49"/>
  <c r="I25" i="49"/>
  <c r="I15" i="48"/>
  <c r="G17" i="48"/>
  <c r="E18" i="48"/>
  <c r="I23" i="48"/>
  <c r="G25" i="48"/>
  <c r="I14" i="47"/>
  <c r="J18" i="47"/>
  <c r="I18" i="47"/>
  <c r="G12" i="46"/>
  <c r="E13" i="46"/>
  <c r="E18" i="46"/>
  <c r="I20" i="46"/>
  <c r="E21" i="46"/>
  <c r="E17" i="45"/>
  <c r="J19" i="45"/>
  <c r="J24" i="45"/>
  <c r="J22" i="43"/>
  <c r="G22" i="43"/>
  <c r="J38" i="18"/>
  <c r="E40" i="18"/>
  <c r="J20" i="24"/>
  <c r="E32" i="24"/>
  <c r="J34" i="24"/>
  <c r="I34" i="24"/>
  <c r="J40" i="24"/>
  <c r="I40" i="24"/>
  <c r="I36" i="42"/>
  <c r="E37" i="42"/>
  <c r="L13" i="9"/>
  <c r="E23" i="9"/>
  <c r="E26" i="9"/>
  <c r="E30" i="9"/>
  <c r="J39" i="10"/>
  <c r="G39" i="10"/>
  <c r="J32" i="26"/>
  <c r="I32" i="26"/>
  <c r="J26" i="17"/>
  <c r="I26" i="17"/>
  <c r="I30" i="17"/>
  <c r="J41" i="31"/>
  <c r="E33" i="32"/>
  <c r="I35" i="32"/>
  <c r="J11" i="13"/>
  <c r="E11" i="13"/>
  <c r="E24" i="13"/>
  <c r="J25" i="13"/>
  <c r="E28" i="13"/>
  <c r="J29" i="13"/>
  <c r="E29" i="13"/>
  <c r="E11" i="23"/>
  <c r="E19" i="22"/>
  <c r="I32" i="18"/>
  <c r="E32" i="18"/>
  <c r="I30" i="18"/>
  <c r="E30" i="18"/>
  <c r="I28" i="18"/>
  <c r="E28" i="18"/>
  <c r="I26" i="18"/>
  <c r="E26" i="18"/>
  <c r="I24" i="18"/>
  <c r="E24" i="18"/>
  <c r="I22" i="18"/>
  <c r="E22" i="18"/>
  <c r="I20" i="18"/>
  <c r="E20" i="18"/>
  <c r="I18" i="18"/>
  <c r="E18" i="18"/>
  <c r="I16" i="18"/>
  <c r="E16" i="18"/>
  <c r="I14" i="18"/>
  <c r="E17" i="34"/>
  <c r="I17" i="34"/>
  <c r="J24" i="61"/>
  <c r="I24" i="61"/>
  <c r="E24" i="61"/>
  <c r="I29" i="61"/>
  <c r="E29" i="61"/>
  <c r="J40" i="61"/>
  <c r="I40" i="61"/>
  <c r="E40" i="61"/>
  <c r="J32" i="32"/>
  <c r="E32" i="32"/>
  <c r="E31" i="32"/>
  <c r="I31" i="32"/>
  <c r="E11" i="44"/>
  <c r="J11" i="44"/>
  <c r="J11" i="61"/>
  <c r="I11" i="61"/>
  <c r="E11" i="61"/>
  <c r="J32" i="61"/>
  <c r="I32" i="61"/>
  <c r="E32" i="61"/>
  <c r="I37" i="61"/>
  <c r="E37" i="61"/>
  <c r="J36" i="35"/>
  <c r="E36" i="35"/>
  <c r="I36" i="35"/>
  <c r="G36" i="35"/>
  <c r="J34" i="35"/>
  <c r="G34" i="35"/>
  <c r="E34" i="35"/>
  <c r="J32" i="35"/>
  <c r="E32" i="35"/>
  <c r="I32" i="35"/>
  <c r="J30" i="35"/>
  <c r="E30" i="35"/>
  <c r="I30" i="35"/>
  <c r="J28" i="35"/>
  <c r="E28" i="35"/>
  <c r="I28" i="35"/>
  <c r="J26" i="35"/>
  <c r="E26" i="35"/>
  <c r="I26" i="35"/>
  <c r="J24" i="35"/>
  <c r="E24" i="35"/>
  <c r="I24" i="35"/>
  <c r="J22" i="35"/>
  <c r="E22" i="35"/>
  <c r="I22" i="35"/>
  <c r="J21" i="25"/>
  <c r="G21" i="25"/>
  <c r="J19" i="25"/>
  <c r="E19" i="25"/>
  <c r="I19" i="25"/>
  <c r="G19" i="25"/>
  <c r="J17" i="25"/>
  <c r="J11" i="34"/>
  <c r="E11" i="34"/>
  <c r="I11" i="34"/>
  <c r="J22" i="61"/>
  <c r="E22" i="61"/>
  <c r="J26" i="61"/>
  <c r="I26" i="61"/>
  <c r="J28" i="61"/>
  <c r="G28" i="61"/>
  <c r="J30" i="61"/>
  <c r="E30" i="61"/>
  <c r="J34" i="61"/>
  <c r="I34" i="61"/>
  <c r="J36" i="61"/>
  <c r="G36" i="61"/>
  <c r="J38" i="61"/>
  <c r="E38" i="61"/>
  <c r="E12" i="8"/>
  <c r="I12" i="8"/>
  <c r="J31" i="27"/>
  <c r="G31" i="27"/>
  <c r="J20" i="27"/>
  <c r="E20" i="27"/>
  <c r="I13" i="58"/>
  <c r="J14" i="45"/>
  <c r="I22" i="45"/>
  <c r="J18" i="43"/>
  <c r="G18" i="43"/>
  <c r="J20" i="43"/>
  <c r="G20" i="43"/>
  <c r="J25" i="43"/>
  <c r="E25" i="43"/>
  <c r="J37" i="18"/>
  <c r="J41" i="18"/>
  <c r="I41" i="18"/>
  <c r="J26" i="24"/>
  <c r="J31" i="24"/>
  <c r="J35" i="24"/>
  <c r="J39" i="24"/>
  <c r="I39" i="24"/>
  <c r="J43" i="24"/>
  <c r="J26" i="42"/>
  <c r="G26" i="42"/>
  <c r="J31" i="42"/>
  <c r="J34" i="42"/>
  <c r="G13" i="58"/>
  <c r="G18" i="57"/>
  <c r="I22" i="57"/>
  <c r="E11" i="56"/>
  <c r="E19" i="56"/>
  <c r="I13" i="55"/>
  <c r="G12" i="54"/>
  <c r="G16" i="54"/>
  <c r="G20" i="54"/>
  <c r="G24" i="54"/>
  <c r="E25" i="54"/>
  <c r="I12" i="53"/>
  <c r="I14" i="53"/>
  <c r="I16" i="53"/>
  <c r="I18" i="53"/>
  <c r="I22" i="53"/>
  <c r="I24" i="53"/>
  <c r="G15" i="52"/>
  <c r="G19" i="52"/>
  <c r="E20" i="52"/>
  <c r="G23" i="52"/>
  <c r="E24" i="52"/>
  <c r="I11" i="51"/>
  <c r="I13" i="51"/>
  <c r="I15" i="51"/>
  <c r="I17" i="51"/>
  <c r="I19" i="51"/>
  <c r="I21" i="51"/>
  <c r="I23" i="51"/>
  <c r="I25" i="51"/>
  <c r="G13" i="50"/>
  <c r="G17" i="50"/>
  <c r="E18" i="50"/>
  <c r="G21" i="50"/>
  <c r="E22" i="50"/>
  <c r="G25" i="50"/>
  <c r="I12" i="49"/>
  <c r="I14" i="49"/>
  <c r="I16" i="49"/>
  <c r="I18" i="49"/>
  <c r="I20" i="49"/>
  <c r="I22" i="49"/>
  <c r="I24" i="49"/>
  <c r="G11" i="48"/>
  <c r="G15" i="48"/>
  <c r="E16" i="48"/>
  <c r="G19" i="48"/>
  <c r="E20" i="48"/>
  <c r="G23" i="48"/>
  <c r="E24" i="48"/>
  <c r="I17" i="47"/>
  <c r="I24" i="47"/>
  <c r="I28" i="47"/>
  <c r="E15" i="46"/>
  <c r="G18" i="46"/>
  <c r="E19" i="46"/>
  <c r="E23" i="46"/>
  <c r="I12" i="45"/>
  <c r="G12" i="45"/>
  <c r="E14" i="45"/>
  <c r="J20" i="45"/>
  <c r="E22" i="45"/>
  <c r="E23" i="45"/>
  <c r="J11" i="43"/>
  <c r="G11" i="43"/>
  <c r="I12" i="43"/>
  <c r="E12" i="43"/>
  <c r="I18" i="43"/>
  <c r="I20" i="43"/>
  <c r="G24" i="43"/>
  <c r="J35" i="18"/>
  <c r="I35" i="18"/>
  <c r="I39" i="18"/>
  <c r="J22" i="24"/>
  <c r="E22" i="24"/>
  <c r="J25" i="24"/>
  <c r="G25" i="24"/>
  <c r="J29" i="24"/>
  <c r="I29" i="24"/>
  <c r="J33" i="24"/>
  <c r="I33" i="24"/>
  <c r="J37" i="24"/>
  <c r="I37" i="24"/>
  <c r="J41" i="24"/>
  <c r="I41" i="24"/>
  <c r="J11" i="42"/>
  <c r="E11" i="42"/>
  <c r="E27" i="42"/>
  <c r="J30" i="42"/>
  <c r="G30" i="42"/>
  <c r="J35" i="42"/>
  <c r="E35" i="42"/>
  <c r="J38" i="42"/>
  <c r="G29" i="32"/>
  <c r="I11" i="32"/>
  <c r="G20" i="13"/>
  <c r="E24" i="16"/>
  <c r="I33" i="12"/>
  <c r="I30" i="12"/>
  <c r="J17" i="12"/>
  <c r="G17" i="12"/>
  <c r="I23" i="9"/>
  <c r="I25" i="9"/>
  <c r="I29" i="9"/>
  <c r="G11" i="10"/>
  <c r="G11" i="26"/>
  <c r="G32" i="26"/>
  <c r="E11" i="17"/>
  <c r="I27" i="17"/>
  <c r="G11" i="1"/>
  <c r="I11" i="31"/>
  <c r="E11" i="33"/>
  <c r="I63" i="21"/>
  <c r="G35" i="20"/>
  <c r="G33" i="32"/>
  <c r="E34" i="32"/>
  <c r="I11" i="13"/>
  <c r="I23" i="13"/>
  <c r="I27" i="13"/>
  <c r="I29" i="13"/>
  <c r="I31" i="13"/>
  <c r="G11" i="7"/>
  <c r="I34" i="12"/>
  <c r="G21" i="22"/>
  <c r="E11" i="8"/>
  <c r="G32" i="32"/>
  <c r="J32" i="12"/>
  <c r="E32" i="12"/>
  <c r="J28" i="12"/>
  <c r="G28" i="12"/>
  <c r="J21" i="11"/>
  <c r="I21" i="11"/>
  <c r="E38" i="10"/>
  <c r="I38" i="10"/>
  <c r="E11" i="41"/>
  <c r="G11" i="41"/>
  <c r="I13" i="41"/>
  <c r="I18" i="34"/>
  <c r="I20" i="8"/>
  <c r="I19" i="8"/>
  <c r="G37" i="35"/>
  <c r="G35" i="35"/>
  <c r="G23" i="35"/>
  <c r="G21" i="35"/>
  <c r="I33" i="35"/>
  <c r="E33" i="35"/>
  <c r="I31" i="35"/>
  <c r="E31" i="35"/>
  <c r="I29" i="35"/>
  <c r="E29" i="35"/>
  <c r="I27" i="35"/>
  <c r="E27" i="35"/>
  <c r="I25" i="35"/>
  <c r="E25" i="35"/>
  <c r="G11" i="61"/>
  <c r="I22" i="61"/>
  <c r="G24" i="61"/>
  <c r="E25" i="61"/>
  <c r="I30" i="61"/>
  <c r="G32" i="61"/>
  <c r="E33" i="61"/>
  <c r="I38" i="61"/>
  <c r="G40" i="61"/>
  <c r="E41" i="61"/>
  <c r="G34" i="30"/>
  <c r="J18" i="59"/>
  <c r="J20" i="59"/>
  <c r="J22" i="59"/>
  <c r="E24" i="59"/>
  <c r="I14" i="59"/>
  <c r="J16" i="59"/>
  <c r="J24" i="59"/>
  <c r="J12" i="57"/>
  <c r="J14" i="57"/>
  <c r="J16" i="57"/>
  <c r="J19" i="57"/>
  <c r="J21" i="57"/>
  <c r="J23" i="57"/>
  <c r="I15" i="56"/>
  <c r="I19" i="56"/>
  <c r="I23" i="56"/>
  <c r="G17" i="55"/>
  <c r="G21" i="55"/>
  <c r="I11" i="54"/>
  <c r="I19" i="54"/>
  <c r="I23" i="54"/>
  <c r="I25" i="54"/>
  <c r="G12" i="53"/>
  <c r="G14" i="53"/>
  <c r="G16" i="53"/>
  <c r="G18" i="53"/>
  <c r="G20" i="53"/>
  <c r="G22" i="53"/>
  <c r="G24" i="53"/>
  <c r="I11" i="52"/>
  <c r="G12" i="52"/>
  <c r="I14" i="52"/>
  <c r="I16" i="52"/>
  <c r="I18" i="52"/>
  <c r="I20" i="52"/>
  <c r="I22" i="52"/>
  <c r="I24" i="52"/>
  <c r="G11" i="51"/>
  <c r="G13" i="51"/>
  <c r="G15" i="51"/>
  <c r="G17" i="51"/>
  <c r="G19" i="51"/>
  <c r="G21" i="51"/>
  <c r="G23" i="51"/>
  <c r="G25" i="51"/>
  <c r="I12" i="50"/>
  <c r="I14" i="50"/>
  <c r="I16" i="50"/>
  <c r="I18" i="50"/>
  <c r="I20" i="50"/>
  <c r="I22" i="50"/>
  <c r="I24" i="50"/>
  <c r="G11" i="49"/>
  <c r="G13" i="49"/>
  <c r="G15" i="49"/>
  <c r="G17" i="49"/>
  <c r="G19" i="49"/>
  <c r="G21" i="49"/>
  <c r="G23" i="49"/>
  <c r="G25" i="49"/>
  <c r="I12" i="48"/>
  <c r="I14" i="48"/>
  <c r="I16" i="48"/>
  <c r="I18" i="48"/>
  <c r="I20" i="48"/>
  <c r="I22" i="48"/>
  <c r="I24" i="48"/>
  <c r="G24" i="47"/>
  <c r="I15" i="46"/>
  <c r="I19" i="46"/>
  <c r="I23" i="46"/>
  <c r="G13" i="45"/>
  <c r="G17" i="45"/>
  <c r="G21" i="45"/>
  <c r="J13" i="43"/>
  <c r="I13" i="43"/>
  <c r="J17" i="43"/>
  <c r="I17" i="43"/>
  <c r="J21" i="43"/>
  <c r="I21" i="43"/>
  <c r="G23" i="45"/>
  <c r="J25" i="45"/>
  <c r="G25" i="45"/>
  <c r="J15" i="43"/>
  <c r="I15" i="43"/>
  <c r="J19" i="43"/>
  <c r="I19" i="43"/>
  <c r="I25" i="43"/>
  <c r="G35" i="18"/>
  <c r="G37" i="18"/>
  <c r="G41" i="18"/>
  <c r="I22" i="24"/>
  <c r="I24" i="24"/>
  <c r="I26" i="24"/>
  <c r="I28" i="24"/>
  <c r="G30" i="24"/>
  <c r="G32" i="24"/>
  <c r="G34" i="24"/>
  <c r="G36" i="24"/>
  <c r="G38" i="24"/>
  <c r="G40" i="24"/>
  <c r="G42" i="24"/>
  <c r="G46" i="24"/>
  <c r="I11" i="42"/>
  <c r="I29" i="42"/>
  <c r="I35" i="42"/>
  <c r="I37" i="42"/>
  <c r="G24" i="9"/>
  <c r="G26" i="9"/>
  <c r="G28" i="9"/>
  <c r="G30" i="9"/>
  <c r="E39" i="10"/>
  <c r="I39" i="10"/>
  <c r="J11" i="17"/>
  <c r="G11" i="17"/>
  <c r="E18" i="12"/>
  <c r="G26" i="17"/>
  <c r="G28" i="17"/>
  <c r="I31" i="1"/>
  <c r="G63" i="21"/>
  <c r="G11" i="28"/>
  <c r="G46" i="28"/>
  <c r="I34" i="32"/>
  <c r="G11" i="13"/>
  <c r="G23" i="13"/>
  <c r="G25" i="13"/>
  <c r="G27" i="13"/>
  <c r="G29" i="13"/>
  <c r="G31" i="13"/>
  <c r="I26" i="16"/>
  <c r="I32" i="7"/>
  <c r="G34" i="12"/>
  <c r="I11" i="22"/>
  <c r="I21" i="13"/>
  <c r="G24" i="16"/>
  <c r="G32" i="12"/>
  <c r="G23" i="12"/>
  <c r="I27" i="12"/>
  <c r="I26" i="12"/>
  <c r="I25" i="12"/>
  <c r="E25" i="12"/>
  <c r="I24" i="12"/>
  <c r="J19" i="12"/>
  <c r="G19" i="12"/>
  <c r="I37" i="10"/>
  <c r="G11" i="36"/>
  <c r="E18" i="34"/>
  <c r="I11" i="29"/>
  <c r="G22" i="61"/>
  <c r="E23" i="61"/>
  <c r="G26" i="61"/>
  <c r="E27" i="61"/>
  <c r="G30" i="61"/>
  <c r="E31" i="61"/>
  <c r="G34" i="61"/>
  <c r="E35" i="61"/>
  <c r="G38" i="61"/>
  <c r="E39" i="61"/>
  <c r="I18" i="44"/>
  <c r="I11" i="44"/>
  <c r="O27" i="44"/>
  <c r="K109" i="44" s="1"/>
  <c r="G34" i="60" s="1"/>
  <c r="E25" i="27"/>
  <c r="G28" i="27"/>
  <c r="J28" i="27"/>
  <c r="G27" i="27"/>
  <c r="J27" i="27"/>
  <c r="G22" i="27"/>
  <c r="J22" i="27"/>
  <c r="G32" i="27"/>
  <c r="J32" i="27"/>
  <c r="I28" i="27"/>
  <c r="E27" i="27"/>
  <c r="I22" i="27"/>
  <c r="G19" i="27"/>
  <c r="E19" i="27"/>
  <c r="I19" i="27"/>
  <c r="I11" i="36"/>
  <c r="O35" i="36"/>
  <c r="K65" i="36"/>
  <c r="G33" i="60" s="1"/>
  <c r="O21" i="34"/>
  <c r="K48" i="34" s="1"/>
  <c r="G26" i="60" s="1"/>
  <c r="I11" i="30"/>
  <c r="I22" i="8"/>
  <c r="I18" i="8"/>
  <c r="I18" i="11"/>
  <c r="G25" i="11"/>
  <c r="E21" i="11"/>
  <c r="O26" i="11"/>
  <c r="K49" i="11"/>
  <c r="G20" i="60" s="1"/>
  <c r="E25" i="11"/>
  <c r="I25" i="11"/>
  <c r="G21" i="11"/>
  <c r="I11" i="11"/>
  <c r="I20" i="11"/>
  <c r="E37" i="29"/>
  <c r="I28" i="41"/>
  <c r="E11" i="15"/>
  <c r="I11" i="15"/>
  <c r="I11" i="8"/>
  <c r="E22" i="8"/>
  <c r="E20" i="8"/>
  <c r="E18" i="8"/>
  <c r="I19" i="44"/>
  <c r="E23" i="44"/>
  <c r="E11" i="35"/>
  <c r="I11" i="35"/>
  <c r="G18" i="41"/>
  <c r="G26" i="41"/>
  <c r="G28" i="41"/>
  <c r="G19" i="41"/>
  <c r="I11" i="41"/>
  <c r="J11" i="41"/>
  <c r="E22" i="41"/>
  <c r="I24" i="41"/>
  <c r="O29" i="41"/>
  <c r="K141" i="41"/>
  <c r="G14" i="60" s="1"/>
  <c r="J24" i="41"/>
  <c r="G22" i="41"/>
  <c r="G20" i="41"/>
  <c r="J13" i="41"/>
  <c r="E11" i="30"/>
  <c r="E20" i="11"/>
  <c r="I16" i="25"/>
  <c r="E16" i="25"/>
  <c r="I37" i="29"/>
  <c r="E21" i="44"/>
  <c r="I21" i="44"/>
  <c r="G23" i="44"/>
  <c r="E24" i="44"/>
  <c r="G18" i="44"/>
  <c r="G11" i="44"/>
  <c r="E25" i="44"/>
  <c r="E20" i="44"/>
  <c r="I25" i="44"/>
  <c r="G19" i="44"/>
  <c r="G21" i="44"/>
  <c r="E22" i="44"/>
  <c r="G25" i="44"/>
  <c r="E26" i="44"/>
  <c r="I20" i="44"/>
  <c r="I22" i="44"/>
  <c r="I24" i="44"/>
  <c r="I26" i="44"/>
  <c r="J11" i="27"/>
  <c r="O34" i="27"/>
  <c r="K111" i="27" s="1"/>
  <c r="G43" i="60" s="1"/>
  <c r="I25" i="27"/>
  <c r="E31" i="27"/>
  <c r="G20" i="27"/>
  <c r="I26" i="27"/>
  <c r="G25" i="27"/>
  <c r="E33" i="27"/>
  <c r="I33" i="27"/>
  <c r="I31" i="27"/>
  <c r="E26" i="27"/>
  <c r="G11" i="15"/>
  <c r="E26" i="15"/>
  <c r="O36" i="15"/>
  <c r="K166" i="15" s="1"/>
  <c r="G27" i="60" s="1"/>
  <c r="G26" i="15"/>
  <c r="G18" i="34"/>
  <c r="I29" i="30"/>
  <c r="I26" i="30"/>
  <c r="I15" i="30"/>
  <c r="I31" i="30"/>
  <c r="I16" i="30"/>
  <c r="G11" i="30"/>
  <c r="O47" i="30"/>
  <c r="K90" i="30"/>
  <c r="G21" i="60" s="1"/>
  <c r="G37" i="30"/>
  <c r="E26" i="30"/>
  <c r="I23" i="30"/>
  <c r="I22" i="30"/>
  <c r="I21" i="30"/>
  <c r="I19" i="30"/>
  <c r="I18" i="30"/>
  <c r="E16" i="30"/>
  <c r="I35" i="30"/>
  <c r="E46" i="30"/>
  <c r="G39" i="30"/>
  <c r="I38" i="30"/>
  <c r="I37" i="30"/>
  <c r="G36" i="30"/>
  <c r="I33" i="30"/>
  <c r="I32" i="30"/>
  <c r="E29" i="30"/>
  <c r="I28" i="30"/>
  <c r="I27" i="30"/>
  <c r="E23" i="30"/>
  <c r="I46" i="30"/>
  <c r="I34" i="30"/>
  <c r="E32" i="30"/>
  <c r="I30" i="30"/>
  <c r="J27" i="30"/>
  <c r="G26" i="30"/>
  <c r="G25" i="30"/>
  <c r="I24" i="30"/>
  <c r="E21" i="30"/>
  <c r="I20" i="30"/>
  <c r="E18" i="30"/>
  <c r="I17" i="30"/>
  <c r="G46" i="30"/>
  <c r="E38" i="30"/>
  <c r="E33" i="30"/>
  <c r="E30" i="30"/>
  <c r="E28" i="30"/>
  <c r="E24" i="30"/>
  <c r="E22" i="30"/>
  <c r="E20" i="30"/>
  <c r="E19" i="30"/>
  <c r="J17" i="30"/>
  <c r="G16" i="30"/>
  <c r="G15" i="30"/>
  <c r="G14" i="30"/>
  <c r="G22" i="8"/>
  <c r="G20" i="8"/>
  <c r="G18" i="8"/>
  <c r="G23" i="11"/>
  <c r="E24" i="11"/>
  <c r="E11" i="11"/>
  <c r="G20" i="11"/>
  <c r="G19" i="11"/>
  <c r="G18" i="11"/>
  <c r="I22" i="11"/>
  <c r="I24" i="11"/>
  <c r="G11" i="11"/>
  <c r="G37" i="29"/>
  <c r="E11" i="59"/>
  <c r="E13" i="59"/>
  <c r="I13" i="59"/>
  <c r="E19" i="59"/>
  <c r="E14" i="58"/>
  <c r="I14" i="58"/>
  <c r="E18" i="58"/>
  <c r="I18" i="58"/>
  <c r="E24" i="58"/>
  <c r="I24" i="58"/>
  <c r="E11" i="57"/>
  <c r="E13" i="57"/>
  <c r="I13" i="57"/>
  <c r="G11" i="59"/>
  <c r="G13" i="59"/>
  <c r="G15" i="59"/>
  <c r="G17" i="59"/>
  <c r="J17" i="59"/>
  <c r="G21" i="59"/>
  <c r="J21" i="59"/>
  <c r="G12" i="58"/>
  <c r="J12" i="58"/>
  <c r="G14" i="58"/>
  <c r="G16" i="58"/>
  <c r="J16" i="58"/>
  <c r="G18" i="58"/>
  <c r="G20" i="58"/>
  <c r="J20" i="58"/>
  <c r="G22" i="58"/>
  <c r="J22" i="58"/>
  <c r="G24" i="58"/>
  <c r="G13" i="57"/>
  <c r="G17" i="57"/>
  <c r="E18" i="57"/>
  <c r="G20" i="57"/>
  <c r="G22" i="57"/>
  <c r="G24" i="57"/>
  <c r="G11" i="56"/>
  <c r="G13" i="56"/>
  <c r="G15" i="56"/>
  <c r="G17" i="56"/>
  <c r="G19" i="56"/>
  <c r="G21" i="56"/>
  <c r="G23" i="56"/>
  <c r="G12" i="55"/>
  <c r="G14" i="55"/>
  <c r="G16" i="55"/>
  <c r="G18" i="55"/>
  <c r="G20" i="55"/>
  <c r="G22" i="55"/>
  <c r="G24" i="55"/>
  <c r="G11" i="54"/>
  <c r="G13" i="54"/>
  <c r="G15" i="54"/>
  <c r="G17" i="54"/>
  <c r="G19" i="54"/>
  <c r="G21" i="54"/>
  <c r="G23" i="54"/>
  <c r="G25" i="54"/>
  <c r="G11" i="53"/>
  <c r="G13" i="53"/>
  <c r="G15" i="53"/>
  <c r="G17" i="53"/>
  <c r="G21" i="53"/>
  <c r="G23" i="53"/>
  <c r="G25" i="53"/>
  <c r="G11" i="52"/>
  <c r="E12" i="52"/>
  <c r="G14" i="52"/>
  <c r="G16" i="52"/>
  <c r="G18" i="52"/>
  <c r="G20" i="52"/>
  <c r="G22" i="52"/>
  <c r="G24" i="52"/>
  <c r="G12" i="51"/>
  <c r="G14" i="51"/>
  <c r="G16" i="51"/>
  <c r="G18" i="51"/>
  <c r="G20" i="51"/>
  <c r="G22" i="51"/>
  <c r="G24" i="51"/>
  <c r="G12" i="50"/>
  <c r="G14" i="50"/>
  <c r="G16" i="50"/>
  <c r="G18" i="50"/>
  <c r="G20" i="50"/>
  <c r="G22" i="50"/>
  <c r="G24" i="50"/>
  <c r="G12" i="49"/>
  <c r="G14" i="49"/>
  <c r="G16" i="49"/>
  <c r="G18" i="49"/>
  <c r="G20" i="49"/>
  <c r="G22" i="49"/>
  <c r="G24" i="49"/>
  <c r="G12" i="48"/>
  <c r="G14" i="48"/>
  <c r="G16" i="48"/>
  <c r="G18" i="48"/>
  <c r="G20" i="48"/>
  <c r="G22" i="48"/>
  <c r="G24" i="48"/>
  <c r="G16" i="47"/>
  <c r="G27" i="47"/>
  <c r="G29" i="47"/>
  <c r="G33" i="47"/>
  <c r="G13" i="46"/>
  <c r="G15" i="46"/>
  <c r="G17" i="46"/>
  <c r="G19" i="46"/>
  <c r="G21" i="46"/>
  <c r="G23" i="46"/>
  <c r="G25" i="46"/>
  <c r="G11" i="45"/>
  <c r="E12" i="45"/>
  <c r="G14" i="45"/>
  <c r="G16" i="45"/>
  <c r="G18" i="45"/>
  <c r="G20" i="45"/>
  <c r="G22" i="45"/>
  <c r="G24" i="45"/>
  <c r="G13" i="43"/>
  <c r="G15" i="43"/>
  <c r="G17" i="43"/>
  <c r="G19" i="43"/>
  <c r="G21" i="43"/>
  <c r="G23" i="43"/>
  <c r="G25" i="43"/>
  <c r="G34" i="18"/>
  <c r="G36" i="18"/>
  <c r="G38" i="18"/>
  <c r="G40" i="18"/>
  <c r="G20" i="24"/>
  <c r="G22" i="24"/>
  <c r="G24" i="24"/>
  <c r="G26" i="24"/>
  <c r="G28" i="24"/>
  <c r="G16" i="5"/>
  <c r="I16" i="5"/>
  <c r="J16" i="5"/>
  <c r="I17" i="5"/>
  <c r="J17" i="5"/>
  <c r="H17" i="5"/>
  <c r="I19" i="5"/>
  <c r="J19" i="5"/>
  <c r="H19" i="5"/>
  <c r="I20" i="5"/>
  <c r="J20" i="5" s="1"/>
  <c r="H20" i="5"/>
  <c r="G23" i="5"/>
  <c r="H27" i="5"/>
  <c r="J27" i="5"/>
  <c r="H29" i="5"/>
  <c r="H31" i="5"/>
  <c r="H38" i="5"/>
  <c r="G41" i="5"/>
  <c r="H43" i="5"/>
  <c r="H45" i="5"/>
  <c r="G47" i="5"/>
  <c r="H50" i="5"/>
  <c r="J50" i="5"/>
  <c r="G55" i="5"/>
  <c r="I55" i="5"/>
  <c r="J55" i="5"/>
  <c r="G58" i="5"/>
  <c r="I58" i="5"/>
  <c r="J58" i="5" s="1"/>
  <c r="K58" i="5" s="1"/>
  <c r="G60" i="5"/>
  <c r="I60" i="5"/>
  <c r="G63" i="5"/>
  <c r="I63" i="5"/>
  <c r="G66" i="5"/>
  <c r="G68" i="5"/>
  <c r="J68" i="5"/>
  <c r="H68" i="5"/>
  <c r="G72" i="5"/>
  <c r="K72" i="5" s="1"/>
  <c r="H72" i="5"/>
  <c r="I72" i="5"/>
  <c r="J72" i="5" s="1"/>
  <c r="I73" i="5"/>
  <c r="H73" i="5"/>
  <c r="I74" i="5"/>
  <c r="H74" i="5"/>
  <c r="G76" i="5"/>
  <c r="G78" i="5"/>
  <c r="I78" i="5"/>
  <c r="J78" i="5"/>
  <c r="I83" i="5"/>
  <c r="G85" i="5"/>
  <c r="H85" i="5"/>
  <c r="I85" i="5"/>
  <c r="J85" i="5" s="1"/>
  <c r="G87" i="5"/>
  <c r="J87" i="5"/>
  <c r="G89" i="5"/>
  <c r="K89" i="5" s="1"/>
  <c r="I89" i="5"/>
  <c r="J89" i="5" s="1"/>
  <c r="G91" i="5"/>
  <c r="K91" i="5" s="1"/>
  <c r="I91" i="5"/>
  <c r="J91" i="5" s="1"/>
  <c r="H91" i="5"/>
  <c r="G110" i="5"/>
  <c r="G113" i="5"/>
  <c r="I113" i="5"/>
  <c r="J113" i="5" s="1"/>
  <c r="K113" i="5" s="1"/>
  <c r="G115" i="5"/>
  <c r="H125" i="5"/>
  <c r="J125" i="5"/>
  <c r="H127" i="5"/>
  <c r="J127" i="5"/>
  <c r="K127" i="5" s="1"/>
  <c r="H130" i="5"/>
  <c r="H140" i="5"/>
  <c r="H148" i="5"/>
  <c r="H152" i="5"/>
  <c r="J152" i="5"/>
  <c r="H156" i="5"/>
  <c r="G156" i="5"/>
  <c r="K156" i="5" s="1"/>
  <c r="H158" i="5"/>
  <c r="J158" i="5"/>
  <c r="G163" i="5"/>
  <c r="G170" i="5"/>
  <c r="G172" i="5"/>
  <c r="J172" i="5"/>
  <c r="G174" i="5"/>
  <c r="G178" i="5"/>
  <c r="H178" i="5"/>
  <c r="I179" i="5"/>
  <c r="J179" i="5" s="1"/>
  <c r="H179" i="5"/>
  <c r="I181" i="5"/>
  <c r="G185" i="5"/>
  <c r="I185" i="5"/>
  <c r="J185" i="5" s="1"/>
  <c r="H185" i="5"/>
  <c r="K185" i="5" s="1"/>
  <c r="G189" i="5"/>
  <c r="I189" i="5"/>
  <c r="J189" i="5" s="1"/>
  <c r="G192" i="5"/>
  <c r="H196" i="5"/>
  <c r="J196" i="5"/>
  <c r="H199" i="5"/>
  <c r="J199" i="5"/>
  <c r="K199" i="5" s="1"/>
  <c r="J63" i="28" s="1"/>
  <c r="K63" i="28" s="1"/>
  <c r="G203" i="5"/>
  <c r="K203" i="5" s="1"/>
  <c r="J203" i="5"/>
  <c r="G205" i="5"/>
  <c r="K205" i="5" s="1"/>
  <c r="I205" i="5"/>
  <c r="J205" i="5"/>
  <c r="I206" i="5"/>
  <c r="J206" i="5"/>
  <c r="G218" i="5"/>
  <c r="I218" i="5"/>
  <c r="J218" i="5"/>
  <c r="G221" i="5"/>
  <c r="J221" i="5"/>
  <c r="G225" i="5"/>
  <c r="I225" i="5"/>
  <c r="J225" i="5" s="1"/>
  <c r="H231" i="5"/>
  <c r="H237" i="5"/>
  <c r="J237" i="5"/>
  <c r="H240" i="5"/>
  <c r="H243" i="5"/>
  <c r="J243" i="5"/>
  <c r="H245" i="5"/>
  <c r="J245" i="5"/>
  <c r="H247" i="5"/>
  <c r="H264" i="5"/>
  <c r="G264" i="5"/>
  <c r="K264" i="5" s="1"/>
  <c r="H266" i="5"/>
  <c r="J266" i="5"/>
  <c r="H268" i="5"/>
  <c r="H270" i="5"/>
  <c r="H272" i="5"/>
  <c r="K272" i="5" s="1"/>
  <c r="G272" i="5"/>
  <c r="J272" i="5"/>
  <c r="H274" i="5"/>
  <c r="G279" i="5"/>
  <c r="G299" i="5"/>
  <c r="I299" i="5"/>
  <c r="J299" i="5"/>
  <c r="G301" i="5"/>
  <c r="H251" i="5"/>
  <c r="G251" i="5"/>
  <c r="H250" i="5"/>
  <c r="G250" i="5"/>
  <c r="E15" i="59"/>
  <c r="E17" i="59"/>
  <c r="E21" i="59"/>
  <c r="E12" i="58"/>
  <c r="E16" i="58"/>
  <c r="E20" i="58"/>
  <c r="E22" i="58"/>
  <c r="G29" i="24"/>
  <c r="G31" i="24"/>
  <c r="G33" i="24"/>
  <c r="G35" i="24"/>
  <c r="G37" i="24"/>
  <c r="G39" i="24"/>
  <c r="G41" i="24"/>
  <c r="G43" i="24"/>
  <c r="G45" i="24"/>
  <c r="G47" i="24"/>
  <c r="G11" i="42"/>
  <c r="G27" i="42"/>
  <c r="G29" i="42"/>
  <c r="G31" i="42"/>
  <c r="G33" i="42"/>
  <c r="G35" i="42"/>
  <c r="G37" i="42"/>
  <c r="G11" i="35"/>
  <c r="G23" i="9"/>
  <c r="G25" i="9"/>
  <c r="G27" i="9"/>
  <c r="G29" i="9"/>
  <c r="G27" i="17"/>
  <c r="G29" i="17"/>
  <c r="G31" i="1"/>
  <c r="G11" i="31"/>
  <c r="G41" i="31"/>
  <c r="G11" i="33"/>
  <c r="G34" i="32"/>
  <c r="G22" i="13"/>
  <c r="G24" i="13"/>
  <c r="G26" i="13"/>
  <c r="G28" i="13"/>
  <c r="G30" i="13"/>
  <c r="G26" i="16"/>
  <c r="G11" i="23"/>
  <c r="G32" i="7"/>
  <c r="G11" i="12"/>
  <c r="G20" i="44"/>
  <c r="G22" i="44"/>
  <c r="G24" i="44"/>
  <c r="G26" i="44"/>
  <c r="G22" i="11"/>
  <c r="G24" i="11"/>
  <c r="H16" i="5"/>
  <c r="K16" i="5"/>
  <c r="I23" i="5"/>
  <c r="J23" i="5" s="1"/>
  <c r="G24" i="5"/>
  <c r="I24" i="5"/>
  <c r="J24" i="5"/>
  <c r="G27" i="5"/>
  <c r="K27" i="5"/>
  <c r="G28" i="5"/>
  <c r="I28" i="5"/>
  <c r="J28" i="5"/>
  <c r="G29" i="5"/>
  <c r="K29" i="5" s="1"/>
  <c r="G30" i="5"/>
  <c r="I30" i="5"/>
  <c r="J30" i="5"/>
  <c r="G31" i="5"/>
  <c r="J39" i="5"/>
  <c r="G39" i="5"/>
  <c r="I41" i="5"/>
  <c r="J41" i="5" s="1"/>
  <c r="G42" i="5"/>
  <c r="K42" i="5" s="1"/>
  <c r="I42" i="5"/>
  <c r="G44" i="5"/>
  <c r="K44" i="5" s="1"/>
  <c r="I44" i="5"/>
  <c r="J44" i="5"/>
  <c r="G46" i="5"/>
  <c r="G49" i="5"/>
  <c r="K49" i="5" s="1"/>
  <c r="I49" i="5"/>
  <c r="J49" i="5"/>
  <c r="G50" i="5"/>
  <c r="K50" i="5" s="1"/>
  <c r="I52" i="5"/>
  <c r="J52" i="5" s="1"/>
  <c r="G54" i="5"/>
  <c r="H55" i="5"/>
  <c r="H57" i="5"/>
  <c r="H58" i="5"/>
  <c r="H59" i="5"/>
  <c r="J59" i="5"/>
  <c r="H62" i="5"/>
  <c r="H63" i="5"/>
  <c r="H66" i="5"/>
  <c r="H67" i="5"/>
  <c r="J67" i="5"/>
  <c r="K67" i="5" s="1"/>
  <c r="H69" i="5"/>
  <c r="J73" i="5"/>
  <c r="J74" i="5"/>
  <c r="H75" i="5"/>
  <c r="H78" i="5"/>
  <c r="K78" i="5" s="1"/>
  <c r="H82" i="5"/>
  <c r="J82" i="5"/>
  <c r="K82" i="5" s="1"/>
  <c r="H84" i="5"/>
  <c r="H87" i="5"/>
  <c r="K87" i="5" s="1"/>
  <c r="H88" i="5"/>
  <c r="H89" i="5"/>
  <c r="H90" i="5"/>
  <c r="H93" i="5"/>
  <c r="H104" i="5"/>
  <c r="H112" i="5"/>
  <c r="K112" i="5" s="1"/>
  <c r="J112" i="5"/>
  <c r="H113" i="5"/>
  <c r="H114" i="5"/>
  <c r="I115" i="5"/>
  <c r="J115" i="5" s="1"/>
  <c r="G118" i="5"/>
  <c r="I121" i="5"/>
  <c r="J121" i="5"/>
  <c r="H121" i="5"/>
  <c r="I122" i="5"/>
  <c r="J122" i="5"/>
  <c r="H122" i="5"/>
  <c r="I123" i="5"/>
  <c r="J123" i="5"/>
  <c r="H123" i="5"/>
  <c r="I124" i="5"/>
  <c r="J124" i="5" s="1"/>
  <c r="H124" i="5"/>
  <c r="G125" i="5"/>
  <c r="G126" i="5"/>
  <c r="I126" i="5"/>
  <c r="J126" i="5"/>
  <c r="K126" i="5" s="1"/>
  <c r="G127" i="5"/>
  <c r="G128" i="5"/>
  <c r="G131" i="5"/>
  <c r="K131" i="5" s="1"/>
  <c r="I131" i="5"/>
  <c r="J131" i="5"/>
  <c r="G136" i="5"/>
  <c r="G138" i="5"/>
  <c r="G139" i="5"/>
  <c r="K139" i="5" s="1"/>
  <c r="I139" i="5"/>
  <c r="J139" i="5"/>
  <c r="G140" i="5"/>
  <c r="G142" i="5"/>
  <c r="K142" i="5" s="1"/>
  <c r="I142" i="5"/>
  <c r="J142" i="5"/>
  <c r="G148" i="5"/>
  <c r="G149" i="5"/>
  <c r="I149" i="5"/>
  <c r="J149" i="5"/>
  <c r="G152" i="5"/>
  <c r="K152" i="5"/>
  <c r="G155" i="5"/>
  <c r="I155" i="5"/>
  <c r="J155" i="5"/>
  <c r="G157" i="5"/>
  <c r="K157" i="5" s="1"/>
  <c r="I157" i="5"/>
  <c r="J157" i="5"/>
  <c r="G158" i="5"/>
  <c r="G162" i="5"/>
  <c r="I163" i="5"/>
  <c r="J163" i="5"/>
  <c r="J169" i="5"/>
  <c r="G169" i="5"/>
  <c r="I170" i="5"/>
  <c r="J170" i="5"/>
  <c r="J171" i="5"/>
  <c r="G171" i="5"/>
  <c r="H172" i="5"/>
  <c r="H173" i="5"/>
  <c r="I174" i="5"/>
  <c r="J174" i="5"/>
  <c r="G176" i="5"/>
  <c r="H183" i="5"/>
  <c r="H186" i="5"/>
  <c r="H189" i="5"/>
  <c r="H191" i="5"/>
  <c r="I192" i="5"/>
  <c r="J192" i="5"/>
  <c r="G193" i="5"/>
  <c r="I193" i="5"/>
  <c r="J193" i="5" s="1"/>
  <c r="I195" i="5"/>
  <c r="J195" i="5"/>
  <c r="H195" i="5"/>
  <c r="G196" i="5"/>
  <c r="G198" i="5"/>
  <c r="I198" i="5"/>
  <c r="J198" i="5" s="1"/>
  <c r="G199" i="5"/>
  <c r="G200" i="5"/>
  <c r="K200" i="5" s="1"/>
  <c r="I200" i="5"/>
  <c r="J200" i="5" s="1"/>
  <c r="G201" i="5"/>
  <c r="G202" i="5"/>
  <c r="H203" i="5"/>
  <c r="H205" i="5"/>
  <c r="H212" i="5"/>
  <c r="H218" i="5"/>
  <c r="H221" i="5"/>
  <c r="H224" i="5"/>
  <c r="H225" i="5"/>
  <c r="G226" i="5"/>
  <c r="I226" i="5"/>
  <c r="J226" i="5" s="1"/>
  <c r="K226" i="5" s="1"/>
  <c r="I227" i="5"/>
  <c r="H227" i="5"/>
  <c r="G230" i="5"/>
  <c r="I230" i="5"/>
  <c r="I232" i="5"/>
  <c r="J232" i="5" s="1"/>
  <c r="G235" i="5"/>
  <c r="G236" i="5"/>
  <c r="I236" i="5"/>
  <c r="J236" i="5" s="1"/>
  <c r="G239" i="5"/>
  <c r="I239" i="5"/>
  <c r="G240" i="5"/>
  <c r="K240" i="5"/>
  <c r="G241" i="5"/>
  <c r="I241" i="5"/>
  <c r="J241" i="5" s="1"/>
  <c r="G243" i="5"/>
  <c r="K243" i="5" s="1"/>
  <c r="G244" i="5"/>
  <c r="I244" i="5"/>
  <c r="G245" i="5"/>
  <c r="K245" i="5"/>
  <c r="G246" i="5"/>
  <c r="I246" i="5"/>
  <c r="J246" i="5" s="1"/>
  <c r="G248" i="5"/>
  <c r="I262" i="5"/>
  <c r="J262" i="5" s="1"/>
  <c r="H262" i="5"/>
  <c r="G265" i="5"/>
  <c r="K265" i="5" s="1"/>
  <c r="I265" i="5"/>
  <c r="J265" i="5" s="1"/>
  <c r="G266" i="5"/>
  <c r="K266" i="5" s="1"/>
  <c r="G267" i="5"/>
  <c r="I267" i="5"/>
  <c r="J267" i="5"/>
  <c r="G268" i="5"/>
  <c r="G269" i="5"/>
  <c r="I269" i="5"/>
  <c r="J269" i="5" s="1"/>
  <c r="G270" i="5"/>
  <c r="I271" i="5"/>
  <c r="J271" i="5" s="1"/>
  <c r="G273" i="5"/>
  <c r="G275" i="5"/>
  <c r="I275" i="5"/>
  <c r="J275" i="5"/>
  <c r="K275" i="5" s="1"/>
  <c r="G276" i="5"/>
  <c r="G278" i="5"/>
  <c r="I279" i="5"/>
  <c r="J279" i="5"/>
  <c r="G280" i="5"/>
  <c r="K280" i="5" s="1"/>
  <c r="I280" i="5"/>
  <c r="J280" i="5" s="1"/>
  <c r="I281" i="5"/>
  <c r="J281" i="5"/>
  <c r="H281" i="5"/>
  <c r="I282" i="5"/>
  <c r="J282" i="5"/>
  <c r="H282" i="5"/>
  <c r="I283" i="5"/>
  <c r="J283" i="5"/>
  <c r="H283" i="5"/>
  <c r="H284" i="5"/>
  <c r="I285" i="5"/>
  <c r="I286" i="5"/>
  <c r="H286" i="5"/>
  <c r="I287" i="5"/>
  <c r="J287" i="5" s="1"/>
  <c r="H287" i="5"/>
  <c r="I288" i="5"/>
  <c r="J288" i="5"/>
  <c r="G291" i="5"/>
  <c r="I291" i="5"/>
  <c r="K291" i="5"/>
  <c r="I292" i="5"/>
  <c r="G292" i="5"/>
  <c r="I293" i="5"/>
  <c r="G293" i="5"/>
  <c r="I294" i="5"/>
  <c r="G294" i="5"/>
  <c r="I295" i="5"/>
  <c r="G295" i="5"/>
  <c r="I296" i="5"/>
  <c r="G296" i="5"/>
  <c r="H299" i="5"/>
  <c r="H300" i="5"/>
  <c r="H302" i="5"/>
  <c r="J302" i="5"/>
  <c r="K26" i="53"/>
  <c r="K45" i="53" s="1"/>
  <c r="E54" i="60" s="1"/>
  <c r="I251" i="5"/>
  <c r="K251" i="5" s="1"/>
  <c r="J251" i="5"/>
  <c r="I250" i="5"/>
  <c r="J250" i="5"/>
  <c r="K26" i="54"/>
  <c r="K45" i="54" s="1"/>
  <c r="H253" i="5"/>
  <c r="G129" i="5"/>
  <c r="I129" i="5"/>
  <c r="H129" i="5"/>
  <c r="J129" i="5"/>
  <c r="K129" i="5" s="1"/>
  <c r="J66" i="28" s="1"/>
  <c r="K66" i="28" s="1"/>
  <c r="G111" i="5"/>
  <c r="K111" i="5" s="1"/>
  <c r="I111" i="5"/>
  <c r="H111" i="5"/>
  <c r="J111" i="5"/>
  <c r="G143" i="5"/>
  <c r="I143" i="5"/>
  <c r="J143" i="5" s="1"/>
  <c r="H143" i="5"/>
  <c r="G137" i="5"/>
  <c r="K137" i="5" s="1"/>
  <c r="J137" i="5"/>
  <c r="H137" i="5"/>
  <c r="G168" i="5"/>
  <c r="I168" i="5"/>
  <c r="J168" i="5" s="1"/>
  <c r="H168" i="5"/>
  <c r="I107" i="5"/>
  <c r="J107" i="5"/>
  <c r="I32" i="5"/>
  <c r="I234" i="5"/>
  <c r="J234" i="5" s="1"/>
  <c r="I141" i="5"/>
  <c r="J141" i="5"/>
  <c r="I242" i="5"/>
  <c r="J242" i="5"/>
  <c r="G51" i="5"/>
  <c r="I51" i="5"/>
  <c r="J51" i="5"/>
  <c r="H135" i="5"/>
  <c r="J30" i="32"/>
  <c r="G30" i="32"/>
  <c r="J28" i="32"/>
  <c r="G28" i="32"/>
  <c r="J26" i="32"/>
  <c r="G26" i="32"/>
  <c r="G11" i="32"/>
  <c r="G102" i="5"/>
  <c r="I102" i="5"/>
  <c r="J102" i="5" s="1"/>
  <c r="G25" i="16"/>
  <c r="G23" i="16"/>
  <c r="G145" i="5"/>
  <c r="I145" i="5"/>
  <c r="J145" i="5" s="1"/>
  <c r="G95" i="5"/>
  <c r="I95" i="5"/>
  <c r="J95" i="5"/>
  <c r="G98" i="5"/>
  <c r="I98" i="5"/>
  <c r="J98" i="5"/>
  <c r="G99" i="5"/>
  <c r="I99" i="5"/>
  <c r="J99" i="5" s="1"/>
  <c r="K99" i="5" s="1"/>
  <c r="G100" i="5"/>
  <c r="I100" i="5"/>
  <c r="J100" i="5"/>
  <c r="G103" i="5"/>
  <c r="I103" i="5"/>
  <c r="I233" i="5"/>
  <c r="H153" i="5"/>
  <c r="J38" i="10"/>
  <c r="G38" i="10"/>
  <c r="J37" i="10"/>
  <c r="G37" i="10"/>
  <c r="J17" i="34"/>
  <c r="G17" i="34"/>
  <c r="J21" i="8"/>
  <c r="G21" i="8"/>
  <c r="J19" i="8"/>
  <c r="G19" i="8"/>
  <c r="J11" i="29"/>
  <c r="G11" i="29"/>
  <c r="G260" i="5"/>
  <c r="K260" i="5" s="1"/>
  <c r="I260" i="5"/>
  <c r="J260" i="5" s="1"/>
  <c r="J21" i="13"/>
  <c r="G21" i="13"/>
  <c r="H146" i="5"/>
  <c r="J146" i="5"/>
  <c r="H101" i="5"/>
  <c r="H105" i="5"/>
  <c r="H37" i="5"/>
  <c r="G214" i="5"/>
  <c r="I214" i="5"/>
  <c r="J214" i="5" s="1"/>
  <c r="G197" i="5"/>
  <c r="I197" i="5"/>
  <c r="J197" i="5" s="1"/>
  <c r="J33" i="12"/>
  <c r="G33" i="12"/>
  <c r="J31" i="12"/>
  <c r="J30" i="12"/>
  <c r="J27" i="12"/>
  <c r="G27" i="12"/>
  <c r="J29" i="12"/>
  <c r="G29" i="12"/>
  <c r="J26" i="12"/>
  <c r="J24" i="12"/>
  <c r="J21" i="12"/>
  <c r="J18" i="12"/>
  <c r="E11" i="27"/>
  <c r="I11" i="27"/>
  <c r="G194" i="5"/>
  <c r="I194" i="5"/>
  <c r="J194" i="5" s="1"/>
  <c r="J23" i="61"/>
  <c r="G23" i="61"/>
  <c r="J25" i="61"/>
  <c r="G25" i="61"/>
  <c r="J27" i="61"/>
  <c r="G27" i="61"/>
  <c r="J29" i="61"/>
  <c r="G29" i="61"/>
  <c r="J31" i="61"/>
  <c r="G31" i="61"/>
  <c r="J33" i="61"/>
  <c r="G33" i="61"/>
  <c r="J35" i="61"/>
  <c r="G35" i="61"/>
  <c r="J37" i="61"/>
  <c r="G37" i="61"/>
  <c r="J39" i="61"/>
  <c r="G39" i="61"/>
  <c r="J41" i="61"/>
  <c r="G41" i="61"/>
  <c r="G34" i="5"/>
  <c r="I34" i="5"/>
  <c r="J34" i="5"/>
  <c r="H34" i="5"/>
  <c r="G144" i="5"/>
  <c r="I144" i="5"/>
  <c r="J144" i="5"/>
  <c r="H144" i="5"/>
  <c r="K144" i="5" s="1"/>
  <c r="I56" i="5"/>
  <c r="I61" i="5"/>
  <c r="J61" i="5" s="1"/>
  <c r="K61" i="5" s="1"/>
  <c r="I159" i="5"/>
  <c r="J159" i="5" s="1"/>
  <c r="H184" i="5"/>
  <c r="O47" i="33"/>
  <c r="K81" i="33"/>
  <c r="G12" i="60"/>
  <c r="G151" i="5"/>
  <c r="K151" i="5" s="1"/>
  <c r="I151" i="5"/>
  <c r="J151" i="5"/>
  <c r="H119" i="5"/>
  <c r="H120" i="5"/>
  <c r="G190" i="5"/>
  <c r="I190" i="5"/>
  <c r="J190" i="5" s="1"/>
  <c r="K190" i="5" s="1"/>
  <c r="G228" i="5"/>
  <c r="K228" i="5" s="1"/>
  <c r="I228" i="5"/>
  <c r="J228" i="5" s="1"/>
  <c r="H190" i="5"/>
  <c r="H228" i="5"/>
  <c r="G180" i="5"/>
  <c r="I180" i="5"/>
  <c r="J180" i="5"/>
  <c r="H36" i="5"/>
  <c r="K36" i="5" s="1"/>
  <c r="J36" i="5"/>
  <c r="J31" i="30"/>
  <c r="I39" i="30"/>
  <c r="G38" i="30"/>
  <c r="I36" i="30"/>
  <c r="G33" i="30"/>
  <c r="G32" i="30"/>
  <c r="G30" i="30"/>
  <c r="G29" i="30"/>
  <c r="G28" i="30"/>
  <c r="I25" i="30"/>
  <c r="G24" i="30"/>
  <c r="G23" i="30"/>
  <c r="G22" i="30"/>
  <c r="G21" i="30"/>
  <c r="G20" i="30"/>
  <c r="G19" i="30"/>
  <c r="G18" i="30"/>
  <c r="I14" i="30"/>
  <c r="G31" i="30"/>
  <c r="G35" i="30"/>
  <c r="G26" i="27"/>
  <c r="K146" i="5"/>
  <c r="K143" i="5"/>
  <c r="K221" i="5"/>
  <c r="K194" i="5"/>
  <c r="J56" i="33" s="1"/>
  <c r="K56" i="33" s="1"/>
  <c r="K100" i="5"/>
  <c r="K95" i="5"/>
  <c r="K267" i="5"/>
  <c r="K149" i="5"/>
  <c r="K30" i="5"/>
  <c r="K180" i="5"/>
  <c r="K214" i="5"/>
  <c r="G21" i="27"/>
  <c r="I17" i="25"/>
  <c r="G18" i="12"/>
  <c r="G21" i="12"/>
  <c r="G24" i="12"/>
  <c r="G26" i="12"/>
  <c r="G30" i="12"/>
  <c r="G31" i="12"/>
  <c r="I31" i="12"/>
  <c r="I20" i="12"/>
  <c r="J23" i="16"/>
  <c r="I23" i="16"/>
  <c r="O40" i="35"/>
  <c r="K85" i="35" s="1"/>
  <c r="G36" i="60" s="1"/>
  <c r="G19" i="22"/>
  <c r="J21" i="22"/>
  <c r="G11" i="22"/>
  <c r="O22" i="22"/>
  <c r="K41" i="22" s="1"/>
  <c r="G31" i="60" s="1"/>
  <c r="I21" i="22"/>
  <c r="E23" i="41"/>
  <c r="I23" i="41"/>
  <c r="E26" i="41"/>
  <c r="E25" i="41"/>
  <c r="G23" i="41"/>
  <c r="G25" i="41"/>
  <c r="G17" i="25"/>
  <c r="G20" i="25"/>
  <c r="I20" i="25"/>
  <c r="E22" i="25"/>
  <c r="E24" i="25"/>
  <c r="G22" i="25"/>
  <c r="E20" i="25"/>
  <c r="G24" i="25"/>
  <c r="O35" i="12"/>
  <c r="K56" i="12"/>
  <c r="G32" i="60" s="1"/>
  <c r="J56" i="5"/>
  <c r="K56" i="5" s="1"/>
  <c r="J49" i="32" s="1"/>
  <c r="K49" i="32" s="1"/>
  <c r="J32" i="5"/>
  <c r="J42" i="5"/>
  <c r="J63" i="5"/>
  <c r="K63" i="5" s="1"/>
  <c r="K172" i="5"/>
  <c r="A228" i="5"/>
  <c r="A229" i="5"/>
  <c r="A230" i="5" s="1"/>
  <c r="A231" i="5" s="1"/>
  <c r="A232" i="5" s="1"/>
  <c r="A233" i="5" s="1"/>
  <c r="A234" i="5" s="1"/>
  <c r="A235" i="5" s="1"/>
  <c r="A236" i="5" s="1"/>
  <c r="A237" i="5" s="1"/>
  <c r="A238" i="5" s="1"/>
  <c r="A239" i="5" s="1"/>
  <c r="A240" i="5" s="1"/>
  <c r="A241" i="5" s="1"/>
  <c r="A242" i="5" s="1"/>
  <c r="A243" i="5" s="1"/>
  <c r="A244" i="5" s="1"/>
  <c r="A245" i="5" s="1"/>
  <c r="A246" i="5" s="1"/>
  <c r="A247" i="5" s="1"/>
  <c r="A248" i="5" s="1"/>
  <c r="A249" i="5" s="1"/>
  <c r="A250" i="5" s="1"/>
  <c r="A251" i="5" s="1"/>
  <c r="A252" i="5" s="1"/>
  <c r="A253" i="5" s="1"/>
  <c r="A254" i="5" s="1"/>
  <c r="A255" i="5" s="1"/>
  <c r="A257" i="5" s="1"/>
  <c r="A258" i="5" s="1"/>
  <c r="A259" i="5" s="1"/>
  <c r="A260" i="5" s="1"/>
  <c r="A261" i="5" s="1"/>
  <c r="A263" i="5" s="1"/>
  <c r="A264" i="5" s="1"/>
  <c r="A265" i="5" s="1"/>
  <c r="A266" i="5" s="1"/>
  <c r="A267" i="5" s="1"/>
  <c r="A268" i="5" s="1"/>
  <c r="A269" i="5" s="1"/>
  <c r="A270" i="5" s="1"/>
  <c r="A271" i="5" s="1"/>
  <c r="A272" i="5" s="1"/>
  <c r="A273" i="5" s="1"/>
  <c r="A274" i="5" s="1"/>
  <c r="A275" i="5" s="1"/>
  <c r="A276" i="5" s="1"/>
  <c r="A226" i="5"/>
  <c r="K268" i="5"/>
  <c r="K236" i="5"/>
  <c r="E23" i="59"/>
  <c r="I17" i="58"/>
  <c r="H242" i="5"/>
  <c r="K242" i="5" s="1"/>
  <c r="J11" i="58"/>
  <c r="G11" i="58"/>
  <c r="G15" i="58"/>
  <c r="J15" i="58"/>
  <c r="E15" i="58"/>
  <c r="I19" i="58"/>
  <c r="J19" i="58"/>
  <c r="E19" i="58"/>
  <c r="G19" i="58"/>
  <c r="I23" i="58"/>
  <c r="G23" i="58"/>
  <c r="J23" i="58"/>
  <c r="J17" i="57"/>
  <c r="I17" i="57"/>
  <c r="G21" i="57"/>
  <c r="I21" i="57"/>
  <c r="J13" i="55"/>
  <c r="E13" i="55"/>
  <c r="E17" i="55"/>
  <c r="J17" i="55"/>
  <c r="J21" i="55"/>
  <c r="E21" i="55"/>
  <c r="E11" i="54"/>
  <c r="J11" i="54"/>
  <c r="J23" i="54"/>
  <c r="E23" i="54"/>
  <c r="J19" i="47"/>
  <c r="I19" i="47"/>
  <c r="G19" i="47"/>
  <c r="J14" i="46"/>
  <c r="G14" i="46"/>
  <c r="E24" i="46"/>
  <c r="J24" i="46"/>
  <c r="J16" i="45"/>
  <c r="E16" i="45"/>
  <c r="E20" i="45"/>
  <c r="I20" i="45"/>
  <c r="I24" i="45"/>
  <c r="E24" i="45"/>
  <c r="E39" i="18"/>
  <c r="J39" i="18"/>
  <c r="G39" i="18"/>
  <c r="E45" i="24"/>
  <c r="J45" i="24"/>
  <c r="J27" i="42"/>
  <c r="I27" i="42"/>
  <c r="E31" i="42"/>
  <c r="I31" i="42"/>
  <c r="J22" i="9"/>
  <c r="G22" i="9"/>
  <c r="J29" i="9"/>
  <c r="E29" i="9"/>
  <c r="J11" i="33"/>
  <c r="I11" i="33"/>
  <c r="E35" i="20"/>
  <c r="I35" i="20"/>
  <c r="J19" i="22"/>
  <c r="J54" i="5"/>
  <c r="H54" i="5"/>
  <c r="I75" i="5"/>
  <c r="J75" i="5"/>
  <c r="G75" i="5"/>
  <c r="H162" i="5"/>
  <c r="I162" i="5"/>
  <c r="J162" i="5" s="1"/>
  <c r="O26" i="49"/>
  <c r="K47" i="49" s="1"/>
  <c r="G50" i="60" s="1"/>
  <c r="G105" i="5"/>
  <c r="I105" i="5"/>
  <c r="J105" i="5" s="1"/>
  <c r="L31" i="10"/>
  <c r="G11" i="57"/>
  <c r="G23" i="59"/>
  <c r="I11" i="57"/>
  <c r="I19" i="59"/>
  <c r="I11" i="59"/>
  <c r="I23" i="11"/>
  <c r="I33" i="42"/>
  <c r="E23" i="56"/>
  <c r="G17" i="58"/>
  <c r="I15" i="58"/>
  <c r="E17" i="57"/>
  <c r="I22" i="9"/>
  <c r="E11" i="58"/>
  <c r="E27" i="13"/>
  <c r="I30" i="24"/>
  <c r="E15" i="54"/>
  <c r="I14" i="46"/>
  <c r="E17" i="58"/>
  <c r="H169" i="5"/>
  <c r="J14" i="59"/>
  <c r="G14" i="59"/>
  <c r="E14" i="59"/>
  <c r="E18" i="59"/>
  <c r="G18" i="59"/>
  <c r="I18" i="59"/>
  <c r="E22" i="59"/>
  <c r="G22" i="59"/>
  <c r="I22" i="59"/>
  <c r="E14" i="57"/>
  <c r="G14" i="57"/>
  <c r="J12" i="56"/>
  <c r="I12" i="56"/>
  <c r="G12" i="56"/>
  <c r="E12" i="56"/>
  <c r="J16" i="56"/>
  <c r="E16" i="56"/>
  <c r="G16" i="56"/>
  <c r="J24" i="56"/>
  <c r="I24" i="56"/>
  <c r="J14" i="55"/>
  <c r="E14" i="55"/>
  <c r="I14" i="55"/>
  <c r="J22" i="55"/>
  <c r="I22" i="55"/>
  <c r="J16" i="54"/>
  <c r="E16" i="54"/>
  <c r="J20" i="54"/>
  <c r="E20" i="54"/>
  <c r="I20" i="54"/>
  <c r="J20" i="47"/>
  <c r="E20" i="47"/>
  <c r="J28" i="47"/>
  <c r="E28" i="47"/>
  <c r="E11" i="46"/>
  <c r="I11" i="46"/>
  <c r="J11" i="46"/>
  <c r="I21" i="46"/>
  <c r="J21" i="46"/>
  <c r="J25" i="46"/>
  <c r="E25" i="46"/>
  <c r="I25" i="46"/>
  <c r="E21" i="45"/>
  <c r="I21" i="45"/>
  <c r="J21" i="45"/>
  <c r="E20" i="24"/>
  <c r="I20" i="24"/>
  <c r="E31" i="24"/>
  <c r="I31" i="24"/>
  <c r="J42" i="24"/>
  <c r="E42" i="24"/>
  <c r="E46" i="24"/>
  <c r="J46" i="24"/>
  <c r="J28" i="42"/>
  <c r="E28" i="42"/>
  <c r="I28" i="42"/>
  <c r="E25" i="13"/>
  <c r="I25" i="13"/>
  <c r="I11" i="16"/>
  <c r="J11" i="16"/>
  <c r="E11" i="16"/>
  <c r="J11" i="7"/>
  <c r="E11" i="7"/>
  <c r="J22" i="11"/>
  <c r="E22" i="11"/>
  <c r="J20" i="12"/>
  <c r="J13" i="58"/>
  <c r="E13" i="58"/>
  <c r="J21" i="58"/>
  <c r="E21" i="58"/>
  <c r="E15" i="57"/>
  <c r="J15" i="57"/>
  <c r="I19" i="57"/>
  <c r="E19" i="57"/>
  <c r="G19" i="57"/>
  <c r="E23" i="57"/>
  <c r="I23" i="57"/>
  <c r="G23" i="57"/>
  <c r="I13" i="56"/>
  <c r="J13" i="56"/>
  <c r="J17" i="56"/>
  <c r="I17" i="56"/>
  <c r="E21" i="56"/>
  <c r="I21" i="56"/>
  <c r="J21" i="56"/>
  <c r="E11" i="55"/>
  <c r="J11" i="55"/>
  <c r="I11" i="55"/>
  <c r="G11" i="55"/>
  <c r="I15" i="55"/>
  <c r="G15" i="55"/>
  <c r="J15" i="55"/>
  <c r="J19" i="55"/>
  <c r="E19" i="55"/>
  <c r="I19" i="55"/>
  <c r="G19" i="55"/>
  <c r="I23" i="55"/>
  <c r="G23" i="55"/>
  <c r="J23" i="55"/>
  <c r="J13" i="54"/>
  <c r="E13" i="54"/>
  <c r="I13" i="54"/>
  <c r="E17" i="54"/>
  <c r="I17" i="54"/>
  <c r="J17" i="54"/>
  <c r="J21" i="54"/>
  <c r="E21" i="54"/>
  <c r="I21" i="54"/>
  <c r="J16" i="46"/>
  <c r="I16" i="46"/>
  <c r="E16" i="46"/>
  <c r="G16" i="46"/>
  <c r="I22" i="46"/>
  <c r="J22" i="46"/>
  <c r="E22" i="46"/>
  <c r="G22" i="46"/>
  <c r="I11" i="45"/>
  <c r="J11" i="45"/>
  <c r="I18" i="45"/>
  <c r="E18" i="45"/>
  <c r="J23" i="43"/>
  <c r="I23" i="43"/>
  <c r="E37" i="18"/>
  <c r="I37" i="18"/>
  <c r="I21" i="24"/>
  <c r="G21" i="24"/>
  <c r="E43" i="24"/>
  <c r="I43" i="24"/>
  <c r="E47" i="24"/>
  <c r="I47" i="24"/>
  <c r="E29" i="42"/>
  <c r="J29" i="42"/>
  <c r="I31" i="19"/>
  <c r="E31" i="19"/>
  <c r="G31" i="19"/>
  <c r="I27" i="9"/>
  <c r="E27" i="9"/>
  <c r="J29" i="17"/>
  <c r="E29" i="17"/>
  <c r="I29" i="17"/>
  <c r="E11" i="21"/>
  <c r="J11" i="21"/>
  <c r="H141" i="5"/>
  <c r="G141" i="5"/>
  <c r="K141" i="5" s="1"/>
  <c r="E28" i="32"/>
  <c r="I28" i="32"/>
  <c r="E25" i="16"/>
  <c r="I25" i="16"/>
  <c r="L23" i="10"/>
  <c r="G15" i="57"/>
  <c r="J15" i="59"/>
  <c r="I15" i="54"/>
  <c r="G13" i="55"/>
  <c r="I11" i="56"/>
  <c r="I45" i="24"/>
  <c r="I16" i="45"/>
  <c r="I17" i="55"/>
  <c r="E15" i="56"/>
  <c r="I15" i="57"/>
  <c r="I23" i="59"/>
  <c r="J47" i="24"/>
  <c r="J21" i="24"/>
  <c r="J18" i="45"/>
  <c r="G11" i="21"/>
  <c r="J27" i="9"/>
  <c r="E22" i="9"/>
  <c r="E13" i="56"/>
  <c r="I11" i="58"/>
  <c r="E19" i="47"/>
  <c r="E21" i="57"/>
  <c r="E23" i="55"/>
  <c r="G24" i="46"/>
  <c r="E14" i="46"/>
  <c r="J19" i="41"/>
  <c r="E30" i="24"/>
  <c r="I173" i="5"/>
  <c r="J12" i="59"/>
  <c r="E12" i="59"/>
  <c r="G12" i="59"/>
  <c r="I16" i="59"/>
  <c r="E16" i="59"/>
  <c r="G16" i="59"/>
  <c r="E20" i="59"/>
  <c r="G20" i="59"/>
  <c r="I24" i="59"/>
  <c r="G24" i="59"/>
  <c r="I12" i="57"/>
  <c r="E12" i="57"/>
  <c r="G12" i="57"/>
  <c r="I16" i="57"/>
  <c r="G16" i="57"/>
  <c r="J20" i="57"/>
  <c r="I20" i="57"/>
  <c r="E20" i="57"/>
  <c r="J24" i="57"/>
  <c r="I24" i="57"/>
  <c r="J14" i="56"/>
  <c r="E14" i="56"/>
  <c r="G14" i="56"/>
  <c r="J18" i="56"/>
  <c r="E18" i="56"/>
  <c r="I18" i="56"/>
  <c r="G18" i="56"/>
  <c r="J22" i="56"/>
  <c r="G22" i="56"/>
  <c r="I22" i="56"/>
  <c r="J16" i="55"/>
  <c r="E16" i="55"/>
  <c r="J24" i="55"/>
  <c r="E24" i="55"/>
  <c r="J14" i="54"/>
  <c r="G14" i="54"/>
  <c r="I14" i="54"/>
  <c r="J18" i="54"/>
  <c r="E18" i="54"/>
  <c r="G18" i="54"/>
  <c r="J22" i="54"/>
  <c r="E22" i="54"/>
  <c r="I13" i="46"/>
  <c r="J13" i="46"/>
  <c r="J17" i="46"/>
  <c r="I17" i="46"/>
  <c r="J15" i="45"/>
  <c r="G15" i="45"/>
  <c r="E19" i="45"/>
  <c r="I19" i="45"/>
  <c r="G19" i="45"/>
  <c r="I23" i="45"/>
  <c r="J23" i="45"/>
  <c r="E24" i="43"/>
  <c r="I24" i="43"/>
  <c r="J24" i="43"/>
  <c r="E38" i="18"/>
  <c r="I38" i="18"/>
  <c r="E44" i="24"/>
  <c r="G44" i="24"/>
  <c r="J44" i="24"/>
  <c r="I44" i="24"/>
  <c r="I34" i="42"/>
  <c r="E34" i="42"/>
  <c r="G34" i="42"/>
  <c r="E11" i="9"/>
  <c r="G11" i="9"/>
  <c r="I11" i="9"/>
  <c r="E28" i="9"/>
  <c r="J28" i="9"/>
  <c r="E30" i="17"/>
  <c r="J30" i="17"/>
  <c r="G30" i="17"/>
  <c r="E41" i="31"/>
  <c r="I41" i="31"/>
  <c r="E30" i="13"/>
  <c r="I30" i="13"/>
  <c r="J11" i="23"/>
  <c r="I11" i="23"/>
  <c r="J32" i="7"/>
  <c r="E32" i="7"/>
  <c r="J11" i="8"/>
  <c r="G11" i="8"/>
  <c r="I21" i="5"/>
  <c r="J21" i="5"/>
  <c r="H46" i="5"/>
  <c r="I46" i="5"/>
  <c r="J46" i="5" s="1"/>
  <c r="G86" i="5"/>
  <c r="I183" i="5"/>
  <c r="J183" i="5" s="1"/>
  <c r="K183" i="5" s="1"/>
  <c r="G183" i="5"/>
  <c r="I278" i="5"/>
  <c r="J278" i="5" s="1"/>
  <c r="H278" i="5"/>
  <c r="G64" i="5"/>
  <c r="J69" i="5"/>
  <c r="G69" i="5"/>
  <c r="H107" i="5"/>
  <c r="G107" i="5"/>
  <c r="K107" i="5"/>
  <c r="G90" i="5"/>
  <c r="I90" i="5"/>
  <c r="J90" i="5" s="1"/>
  <c r="O26" i="53"/>
  <c r="K47" i="53"/>
  <c r="G54" i="60" s="1"/>
  <c r="I101" i="5"/>
  <c r="J101" i="5" s="1"/>
  <c r="G101" i="5"/>
  <c r="K101" i="5" s="1"/>
  <c r="I184" i="5"/>
  <c r="J184" i="5" s="1"/>
  <c r="G120" i="5"/>
  <c r="I120" i="5"/>
  <c r="K120" i="5" s="1"/>
  <c r="J120" i="5"/>
  <c r="J14" i="30"/>
  <c r="H304" i="5"/>
  <c r="G304" i="5"/>
  <c r="I304" i="5"/>
  <c r="J304" i="5" s="1"/>
  <c r="E41" i="30"/>
  <c r="I30" i="15"/>
  <c r="I34" i="15"/>
  <c r="G32" i="15"/>
  <c r="G27" i="15"/>
  <c r="G23" i="27"/>
  <c r="E27" i="15"/>
  <c r="I43" i="30"/>
  <c r="G40" i="30"/>
  <c r="I41" i="30"/>
  <c r="G43" i="30"/>
  <c r="E45" i="30"/>
  <c r="G41" i="30"/>
  <c r="G28" i="15"/>
  <c r="J32" i="15"/>
  <c r="E34" i="15"/>
  <c r="E30" i="15"/>
  <c r="I305" i="5"/>
  <c r="J305" i="5"/>
  <c r="J30" i="27"/>
  <c r="E44" i="30"/>
  <c r="I29" i="15"/>
  <c r="I33" i="15"/>
  <c r="J29" i="15"/>
  <c r="K75" i="5"/>
  <c r="J173" i="5"/>
  <c r="K173" i="5"/>
  <c r="K69" i="5"/>
  <c r="E31" i="47" l="1"/>
  <c r="I36" i="47"/>
  <c r="I20" i="47"/>
  <c r="J31" i="47"/>
  <c r="G31" i="47"/>
  <c r="G32" i="47"/>
  <c r="G34" i="47"/>
  <c r="I34" i="47"/>
  <c r="G18" i="47"/>
  <c r="G23" i="47"/>
  <c r="E25" i="47"/>
  <c r="J34" i="47"/>
  <c r="G11" i="47"/>
  <c r="I23" i="47"/>
  <c r="E29" i="47"/>
  <c r="G14" i="47"/>
  <c r="J16" i="47"/>
  <c r="J29" i="47"/>
  <c r="G12" i="47"/>
  <c r="I11" i="47"/>
  <c r="E15" i="47"/>
  <c r="E30" i="47"/>
  <c r="J30" i="47"/>
  <c r="I35" i="47"/>
  <c r="J13" i="47"/>
  <c r="E21" i="47"/>
  <c r="E36" i="47"/>
  <c r="G25" i="47"/>
  <c r="I15" i="47"/>
  <c r="E11" i="47"/>
  <c r="E26" i="47"/>
  <c r="J21" i="47"/>
  <c r="J36" i="47"/>
  <c r="G22" i="47"/>
  <c r="I13" i="47"/>
  <c r="I27" i="47"/>
  <c r="G26" i="47"/>
  <c r="J17" i="47"/>
  <c r="I26" i="47"/>
  <c r="I33" i="47"/>
  <c r="E13" i="47"/>
  <c r="E35" i="47"/>
  <c r="J33" i="47"/>
  <c r="I12" i="47"/>
  <c r="J22" i="47"/>
  <c r="G15" i="47"/>
  <c r="I32" i="47"/>
  <c r="J25" i="47"/>
  <c r="G30" i="47"/>
  <c r="J35" i="47"/>
  <c r="E22" i="47"/>
  <c r="O37" i="47"/>
  <c r="K66" i="47" s="1"/>
  <c r="G48" i="60" s="1"/>
  <c r="K25" i="58"/>
  <c r="K52" i="58" s="1"/>
  <c r="E59" i="60" s="1"/>
  <c r="K16" i="16"/>
  <c r="K13" i="11"/>
  <c r="K37" i="47"/>
  <c r="K64" i="47" s="1"/>
  <c r="E48" i="60" s="1"/>
  <c r="K25" i="55"/>
  <c r="K52" i="55" s="1"/>
  <c r="E56" i="60" s="1"/>
  <c r="K26" i="48"/>
  <c r="K45" i="48" s="1"/>
  <c r="E49" i="60" s="1"/>
  <c r="K26" i="50"/>
  <c r="K45" i="50" s="1"/>
  <c r="E51" i="60" s="1"/>
  <c r="K13" i="44"/>
  <c r="K23" i="29"/>
  <c r="K26" i="52"/>
  <c r="K45" i="52" s="1"/>
  <c r="E53" i="60" s="1"/>
  <c r="K16" i="12"/>
  <c r="K26" i="46"/>
  <c r="K77" i="46" s="1"/>
  <c r="E47" i="60" s="1"/>
  <c r="K38" i="31"/>
  <c r="K32" i="29"/>
  <c r="K21" i="20"/>
  <c r="K35" i="31"/>
  <c r="K13" i="35"/>
  <c r="K59" i="21"/>
  <c r="K102" i="5"/>
  <c r="K90" i="5"/>
  <c r="E50" i="60"/>
  <c r="E52" i="60"/>
  <c r="K239" i="5"/>
  <c r="E57" i="60"/>
  <c r="E55" i="60"/>
  <c r="K244" i="5"/>
  <c r="K51" i="5"/>
  <c r="J37" i="19" s="1"/>
  <c r="K37" i="19" s="1"/>
  <c r="K225" i="5"/>
  <c r="K35" i="5"/>
  <c r="H35" i="5"/>
  <c r="G35" i="5"/>
  <c r="I35" i="5"/>
  <c r="J35" i="5" s="1"/>
  <c r="G88" i="5"/>
  <c r="I88" i="5"/>
  <c r="J88" i="5" s="1"/>
  <c r="I114" i="5"/>
  <c r="J114" i="5" s="1"/>
  <c r="G114" i="5"/>
  <c r="K114" i="5" s="1"/>
  <c r="H201" i="5"/>
  <c r="I201" i="5"/>
  <c r="J201" i="5"/>
  <c r="I247" i="5"/>
  <c r="J247" i="5" s="1"/>
  <c r="G247" i="5"/>
  <c r="H276" i="5"/>
  <c r="K276" i="5"/>
  <c r="I276" i="5"/>
  <c r="J276" i="5" s="1"/>
  <c r="G286" i="5"/>
  <c r="J286" i="5"/>
  <c r="I119" i="5"/>
  <c r="G119" i="5"/>
  <c r="J119" i="5"/>
  <c r="K193" i="5"/>
  <c r="K24" i="5"/>
  <c r="J56" i="26" s="1"/>
  <c r="K56" i="26" s="1"/>
  <c r="I38" i="5"/>
  <c r="J38" i="5" s="1"/>
  <c r="G38" i="5"/>
  <c r="K38" i="5" s="1"/>
  <c r="I176" i="5"/>
  <c r="J176" i="5" s="1"/>
  <c r="H176" i="5"/>
  <c r="J202" i="5"/>
  <c r="H202" i="5"/>
  <c r="I202" i="5"/>
  <c r="H248" i="5"/>
  <c r="K248" i="5" s="1"/>
  <c r="I248" i="5"/>
  <c r="J248" i="5" s="1"/>
  <c r="J244" i="5"/>
  <c r="G52" i="5"/>
  <c r="H52" i="5"/>
  <c r="I64" i="5"/>
  <c r="J64" i="5" s="1"/>
  <c r="H64" i="5"/>
  <c r="K241" i="5"/>
  <c r="J166" i="25"/>
  <c r="K166" i="25" s="1"/>
  <c r="J52" i="20"/>
  <c r="K52" i="20" s="1"/>
  <c r="K189" i="5"/>
  <c r="H53" i="5"/>
  <c r="K53" i="5" s="1"/>
  <c r="G53" i="5"/>
  <c r="I53" i="5"/>
  <c r="J53" i="5" s="1"/>
  <c r="I66" i="5"/>
  <c r="K66" i="5" s="1"/>
  <c r="J66" i="5"/>
  <c r="I76" i="5"/>
  <c r="J76" i="5" s="1"/>
  <c r="I118" i="5"/>
  <c r="J118" i="5" s="1"/>
  <c r="K118" i="5" s="1"/>
  <c r="H118" i="5"/>
  <c r="I204" i="5"/>
  <c r="J204" i="5" s="1"/>
  <c r="K204" i="5" s="1"/>
  <c r="H204" i="5"/>
  <c r="G204" i="5"/>
  <c r="H288" i="5"/>
  <c r="G288" i="5"/>
  <c r="I135" i="5"/>
  <c r="J135" i="5" s="1"/>
  <c r="K135" i="5"/>
  <c r="G135" i="5"/>
  <c r="J60" i="29"/>
  <c r="K60" i="29" s="1"/>
  <c r="J61" i="29"/>
  <c r="K61" i="29" s="1"/>
  <c r="J59" i="29"/>
  <c r="K59" i="29" s="1"/>
  <c r="K34" i="5"/>
  <c r="G181" i="5"/>
  <c r="J181" i="5"/>
  <c r="H181" i="5"/>
  <c r="I270" i="5"/>
  <c r="K270" i="5" s="1"/>
  <c r="J270" i="5"/>
  <c r="K145" i="5"/>
  <c r="K98" i="5"/>
  <c r="K28" i="5"/>
  <c r="H128" i="5"/>
  <c r="K128" i="5" s="1"/>
  <c r="I128" i="5"/>
  <c r="J128" i="5" s="1"/>
  <c r="J227" i="5"/>
  <c r="G227" i="5"/>
  <c r="G271" i="5"/>
  <c r="H271" i="5"/>
  <c r="G238" i="5"/>
  <c r="K238" i="5" s="1"/>
  <c r="H238" i="5"/>
  <c r="I238" i="5"/>
  <c r="J238" i="5" s="1"/>
  <c r="G252" i="5"/>
  <c r="I252" i="5"/>
  <c r="J252" i="5" s="1"/>
  <c r="H252" i="5"/>
  <c r="H103" i="5"/>
  <c r="K103" i="5" s="1"/>
  <c r="J103" i="5"/>
  <c r="K125" i="5"/>
  <c r="H92" i="5"/>
  <c r="G92" i="5"/>
  <c r="K92" i="5" s="1"/>
  <c r="I92" i="5"/>
  <c r="J92" i="5" s="1"/>
  <c r="I130" i="5"/>
  <c r="J130" i="5" s="1"/>
  <c r="K130" i="5"/>
  <c r="H206" i="5"/>
  <c r="G206" i="5"/>
  <c r="H230" i="5"/>
  <c r="J230" i="5"/>
  <c r="H298" i="5"/>
  <c r="G298" i="5"/>
  <c r="I298" i="5"/>
  <c r="J298" i="5" s="1"/>
  <c r="I37" i="5"/>
  <c r="J37" i="5" s="1"/>
  <c r="G37" i="5"/>
  <c r="K32" i="5"/>
  <c r="G57" i="5"/>
  <c r="K57" i="5" s="1"/>
  <c r="I57" i="5"/>
  <c r="J57" i="5" s="1"/>
  <c r="J83" i="5"/>
  <c r="H83" i="5"/>
  <c r="I93" i="5"/>
  <c r="J93" i="5" s="1"/>
  <c r="K93" i="5" s="1"/>
  <c r="K155" i="5"/>
  <c r="I212" i="5"/>
  <c r="J212" i="5" s="1"/>
  <c r="G212" i="5"/>
  <c r="K212" i="5" s="1"/>
  <c r="I231" i="5"/>
  <c r="J231" i="5" s="1"/>
  <c r="G231" i="5"/>
  <c r="K231" i="5" s="1"/>
  <c r="I273" i="5"/>
  <c r="J273" i="5"/>
  <c r="H273" i="5"/>
  <c r="K273" i="5" s="1"/>
  <c r="G96" i="5"/>
  <c r="H96" i="5"/>
  <c r="I96" i="5"/>
  <c r="J96" i="5" s="1"/>
  <c r="H233" i="5"/>
  <c r="G233" i="5"/>
  <c r="K233" i="5" s="1"/>
  <c r="J233" i="5"/>
  <c r="K198" i="5"/>
  <c r="K105" i="5"/>
  <c r="K269" i="5"/>
  <c r="G43" i="5"/>
  <c r="I43" i="5"/>
  <c r="J43" i="5" s="1"/>
  <c r="G104" i="5"/>
  <c r="I104" i="5"/>
  <c r="J104" i="5"/>
  <c r="I136" i="5"/>
  <c r="J136" i="5" s="1"/>
  <c r="H136" i="5"/>
  <c r="K136" i="5" s="1"/>
  <c r="K218" i="5"/>
  <c r="G232" i="5"/>
  <c r="K232" i="5" s="1"/>
  <c r="H232" i="5"/>
  <c r="I274" i="5"/>
  <c r="J274" i="5" s="1"/>
  <c r="G274" i="5"/>
  <c r="H110" i="5"/>
  <c r="I110" i="5"/>
  <c r="J110" i="5" s="1"/>
  <c r="H138" i="5"/>
  <c r="I138" i="5"/>
  <c r="J138" i="5" s="1"/>
  <c r="I186" i="5"/>
  <c r="J186" i="5" s="1"/>
  <c r="G186" i="5"/>
  <c r="I219" i="5"/>
  <c r="J219" i="5" s="1"/>
  <c r="H219" i="5"/>
  <c r="G219" i="5"/>
  <c r="H235" i="5"/>
  <c r="K235" i="5" s="1"/>
  <c r="I235" i="5"/>
  <c r="J235" i="5" s="1"/>
  <c r="G300" i="5"/>
  <c r="I300" i="5"/>
  <c r="J300" i="5" s="1"/>
  <c r="K159" i="5"/>
  <c r="G45" i="5"/>
  <c r="I45" i="5"/>
  <c r="J45" i="5" s="1"/>
  <c r="K45" i="5" s="1"/>
  <c r="K59" i="5"/>
  <c r="H220" i="5"/>
  <c r="I220" i="5"/>
  <c r="J220" i="5" s="1"/>
  <c r="G220" i="5"/>
  <c r="H301" i="5"/>
  <c r="I301" i="5"/>
  <c r="J301" i="5" s="1"/>
  <c r="H197" i="5"/>
  <c r="K197" i="5" s="1"/>
  <c r="K246" i="5"/>
  <c r="K196" i="5"/>
  <c r="K250" i="5"/>
  <c r="K85" i="5"/>
  <c r="I106" i="5"/>
  <c r="J106" i="5" s="1"/>
  <c r="G106" i="5"/>
  <c r="K106" i="5" s="1"/>
  <c r="H106" i="5"/>
  <c r="K148" i="5"/>
  <c r="J60" i="5"/>
  <c r="H60" i="5"/>
  <c r="K60" i="5" s="1"/>
  <c r="I86" i="5"/>
  <c r="J86" i="5" s="1"/>
  <c r="H86" i="5"/>
  <c r="K86" i="5"/>
  <c r="I140" i="5"/>
  <c r="J140" i="5"/>
  <c r="K140" i="5" s="1"/>
  <c r="G191" i="5"/>
  <c r="I191" i="5"/>
  <c r="I222" i="5"/>
  <c r="J222" i="5" s="1"/>
  <c r="G222" i="5"/>
  <c r="H222" i="5"/>
  <c r="G284" i="5"/>
  <c r="I284" i="5"/>
  <c r="J284" i="5" s="1"/>
  <c r="G184" i="5"/>
  <c r="K184" i="5"/>
  <c r="J52" i="29" s="1"/>
  <c r="K52" i="29" s="1"/>
  <c r="K168" i="5"/>
  <c r="J87" i="29" s="1"/>
  <c r="K87" i="29" s="1"/>
  <c r="G237" i="5"/>
  <c r="K237" i="5" s="1"/>
  <c r="K158" i="5"/>
  <c r="G130" i="5"/>
  <c r="H76" i="5"/>
  <c r="K76" i="5" s="1"/>
  <c r="H21" i="5"/>
  <c r="K21" i="5" s="1"/>
  <c r="I178" i="5"/>
  <c r="J178" i="5" s="1"/>
  <c r="G93" i="5"/>
  <c r="G83" i="5"/>
  <c r="K68" i="5"/>
  <c r="K55" i="5"/>
  <c r="I31" i="5"/>
  <c r="K31" i="5" s="1"/>
  <c r="J31" i="5"/>
  <c r="H47" i="5"/>
  <c r="I47" i="5"/>
  <c r="J47" i="5" s="1"/>
  <c r="I62" i="5"/>
  <c r="J62" i="5" s="1"/>
  <c r="G62" i="5"/>
  <c r="J224" i="5"/>
  <c r="G224" i="5"/>
  <c r="K224" i="5" s="1"/>
  <c r="I224" i="5"/>
  <c r="H239" i="5"/>
  <c r="J239" i="5"/>
  <c r="J285" i="5"/>
  <c r="H285" i="5"/>
  <c r="G285" i="5"/>
  <c r="G253" i="5"/>
  <c r="I253" i="5"/>
  <c r="J253" i="5" s="1"/>
  <c r="G11" i="24"/>
  <c r="J19" i="59"/>
  <c r="J32" i="47"/>
  <c r="J11" i="24"/>
  <c r="E33" i="42"/>
  <c r="I84" i="5"/>
  <c r="G14" i="18"/>
  <c r="G229" i="5"/>
  <c r="I18" i="22"/>
  <c r="I18" i="5"/>
  <c r="G20" i="35"/>
  <c r="J20" i="35"/>
  <c r="E20" i="35"/>
  <c r="I173" i="4"/>
  <c r="M173" i="4" s="1"/>
  <c r="N173" i="4"/>
  <c r="M198" i="4"/>
  <c r="I198" i="4"/>
  <c r="I244" i="4"/>
  <c r="N244" i="4"/>
  <c r="E18" i="22"/>
  <c r="H18" i="5"/>
  <c r="K18" i="5" s="1"/>
  <c r="H166" i="4"/>
  <c r="R166" i="4"/>
  <c r="M217" i="4"/>
  <c r="E18" i="53"/>
  <c r="E23" i="49"/>
  <c r="G25" i="18"/>
  <c r="J26" i="13"/>
  <c r="G234" i="5"/>
  <c r="K234" i="5" s="1"/>
  <c r="J18" i="22"/>
  <c r="J25" i="5"/>
  <c r="J35" i="29"/>
  <c r="E35" i="29"/>
  <c r="G35" i="29"/>
  <c r="M22" i="4"/>
  <c r="AB87" i="4"/>
  <c r="O116" i="4"/>
  <c r="I116" i="4"/>
  <c r="M116" i="4"/>
  <c r="T116" i="4" s="1"/>
  <c r="N116" i="4"/>
  <c r="M140" i="4"/>
  <c r="T140" i="4" s="1"/>
  <c r="O140" i="4"/>
  <c r="M37" i="4"/>
  <c r="N37" i="4"/>
  <c r="T37" i="4"/>
  <c r="I66" i="4"/>
  <c r="O66" i="4" s="1"/>
  <c r="N66" i="4"/>
  <c r="M71" i="4"/>
  <c r="T71" i="4" s="1"/>
  <c r="M110" i="4"/>
  <c r="T110" i="4" s="1"/>
  <c r="N110" i="4"/>
  <c r="O221" i="4"/>
  <c r="H134" i="5"/>
  <c r="G134" i="5"/>
  <c r="I134" i="5"/>
  <c r="E25" i="53"/>
  <c r="I15" i="50"/>
  <c r="E18" i="55"/>
  <c r="G25" i="5"/>
  <c r="K25" i="5" s="1"/>
  <c r="I213" i="5"/>
  <c r="I303" i="5"/>
  <c r="J303" i="5" s="1"/>
  <c r="G303" i="5"/>
  <c r="H303" i="5"/>
  <c r="O45" i="4"/>
  <c r="I45" i="4"/>
  <c r="M45" i="4" s="1"/>
  <c r="T45" i="4" s="1"/>
  <c r="N45" i="4"/>
  <c r="I81" i="4"/>
  <c r="M81" i="4" s="1"/>
  <c r="M175" i="4"/>
  <c r="O175" i="4"/>
  <c r="I175" i="4"/>
  <c r="N175" i="4" s="1"/>
  <c r="T175" i="4" s="1"/>
  <c r="O190" i="4"/>
  <c r="N190" i="4"/>
  <c r="I190" i="4"/>
  <c r="M190" i="4" s="1"/>
  <c r="T190" i="4" s="1"/>
  <c r="N249" i="4"/>
  <c r="I249" i="4"/>
  <c r="M249" i="4" s="1"/>
  <c r="T249" i="4" s="1"/>
  <c r="O249" i="4"/>
  <c r="J12" i="48"/>
  <c r="G20" i="22"/>
  <c r="AB22" i="4"/>
  <c r="AB58" i="4"/>
  <c r="T92" i="4"/>
  <c r="T95" i="4"/>
  <c r="M122" i="4"/>
  <c r="I122" i="4"/>
  <c r="N122" i="4" s="1"/>
  <c r="M146" i="4"/>
  <c r="T146" i="4" s="1"/>
  <c r="N146" i="4"/>
  <c r="I152" i="4"/>
  <c r="N152" i="4" s="1"/>
  <c r="M216" i="4"/>
  <c r="T216" i="4" s="1"/>
  <c r="O216" i="4"/>
  <c r="I242" i="4"/>
  <c r="N242" i="4" s="1"/>
  <c r="M242" i="4"/>
  <c r="J54" i="33"/>
  <c r="K54" i="33" s="1"/>
  <c r="J41" i="17"/>
  <c r="K41" i="17" s="1"/>
  <c r="J38" i="1"/>
  <c r="K38" i="1" s="1"/>
  <c r="J57" i="28"/>
  <c r="K57" i="28" s="1"/>
  <c r="J29" i="8"/>
  <c r="K29" i="8" s="1"/>
  <c r="J46" i="61"/>
  <c r="K46" i="61" s="1"/>
  <c r="J41" i="26"/>
  <c r="K41" i="26" s="1"/>
  <c r="J26" i="34"/>
  <c r="K26" i="34" s="1"/>
  <c r="J56" i="24"/>
  <c r="K56" i="24" s="1"/>
  <c r="J38" i="19"/>
  <c r="K38" i="19" s="1"/>
  <c r="J27" i="34"/>
  <c r="K27" i="34" s="1"/>
  <c r="J52" i="15"/>
  <c r="K52" i="15" s="1"/>
  <c r="J59" i="31"/>
  <c r="K59" i="31" s="1"/>
  <c r="J37" i="25"/>
  <c r="K37" i="25" s="1"/>
  <c r="J26" i="22"/>
  <c r="K26" i="22" s="1"/>
  <c r="J41" i="25"/>
  <c r="K41" i="25" s="1"/>
  <c r="J43" i="25"/>
  <c r="K43" i="25" s="1"/>
  <c r="J44" i="25"/>
  <c r="K44" i="25" s="1"/>
  <c r="J58" i="23"/>
  <c r="K58" i="23" s="1"/>
  <c r="J39" i="25"/>
  <c r="K39" i="25" s="1"/>
  <c r="J74" i="21"/>
  <c r="K74" i="21" s="1"/>
  <c r="J45" i="20"/>
  <c r="K45" i="20" s="1"/>
  <c r="J45" i="25"/>
  <c r="K45" i="25" s="1"/>
  <c r="J75" i="21"/>
  <c r="K75" i="21" s="1"/>
  <c r="I19" i="53"/>
  <c r="I21" i="58"/>
  <c r="E19" i="52"/>
  <c r="I17" i="52"/>
  <c r="I13" i="53"/>
  <c r="I18" i="55"/>
  <c r="H171" i="5"/>
  <c r="K22" i="5"/>
  <c r="J37" i="26" s="1"/>
  <c r="K37" i="26" s="1"/>
  <c r="E20" i="22"/>
  <c r="G187" i="5"/>
  <c r="K187" i="5" s="1"/>
  <c r="I187" i="5"/>
  <c r="J187" i="5" s="1"/>
  <c r="N63" i="4"/>
  <c r="O63" i="4"/>
  <c r="AB107" i="4"/>
  <c r="I126" i="4"/>
  <c r="N126" i="4"/>
  <c r="T129" i="4"/>
  <c r="M162" i="4"/>
  <c r="T162" i="4" s="1"/>
  <c r="P211" i="4"/>
  <c r="T211" i="4"/>
  <c r="I35" i="24"/>
  <c r="E19" i="51"/>
  <c r="E14" i="47"/>
  <c r="E11" i="53"/>
  <c r="I13" i="48"/>
  <c r="E25" i="18"/>
  <c r="J25" i="53"/>
  <c r="J17" i="52"/>
  <c r="J16" i="51"/>
  <c r="J15" i="50"/>
  <c r="J14" i="49"/>
  <c r="J13" i="48"/>
  <c r="J32" i="18"/>
  <c r="J18" i="18"/>
  <c r="I19" i="13"/>
  <c r="M27" i="4"/>
  <c r="T27" i="4" s="1"/>
  <c r="N27" i="4"/>
  <c r="I165" i="4"/>
  <c r="O165" i="4"/>
  <c r="N165" i="4"/>
  <c r="M165" i="4"/>
  <c r="T165" i="4"/>
  <c r="T169" i="4"/>
  <c r="H263" i="5"/>
  <c r="I263" i="5"/>
  <c r="J263" i="5" s="1"/>
  <c r="G263" i="5"/>
  <c r="K263" i="5" s="1"/>
  <c r="G19" i="13"/>
  <c r="I60" i="4"/>
  <c r="N60" i="4" s="1"/>
  <c r="M60" i="4"/>
  <c r="T60" i="4" s="1"/>
  <c r="O60" i="4"/>
  <c r="E19" i="13"/>
  <c r="O24" i="8"/>
  <c r="K43" i="8" s="1"/>
  <c r="G24" i="60" s="1"/>
  <c r="I24" i="27"/>
  <c r="E24" i="27"/>
  <c r="G24" i="27"/>
  <c r="J24" i="27"/>
  <c r="O39" i="4"/>
  <c r="I39" i="4"/>
  <c r="M39" i="4" s="1"/>
  <c r="T39" i="4" s="1"/>
  <c r="N39" i="4"/>
  <c r="R180" i="4"/>
  <c r="H180" i="4"/>
  <c r="R243" i="4"/>
  <c r="H243" i="4"/>
  <c r="E14" i="41"/>
  <c r="I14" i="41"/>
  <c r="J30" i="15"/>
  <c r="G30" i="15"/>
  <c r="I111" i="4"/>
  <c r="O111" i="4" s="1"/>
  <c r="M111" i="4"/>
  <c r="N111" i="4"/>
  <c r="R191" i="4"/>
  <c r="H191" i="4"/>
  <c r="I154" i="5"/>
  <c r="G154" i="5"/>
  <c r="K154" i="5" s="1"/>
  <c r="J81" i="29" s="1"/>
  <c r="K81" i="29" s="1"/>
  <c r="H154" i="5"/>
  <c r="J154" i="5"/>
  <c r="G132" i="5"/>
  <c r="I132" i="5"/>
  <c r="J132" i="5" s="1"/>
  <c r="K132" i="5" s="1"/>
  <c r="H132" i="5"/>
  <c r="I20" i="53"/>
  <c r="E11" i="51"/>
  <c r="I16" i="51"/>
  <c r="I23" i="49"/>
  <c r="J16" i="49"/>
  <c r="K229" i="5"/>
  <c r="J38" i="7" s="1"/>
  <c r="K38" i="7" s="1"/>
  <c r="H208" i="5"/>
  <c r="K208" i="5" s="1"/>
  <c r="G65" i="5"/>
  <c r="K65" i="5" s="1"/>
  <c r="H65" i="5"/>
  <c r="I65" i="5"/>
  <c r="J65" i="5" s="1"/>
  <c r="E29" i="15"/>
  <c r="G29" i="15"/>
  <c r="I31" i="4"/>
  <c r="N31" i="4" s="1"/>
  <c r="O31" i="4"/>
  <c r="M54" i="4"/>
  <c r="N54" i="4"/>
  <c r="T54" i="4" s="1"/>
  <c r="I64" i="4"/>
  <c r="O64" i="4" s="1"/>
  <c r="I96" i="4"/>
  <c r="N96" i="4" s="1"/>
  <c r="O96" i="4"/>
  <c r="M119" i="4"/>
  <c r="M161" i="4"/>
  <c r="O161" i="4"/>
  <c r="T161" i="4" s="1"/>
  <c r="M176" i="4"/>
  <c r="I176" i="4"/>
  <c r="N178" i="4"/>
  <c r="O178" i="4"/>
  <c r="I222" i="4"/>
  <c r="N222" i="4" s="1"/>
  <c r="M233" i="4"/>
  <c r="T233" i="4" s="1"/>
  <c r="M239" i="4"/>
  <c r="T239" i="4" s="1"/>
  <c r="O252" i="4"/>
  <c r="H164" i="5"/>
  <c r="K164" i="5" s="1"/>
  <c r="J164" i="5"/>
  <c r="G164" i="5"/>
  <c r="I164" i="5"/>
  <c r="J229" i="5"/>
  <c r="J213" i="5"/>
  <c r="K213" i="5" s="1"/>
  <c r="H97" i="5"/>
  <c r="K97" i="5" s="1"/>
  <c r="J97" i="5"/>
  <c r="R163" i="4"/>
  <c r="H163" i="4"/>
  <c r="AB169" i="4"/>
  <c r="N208" i="4"/>
  <c r="I153" i="5"/>
  <c r="J153" i="5" s="1"/>
  <c r="I229" i="5"/>
  <c r="H213" i="5"/>
  <c r="J18" i="5"/>
  <c r="I20" i="35"/>
  <c r="T25" i="4"/>
  <c r="O90" i="4"/>
  <c r="I90" i="4"/>
  <c r="N90" i="4" s="1"/>
  <c r="M90" i="4"/>
  <c r="T90" i="4" s="1"/>
  <c r="M171" i="4"/>
  <c r="O47" i="28"/>
  <c r="K82" i="28" s="1"/>
  <c r="G23" i="60" s="1"/>
  <c r="G150" i="5"/>
  <c r="E17" i="8"/>
  <c r="T43" i="4"/>
  <c r="M51" i="4"/>
  <c r="N55" i="4"/>
  <c r="T55" i="4" s="1"/>
  <c r="M61" i="4"/>
  <c r="M92" i="4"/>
  <c r="N123" i="4"/>
  <c r="T123" i="4" s="1"/>
  <c r="J20" i="28"/>
  <c r="J31" i="23"/>
  <c r="K31" i="23" s="1"/>
  <c r="O148" i="4"/>
  <c r="I148" i="4"/>
  <c r="O162" i="4"/>
  <c r="T170" i="4"/>
  <c r="I177" i="4"/>
  <c r="N177" i="4" s="1"/>
  <c r="J12" i="33"/>
  <c r="K12" i="33" s="1"/>
  <c r="J14" i="20"/>
  <c r="Z178" i="4"/>
  <c r="AB178" i="4" s="1"/>
  <c r="AB189" i="4"/>
  <c r="O204" i="4"/>
  <c r="J21" i="7"/>
  <c r="K21" i="7" s="1"/>
  <c r="J33" i="33"/>
  <c r="K33" i="33" s="1"/>
  <c r="N217" i="4"/>
  <c r="I223" i="4"/>
  <c r="I230" i="4"/>
  <c r="N236" i="4"/>
  <c r="AB244" i="4"/>
  <c r="M246" i="4"/>
  <c r="R252" i="4"/>
  <c r="J308" i="5"/>
  <c r="G308" i="5"/>
  <c r="H308" i="5"/>
  <c r="G277" i="5"/>
  <c r="K277" i="5" s="1"/>
  <c r="J114" i="15" s="1"/>
  <c r="K114" i="15" s="1"/>
  <c r="J15" i="15"/>
  <c r="Z252" i="4"/>
  <c r="AB252" i="4" s="1"/>
  <c r="N22" i="4"/>
  <c r="T22" i="4" s="1"/>
  <c r="N28" i="4"/>
  <c r="O71" i="4"/>
  <c r="O75" i="4"/>
  <c r="T75" i="4" s="1"/>
  <c r="O77" i="4"/>
  <c r="O86" i="4"/>
  <c r="T86" i="4" s="1"/>
  <c r="O87" i="4"/>
  <c r="J21" i="19"/>
  <c r="J16" i="9"/>
  <c r="K16" i="9" s="1"/>
  <c r="N159" i="4"/>
  <c r="I159" i="4"/>
  <c r="M159" i="4" s="1"/>
  <c r="AB164" i="4"/>
  <c r="N171" i="4"/>
  <c r="I172" i="4"/>
  <c r="N172" i="4" s="1"/>
  <c r="I205" i="4"/>
  <c r="M205" i="4" s="1"/>
  <c r="O205" i="4"/>
  <c r="AB210" i="4"/>
  <c r="M213" i="4"/>
  <c r="N218" i="4"/>
  <c r="M236" i="4"/>
  <c r="T236" i="4" s="1"/>
  <c r="I14" i="5"/>
  <c r="G14" i="5"/>
  <c r="J14" i="5"/>
  <c r="K14" i="5" s="1"/>
  <c r="J58" i="24" s="1"/>
  <c r="K58" i="24" s="1"/>
  <c r="Z24" i="4"/>
  <c r="AB24" i="4" s="1"/>
  <c r="O49" i="4"/>
  <c r="T49" i="4" s="1"/>
  <c r="AB72" i="4"/>
  <c r="AB83" i="4"/>
  <c r="AB98" i="4"/>
  <c r="T101" i="4"/>
  <c r="O131" i="4"/>
  <c r="M131" i="4"/>
  <c r="T131" i="4" s="1"/>
  <c r="R188" i="4"/>
  <c r="H188" i="4"/>
  <c r="O233" i="4"/>
  <c r="I233" i="4"/>
  <c r="N233" i="4" s="1"/>
  <c r="AB240" i="4"/>
  <c r="R242" i="4"/>
  <c r="AB250" i="4"/>
  <c r="AB254" i="4"/>
  <c r="H160" i="5"/>
  <c r="I160" i="5"/>
  <c r="J160" i="5" s="1"/>
  <c r="K160" i="5" s="1"/>
  <c r="G312" i="5"/>
  <c r="I312" i="5"/>
  <c r="J312" i="5" s="1"/>
  <c r="H312" i="5"/>
  <c r="E21" i="41"/>
  <c r="G21" i="41"/>
  <c r="G77" i="5"/>
  <c r="J77" i="5"/>
  <c r="I77" i="5"/>
  <c r="K77" i="5" s="1"/>
  <c r="O22" i="4"/>
  <c r="O69" i="4"/>
  <c r="N71" i="4"/>
  <c r="O80" i="4"/>
  <c r="N119" i="4"/>
  <c r="T119" i="4" s="1"/>
  <c r="O119" i="4"/>
  <c r="N162" i="4"/>
  <c r="I171" i="4"/>
  <c r="O171" i="4" s="1"/>
  <c r="O179" i="4"/>
  <c r="AB188" i="4"/>
  <c r="I204" i="4"/>
  <c r="M204" i="4" s="1"/>
  <c r="M208" i="4"/>
  <c r="O208" i="4"/>
  <c r="N212" i="4"/>
  <c r="I212" i="4"/>
  <c r="M212" i="4" s="1"/>
  <c r="AB213" i="4"/>
  <c r="O217" i="4"/>
  <c r="T217" i="4" s="1"/>
  <c r="M221" i="4"/>
  <c r="T221" i="4" s="1"/>
  <c r="N221" i="4"/>
  <c r="N239" i="4"/>
  <c r="O239" i="4"/>
  <c r="J165" i="5"/>
  <c r="J133" i="5"/>
  <c r="I207" i="5"/>
  <c r="J207" i="5" s="1"/>
  <c r="K207" i="5" s="1"/>
  <c r="I182" i="5"/>
  <c r="J182" i="5" s="1"/>
  <c r="H182" i="5"/>
  <c r="G182" i="5"/>
  <c r="K182" i="5" s="1"/>
  <c r="J23" i="17"/>
  <c r="K23" i="17" s="1"/>
  <c r="J25" i="1"/>
  <c r="K25" i="1" s="1"/>
  <c r="J23" i="26"/>
  <c r="K23" i="26" s="1"/>
  <c r="J34" i="23"/>
  <c r="K34" i="23" s="1"/>
  <c r="J12" i="30"/>
  <c r="K12" i="30" s="1"/>
  <c r="J16" i="61"/>
  <c r="J17" i="24"/>
  <c r="J20" i="15"/>
  <c r="J15" i="24"/>
  <c r="J14" i="12"/>
  <c r="K14" i="12" s="1"/>
  <c r="J15" i="12"/>
  <c r="Z193" i="4"/>
  <c r="AB193" i="4" s="1"/>
  <c r="J30" i="26"/>
  <c r="E30" i="26"/>
  <c r="G30" i="26"/>
  <c r="I30" i="26"/>
  <c r="J31" i="15"/>
  <c r="N69" i="4"/>
  <c r="O74" i="4"/>
  <c r="N80" i="4"/>
  <c r="T80" i="4" s="1"/>
  <c r="O84" i="4"/>
  <c r="O104" i="4"/>
  <c r="T104" i="4" s="1"/>
  <c r="O105" i="4"/>
  <c r="T105" i="4" s="1"/>
  <c r="AB116" i="4"/>
  <c r="O125" i="4"/>
  <c r="O134" i="4"/>
  <c r="I134" i="4"/>
  <c r="T150" i="4"/>
  <c r="AB167" i="4"/>
  <c r="N179" i="4"/>
  <c r="R187" i="4"/>
  <c r="H187" i="4"/>
  <c r="AB218" i="4"/>
  <c r="M220" i="4"/>
  <c r="T220" i="4" s="1"/>
  <c r="AB233" i="4"/>
  <c r="I252" i="4"/>
  <c r="M252" i="4"/>
  <c r="J22" i="17"/>
  <c r="J22" i="10"/>
  <c r="K22" i="10" s="1"/>
  <c r="J29" i="31"/>
  <c r="K29" i="31" s="1"/>
  <c r="J12" i="10"/>
  <c r="J21" i="10"/>
  <c r="J27" i="10"/>
  <c r="K27" i="10" s="1"/>
  <c r="J13" i="22"/>
  <c r="J12" i="22"/>
  <c r="K12" i="22" s="1"/>
  <c r="I232" i="4"/>
  <c r="N232" i="4" s="1"/>
  <c r="O232" i="4"/>
  <c r="I245" i="4"/>
  <c r="O245" i="4" s="1"/>
  <c r="M245" i="4"/>
  <c r="N245" i="4"/>
  <c r="I165" i="5"/>
  <c r="G165" i="5"/>
  <c r="K165" i="5" s="1"/>
  <c r="G133" i="5"/>
  <c r="K133" i="5" s="1"/>
  <c r="H133" i="5"/>
  <c r="J24" i="36"/>
  <c r="K24" i="36" s="1"/>
  <c r="J22" i="36"/>
  <c r="K22" i="36" s="1"/>
  <c r="Z172" i="4"/>
  <c r="AB172" i="4" s="1"/>
  <c r="O54" i="4"/>
  <c r="N58" i="4"/>
  <c r="T58" i="4" s="1"/>
  <c r="N99" i="4"/>
  <c r="M99" i="4"/>
  <c r="N140" i="4"/>
  <c r="M150" i="4"/>
  <c r="R164" i="4"/>
  <c r="R178" i="4"/>
  <c r="Z187" i="4"/>
  <c r="AB187" i="4" s="1"/>
  <c r="I203" i="4"/>
  <c r="M203" i="4"/>
  <c r="Z204" i="4"/>
  <c r="AB204" i="4" s="1"/>
  <c r="M215" i="4"/>
  <c r="AB236" i="4"/>
  <c r="AB239" i="4"/>
  <c r="R244" i="4"/>
  <c r="AB246" i="4"/>
  <c r="AB249" i="4"/>
  <c r="J307" i="5"/>
  <c r="H255" i="5"/>
  <c r="K255" i="5" s="1"/>
  <c r="J255" i="5"/>
  <c r="G255" i="5"/>
  <c r="I23" i="15"/>
  <c r="J23" i="15"/>
  <c r="E23" i="15"/>
  <c r="J14" i="36"/>
  <c r="K14" i="36" s="1"/>
  <c r="J30" i="36"/>
  <c r="J210" i="5"/>
  <c r="I210" i="5"/>
  <c r="H210" i="5"/>
  <c r="K210" i="5" s="1"/>
  <c r="J33" i="11" s="1"/>
  <c r="K33" i="11" s="1"/>
  <c r="T69" i="4"/>
  <c r="N74" i="4"/>
  <c r="T74" i="4" s="1"/>
  <c r="N84" i="4"/>
  <c r="T84" i="4" s="1"/>
  <c r="N125" i="4"/>
  <c r="T125" i="4" s="1"/>
  <c r="AB162" i="4"/>
  <c r="M179" i="4"/>
  <c r="T179" i="4"/>
  <c r="H207" i="4"/>
  <c r="R207" i="4"/>
  <c r="AB212" i="4"/>
  <c r="AB217" i="4"/>
  <c r="N220" i="4"/>
  <c r="I251" i="4"/>
  <c r="M251" i="4" s="1"/>
  <c r="J66" i="29"/>
  <c r="K66" i="29" s="1"/>
  <c r="J67" i="29"/>
  <c r="K67" i="29" s="1"/>
  <c r="J68" i="29"/>
  <c r="K68" i="29" s="1"/>
  <c r="H108" i="5"/>
  <c r="K108" i="5" s="1"/>
  <c r="O40" i="4"/>
  <c r="N42" i="4"/>
  <c r="T42" i="4" s="1"/>
  <c r="O46" i="4"/>
  <c r="O48" i="4"/>
  <c r="T48" i="4" s="1"/>
  <c r="O72" i="4"/>
  <c r="O83" i="4"/>
  <c r="O98" i="4"/>
  <c r="O120" i="4"/>
  <c r="AB146" i="4"/>
  <c r="N164" i="4"/>
  <c r="AB180" i="4"/>
  <c r="H193" i="4"/>
  <c r="R193" i="4"/>
  <c r="O199" i="4"/>
  <c r="I201" i="4"/>
  <c r="N201" i="4" s="1"/>
  <c r="R209" i="4"/>
  <c r="T218" i="4"/>
  <c r="N238" i="4"/>
  <c r="I238" i="4"/>
  <c r="O238" i="4" s="1"/>
  <c r="J40" i="31"/>
  <c r="K40" i="31" s="1"/>
  <c r="Z242" i="4"/>
  <c r="Z245" i="4"/>
  <c r="AB245" i="4" s="1"/>
  <c r="I248" i="4"/>
  <c r="N248" i="4" s="1"/>
  <c r="O254" i="4"/>
  <c r="I307" i="5"/>
  <c r="H211" i="5"/>
  <c r="K211" i="5" s="1"/>
  <c r="I211" i="5"/>
  <c r="J211" i="5"/>
  <c r="G30" i="27"/>
  <c r="N40" i="4"/>
  <c r="N46" i="4"/>
  <c r="T51" i="4"/>
  <c r="N57" i="4"/>
  <c r="T61" i="4"/>
  <c r="M63" i="4"/>
  <c r="T63" i="4" s="1"/>
  <c r="N68" i="4"/>
  <c r="N72" i="4"/>
  <c r="T77" i="4"/>
  <c r="N83" i="4"/>
  <c r="T83" i="4" s="1"/>
  <c r="J26" i="26"/>
  <c r="K26" i="26" s="1"/>
  <c r="Z95" i="4"/>
  <c r="AB95" i="4" s="1"/>
  <c r="N98" i="4"/>
  <c r="M102" i="4"/>
  <c r="T102" i="4" s="1"/>
  <c r="N113" i="4"/>
  <c r="T113" i="4" s="1"/>
  <c r="I117" i="4"/>
  <c r="N120" i="4"/>
  <c r="O136" i="4"/>
  <c r="M144" i="4"/>
  <c r="T144" i="4" s="1"/>
  <c r="I160" i="4"/>
  <c r="M160" i="4" s="1"/>
  <c r="M164" i="4"/>
  <c r="R167" i="4"/>
  <c r="M174" i="4"/>
  <c r="O192" i="4"/>
  <c r="N199" i="4"/>
  <c r="O234" i="4"/>
  <c r="M234" i="4"/>
  <c r="T234" i="4" s="1"/>
  <c r="N234" i="4"/>
  <c r="O240" i="4"/>
  <c r="O241" i="4"/>
  <c r="T241" i="4" s="1"/>
  <c r="M247" i="4"/>
  <c r="T247" i="4" s="1"/>
  <c r="O250" i="4"/>
  <c r="M253" i="4"/>
  <c r="T253" i="4" s="1"/>
  <c r="N254" i="4"/>
  <c r="H116" i="5"/>
  <c r="K116" i="5" s="1"/>
  <c r="J116" i="5"/>
  <c r="J249" i="5"/>
  <c r="I108" i="5"/>
  <c r="J108" i="5" s="1"/>
  <c r="J150" i="5"/>
  <c r="K150" i="5" s="1"/>
  <c r="O24" i="4"/>
  <c r="T24" i="4" s="1"/>
  <c r="M40" i="4"/>
  <c r="M46" i="4"/>
  <c r="T46" i="4" s="1"/>
  <c r="M57" i="4"/>
  <c r="T57" i="4" s="1"/>
  <c r="M72" i="4"/>
  <c r="T72" i="4" s="1"/>
  <c r="M83" i="4"/>
  <c r="I93" i="4"/>
  <c r="O93" i="4" s="1"/>
  <c r="M98" i="4"/>
  <c r="O108" i="4"/>
  <c r="T108" i="4" s="1"/>
  <c r="M120" i="4"/>
  <c r="O123" i="4"/>
  <c r="M128" i="4"/>
  <c r="T128" i="4" s="1"/>
  <c r="O128" i="4"/>
  <c r="AB129" i="4"/>
  <c r="I132" i="4"/>
  <c r="M136" i="4"/>
  <c r="T136" i="4" s="1"/>
  <c r="AB161" i="4"/>
  <c r="O167" i="4"/>
  <c r="H168" i="4"/>
  <c r="R168" i="4"/>
  <c r="H189" i="4"/>
  <c r="O206" i="4"/>
  <c r="I206" i="4"/>
  <c r="O209" i="4"/>
  <c r="T209" i="4" s="1"/>
  <c r="O213" i="4"/>
  <c r="M214" i="4"/>
  <c r="O218" i="4"/>
  <c r="I219" i="4"/>
  <c r="N223" i="4"/>
  <c r="O230" i="4"/>
  <c r="N231" i="4"/>
  <c r="T231" i="4" s="1"/>
  <c r="M254" i="4"/>
  <c r="T254" i="4" s="1"/>
  <c r="I117" i="5"/>
  <c r="J257" i="5"/>
  <c r="K257" i="5" s="1"/>
  <c r="J167" i="5"/>
  <c r="I79" i="5"/>
  <c r="J79" i="5"/>
  <c r="K79" i="5" s="1"/>
  <c r="J81" i="31" s="1"/>
  <c r="K81" i="31" s="1"/>
  <c r="G33" i="5"/>
  <c r="K33" i="5" s="1"/>
  <c r="H33" i="5"/>
  <c r="O28" i="4"/>
  <c r="T28" i="4" s="1"/>
  <c r="O33" i="4"/>
  <c r="T33" i="4" s="1"/>
  <c r="O61" i="4"/>
  <c r="M68" i="4"/>
  <c r="T68" i="4" s="1"/>
  <c r="N77" i="4"/>
  <c r="N87" i="4"/>
  <c r="T87" i="4" s="1"/>
  <c r="N102" i="4"/>
  <c r="O144" i="4"/>
  <c r="N144" i="4"/>
  <c r="O159" i="4"/>
  <c r="T159" i="4" s="1"/>
  <c r="N167" i="4"/>
  <c r="T167" i="4" s="1"/>
  <c r="M178" i="4"/>
  <c r="N205" i="4"/>
  <c r="T205" i="4" s="1"/>
  <c r="T208" i="4"/>
  <c r="N209" i="4"/>
  <c r="H210" i="4"/>
  <c r="R210" i="4"/>
  <c r="N213" i="4"/>
  <c r="T213" i="4" s="1"/>
  <c r="M218" i="4"/>
  <c r="R233" i="4"/>
  <c r="H249" i="5"/>
  <c r="G249" i="5"/>
  <c r="G307" i="5"/>
  <c r="J277" i="5"/>
  <c r="K254" i="5"/>
  <c r="J254" i="5"/>
  <c r="G254" i="5"/>
  <c r="T40" i="4"/>
  <c r="O57" i="4"/>
  <c r="T98" i="4"/>
  <c r="T120" i="4"/>
  <c r="N192" i="4"/>
  <c r="I192" i="4"/>
  <c r="M192" i="4" s="1"/>
  <c r="T192" i="4" s="1"/>
  <c r="M199" i="4"/>
  <c r="T199" i="4" s="1"/>
  <c r="I237" i="4"/>
  <c r="N237" i="4" s="1"/>
  <c r="I240" i="4"/>
  <c r="N240" i="4" s="1"/>
  <c r="T240" i="4" s="1"/>
  <c r="M240" i="4"/>
  <c r="O247" i="4"/>
  <c r="N247" i="4"/>
  <c r="AB248" i="4"/>
  <c r="N253" i="4"/>
  <c r="O253" i="4"/>
  <c r="G117" i="5"/>
  <c r="K117" i="5" s="1"/>
  <c r="J77" i="25" s="1"/>
  <c r="K77" i="25" s="1"/>
  <c r="J117" i="5"/>
  <c r="H167" i="5"/>
  <c r="G167" i="5"/>
  <c r="K167" i="5"/>
  <c r="H71" i="5"/>
  <c r="I71" i="5"/>
  <c r="J71" i="5" s="1"/>
  <c r="G71" i="5"/>
  <c r="K71" i="5" s="1"/>
  <c r="O92" i="4"/>
  <c r="I142" i="4"/>
  <c r="J45" i="21"/>
  <c r="K45" i="21" s="1"/>
  <c r="J28" i="21"/>
  <c r="K28" i="21" s="1"/>
  <c r="J16" i="23"/>
  <c r="K16" i="23" s="1"/>
  <c r="J44" i="21"/>
  <c r="K44" i="21" s="1"/>
  <c r="J49" i="21"/>
  <c r="K49" i="21" s="1"/>
  <c r="AB205" i="4"/>
  <c r="P215" i="4"/>
  <c r="AB237" i="4"/>
  <c r="T246" i="4"/>
  <c r="G166" i="5"/>
  <c r="K166" i="5" s="1"/>
  <c r="H166" i="5"/>
  <c r="J109" i="5"/>
  <c r="H109" i="5"/>
  <c r="N235" i="4"/>
  <c r="I235" i="4"/>
  <c r="AB247" i="4"/>
  <c r="M250" i="4"/>
  <c r="T250" i="4" s="1"/>
  <c r="P164" i="4"/>
  <c r="T164" i="4" s="1"/>
  <c r="P163" i="4"/>
  <c r="P162" i="4"/>
  <c r="P161" i="4"/>
  <c r="G48" i="5"/>
  <c r="H48" i="5"/>
  <c r="I48" i="5"/>
  <c r="J48" i="5" s="1"/>
  <c r="H223" i="5"/>
  <c r="G223" i="5"/>
  <c r="I223" i="5"/>
  <c r="J223" i="5" s="1"/>
  <c r="J20" i="16"/>
  <c r="Z134" i="4"/>
  <c r="AB134" i="4" s="1"/>
  <c r="E17" i="41"/>
  <c r="J17" i="41"/>
  <c r="G17" i="41"/>
  <c r="H94" i="5"/>
  <c r="K94" i="5" s="1"/>
  <c r="J66" i="15" s="1"/>
  <c r="K66" i="15" s="1"/>
  <c r="K26" i="5"/>
  <c r="M107" i="4"/>
  <c r="T107" i="4" s="1"/>
  <c r="AB108" i="4"/>
  <c r="O113" i="4"/>
  <c r="P167" i="4"/>
  <c r="AB171" i="4"/>
  <c r="P174" i="4"/>
  <c r="J23" i="28"/>
  <c r="K23" i="28" s="1"/>
  <c r="Z186" i="4"/>
  <c r="P189" i="4"/>
  <c r="P236" i="4"/>
  <c r="J12" i="24"/>
  <c r="J14" i="24"/>
  <c r="K14" i="24" s="1"/>
  <c r="J19" i="24"/>
  <c r="K19" i="24" s="1"/>
  <c r="J16" i="44"/>
  <c r="K16" i="44" s="1"/>
  <c r="J19" i="20"/>
  <c r="J26" i="20"/>
  <c r="K26" i="20" s="1"/>
  <c r="I80" i="5"/>
  <c r="J70" i="5"/>
  <c r="H70" i="5"/>
  <c r="K70" i="5" s="1"/>
  <c r="I25" i="15"/>
  <c r="I188" i="5"/>
  <c r="J188" i="5" s="1"/>
  <c r="H188" i="5"/>
  <c r="J27" i="1"/>
  <c r="K27" i="1" s="1"/>
  <c r="J25" i="19"/>
  <c r="K25" i="19" s="1"/>
  <c r="J18" i="23"/>
  <c r="K18" i="23" s="1"/>
  <c r="J33" i="23"/>
  <c r="J30" i="20"/>
  <c r="K30" i="20" s="1"/>
  <c r="J35" i="21"/>
  <c r="K35" i="21" s="1"/>
  <c r="J26" i="23"/>
  <c r="J56" i="21"/>
  <c r="K56" i="21" s="1"/>
  <c r="J12" i="23"/>
  <c r="J17" i="23"/>
  <c r="K17" i="23" s="1"/>
  <c r="J14" i="21"/>
  <c r="J17" i="21"/>
  <c r="J24" i="21"/>
  <c r="J29" i="20"/>
  <c r="K29" i="20" s="1"/>
  <c r="J12" i="20"/>
  <c r="J33" i="21"/>
  <c r="K33" i="21" s="1"/>
  <c r="J25" i="21"/>
  <c r="K25" i="21" s="1"/>
  <c r="J22" i="21"/>
  <c r="K22" i="21" s="1"/>
  <c r="J30" i="21"/>
  <c r="J28" i="20"/>
  <c r="K28" i="20" s="1"/>
  <c r="J20" i="21"/>
  <c r="J19" i="23"/>
  <c r="H175" i="5"/>
  <c r="J175" i="5"/>
  <c r="K175" i="5"/>
  <c r="E41" i="23"/>
  <c r="K261" i="5"/>
  <c r="H161" i="5"/>
  <c r="K161" i="5" s="1"/>
  <c r="K258" i="5"/>
  <c r="G258" i="5"/>
  <c r="J259" i="5"/>
  <c r="G177" i="5"/>
  <c r="K177" i="5" s="1"/>
  <c r="I177" i="5"/>
  <c r="J177" i="5"/>
  <c r="H177" i="5"/>
  <c r="E25" i="15"/>
  <c r="G25" i="15"/>
  <c r="G259" i="5"/>
  <c r="K259" i="5"/>
  <c r="H259" i="5"/>
  <c r="E16" i="8"/>
  <c r="G16" i="8"/>
  <c r="H309" i="5"/>
  <c r="I309" i="5"/>
  <c r="J309" i="5" s="1"/>
  <c r="G309" i="5"/>
  <c r="I61" i="21"/>
  <c r="J61" i="21"/>
  <c r="E61" i="21"/>
  <c r="G61" i="21"/>
  <c r="J313" i="5"/>
  <c r="G313" i="5"/>
  <c r="K313" i="5" s="1"/>
  <c r="H313" i="5"/>
  <c r="G32" i="21"/>
  <c r="I32" i="21"/>
  <c r="J32" i="21"/>
  <c r="E32" i="21"/>
  <c r="J43" i="20"/>
  <c r="K43" i="20" s="1"/>
  <c r="J41" i="21"/>
  <c r="K41" i="21" s="1"/>
  <c r="J51" i="21"/>
  <c r="K51" i="21" s="1"/>
  <c r="J34" i="21"/>
  <c r="K34" i="21" s="1"/>
  <c r="J26" i="21"/>
  <c r="J23" i="21"/>
  <c r="K23" i="21" s="1"/>
  <c r="P214" i="4"/>
  <c r="I36" i="29"/>
  <c r="J32" i="36"/>
  <c r="K32" i="36" s="1"/>
  <c r="J21" i="36"/>
  <c r="K21" i="36" s="1"/>
  <c r="J27" i="36"/>
  <c r="K27" i="36" s="1"/>
  <c r="J29" i="36"/>
  <c r="K29" i="36" s="1"/>
  <c r="J19" i="36"/>
  <c r="K19" i="36" s="1"/>
  <c r="J31" i="36"/>
  <c r="K31" i="36" s="1"/>
  <c r="J12" i="36"/>
  <c r="K12" i="36" s="1"/>
  <c r="J28" i="36"/>
  <c r="K28" i="36" s="1"/>
  <c r="J20" i="1"/>
  <c r="K20" i="1" s="1"/>
  <c r="J28" i="7"/>
  <c r="K28" i="7" s="1"/>
  <c r="J12" i="26"/>
  <c r="K12" i="26" s="1"/>
  <c r="J23" i="1"/>
  <c r="J32" i="33"/>
  <c r="J33" i="28"/>
  <c r="J25" i="26"/>
  <c r="K25" i="26" s="1"/>
  <c r="J20" i="26"/>
  <c r="K20" i="26" s="1"/>
  <c r="J21" i="26"/>
  <c r="K21" i="26" s="1"/>
  <c r="J28" i="26"/>
  <c r="J24" i="17"/>
  <c r="J16" i="31"/>
  <c r="K16" i="31" s="1"/>
  <c r="J13" i="34"/>
  <c r="K13" i="34" s="1"/>
  <c r="J21" i="61"/>
  <c r="K21" i="61" s="1"/>
  <c r="J14" i="61"/>
  <c r="J14" i="32"/>
  <c r="K14" i="32" s="1"/>
  <c r="J15" i="32"/>
  <c r="J16" i="34"/>
  <c r="J37" i="31"/>
  <c r="J23" i="32"/>
  <c r="J21" i="31"/>
  <c r="K21" i="31" s="1"/>
  <c r="J15" i="31"/>
  <c r="K15" i="31" s="1"/>
  <c r="J18" i="31"/>
  <c r="K18" i="31" s="1"/>
  <c r="J28" i="31"/>
  <c r="K28" i="31" s="1"/>
  <c r="J26" i="10"/>
  <c r="J24" i="19"/>
  <c r="J32" i="31"/>
  <c r="K32" i="31" s="1"/>
  <c r="J25" i="31"/>
  <c r="K25" i="31" s="1"/>
  <c r="J30" i="10"/>
  <c r="K30" i="10" s="1"/>
  <c r="J39" i="31"/>
  <c r="J15" i="19"/>
  <c r="K15" i="19" s="1"/>
  <c r="J20" i="19"/>
  <c r="K20" i="19" s="1"/>
  <c r="J15" i="10"/>
  <c r="K15" i="10" s="1"/>
  <c r="J31" i="10"/>
  <c r="K31" i="10" s="1"/>
  <c r="J19" i="9"/>
  <c r="K19" i="9" s="1"/>
  <c r="J13" i="19"/>
  <c r="K13" i="19" s="1"/>
  <c r="J18" i="19"/>
  <c r="K18" i="19" s="1"/>
  <c r="J15" i="9"/>
  <c r="O50" i="23"/>
  <c r="K95" i="23" s="1"/>
  <c r="G39" i="60" s="1"/>
  <c r="I33" i="36"/>
  <c r="J33" i="36"/>
  <c r="E33" i="36"/>
  <c r="G18" i="27"/>
  <c r="I29" i="26"/>
  <c r="G36" i="29"/>
  <c r="J16" i="28"/>
  <c r="K16" i="28" s="1"/>
  <c r="J13" i="28"/>
  <c r="J16" i="13"/>
  <c r="K16" i="13" s="1"/>
  <c r="J13" i="7"/>
  <c r="K13" i="7" s="1"/>
  <c r="J40" i="28"/>
  <c r="J18" i="17"/>
  <c r="K18" i="17" s="1"/>
  <c r="J19" i="28"/>
  <c r="J40" i="33"/>
  <c r="K40" i="33" s="1"/>
  <c r="J14" i="7"/>
  <c r="K14" i="7" s="1"/>
  <c r="J29" i="7"/>
  <c r="K29" i="7" s="1"/>
  <c r="J18" i="26"/>
  <c r="K18" i="26" s="1"/>
  <c r="J12" i="7"/>
  <c r="K12" i="7" s="1"/>
  <c r="J24" i="1"/>
  <c r="J19" i="33"/>
  <c r="K19" i="33" s="1"/>
  <c r="J17" i="13"/>
  <c r="J14" i="26"/>
  <c r="J27" i="7"/>
  <c r="K27" i="7" s="1"/>
  <c r="J22" i="7"/>
  <c r="J18" i="7"/>
  <c r="K18" i="7" s="1"/>
  <c r="J19" i="26"/>
  <c r="K19" i="26" s="1"/>
  <c r="J14" i="31"/>
  <c r="J14" i="22"/>
  <c r="K14" i="22" s="1"/>
  <c r="J21" i="42"/>
  <c r="K21" i="42" s="1"/>
  <c r="J16" i="22"/>
  <c r="K16" i="22" s="1"/>
  <c r="J13" i="10"/>
  <c r="J12" i="44"/>
  <c r="J17" i="20"/>
  <c r="J33" i="20"/>
  <c r="J40" i="5"/>
  <c r="K40" i="5" s="1"/>
  <c r="J113" i="25" s="1"/>
  <c r="K113" i="25" s="1"/>
  <c r="J18" i="27"/>
  <c r="G13" i="27"/>
  <c r="I13" i="27"/>
  <c r="J13" i="27"/>
  <c r="E13" i="27"/>
  <c r="G29" i="26"/>
  <c r="J29" i="26"/>
  <c r="G45" i="23"/>
  <c r="I45" i="23"/>
  <c r="G37" i="23"/>
  <c r="J15" i="20"/>
  <c r="K15" i="20" s="1"/>
  <c r="J54" i="21"/>
  <c r="K54" i="21" s="1"/>
  <c r="J44" i="23"/>
  <c r="G44" i="23"/>
  <c r="E17" i="27"/>
  <c r="J17" i="27"/>
  <c r="G17" i="27"/>
  <c r="G38" i="23"/>
  <c r="J38" i="23"/>
  <c r="P222" i="4"/>
  <c r="E38" i="23"/>
  <c r="I37" i="23"/>
  <c r="G12" i="18"/>
  <c r="E16" i="27"/>
  <c r="G16" i="27"/>
  <c r="I16" i="27"/>
  <c r="J18" i="1"/>
  <c r="K18" i="1" s="1"/>
  <c r="J14" i="42"/>
  <c r="K14" i="42" s="1"/>
  <c r="J23" i="19"/>
  <c r="J40" i="21"/>
  <c r="K40" i="21" s="1"/>
  <c r="J46" i="21"/>
  <c r="K46" i="21" s="1"/>
  <c r="J13" i="23"/>
  <c r="K13" i="23" s="1"/>
  <c r="J29" i="21"/>
  <c r="J24" i="23"/>
  <c r="K24" i="23" s="1"/>
  <c r="J38" i="21"/>
  <c r="K38" i="21" s="1"/>
  <c r="J39" i="21"/>
  <c r="K39" i="21" s="1"/>
  <c r="E37" i="23"/>
  <c r="G35" i="23"/>
  <c r="E12" i="18"/>
  <c r="O42" i="61"/>
  <c r="K100" i="61" s="1"/>
  <c r="G18" i="60" s="1"/>
  <c r="E29" i="19"/>
  <c r="G29" i="19"/>
  <c r="J29" i="19"/>
  <c r="J28" i="23"/>
  <c r="J18" i="21"/>
  <c r="G18" i="21"/>
  <c r="I18" i="21"/>
  <c r="J13" i="21"/>
  <c r="J169" i="25"/>
  <c r="K169" i="25" s="1"/>
  <c r="J77" i="21"/>
  <c r="K77" i="21" s="1"/>
  <c r="G42" i="21"/>
  <c r="I42" i="21"/>
  <c r="J42" i="21"/>
  <c r="E42" i="21"/>
  <c r="J51" i="20"/>
  <c r="K51" i="20" s="1"/>
  <c r="J26" i="33"/>
  <c r="K26" i="33" s="1"/>
  <c r="J12" i="61"/>
  <c r="K12" i="61" s="1"/>
  <c r="J24" i="26"/>
  <c r="K24" i="26" s="1"/>
  <c r="J14" i="19"/>
  <c r="K14" i="19" s="1"/>
  <c r="J22" i="20"/>
  <c r="K22" i="20" s="1"/>
  <c r="J25" i="20"/>
  <c r="K25" i="20" s="1"/>
  <c r="J24" i="20"/>
  <c r="I60" i="21"/>
  <c r="J76" i="21"/>
  <c r="K76" i="21" s="1"/>
  <c r="J58" i="21"/>
  <c r="G58" i="21"/>
  <c r="I58" i="21"/>
  <c r="J32" i="20"/>
  <c r="E32" i="20"/>
  <c r="G32" i="20"/>
  <c r="I32" i="20"/>
  <c r="J154" i="25"/>
  <c r="K154" i="25" s="1"/>
  <c r="J57" i="21"/>
  <c r="I57" i="21"/>
  <c r="E57" i="21"/>
  <c r="G57" i="21"/>
  <c r="J53" i="21"/>
  <c r="G53" i="21"/>
  <c r="I53" i="21"/>
  <c r="J152" i="25"/>
  <c r="K152" i="25" s="1"/>
  <c r="K42" i="18"/>
  <c r="K67" i="18" s="1"/>
  <c r="G52" i="21"/>
  <c r="I52" i="21"/>
  <c r="J52" i="21"/>
  <c r="E52" i="21"/>
  <c r="E26" i="21"/>
  <c r="I26" i="21"/>
  <c r="J16" i="21"/>
  <c r="K16" i="21" s="1"/>
  <c r="J23" i="20"/>
  <c r="K34" i="27"/>
  <c r="K109" i="27" s="1"/>
  <c r="E31" i="26"/>
  <c r="G31" i="26"/>
  <c r="G37" i="21"/>
  <c r="I37" i="21"/>
  <c r="J37" i="21"/>
  <c r="E37" i="21"/>
  <c r="G29" i="21"/>
  <c r="E29" i="21"/>
  <c r="I29" i="21"/>
  <c r="J48" i="21"/>
  <c r="G48" i="21"/>
  <c r="I48" i="21"/>
  <c r="J18" i="9"/>
  <c r="J62" i="21"/>
  <c r="G47" i="21"/>
  <c r="I47" i="21"/>
  <c r="J47" i="21"/>
  <c r="E47" i="21"/>
  <c r="AB242" i="4"/>
  <c r="J16" i="17"/>
  <c r="K16" i="17" s="1"/>
  <c r="J17" i="1"/>
  <c r="J27" i="26"/>
  <c r="K27" i="26" s="1"/>
  <c r="J19" i="61"/>
  <c r="K19" i="61" s="1"/>
  <c r="J13" i="32"/>
  <c r="J22" i="31"/>
  <c r="K22" i="31" s="1"/>
  <c r="J14" i="13"/>
  <c r="J13" i="17"/>
  <c r="J18" i="32"/>
  <c r="K18" i="32" s="1"/>
  <c r="J30" i="7"/>
  <c r="K30" i="7" s="1"/>
  <c r="J27" i="31"/>
  <c r="J24" i="29"/>
  <c r="K24" i="29" s="1"/>
  <c r="G62" i="21"/>
  <c r="J46" i="20"/>
  <c r="K46" i="20" s="1"/>
  <c r="J18" i="20"/>
  <c r="J94" i="29"/>
  <c r="K94" i="29" s="1"/>
  <c r="J55" i="21"/>
  <c r="I28" i="23"/>
  <c r="E28" i="23"/>
  <c r="G28" i="23"/>
  <c r="J27" i="23"/>
  <c r="J20" i="23"/>
  <c r="J21" i="21"/>
  <c r="E21" i="21"/>
  <c r="J44" i="20"/>
  <c r="K44" i="20" s="1"/>
  <c r="E27" i="20"/>
  <c r="G27" i="20"/>
  <c r="E16" i="20"/>
  <c r="I13" i="20"/>
  <c r="E32" i="23"/>
  <c r="G29" i="23"/>
  <c r="J25" i="23"/>
  <c r="I25" i="23"/>
  <c r="I21" i="23"/>
  <c r="J21" i="23"/>
  <c r="J120" i="25"/>
  <c r="K120" i="25" s="1"/>
  <c r="J12" i="25"/>
  <c r="I12" i="25"/>
  <c r="G12" i="25"/>
  <c r="J17" i="29"/>
  <c r="J16" i="20"/>
  <c r="J27" i="29"/>
  <c r="J13" i="20"/>
  <c r="E13" i="20"/>
  <c r="G32" i="23"/>
  <c r="I32" i="23"/>
  <c r="J29" i="23"/>
  <c r="E20" i="23"/>
  <c r="G20" i="23"/>
  <c r="I20" i="23"/>
  <c r="J126" i="25"/>
  <c r="K126" i="25" s="1"/>
  <c r="E12" i="35"/>
  <c r="G12" i="35"/>
  <c r="G18" i="9"/>
  <c r="I18" i="9"/>
  <c r="E18" i="9"/>
  <c r="J118" i="25"/>
  <c r="K118" i="25" s="1"/>
  <c r="J53" i="35"/>
  <c r="K53" i="35" s="1"/>
  <c r="J31" i="21"/>
  <c r="K31" i="21" s="1"/>
  <c r="J19" i="21"/>
  <c r="K19" i="21" s="1"/>
  <c r="E13" i="21"/>
  <c r="E34" i="20"/>
  <c r="G31" i="20"/>
  <c r="E23" i="20"/>
  <c r="E18" i="20"/>
  <c r="I12" i="20"/>
  <c r="E12" i="20"/>
  <c r="G12" i="20"/>
  <c r="E19" i="23"/>
  <c r="I19" i="23"/>
  <c r="G19" i="23"/>
  <c r="E12" i="23"/>
  <c r="G12" i="23"/>
  <c r="I12" i="23"/>
  <c r="J117" i="25"/>
  <c r="K117" i="25" s="1"/>
  <c r="G15" i="25"/>
  <c r="I15" i="25"/>
  <c r="E15" i="25"/>
  <c r="J15" i="44"/>
  <c r="J34" i="20"/>
  <c r="J31" i="20"/>
  <c r="J36" i="25"/>
  <c r="K36" i="25" s="1"/>
  <c r="J100" i="29"/>
  <c r="K100" i="29" s="1"/>
  <c r="J36" i="21"/>
  <c r="K36" i="21" s="1"/>
  <c r="I27" i="23"/>
  <c r="G27" i="23"/>
  <c r="E27" i="23"/>
  <c r="J23" i="23"/>
  <c r="E23" i="23"/>
  <c r="G23" i="23"/>
  <c r="J17" i="9"/>
  <c r="K17" i="9" s="1"/>
  <c r="J99" i="29"/>
  <c r="K99" i="29" s="1"/>
  <c r="I30" i="21"/>
  <c r="G15" i="23"/>
  <c r="J15" i="23"/>
  <c r="E15" i="23"/>
  <c r="I15" i="23"/>
  <c r="J35" i="9"/>
  <c r="K35" i="9" s="1"/>
  <c r="J106" i="29"/>
  <c r="K106" i="29" s="1"/>
  <c r="J64" i="29"/>
  <c r="K64" i="29" s="1"/>
  <c r="J115" i="25"/>
  <c r="K115" i="25" s="1"/>
  <c r="J42" i="25"/>
  <c r="K42" i="25" s="1"/>
  <c r="J34" i="25"/>
  <c r="K34" i="25" s="1"/>
  <c r="E19" i="29"/>
  <c r="I19" i="29"/>
  <c r="J19" i="29"/>
  <c r="G19" i="29"/>
  <c r="I55" i="21"/>
  <c r="J43" i="21"/>
  <c r="K43" i="21" s="1"/>
  <c r="J15" i="21"/>
  <c r="E15" i="21"/>
  <c r="J12" i="21"/>
  <c r="I12" i="21"/>
  <c r="E33" i="20"/>
  <c r="J20" i="20"/>
  <c r="K20" i="20" s="1"/>
  <c r="E17" i="20"/>
  <c r="G17" i="20"/>
  <c r="I17" i="20"/>
  <c r="G14" i="20"/>
  <c r="E22" i="23"/>
  <c r="J22" i="23"/>
  <c r="J165" i="25"/>
  <c r="K165" i="25" s="1"/>
  <c r="J62" i="29"/>
  <c r="K62" i="29" s="1"/>
  <c r="I14" i="23"/>
  <c r="E14" i="23"/>
  <c r="J14" i="23"/>
  <c r="J48" i="35"/>
  <c r="K48" i="35" s="1"/>
  <c r="J50" i="29"/>
  <c r="K50" i="29" s="1"/>
  <c r="I30" i="19"/>
  <c r="E55" i="21"/>
  <c r="G24" i="21"/>
  <c r="I21" i="21"/>
  <c r="G17" i="21"/>
  <c r="I14" i="21"/>
  <c r="I27" i="20"/>
  <c r="I24" i="20"/>
  <c r="G19" i="20"/>
  <c r="I16" i="20"/>
  <c r="G25" i="23"/>
  <c r="G21" i="23"/>
  <c r="E15" i="9"/>
  <c r="I15" i="9"/>
  <c r="G15" i="9"/>
  <c r="J18" i="29"/>
  <c r="K18" i="29" s="1"/>
  <c r="J25" i="29"/>
  <c r="K25" i="29" s="1"/>
  <c r="J14" i="11"/>
  <c r="K14" i="11" s="1"/>
  <c r="J17" i="11"/>
  <c r="K17" i="11" s="1"/>
  <c r="J19" i="15"/>
  <c r="J13" i="15"/>
  <c r="J13" i="1"/>
  <c r="K13" i="1" s="1"/>
  <c r="J12" i="9"/>
  <c r="K12" i="9" s="1"/>
  <c r="J50" i="21"/>
  <c r="K50" i="21" s="1"/>
  <c r="J27" i="21"/>
  <c r="K27" i="21" s="1"/>
  <c r="G21" i="21"/>
  <c r="E17" i="21"/>
  <c r="E14" i="21"/>
  <c r="J27" i="20"/>
  <c r="G24" i="20"/>
  <c r="E19" i="20"/>
  <c r="E33" i="23"/>
  <c r="I33" i="23"/>
  <c r="I29" i="23"/>
  <c r="E25" i="23"/>
  <c r="E21" i="23"/>
  <c r="E12" i="25"/>
  <c r="I18" i="35"/>
  <c r="J18" i="35"/>
  <c r="E18" i="35"/>
  <c r="G18" i="35"/>
  <c r="J34" i="29"/>
  <c r="J30" i="23"/>
  <c r="J40" i="25"/>
  <c r="K40" i="25" s="1"/>
  <c r="J16" i="35"/>
  <c r="E16" i="35"/>
  <c r="J33" i="29"/>
  <c r="E33" i="29"/>
  <c r="E26" i="29"/>
  <c r="G26" i="29"/>
  <c r="J17" i="36"/>
  <c r="J27" i="19"/>
  <c r="G27" i="19"/>
  <c r="E27" i="19"/>
  <c r="J16" i="29"/>
  <c r="K16" i="29" s="1"/>
  <c r="I12" i="44"/>
  <c r="G12" i="12"/>
  <c r="E12" i="12"/>
  <c r="I12" i="12"/>
  <c r="J12" i="12"/>
  <c r="J50" i="10"/>
  <c r="K50" i="10" s="1"/>
  <c r="E15" i="22"/>
  <c r="G15" i="22"/>
  <c r="I15" i="22"/>
  <c r="J15" i="22"/>
  <c r="G26" i="23"/>
  <c r="J38" i="25"/>
  <c r="K38" i="25" s="1"/>
  <c r="I14" i="25"/>
  <c r="G14" i="25"/>
  <c r="J21" i="9"/>
  <c r="K21" i="9" s="1"/>
  <c r="E14" i="9"/>
  <c r="G14" i="9"/>
  <c r="I14" i="9"/>
  <c r="J92" i="29"/>
  <c r="K92" i="29" s="1"/>
  <c r="J53" i="29"/>
  <c r="K53" i="29" s="1"/>
  <c r="J15" i="29"/>
  <c r="I15" i="29"/>
  <c r="E15" i="44"/>
  <c r="G15" i="44"/>
  <c r="I15" i="44"/>
  <c r="G15" i="36"/>
  <c r="J15" i="36"/>
  <c r="E15" i="36"/>
  <c r="J36" i="19"/>
  <c r="K36" i="19" s="1"/>
  <c r="K13" i="25"/>
  <c r="I13" i="9"/>
  <c r="I31" i="29"/>
  <c r="J28" i="29"/>
  <c r="K28" i="29" s="1"/>
  <c r="J14" i="29"/>
  <c r="E14" i="29"/>
  <c r="I14" i="29"/>
  <c r="J25" i="10"/>
  <c r="J123" i="25"/>
  <c r="K123" i="25" s="1"/>
  <c r="E13" i="9"/>
  <c r="J14" i="35"/>
  <c r="K14" i="35" s="1"/>
  <c r="E31" i="29"/>
  <c r="J21" i="29"/>
  <c r="E21" i="29"/>
  <c r="E15" i="12"/>
  <c r="G15" i="12"/>
  <c r="I15" i="12"/>
  <c r="J13" i="9"/>
  <c r="J97" i="29"/>
  <c r="K97" i="29" s="1"/>
  <c r="J65" i="29"/>
  <c r="K65" i="29" s="1"/>
  <c r="J51" i="29"/>
  <c r="K51" i="29" s="1"/>
  <c r="J31" i="29"/>
  <c r="I27" i="29"/>
  <c r="E13" i="29"/>
  <c r="J13" i="29"/>
  <c r="G13" i="29"/>
  <c r="J14" i="44"/>
  <c r="E14" i="44"/>
  <c r="J96" i="29"/>
  <c r="K96" i="29" s="1"/>
  <c r="E34" i="29"/>
  <c r="G34" i="29"/>
  <c r="I34" i="29"/>
  <c r="E27" i="29"/>
  <c r="G27" i="29"/>
  <c r="G17" i="29"/>
  <c r="E17" i="29"/>
  <c r="I17" i="29"/>
  <c r="J31" i="44"/>
  <c r="K31" i="44" s="1"/>
  <c r="E16" i="19"/>
  <c r="G16" i="19"/>
  <c r="I16" i="19"/>
  <c r="J16" i="19"/>
  <c r="I16" i="35"/>
  <c r="J63" i="29"/>
  <c r="K63" i="29" s="1"/>
  <c r="I33" i="29"/>
  <c r="I26" i="29"/>
  <c r="G25" i="36"/>
  <c r="G18" i="36"/>
  <c r="J18" i="36"/>
  <c r="E18" i="36"/>
  <c r="J16" i="10"/>
  <c r="J131" i="15"/>
  <c r="K131" i="15" s="1"/>
  <c r="E30" i="23"/>
  <c r="J64" i="25"/>
  <c r="K64" i="25" s="1"/>
  <c r="G16" i="35"/>
  <c r="J70" i="29"/>
  <c r="K70" i="29" s="1"/>
  <c r="G33" i="29"/>
  <c r="J30" i="29"/>
  <c r="I30" i="29"/>
  <c r="J26" i="29"/>
  <c r="J12" i="29"/>
  <c r="K12" i="29" s="1"/>
  <c r="E25" i="36"/>
  <c r="I27" i="19"/>
  <c r="I17" i="22"/>
  <c r="J17" i="22"/>
  <c r="G28" i="19"/>
  <c r="E28" i="19"/>
  <c r="G23" i="19"/>
  <c r="I28" i="10"/>
  <c r="E28" i="10"/>
  <c r="J120" i="15"/>
  <c r="K120" i="15" s="1"/>
  <c r="J12" i="34"/>
  <c r="J78" i="31"/>
  <c r="K78" i="31" s="1"/>
  <c r="J44" i="10"/>
  <c r="K44" i="10" s="1"/>
  <c r="G25" i="42"/>
  <c r="J25" i="42"/>
  <c r="G19" i="42"/>
  <c r="J19" i="42"/>
  <c r="E19" i="42"/>
  <c r="I19" i="42"/>
  <c r="J98" i="29"/>
  <c r="K98" i="29" s="1"/>
  <c r="J41" i="29"/>
  <c r="K41" i="29" s="1"/>
  <c r="J20" i="29"/>
  <c r="K20" i="29" s="1"/>
  <c r="J17" i="44"/>
  <c r="I17" i="44"/>
  <c r="I30" i="36"/>
  <c r="J16" i="36"/>
  <c r="I16" i="36"/>
  <c r="J13" i="36"/>
  <c r="K13" i="36" s="1"/>
  <c r="J24" i="42"/>
  <c r="G24" i="42"/>
  <c r="I24" i="42"/>
  <c r="E24" i="42"/>
  <c r="I18" i="42"/>
  <c r="J129" i="15"/>
  <c r="K129" i="15" s="1"/>
  <c r="J47" i="15"/>
  <c r="K47" i="15" s="1"/>
  <c r="G30" i="36"/>
  <c r="J26" i="19"/>
  <c r="G26" i="19"/>
  <c r="I26" i="19"/>
  <c r="J22" i="19"/>
  <c r="K22" i="19" s="1"/>
  <c r="G22" i="19"/>
  <c r="I16" i="10"/>
  <c r="E16" i="10"/>
  <c r="G16" i="10"/>
  <c r="G18" i="42"/>
  <c r="J18" i="42"/>
  <c r="G12" i="42"/>
  <c r="J12" i="42"/>
  <c r="E12" i="42"/>
  <c r="I12" i="42"/>
  <c r="J127" i="15"/>
  <c r="K127" i="15" s="1"/>
  <c r="J15" i="34"/>
  <c r="G21" i="19"/>
  <c r="E21" i="19"/>
  <c r="I21" i="19"/>
  <c r="J17" i="19"/>
  <c r="I25" i="10"/>
  <c r="J17" i="42"/>
  <c r="G17" i="42"/>
  <c r="I17" i="42"/>
  <c r="E17" i="42"/>
  <c r="J17" i="35"/>
  <c r="K17" i="35" s="1"/>
  <c r="J22" i="29"/>
  <c r="I22" i="29"/>
  <c r="J82" i="10"/>
  <c r="K82" i="10" s="1"/>
  <c r="J137" i="15"/>
  <c r="K137" i="15" s="1"/>
  <c r="J96" i="15"/>
  <c r="K96" i="15" s="1"/>
  <c r="E25" i="10"/>
  <c r="G25" i="10"/>
  <c r="J136" i="15"/>
  <c r="K136" i="15" s="1"/>
  <c r="J125" i="15"/>
  <c r="K125" i="15" s="1"/>
  <c r="J95" i="15"/>
  <c r="K95" i="15" s="1"/>
  <c r="I17" i="36"/>
  <c r="J13" i="12"/>
  <c r="J135" i="15"/>
  <c r="K135" i="15" s="1"/>
  <c r="J39" i="19"/>
  <c r="K39" i="19" s="1"/>
  <c r="J19" i="10"/>
  <c r="I19" i="10"/>
  <c r="G19" i="10"/>
  <c r="J79" i="42"/>
  <c r="K79" i="42" s="1"/>
  <c r="J105" i="15"/>
  <c r="K105" i="15" s="1"/>
  <c r="J93" i="15"/>
  <c r="K93" i="15" s="1"/>
  <c r="J69" i="29"/>
  <c r="K69" i="29" s="1"/>
  <c r="J23" i="36"/>
  <c r="I23" i="36"/>
  <c r="J20" i="36"/>
  <c r="K20" i="36" s="1"/>
  <c r="E17" i="36"/>
  <c r="G17" i="22"/>
  <c r="I28" i="19"/>
  <c r="G28" i="10"/>
  <c r="J133" i="15"/>
  <c r="K133" i="15" s="1"/>
  <c r="J122" i="15"/>
  <c r="K122" i="15" s="1"/>
  <c r="J29" i="29"/>
  <c r="I29" i="29"/>
  <c r="J26" i="36"/>
  <c r="K26" i="36" s="1"/>
  <c r="E17" i="22"/>
  <c r="J28" i="19"/>
  <c r="I23" i="19"/>
  <c r="J46" i="10"/>
  <c r="K46" i="10" s="1"/>
  <c r="J28" i="10"/>
  <c r="J23" i="10"/>
  <c r="J121" i="15"/>
  <c r="K121" i="15" s="1"/>
  <c r="J91" i="15"/>
  <c r="K91" i="15" s="1"/>
  <c r="J22" i="42"/>
  <c r="E22" i="42"/>
  <c r="G22" i="42"/>
  <c r="J15" i="42"/>
  <c r="E15" i="42"/>
  <c r="G15" i="42"/>
  <c r="J108" i="15"/>
  <c r="K108" i="15" s="1"/>
  <c r="I12" i="31"/>
  <c r="J12" i="31"/>
  <c r="E12" i="31"/>
  <c r="G12" i="31"/>
  <c r="J15" i="8"/>
  <c r="E15" i="8"/>
  <c r="E24" i="8" s="1"/>
  <c r="G15" i="8"/>
  <c r="J14" i="15"/>
  <c r="I14" i="15"/>
  <c r="E14" i="15"/>
  <c r="J49" i="31"/>
  <c r="K49" i="31" s="1"/>
  <c r="E39" i="31"/>
  <c r="I39" i="31"/>
  <c r="J51" i="24"/>
  <c r="K51" i="24" s="1"/>
  <c r="E21" i="10"/>
  <c r="J113" i="15"/>
  <c r="K113" i="15" s="1"/>
  <c r="E20" i="31"/>
  <c r="J20" i="31"/>
  <c r="G20" i="31"/>
  <c r="I20" i="31"/>
  <c r="J53" i="15"/>
  <c r="K53" i="15" s="1"/>
  <c r="J38" i="34"/>
  <c r="K38" i="34" s="1"/>
  <c r="J58" i="31"/>
  <c r="K58" i="31" s="1"/>
  <c r="J47" i="31"/>
  <c r="K47" i="31" s="1"/>
  <c r="G17" i="19"/>
  <c r="G24" i="10"/>
  <c r="I24" i="10"/>
  <c r="J77" i="15"/>
  <c r="K77" i="15" s="1"/>
  <c r="E13" i="15"/>
  <c r="G13" i="15"/>
  <c r="J85" i="31"/>
  <c r="K85" i="31" s="1"/>
  <c r="J13" i="8"/>
  <c r="J99" i="15"/>
  <c r="K99" i="15" s="1"/>
  <c r="J85" i="15"/>
  <c r="K85" i="15" s="1"/>
  <c r="E12" i="15"/>
  <c r="G12" i="15"/>
  <c r="J12" i="15"/>
  <c r="I12" i="15"/>
  <c r="I13" i="12"/>
  <c r="I13" i="22"/>
  <c r="I24" i="19"/>
  <c r="I19" i="19"/>
  <c r="J12" i="19"/>
  <c r="K12" i="19" s="1"/>
  <c r="J66" i="10"/>
  <c r="K66" i="10" s="1"/>
  <c r="G23" i="10"/>
  <c r="I20" i="10"/>
  <c r="G14" i="10"/>
  <c r="J55" i="31"/>
  <c r="K55" i="31" s="1"/>
  <c r="I29" i="10"/>
  <c r="I26" i="10"/>
  <c r="E23" i="10"/>
  <c r="E20" i="10"/>
  <c r="J17" i="10"/>
  <c r="E17" i="10"/>
  <c r="J14" i="10"/>
  <c r="I23" i="42"/>
  <c r="I16" i="42"/>
  <c r="J123" i="15"/>
  <c r="K123" i="15" s="1"/>
  <c r="I12" i="34"/>
  <c r="E13" i="12"/>
  <c r="G26" i="10"/>
  <c r="J20" i="10"/>
  <c r="J43" i="42"/>
  <c r="K43" i="42" s="1"/>
  <c r="J20" i="42"/>
  <c r="K20" i="42" s="1"/>
  <c r="J13" i="42"/>
  <c r="K13" i="42" s="1"/>
  <c r="J104" i="15"/>
  <c r="K104" i="15" s="1"/>
  <c r="J83" i="15"/>
  <c r="K83" i="15" s="1"/>
  <c r="J23" i="31"/>
  <c r="E23" i="31"/>
  <c r="G23" i="31"/>
  <c r="I23" i="31"/>
  <c r="J19" i="19"/>
  <c r="G12" i="34"/>
  <c r="E12" i="34"/>
  <c r="J64" i="31"/>
  <c r="K64" i="31" s="1"/>
  <c r="J29" i="10"/>
  <c r="I13" i="10"/>
  <c r="J48" i="42"/>
  <c r="K48" i="42" s="1"/>
  <c r="J42" i="42"/>
  <c r="K42" i="42" s="1"/>
  <c r="J23" i="42"/>
  <c r="J16" i="42"/>
  <c r="J128" i="15"/>
  <c r="K128" i="15" s="1"/>
  <c r="E20" i="15"/>
  <c r="G20" i="15"/>
  <c r="J63" i="31"/>
  <c r="K63" i="31" s="1"/>
  <c r="J36" i="31"/>
  <c r="K36" i="31" s="1"/>
  <c r="J84" i="30"/>
  <c r="K84" i="30" s="1"/>
  <c r="J109" i="15"/>
  <c r="K109" i="15" s="1"/>
  <c r="E15" i="34"/>
  <c r="G15" i="34"/>
  <c r="I15" i="34"/>
  <c r="J56" i="30"/>
  <c r="K56" i="30" s="1"/>
  <c r="J40" i="26"/>
  <c r="K40" i="26" s="1"/>
  <c r="G19" i="31"/>
  <c r="I19" i="31"/>
  <c r="J19" i="31"/>
  <c r="J50" i="32"/>
  <c r="K50" i="32" s="1"/>
  <c r="J17" i="26"/>
  <c r="J71" i="31"/>
  <c r="K71" i="31" s="1"/>
  <c r="J54" i="30"/>
  <c r="K54" i="30" s="1"/>
  <c r="J15" i="7"/>
  <c r="J18" i="10"/>
  <c r="K18" i="10" s="1"/>
  <c r="J101" i="15"/>
  <c r="K101" i="15" s="1"/>
  <c r="J39" i="15"/>
  <c r="K39" i="15" s="1"/>
  <c r="E16" i="15"/>
  <c r="K16" i="15" s="1"/>
  <c r="J14" i="34"/>
  <c r="K14" i="34" s="1"/>
  <c r="I34" i="31"/>
  <c r="J24" i="32"/>
  <c r="G34" i="31"/>
  <c r="J69" i="24"/>
  <c r="K69" i="24" s="1"/>
  <c r="G18" i="24"/>
  <c r="I18" i="24"/>
  <c r="J18" i="24"/>
  <c r="J69" i="26"/>
  <c r="K69" i="26" s="1"/>
  <c r="E19" i="15"/>
  <c r="G19" i="15"/>
  <c r="J34" i="31"/>
  <c r="J31" i="31"/>
  <c r="E31" i="31"/>
  <c r="I27" i="31"/>
  <c r="K14" i="8"/>
  <c r="J46" i="32"/>
  <c r="K46" i="32" s="1"/>
  <c r="J61" i="24"/>
  <c r="K61" i="24" s="1"/>
  <c r="J78" i="30"/>
  <c r="K78" i="30" s="1"/>
  <c r="J17" i="32"/>
  <c r="J12" i="32"/>
  <c r="K12" i="32" s="1"/>
  <c r="J17" i="61"/>
  <c r="I12" i="10"/>
  <c r="J89" i="15"/>
  <c r="K89" i="15" s="1"/>
  <c r="J22" i="15"/>
  <c r="K22" i="15" s="1"/>
  <c r="E15" i="15"/>
  <c r="J24" i="31"/>
  <c r="E24" i="31"/>
  <c r="E17" i="24"/>
  <c r="G17" i="24"/>
  <c r="J45" i="32"/>
  <c r="K45" i="32" s="1"/>
  <c r="J61" i="31"/>
  <c r="K61" i="31" s="1"/>
  <c r="J54" i="31"/>
  <c r="K54" i="31" s="1"/>
  <c r="J48" i="31"/>
  <c r="K48" i="31" s="1"/>
  <c r="E37" i="31"/>
  <c r="G37" i="31"/>
  <c r="J30" i="31"/>
  <c r="E30" i="31"/>
  <c r="I14" i="31"/>
  <c r="E14" i="31"/>
  <c r="I13" i="8"/>
  <c r="J67" i="24"/>
  <c r="K67" i="24" s="1"/>
  <c r="J62" i="61"/>
  <c r="K62" i="61" s="1"/>
  <c r="J61" i="15"/>
  <c r="K61" i="15" s="1"/>
  <c r="J18" i="15"/>
  <c r="K18" i="15" s="1"/>
  <c r="J32" i="34"/>
  <c r="K32" i="34" s="1"/>
  <c r="E16" i="34"/>
  <c r="G16" i="34"/>
  <c r="G33" i="31"/>
  <c r="I33" i="31"/>
  <c r="J33" i="31"/>
  <c r="J53" i="24"/>
  <c r="K53" i="24" s="1"/>
  <c r="J21" i="32"/>
  <c r="E21" i="32"/>
  <c r="G21" i="32"/>
  <c r="I21" i="32"/>
  <c r="J61" i="61"/>
  <c r="K61" i="61" s="1"/>
  <c r="G13" i="8"/>
  <c r="E13" i="8"/>
  <c r="J43" i="32"/>
  <c r="K43" i="32" s="1"/>
  <c r="J94" i="61"/>
  <c r="K94" i="61" s="1"/>
  <c r="J98" i="15"/>
  <c r="K98" i="15" s="1"/>
  <c r="J54" i="15"/>
  <c r="K54" i="15" s="1"/>
  <c r="J42" i="15"/>
  <c r="K42" i="15" s="1"/>
  <c r="J21" i="15"/>
  <c r="I21" i="15"/>
  <c r="G26" i="31"/>
  <c r="I26" i="31"/>
  <c r="J26" i="31"/>
  <c r="J13" i="31"/>
  <c r="I13" i="31"/>
  <c r="J16" i="24"/>
  <c r="K16" i="24" s="1"/>
  <c r="J21" i="17"/>
  <c r="G15" i="11"/>
  <c r="J22" i="32"/>
  <c r="E19" i="32"/>
  <c r="J59" i="61"/>
  <c r="K59" i="61" s="1"/>
  <c r="E16" i="26"/>
  <c r="J42" i="16"/>
  <c r="K42" i="16" s="1"/>
  <c r="I15" i="24"/>
  <c r="J13" i="24"/>
  <c r="J13" i="30"/>
  <c r="E15" i="11"/>
  <c r="J42" i="32"/>
  <c r="K42" i="32" s="1"/>
  <c r="I24" i="32"/>
  <c r="J19" i="32"/>
  <c r="J86" i="61"/>
  <c r="K86" i="61" s="1"/>
  <c r="J74" i="26"/>
  <c r="K74" i="26" s="1"/>
  <c r="J16" i="26"/>
  <c r="J24" i="7"/>
  <c r="J19" i="16"/>
  <c r="K19" i="16" s="1"/>
  <c r="I21" i="17"/>
  <c r="G21" i="17"/>
  <c r="E21" i="17"/>
  <c r="I16" i="32"/>
  <c r="J50" i="16"/>
  <c r="K50" i="16" s="1"/>
  <c r="J41" i="16"/>
  <c r="K41" i="16" s="1"/>
  <c r="J49" i="17"/>
  <c r="K49" i="17" s="1"/>
  <c r="G12" i="11"/>
  <c r="E24" i="32"/>
  <c r="G16" i="32"/>
  <c r="E14" i="61"/>
  <c r="I14" i="61"/>
  <c r="J23" i="7"/>
  <c r="I15" i="16"/>
  <c r="G15" i="16"/>
  <c r="E15" i="16"/>
  <c r="J20" i="17"/>
  <c r="J62" i="33"/>
  <c r="K62" i="33" s="1"/>
  <c r="G12" i="24"/>
  <c r="J12" i="11"/>
  <c r="J16" i="32"/>
  <c r="I13" i="32"/>
  <c r="J22" i="26"/>
  <c r="I22" i="26"/>
  <c r="E22" i="26"/>
  <c r="E14" i="16"/>
  <c r="G14" i="16"/>
  <c r="I14" i="16"/>
  <c r="J14" i="16"/>
  <c r="J56" i="32"/>
  <c r="K56" i="32" s="1"/>
  <c r="G13" i="32"/>
  <c r="E17" i="61"/>
  <c r="I17" i="61"/>
  <c r="I13" i="61"/>
  <c r="J103" i="41"/>
  <c r="K103" i="41" s="1"/>
  <c r="G20" i="61"/>
  <c r="J20" i="61"/>
  <c r="E20" i="61"/>
  <c r="I20" i="61"/>
  <c r="E13" i="61"/>
  <c r="J41" i="7"/>
  <c r="K41" i="7" s="1"/>
  <c r="J13" i="16"/>
  <c r="G13" i="16"/>
  <c r="I13" i="16"/>
  <c r="J112" i="41"/>
  <c r="K112" i="41" s="1"/>
  <c r="E24" i="17"/>
  <c r="I24" i="17"/>
  <c r="J74" i="28"/>
  <c r="K74" i="28" s="1"/>
  <c r="I23" i="32"/>
  <c r="G15" i="32"/>
  <c r="G16" i="61"/>
  <c r="J13" i="61"/>
  <c r="J39" i="26"/>
  <c r="K39" i="26" s="1"/>
  <c r="E28" i="26"/>
  <c r="G28" i="26"/>
  <c r="J40" i="7"/>
  <c r="K40" i="7" s="1"/>
  <c r="J47" i="16"/>
  <c r="K47" i="16" s="1"/>
  <c r="J37" i="16"/>
  <c r="K37" i="16" s="1"/>
  <c r="J101" i="41"/>
  <c r="K101" i="41" s="1"/>
  <c r="I12" i="17"/>
  <c r="J26" i="28"/>
  <c r="E23" i="32"/>
  <c r="I20" i="32"/>
  <c r="K20" i="32" s="1"/>
  <c r="E15" i="32"/>
  <c r="E16" i="61"/>
  <c r="J38" i="26"/>
  <c r="K38" i="26" s="1"/>
  <c r="J17" i="7"/>
  <c r="J40" i="41"/>
  <c r="K40" i="41" s="1"/>
  <c r="J29" i="33"/>
  <c r="E29" i="33"/>
  <c r="I29" i="33"/>
  <c r="G29" i="33"/>
  <c r="J22" i="33"/>
  <c r="E22" i="33"/>
  <c r="G22" i="33"/>
  <c r="I22" i="33"/>
  <c r="J100" i="41"/>
  <c r="K100" i="41" s="1"/>
  <c r="J12" i="17"/>
  <c r="E12" i="17"/>
  <c r="J43" i="13"/>
  <c r="K43" i="13" s="1"/>
  <c r="J49" i="61"/>
  <c r="K49" i="61" s="1"/>
  <c r="J58" i="26"/>
  <c r="K58" i="26" s="1"/>
  <c r="E16" i="7"/>
  <c r="J16" i="7"/>
  <c r="G16" i="7"/>
  <c r="J45" i="26"/>
  <c r="K45" i="26" s="1"/>
  <c r="J13" i="26"/>
  <c r="K13" i="26" s="1"/>
  <c r="G15" i="7"/>
  <c r="E21" i="16"/>
  <c r="G21" i="16"/>
  <c r="J21" i="16"/>
  <c r="I21" i="16"/>
  <c r="J13" i="33"/>
  <c r="J17" i="31"/>
  <c r="K17" i="31" s="1"/>
  <c r="I13" i="24"/>
  <c r="I13" i="30"/>
  <c r="G22" i="32"/>
  <c r="I19" i="32"/>
  <c r="E17" i="32"/>
  <c r="J82" i="61"/>
  <c r="K82" i="61" s="1"/>
  <c r="J54" i="61"/>
  <c r="K54" i="61" s="1"/>
  <c r="J57" i="26"/>
  <c r="K57" i="26" s="1"/>
  <c r="J44" i="26"/>
  <c r="K44" i="26" s="1"/>
  <c r="G17" i="26"/>
  <c r="E17" i="26"/>
  <c r="J37" i="7"/>
  <c r="K37" i="7" s="1"/>
  <c r="I24" i="7"/>
  <c r="J108" i="41"/>
  <c r="K108" i="41" s="1"/>
  <c r="J42" i="17"/>
  <c r="K42" i="17" s="1"/>
  <c r="G13" i="24"/>
  <c r="J48" i="32"/>
  <c r="K48" i="32" s="1"/>
  <c r="J25" i="32"/>
  <c r="K25" i="32" s="1"/>
  <c r="J92" i="61"/>
  <c r="K92" i="61" s="1"/>
  <c r="J15" i="61"/>
  <c r="J50" i="26"/>
  <c r="K50" i="26" s="1"/>
  <c r="G16" i="26"/>
  <c r="E15" i="7"/>
  <c r="I15" i="7"/>
  <c r="J39" i="7"/>
  <c r="K39" i="7" s="1"/>
  <c r="J36" i="16"/>
  <c r="K36" i="16" s="1"/>
  <c r="J74" i="41"/>
  <c r="K74" i="41" s="1"/>
  <c r="J47" i="41"/>
  <c r="K47" i="41" s="1"/>
  <c r="J17" i="17"/>
  <c r="E17" i="17"/>
  <c r="I17" i="17"/>
  <c r="J57" i="33"/>
  <c r="K57" i="33" s="1"/>
  <c r="J38" i="33"/>
  <c r="E25" i="33"/>
  <c r="J20" i="33"/>
  <c r="G20" i="33"/>
  <c r="I20" i="33"/>
  <c r="J29" i="1"/>
  <c r="E29" i="1"/>
  <c r="G29" i="1"/>
  <c r="I29" i="1"/>
  <c r="J58" i="28"/>
  <c r="K58" i="28" s="1"/>
  <c r="J25" i="33"/>
  <c r="J18" i="13"/>
  <c r="E18" i="13"/>
  <c r="G18" i="13"/>
  <c r="I18" i="13"/>
  <c r="J13" i="13"/>
  <c r="E13" i="13"/>
  <c r="G13" i="13"/>
  <c r="I13" i="13"/>
  <c r="G16" i="1"/>
  <c r="I16" i="1"/>
  <c r="J16" i="1"/>
  <c r="E16" i="1"/>
  <c r="J39" i="1"/>
  <c r="K39" i="1" s="1"/>
  <c r="J68" i="28"/>
  <c r="K68" i="28" s="1"/>
  <c r="J14" i="33"/>
  <c r="E14" i="33"/>
  <c r="G14" i="33"/>
  <c r="I14" i="33"/>
  <c r="J12" i="13"/>
  <c r="G12" i="13"/>
  <c r="E12" i="13"/>
  <c r="I12" i="13"/>
  <c r="J67" i="28"/>
  <c r="K67" i="28" s="1"/>
  <c r="E17" i="13"/>
  <c r="I17" i="13"/>
  <c r="J75" i="28"/>
  <c r="K75" i="28" s="1"/>
  <c r="J44" i="28"/>
  <c r="K44" i="28" s="1"/>
  <c r="J15" i="41"/>
  <c r="E15" i="41"/>
  <c r="J47" i="17"/>
  <c r="K47" i="17" s="1"/>
  <c r="J46" i="1"/>
  <c r="K46" i="1" s="1"/>
  <c r="J44" i="41"/>
  <c r="K44" i="41" s="1"/>
  <c r="J76" i="33"/>
  <c r="K76" i="33" s="1"/>
  <c r="J28" i="33"/>
  <c r="E28" i="33"/>
  <c r="J23" i="33"/>
  <c r="G23" i="33"/>
  <c r="I23" i="33"/>
  <c r="E23" i="33"/>
  <c r="E13" i="33"/>
  <c r="I13" i="33"/>
  <c r="J19" i="1"/>
  <c r="K19" i="1" s="1"/>
  <c r="J32" i="28"/>
  <c r="K32" i="28" s="1"/>
  <c r="E26" i="28"/>
  <c r="G26" i="28"/>
  <c r="I26" i="28"/>
  <c r="J18" i="61"/>
  <c r="K18" i="61" s="1"/>
  <c r="E15" i="61"/>
  <c r="J42" i="7"/>
  <c r="K42" i="7" s="1"/>
  <c r="G26" i="7"/>
  <c r="G20" i="7"/>
  <c r="E17" i="7"/>
  <c r="J132" i="41"/>
  <c r="K132" i="41" s="1"/>
  <c r="J19" i="17"/>
  <c r="G19" i="17"/>
  <c r="I19" i="17"/>
  <c r="J53" i="33"/>
  <c r="K53" i="33" s="1"/>
  <c r="G32" i="33"/>
  <c r="E32" i="33"/>
  <c r="G18" i="33"/>
  <c r="J18" i="33"/>
  <c r="E18" i="33"/>
  <c r="J36" i="1"/>
  <c r="K36" i="1" s="1"/>
  <c r="J64" i="28"/>
  <c r="K64" i="28" s="1"/>
  <c r="J15" i="26"/>
  <c r="I15" i="26"/>
  <c r="E23" i="7"/>
  <c r="I23" i="7"/>
  <c r="J20" i="7"/>
  <c r="J84" i="41"/>
  <c r="K84" i="41" s="1"/>
  <c r="J70" i="41"/>
  <c r="K70" i="41" s="1"/>
  <c r="J60" i="33"/>
  <c r="K60" i="33" s="1"/>
  <c r="J27" i="33"/>
  <c r="J37" i="13"/>
  <c r="K37" i="13" s="1"/>
  <c r="J37" i="28"/>
  <c r="K37" i="28" s="1"/>
  <c r="J31" i="28"/>
  <c r="J26" i="7"/>
  <c r="I26" i="7"/>
  <c r="J91" i="41"/>
  <c r="K91" i="41" s="1"/>
  <c r="J62" i="41"/>
  <c r="K62" i="41" s="1"/>
  <c r="J35" i="33"/>
  <c r="E35" i="33"/>
  <c r="I35" i="33"/>
  <c r="G17" i="33"/>
  <c r="J17" i="33"/>
  <c r="I17" i="33"/>
  <c r="J51" i="28"/>
  <c r="K51" i="28" s="1"/>
  <c r="J42" i="28"/>
  <c r="I42" i="28"/>
  <c r="G42" i="28"/>
  <c r="G15" i="13"/>
  <c r="J15" i="13"/>
  <c r="E15" i="13"/>
  <c r="J61" i="28"/>
  <c r="K61" i="28" s="1"/>
  <c r="J25" i="28"/>
  <c r="K25" i="28" s="1"/>
  <c r="J60" i="26"/>
  <c r="K60" i="26" s="1"/>
  <c r="G14" i="26"/>
  <c r="E22" i="7"/>
  <c r="I19" i="7"/>
  <c r="J31" i="16"/>
  <c r="K31" i="16" s="1"/>
  <c r="J124" i="41"/>
  <c r="K124" i="41" s="1"/>
  <c r="J76" i="41"/>
  <c r="K76" i="41" s="1"/>
  <c r="J14" i="17"/>
  <c r="G14" i="17"/>
  <c r="I14" i="17"/>
  <c r="G39" i="33"/>
  <c r="J39" i="33"/>
  <c r="I39" i="33"/>
  <c r="J16" i="33"/>
  <c r="G16" i="33"/>
  <c r="I16" i="33"/>
  <c r="J26" i="1"/>
  <c r="K26" i="1" s="1"/>
  <c r="J21" i="1"/>
  <c r="E21" i="1"/>
  <c r="G21" i="1"/>
  <c r="I21" i="1"/>
  <c r="J60" i="28"/>
  <c r="K60" i="28" s="1"/>
  <c r="J110" i="41"/>
  <c r="K110" i="41" s="1"/>
  <c r="J96" i="41"/>
  <c r="K96" i="41" s="1"/>
  <c r="J89" i="41"/>
  <c r="K89" i="41" s="1"/>
  <c r="J75" i="41"/>
  <c r="K75" i="41" s="1"/>
  <c r="J68" i="41"/>
  <c r="K68" i="41" s="1"/>
  <c r="J51" i="17"/>
  <c r="K51" i="17" s="1"/>
  <c r="J50" i="33"/>
  <c r="K50" i="33" s="1"/>
  <c r="I38" i="33"/>
  <c r="J21" i="33"/>
  <c r="E21" i="33"/>
  <c r="G21" i="33"/>
  <c r="I21" i="33"/>
  <c r="G30" i="1"/>
  <c r="I30" i="1"/>
  <c r="J30" i="1"/>
  <c r="I25" i="7"/>
  <c r="J25" i="7"/>
  <c r="J19" i="7"/>
  <c r="E20" i="16"/>
  <c r="I20" i="16"/>
  <c r="G20" i="16"/>
  <c r="J129" i="41"/>
  <c r="K129" i="41" s="1"/>
  <c r="J48" i="41"/>
  <c r="K48" i="41" s="1"/>
  <c r="J50" i="17"/>
  <c r="K50" i="17" s="1"/>
  <c r="J43" i="17"/>
  <c r="K43" i="17" s="1"/>
  <c r="G17" i="17"/>
  <c r="E13" i="17"/>
  <c r="I13" i="17"/>
  <c r="G13" i="17"/>
  <c r="E38" i="33"/>
  <c r="J34" i="33"/>
  <c r="K34" i="33" s="1"/>
  <c r="I25" i="33"/>
  <c r="E20" i="33"/>
  <c r="G14" i="13"/>
  <c r="E14" i="13"/>
  <c r="J122" i="41"/>
  <c r="K122" i="41" s="1"/>
  <c r="J15" i="17"/>
  <c r="K15" i="17" s="1"/>
  <c r="J31" i="33"/>
  <c r="K31" i="33" s="1"/>
  <c r="I27" i="33"/>
  <c r="J41" i="13"/>
  <c r="K41" i="13" s="1"/>
  <c r="J28" i="1"/>
  <c r="E28" i="1"/>
  <c r="G28" i="1"/>
  <c r="J45" i="28"/>
  <c r="E40" i="28"/>
  <c r="G40" i="28"/>
  <c r="I40" i="28"/>
  <c r="J21" i="28"/>
  <c r="I21" i="28"/>
  <c r="J34" i="41"/>
  <c r="K34" i="41" s="1"/>
  <c r="E20" i="17"/>
  <c r="I20" i="17"/>
  <c r="J37" i="33"/>
  <c r="G37" i="33"/>
  <c r="I37" i="33"/>
  <c r="G27" i="33"/>
  <c r="I24" i="33"/>
  <c r="J15" i="33"/>
  <c r="K15" i="33" s="1"/>
  <c r="J12" i="1"/>
  <c r="K12" i="1" s="1"/>
  <c r="J90" i="41"/>
  <c r="K90" i="41" s="1"/>
  <c r="G22" i="17"/>
  <c r="J67" i="33"/>
  <c r="K67" i="33" s="1"/>
  <c r="I36" i="33"/>
  <c r="J24" i="33"/>
  <c r="J42" i="1"/>
  <c r="K42" i="1" s="1"/>
  <c r="J35" i="28"/>
  <c r="I35" i="28"/>
  <c r="J30" i="28"/>
  <c r="K30" i="28" s="1"/>
  <c r="J24" i="28"/>
  <c r="E19" i="28"/>
  <c r="G19" i="28"/>
  <c r="I19" i="28"/>
  <c r="G14" i="28"/>
  <c r="J136" i="41"/>
  <c r="K136" i="41" s="1"/>
  <c r="J38" i="41"/>
  <c r="K38" i="41" s="1"/>
  <c r="J36" i="17"/>
  <c r="K36" i="17" s="1"/>
  <c r="E22" i="17"/>
  <c r="J30" i="33"/>
  <c r="G30" i="33"/>
  <c r="I30" i="33"/>
  <c r="J15" i="1"/>
  <c r="E15" i="1"/>
  <c r="G15" i="1"/>
  <c r="I15" i="1"/>
  <c r="J70" i="28"/>
  <c r="K70" i="28" s="1"/>
  <c r="J62" i="28"/>
  <c r="K62" i="28" s="1"/>
  <c r="J39" i="28"/>
  <c r="K39" i="28" s="1"/>
  <c r="J14" i="28"/>
  <c r="I14" i="28"/>
  <c r="J94" i="41"/>
  <c r="K94" i="41" s="1"/>
  <c r="J36" i="33"/>
  <c r="J53" i="1"/>
  <c r="K53" i="1" s="1"/>
  <c r="G23" i="1"/>
  <c r="I23" i="1"/>
  <c r="J14" i="1"/>
  <c r="E14" i="1"/>
  <c r="G14" i="1"/>
  <c r="I14" i="1"/>
  <c r="J53" i="28"/>
  <c r="K53" i="28" s="1"/>
  <c r="J38" i="28"/>
  <c r="E33" i="28"/>
  <c r="G33" i="28"/>
  <c r="I33" i="28"/>
  <c r="G28" i="28"/>
  <c r="J18" i="28"/>
  <c r="K18" i="28" s="1"/>
  <c r="J12" i="28"/>
  <c r="J52" i="41"/>
  <c r="K52" i="41" s="1"/>
  <c r="J40" i="17"/>
  <c r="K40" i="17" s="1"/>
  <c r="J40" i="1"/>
  <c r="K40" i="1" s="1"/>
  <c r="J22" i="1"/>
  <c r="E22" i="1"/>
  <c r="G22" i="1"/>
  <c r="I22" i="1"/>
  <c r="J76" i="28"/>
  <c r="K76" i="28" s="1"/>
  <c r="J52" i="28"/>
  <c r="K52" i="28" s="1"/>
  <c r="J17" i="28"/>
  <c r="J28" i="28"/>
  <c r="I28" i="28"/>
  <c r="J41" i="28"/>
  <c r="J34" i="28"/>
  <c r="J27" i="28"/>
  <c r="I24" i="28"/>
  <c r="I17" i="28"/>
  <c r="G45" i="28"/>
  <c r="J43" i="28"/>
  <c r="K43" i="28" s="1"/>
  <c r="G38" i="28"/>
  <c r="J36" i="28"/>
  <c r="K36" i="28" s="1"/>
  <c r="G31" i="28"/>
  <c r="J29" i="28"/>
  <c r="K29" i="28" s="1"/>
  <c r="G24" i="28"/>
  <c r="J22" i="28"/>
  <c r="K22" i="28" s="1"/>
  <c r="G17" i="28"/>
  <c r="J15" i="28"/>
  <c r="K15" i="28" s="1"/>
  <c r="E45" i="28"/>
  <c r="E38" i="28"/>
  <c r="E31" i="28"/>
  <c r="E24" i="28"/>
  <c r="E17" i="28"/>
  <c r="I12" i="28"/>
  <c r="G12" i="28"/>
  <c r="E12" i="28"/>
  <c r="I41" i="28"/>
  <c r="I34" i="28"/>
  <c r="I27" i="28"/>
  <c r="I20" i="28"/>
  <c r="I13" i="28"/>
  <c r="I24" i="1"/>
  <c r="I17" i="1"/>
  <c r="G41" i="28"/>
  <c r="G34" i="28"/>
  <c r="G27" i="28"/>
  <c r="G20" i="28"/>
  <c r="G13" i="28"/>
  <c r="K24" i="10" l="1"/>
  <c r="K29" i="10"/>
  <c r="K14" i="9"/>
  <c r="K52" i="21"/>
  <c r="K18" i="20"/>
  <c r="K14" i="44"/>
  <c r="K21" i="29"/>
  <c r="K19" i="17"/>
  <c r="K22" i="26"/>
  <c r="K12" i="15"/>
  <c r="K19" i="10"/>
  <c r="K22" i="29"/>
  <c r="K31" i="31"/>
  <c r="K20" i="10"/>
  <c r="K15" i="23"/>
  <c r="K25" i="36"/>
  <c r="K28" i="1"/>
  <c r="K42" i="28"/>
  <c r="K22" i="1"/>
  <c r="K13" i="16"/>
  <c r="K29" i="33"/>
  <c r="K21" i="15"/>
  <c r="K23" i="36"/>
  <c r="K17" i="19"/>
  <c r="K21" i="28"/>
  <c r="K28" i="28"/>
  <c r="K14" i="16"/>
  <c r="K16" i="7"/>
  <c r="K48" i="21"/>
  <c r="K28" i="23"/>
  <c r="K17" i="32"/>
  <c r="K15" i="41"/>
  <c r="K29" i="41" s="1"/>
  <c r="K139" i="41" s="1"/>
  <c r="K25" i="33"/>
  <c r="K16" i="42"/>
  <c r="K29" i="29"/>
  <c r="K17" i="44"/>
  <c r="K32" i="23"/>
  <c r="K26" i="21"/>
  <c r="K14" i="25"/>
  <c r="K32" i="20"/>
  <c r="K16" i="1"/>
  <c r="K12" i="42"/>
  <c r="K13" i="31"/>
  <c r="K36" i="33"/>
  <c r="K19" i="7"/>
  <c r="K17" i="22"/>
  <c r="K15" i="13"/>
  <c r="K23" i="33"/>
  <c r="K19" i="42"/>
  <c r="K31" i="29"/>
  <c r="K34" i="20"/>
  <c r="K12" i="35"/>
  <c r="K53" i="21"/>
  <c r="K13" i="30"/>
  <c r="K47" i="30" s="1"/>
  <c r="K88" i="30" s="1"/>
  <c r="E21" i="60" s="1"/>
  <c r="K38" i="28"/>
  <c r="K28" i="10"/>
  <c r="K18" i="36"/>
  <c r="K13" i="15"/>
  <c r="K22" i="23"/>
  <c r="K21" i="21"/>
  <c r="K13" i="21"/>
  <c r="K26" i="28"/>
  <c r="K20" i="17"/>
  <c r="K24" i="42"/>
  <c r="K24" i="28"/>
  <c r="K23" i="31"/>
  <c r="J51" i="31"/>
  <c r="K51" i="31" s="1"/>
  <c r="J25" i="34"/>
  <c r="K25" i="34" s="1"/>
  <c r="J50" i="31"/>
  <c r="K50" i="31" s="1"/>
  <c r="J57" i="36"/>
  <c r="K57" i="36" s="1"/>
  <c r="J56" i="36"/>
  <c r="K56" i="36" s="1"/>
  <c r="J28" i="8"/>
  <c r="K28" i="8" s="1"/>
  <c r="J47" i="35"/>
  <c r="K47" i="35" s="1"/>
  <c r="J45" i="35"/>
  <c r="K45" i="35" s="1"/>
  <c r="J43" i="15"/>
  <c r="K43" i="15" s="1"/>
  <c r="J46" i="35"/>
  <c r="K46" i="35" s="1"/>
  <c r="K26" i="7"/>
  <c r="K13" i="12"/>
  <c r="J60" i="25"/>
  <c r="K60" i="25" s="1"/>
  <c r="J58" i="25"/>
  <c r="K58" i="25" s="1"/>
  <c r="J63" i="25"/>
  <c r="K63" i="25" s="1"/>
  <c r="J57" i="25"/>
  <c r="K57" i="25" s="1"/>
  <c r="J56" i="25"/>
  <c r="K56" i="25" s="1"/>
  <c r="J62" i="25"/>
  <c r="K62" i="25" s="1"/>
  <c r="J59" i="25"/>
  <c r="K59" i="25" s="1"/>
  <c r="J61" i="25"/>
  <c r="K61" i="25" s="1"/>
  <c r="J139" i="25"/>
  <c r="K139" i="25" s="1"/>
  <c r="J129" i="25"/>
  <c r="K129" i="25" s="1"/>
  <c r="J130" i="25"/>
  <c r="K130" i="25" s="1"/>
  <c r="J131" i="25"/>
  <c r="K131" i="25" s="1"/>
  <c r="J132" i="25"/>
  <c r="K132" i="25" s="1"/>
  <c r="J128" i="25"/>
  <c r="K128" i="25" s="1"/>
  <c r="J138" i="25"/>
  <c r="K138" i="25" s="1"/>
  <c r="J135" i="25"/>
  <c r="K135" i="25" s="1"/>
  <c r="J137" i="25"/>
  <c r="K137" i="25" s="1"/>
  <c r="J133" i="25"/>
  <c r="K133" i="25" s="1"/>
  <c r="J134" i="25"/>
  <c r="K134" i="25" s="1"/>
  <c r="J136" i="25"/>
  <c r="K136" i="25" s="1"/>
  <c r="J38" i="16"/>
  <c r="K38" i="16" s="1"/>
  <c r="J34" i="16"/>
  <c r="K34" i="16" s="1"/>
  <c r="J41" i="12"/>
  <c r="K41" i="12" s="1"/>
  <c r="J51" i="30"/>
  <c r="K51" i="30" s="1"/>
  <c r="J31" i="8"/>
  <c r="K31" i="8" s="1"/>
  <c r="J33" i="16"/>
  <c r="K33" i="16" s="1"/>
  <c r="J35" i="16"/>
  <c r="K35" i="16" s="1"/>
  <c r="J30" i="8"/>
  <c r="K30" i="8" s="1"/>
  <c r="J40" i="12"/>
  <c r="K40" i="12" s="1"/>
  <c r="J28" i="34"/>
  <c r="K28" i="34" s="1"/>
  <c r="J65" i="31"/>
  <c r="K65" i="31" s="1"/>
  <c r="J29" i="34"/>
  <c r="K29" i="34" s="1"/>
  <c r="J66" i="31"/>
  <c r="K66" i="31" s="1"/>
  <c r="J55" i="25"/>
  <c r="K55" i="25" s="1"/>
  <c r="J62" i="31"/>
  <c r="K62" i="31" s="1"/>
  <c r="J39" i="13"/>
  <c r="K39" i="13" s="1"/>
  <c r="J51" i="32"/>
  <c r="K51" i="32" s="1"/>
  <c r="J54" i="24"/>
  <c r="K54" i="24" s="1"/>
  <c r="J52" i="24"/>
  <c r="K52" i="24" s="1"/>
  <c r="J55" i="24"/>
  <c r="K55" i="24" s="1"/>
  <c r="K71" i="24" s="1"/>
  <c r="K74" i="24" s="1"/>
  <c r="F22" i="60" s="1"/>
  <c r="K21" i="1"/>
  <c r="K18" i="33"/>
  <c r="K16" i="26"/>
  <c r="J74" i="29"/>
  <c r="K74" i="29" s="1"/>
  <c r="J76" i="29"/>
  <c r="K76" i="29" s="1"/>
  <c r="J71" i="29"/>
  <c r="K71" i="29" s="1"/>
  <c r="J77" i="29"/>
  <c r="K77" i="29" s="1"/>
  <c r="J75" i="29"/>
  <c r="K75" i="29" s="1"/>
  <c r="J72" i="29"/>
  <c r="K72" i="29" s="1"/>
  <c r="J73" i="29"/>
  <c r="K73" i="29" s="1"/>
  <c r="J59" i="33"/>
  <c r="K59" i="33" s="1"/>
  <c r="J47" i="7"/>
  <c r="K47" i="7" s="1"/>
  <c r="J38" i="9"/>
  <c r="K38" i="9" s="1"/>
  <c r="J49" i="20"/>
  <c r="K49" i="20" s="1"/>
  <c r="J50" i="20"/>
  <c r="K50" i="20" s="1"/>
  <c r="J39" i="9"/>
  <c r="K39" i="9" s="1"/>
  <c r="J48" i="7"/>
  <c r="K48" i="7" s="1"/>
  <c r="J66" i="33"/>
  <c r="K66" i="33" s="1"/>
  <c r="J45" i="15"/>
  <c r="K45" i="15" s="1"/>
  <c r="J49" i="15"/>
  <c r="K49" i="15" s="1"/>
  <c r="J56" i="31"/>
  <c r="K56" i="31" s="1"/>
  <c r="J48" i="15"/>
  <c r="K48" i="15" s="1"/>
  <c r="J50" i="15"/>
  <c r="K50" i="15" s="1"/>
  <c r="J44" i="15"/>
  <c r="K44" i="15" s="1"/>
  <c r="J73" i="21"/>
  <c r="K73" i="21" s="1"/>
  <c r="J57" i="23"/>
  <c r="K57" i="23" s="1"/>
  <c r="J37" i="1"/>
  <c r="K37" i="1" s="1"/>
  <c r="J42" i="20"/>
  <c r="K42" i="20" s="1"/>
  <c r="J46" i="15"/>
  <c r="K46" i="15" s="1"/>
  <c r="J45" i="17"/>
  <c r="K45" i="17" s="1"/>
  <c r="J59" i="28"/>
  <c r="K59" i="28" s="1"/>
  <c r="J73" i="28"/>
  <c r="K73" i="28" s="1"/>
  <c r="J38" i="13"/>
  <c r="K38" i="13" s="1"/>
  <c r="J44" i="17"/>
  <c r="K44" i="17" s="1"/>
  <c r="J60" i="31"/>
  <c r="K60" i="31" s="1"/>
  <c r="J43" i="7"/>
  <c r="K43" i="7" s="1"/>
  <c r="J47" i="32"/>
  <c r="K47" i="32" s="1"/>
  <c r="J45" i="42"/>
  <c r="K45" i="42" s="1"/>
  <c r="J40" i="19"/>
  <c r="K40" i="19" s="1"/>
  <c r="J50" i="35"/>
  <c r="K50" i="35" s="1"/>
  <c r="J58" i="10"/>
  <c r="K58" i="10" s="1"/>
  <c r="J48" i="25"/>
  <c r="K48" i="25" s="1"/>
  <c r="J39" i="36"/>
  <c r="K39" i="36" s="1"/>
  <c r="J49" i="35"/>
  <c r="K49" i="35" s="1"/>
  <c r="J51" i="25"/>
  <c r="K51" i="25" s="1"/>
  <c r="J47" i="25"/>
  <c r="K47" i="25" s="1"/>
  <c r="J53" i="25"/>
  <c r="K53" i="25" s="1"/>
  <c r="J55" i="15"/>
  <c r="K55" i="15" s="1"/>
  <c r="J51" i="10"/>
  <c r="K51" i="10" s="1"/>
  <c r="J42" i="26"/>
  <c r="K42" i="26" s="1"/>
  <c r="J43" i="26"/>
  <c r="K43" i="26" s="1"/>
  <c r="J57" i="15"/>
  <c r="K57" i="15" s="1"/>
  <c r="J32" i="44"/>
  <c r="K32" i="44" s="1"/>
  <c r="J52" i="25"/>
  <c r="K52" i="25" s="1"/>
  <c r="J56" i="15"/>
  <c r="K56" i="15" s="1"/>
  <c r="J55" i="33"/>
  <c r="K55" i="33" s="1"/>
  <c r="J49" i="25"/>
  <c r="K49" i="25" s="1"/>
  <c r="J52" i="10"/>
  <c r="K52" i="10" s="1"/>
  <c r="J51" i="61"/>
  <c r="K51" i="61" s="1"/>
  <c r="J46" i="25"/>
  <c r="K46" i="25" s="1"/>
  <c r="J44" i="42"/>
  <c r="K44" i="42" s="1"/>
  <c r="K37" i="33"/>
  <c r="K31" i="28"/>
  <c r="K34" i="28"/>
  <c r="K21" i="33"/>
  <c r="K38" i="33"/>
  <c r="K15" i="61"/>
  <c r="K22" i="33"/>
  <c r="K16" i="32"/>
  <c r="K22" i="32"/>
  <c r="J58" i="42"/>
  <c r="K58" i="42" s="1"/>
  <c r="J80" i="21"/>
  <c r="K80" i="21" s="1"/>
  <c r="J139" i="15"/>
  <c r="K139" i="15" s="1"/>
  <c r="J140" i="15"/>
  <c r="K140" i="15" s="1"/>
  <c r="J141" i="15"/>
  <c r="K141" i="15" s="1"/>
  <c r="J142" i="15"/>
  <c r="K142" i="15" s="1"/>
  <c r="J57" i="29"/>
  <c r="K57" i="29" s="1"/>
  <c r="J54" i="29"/>
  <c r="K54" i="29" s="1"/>
  <c r="J83" i="25"/>
  <c r="K83" i="25" s="1"/>
  <c r="J58" i="29"/>
  <c r="K58" i="29" s="1"/>
  <c r="J55" i="29"/>
  <c r="K55" i="29" s="1"/>
  <c r="J56" i="29"/>
  <c r="K56" i="29" s="1"/>
  <c r="K27" i="28"/>
  <c r="K35" i="28"/>
  <c r="K41" i="28"/>
  <c r="K12" i="28"/>
  <c r="K30" i="33"/>
  <c r="K24" i="33"/>
  <c r="K27" i="33"/>
  <c r="K18" i="24"/>
  <c r="J79" i="61"/>
  <c r="K79" i="61" s="1"/>
  <c r="J50" i="25"/>
  <c r="K50" i="25" s="1"/>
  <c r="J79" i="31"/>
  <c r="K79" i="31" s="1"/>
  <c r="J80" i="31"/>
  <c r="K80" i="31" s="1"/>
  <c r="J77" i="31"/>
  <c r="K77" i="31" s="1"/>
  <c r="K14" i="1"/>
  <c r="K15" i="1"/>
  <c r="K17" i="33"/>
  <c r="K21" i="17"/>
  <c r="J35" i="8"/>
  <c r="K35" i="8" s="1"/>
  <c r="J90" i="42"/>
  <c r="K90" i="42" s="1"/>
  <c r="J46" i="17"/>
  <c r="K46" i="17" s="1"/>
  <c r="J53" i="32"/>
  <c r="K53" i="32" s="1"/>
  <c r="J74" i="31"/>
  <c r="K74" i="31" s="1"/>
  <c r="J52" i="32"/>
  <c r="K52" i="32" s="1"/>
  <c r="J67" i="31"/>
  <c r="K67" i="31" s="1"/>
  <c r="J72" i="31"/>
  <c r="K72" i="31" s="1"/>
  <c r="J73" i="31"/>
  <c r="K73" i="31" s="1"/>
  <c r="J70" i="31"/>
  <c r="K70" i="31" s="1"/>
  <c r="J171" i="25"/>
  <c r="K171" i="25" s="1"/>
  <c r="J41" i="19"/>
  <c r="K41" i="19" s="1"/>
  <c r="J68" i="31"/>
  <c r="K68" i="31" s="1"/>
  <c r="J76" i="31"/>
  <c r="K76" i="31" s="1"/>
  <c r="J53" i="10"/>
  <c r="K53" i="10" s="1"/>
  <c r="J69" i="31"/>
  <c r="K69" i="31" s="1"/>
  <c r="J75" i="31"/>
  <c r="K75" i="31" s="1"/>
  <c r="J54" i="10"/>
  <c r="K54" i="10" s="1"/>
  <c r="K16" i="33"/>
  <c r="K19" i="32"/>
  <c r="J68" i="61"/>
  <c r="K68" i="61" s="1"/>
  <c r="J38" i="11"/>
  <c r="K38" i="11" s="1"/>
  <c r="J55" i="30"/>
  <c r="K55" i="30" s="1"/>
  <c r="J146" i="15"/>
  <c r="K146" i="15" s="1"/>
  <c r="J148" i="15"/>
  <c r="K148" i="15" s="1"/>
  <c r="J107" i="29"/>
  <c r="K107" i="29" s="1"/>
  <c r="J149" i="15"/>
  <c r="K149" i="15" s="1"/>
  <c r="J147" i="15"/>
  <c r="K147" i="15" s="1"/>
  <c r="J150" i="15"/>
  <c r="K150" i="15" s="1"/>
  <c r="J151" i="15"/>
  <c r="K151" i="15" s="1"/>
  <c r="T245" i="4"/>
  <c r="J80" i="29"/>
  <c r="K80" i="29" s="1"/>
  <c r="J79" i="29"/>
  <c r="K79" i="29" s="1"/>
  <c r="J89" i="29"/>
  <c r="K89" i="29" s="1"/>
  <c r="J88" i="29"/>
  <c r="K88" i="29" s="1"/>
  <c r="J90" i="15"/>
  <c r="K90" i="15" s="1"/>
  <c r="J76" i="15"/>
  <c r="K76" i="15" s="1"/>
  <c r="J78" i="15"/>
  <c r="K78" i="15" s="1"/>
  <c r="J80" i="15"/>
  <c r="K80" i="15" s="1"/>
  <c r="J28" i="22"/>
  <c r="K28" i="22" s="1"/>
  <c r="J96" i="25"/>
  <c r="K96" i="25" s="1"/>
  <c r="J35" i="44"/>
  <c r="K35" i="44" s="1"/>
  <c r="J36" i="44"/>
  <c r="K36" i="44" s="1"/>
  <c r="J97" i="25"/>
  <c r="K97" i="25" s="1"/>
  <c r="J91" i="25"/>
  <c r="K91" i="25" s="1"/>
  <c r="J98" i="25"/>
  <c r="K98" i="25" s="1"/>
  <c r="J78" i="21"/>
  <c r="K78" i="21" s="1"/>
  <c r="L98" i="25"/>
  <c r="J88" i="15"/>
  <c r="K88" i="15" s="1"/>
  <c r="J79" i="15"/>
  <c r="K79" i="15" s="1"/>
  <c r="J82" i="15"/>
  <c r="K82" i="15" s="1"/>
  <c r="J95" i="25"/>
  <c r="K95" i="25" s="1"/>
  <c r="J74" i="15"/>
  <c r="K74" i="15" s="1"/>
  <c r="J94" i="25"/>
  <c r="K94" i="25" s="1"/>
  <c r="J81" i="15"/>
  <c r="K81" i="15" s="1"/>
  <c r="J89" i="25"/>
  <c r="K89" i="25" s="1"/>
  <c r="J86" i="15"/>
  <c r="K86" i="15" s="1"/>
  <c r="J55" i="32"/>
  <c r="K55" i="32" s="1"/>
  <c r="J90" i="25"/>
  <c r="K90" i="25" s="1"/>
  <c r="J75" i="15"/>
  <c r="K75" i="15" s="1"/>
  <c r="J93" i="25"/>
  <c r="K93" i="25" s="1"/>
  <c r="J87" i="15"/>
  <c r="K87" i="15" s="1"/>
  <c r="J27" i="22"/>
  <c r="K27" i="22" s="1"/>
  <c r="J92" i="25"/>
  <c r="K92" i="25" s="1"/>
  <c r="K17" i="28"/>
  <c r="K39" i="33"/>
  <c r="J62" i="15"/>
  <c r="K62" i="15" s="1"/>
  <c r="J65" i="25"/>
  <c r="K65" i="25" s="1"/>
  <c r="J63" i="15"/>
  <c r="K63" i="15" s="1"/>
  <c r="K17" i="17"/>
  <c r="K25" i="7"/>
  <c r="K35" i="33"/>
  <c r="J57" i="30"/>
  <c r="K57" i="30" s="1"/>
  <c r="K17" i="7"/>
  <c r="J64" i="61"/>
  <c r="K64" i="61" s="1"/>
  <c r="K15" i="11"/>
  <c r="J48" i="16"/>
  <c r="K48" i="16" s="1"/>
  <c r="J84" i="15"/>
  <c r="K84" i="15" s="1"/>
  <c r="J46" i="29"/>
  <c r="K46" i="29" s="1"/>
  <c r="J44" i="29"/>
  <c r="K44" i="29" s="1"/>
  <c r="J45" i="29"/>
  <c r="K45" i="29" s="1"/>
  <c r="J47" i="29"/>
  <c r="K47" i="29" s="1"/>
  <c r="J48" i="29"/>
  <c r="K48" i="29" s="1"/>
  <c r="J43" i="29"/>
  <c r="K43" i="29" s="1"/>
  <c r="K110" i="29" s="1"/>
  <c r="K113" i="29" s="1"/>
  <c r="F35" i="60" s="1"/>
  <c r="J57" i="32"/>
  <c r="K57" i="32" s="1"/>
  <c r="J64" i="33"/>
  <c r="K64" i="33" s="1"/>
  <c r="J39" i="12"/>
  <c r="K39" i="12" s="1"/>
  <c r="J85" i="29"/>
  <c r="K85" i="29" s="1"/>
  <c r="J107" i="25"/>
  <c r="K107" i="25" s="1"/>
  <c r="J108" i="25"/>
  <c r="K108" i="25" s="1"/>
  <c r="J48" i="20"/>
  <c r="K48" i="20" s="1"/>
  <c r="J86" i="29"/>
  <c r="K86" i="29" s="1"/>
  <c r="J106" i="25"/>
  <c r="K106" i="25" s="1"/>
  <c r="J51" i="35"/>
  <c r="K51" i="35" s="1"/>
  <c r="J84" i="29"/>
  <c r="K84" i="29" s="1"/>
  <c r="J112" i="15"/>
  <c r="K112" i="15" s="1"/>
  <c r="J52" i="35"/>
  <c r="K52" i="35" s="1"/>
  <c r="K13" i="33"/>
  <c r="J58" i="33"/>
  <c r="K58" i="33" s="1"/>
  <c r="J33" i="41"/>
  <c r="K33" i="41" s="1"/>
  <c r="J40" i="13"/>
  <c r="K40" i="13" s="1"/>
  <c r="J36" i="11"/>
  <c r="K36" i="11" s="1"/>
  <c r="J50" i="61"/>
  <c r="K50" i="61" s="1"/>
  <c r="J34" i="11"/>
  <c r="K34" i="11" s="1"/>
  <c r="J110" i="15"/>
  <c r="K110" i="15" s="1"/>
  <c r="J111" i="15"/>
  <c r="K111" i="15" s="1"/>
  <c r="J56" i="10"/>
  <c r="K56" i="10" s="1"/>
  <c r="J104" i="25"/>
  <c r="K104" i="25" s="1"/>
  <c r="J103" i="25"/>
  <c r="K103" i="25" s="1"/>
  <c r="J105" i="25"/>
  <c r="K105" i="25" s="1"/>
  <c r="J35" i="11"/>
  <c r="K35" i="11" s="1"/>
  <c r="J55" i="10"/>
  <c r="K55" i="10" s="1"/>
  <c r="J35" i="41"/>
  <c r="K35" i="41" s="1"/>
  <c r="J82" i="29"/>
  <c r="K82" i="29" s="1"/>
  <c r="J57" i="24"/>
  <c r="K57" i="24" s="1"/>
  <c r="J102" i="25"/>
  <c r="K102" i="25" s="1"/>
  <c r="J32" i="11"/>
  <c r="K32" i="11" s="1"/>
  <c r="J83" i="29"/>
  <c r="K83" i="29" s="1"/>
  <c r="J77" i="28"/>
  <c r="K77" i="28" s="1"/>
  <c r="J35" i="1"/>
  <c r="K35" i="1" s="1"/>
  <c r="J42" i="13"/>
  <c r="K42" i="13" s="1"/>
  <c r="J68" i="33"/>
  <c r="K68" i="33" s="1"/>
  <c r="J52" i="1"/>
  <c r="K52" i="1" s="1"/>
  <c r="J44" i="13"/>
  <c r="K44" i="13" s="1"/>
  <c r="J45" i="13"/>
  <c r="K45" i="13" s="1"/>
  <c r="J72" i="33"/>
  <c r="K72" i="33" s="1"/>
  <c r="J43" i="41"/>
  <c r="K43" i="41" s="1"/>
  <c r="J95" i="41"/>
  <c r="K95" i="41" s="1"/>
  <c r="J73" i="33"/>
  <c r="K73" i="33" s="1"/>
  <c r="J39" i="41"/>
  <c r="K39" i="41" s="1"/>
  <c r="J85" i="41"/>
  <c r="K85" i="41" s="1"/>
  <c r="J46" i="13"/>
  <c r="K46" i="13" s="1"/>
  <c r="J49" i="13"/>
  <c r="K49" i="13" s="1"/>
  <c r="J32" i="41"/>
  <c r="K32" i="41" s="1"/>
  <c r="J54" i="41"/>
  <c r="K54" i="41" s="1"/>
  <c r="J60" i="41"/>
  <c r="K60" i="41" s="1"/>
  <c r="J67" i="41"/>
  <c r="K67" i="41" s="1"/>
  <c r="J88" i="41"/>
  <c r="K88" i="41" s="1"/>
  <c r="J109" i="41"/>
  <c r="K109" i="41" s="1"/>
  <c r="J123" i="41"/>
  <c r="K123" i="41" s="1"/>
  <c r="J35" i="13"/>
  <c r="K35" i="13" s="1"/>
  <c r="J82" i="41"/>
  <c r="K82" i="41" s="1"/>
  <c r="J102" i="41"/>
  <c r="K102" i="41" s="1"/>
  <c r="J117" i="41"/>
  <c r="K117" i="41" s="1"/>
  <c r="J49" i="41"/>
  <c r="K49" i="41" s="1"/>
  <c r="J55" i="41"/>
  <c r="K55" i="41" s="1"/>
  <c r="J50" i="41"/>
  <c r="K50" i="41" s="1"/>
  <c r="J83" i="41"/>
  <c r="K83" i="41" s="1"/>
  <c r="J76" i="26"/>
  <c r="K76" i="26" s="1"/>
  <c r="J125" i="41"/>
  <c r="K125" i="41" s="1"/>
  <c r="J131" i="41"/>
  <c r="K131" i="41" s="1"/>
  <c r="J75" i="33"/>
  <c r="K75" i="33" s="1"/>
  <c r="J39" i="16"/>
  <c r="K39" i="16" s="1"/>
  <c r="J51" i="41"/>
  <c r="K51" i="41" s="1"/>
  <c r="J92" i="41"/>
  <c r="K92" i="41" s="1"/>
  <c r="J106" i="41"/>
  <c r="K106" i="41" s="1"/>
  <c r="J120" i="41"/>
  <c r="K120" i="41" s="1"/>
  <c r="J126" i="41"/>
  <c r="K126" i="41" s="1"/>
  <c r="J36" i="7"/>
  <c r="K36" i="7" s="1"/>
  <c r="J57" i="41"/>
  <c r="K57" i="41" s="1"/>
  <c r="J71" i="41"/>
  <c r="K71" i="41" s="1"/>
  <c r="J78" i="41"/>
  <c r="K78" i="41" s="1"/>
  <c r="J86" i="41"/>
  <c r="K86" i="41" s="1"/>
  <c r="J113" i="41"/>
  <c r="K113" i="41" s="1"/>
  <c r="J47" i="13"/>
  <c r="K47" i="13" s="1"/>
  <c r="J74" i="33"/>
  <c r="K74" i="33" s="1"/>
  <c r="J65" i="61"/>
  <c r="K65" i="61" s="1"/>
  <c r="J81" i="61"/>
  <c r="K81" i="61" s="1"/>
  <c r="J46" i="41"/>
  <c r="K46" i="41" s="1"/>
  <c r="J127" i="41"/>
  <c r="K127" i="41" s="1"/>
  <c r="J63" i="26"/>
  <c r="K63" i="26" s="1"/>
  <c r="J87" i="61"/>
  <c r="K87" i="61" s="1"/>
  <c r="J71" i="61"/>
  <c r="K71" i="61" s="1"/>
  <c r="J59" i="32"/>
  <c r="K59" i="32" s="1"/>
  <c r="J66" i="30"/>
  <c r="K66" i="30" s="1"/>
  <c r="J76" i="30"/>
  <c r="K76" i="30" s="1"/>
  <c r="J81" i="30"/>
  <c r="K81" i="30" s="1"/>
  <c r="J58" i="41"/>
  <c r="K58" i="41" s="1"/>
  <c r="J99" i="41"/>
  <c r="K99" i="41" s="1"/>
  <c r="J44" i="16"/>
  <c r="K44" i="16" s="1"/>
  <c r="J66" i="61"/>
  <c r="K66" i="61" s="1"/>
  <c r="J88" i="61"/>
  <c r="K88" i="61" s="1"/>
  <c r="J93" i="61"/>
  <c r="K93" i="61" s="1"/>
  <c r="J41" i="11"/>
  <c r="K41" i="11" s="1"/>
  <c r="J59" i="41"/>
  <c r="K59" i="41" s="1"/>
  <c r="J121" i="41"/>
  <c r="K121" i="41" s="1"/>
  <c r="J81" i="41"/>
  <c r="K81" i="41" s="1"/>
  <c r="J111" i="41"/>
  <c r="K111" i="41" s="1"/>
  <c r="J130" i="41"/>
  <c r="K130" i="41" s="1"/>
  <c r="J59" i="26"/>
  <c r="K59" i="26" s="1"/>
  <c r="J42" i="11"/>
  <c r="K42" i="11" s="1"/>
  <c r="J53" i="30"/>
  <c r="K53" i="30" s="1"/>
  <c r="J58" i="30"/>
  <c r="K58" i="30" s="1"/>
  <c r="J41" i="41"/>
  <c r="K41" i="41" s="1"/>
  <c r="J65" i="26"/>
  <c r="K65" i="26" s="1"/>
  <c r="J72" i="26"/>
  <c r="K72" i="26" s="1"/>
  <c r="J78" i="26"/>
  <c r="K78" i="26" s="1"/>
  <c r="J61" i="41"/>
  <c r="K61" i="41" s="1"/>
  <c r="J70" i="33"/>
  <c r="K70" i="33" s="1"/>
  <c r="J74" i="61"/>
  <c r="K74" i="61" s="1"/>
  <c r="J90" i="61"/>
  <c r="K90" i="61" s="1"/>
  <c r="J95" i="61"/>
  <c r="K95" i="61" s="1"/>
  <c r="J60" i="24"/>
  <c r="K60" i="24" s="1"/>
  <c r="J65" i="24"/>
  <c r="K65" i="24" s="1"/>
  <c r="J70" i="24"/>
  <c r="K70" i="24" s="1"/>
  <c r="J34" i="8"/>
  <c r="K34" i="8" s="1"/>
  <c r="J88" i="31"/>
  <c r="K88" i="31" s="1"/>
  <c r="J37" i="34"/>
  <c r="K37" i="34" s="1"/>
  <c r="J53" i="41"/>
  <c r="K53" i="41" s="1"/>
  <c r="J114" i="41"/>
  <c r="K114" i="41" s="1"/>
  <c r="J67" i="26"/>
  <c r="K67" i="26" s="1"/>
  <c r="J73" i="26"/>
  <c r="K73" i="26" s="1"/>
  <c r="J57" i="61"/>
  <c r="K57" i="61" s="1"/>
  <c r="J63" i="61"/>
  <c r="K63" i="61" s="1"/>
  <c r="J69" i="61"/>
  <c r="K69" i="61" s="1"/>
  <c r="J85" i="61"/>
  <c r="K85" i="61" s="1"/>
  <c r="J64" i="30"/>
  <c r="K64" i="30" s="1"/>
  <c r="J69" i="30"/>
  <c r="K69" i="30" s="1"/>
  <c r="J74" i="30"/>
  <c r="K74" i="30" s="1"/>
  <c r="J80" i="61"/>
  <c r="K80" i="61" s="1"/>
  <c r="J29" i="11"/>
  <c r="K29" i="11" s="1"/>
  <c r="J39" i="11"/>
  <c r="K39" i="11" s="1"/>
  <c r="J79" i="30"/>
  <c r="K79" i="30" s="1"/>
  <c r="J45" i="41"/>
  <c r="K45" i="41" s="1"/>
  <c r="J134" i="41"/>
  <c r="K134" i="41" s="1"/>
  <c r="J62" i="26"/>
  <c r="K62" i="26" s="1"/>
  <c r="J58" i="61"/>
  <c r="K58" i="61" s="1"/>
  <c r="J91" i="61"/>
  <c r="K91" i="61" s="1"/>
  <c r="J107" i="41"/>
  <c r="K107" i="41" s="1"/>
  <c r="J68" i="26"/>
  <c r="K68" i="26" s="1"/>
  <c r="J83" i="61"/>
  <c r="K83" i="61" s="1"/>
  <c r="J65" i="30"/>
  <c r="K65" i="30" s="1"/>
  <c r="J59" i="24"/>
  <c r="K59" i="24" s="1"/>
  <c r="J64" i="26"/>
  <c r="K64" i="26" s="1"/>
  <c r="J73" i="61"/>
  <c r="K73" i="61" s="1"/>
  <c r="J84" i="61"/>
  <c r="K84" i="61" s="1"/>
  <c r="J75" i="30"/>
  <c r="K75" i="30" s="1"/>
  <c r="J77" i="26"/>
  <c r="K77" i="26" s="1"/>
  <c r="J67" i="30"/>
  <c r="K67" i="30" s="1"/>
  <c r="J87" i="31"/>
  <c r="K87" i="31" s="1"/>
  <c r="J33" i="34"/>
  <c r="K33" i="34" s="1"/>
  <c r="J68" i="30"/>
  <c r="K68" i="30" s="1"/>
  <c r="J38" i="8"/>
  <c r="K38" i="8" s="1"/>
  <c r="J77" i="61"/>
  <c r="K77" i="61" s="1"/>
  <c r="J52" i="30"/>
  <c r="K52" i="30" s="1"/>
  <c r="J32" i="8"/>
  <c r="K32" i="8" s="1"/>
  <c r="J40" i="34"/>
  <c r="K40" i="34" s="1"/>
  <c r="J70" i="30"/>
  <c r="K70" i="30" s="1"/>
  <c r="J39" i="32"/>
  <c r="K39" i="32" s="1"/>
  <c r="J45" i="31"/>
  <c r="K45" i="31" s="1"/>
  <c r="J56" i="61"/>
  <c r="K56" i="61" s="1"/>
  <c r="J73" i="30"/>
  <c r="K73" i="30" s="1"/>
  <c r="J41" i="34"/>
  <c r="K41" i="34" s="1"/>
  <c r="J158" i="15"/>
  <c r="K158" i="15" s="1"/>
  <c r="J42" i="34"/>
  <c r="K42" i="34" s="1"/>
  <c r="J67" i="42"/>
  <c r="K67" i="42" s="1"/>
  <c r="J73" i="42"/>
  <c r="K73" i="42" s="1"/>
  <c r="J91" i="42"/>
  <c r="K91" i="42" s="1"/>
  <c r="J59" i="10"/>
  <c r="K59" i="10" s="1"/>
  <c r="J85" i="10"/>
  <c r="K85" i="10" s="1"/>
  <c r="J52" i="19"/>
  <c r="K52" i="19" s="1"/>
  <c r="J36" i="22"/>
  <c r="K36" i="22" s="1"/>
  <c r="J72" i="30"/>
  <c r="K72" i="30" s="1"/>
  <c r="J70" i="10"/>
  <c r="K70" i="10" s="1"/>
  <c r="J33" i="8"/>
  <c r="K33" i="8" s="1"/>
  <c r="J61" i="42"/>
  <c r="K61" i="42" s="1"/>
  <c r="J62" i="30"/>
  <c r="K62" i="30" s="1"/>
  <c r="J36" i="34"/>
  <c r="K36" i="34" s="1"/>
  <c r="J63" i="30"/>
  <c r="K63" i="30" s="1"/>
  <c r="J30" i="34"/>
  <c r="K30" i="34" s="1"/>
  <c r="J27" i="8"/>
  <c r="K27" i="8" s="1"/>
  <c r="J86" i="31"/>
  <c r="K86" i="31" s="1"/>
  <c r="J98" i="10"/>
  <c r="K98" i="10" s="1"/>
  <c r="J24" i="34"/>
  <c r="K24" i="34" s="1"/>
  <c r="J53" i="42"/>
  <c r="K53" i="42" s="1"/>
  <c r="J59" i="42"/>
  <c r="K59" i="42" s="1"/>
  <c r="J89" i="42"/>
  <c r="K89" i="42" s="1"/>
  <c r="J99" i="10"/>
  <c r="K99" i="10" s="1"/>
  <c r="J87" i="42"/>
  <c r="K87" i="42" s="1"/>
  <c r="J57" i="44"/>
  <c r="K57" i="44" s="1"/>
  <c r="J160" i="15"/>
  <c r="K160" i="15" s="1"/>
  <c r="J68" i="35"/>
  <c r="K68" i="35" s="1"/>
  <c r="J78" i="35"/>
  <c r="K78" i="35" s="1"/>
  <c r="J71" i="10"/>
  <c r="K71" i="10" s="1"/>
  <c r="J95" i="10"/>
  <c r="K95" i="10" s="1"/>
  <c r="J34" i="22"/>
  <c r="K34" i="22" s="1"/>
  <c r="J63" i="42"/>
  <c r="K63" i="42" s="1"/>
  <c r="J87" i="10"/>
  <c r="K87" i="10" s="1"/>
  <c r="J60" i="36"/>
  <c r="K60" i="36" s="1"/>
  <c r="J58" i="44"/>
  <c r="K58" i="44" s="1"/>
  <c r="J72" i="42"/>
  <c r="K72" i="42" s="1"/>
  <c r="J64" i="42"/>
  <c r="K64" i="42" s="1"/>
  <c r="J81" i="42"/>
  <c r="K81" i="42" s="1"/>
  <c r="J97" i="10"/>
  <c r="K97" i="10" s="1"/>
  <c r="J35" i="22"/>
  <c r="K35" i="22" s="1"/>
  <c r="J42" i="12"/>
  <c r="K42" i="12" s="1"/>
  <c r="J100" i="44"/>
  <c r="K100" i="44" s="1"/>
  <c r="J49" i="44"/>
  <c r="K49" i="44" s="1"/>
  <c r="J59" i="44"/>
  <c r="K59" i="44" s="1"/>
  <c r="J85" i="44"/>
  <c r="K85" i="44" s="1"/>
  <c r="J90" i="44"/>
  <c r="K90" i="44" s="1"/>
  <c r="J65" i="42"/>
  <c r="K65" i="42" s="1"/>
  <c r="J83" i="10"/>
  <c r="K83" i="10" s="1"/>
  <c r="J67" i="10"/>
  <c r="K67" i="10" s="1"/>
  <c r="J35" i="19"/>
  <c r="K35" i="19" s="1"/>
  <c r="J86" i="44"/>
  <c r="K86" i="44" s="1"/>
  <c r="J75" i="42"/>
  <c r="K75" i="42" s="1"/>
  <c r="J84" i="10"/>
  <c r="K84" i="10" s="1"/>
  <c r="J110" i="10"/>
  <c r="K110" i="10" s="1"/>
  <c r="J51" i="19"/>
  <c r="K51" i="19" s="1"/>
  <c r="J47" i="12"/>
  <c r="K47" i="12" s="1"/>
  <c r="J30" i="44"/>
  <c r="K30" i="44" s="1"/>
  <c r="J89" i="44"/>
  <c r="K89" i="44" s="1"/>
  <c r="J45" i="44"/>
  <c r="K45" i="44" s="1"/>
  <c r="J76" i="44"/>
  <c r="K76" i="44" s="1"/>
  <c r="J98" i="44"/>
  <c r="K98" i="44" s="1"/>
  <c r="J69" i="44"/>
  <c r="K69" i="44" s="1"/>
  <c r="J49" i="12"/>
  <c r="K49" i="12" s="1"/>
  <c r="J99" i="44"/>
  <c r="K99" i="44" s="1"/>
  <c r="J108" i="29"/>
  <c r="K108" i="29" s="1"/>
  <c r="J43" i="10"/>
  <c r="K43" i="10" s="1"/>
  <c r="J32" i="22"/>
  <c r="K32" i="22" s="1"/>
  <c r="J38" i="36"/>
  <c r="K38" i="36" s="1"/>
  <c r="J46" i="44"/>
  <c r="K46" i="44" s="1"/>
  <c r="J70" i="44"/>
  <c r="K70" i="44" s="1"/>
  <c r="J92" i="44"/>
  <c r="K92" i="44" s="1"/>
  <c r="J61" i="9"/>
  <c r="K61" i="9" s="1"/>
  <c r="J77" i="10"/>
  <c r="K77" i="10" s="1"/>
  <c r="J89" i="10"/>
  <c r="K89" i="10" s="1"/>
  <c r="J50" i="12"/>
  <c r="K50" i="12" s="1"/>
  <c r="J44" i="9"/>
  <c r="K44" i="9" s="1"/>
  <c r="J91" i="20"/>
  <c r="K91" i="20" s="1"/>
  <c r="J41" i="44"/>
  <c r="K41" i="44" s="1"/>
  <c r="J47" i="44"/>
  <c r="K47" i="44" s="1"/>
  <c r="J63" i="44"/>
  <c r="K63" i="44" s="1"/>
  <c r="J71" i="44"/>
  <c r="K71" i="44" s="1"/>
  <c r="J109" i="29"/>
  <c r="K109" i="29" s="1"/>
  <c r="J62" i="35"/>
  <c r="K62" i="35" s="1"/>
  <c r="J74" i="35"/>
  <c r="K74" i="35" s="1"/>
  <c r="J56" i="9"/>
  <c r="K56" i="9" s="1"/>
  <c r="J155" i="25"/>
  <c r="K155" i="25" s="1"/>
  <c r="J48" i="44"/>
  <c r="K48" i="44" s="1"/>
  <c r="J79" i="44"/>
  <c r="K79" i="44" s="1"/>
  <c r="J25" i="22"/>
  <c r="K25" i="22" s="1"/>
  <c r="J72" i="44"/>
  <c r="K72" i="44" s="1"/>
  <c r="J75" i="35"/>
  <c r="K75" i="35" s="1"/>
  <c r="J50" i="19"/>
  <c r="K50" i="19" s="1"/>
  <c r="J45" i="12"/>
  <c r="K45" i="12" s="1"/>
  <c r="J96" i="44"/>
  <c r="K96" i="44" s="1"/>
  <c r="J57" i="35"/>
  <c r="K57" i="35" s="1"/>
  <c r="J64" i="35"/>
  <c r="K64" i="35" s="1"/>
  <c r="J97" i="44"/>
  <c r="K97" i="44" s="1"/>
  <c r="J109" i="10"/>
  <c r="K109" i="10" s="1"/>
  <c r="J37" i="44"/>
  <c r="K37" i="44" s="1"/>
  <c r="J44" i="44"/>
  <c r="K44" i="44" s="1"/>
  <c r="J82" i="44"/>
  <c r="K82" i="44" s="1"/>
  <c r="J65" i="35"/>
  <c r="K65" i="35" s="1"/>
  <c r="J59" i="9"/>
  <c r="K59" i="9" s="1"/>
  <c r="J158" i="25"/>
  <c r="K158" i="25" s="1"/>
  <c r="J64" i="9"/>
  <c r="K64" i="9" s="1"/>
  <c r="J68" i="23"/>
  <c r="K68" i="23" s="1"/>
  <c r="J77" i="20"/>
  <c r="K77" i="20" s="1"/>
  <c r="J156" i="25"/>
  <c r="K156" i="25" s="1"/>
  <c r="J39" i="20"/>
  <c r="K39" i="20" s="1"/>
  <c r="J55" i="20"/>
  <c r="K55" i="20" s="1"/>
  <c r="J88" i="20"/>
  <c r="K88" i="20" s="1"/>
  <c r="J93" i="20"/>
  <c r="K93" i="20" s="1"/>
  <c r="J104" i="21"/>
  <c r="K104" i="21" s="1"/>
  <c r="J46" i="27"/>
  <c r="K46" i="27" s="1"/>
  <c r="J60" i="27"/>
  <c r="K60" i="27" s="1"/>
  <c r="J74" i="27"/>
  <c r="K74" i="27" s="1"/>
  <c r="J88" i="27"/>
  <c r="K88" i="27" s="1"/>
  <c r="J102" i="27"/>
  <c r="K102" i="27" s="1"/>
  <c r="J46" i="18"/>
  <c r="K46" i="18" s="1"/>
  <c r="J60" i="18"/>
  <c r="K60" i="18" s="1"/>
  <c r="J83" i="23"/>
  <c r="K83" i="23" s="1"/>
  <c r="J173" i="25"/>
  <c r="K173" i="25" s="1"/>
  <c r="J70" i="35"/>
  <c r="K70" i="35" s="1"/>
  <c r="J58" i="9"/>
  <c r="K58" i="9" s="1"/>
  <c r="J66" i="9"/>
  <c r="K66" i="9" s="1"/>
  <c r="J73" i="44"/>
  <c r="K73" i="44" s="1"/>
  <c r="J80" i="35"/>
  <c r="K80" i="35" s="1"/>
  <c r="J62" i="20"/>
  <c r="K62" i="20" s="1"/>
  <c r="J43" i="9"/>
  <c r="K43" i="9" s="1"/>
  <c r="J52" i="9"/>
  <c r="K52" i="9" s="1"/>
  <c r="J159" i="25"/>
  <c r="K159" i="25" s="1"/>
  <c r="J71" i="23"/>
  <c r="K71" i="23" s="1"/>
  <c r="J78" i="23"/>
  <c r="K78" i="23" s="1"/>
  <c r="J57" i="20"/>
  <c r="K57" i="20" s="1"/>
  <c r="J68" i="20"/>
  <c r="K68" i="20" s="1"/>
  <c r="J79" i="20"/>
  <c r="K79" i="20" s="1"/>
  <c r="J91" i="21"/>
  <c r="K91" i="21" s="1"/>
  <c r="J101" i="21"/>
  <c r="K101" i="21" s="1"/>
  <c r="J43" i="27"/>
  <c r="K43" i="27" s="1"/>
  <c r="J57" i="27"/>
  <c r="K57" i="27" s="1"/>
  <c r="J71" i="27"/>
  <c r="K71" i="27" s="1"/>
  <c r="J85" i="27"/>
  <c r="K85" i="27" s="1"/>
  <c r="J99" i="27"/>
  <c r="K99" i="27" s="1"/>
  <c r="J57" i="18"/>
  <c r="K57" i="18" s="1"/>
  <c r="J68" i="9"/>
  <c r="K68" i="9" s="1"/>
  <c r="J67" i="21"/>
  <c r="K67" i="21" s="1"/>
  <c r="J102" i="44"/>
  <c r="K102" i="44" s="1"/>
  <c r="J72" i="35"/>
  <c r="K72" i="35" s="1"/>
  <c r="J53" i="9"/>
  <c r="K53" i="9" s="1"/>
  <c r="J29" i="25"/>
  <c r="K29" i="25" s="1"/>
  <c r="J65" i="23"/>
  <c r="K65" i="23" s="1"/>
  <c r="J72" i="23"/>
  <c r="K72" i="23" s="1"/>
  <c r="J86" i="23"/>
  <c r="K86" i="23" s="1"/>
  <c r="J63" i="20"/>
  <c r="K63" i="20" s="1"/>
  <c r="J85" i="20"/>
  <c r="K85" i="20" s="1"/>
  <c r="J43" i="35"/>
  <c r="K43" i="35" s="1"/>
  <c r="J45" i="9"/>
  <c r="K45" i="9" s="1"/>
  <c r="J69" i="9"/>
  <c r="K69" i="9" s="1"/>
  <c r="J104" i="44"/>
  <c r="K104" i="44" s="1"/>
  <c r="J53" i="23"/>
  <c r="K53" i="23" s="1"/>
  <c r="J67" i="23"/>
  <c r="K67" i="23" s="1"/>
  <c r="J81" i="23"/>
  <c r="K81" i="23" s="1"/>
  <c r="J43" i="44"/>
  <c r="K43" i="44" s="1"/>
  <c r="J56" i="44"/>
  <c r="K56" i="44" s="1"/>
  <c r="J47" i="9"/>
  <c r="K47" i="9" s="1"/>
  <c r="J54" i="23"/>
  <c r="K54" i="23" s="1"/>
  <c r="J82" i="20"/>
  <c r="K82" i="20" s="1"/>
  <c r="J108" i="21"/>
  <c r="K108" i="21" s="1"/>
  <c r="J50" i="27"/>
  <c r="K50" i="27" s="1"/>
  <c r="J64" i="27"/>
  <c r="K64" i="27" s="1"/>
  <c r="J78" i="27"/>
  <c r="K78" i="27" s="1"/>
  <c r="J92" i="27"/>
  <c r="K92" i="27" s="1"/>
  <c r="J106" i="27"/>
  <c r="K106" i="27" s="1"/>
  <c r="J50" i="18"/>
  <c r="K50" i="18" s="1"/>
  <c r="J64" i="18"/>
  <c r="K64" i="18" s="1"/>
  <c r="J80" i="20"/>
  <c r="K80" i="20" s="1"/>
  <c r="J89" i="20"/>
  <c r="K89" i="20" s="1"/>
  <c r="J80" i="23"/>
  <c r="K80" i="23" s="1"/>
  <c r="J54" i="9"/>
  <c r="K54" i="9" s="1"/>
  <c r="J70" i="23"/>
  <c r="K70" i="23" s="1"/>
  <c r="J73" i="20"/>
  <c r="K73" i="20" s="1"/>
  <c r="J112" i="21"/>
  <c r="K112" i="21" s="1"/>
  <c r="J61" i="27"/>
  <c r="K61" i="27" s="1"/>
  <c r="J76" i="27"/>
  <c r="K76" i="27" s="1"/>
  <c r="J91" i="27"/>
  <c r="K91" i="27" s="1"/>
  <c r="J48" i="18"/>
  <c r="K48" i="18" s="1"/>
  <c r="J63" i="18"/>
  <c r="K63" i="18" s="1"/>
  <c r="J105" i="21"/>
  <c r="K105" i="21" s="1"/>
  <c r="J54" i="27"/>
  <c r="K54" i="27" s="1"/>
  <c r="J56" i="20"/>
  <c r="K56" i="20" s="1"/>
  <c r="J83" i="20"/>
  <c r="K83" i="20" s="1"/>
  <c r="J47" i="27"/>
  <c r="K47" i="27" s="1"/>
  <c r="J62" i="27"/>
  <c r="K62" i="27" s="1"/>
  <c r="J100" i="27"/>
  <c r="K100" i="27" s="1"/>
  <c r="J73" i="23"/>
  <c r="K73" i="23" s="1"/>
  <c r="J75" i="20"/>
  <c r="K75" i="20" s="1"/>
  <c r="J102" i="20"/>
  <c r="K102" i="20" s="1"/>
  <c r="J106" i="21"/>
  <c r="K106" i="21" s="1"/>
  <c r="J40" i="27"/>
  <c r="K40" i="27" s="1"/>
  <c r="J67" i="20"/>
  <c r="K67" i="20" s="1"/>
  <c r="J48" i="27"/>
  <c r="K48" i="27" s="1"/>
  <c r="J86" i="27"/>
  <c r="K86" i="27" s="1"/>
  <c r="J93" i="27"/>
  <c r="K93" i="27" s="1"/>
  <c r="J58" i="18"/>
  <c r="K58" i="18" s="1"/>
  <c r="J94" i="20"/>
  <c r="K94" i="20" s="1"/>
  <c r="J107" i="21"/>
  <c r="K107" i="21" s="1"/>
  <c r="J49" i="27"/>
  <c r="K49" i="27" s="1"/>
  <c r="J72" i="27"/>
  <c r="K72" i="27" s="1"/>
  <c r="J79" i="27"/>
  <c r="K79" i="27" s="1"/>
  <c r="J59" i="20"/>
  <c r="K59" i="20" s="1"/>
  <c r="J69" i="20"/>
  <c r="K69" i="20" s="1"/>
  <c r="J77" i="23"/>
  <c r="K77" i="23" s="1"/>
  <c r="J93" i="21"/>
  <c r="K93" i="21" s="1"/>
  <c r="J58" i="27"/>
  <c r="K58" i="27" s="1"/>
  <c r="J65" i="27"/>
  <c r="K65" i="27" s="1"/>
  <c r="J103" i="27"/>
  <c r="K103" i="27" s="1"/>
  <c r="J102" i="21"/>
  <c r="K102" i="21" s="1"/>
  <c r="J109" i="21"/>
  <c r="K109" i="21" s="1"/>
  <c r="J96" i="27"/>
  <c r="K96" i="27" s="1"/>
  <c r="J97" i="20"/>
  <c r="K97" i="20" s="1"/>
  <c r="J104" i="27"/>
  <c r="K104" i="27" s="1"/>
  <c r="J61" i="18"/>
  <c r="K61" i="18" s="1"/>
  <c r="J44" i="27"/>
  <c r="K44" i="27" s="1"/>
  <c r="J105" i="27"/>
  <c r="K105" i="27" s="1"/>
  <c r="J62" i="18"/>
  <c r="K62" i="18" s="1"/>
  <c r="J51" i="18"/>
  <c r="K51" i="18" s="1"/>
  <c r="J37" i="27"/>
  <c r="K37" i="27" s="1"/>
  <c r="J51" i="27"/>
  <c r="K51" i="27" s="1"/>
  <c r="J89" i="27"/>
  <c r="K89" i="27" s="1"/>
  <c r="J90" i="27"/>
  <c r="K90" i="27" s="1"/>
  <c r="J47" i="18"/>
  <c r="K47" i="18" s="1"/>
  <c r="J75" i="27"/>
  <c r="K75" i="27" s="1"/>
  <c r="J41" i="52"/>
  <c r="K41" i="52" s="1"/>
  <c r="J30" i="59"/>
  <c r="K30" i="59" s="1"/>
  <c r="J35" i="52"/>
  <c r="K35" i="52" s="1"/>
  <c r="J38" i="57"/>
  <c r="K38" i="57" s="1"/>
  <c r="J36" i="48"/>
  <c r="K36" i="48" s="1"/>
  <c r="J55" i="46"/>
  <c r="K55" i="46" s="1"/>
  <c r="J64" i="45"/>
  <c r="K64" i="45" s="1"/>
  <c r="J34" i="52"/>
  <c r="K34" i="52" s="1"/>
  <c r="J33" i="49"/>
  <c r="K33" i="49" s="1"/>
  <c r="J48" i="46"/>
  <c r="K48" i="46" s="1"/>
  <c r="J36" i="51"/>
  <c r="K36" i="51" s="1"/>
  <c r="J30" i="56"/>
  <c r="K30" i="56" s="1"/>
  <c r="J43" i="47"/>
  <c r="K43" i="47" s="1"/>
  <c r="J67" i="46"/>
  <c r="K67" i="46" s="1"/>
  <c r="J76" i="45"/>
  <c r="K76" i="45" s="1"/>
  <c r="J29" i="50"/>
  <c r="K29" i="50" s="1"/>
  <c r="J46" i="59"/>
  <c r="K46" i="59" s="1"/>
  <c r="J39" i="50"/>
  <c r="K39" i="50" s="1"/>
  <c r="J34" i="56"/>
  <c r="K34" i="56" s="1"/>
  <c r="J47" i="47"/>
  <c r="K47" i="47" s="1"/>
  <c r="J71" i="46"/>
  <c r="K71" i="46" s="1"/>
  <c r="J80" i="45"/>
  <c r="K80" i="45" s="1"/>
  <c r="J35" i="51"/>
  <c r="K35" i="51" s="1"/>
  <c r="J40" i="47"/>
  <c r="K40" i="47" s="1"/>
  <c r="J64" i="46"/>
  <c r="K64" i="46" s="1"/>
  <c r="J40" i="49"/>
  <c r="K40" i="49" s="1"/>
  <c r="J46" i="56"/>
  <c r="K46" i="56" s="1"/>
  <c r="J59" i="47"/>
  <c r="K59" i="47" s="1"/>
  <c r="J38" i="45"/>
  <c r="K38" i="45" s="1"/>
  <c r="J31" i="43"/>
  <c r="K31" i="43" s="1"/>
  <c r="J34" i="59"/>
  <c r="K34" i="59" s="1"/>
  <c r="J48" i="56"/>
  <c r="K48" i="56" s="1"/>
  <c r="J31" i="46"/>
  <c r="K31" i="46" s="1"/>
  <c r="J40" i="45"/>
  <c r="K40" i="45" s="1"/>
  <c r="J37" i="43"/>
  <c r="K37" i="43" s="1"/>
  <c r="J33" i="53"/>
  <c r="K33" i="53" s="1"/>
  <c r="J52" i="47"/>
  <c r="K52" i="47" s="1"/>
  <c r="J32" i="54"/>
  <c r="K32" i="54" s="1"/>
  <c r="J38" i="59"/>
  <c r="K38" i="59" s="1"/>
  <c r="J44" i="56"/>
  <c r="K44" i="56" s="1"/>
  <c r="J61" i="47"/>
  <c r="K61" i="47" s="1"/>
  <c r="J36" i="45"/>
  <c r="K36" i="45" s="1"/>
  <c r="J33" i="43"/>
  <c r="K33" i="43" s="1"/>
  <c r="J33" i="55"/>
  <c r="K33" i="55" s="1"/>
  <c r="J41" i="54"/>
  <c r="K41" i="54" s="1"/>
  <c r="J30" i="51"/>
  <c r="K30" i="51" s="1"/>
  <c r="J36" i="59"/>
  <c r="K36" i="59" s="1"/>
  <c r="J33" i="54"/>
  <c r="K33" i="54" s="1"/>
  <c r="J30" i="58"/>
  <c r="K30" i="58" s="1"/>
  <c r="J28" i="59"/>
  <c r="K28" i="59" s="1"/>
  <c r="J34" i="55"/>
  <c r="K34" i="55" s="1"/>
  <c r="J45" i="46"/>
  <c r="K45" i="46" s="1"/>
  <c r="J48" i="47"/>
  <c r="K48" i="47" s="1"/>
  <c r="J36" i="54"/>
  <c r="K36" i="54" s="1"/>
  <c r="J42" i="58"/>
  <c r="K42" i="58" s="1"/>
  <c r="J42" i="48"/>
  <c r="K42" i="48" s="1"/>
  <c r="J36" i="55"/>
  <c r="K36" i="55" s="1"/>
  <c r="J56" i="45"/>
  <c r="K56" i="45" s="1"/>
  <c r="J29" i="49"/>
  <c r="K29" i="49" s="1"/>
  <c r="J42" i="51"/>
  <c r="K42" i="51" s="1"/>
  <c r="J45" i="47"/>
  <c r="K45" i="47" s="1"/>
  <c r="J84" i="45"/>
  <c r="K84" i="45" s="1"/>
  <c r="J36" i="52"/>
  <c r="K36" i="52" s="1"/>
  <c r="J47" i="58"/>
  <c r="K47" i="58" s="1"/>
  <c r="J41" i="58"/>
  <c r="K41" i="58" s="1"/>
  <c r="J31" i="49"/>
  <c r="K31" i="49" s="1"/>
  <c r="J53" i="45"/>
  <c r="K53" i="45" s="1"/>
  <c r="J33" i="57"/>
  <c r="K33" i="57" s="1"/>
  <c r="J83" i="45"/>
  <c r="K83" i="45" s="1"/>
  <c r="J31" i="57"/>
  <c r="K31" i="57" s="1"/>
  <c r="J43" i="55"/>
  <c r="K43" i="55" s="1"/>
  <c r="J58" i="47"/>
  <c r="K58" i="47" s="1"/>
  <c r="J33" i="45"/>
  <c r="K33" i="45" s="1"/>
  <c r="J30" i="43"/>
  <c r="K30" i="43" s="1"/>
  <c r="J47" i="56"/>
  <c r="K47" i="56" s="1"/>
  <c r="J32" i="52"/>
  <c r="K32" i="52" s="1"/>
  <c r="J41" i="57"/>
  <c r="K41" i="57" s="1"/>
  <c r="J43" i="57"/>
  <c r="K43" i="57" s="1"/>
  <c r="J46" i="46"/>
  <c r="K46" i="46" s="1"/>
  <c r="J37" i="54"/>
  <c r="K37" i="54" s="1"/>
  <c r="J40" i="51"/>
  <c r="K40" i="51" s="1"/>
  <c r="J34" i="51"/>
  <c r="K34" i="51" s="1"/>
  <c r="J34" i="58"/>
  <c r="K34" i="58" s="1"/>
  <c r="J52" i="46"/>
  <c r="K52" i="46" s="1"/>
  <c r="J30" i="45"/>
  <c r="K30" i="45" s="1"/>
  <c r="J35" i="57"/>
  <c r="K35" i="57" s="1"/>
  <c r="J74" i="45"/>
  <c r="K74" i="45" s="1"/>
  <c r="J73" i="46"/>
  <c r="K73" i="46" s="1"/>
  <c r="J44" i="59"/>
  <c r="K44" i="59" s="1"/>
  <c r="J47" i="46"/>
  <c r="K47" i="46" s="1"/>
  <c r="J30" i="52"/>
  <c r="K30" i="52" s="1"/>
  <c r="J28" i="56"/>
  <c r="K28" i="56" s="1"/>
  <c r="J38" i="43"/>
  <c r="K38" i="43" s="1"/>
  <c r="J36" i="58"/>
  <c r="K36" i="58" s="1"/>
  <c r="J40" i="58"/>
  <c r="K40" i="58" s="1"/>
  <c r="J28" i="58"/>
  <c r="K28" i="58" s="1"/>
  <c r="J44" i="55"/>
  <c r="K44" i="55" s="1"/>
  <c r="J29" i="53"/>
  <c r="K29" i="53" s="1"/>
  <c r="J56" i="47"/>
  <c r="K56" i="47" s="1"/>
  <c r="J32" i="53"/>
  <c r="K32" i="53" s="1"/>
  <c r="J42" i="57"/>
  <c r="K42" i="57" s="1"/>
  <c r="J41" i="43"/>
  <c r="K41" i="43" s="1"/>
  <c r="J42" i="55"/>
  <c r="K42" i="55" s="1"/>
  <c r="J66" i="45"/>
  <c r="K66" i="45" s="1"/>
  <c r="J37" i="49"/>
  <c r="K37" i="49" s="1"/>
  <c r="J37" i="50"/>
  <c r="K37" i="50" s="1"/>
  <c r="J51" i="47"/>
  <c r="K51" i="47" s="1"/>
  <c r="J49" i="55"/>
  <c r="K49" i="55" s="1"/>
  <c r="J29" i="51"/>
  <c r="K29" i="51" s="1"/>
  <c r="J35" i="56"/>
  <c r="K35" i="56" s="1"/>
  <c r="J41" i="48"/>
  <c r="K41" i="48" s="1"/>
  <c r="J61" i="45"/>
  <c r="K61" i="45" s="1"/>
  <c r="J49" i="57"/>
  <c r="K49" i="57" s="1"/>
  <c r="J40" i="43"/>
  <c r="K40" i="43" s="1"/>
  <c r="J39" i="57"/>
  <c r="K39" i="57" s="1"/>
  <c r="J34" i="50"/>
  <c r="K34" i="50" s="1"/>
  <c r="J34" i="46"/>
  <c r="K34" i="46" s="1"/>
  <c r="J41" i="45"/>
  <c r="K41" i="45" s="1"/>
  <c r="J40" i="52"/>
  <c r="K40" i="52" s="1"/>
  <c r="J29" i="55"/>
  <c r="K29" i="55" s="1"/>
  <c r="J37" i="56"/>
  <c r="K37" i="56" s="1"/>
  <c r="J62" i="46"/>
  <c r="K62" i="46" s="1"/>
  <c r="J38" i="56"/>
  <c r="K38" i="56" s="1"/>
  <c r="J31" i="50"/>
  <c r="K31" i="50" s="1"/>
  <c r="J46" i="58"/>
  <c r="K46" i="58" s="1"/>
  <c r="J61" i="46"/>
  <c r="K61" i="46" s="1"/>
  <c r="J53" i="47"/>
  <c r="K53" i="47" s="1"/>
  <c r="J44" i="58"/>
  <c r="K44" i="58" s="1"/>
  <c r="J53" i="46"/>
  <c r="K53" i="46" s="1"/>
  <c r="J38" i="52"/>
  <c r="K38" i="52" s="1"/>
  <c r="J60" i="46"/>
  <c r="K60" i="46" s="1"/>
  <c r="J39" i="43"/>
  <c r="K39" i="43" s="1"/>
  <c r="J31" i="54"/>
  <c r="K31" i="54" s="1"/>
  <c r="J35" i="50"/>
  <c r="K35" i="50" s="1"/>
  <c r="J28" i="57"/>
  <c r="K28" i="57" s="1"/>
  <c r="J38" i="58"/>
  <c r="K38" i="58" s="1"/>
  <c r="J29" i="43"/>
  <c r="K29" i="43" s="1"/>
  <c r="J37" i="53"/>
  <c r="K37" i="53" s="1"/>
  <c r="J32" i="46"/>
  <c r="K32" i="46" s="1"/>
  <c r="J39" i="52"/>
  <c r="K39" i="52" s="1"/>
  <c r="J44" i="45"/>
  <c r="K44" i="45" s="1"/>
  <c r="J34" i="53"/>
  <c r="K34" i="53" s="1"/>
  <c r="J38" i="48"/>
  <c r="K38" i="48" s="1"/>
  <c r="J72" i="45"/>
  <c r="K72" i="45" s="1"/>
  <c r="J39" i="48"/>
  <c r="K39" i="48" s="1"/>
  <c r="J31" i="48"/>
  <c r="K31" i="48" s="1"/>
  <c r="J46" i="45"/>
  <c r="K46" i="45" s="1"/>
  <c r="J31" i="45"/>
  <c r="K31" i="45" s="1"/>
  <c r="J37" i="51"/>
  <c r="K37" i="51" s="1"/>
  <c r="J45" i="55"/>
  <c r="K45" i="55" s="1"/>
  <c r="J29" i="56"/>
  <c r="K29" i="56" s="1"/>
  <c r="J54" i="47"/>
  <c r="K54" i="47" s="1"/>
  <c r="J77" i="45"/>
  <c r="K77" i="45" s="1"/>
  <c r="J43" i="56"/>
  <c r="K43" i="56" s="1"/>
  <c r="J35" i="59"/>
  <c r="K35" i="59" s="1"/>
  <c r="J47" i="57"/>
  <c r="K47" i="57" s="1"/>
  <c r="J42" i="50"/>
  <c r="K42" i="50" s="1"/>
  <c r="J42" i="46"/>
  <c r="K42" i="46" s="1"/>
  <c r="J49" i="45"/>
  <c r="K49" i="45" s="1"/>
  <c r="J33" i="59"/>
  <c r="K33" i="59" s="1"/>
  <c r="J32" i="48"/>
  <c r="K32" i="48" s="1"/>
  <c r="J33" i="51"/>
  <c r="K33" i="51" s="1"/>
  <c r="J43" i="45"/>
  <c r="K43" i="45" s="1"/>
  <c r="J31" i="55"/>
  <c r="K31" i="55" s="1"/>
  <c r="J29" i="45"/>
  <c r="K29" i="45" s="1"/>
  <c r="J41" i="50"/>
  <c r="K41" i="50" s="1"/>
  <c r="J30" i="57"/>
  <c r="K30" i="57" s="1"/>
  <c r="J32" i="49"/>
  <c r="K32" i="49" s="1"/>
  <c r="J41" i="47"/>
  <c r="K41" i="47" s="1"/>
  <c r="J36" i="56"/>
  <c r="K36" i="56" s="1"/>
  <c r="J32" i="57"/>
  <c r="K32" i="57" s="1"/>
  <c r="J63" i="46"/>
  <c r="K63" i="46" s="1"/>
  <c r="J31" i="51"/>
  <c r="K31" i="51" s="1"/>
  <c r="J68" i="46"/>
  <c r="K68" i="46" s="1"/>
  <c r="J33" i="46"/>
  <c r="K33" i="46" s="1"/>
  <c r="J41" i="59"/>
  <c r="K41" i="59" s="1"/>
  <c r="J35" i="54"/>
  <c r="K35" i="54" s="1"/>
  <c r="J34" i="49"/>
  <c r="K34" i="49" s="1"/>
  <c r="J40" i="57"/>
  <c r="K40" i="57" s="1"/>
  <c r="J34" i="57"/>
  <c r="K34" i="57" s="1"/>
  <c r="J32" i="45"/>
  <c r="K32" i="45" s="1"/>
  <c r="J35" i="43"/>
  <c r="K35" i="43" s="1"/>
  <c r="J32" i="50"/>
  <c r="K32" i="50" s="1"/>
  <c r="J40" i="46"/>
  <c r="K40" i="46" s="1"/>
  <c r="J35" i="46"/>
  <c r="K35" i="46" s="1"/>
  <c r="J54" i="45"/>
  <c r="K54" i="45" s="1"/>
  <c r="J29" i="52"/>
  <c r="K29" i="52" s="1"/>
  <c r="J82" i="45"/>
  <c r="K82" i="45" s="1"/>
  <c r="J44" i="47"/>
  <c r="K44" i="47" s="1"/>
  <c r="J32" i="55"/>
  <c r="K32" i="55" s="1"/>
  <c r="J52" i="45"/>
  <c r="K52" i="45" s="1"/>
  <c r="J47" i="45"/>
  <c r="K47" i="45" s="1"/>
  <c r="J30" i="48"/>
  <c r="K30" i="48" s="1"/>
  <c r="J59" i="45"/>
  <c r="K59" i="45" s="1"/>
  <c r="J45" i="56"/>
  <c r="K45" i="56" s="1"/>
  <c r="J38" i="46"/>
  <c r="K38" i="46" s="1"/>
  <c r="J34" i="43"/>
  <c r="K34" i="43" s="1"/>
  <c r="J37" i="55"/>
  <c r="K37" i="55" s="1"/>
  <c r="J43" i="59"/>
  <c r="K43" i="59" s="1"/>
  <c r="J33" i="56"/>
  <c r="K33" i="56" s="1"/>
  <c r="J35" i="49"/>
  <c r="K35" i="49" s="1"/>
  <c r="J50" i="46"/>
  <c r="K50" i="46" s="1"/>
  <c r="J57" i="45"/>
  <c r="K57" i="45" s="1"/>
  <c r="J49" i="59"/>
  <c r="K49" i="59" s="1"/>
  <c r="J39" i="45"/>
  <c r="K39" i="45" s="1"/>
  <c r="J41" i="51"/>
  <c r="K41" i="51" s="1"/>
  <c r="J32" i="43"/>
  <c r="K32" i="43" s="1"/>
  <c r="J38" i="50"/>
  <c r="K38" i="50" s="1"/>
  <c r="J45" i="45"/>
  <c r="K45" i="45" s="1"/>
  <c r="J38" i="49"/>
  <c r="K38" i="49" s="1"/>
  <c r="J46" i="57"/>
  <c r="K46" i="57" s="1"/>
  <c r="J30" i="49"/>
  <c r="K30" i="49" s="1"/>
  <c r="J48" i="57"/>
  <c r="K48" i="57" s="1"/>
  <c r="J69" i="46"/>
  <c r="K69" i="46" s="1"/>
  <c r="J39" i="51"/>
  <c r="K39" i="51" s="1"/>
  <c r="J48" i="59"/>
  <c r="K48" i="59" s="1"/>
  <c r="J43" i="46"/>
  <c r="K43" i="46" s="1"/>
  <c r="J35" i="58"/>
  <c r="K35" i="58" s="1"/>
  <c r="J63" i="45"/>
  <c r="K63" i="45" s="1"/>
  <c r="J39" i="55"/>
  <c r="K39" i="55" s="1"/>
  <c r="J54" i="46"/>
  <c r="K54" i="46" s="1"/>
  <c r="J35" i="45"/>
  <c r="K35" i="45" s="1"/>
  <c r="J37" i="48"/>
  <c r="K37" i="48" s="1"/>
  <c r="J58" i="46"/>
  <c r="K58" i="46" s="1"/>
  <c r="J65" i="45"/>
  <c r="K65" i="45" s="1"/>
  <c r="J43" i="58"/>
  <c r="K43" i="58" s="1"/>
  <c r="J55" i="45"/>
  <c r="K55" i="45" s="1"/>
  <c r="J34" i="48"/>
  <c r="K34" i="48" s="1"/>
  <c r="J39" i="59"/>
  <c r="K39" i="59" s="1"/>
  <c r="J39" i="49"/>
  <c r="K39" i="49" s="1"/>
  <c r="J69" i="45"/>
  <c r="K69" i="45" s="1"/>
  <c r="J37" i="57"/>
  <c r="K37" i="57" s="1"/>
  <c r="J39" i="54"/>
  <c r="K39" i="54" s="1"/>
  <c r="J29" i="48"/>
  <c r="K29" i="48" s="1"/>
  <c r="J30" i="53"/>
  <c r="K30" i="53" s="1"/>
  <c r="J57" i="47"/>
  <c r="K57" i="47" s="1"/>
  <c r="J42" i="45"/>
  <c r="K42" i="45" s="1"/>
  <c r="J30" i="54"/>
  <c r="K30" i="54" s="1"/>
  <c r="J40" i="50"/>
  <c r="K40" i="50" s="1"/>
  <c r="J30" i="55"/>
  <c r="K30" i="55" s="1"/>
  <c r="J41" i="46"/>
  <c r="K41" i="46" s="1"/>
  <c r="J60" i="45"/>
  <c r="K60" i="45" s="1"/>
  <c r="J38" i="51"/>
  <c r="K38" i="51" s="1"/>
  <c r="J49" i="47"/>
  <c r="K49" i="47" s="1"/>
  <c r="J88" i="45"/>
  <c r="K88" i="45" s="1"/>
  <c r="J40" i="54"/>
  <c r="K40" i="54" s="1"/>
  <c r="J38" i="55"/>
  <c r="K38" i="55" s="1"/>
  <c r="J62" i="45"/>
  <c r="K62" i="45" s="1"/>
  <c r="J31" i="53"/>
  <c r="K31" i="53" s="1"/>
  <c r="J75" i="45"/>
  <c r="K75" i="45" s="1"/>
  <c r="J29" i="59"/>
  <c r="K29" i="59" s="1"/>
  <c r="J29" i="58"/>
  <c r="K29" i="58" s="1"/>
  <c r="J41" i="56"/>
  <c r="K41" i="56" s="1"/>
  <c r="J73" i="45"/>
  <c r="K73" i="45" s="1"/>
  <c r="J36" i="53"/>
  <c r="K36" i="53" s="1"/>
  <c r="J35" i="48"/>
  <c r="K35" i="48" s="1"/>
  <c r="J33" i="48"/>
  <c r="K33" i="48" s="1"/>
  <c r="J32" i="51"/>
  <c r="K32" i="51" s="1"/>
  <c r="J56" i="46"/>
  <c r="K56" i="46" s="1"/>
  <c r="J32" i="56"/>
  <c r="K32" i="56" s="1"/>
  <c r="J34" i="45"/>
  <c r="K34" i="45" s="1"/>
  <c r="J60" i="47"/>
  <c r="K60" i="47" s="1"/>
  <c r="J48" i="58"/>
  <c r="K48" i="58" s="1"/>
  <c r="J49" i="46"/>
  <c r="K49" i="46" s="1"/>
  <c r="J29" i="57"/>
  <c r="K29" i="57" s="1"/>
  <c r="J40" i="53"/>
  <c r="K40" i="53" s="1"/>
  <c r="J40" i="56"/>
  <c r="K40" i="56" s="1"/>
  <c r="J29" i="46"/>
  <c r="K29" i="46" s="1"/>
  <c r="J48" i="45"/>
  <c r="K48" i="45" s="1"/>
  <c r="J38" i="54"/>
  <c r="K38" i="54" s="1"/>
  <c r="J32" i="59"/>
  <c r="K32" i="59" s="1"/>
  <c r="J40" i="55"/>
  <c r="K40" i="55" s="1"/>
  <c r="J51" i="46"/>
  <c r="K51" i="46" s="1"/>
  <c r="J70" i="45"/>
  <c r="K70" i="45" s="1"/>
  <c r="J33" i="50"/>
  <c r="K33" i="50" s="1"/>
  <c r="J55" i="47"/>
  <c r="K55" i="47" s="1"/>
  <c r="J41" i="53"/>
  <c r="K41" i="53" s="1"/>
  <c r="J38" i="53"/>
  <c r="K38" i="53" s="1"/>
  <c r="J48" i="55"/>
  <c r="K48" i="55" s="1"/>
  <c r="J68" i="45"/>
  <c r="K68" i="45" s="1"/>
  <c r="J79" i="45"/>
  <c r="K79" i="45" s="1"/>
  <c r="J39" i="53"/>
  <c r="K39" i="53" s="1"/>
  <c r="J31" i="59"/>
  <c r="K31" i="59" s="1"/>
  <c r="J47" i="55"/>
  <c r="K47" i="55" s="1"/>
  <c r="J70" i="46"/>
  <c r="K70" i="46" s="1"/>
  <c r="J45" i="59"/>
  <c r="K45" i="59" s="1"/>
  <c r="J51" i="45"/>
  <c r="K51" i="45" s="1"/>
  <c r="J37" i="58"/>
  <c r="K37" i="58" s="1"/>
  <c r="J49" i="56"/>
  <c r="K49" i="56" s="1"/>
  <c r="J42" i="47"/>
  <c r="K42" i="47" s="1"/>
  <c r="J66" i="46"/>
  <c r="K66" i="46" s="1"/>
  <c r="J71" i="45"/>
  <c r="K71" i="45" s="1"/>
  <c r="J35" i="53"/>
  <c r="K35" i="53" s="1"/>
  <c r="J33" i="58"/>
  <c r="K33" i="58" s="1"/>
  <c r="J46" i="47"/>
  <c r="K46" i="47" s="1"/>
  <c r="J85" i="45"/>
  <c r="K85" i="45" s="1"/>
  <c r="J42" i="53"/>
  <c r="K42" i="53" s="1"/>
  <c r="J41" i="49"/>
  <c r="K41" i="49" s="1"/>
  <c r="J42" i="56"/>
  <c r="K42" i="56" s="1"/>
  <c r="J34" i="54"/>
  <c r="K34" i="54" s="1"/>
  <c r="J36" i="46"/>
  <c r="K36" i="46" s="1"/>
  <c r="J36" i="57"/>
  <c r="K36" i="57" s="1"/>
  <c r="J59" i="46"/>
  <c r="K59" i="46" s="1"/>
  <c r="J45" i="57"/>
  <c r="K45" i="57" s="1"/>
  <c r="J40" i="48"/>
  <c r="K40" i="48" s="1"/>
  <c r="J29" i="54"/>
  <c r="K29" i="54" s="1"/>
  <c r="J37" i="52"/>
  <c r="K37" i="52" s="1"/>
  <c r="J42" i="59"/>
  <c r="K42" i="59" s="1"/>
  <c r="J31" i="52"/>
  <c r="K31" i="52" s="1"/>
  <c r="J40" i="59"/>
  <c r="K40" i="59" s="1"/>
  <c r="J36" i="49"/>
  <c r="K36" i="49" s="1"/>
  <c r="J28" i="55"/>
  <c r="K28" i="55" s="1"/>
  <c r="J39" i="46"/>
  <c r="K39" i="46" s="1"/>
  <c r="J58" i="45"/>
  <c r="K58" i="45" s="1"/>
  <c r="J72" i="46"/>
  <c r="K72" i="46" s="1"/>
  <c r="J32" i="58"/>
  <c r="K32" i="58" s="1"/>
  <c r="J46" i="55"/>
  <c r="K46" i="55" s="1"/>
  <c r="J57" i="46"/>
  <c r="K57" i="46" s="1"/>
  <c r="J42" i="49"/>
  <c r="K42" i="49" s="1"/>
  <c r="J50" i="45"/>
  <c r="K50" i="45" s="1"/>
  <c r="J36" i="50"/>
  <c r="K36" i="50" s="1"/>
  <c r="J33" i="52"/>
  <c r="K33" i="52" s="1"/>
  <c r="J78" i="45"/>
  <c r="K78" i="45" s="1"/>
  <c r="J36" i="43"/>
  <c r="K36" i="43" s="1"/>
  <c r="J37" i="59"/>
  <c r="K37" i="59" s="1"/>
  <c r="J47" i="59"/>
  <c r="K47" i="59" s="1"/>
  <c r="J30" i="50"/>
  <c r="K30" i="50" s="1"/>
  <c r="J37" i="45"/>
  <c r="K37" i="45" s="1"/>
  <c r="J39" i="58"/>
  <c r="K39" i="58" s="1"/>
  <c r="J67" i="45"/>
  <c r="K67" i="45" s="1"/>
  <c r="J45" i="58"/>
  <c r="K45" i="58" s="1"/>
  <c r="J35" i="55"/>
  <c r="K35" i="55" s="1"/>
  <c r="J50" i="47"/>
  <c r="K50" i="47" s="1"/>
  <c r="J74" i="46"/>
  <c r="K74" i="46" s="1"/>
  <c r="J81" i="45"/>
  <c r="K81" i="45" s="1"/>
  <c r="J31" i="56"/>
  <c r="K31" i="56" s="1"/>
  <c r="J87" i="45"/>
  <c r="K87" i="45" s="1"/>
  <c r="J31" i="58"/>
  <c r="K31" i="58" s="1"/>
  <c r="J49" i="58"/>
  <c r="K49" i="58" s="1"/>
  <c r="J30" i="46"/>
  <c r="K30" i="46" s="1"/>
  <c r="J42" i="43"/>
  <c r="K42" i="43" s="1"/>
  <c r="J42" i="52"/>
  <c r="K42" i="52" s="1"/>
  <c r="J86" i="45"/>
  <c r="K86" i="45" s="1"/>
  <c r="J37" i="46"/>
  <c r="K37" i="46" s="1"/>
  <c r="J42" i="54"/>
  <c r="K42" i="54" s="1"/>
  <c r="J44" i="46"/>
  <c r="K44" i="46" s="1"/>
  <c r="J44" i="57"/>
  <c r="K44" i="57" s="1"/>
  <c r="J65" i="46"/>
  <c r="K65" i="46" s="1"/>
  <c r="J39" i="56"/>
  <c r="K39" i="56" s="1"/>
  <c r="J41" i="55"/>
  <c r="K41" i="55" s="1"/>
  <c r="J95" i="21"/>
  <c r="K95" i="21" s="1"/>
  <c r="J94" i="21"/>
  <c r="K94" i="21" s="1"/>
  <c r="J52" i="18"/>
  <c r="K52" i="18" s="1"/>
  <c r="J90" i="21"/>
  <c r="K90" i="21" s="1"/>
  <c r="J64" i="44"/>
  <c r="K64" i="44" s="1"/>
  <c r="J51" i="44"/>
  <c r="K51" i="44" s="1"/>
  <c r="J50" i="44"/>
  <c r="K50" i="44" s="1"/>
  <c r="J172" i="25"/>
  <c r="K172" i="25" s="1"/>
  <c r="J82" i="23"/>
  <c r="K82" i="23" s="1"/>
  <c r="J46" i="12"/>
  <c r="K46" i="12" s="1"/>
  <c r="J66" i="44"/>
  <c r="K66" i="44" s="1"/>
  <c r="J63" i="35"/>
  <c r="K63" i="35" s="1"/>
  <c r="J86" i="20"/>
  <c r="K86" i="20" s="1"/>
  <c r="J30" i="22"/>
  <c r="K30" i="22" s="1"/>
  <c r="J66" i="42"/>
  <c r="K66" i="42" s="1"/>
  <c r="J64" i="24"/>
  <c r="K64" i="24" s="1"/>
  <c r="J156" i="15"/>
  <c r="K156" i="15" s="1"/>
  <c r="J107" i="10"/>
  <c r="K107" i="10" s="1"/>
  <c r="J89" i="61"/>
  <c r="K89" i="61" s="1"/>
  <c r="J61" i="30"/>
  <c r="K61" i="30" s="1"/>
  <c r="J53" i="20"/>
  <c r="K53" i="20" s="1"/>
  <c r="J80" i="27"/>
  <c r="K80" i="27" s="1"/>
  <c r="J95" i="27"/>
  <c r="K95" i="27" s="1"/>
  <c r="J76" i="35"/>
  <c r="K76" i="35" s="1"/>
  <c r="J96" i="21"/>
  <c r="K96" i="21" s="1"/>
  <c r="J61" i="44"/>
  <c r="K61" i="44" s="1"/>
  <c r="J50" i="9"/>
  <c r="K50" i="9" s="1"/>
  <c r="J75" i="44"/>
  <c r="K75" i="44" s="1"/>
  <c r="J60" i="10"/>
  <c r="K60" i="10" s="1"/>
  <c r="J106" i="10"/>
  <c r="K106" i="10" s="1"/>
  <c r="J62" i="44"/>
  <c r="K62" i="44" s="1"/>
  <c r="J64" i="10"/>
  <c r="K64" i="10" s="1"/>
  <c r="J87" i="27"/>
  <c r="K87" i="27" s="1"/>
  <c r="J75" i="23"/>
  <c r="K75" i="23" s="1"/>
  <c r="J56" i="18"/>
  <c r="K56" i="18" s="1"/>
  <c r="J67" i="44"/>
  <c r="K67" i="44" s="1"/>
  <c r="J101" i="20"/>
  <c r="K101" i="20" s="1"/>
  <c r="J85" i="23"/>
  <c r="K85" i="23" s="1"/>
  <c r="J34" i="9"/>
  <c r="K34" i="9" s="1"/>
  <c r="J68" i="44"/>
  <c r="K68" i="44" s="1"/>
  <c r="J86" i="42"/>
  <c r="K86" i="42" s="1"/>
  <c r="J81" i="10"/>
  <c r="K81" i="10" s="1"/>
  <c r="J54" i="44"/>
  <c r="K54" i="44" s="1"/>
  <c r="J66" i="35"/>
  <c r="K66" i="35" s="1"/>
  <c r="J101" i="10"/>
  <c r="K101" i="10" s="1"/>
  <c r="J55" i="42"/>
  <c r="K55" i="42" s="1"/>
  <c r="J73" i="35"/>
  <c r="K73" i="35" s="1"/>
  <c r="J70" i="61"/>
  <c r="K70" i="61" s="1"/>
  <c r="J67" i="61"/>
  <c r="K67" i="61" s="1"/>
  <c r="J128" i="41"/>
  <c r="K128" i="41" s="1"/>
  <c r="J115" i="41"/>
  <c r="K115" i="41" s="1"/>
  <c r="J66" i="26"/>
  <c r="K66" i="26" s="1"/>
  <c r="J69" i="33"/>
  <c r="K69" i="33" s="1"/>
  <c r="J70" i="26"/>
  <c r="K70" i="26" s="1"/>
  <c r="J34" i="17"/>
  <c r="K34" i="17" s="1"/>
  <c r="J71" i="26"/>
  <c r="K71" i="26" s="1"/>
  <c r="J55" i="18"/>
  <c r="K55" i="18" s="1"/>
  <c r="J84" i="27"/>
  <c r="K84" i="27" s="1"/>
  <c r="J96" i="20"/>
  <c r="K96" i="20" s="1"/>
  <c r="J100" i="20"/>
  <c r="K100" i="20" s="1"/>
  <c r="J79" i="35"/>
  <c r="K79" i="35" s="1"/>
  <c r="J83" i="42"/>
  <c r="K83" i="42" s="1"/>
  <c r="J60" i="35"/>
  <c r="K60" i="35" s="1"/>
  <c r="J157" i="15"/>
  <c r="K157" i="15" s="1"/>
  <c r="J90" i="10"/>
  <c r="K90" i="10" s="1"/>
  <c r="J63" i="10"/>
  <c r="K63" i="10" s="1"/>
  <c r="J52" i="42"/>
  <c r="K52" i="42" s="1"/>
  <c r="J80" i="42"/>
  <c r="K80" i="42" s="1"/>
  <c r="J36" i="26"/>
  <c r="K36" i="26" s="1"/>
  <c r="J72" i="41"/>
  <c r="K72" i="41" s="1"/>
  <c r="J110" i="21"/>
  <c r="K110" i="21" s="1"/>
  <c r="J60" i="20"/>
  <c r="K60" i="20" s="1"/>
  <c r="J92" i="20"/>
  <c r="K92" i="20" s="1"/>
  <c r="J38" i="27"/>
  <c r="K38" i="27" s="1"/>
  <c r="J58" i="20"/>
  <c r="K58" i="20" s="1"/>
  <c r="J67" i="9"/>
  <c r="K67" i="9" s="1"/>
  <c r="J60" i="44"/>
  <c r="K60" i="44" s="1"/>
  <c r="J103" i="10"/>
  <c r="K103" i="10" s="1"/>
  <c r="J75" i="10"/>
  <c r="K75" i="10" s="1"/>
  <c r="J57" i="42"/>
  <c r="K57" i="42" s="1"/>
  <c r="J68" i="42"/>
  <c r="K68" i="42" s="1"/>
  <c r="J34" i="34"/>
  <c r="K34" i="34" s="1"/>
  <c r="J66" i="24"/>
  <c r="K66" i="24" s="1"/>
  <c r="J135" i="41"/>
  <c r="K135" i="41" s="1"/>
  <c r="J71" i="33"/>
  <c r="K71" i="33" s="1"/>
  <c r="J93" i="41"/>
  <c r="K93" i="41" s="1"/>
  <c r="J37" i="11"/>
  <c r="K37" i="11" s="1"/>
  <c r="J98" i="41"/>
  <c r="K98" i="41" s="1"/>
  <c r="J70" i="20"/>
  <c r="K70" i="20" s="1"/>
  <c r="J60" i="9"/>
  <c r="K60" i="9" s="1"/>
  <c r="J46" i="9"/>
  <c r="K46" i="9" s="1"/>
  <c r="J74" i="20"/>
  <c r="K74" i="20" s="1"/>
  <c r="J97" i="21"/>
  <c r="K97" i="21" s="1"/>
  <c r="J98" i="27"/>
  <c r="K98" i="27" s="1"/>
  <c r="J94" i="44"/>
  <c r="K94" i="44" s="1"/>
  <c r="J90" i="23"/>
  <c r="K90" i="23" s="1"/>
  <c r="J101" i="44"/>
  <c r="K101" i="44" s="1"/>
  <c r="J78" i="42"/>
  <c r="K78" i="42" s="1"/>
  <c r="J38" i="44"/>
  <c r="K38" i="44" s="1"/>
  <c r="J61" i="10"/>
  <c r="K61" i="10" s="1"/>
  <c r="J52" i="44"/>
  <c r="K52" i="44" s="1"/>
  <c r="J161" i="15"/>
  <c r="K161" i="15" s="1"/>
  <c r="J62" i="42"/>
  <c r="K62" i="42" s="1"/>
  <c r="J35" i="34"/>
  <c r="K35" i="34" s="1"/>
  <c r="J45" i="61"/>
  <c r="K45" i="61" s="1"/>
  <c r="J87" i="41"/>
  <c r="K87" i="41" s="1"/>
  <c r="J76" i="61"/>
  <c r="K76" i="61" s="1"/>
  <c r="J77" i="30"/>
  <c r="K77" i="30" s="1"/>
  <c r="J67" i="27"/>
  <c r="K67" i="27" s="1"/>
  <c r="J83" i="27"/>
  <c r="K83" i="27" s="1"/>
  <c r="J61" i="20"/>
  <c r="K61" i="20" s="1"/>
  <c r="J87" i="20"/>
  <c r="K87" i="20" s="1"/>
  <c r="J56" i="27"/>
  <c r="K56" i="27" s="1"/>
  <c r="J65" i="20"/>
  <c r="K65" i="20" s="1"/>
  <c r="J81" i="20"/>
  <c r="K81" i="20" s="1"/>
  <c r="J52" i="27"/>
  <c r="K52" i="27" s="1"/>
  <c r="J76" i="20"/>
  <c r="K76" i="20" s="1"/>
  <c r="J54" i="35"/>
  <c r="K54" i="35" s="1"/>
  <c r="J51" i="9"/>
  <c r="K51" i="9" s="1"/>
  <c r="J69" i="23"/>
  <c r="K69" i="23" s="1"/>
  <c r="J95" i="44"/>
  <c r="K95" i="44" s="1"/>
  <c r="J51" i="12"/>
  <c r="K51" i="12" s="1"/>
  <c r="J78" i="44"/>
  <c r="K78" i="44" s="1"/>
  <c r="J53" i="44"/>
  <c r="K53" i="44" s="1"/>
  <c r="J80" i="44"/>
  <c r="K80" i="44" s="1"/>
  <c r="J155" i="15"/>
  <c r="K155" i="15" s="1"/>
  <c r="J56" i="42"/>
  <c r="K56" i="42" s="1"/>
  <c r="J59" i="30"/>
  <c r="K59" i="30" s="1"/>
  <c r="J37" i="8"/>
  <c r="K37" i="8" s="1"/>
  <c r="J116" i="41"/>
  <c r="K116" i="41" s="1"/>
  <c r="J133" i="41"/>
  <c r="K133" i="41" s="1"/>
  <c r="J71" i="30"/>
  <c r="K71" i="30" s="1"/>
  <c r="J77" i="41"/>
  <c r="K77" i="41" s="1"/>
  <c r="J43" i="16"/>
  <c r="K43" i="16" s="1"/>
  <c r="J46" i="16"/>
  <c r="K46" i="16" s="1"/>
  <c r="J119" i="41"/>
  <c r="K119" i="41" s="1"/>
  <c r="J59" i="18"/>
  <c r="K59" i="18" s="1"/>
  <c r="J45" i="27"/>
  <c r="K45" i="27" s="1"/>
  <c r="J49" i="18"/>
  <c r="K49" i="18" s="1"/>
  <c r="J78" i="20"/>
  <c r="K78" i="20" s="1"/>
  <c r="J95" i="20"/>
  <c r="K95" i="20" s="1"/>
  <c r="J101" i="27"/>
  <c r="K101" i="27" s="1"/>
  <c r="J111" i="21"/>
  <c r="K111" i="21" s="1"/>
  <c r="J42" i="9"/>
  <c r="K42" i="9" s="1"/>
  <c r="J72" i="20"/>
  <c r="K72" i="20" s="1"/>
  <c r="J77" i="35"/>
  <c r="K77" i="35" s="1"/>
  <c r="J71" i="35"/>
  <c r="K71" i="35" s="1"/>
  <c r="J65" i="44"/>
  <c r="K65" i="44" s="1"/>
  <c r="J43" i="12"/>
  <c r="K43" i="12" s="1"/>
  <c r="J93" i="44"/>
  <c r="K93" i="44" s="1"/>
  <c r="J55" i="44"/>
  <c r="K55" i="44" s="1"/>
  <c r="J40" i="44"/>
  <c r="K40" i="44" s="1"/>
  <c r="J38" i="12"/>
  <c r="K38" i="12" s="1"/>
  <c r="J39" i="44"/>
  <c r="K39" i="44" s="1"/>
  <c r="J63" i="24"/>
  <c r="K63" i="24" s="1"/>
  <c r="J82" i="30"/>
  <c r="K82" i="30" s="1"/>
  <c r="J49" i="7"/>
  <c r="K49" i="7" s="1"/>
  <c r="J65" i="41"/>
  <c r="K65" i="41" s="1"/>
  <c r="J73" i="41"/>
  <c r="K73" i="41" s="1"/>
  <c r="J45" i="16"/>
  <c r="K45" i="16" s="1"/>
  <c r="J79" i="41"/>
  <c r="K79" i="41" s="1"/>
  <c r="J37" i="41"/>
  <c r="K37" i="41" s="1"/>
  <c r="J97" i="41"/>
  <c r="K97" i="41" s="1"/>
  <c r="J64" i="41"/>
  <c r="K64" i="41" s="1"/>
  <c r="J105" i="41"/>
  <c r="K105" i="41" s="1"/>
  <c r="J104" i="41"/>
  <c r="K104" i="41" s="1"/>
  <c r="J118" i="41"/>
  <c r="K118" i="41" s="1"/>
  <c r="J53" i="27"/>
  <c r="K53" i="27" s="1"/>
  <c r="J64" i="20"/>
  <c r="K64" i="20" s="1"/>
  <c r="J87" i="23"/>
  <c r="K87" i="23" s="1"/>
  <c r="J41" i="27"/>
  <c r="K41" i="27" s="1"/>
  <c r="J99" i="21"/>
  <c r="K99" i="21" s="1"/>
  <c r="J103" i="21"/>
  <c r="K103" i="21" s="1"/>
  <c r="J74" i="23"/>
  <c r="K74" i="23" s="1"/>
  <c r="J58" i="35"/>
  <c r="K58" i="35" s="1"/>
  <c r="J59" i="35"/>
  <c r="K59" i="35" s="1"/>
  <c r="J63" i="9"/>
  <c r="K63" i="9" s="1"/>
  <c r="J42" i="44"/>
  <c r="K42" i="44" s="1"/>
  <c r="J78" i="10"/>
  <c r="K78" i="10" s="1"/>
  <c r="J91" i="44"/>
  <c r="K91" i="44" s="1"/>
  <c r="J83" i="44"/>
  <c r="K83" i="44" s="1"/>
  <c r="J29" i="22"/>
  <c r="K29" i="22" s="1"/>
  <c r="J77" i="27"/>
  <c r="K77" i="27" s="1"/>
  <c r="J54" i="18"/>
  <c r="K54" i="18" s="1"/>
  <c r="J53" i="18"/>
  <c r="K53" i="18" s="1"/>
  <c r="J94" i="27"/>
  <c r="K94" i="27" s="1"/>
  <c r="J100" i="21"/>
  <c r="K100" i="21" s="1"/>
  <c r="J84" i="20"/>
  <c r="K84" i="20" s="1"/>
  <c r="J66" i="20"/>
  <c r="K66" i="20" s="1"/>
  <c r="J69" i="27"/>
  <c r="K69" i="27" s="1"/>
  <c r="J98" i="20"/>
  <c r="K98" i="20" s="1"/>
  <c r="J60" i="23"/>
  <c r="K60" i="23" s="1"/>
  <c r="J71" i="20"/>
  <c r="K71" i="20" s="1"/>
  <c r="J48" i="9"/>
  <c r="K48" i="9" s="1"/>
  <c r="J60" i="42"/>
  <c r="K60" i="42" s="1"/>
  <c r="J57" i="9"/>
  <c r="K57" i="9" s="1"/>
  <c r="J104" i="10"/>
  <c r="K104" i="10" s="1"/>
  <c r="J84" i="44"/>
  <c r="K84" i="44" s="1"/>
  <c r="J77" i="42"/>
  <c r="K77" i="42" s="1"/>
  <c r="J81" i="44"/>
  <c r="K81" i="44" s="1"/>
  <c r="J73" i="10"/>
  <c r="K73" i="10" s="1"/>
  <c r="J96" i="10"/>
  <c r="K96" i="10" s="1"/>
  <c r="J71" i="42"/>
  <c r="K71" i="42" s="1"/>
  <c r="J79" i="10"/>
  <c r="K79" i="10" s="1"/>
  <c r="J93" i="10"/>
  <c r="K93" i="10" s="1"/>
  <c r="J40" i="11"/>
  <c r="K40" i="11" s="1"/>
  <c r="J62" i="24"/>
  <c r="K62" i="24" s="1"/>
  <c r="J75" i="61"/>
  <c r="K75" i="61" s="1"/>
  <c r="J50" i="30"/>
  <c r="K50" i="30" s="1"/>
  <c r="J43" i="11"/>
  <c r="K43" i="11" s="1"/>
  <c r="J60" i="61"/>
  <c r="K60" i="61" s="1"/>
  <c r="J72" i="61"/>
  <c r="K72" i="61" s="1"/>
  <c r="J48" i="13"/>
  <c r="K48" i="13" s="1"/>
  <c r="J80" i="41"/>
  <c r="K80" i="41" s="1"/>
  <c r="J56" i="41"/>
  <c r="K56" i="41" s="1"/>
  <c r="J63" i="27"/>
  <c r="K63" i="27" s="1"/>
  <c r="J45" i="18"/>
  <c r="K45" i="18" s="1"/>
  <c r="K65" i="18" s="1"/>
  <c r="K68" i="18" s="1"/>
  <c r="F44" i="60" s="1"/>
  <c r="J42" i="27"/>
  <c r="K42" i="27" s="1"/>
  <c r="J84" i="23"/>
  <c r="K84" i="23" s="1"/>
  <c r="J39" i="27"/>
  <c r="K39" i="27" s="1"/>
  <c r="J67" i="35"/>
  <c r="K67" i="35" s="1"/>
  <c r="J105" i="10"/>
  <c r="K105" i="10" s="1"/>
  <c r="J68" i="10"/>
  <c r="K68" i="10" s="1"/>
  <c r="J100" i="10"/>
  <c r="K100" i="10" s="1"/>
  <c r="J51" i="42"/>
  <c r="K51" i="42" s="1"/>
  <c r="J31" i="22"/>
  <c r="K31" i="22" s="1"/>
  <c r="J154" i="15"/>
  <c r="K154" i="15" s="1"/>
  <c r="J72" i="10"/>
  <c r="K72" i="10" s="1"/>
  <c r="J43" i="34"/>
  <c r="K43" i="34" s="1"/>
  <c r="J80" i="10"/>
  <c r="K80" i="10" s="1"/>
  <c r="J68" i="24"/>
  <c r="K68" i="24" s="1"/>
  <c r="J83" i="30"/>
  <c r="K83" i="30" s="1"/>
  <c r="J44" i="11"/>
  <c r="K44" i="11" s="1"/>
  <c r="J75" i="26"/>
  <c r="K75" i="26" s="1"/>
  <c r="J61" i="26"/>
  <c r="K61" i="26" s="1"/>
  <c r="J69" i="41"/>
  <c r="K69" i="41" s="1"/>
  <c r="J36" i="41"/>
  <c r="K36" i="41" s="1"/>
  <c r="J63" i="41"/>
  <c r="K63" i="41" s="1"/>
  <c r="J42" i="41"/>
  <c r="K42" i="41" s="1"/>
  <c r="J50" i="28"/>
  <c r="K50" i="28" s="1"/>
  <c r="J159" i="15"/>
  <c r="K159" i="15" s="1"/>
  <c r="J98" i="21"/>
  <c r="K98" i="21" s="1"/>
  <c r="J82" i="27"/>
  <c r="K82" i="27" s="1"/>
  <c r="J68" i="27"/>
  <c r="K68" i="27" s="1"/>
  <c r="J81" i="27"/>
  <c r="K81" i="27" s="1"/>
  <c r="J92" i="21"/>
  <c r="K92" i="21" s="1"/>
  <c r="J99" i="20"/>
  <c r="K99" i="20" s="1"/>
  <c r="J65" i="9"/>
  <c r="K65" i="9" s="1"/>
  <c r="J74" i="44"/>
  <c r="K74" i="44" s="1"/>
  <c r="J92" i="10"/>
  <c r="K92" i="10" s="1"/>
  <c r="J33" i="22"/>
  <c r="K33" i="22" s="1"/>
  <c r="J88" i="10"/>
  <c r="K88" i="10" s="1"/>
  <c r="J74" i="10"/>
  <c r="K74" i="10" s="1"/>
  <c r="J91" i="10"/>
  <c r="K91" i="10" s="1"/>
  <c r="J44" i="12"/>
  <c r="K44" i="12" s="1"/>
  <c r="J74" i="42"/>
  <c r="K74" i="42" s="1"/>
  <c r="J94" i="10"/>
  <c r="K94" i="10" s="1"/>
  <c r="J59" i="27"/>
  <c r="K59" i="27" s="1"/>
  <c r="J70" i="27"/>
  <c r="K70" i="27" s="1"/>
  <c r="J73" i="27"/>
  <c r="K73" i="27" s="1"/>
  <c r="J88" i="23"/>
  <c r="K88" i="23" s="1"/>
  <c r="J90" i="20"/>
  <c r="K90" i="20" s="1"/>
  <c r="J55" i="9"/>
  <c r="K55" i="9" s="1"/>
  <c r="J61" i="35"/>
  <c r="K61" i="35" s="1"/>
  <c r="J69" i="35"/>
  <c r="K69" i="35" s="1"/>
  <c r="J69" i="10"/>
  <c r="K69" i="10" s="1"/>
  <c r="J76" i="10"/>
  <c r="K76" i="10" s="1"/>
  <c r="J54" i="42"/>
  <c r="K54" i="42" s="1"/>
  <c r="J88" i="42"/>
  <c r="K88" i="42" s="1"/>
  <c r="J86" i="10"/>
  <c r="K86" i="10" s="1"/>
  <c r="J76" i="42"/>
  <c r="K76" i="42" s="1"/>
  <c r="J36" i="8"/>
  <c r="K36" i="8" s="1"/>
  <c r="J97" i="27"/>
  <c r="K97" i="27" s="1"/>
  <c r="J66" i="27"/>
  <c r="K66" i="27" s="1"/>
  <c r="J66" i="23"/>
  <c r="K66" i="23" s="1"/>
  <c r="J55" i="27"/>
  <c r="K55" i="27" s="1"/>
  <c r="J89" i="21"/>
  <c r="K89" i="21" s="1"/>
  <c r="J54" i="20"/>
  <c r="K54" i="20" s="1"/>
  <c r="J56" i="35"/>
  <c r="K56" i="35" s="1"/>
  <c r="J70" i="9"/>
  <c r="K70" i="9" s="1"/>
  <c r="J77" i="44"/>
  <c r="K77" i="44" s="1"/>
  <c r="J79" i="23"/>
  <c r="K79" i="23" s="1"/>
  <c r="J88" i="44"/>
  <c r="K88" i="44" s="1"/>
  <c r="J87" i="44"/>
  <c r="K87" i="44" s="1"/>
  <c r="J157" i="25"/>
  <c r="K157" i="25" s="1"/>
  <c r="J89" i="23"/>
  <c r="K89" i="23" s="1"/>
  <c r="J103" i="44"/>
  <c r="K103" i="44" s="1"/>
  <c r="J69" i="42"/>
  <c r="K69" i="42" s="1"/>
  <c r="J62" i="9"/>
  <c r="K62" i="9" s="1"/>
  <c r="J55" i="35"/>
  <c r="K55" i="35" s="1"/>
  <c r="J102" i="10"/>
  <c r="K102" i="10" s="1"/>
  <c r="J48" i="12"/>
  <c r="K48" i="12" s="1"/>
  <c r="J49" i="9"/>
  <c r="K49" i="9" s="1"/>
  <c r="J84" i="42"/>
  <c r="K84" i="42" s="1"/>
  <c r="J82" i="42"/>
  <c r="K82" i="42" s="1"/>
  <c r="J76" i="23"/>
  <c r="K76" i="23" s="1"/>
  <c r="J62" i="10"/>
  <c r="K62" i="10" s="1"/>
  <c r="J70" i="42"/>
  <c r="K70" i="42" s="1"/>
  <c r="J108" i="10"/>
  <c r="K108" i="10" s="1"/>
  <c r="J65" i="10"/>
  <c r="K65" i="10" s="1"/>
  <c r="J85" i="42"/>
  <c r="K85" i="42" s="1"/>
  <c r="J80" i="30"/>
  <c r="K80" i="30" s="1"/>
  <c r="J60" i="30"/>
  <c r="K60" i="30" s="1"/>
  <c r="J39" i="34"/>
  <c r="K39" i="34" s="1"/>
  <c r="J45" i="7"/>
  <c r="K45" i="7" s="1"/>
  <c r="J46" i="7"/>
  <c r="K46" i="7" s="1"/>
  <c r="J90" i="29"/>
  <c r="K90" i="29" s="1"/>
  <c r="K14" i="28"/>
  <c r="K30" i="1"/>
  <c r="J30" i="16"/>
  <c r="K30" i="16" s="1"/>
  <c r="J49" i="16"/>
  <c r="K49" i="16" s="1"/>
  <c r="K24" i="31"/>
  <c r="J58" i="32"/>
  <c r="K58" i="32" s="1"/>
  <c r="J85" i="30"/>
  <c r="K85" i="30" s="1"/>
  <c r="J51" i="15"/>
  <c r="K51" i="15" s="1"/>
  <c r="E14" i="60"/>
  <c r="K45" i="28"/>
  <c r="K14" i="17"/>
  <c r="J32" i="16"/>
  <c r="K32" i="16" s="1"/>
  <c r="J66" i="41"/>
  <c r="K66" i="41" s="1"/>
  <c r="K21" i="16"/>
  <c r="K12" i="17"/>
  <c r="J78" i="61"/>
  <c r="K78" i="61" s="1"/>
  <c r="J40" i="16"/>
  <c r="K40" i="16" s="1"/>
  <c r="K23" i="7"/>
  <c r="J31" i="34"/>
  <c r="K31" i="34" s="1"/>
  <c r="K21" i="32"/>
  <c r="J144" i="15"/>
  <c r="K144" i="15" s="1"/>
  <c r="J143" i="25"/>
  <c r="K143" i="25" s="1"/>
  <c r="J145" i="25"/>
  <c r="K145" i="25" s="1"/>
  <c r="J146" i="25"/>
  <c r="K146" i="25" s="1"/>
  <c r="J148" i="25"/>
  <c r="K148" i="25" s="1"/>
  <c r="J147" i="25"/>
  <c r="K147" i="25" s="1"/>
  <c r="J142" i="25"/>
  <c r="K142" i="25" s="1"/>
  <c r="J144" i="25"/>
  <c r="K144" i="25" s="1"/>
  <c r="J143" i="15"/>
  <c r="K143" i="15" s="1"/>
  <c r="J149" i="25"/>
  <c r="K149" i="25" s="1"/>
  <c r="K191" i="5"/>
  <c r="K24" i="32"/>
  <c r="K13" i="8"/>
  <c r="K18" i="42"/>
  <c r="K13" i="29"/>
  <c r="K18" i="35"/>
  <c r="K27" i="31"/>
  <c r="K47" i="21"/>
  <c r="K26" i="23"/>
  <c r="M142" i="4"/>
  <c r="T142" i="4" s="1"/>
  <c r="N142" i="4"/>
  <c r="O142" i="4"/>
  <c r="M219" i="4"/>
  <c r="T219" i="4" s="1"/>
  <c r="N219" i="4"/>
  <c r="K21" i="10"/>
  <c r="K15" i="15"/>
  <c r="O81" i="4"/>
  <c r="K220" i="5"/>
  <c r="K26" i="19"/>
  <c r="K15" i="22"/>
  <c r="K12" i="25"/>
  <c r="K24" i="20"/>
  <c r="K14" i="26"/>
  <c r="K13" i="28"/>
  <c r="J80" i="5"/>
  <c r="K80" i="5" s="1"/>
  <c r="O219" i="4"/>
  <c r="K12" i="10"/>
  <c r="M134" i="4"/>
  <c r="T134" i="4" s="1"/>
  <c r="N134" i="4"/>
  <c r="I188" i="4"/>
  <c r="M188" i="4" s="1"/>
  <c r="K20" i="28"/>
  <c r="N81" i="4"/>
  <c r="O198" i="4"/>
  <c r="J84" i="5"/>
  <c r="K84" i="5" s="1"/>
  <c r="K222" i="5"/>
  <c r="K33" i="29"/>
  <c r="K20" i="23"/>
  <c r="K17" i="13"/>
  <c r="K23" i="32"/>
  <c r="K33" i="28"/>
  <c r="K30" i="21"/>
  <c r="J95" i="29"/>
  <c r="K95" i="29" s="1"/>
  <c r="J91" i="29"/>
  <c r="K91" i="29" s="1"/>
  <c r="J93" i="29"/>
  <c r="K93" i="29" s="1"/>
  <c r="J79" i="21"/>
  <c r="K79" i="21" s="1"/>
  <c r="M132" i="4"/>
  <c r="T132" i="4" s="1"/>
  <c r="N132" i="4"/>
  <c r="O132" i="4"/>
  <c r="J52" i="33"/>
  <c r="K52" i="33" s="1"/>
  <c r="J40" i="32"/>
  <c r="K40" i="32" s="1"/>
  <c r="K28" i="33"/>
  <c r="K29" i="1"/>
  <c r="K14" i="15"/>
  <c r="K15" i="42"/>
  <c r="K27" i="20"/>
  <c r="K19" i="29"/>
  <c r="K15" i="25"/>
  <c r="K21" i="23"/>
  <c r="K27" i="23"/>
  <c r="K55" i="21"/>
  <c r="K13" i="17"/>
  <c r="K23" i="19"/>
  <c r="K33" i="20"/>
  <c r="K37" i="31"/>
  <c r="K32" i="33"/>
  <c r="K33" i="23"/>
  <c r="K19" i="20"/>
  <c r="T214" i="4"/>
  <c r="O237" i="4"/>
  <c r="K15" i="12"/>
  <c r="M163" i="4"/>
  <c r="I163" i="4"/>
  <c r="N163" i="4" s="1"/>
  <c r="M222" i="4"/>
  <c r="O152" i="4"/>
  <c r="T81" i="4"/>
  <c r="J191" i="5"/>
  <c r="J37" i="17"/>
  <c r="K37" i="17" s="1"/>
  <c r="J39" i="17"/>
  <c r="K39" i="17" s="1"/>
  <c r="J35" i="17"/>
  <c r="K35" i="17" s="1"/>
  <c r="J38" i="17"/>
  <c r="K38" i="17" s="1"/>
  <c r="J41" i="32"/>
  <c r="K41" i="32" s="1"/>
  <c r="J52" i="31"/>
  <c r="K52" i="31" s="1"/>
  <c r="J49" i="10"/>
  <c r="K49" i="10" s="1"/>
  <c r="J53" i="31"/>
  <c r="K53" i="31" s="1"/>
  <c r="J47" i="10"/>
  <c r="K47" i="10" s="1"/>
  <c r="J48" i="10"/>
  <c r="K48" i="10" s="1"/>
  <c r="J45" i="10"/>
  <c r="K45" i="10" s="1"/>
  <c r="J170" i="25"/>
  <c r="K170" i="25" s="1"/>
  <c r="K28" i="19"/>
  <c r="K25" i="10"/>
  <c r="K16" i="35"/>
  <c r="K14" i="23"/>
  <c r="K14" i="13"/>
  <c r="K17" i="20"/>
  <c r="K24" i="1"/>
  <c r="K16" i="34"/>
  <c r="K23" i="1"/>
  <c r="K48" i="5"/>
  <c r="J35" i="25" s="1"/>
  <c r="K35" i="25" s="1"/>
  <c r="O201" i="4"/>
  <c r="T99" i="4"/>
  <c r="K22" i="17"/>
  <c r="K21" i="19"/>
  <c r="M237" i="4"/>
  <c r="T237" i="4" s="1"/>
  <c r="O126" i="4"/>
  <c r="M152" i="4"/>
  <c r="O173" i="4"/>
  <c r="T173" i="4" s="1"/>
  <c r="K62" i="5"/>
  <c r="K186" i="5"/>
  <c r="K96" i="5"/>
  <c r="K271" i="5"/>
  <c r="K247" i="5"/>
  <c r="K12" i="44"/>
  <c r="K15" i="32"/>
  <c r="J134" i="15"/>
  <c r="K134" i="15" s="1"/>
  <c r="J124" i="15"/>
  <c r="K124" i="15" s="1"/>
  <c r="J132" i="15"/>
  <c r="K132" i="15" s="1"/>
  <c r="J126" i="15"/>
  <c r="K126" i="15" s="1"/>
  <c r="J138" i="15"/>
  <c r="K138" i="15" s="1"/>
  <c r="J130" i="15"/>
  <c r="K130" i="15" s="1"/>
  <c r="I210" i="4"/>
  <c r="M210" i="4" s="1"/>
  <c r="K15" i="24"/>
  <c r="K14" i="20"/>
  <c r="N191" i="4"/>
  <c r="M191" i="4"/>
  <c r="I191" i="4"/>
  <c r="O191" i="4" s="1"/>
  <c r="M243" i="4"/>
  <c r="I243" i="4"/>
  <c r="O243" i="4" s="1"/>
  <c r="K20" i="33"/>
  <c r="K13" i="61"/>
  <c r="K12" i="11"/>
  <c r="K13" i="24"/>
  <c r="K15" i="8"/>
  <c r="K22" i="42"/>
  <c r="K16" i="36"/>
  <c r="K23" i="23"/>
  <c r="K16" i="20"/>
  <c r="K25" i="23"/>
  <c r="K13" i="32"/>
  <c r="K18" i="9"/>
  <c r="E43" i="60"/>
  <c r="K13" i="10"/>
  <c r="K39" i="31"/>
  <c r="K12" i="20"/>
  <c r="M206" i="4"/>
  <c r="T206" i="4" s="1"/>
  <c r="N206" i="4"/>
  <c r="M117" i="4"/>
  <c r="N117" i="4"/>
  <c r="O117" i="4"/>
  <c r="M248" i="4"/>
  <c r="T248" i="4" s="1"/>
  <c r="N207" i="4"/>
  <c r="T207" i="4" s="1"/>
  <c r="I207" i="4"/>
  <c r="M207" i="4"/>
  <c r="O207" i="4"/>
  <c r="K30" i="36"/>
  <c r="N252" i="4"/>
  <c r="T252" i="4" s="1"/>
  <c r="K20" i="15"/>
  <c r="O212" i="4"/>
  <c r="T212" i="4" s="1"/>
  <c r="O222" i="4"/>
  <c r="M96" i="4"/>
  <c r="T96" i="4" s="1"/>
  <c r="M31" i="4"/>
  <c r="T31" i="4" s="1"/>
  <c r="M126" i="4"/>
  <c r="T126" i="4" s="1"/>
  <c r="J134" i="5"/>
  <c r="K134" i="5" s="1"/>
  <c r="M66" i="4"/>
  <c r="T66" i="4" s="1"/>
  <c r="M244" i="4"/>
  <c r="T244" i="4" s="1"/>
  <c r="K178" i="5"/>
  <c r="K20" i="7"/>
  <c r="K12" i="13"/>
  <c r="K13" i="13"/>
  <c r="K20" i="61"/>
  <c r="K33" i="31"/>
  <c r="K17" i="61"/>
  <c r="K17" i="26"/>
  <c r="K25" i="42"/>
  <c r="K12" i="12"/>
  <c r="K35" i="12" s="1"/>
  <c r="K54" i="12" s="1"/>
  <c r="K27" i="19"/>
  <c r="K29" i="23"/>
  <c r="E44" i="60"/>
  <c r="K14" i="61"/>
  <c r="K12" i="24"/>
  <c r="O248" i="4"/>
  <c r="N193" i="4"/>
  <c r="I193" i="4"/>
  <c r="M193" i="4" s="1"/>
  <c r="T215" i="4"/>
  <c r="K17" i="24"/>
  <c r="T204" i="4"/>
  <c r="I180" i="4"/>
  <c r="M180" i="4" s="1"/>
  <c r="T180" i="4" s="1"/>
  <c r="O180" i="4"/>
  <c r="N180" i="4"/>
  <c r="T242" i="4"/>
  <c r="O244" i="4"/>
  <c r="J167" i="25"/>
  <c r="K167" i="25" s="1"/>
  <c r="J164" i="25"/>
  <c r="K164" i="25" s="1"/>
  <c r="J168" i="25"/>
  <c r="K168" i="25" s="1"/>
  <c r="J163" i="25"/>
  <c r="K163" i="25" s="1"/>
  <c r="K104" i="5"/>
  <c r="K37" i="5"/>
  <c r="K64" i="5"/>
  <c r="K26" i="31"/>
  <c r="K34" i="31"/>
  <c r="K15" i="34"/>
  <c r="K13" i="9"/>
  <c r="J103" i="15"/>
  <c r="K103" i="15" s="1"/>
  <c r="J94" i="15"/>
  <c r="K94" i="15" s="1"/>
  <c r="J102" i="15"/>
  <c r="K102" i="15" s="1"/>
  <c r="J97" i="15"/>
  <c r="K97" i="15" s="1"/>
  <c r="J106" i="15"/>
  <c r="K106" i="15" s="1"/>
  <c r="J107" i="15"/>
  <c r="K107" i="15" s="1"/>
  <c r="J100" i="15"/>
  <c r="K100" i="15" s="1"/>
  <c r="J78" i="29"/>
  <c r="K78" i="29" s="1"/>
  <c r="J122" i="25"/>
  <c r="K122" i="25" s="1"/>
  <c r="J116" i="25"/>
  <c r="K116" i="25" s="1"/>
  <c r="J124" i="25"/>
  <c r="K124" i="25" s="1"/>
  <c r="J125" i="25"/>
  <c r="K125" i="25" s="1"/>
  <c r="J119" i="25"/>
  <c r="K119" i="25" s="1"/>
  <c r="J127" i="25"/>
  <c r="K127" i="25" s="1"/>
  <c r="K24" i="21"/>
  <c r="K188" i="5"/>
  <c r="J116" i="15"/>
  <c r="K116" i="15" s="1"/>
  <c r="J115" i="15"/>
  <c r="K115" i="15" s="1"/>
  <c r="I189" i="4"/>
  <c r="M189" i="4" s="1"/>
  <c r="N189" i="4"/>
  <c r="K16" i="61"/>
  <c r="K138" i="5"/>
  <c r="J51" i="26"/>
  <c r="K51" i="26" s="1"/>
  <c r="J52" i="26"/>
  <c r="K52" i="26" s="1"/>
  <c r="J53" i="26"/>
  <c r="K53" i="26" s="1"/>
  <c r="J46" i="42"/>
  <c r="K46" i="42" s="1"/>
  <c r="J44" i="19"/>
  <c r="K44" i="19" s="1"/>
  <c r="K201" i="5"/>
  <c r="K24" i="7"/>
  <c r="K20" i="31"/>
  <c r="K12" i="31"/>
  <c r="K14" i="29"/>
  <c r="K15" i="36"/>
  <c r="K15" i="29"/>
  <c r="K17" i="36"/>
  <c r="K31" i="20"/>
  <c r="K17" i="29"/>
  <c r="K17" i="1"/>
  <c r="K37" i="21"/>
  <c r="K17" i="21"/>
  <c r="T178" i="4"/>
  <c r="O177" i="4"/>
  <c r="M230" i="4"/>
  <c r="T230" i="4" s="1"/>
  <c r="M177" i="4"/>
  <c r="T177" i="4" s="1"/>
  <c r="K253" i="5"/>
  <c r="K43" i="5"/>
  <c r="K30" i="23"/>
  <c r="K23" i="20"/>
  <c r="K57" i="21"/>
  <c r="K58" i="21"/>
  <c r="K14" i="31"/>
  <c r="K19" i="28"/>
  <c r="K24" i="19"/>
  <c r="J71" i="28"/>
  <c r="K71" i="28" s="1"/>
  <c r="J145" i="15"/>
  <c r="K145" i="15" s="1"/>
  <c r="J153" i="25"/>
  <c r="K153" i="25" s="1"/>
  <c r="J150" i="25"/>
  <c r="K150" i="25" s="1"/>
  <c r="J151" i="25"/>
  <c r="K151" i="25" s="1"/>
  <c r="K14" i="21"/>
  <c r="O172" i="4"/>
  <c r="T174" i="4"/>
  <c r="N203" i="4"/>
  <c r="O203" i="4"/>
  <c r="T203" i="4"/>
  <c r="I187" i="4"/>
  <c r="O187" i="4" s="1"/>
  <c r="N187" i="4"/>
  <c r="M187" i="4"/>
  <c r="N204" i="4"/>
  <c r="N230" i="4"/>
  <c r="O176" i="4"/>
  <c r="T111" i="4"/>
  <c r="O242" i="4"/>
  <c r="T122" i="4"/>
  <c r="K110" i="5"/>
  <c r="K52" i="5"/>
  <c r="K153" i="5"/>
  <c r="K15" i="26"/>
  <c r="K14" i="33"/>
  <c r="K18" i="13"/>
  <c r="K15" i="16"/>
  <c r="K30" i="31"/>
  <c r="K23" i="42"/>
  <c r="K19" i="19"/>
  <c r="K14" i="10"/>
  <c r="K23" i="10"/>
  <c r="K26" i="29"/>
  <c r="K16" i="10"/>
  <c r="K34" i="29"/>
  <c r="J121" i="25"/>
  <c r="K121" i="25" s="1"/>
  <c r="K12" i="21"/>
  <c r="K13" i="20"/>
  <c r="K42" i="21"/>
  <c r="K26" i="10"/>
  <c r="K24" i="17"/>
  <c r="K20" i="16"/>
  <c r="M235" i="4"/>
  <c r="T235" i="4" s="1"/>
  <c r="O235" i="4"/>
  <c r="T171" i="4"/>
  <c r="I168" i="4"/>
  <c r="M168" i="4" s="1"/>
  <c r="T168" i="4" s="1"/>
  <c r="N168" i="4"/>
  <c r="O168" i="4"/>
  <c r="M93" i="4"/>
  <c r="N93" i="4"/>
  <c r="T93" i="4" s="1"/>
  <c r="N251" i="4"/>
  <c r="T251" i="4"/>
  <c r="N176" i="4"/>
  <c r="T176" i="4" s="1"/>
  <c r="O122" i="4"/>
  <c r="O251" i="4"/>
  <c r="M201" i="4"/>
  <c r="T201" i="4" s="1"/>
  <c r="K274" i="5"/>
  <c r="K119" i="5"/>
  <c r="K15" i="44"/>
  <c r="K27" i="29"/>
  <c r="K18" i="21"/>
  <c r="K40" i="28"/>
  <c r="K15" i="9"/>
  <c r="K28" i="26"/>
  <c r="K12" i="23"/>
  <c r="K249" i="5"/>
  <c r="K13" i="22"/>
  <c r="M172" i="4"/>
  <c r="T172" i="4"/>
  <c r="M223" i="4"/>
  <c r="T223" i="4" s="1"/>
  <c r="O223" i="4"/>
  <c r="M148" i="4"/>
  <c r="N148" i="4"/>
  <c r="T148" i="4" s="1"/>
  <c r="N64" i="4"/>
  <c r="M232" i="4"/>
  <c r="T232" i="4" s="1"/>
  <c r="N198" i="4"/>
  <c r="T198" i="4" s="1"/>
  <c r="K83" i="5"/>
  <c r="K252" i="5"/>
  <c r="K88" i="5"/>
  <c r="K15" i="7"/>
  <c r="K19" i="31"/>
  <c r="K17" i="10"/>
  <c r="K17" i="42"/>
  <c r="K12" i="34"/>
  <c r="K30" i="29"/>
  <c r="K16" i="19"/>
  <c r="K19" i="15"/>
  <c r="K15" i="21"/>
  <c r="K29" i="21"/>
  <c r="K22" i="7"/>
  <c r="K32" i="21"/>
  <c r="K19" i="23"/>
  <c r="K223" i="5"/>
  <c r="K109" i="5"/>
  <c r="N160" i="4"/>
  <c r="T160" i="4" s="1"/>
  <c r="O160" i="4"/>
  <c r="M64" i="4"/>
  <c r="T64" i="4" s="1"/>
  <c r="M238" i="4"/>
  <c r="T238" i="4" s="1"/>
  <c r="I166" i="4"/>
  <c r="O166" i="4" s="1"/>
  <c r="K230" i="5"/>
  <c r="K26" i="11" l="1"/>
  <c r="K47" i="11" s="1"/>
  <c r="K47" i="33"/>
  <c r="K79" i="33" s="1"/>
  <c r="K27" i="16"/>
  <c r="K53" i="16" s="1"/>
  <c r="K36" i="32"/>
  <c r="K62" i="32" s="1"/>
  <c r="K38" i="29"/>
  <c r="K112" i="29" s="1"/>
  <c r="K118" i="29" s="1"/>
  <c r="K33" i="7"/>
  <c r="K52" i="7" s="1"/>
  <c r="E16" i="60" s="1"/>
  <c r="K39" i="42"/>
  <c r="K94" i="42" s="1"/>
  <c r="E28" i="60" s="1"/>
  <c r="K32" i="1"/>
  <c r="K56" i="1" s="1"/>
  <c r="E10" i="60" s="1"/>
  <c r="K35" i="36"/>
  <c r="K63" i="36" s="1"/>
  <c r="E33" i="60" s="1"/>
  <c r="K33" i="60" s="1"/>
  <c r="K40" i="35"/>
  <c r="K83" i="35" s="1"/>
  <c r="E36" i="60" s="1"/>
  <c r="K42" i="31"/>
  <c r="K91" i="31" s="1"/>
  <c r="E25" i="60" s="1"/>
  <c r="K32" i="19"/>
  <c r="K55" i="19" s="1"/>
  <c r="E30" i="60" s="1"/>
  <c r="K31" i="9"/>
  <c r="K73" i="9" s="1"/>
  <c r="E37" i="60" s="1"/>
  <c r="K24" i="8"/>
  <c r="K41" i="8" s="1"/>
  <c r="E24" i="60" s="1"/>
  <c r="J82" i="25"/>
  <c r="K82" i="25" s="1"/>
  <c r="J82" i="31"/>
  <c r="K82" i="31" s="1"/>
  <c r="J83" i="31"/>
  <c r="K83" i="31" s="1"/>
  <c r="J45" i="1"/>
  <c r="K45" i="1" s="1"/>
  <c r="J53" i="61"/>
  <c r="K53" i="61" s="1"/>
  <c r="J52" i="61"/>
  <c r="K52" i="61" s="1"/>
  <c r="J55" i="61"/>
  <c r="K55" i="61" s="1"/>
  <c r="J47" i="42"/>
  <c r="K47" i="42" s="1"/>
  <c r="K92" i="42" s="1"/>
  <c r="K95" i="42" s="1"/>
  <c r="J54" i="26"/>
  <c r="K54" i="26" s="1"/>
  <c r="J47" i="19"/>
  <c r="K47" i="19" s="1"/>
  <c r="J46" i="19"/>
  <c r="K46" i="19" s="1"/>
  <c r="J51" i="1"/>
  <c r="K51" i="1" s="1"/>
  <c r="J55" i="26"/>
  <c r="K55" i="26" s="1"/>
  <c r="J43" i="1"/>
  <c r="K43" i="1" s="1"/>
  <c r="J45" i="19"/>
  <c r="K45" i="19" s="1"/>
  <c r="J44" i="1"/>
  <c r="K44" i="1" s="1"/>
  <c r="E12" i="60"/>
  <c r="T191" i="4"/>
  <c r="T193" i="4"/>
  <c r="K77" i="33"/>
  <c r="K80" i="33" s="1"/>
  <c r="F12" i="60" s="1"/>
  <c r="T187" i="4"/>
  <c r="E15" i="60"/>
  <c r="J41" i="1"/>
  <c r="K41" i="1" s="1"/>
  <c r="J54" i="32"/>
  <c r="K54" i="32" s="1"/>
  <c r="J64" i="15"/>
  <c r="K64" i="15" s="1"/>
  <c r="J33" i="44"/>
  <c r="K33" i="44" s="1"/>
  <c r="J37" i="9"/>
  <c r="K37" i="9" s="1"/>
  <c r="J67" i="25"/>
  <c r="K67" i="25" s="1"/>
  <c r="J68" i="25"/>
  <c r="K68" i="25" s="1"/>
  <c r="K174" i="25" s="1"/>
  <c r="K177" i="25" s="1"/>
  <c r="F38" i="60" s="1"/>
  <c r="J43" i="19"/>
  <c r="K43" i="19" s="1"/>
  <c r="J66" i="25"/>
  <c r="K66" i="25" s="1"/>
  <c r="J65" i="15"/>
  <c r="K65" i="15" s="1"/>
  <c r="K162" i="15" s="1"/>
  <c r="K165" i="15" s="1"/>
  <c r="F27" i="60" s="1"/>
  <c r="J36" i="9"/>
  <c r="K36" i="9" s="1"/>
  <c r="K71" i="9" s="1"/>
  <c r="K74" i="9" s="1"/>
  <c r="J42" i="19"/>
  <c r="K42" i="19" s="1"/>
  <c r="J47" i="61"/>
  <c r="K47" i="61" s="1"/>
  <c r="O193" i="4"/>
  <c r="N166" i="4"/>
  <c r="K50" i="57"/>
  <c r="K53" i="57" s="1"/>
  <c r="K107" i="27"/>
  <c r="K110" i="27" s="1"/>
  <c r="J44" i="32"/>
  <c r="K44" i="32" s="1"/>
  <c r="J48" i="17"/>
  <c r="K48" i="17" s="1"/>
  <c r="K96" i="61"/>
  <c r="K99" i="61" s="1"/>
  <c r="F18" i="60" s="1"/>
  <c r="K50" i="56"/>
  <c r="K53" i="56" s="1"/>
  <c r="K50" i="59"/>
  <c r="K53" i="59" s="1"/>
  <c r="K81" i="35"/>
  <c r="K84" i="35" s="1"/>
  <c r="F36" i="60" s="1"/>
  <c r="K39" i="8"/>
  <c r="K42" i="8" s="1"/>
  <c r="F24" i="60" s="1"/>
  <c r="K50" i="7"/>
  <c r="K53" i="7" s="1"/>
  <c r="F16" i="60" s="1"/>
  <c r="K50" i="23"/>
  <c r="K93" i="23" s="1"/>
  <c r="K105" i="44"/>
  <c r="K108" i="44" s="1"/>
  <c r="F34" i="60" s="1"/>
  <c r="K32" i="13"/>
  <c r="K52" i="13" s="1"/>
  <c r="K36" i="20"/>
  <c r="K105" i="20" s="1"/>
  <c r="E20" i="60"/>
  <c r="K20" i="60" s="1"/>
  <c r="K53" i="11"/>
  <c r="K40" i="10"/>
  <c r="K114" i="10" s="1"/>
  <c r="K21" i="34"/>
  <c r="K46" i="34" s="1"/>
  <c r="K48" i="24"/>
  <c r="K73" i="24" s="1"/>
  <c r="K42" i="61"/>
  <c r="K98" i="61" s="1"/>
  <c r="T222" i="4"/>
  <c r="K62" i="47"/>
  <c r="K65" i="47" s="1"/>
  <c r="K50" i="55"/>
  <c r="K53" i="55" s="1"/>
  <c r="K43" i="52"/>
  <c r="K46" i="52" s="1"/>
  <c r="J84" i="21"/>
  <c r="K84" i="21" s="1"/>
  <c r="J85" i="21"/>
  <c r="K85" i="21" s="1"/>
  <c r="J81" i="21"/>
  <c r="K81" i="21" s="1"/>
  <c r="J59" i="23"/>
  <c r="K59" i="23" s="1"/>
  <c r="J82" i="21"/>
  <c r="K82" i="21" s="1"/>
  <c r="J63" i="33"/>
  <c r="K63" i="33" s="1"/>
  <c r="J83" i="21"/>
  <c r="K83" i="21" s="1"/>
  <c r="J160" i="25"/>
  <c r="K160" i="25" s="1"/>
  <c r="J161" i="25"/>
  <c r="K161" i="25" s="1"/>
  <c r="J162" i="25"/>
  <c r="K162" i="25" s="1"/>
  <c r="K64" i="21"/>
  <c r="K115" i="21" s="1"/>
  <c r="K73" i="18"/>
  <c r="O210" i="4"/>
  <c r="T163" i="4"/>
  <c r="K61" i="36"/>
  <c r="K64" i="36" s="1"/>
  <c r="F33" i="60" s="1"/>
  <c r="K50" i="13"/>
  <c r="K53" i="13" s="1"/>
  <c r="F11" i="60" s="1"/>
  <c r="K44" i="60"/>
  <c r="N243" i="4"/>
  <c r="T243" i="4" s="1"/>
  <c r="N210" i="4"/>
  <c r="T210" i="4" s="1"/>
  <c r="O163" i="4"/>
  <c r="K31" i="17"/>
  <c r="K54" i="17" s="1"/>
  <c r="K51" i="16"/>
  <c r="K54" i="16" s="1"/>
  <c r="F15" i="60" s="1"/>
  <c r="K78" i="28"/>
  <c r="K81" i="28" s="1"/>
  <c r="F23" i="60" s="1"/>
  <c r="K75" i="46"/>
  <c r="K78" i="46" s="1"/>
  <c r="K43" i="49"/>
  <c r="K46" i="49" s="1"/>
  <c r="K103" i="20"/>
  <c r="K106" i="20" s="1"/>
  <c r="F40" i="60" s="1"/>
  <c r="K27" i="44"/>
  <c r="K107" i="44" s="1"/>
  <c r="O189" i="4"/>
  <c r="J69" i="15"/>
  <c r="K69" i="15" s="1"/>
  <c r="J86" i="25"/>
  <c r="K86" i="25" s="1"/>
  <c r="J87" i="25"/>
  <c r="K87" i="25" s="1"/>
  <c r="J68" i="15"/>
  <c r="K68" i="15" s="1"/>
  <c r="J72" i="15"/>
  <c r="K72" i="15" s="1"/>
  <c r="J70" i="15"/>
  <c r="K70" i="15" s="1"/>
  <c r="J88" i="25"/>
  <c r="K88" i="25" s="1"/>
  <c r="J71" i="15"/>
  <c r="K71" i="15" s="1"/>
  <c r="J73" i="15"/>
  <c r="K73" i="15" s="1"/>
  <c r="K22" i="22"/>
  <c r="K39" i="22" s="1"/>
  <c r="T189" i="4"/>
  <c r="K33" i="26"/>
  <c r="K81" i="26" s="1"/>
  <c r="K43" i="50"/>
  <c r="K46" i="50" s="1"/>
  <c r="K112" i="10"/>
  <c r="K115" i="10" s="1"/>
  <c r="F29" i="60" s="1"/>
  <c r="K89" i="31"/>
  <c r="K92" i="31" s="1"/>
  <c r="F25" i="60" s="1"/>
  <c r="E32" i="60"/>
  <c r="K26" i="25"/>
  <c r="K176" i="25" s="1"/>
  <c r="K86" i="30"/>
  <c r="K89" i="30" s="1"/>
  <c r="K52" i="12"/>
  <c r="K55" i="12" s="1"/>
  <c r="F32" i="60" s="1"/>
  <c r="K79" i="26"/>
  <c r="K82" i="26" s="1"/>
  <c r="F17" i="60" s="1"/>
  <c r="K52" i="17"/>
  <c r="K55" i="17" s="1"/>
  <c r="F13" i="60" s="1"/>
  <c r="K43" i="53"/>
  <c r="K46" i="53" s="1"/>
  <c r="K53" i="19"/>
  <c r="K56" i="19" s="1"/>
  <c r="F30" i="60" s="1"/>
  <c r="K60" i="32"/>
  <c r="K63" i="32" s="1"/>
  <c r="F19" i="60" s="1"/>
  <c r="K45" i="11"/>
  <c r="K48" i="11" s="1"/>
  <c r="F20" i="60" s="1"/>
  <c r="O188" i="4"/>
  <c r="K43" i="54"/>
  <c r="K46" i="54" s="1"/>
  <c r="M166" i="4"/>
  <c r="T166" i="4" s="1"/>
  <c r="T152" i="4"/>
  <c r="N188" i="4"/>
  <c r="T188" i="4" s="1"/>
  <c r="K50" i="58"/>
  <c r="K53" i="58" s="1"/>
  <c r="K91" i="23"/>
  <c r="K94" i="23" s="1"/>
  <c r="F39" i="60" s="1"/>
  <c r="K113" i="21"/>
  <c r="K116" i="21" s="1"/>
  <c r="F41" i="60" s="1"/>
  <c r="E19" i="60"/>
  <c r="T117" i="4"/>
  <c r="K36" i="15"/>
  <c r="K164" i="15" s="1"/>
  <c r="K43" i="48"/>
  <c r="K46" i="48" s="1"/>
  <c r="K89" i="45"/>
  <c r="K92" i="45" s="1"/>
  <c r="K43" i="43"/>
  <c r="K46" i="43" s="1"/>
  <c r="K43" i="51"/>
  <c r="K46" i="51" s="1"/>
  <c r="K37" i="22"/>
  <c r="K40" i="22" s="1"/>
  <c r="F31" i="60" s="1"/>
  <c r="K44" i="34"/>
  <c r="K47" i="34" s="1"/>
  <c r="F26" i="60" s="1"/>
  <c r="K137" i="41"/>
  <c r="K140" i="41" s="1"/>
  <c r="K54" i="1"/>
  <c r="K57" i="1" s="1"/>
  <c r="F10" i="60" s="1"/>
  <c r="K47" i="28"/>
  <c r="K80" i="28" s="1"/>
  <c r="K58" i="7" l="1"/>
  <c r="E35" i="60"/>
  <c r="K35" i="60" s="1"/>
  <c r="F28" i="60"/>
  <c r="K100" i="42"/>
  <c r="F37" i="60"/>
  <c r="K37" i="60" s="1"/>
  <c r="K79" i="9"/>
  <c r="K51" i="50"/>
  <c r="F51" i="60"/>
  <c r="K51" i="60" s="1"/>
  <c r="F57" i="60"/>
  <c r="K57" i="60" s="1"/>
  <c r="K58" i="56"/>
  <c r="E22" i="60"/>
  <c r="K22" i="60" s="1"/>
  <c r="K79" i="24"/>
  <c r="K58" i="58"/>
  <c r="F59" i="60"/>
  <c r="K59" i="60" s="1"/>
  <c r="F21" i="60"/>
  <c r="K21" i="60" s="1"/>
  <c r="K94" i="30"/>
  <c r="E13" i="60"/>
  <c r="K13" i="60" s="1"/>
  <c r="K60" i="17"/>
  <c r="E26" i="60"/>
  <c r="K26" i="60" s="1"/>
  <c r="K52" i="34"/>
  <c r="K47" i="8"/>
  <c r="K85" i="33"/>
  <c r="E17" i="60"/>
  <c r="K17" i="60" s="1"/>
  <c r="K87" i="26"/>
  <c r="E23" i="60"/>
  <c r="K23" i="60" s="1"/>
  <c r="K86" i="28"/>
  <c r="F14" i="60"/>
  <c r="K14" i="60" s="1"/>
  <c r="K145" i="41"/>
  <c r="E38" i="60"/>
  <c r="K38" i="60" s="1"/>
  <c r="K182" i="25"/>
  <c r="E29" i="60"/>
  <c r="K29" i="60" s="1"/>
  <c r="K120" i="10"/>
  <c r="K24" i="60"/>
  <c r="K69" i="36"/>
  <c r="K12" i="60"/>
  <c r="E40" i="60"/>
  <c r="K40" i="60" s="1"/>
  <c r="K111" i="20"/>
  <c r="K97" i="31"/>
  <c r="K16" i="60"/>
  <c r="K60" i="12"/>
  <c r="E11" i="60"/>
  <c r="K11" i="60" s="1"/>
  <c r="K58" i="13"/>
  <c r="K25" i="60"/>
  <c r="F43" i="60"/>
  <c r="K43" i="60" s="1"/>
  <c r="K115" i="27"/>
  <c r="E18" i="60"/>
  <c r="K18" i="60" s="1"/>
  <c r="K104" i="61"/>
  <c r="F52" i="60"/>
  <c r="K52" i="60" s="1"/>
  <c r="K51" i="51"/>
  <c r="K32" i="60"/>
  <c r="K51" i="43"/>
  <c r="F45" i="60"/>
  <c r="K45" i="60" s="1"/>
  <c r="F55" i="60"/>
  <c r="K55" i="60" s="1"/>
  <c r="K51" i="54"/>
  <c r="K97" i="45"/>
  <c r="F46" i="60"/>
  <c r="K46" i="60" s="1"/>
  <c r="F49" i="60"/>
  <c r="K49" i="60" s="1"/>
  <c r="K51" i="48"/>
  <c r="E39" i="60"/>
  <c r="K39" i="60" s="1"/>
  <c r="K99" i="23"/>
  <c r="K58" i="57"/>
  <c r="F58" i="60"/>
  <c r="K58" i="60" s="1"/>
  <c r="K61" i="19"/>
  <c r="K51" i="52"/>
  <c r="F53" i="60"/>
  <c r="K53" i="60" s="1"/>
  <c r="K30" i="60"/>
  <c r="K62" i="1"/>
  <c r="K58" i="55"/>
  <c r="F56" i="60"/>
  <c r="K56" i="60" s="1"/>
  <c r="K89" i="35"/>
  <c r="K10" i="60"/>
  <c r="K68" i="32"/>
  <c r="K51" i="53"/>
  <c r="F54" i="60"/>
  <c r="K54" i="60" s="1"/>
  <c r="F50" i="60"/>
  <c r="K50" i="60" s="1"/>
  <c r="K51" i="49"/>
  <c r="F48" i="60"/>
  <c r="K48" i="60" s="1"/>
  <c r="K70" i="47"/>
  <c r="K59" i="16"/>
  <c r="K36" i="60"/>
  <c r="E27" i="60"/>
  <c r="K27" i="60" s="1"/>
  <c r="K170" i="15"/>
  <c r="E34" i="60"/>
  <c r="K34" i="60" s="1"/>
  <c r="K113" i="44"/>
  <c r="K19" i="60"/>
  <c r="E31" i="60"/>
  <c r="K31" i="60" s="1"/>
  <c r="K45" i="22"/>
  <c r="K83" i="46"/>
  <c r="F47" i="60"/>
  <c r="K47" i="60" s="1"/>
  <c r="E41" i="60"/>
  <c r="K41" i="60" s="1"/>
  <c r="K121" i="21"/>
  <c r="K58" i="59"/>
  <c r="F60" i="60"/>
  <c r="K60" i="60" s="1"/>
  <c r="K15" i="60"/>
  <c r="K28" i="60"/>
  <c r="L42" i="60" l="1"/>
</calcChain>
</file>

<file path=xl/sharedStrings.xml><?xml version="1.0" encoding="utf-8"?>
<sst xmlns="http://schemas.openxmlformats.org/spreadsheetml/2006/main" count="11110" uniqueCount="4231">
  <si>
    <t>Date:</t>
  </si>
  <si>
    <t>Field Log ID:</t>
  </si>
  <si>
    <t>Status:</t>
  </si>
  <si>
    <t>Address:</t>
  </si>
  <si>
    <t>Account #:</t>
  </si>
  <si>
    <t>Account:</t>
  </si>
  <si>
    <t>Foreman:</t>
  </si>
  <si>
    <t>Employee ID</t>
  </si>
  <si>
    <t>Labor Type</t>
  </si>
  <si>
    <t>Employee</t>
  </si>
  <si>
    <t>RT Hours</t>
  </si>
  <si>
    <t>RT Rate</t>
  </si>
  <si>
    <t>OT Hours</t>
  </si>
  <si>
    <t>OT Rate</t>
  </si>
  <si>
    <t>DT Hours</t>
  </si>
  <si>
    <t>DT Rate</t>
  </si>
  <si>
    <t>Sub.</t>
  </si>
  <si>
    <t>Total</t>
  </si>
  <si>
    <t>TOTAL LABOUR</t>
  </si>
  <si>
    <t>Equipment ID</t>
  </si>
  <si>
    <t>Equipment</t>
  </si>
  <si>
    <t>Days</t>
  </si>
  <si>
    <t>Hrs.</t>
  </si>
  <si>
    <t>Rate</t>
  </si>
  <si>
    <t>TOTAL EQUIPMENT</t>
  </si>
  <si>
    <t>Scope of Work:</t>
  </si>
  <si>
    <t>LABOUR</t>
  </si>
  <si>
    <t>EQUIPMENT</t>
  </si>
  <si>
    <t>SMALL TOOLS</t>
  </si>
  <si>
    <t>MATERIALS</t>
  </si>
  <si>
    <t>TRUCKING</t>
  </si>
  <si>
    <t>SUBCONTRACTORS</t>
  </si>
  <si>
    <t>FIELD LOG TOTAL*</t>
  </si>
  <si>
    <t xml:space="preserve">Client: </t>
  </si>
  <si>
    <t xml:space="preserve">Company Representitive: </t>
  </si>
  <si>
    <t>* Field Log Total does no include markups</t>
  </si>
  <si>
    <t>(6 X 12's)</t>
  </si>
  <si>
    <t>Prepared by: Contractor</t>
  </si>
  <si>
    <t>Days per Week</t>
  </si>
  <si>
    <t>Hours per Day</t>
  </si>
  <si>
    <t>ST</t>
  </si>
  <si>
    <t>OT1</t>
  </si>
  <si>
    <t>Quality Hours for UA</t>
  </si>
  <si>
    <t xml:space="preserve"> </t>
  </si>
  <si>
    <t>OT2</t>
  </si>
  <si>
    <t>Extra Hours Straws</t>
  </si>
  <si>
    <t xml:space="preserve">Total Hrs Worked </t>
  </si>
  <si>
    <t>WEEKLY</t>
  </si>
  <si>
    <t>COSTS - DAILY &amp; HRLY RATES</t>
  </si>
  <si>
    <t>PAID</t>
  </si>
  <si>
    <t xml:space="preserve">TOTAL </t>
  </si>
  <si>
    <t>QI/EXTRA</t>
  </si>
  <si>
    <t>EARNINGS</t>
  </si>
  <si>
    <t>EMPLOYER BURDENS</t>
  </si>
  <si>
    <t>COST</t>
  </si>
  <si>
    <t>ST RATE</t>
  </si>
  <si>
    <t>OT (1.5)</t>
  </si>
  <si>
    <t>OT (2.0)</t>
  </si>
  <si>
    <t xml:space="preserve">                         SUBS</t>
  </si>
  <si>
    <t>SCALE</t>
  </si>
  <si>
    <t>RATE</t>
  </si>
  <si>
    <t>HOURS</t>
  </si>
  <si>
    <t>GROSS</t>
  </si>
  <si>
    <t>VAC</t>
  </si>
  <si>
    <t>QI &amp; EXTRA HOURS PLUS VAC.</t>
  </si>
  <si>
    <t>UIC</t>
  </si>
  <si>
    <t>CPP</t>
  </si>
  <si>
    <t>WCB</t>
  </si>
  <si>
    <t>BURDENS ON QI/EX. HRS</t>
  </si>
  <si>
    <t>MISC.</t>
  </si>
  <si>
    <t>UNION</t>
  </si>
  <si>
    <t>HR</t>
  </si>
  <si>
    <t>Per Calendar Day</t>
  </si>
  <si>
    <t>Per Calendar Week</t>
  </si>
  <si>
    <t>Per Day</t>
  </si>
  <si>
    <t>Oper.</t>
  </si>
  <si>
    <t>Regular</t>
  </si>
  <si>
    <t>(Coveralls)</t>
  </si>
  <si>
    <t>Lab.</t>
  </si>
  <si>
    <t>Supervision 1</t>
  </si>
  <si>
    <t>UA</t>
  </si>
  <si>
    <t>Supervision 2</t>
  </si>
  <si>
    <t xml:space="preserve">Total UIC/CPP/WCB = </t>
  </si>
  <si>
    <t>Team.</t>
  </si>
  <si>
    <t>Constr. Manager</t>
  </si>
  <si>
    <t>Check</t>
  </si>
  <si>
    <t>Without Subs</t>
  </si>
  <si>
    <t>With Subs</t>
  </si>
  <si>
    <t>SALARIED &amp; NON-REPRESENTED PERSONNEL</t>
  </si>
  <si>
    <t>CONSTRUCTION MANAGER</t>
  </si>
  <si>
    <t>Min</t>
  </si>
  <si>
    <t>A</t>
  </si>
  <si>
    <t>N/A</t>
  </si>
  <si>
    <t>Max</t>
  </si>
  <si>
    <t>SUPERINTENDENT</t>
  </si>
  <si>
    <t>ASSISTANT SUPERINTENDENT</t>
  </si>
  <si>
    <t>ENGINEERING MANAGER</t>
  </si>
  <si>
    <t>PROJECT ENGINEER</t>
  </si>
  <si>
    <t>ASSISTANT PROJECT ENGINEER</t>
  </si>
  <si>
    <t>PROJECT PLANNER</t>
  </si>
  <si>
    <t>FIELD ENGINEER</t>
  </si>
  <si>
    <t>ENVIRONMENTAL COORDINATOR</t>
  </si>
  <si>
    <t>LANDMAN</t>
  </si>
  <si>
    <t>ABORIGINAL COORDINATOR</t>
  </si>
  <si>
    <t>MASTER MECHANIC</t>
  </si>
  <si>
    <t>PURCHASING AGENT</t>
  </si>
  <si>
    <t>TRANSPORTATION COORDINATOR</t>
  </si>
  <si>
    <t>GENERAL FOREMAN</t>
  </si>
  <si>
    <t>SUB FOREMAN</t>
  </si>
  <si>
    <t>UTILITY FOREMAN</t>
  </si>
  <si>
    <t>BENDING ENGINEER (FOREMAN)</t>
  </si>
  <si>
    <t>ELECTRICAL FOREMAN</t>
  </si>
  <si>
    <t>UA PIPE FOREMAN</t>
  </si>
  <si>
    <t>UA WELDER FOREMAN</t>
  </si>
  <si>
    <t>WELDING TECHNICIAN FOREMAN</t>
  </si>
  <si>
    <t>UA LOWER-IN FOREMAN</t>
  </si>
  <si>
    <t>UA TIE-IN FOREMAN</t>
  </si>
  <si>
    <t>UA BORE/HDD SUPPORT FOREMAN</t>
  </si>
  <si>
    <t>UA TEST FOREMAN</t>
  </si>
  <si>
    <t>OFFICE MANAGER</t>
  </si>
  <si>
    <t>CAMP MANAGER</t>
  </si>
  <si>
    <t>CONTRACT ADMINISTRATOR</t>
  </si>
  <si>
    <t>COST PLANNER/SCHEDULER</t>
  </si>
  <si>
    <t>SENIOR SAFETY COORDINATOR</t>
  </si>
  <si>
    <t>SAFETY COORDINATOR</t>
  </si>
  <si>
    <t>QUALITY CONTROL SUPERVISOR</t>
  </si>
  <si>
    <t>QUALITY CONTROL TECHNICIAN</t>
  </si>
  <si>
    <t>GROUND DISTURBANCE SUPERVISOR</t>
  </si>
  <si>
    <t>PAYMASTER</t>
  </si>
  <si>
    <t>TIME KEEPER</t>
  </si>
  <si>
    <t>PROJECT ACCOUNTANT</t>
  </si>
  <si>
    <t>PARAMEDIC</t>
  </si>
  <si>
    <t>D</t>
  </si>
  <si>
    <t>EMT</t>
  </si>
  <si>
    <t>OFFICE CLERK</t>
  </si>
  <si>
    <t>OFFICE CLERK (LOCAL HIRE)</t>
  </si>
  <si>
    <t>B</t>
  </si>
  <si>
    <t>NIGHT WATCHMAN/ SECURITY</t>
  </si>
  <si>
    <t>STRAW - OPERATOR</t>
  </si>
  <si>
    <t>Varies</t>
  </si>
  <si>
    <t>Regular Rate for Classification Plus A Minimium of 2 Hours Additional to Actual Hours Worked - See Below</t>
  </si>
  <si>
    <t>OPERATOR JOB STEWARD</t>
  </si>
  <si>
    <t>PRINCIPAL OPER 1</t>
  </si>
  <si>
    <t>PRINC. OPER 1 (NIGHT SHIFT)</t>
  </si>
  <si>
    <t>PRINCIPAL OPER 2</t>
  </si>
  <si>
    <t>PRINC. OPER 2 (NIGHT SHIFT)</t>
  </si>
  <si>
    <t>INTERMEDIATE OPER</t>
  </si>
  <si>
    <r>
      <t xml:space="preserve">INTERM. OPER 2 </t>
    </r>
    <r>
      <rPr>
        <sz val="10"/>
        <rFont val="Arial"/>
        <family val="2"/>
      </rPr>
      <t>(NIGHT SHIFT)</t>
    </r>
  </si>
  <si>
    <t>APPRENTICE OPER/OILER</t>
  </si>
  <si>
    <r>
      <t xml:space="preserve">APPREN./OILER </t>
    </r>
    <r>
      <rPr>
        <sz val="10"/>
        <rFont val="Arial"/>
        <family val="2"/>
      </rPr>
      <t>(NIGHT SHIFT)</t>
    </r>
  </si>
  <si>
    <t>SPECIALTY PRINC. OPER</t>
  </si>
  <si>
    <t>SPECIALTY PRINC. OPER. (NIGHT SHIFT)</t>
  </si>
  <si>
    <t>MECHANIC/SERVICEMAN/LUBEMAN (NIGHT SHIFT)</t>
  </si>
  <si>
    <t>UTILITY WELDER</t>
  </si>
  <si>
    <r>
      <t xml:space="preserve">UTILITY WELDER </t>
    </r>
    <r>
      <rPr>
        <sz val="10"/>
        <rFont val="Arial"/>
        <family val="2"/>
      </rPr>
      <t>(NIGHT SHIFT)</t>
    </r>
  </si>
  <si>
    <t>MECH./SERVICE/ UTILITY WELD HELPER</t>
  </si>
  <si>
    <r>
      <t xml:space="preserve">MECH/SERV/WELD HELP </t>
    </r>
    <r>
      <rPr>
        <sz val="10"/>
        <rFont val="Arial"/>
        <family val="2"/>
      </rPr>
      <t>(NIGHT SHIFT)</t>
    </r>
  </si>
  <si>
    <t>STRINGING TRACTOR DRIVERS</t>
  </si>
  <si>
    <t>BENDING MACHINE OPERATORS</t>
  </si>
  <si>
    <t>SET-IN/SET UP DRIVERS (BEND &amp; WELD)</t>
  </si>
  <si>
    <t>BOOM OPERATOR - SHACK, PREP/TRANS. MACHINE</t>
  </si>
  <si>
    <t>MEASUREMAN</t>
  </si>
  <si>
    <t>STRAW - LABOURER</t>
  </si>
  <si>
    <t>LABOURER JOB STEWARD</t>
  </si>
  <si>
    <t>GENERAL LABOURER</t>
  </si>
  <si>
    <t>SWAMPER/DRILL HELPER</t>
  </si>
  <si>
    <t>POWERSAW OPERATOR</t>
  </si>
  <si>
    <t>PNEUMATIC TOOLS/NOZZLEMAN</t>
  </si>
  <si>
    <t>DRILLER/ CONC. SAW/ POWDERMAN</t>
  </si>
  <si>
    <t>SPEC LABOUR (CARPENTER, ETC.)</t>
  </si>
  <si>
    <r>
      <t xml:space="preserve">STRAW  - FITTER ON </t>
    </r>
    <r>
      <rPr>
        <u/>
        <sz val="10"/>
        <rFont val="Arial"/>
        <family val="2"/>
      </rPr>
      <t>STICK WELD</t>
    </r>
    <r>
      <rPr>
        <sz val="10"/>
        <rFont val="Arial"/>
        <family val="2"/>
      </rPr>
      <t xml:space="preserve"> SPREAD (QI APPLIES)</t>
    </r>
  </si>
  <si>
    <r>
      <t xml:space="preserve">STRAW  - FITTER ON </t>
    </r>
    <r>
      <rPr>
        <u/>
        <sz val="10"/>
        <rFont val="Arial"/>
        <family val="2"/>
      </rPr>
      <t>AUTO WELD</t>
    </r>
    <r>
      <rPr>
        <sz val="10"/>
        <rFont val="Arial"/>
        <family val="2"/>
      </rPr>
      <t xml:space="preserve"> SPREAD (QI APPLIES)</t>
    </r>
  </si>
  <si>
    <t xml:space="preserve">Plus Minimum 2 Hrs @ Applicable Rate Additional to Actual Hours Worked &amp; QI - See Below </t>
  </si>
  <si>
    <t xml:space="preserve">STRAW - GRADED HELPER </t>
  </si>
  <si>
    <t xml:space="preserve">Plus Minimum 2 Hrs @ Applicable Rate Additional to Actual Hours Worked - See Below </t>
  </si>
  <si>
    <r>
      <t xml:space="preserve">FRONT-END/TIE-IN WELDER  ON </t>
    </r>
    <r>
      <rPr>
        <u/>
        <sz val="10"/>
        <rFont val="Arial"/>
        <family val="2"/>
      </rPr>
      <t>STICK WELD</t>
    </r>
    <r>
      <rPr>
        <sz val="10"/>
        <rFont val="Arial"/>
        <family val="2"/>
      </rPr>
      <t xml:space="preserve"> SPREAD (QI APPLIES)</t>
    </r>
  </si>
  <si>
    <r>
      <t xml:space="preserve">FRONT-END/TIE-IN WELDER  ON </t>
    </r>
    <r>
      <rPr>
        <u/>
        <sz val="10"/>
        <rFont val="Arial"/>
        <family val="2"/>
      </rPr>
      <t>AUTO WELD</t>
    </r>
    <r>
      <rPr>
        <sz val="10"/>
        <rFont val="Arial"/>
        <family val="2"/>
      </rPr>
      <t xml:space="preserve"> SPREAD (QI APPLIES)</t>
    </r>
  </si>
  <si>
    <r>
      <t xml:space="preserve">NON-WELDER JOURNEYMAN/ FITTER ON </t>
    </r>
    <r>
      <rPr>
        <u/>
        <sz val="10"/>
        <rFont val="Arial"/>
        <family val="2"/>
      </rPr>
      <t>STICK WELD</t>
    </r>
    <r>
      <rPr>
        <sz val="10"/>
        <rFont val="Arial"/>
        <family val="2"/>
      </rPr>
      <t xml:space="preserve"> SPREAD (QI APPLIES)</t>
    </r>
  </si>
  <si>
    <r>
      <t xml:space="preserve">NON-WELDER JOURNEYMAN/ FITTER ON </t>
    </r>
    <r>
      <rPr>
        <u/>
        <sz val="10"/>
        <rFont val="Arial"/>
        <family val="2"/>
      </rPr>
      <t>AUTO WELD</t>
    </r>
    <r>
      <rPr>
        <sz val="10"/>
        <rFont val="Arial"/>
        <family val="2"/>
      </rPr>
      <t xml:space="preserve"> SPREAD (QI APPLIES)</t>
    </r>
  </si>
  <si>
    <t>GRADED HELPER</t>
  </si>
  <si>
    <t>GRADED TECH. HELPER</t>
  </si>
  <si>
    <t>BUFFER/ GRINDER HELPER</t>
  </si>
  <si>
    <t>PREHEATER HELPER</t>
  </si>
  <si>
    <t>WELDER HELPER</t>
  </si>
  <si>
    <t>STRAW  - TEAMSTER</t>
  </si>
  <si>
    <t>TEAMSTER - STEWARD</t>
  </si>
  <si>
    <t>LOWBED/MULTIPURPOSE DRIVER</t>
  </si>
  <si>
    <t>PICKER TRUCK DRIVER &gt; 12 TON</t>
  </si>
  <si>
    <r>
      <t>PICKER TRUCK DRIVER &lt; 12 TON (</t>
    </r>
    <r>
      <rPr>
        <u/>
        <sz val="10"/>
        <rFont val="Arial"/>
        <family val="2"/>
      </rPr>
      <t>May Also Fall Under Operator Rate</t>
    </r>
    <r>
      <rPr>
        <sz val="10"/>
        <rFont val="Arial"/>
        <family val="2"/>
      </rPr>
      <t>)</t>
    </r>
  </si>
  <si>
    <t>ARTICULATED DUMP DRIVER</t>
  </si>
  <si>
    <t>WAREHOUSEMAN 1</t>
  </si>
  <si>
    <t>WAREHOUSEMAN 2</t>
  </si>
  <si>
    <r>
      <t xml:space="preserve">SKID/ BED TRUCK DRIVER </t>
    </r>
    <r>
      <rPr>
        <u/>
        <sz val="10"/>
        <rFont val="Arial"/>
        <family val="2"/>
      </rPr>
      <t>(May Also Be Paid @ Lowbed Rate)</t>
    </r>
  </si>
  <si>
    <t>STRINGING TRUCK DRIVER</t>
  </si>
  <si>
    <t>HIGHBOY DRIVER</t>
  </si>
  <si>
    <t>SEMI-TRAILER (FUEL/WATER) DRIVER</t>
  </si>
  <si>
    <t>BOMBARDIER/ NODWELL DRIVER</t>
  </si>
  <si>
    <t>DUMP TRUCK DRIVER 12-23 Yds</t>
  </si>
  <si>
    <t>DUMP TRUCK DRIVER 8-11 Yds</t>
  </si>
  <si>
    <t>DUMP TRUCK DRIVER &lt; 8 YDS</t>
  </si>
  <si>
    <t>FUEL/ WATER TRUCK DRIVER</t>
  </si>
  <si>
    <t>FLAT DECK WINCH &gt; 5 TON</t>
  </si>
  <si>
    <t>FLAT DECK WINCH &lt; 5 TON</t>
  </si>
  <si>
    <t>FLAT DECK &gt; 5 TON</t>
  </si>
  <si>
    <t>FLAT DECK &lt; 5 TON</t>
  </si>
  <si>
    <t>BUS/ CREWCAB DRIVER</t>
  </si>
  <si>
    <t>PICKUP/ PILOT CAR DRIVER</t>
  </si>
  <si>
    <t>FORKLIFT DRIVER (WAREHOUSE)</t>
  </si>
  <si>
    <t>FARM TRACTOR DRIVER (FOR TRANSPORT)</t>
  </si>
  <si>
    <t>FUEL TRUCK DRIVER'S HELPER</t>
  </si>
  <si>
    <t>NOTES APPLICABLE TO THE ABOVE RATES</t>
  </si>
  <si>
    <t xml:space="preserve">- Due to all the conditions and requirements of the various union agreements and industry practice, it is not possible to provide "All Inclusive Rates" that would not include markup under some circumstances. </t>
  </si>
  <si>
    <t xml:space="preserve"> Therefore the following items are not included in and are additional to the above rates. </t>
  </si>
  <si>
    <t>1)</t>
  </si>
  <si>
    <t>Strawbosses are paid the above rates under the classification they were hired plus a minimum of two (2) extra hours per day at the applicable rate, in addition to actual hours worked. These hours are</t>
  </si>
  <si>
    <t xml:space="preserve"> shown on the timesheets.</t>
  </si>
  <si>
    <t>2)</t>
  </si>
  <si>
    <t xml:space="preserve">As per Article 2.5, paragraph 4 of the Operating Engineers Mainline Pipeline Agreement for Canada certain Principal Operators are paid compensation based on industry conditions and/or production. </t>
  </si>
  <si>
    <t>In particular these operators are stringing tractor drivers, set-in and set-up boom operators on bending and welding, bending machine operators and end prep boom operators. They are paid up to</t>
  </si>
  <si>
    <t>four (4) extra hours per day (based on there ability) at the applicable rate, in addition to actual hours worked. These hours are not shown on timesheets and are accured to the end of the work.</t>
  </si>
  <si>
    <t>3)</t>
  </si>
  <si>
    <t xml:space="preserve">As per Article 11.4, of the United Association Mainline Pipeline Agreement, Journeymen shall be paid five (5) hours at the applicable rate, for each day that quality workmanship is performed. </t>
  </si>
  <si>
    <t>These (quality incentive - QI) hours are not shown on the timesheets. They are paid 50% weekly and 50% is accrued to the end of the work.</t>
  </si>
  <si>
    <t>4)</t>
  </si>
  <si>
    <t xml:space="preserve">As per Article 2.10, of the United Association Mainline Pipeline Agreement for Canada certain Journeymen are paid additional compensation based on industry conditions that includes the traditional </t>
  </si>
  <si>
    <t>Welder Bonus but also includes extra hours paid to journeymen that are not part of the Welder Bonus. In particular the journeymen fitters doing end prep are paid up to four (4) extra hours per day</t>
  </si>
  <si>
    <t>(based on there ability) at the applicable rate, in addition to actual hours worked and QI hours. These hours are not shown on the timesheets and are accrued to the end of the work.</t>
  </si>
  <si>
    <t>5)</t>
  </si>
  <si>
    <t>Bus drivers are paid one (1) extra hour per day over the hours worked by the crew as compensation for actual time worked to fuel and prepare their bus for work each morning before starting time,</t>
  </si>
  <si>
    <t xml:space="preserve"> plus to park and secure the unit at night. These hours are shown on the timesheets.</t>
  </si>
  <si>
    <t>6)</t>
  </si>
  <si>
    <t>Welder helpers employed on welding rigs are paid one half (1/2) hour [one (1) hour every second day] for daily fuelling and servicing of the rig. These hours are shown on the  timesheets.</t>
  </si>
  <si>
    <t>7)</t>
  </si>
  <si>
    <t>On a weekly basis Job Stewards shall be paid such additional hours as nessesary to make their hours of work equivalent to any of their trade members with more hours.</t>
  </si>
  <si>
    <t>8)</t>
  </si>
  <si>
    <t>Overtime, holiday pay, travel time, testing time, waiting time, reporting time, call back time, etc. and all other conditions shall apply as per applicable trade union agreements.</t>
  </si>
  <si>
    <t>9)</t>
  </si>
  <si>
    <t>Employees holding a valid first aid ticket that is working on the crews and who are part of the total number of first aid personnel required by OH&amp;S Regulations on the project site, are paid an</t>
  </si>
  <si>
    <t>additional $0.25/hr over their applicable regular rate of pay.</t>
  </si>
  <si>
    <t>11)</t>
  </si>
  <si>
    <t>Employees working around hot lines, on hot tie-ins/hot work are paid an additional $1.00/hr over their applicable regular rate of pay.</t>
  </si>
  <si>
    <t>10)</t>
  </si>
  <si>
    <t xml:space="preserve">All hours of work paid are whole hours. There are no half (1/2) or quarter (1/4 - 3/4) hours paid. </t>
  </si>
  <si>
    <t>12)</t>
  </si>
  <si>
    <t>Note that picker truck drivers may fall under either the Teamster's Union jurisdiction or the Operator's Union jurisdiction.</t>
  </si>
  <si>
    <t>13)</t>
  </si>
  <si>
    <t xml:space="preserve">Mechanics and utility welders are compensated extra for their rigs at three (3) to five (5) hours per day over the hours they actually work. </t>
  </si>
  <si>
    <t>Year</t>
  </si>
  <si>
    <t>Season</t>
  </si>
  <si>
    <t>Winter &amp; Summer</t>
  </si>
  <si>
    <t>Equipment Description</t>
  </si>
  <si>
    <t>Monthly Rate</t>
  </si>
  <si>
    <r>
      <t xml:space="preserve">Shift Rate is based on Hours or Days </t>
    </r>
    <r>
      <rPr>
        <sz val="11"/>
        <color theme="1"/>
        <rFont val="Calibri"/>
        <family val="2"/>
        <scheme val="minor"/>
      </rPr>
      <t>Above</t>
    </r>
  </si>
  <si>
    <t>Base  Rate</t>
  </si>
  <si>
    <t>Allowance for Parts &amp; Repairs</t>
  </si>
  <si>
    <t>Provincial Sales Tax on Equipment  @ Above Rate</t>
  </si>
  <si>
    <t>Hourly / Daily Rate @ Cost</t>
  </si>
  <si>
    <t>ATV/Gator</t>
  </si>
  <si>
    <t xml:space="preserve">Screw Anchor Attachment (Single) to Hoe </t>
  </si>
  <si>
    <t>Athey Wagon</t>
  </si>
  <si>
    <t>Backhoe - Cat 315 (or equivalent)</t>
  </si>
  <si>
    <t>Backhoe - Cat 320 (or equivalent)</t>
  </si>
  <si>
    <t>Backhoe - Cat 322 (or equivalent)</t>
  </si>
  <si>
    <t>Backhoe - Cat 324 (or equivalent)</t>
  </si>
  <si>
    <t>Backhoe - Cat 325 (or equivalent)</t>
  </si>
  <si>
    <t>Backhoe - Cat 329 (or equivalent)</t>
  </si>
  <si>
    <t>Backhoe - Cat 330 (or equivalent)</t>
  </si>
  <si>
    <t xml:space="preserve">Backhoe - Cat 330 (or equivalent) c/w Thumb </t>
  </si>
  <si>
    <t>Backhoe - Cat 330 Longstick</t>
  </si>
  <si>
    <t>Backhoe - Cat 336 (or equivalent)</t>
  </si>
  <si>
    <t>Backhoe - Cat 345 (or Equivalent)</t>
  </si>
  <si>
    <t xml:space="preserve">Backhoe - Cat 345 (or equivalent) c/w Thumb </t>
  </si>
  <si>
    <t>Backhoe - Cat 345 Longstick</t>
  </si>
  <si>
    <t xml:space="preserve">Backhoe - Cat 365 </t>
  </si>
  <si>
    <t>Backhoe - Cat 374</t>
  </si>
  <si>
    <t>Rubber Tired Hoe - Cat 420/430 (or equivalent)</t>
  </si>
  <si>
    <t>Hydraulic Clam - Cat 330 Longstick</t>
  </si>
  <si>
    <t>Cable Clam/Board - LS 98 Linkbelt</t>
  </si>
  <si>
    <t>Hoe Ram Attachment for Cat 330 or Cat 345 Backhoe</t>
  </si>
  <si>
    <t>Hoe Pac Attachment for Cat 324 - Cat 336 Size Hoes</t>
  </si>
  <si>
    <t>Backfill Blade Attach. for Cat 330 - Cat 345 Size Hoes</t>
  </si>
  <si>
    <t>Ripper Shank for Cat 345 Backhoe</t>
  </si>
  <si>
    <t>Track Bore Machine &amp; Auger</t>
  </si>
  <si>
    <t>Cradle Bore Machine &amp; Auger</t>
  </si>
  <si>
    <t>Sno Cat - Piston Bully PF 300</t>
  </si>
  <si>
    <t>Nodwell - 6 Man &amp; Mat. Size</t>
  </si>
  <si>
    <t>Dozer - D4 (or equivalent)</t>
  </si>
  <si>
    <t>Dozer - D4LGP (or equivalent)</t>
  </si>
  <si>
    <t>Dozer - D5 (or equivalent)</t>
  </si>
  <si>
    <t>Dozer - D5 LGP (or equivalent)</t>
  </si>
  <si>
    <t>Dozer - D6H (or equivalent)</t>
  </si>
  <si>
    <t>Dozer - D6N (or equivalent)</t>
  </si>
  <si>
    <t>Dozer - D6N LGP (or equivalent)</t>
  </si>
  <si>
    <t>Dozer - D6R (or equivalent)</t>
  </si>
  <si>
    <t>Dozer - D6R LGP (or equivalent)</t>
  </si>
  <si>
    <t>Dozer - D6T (or equivalent)</t>
  </si>
  <si>
    <t>Dozer - D6T LGP (or equivalent)</t>
  </si>
  <si>
    <t>Dozer - D7E (or equivalent)</t>
  </si>
  <si>
    <t>Dozer - D7R (or equivalent)</t>
  </si>
  <si>
    <t>Dozer - D7R LGP (or equivalent)</t>
  </si>
  <si>
    <t>Dozer - D8T (or equivalent)</t>
  </si>
  <si>
    <t>Dozer - D9T (or equivalent)</t>
  </si>
  <si>
    <t>Dozer - D10 (or equivalent)</t>
  </si>
  <si>
    <t>Frozen Topsoil Cutter (Attachment)</t>
  </si>
  <si>
    <t>Grader - Cat G140</t>
  </si>
  <si>
    <t>Grader - Cat G160</t>
  </si>
  <si>
    <t>Grader - Cat G12</t>
  </si>
  <si>
    <t>Grader - Cat G14</t>
  </si>
  <si>
    <t>Grader - Cat G16</t>
  </si>
  <si>
    <t>Loader - Cat 930</t>
  </si>
  <si>
    <t>Loader - Cat 950</t>
  </si>
  <si>
    <t>Loader - Cat 966</t>
  </si>
  <si>
    <t>Loader - Cat 980</t>
  </si>
  <si>
    <t>Loader - Cat 988</t>
  </si>
  <si>
    <t>Loader - Cat IT 28</t>
  </si>
  <si>
    <t>Loader - Cat IT 38</t>
  </si>
  <si>
    <t>Loader - Cat IT 62</t>
  </si>
  <si>
    <t>Ditching Wheel -Trenco 1360</t>
  </si>
  <si>
    <t>Ditching Wheel - McKenzie 710</t>
  </si>
  <si>
    <t>Ditching Wheel - BG 930</t>
  </si>
  <si>
    <t>Ditching Wheel -Jetco 7254</t>
  </si>
  <si>
    <t>Ditching Wheel - TA 77</t>
  </si>
  <si>
    <t>Forklift - Zoom Boom</t>
  </si>
  <si>
    <t>Farm Tractor - Challenger 75</t>
  </si>
  <si>
    <t>Farm Tractor - Challenger MT845</t>
  </si>
  <si>
    <t>Farm Tractor - Wheel &gt; 100 HP</t>
  </si>
  <si>
    <t>Farm Implement - Disc</t>
  </si>
  <si>
    <t>Farm Implement - Chisel Plow</t>
  </si>
  <si>
    <t>Farm Implement - Cultivator</t>
  </si>
  <si>
    <t>Farm Implement - Subsoiler</t>
  </si>
  <si>
    <t>Farm Implement - Brush Hog</t>
  </si>
  <si>
    <t>Farm Implement - Mower</t>
  </si>
  <si>
    <t>Farm Implement - Rock Rake</t>
  </si>
  <si>
    <t>Farm Implement - Rock Picker</t>
  </si>
  <si>
    <t>Farm Implement - Post Pounder</t>
  </si>
  <si>
    <t>Light Tower  - 6 kW</t>
  </si>
  <si>
    <t>Light Tower - 20 kW</t>
  </si>
  <si>
    <t>Generator - 2500 Watt</t>
  </si>
  <si>
    <t>Generator - 3000 Watt</t>
  </si>
  <si>
    <t>Generator - 3500 Watt</t>
  </si>
  <si>
    <t>Generator - 5000 Watt</t>
  </si>
  <si>
    <t>Generator - 6500 Watt</t>
  </si>
  <si>
    <t>Generator - 10 kW</t>
  </si>
  <si>
    <t>Generator - 20 kW</t>
  </si>
  <si>
    <t xml:space="preserve">Generator - 30 kW </t>
  </si>
  <si>
    <t xml:space="preserve">Generator - 60 kW </t>
  </si>
  <si>
    <t xml:space="preserve">Generator - 100 kW </t>
  </si>
  <si>
    <t>Powersaw</t>
  </si>
  <si>
    <t>Gas Powered Auger</t>
  </si>
  <si>
    <t>Pressure Washer - Landa MCV4</t>
  </si>
  <si>
    <t>Sideboom - Cat PL61 / 561</t>
  </si>
  <si>
    <t>Sideboom - Cat 571</t>
  </si>
  <si>
    <t>Sideboom - Cat 572</t>
  </si>
  <si>
    <t>Sideboom - Cat 572R</t>
  </si>
  <si>
    <t>Sideboom - Cat 583</t>
  </si>
  <si>
    <t>Sideboom - Cat 583T</t>
  </si>
  <si>
    <t>Sideboom - Cat 594</t>
  </si>
  <si>
    <t>Sideboom - Cat 587T</t>
  </si>
  <si>
    <t>Test - Fill Pump 10 x 8</t>
  </si>
  <si>
    <t>Test - Fill Pump 8 x 6</t>
  </si>
  <si>
    <t>Test - Fill Pump 6 x 6</t>
  </si>
  <si>
    <t>Test - Honda Squeeze Pump</t>
  </si>
  <si>
    <t>Test - 1 " Squeeze Pump</t>
  </si>
  <si>
    <t>Test - 3" Squeeze Pump</t>
  </si>
  <si>
    <t>Test - Boiler</t>
  </si>
  <si>
    <t>Test Trailer &amp; Instrumentation</t>
  </si>
  <si>
    <t>Articulated Dump Truck - Cat/Volvo 30 Ton</t>
  </si>
  <si>
    <t>Articulated Dump Truck - Cat/Volvo 35 Ton</t>
  </si>
  <si>
    <t>Articulated Dump Truck - Cat/Volvo 40 Ton</t>
  </si>
  <si>
    <t>Lowboy/Highboy Truck Tractor</t>
  </si>
  <si>
    <t>Skid Truck Tractor</t>
  </si>
  <si>
    <t>Stringing Truck Tractor</t>
  </si>
  <si>
    <t>Booster for Lowboy</t>
  </si>
  <si>
    <t>Jeep for Lowboy</t>
  </si>
  <si>
    <t>Picker/Hiab Truck - 1 Ton</t>
  </si>
  <si>
    <t>Picker/Hiab Truck - 3 Ton</t>
  </si>
  <si>
    <t>Picker Truck - 8 Ton</t>
  </si>
  <si>
    <t>Picker Truck - 10 Ton</t>
  </si>
  <si>
    <t>Picker Truck - 12 Ton</t>
  </si>
  <si>
    <t>Picker Truck - 15 Ton</t>
  </si>
  <si>
    <t>Picker Truck - 17 Ton</t>
  </si>
  <si>
    <t>Picker Truck - 25 Ton</t>
  </si>
  <si>
    <t>Picker Truck - 30 Ton</t>
  </si>
  <si>
    <t>Lowboy Trailer</t>
  </si>
  <si>
    <t>Scissor Neck Trailer</t>
  </si>
  <si>
    <t>Highboy Trailer</t>
  </si>
  <si>
    <t>Stepdeck Trailer</t>
  </si>
  <si>
    <t>Trombone Trailer</t>
  </si>
  <si>
    <t>Pole Trailer</t>
  </si>
  <si>
    <t>Ditching Wheel Trailer Trailer</t>
  </si>
  <si>
    <t>Tag-A-Long Trailer (20 Ton)</t>
  </si>
  <si>
    <t>Tag-A-Long Trailer (6 Ton)</t>
  </si>
  <si>
    <t>Tag-A-Long Trailer (Utility)</t>
  </si>
  <si>
    <t xml:space="preserve">Water Tank Trailer </t>
  </si>
  <si>
    <t>Water Truck</t>
  </si>
  <si>
    <t>Service Truck</t>
  </si>
  <si>
    <t>Fuel Truck - Single Axle</t>
  </si>
  <si>
    <t>Fuel Truck - Tandem</t>
  </si>
  <si>
    <t>Fuel Tank - 2500 Litre Skid</t>
  </si>
  <si>
    <t>Snowplow/Sander Truck</t>
  </si>
  <si>
    <t>Flatdeck - 1 Ton</t>
  </si>
  <si>
    <t>Flatdeck - 2 Ton</t>
  </si>
  <si>
    <t>Flatdeck - 3 Ton</t>
  </si>
  <si>
    <t>Flatdeck - 5 Ton</t>
  </si>
  <si>
    <t>Flatdeck - 8 Ton</t>
  </si>
  <si>
    <t>Fence Truck - 1 Ton</t>
  </si>
  <si>
    <t>Propane/Preheat Truck</t>
  </si>
  <si>
    <t>1 Ton Sandblast Unit - Truck, Compressor, Pot</t>
  </si>
  <si>
    <t>2 Ton Sandblast Unit - Truck, Compressor, Pot</t>
  </si>
  <si>
    <t>5 Ton Sandblast Unit - Truck, Compressor, Pot</t>
  </si>
  <si>
    <t>Mainline Sandblast Unit - Dual Sandblast Units c/w Compressor, Pots</t>
  </si>
  <si>
    <t>Spray Coating Truck</t>
  </si>
  <si>
    <t>Coating Tuck - 5 Ton</t>
  </si>
  <si>
    <t xml:space="preserve">5 Ton Stake Truck </t>
  </si>
  <si>
    <t>Power Unit for Induction Coil</t>
  </si>
  <si>
    <t>Induction Coil</t>
  </si>
  <si>
    <t>Bus</t>
  </si>
  <si>
    <t>Crewcab - 3/4 Ton</t>
  </si>
  <si>
    <t>Crewcab - 1 Ton</t>
  </si>
  <si>
    <t>Pickup - 1/2 Ton</t>
  </si>
  <si>
    <t>Pickup - 3/4 Ton</t>
  </si>
  <si>
    <t>Suburban</t>
  </si>
  <si>
    <t>SUV  - Expedition/ Lexus/ Denali/ Yukon/ Navigator</t>
  </si>
  <si>
    <t>Automobile</t>
  </si>
  <si>
    <t>Mechanic's Rig</t>
  </si>
  <si>
    <t>Hourly</t>
  </si>
  <si>
    <t>Utility Welder Rig</t>
  </si>
  <si>
    <t>Welding Rig</t>
  </si>
  <si>
    <t>Houly</t>
  </si>
  <si>
    <t>Transition Machine( Includes Power Unit)</t>
  </si>
  <si>
    <t>Weld - Buffing Tractor (ATV Style)</t>
  </si>
  <si>
    <t xml:space="preserve">Weld - Quad Welder/Tack Rig </t>
  </si>
  <si>
    <t>Weld - Sleigh</t>
  </si>
  <si>
    <t>Weld - Welding Shack</t>
  </si>
  <si>
    <t>Weld - Weld Platform (Attachment to Welding Tractors/Booms)</t>
  </si>
  <si>
    <t>Weld - Internal Repair Unit</t>
  </si>
  <si>
    <t>Weld - Auto Repair Shack</t>
  </si>
  <si>
    <t>Bending Machine 36 - 48" (Does not include bending set/shoes &amp; mandrel that are rented from a 3rd Party)</t>
  </si>
  <si>
    <t>Bending Machine 32 - 42" (Does not include bending set/shoes &amp; mandrel that are rented from a 3rd Party)</t>
  </si>
  <si>
    <t>Bending Machine 20 - 36" (Does not include bending set/shoes &amp; mandrel that are rented from a 3rd Party)</t>
  </si>
  <si>
    <t>Bending Machine 16 - 30" (Does not include bending set/shoes &amp; mandrel that are rented from a 3rd Party)</t>
  </si>
  <si>
    <t>Air Compressor - 150 to 185 CFM</t>
  </si>
  <si>
    <t>Air Compressor - 200 to 250 CFM</t>
  </si>
  <si>
    <t>Air Compressor - 300 to 400 CFM</t>
  </si>
  <si>
    <t>Air Compressor - 780 to 850 CFM</t>
  </si>
  <si>
    <t>Air Compressor - 900 CFM</t>
  </si>
  <si>
    <t>Air Compressor - 900 CFM x 350 PSI</t>
  </si>
  <si>
    <t>Air Compressor - 1000 CFM</t>
  </si>
  <si>
    <t>Air Compressor - 1000 CFM x 350 PSI</t>
  </si>
  <si>
    <t>Air Compressor - 1200 CFM</t>
  </si>
  <si>
    <t>Air Compressor - 1250 CFM x 350 PSI (Oil Free)</t>
  </si>
  <si>
    <t>Air Compressor - 1300 CFM x 365 PSI</t>
  </si>
  <si>
    <t xml:space="preserve">Air Compressor - 1500 CFM </t>
  </si>
  <si>
    <t>Air Dryer -To Handle 2600 CFM x 350 PSI</t>
  </si>
  <si>
    <t>Compressor Hoses - 2" x 50'</t>
  </si>
  <si>
    <t>Air Booster</t>
  </si>
  <si>
    <t>Compressor Trailer</t>
  </si>
  <si>
    <t>Water Pump - 2"</t>
  </si>
  <si>
    <t>Water Pump - 3"</t>
  </si>
  <si>
    <t>Water Pump - 4"</t>
  </si>
  <si>
    <t>Water Pump - 6"</t>
  </si>
  <si>
    <t>Water Pump - 8"</t>
  </si>
  <si>
    <t>Water Pump - 10" Electric</t>
  </si>
  <si>
    <t>Portable Shop</t>
  </si>
  <si>
    <t>Warehouse Trailer/ Van</t>
  </si>
  <si>
    <t>Storage Trailer/ Van</t>
  </si>
  <si>
    <t>Storage Containers</t>
  </si>
  <si>
    <t>Office Trailer</t>
  </si>
  <si>
    <t>Washroom Trailer</t>
  </si>
  <si>
    <t>Skid Sloop</t>
  </si>
  <si>
    <t>Sled</t>
  </si>
  <si>
    <t>Rig Mat - 8' x 20'</t>
  </si>
  <si>
    <t>Rig Mat - 8' x 30'</t>
  </si>
  <si>
    <t>Rig Mat - 8' x 40'</t>
  </si>
  <si>
    <t>Swamp Mats (Set of 4)</t>
  </si>
  <si>
    <t>Fill Pipe - Load of 660 m</t>
  </si>
  <si>
    <t>Pigging Head (42")</t>
  </si>
  <si>
    <t>Pigging Head (36")</t>
  </si>
  <si>
    <t>Pigging Head (30")</t>
  </si>
  <si>
    <t>Pigging Head (24")</t>
  </si>
  <si>
    <t>Pigging Head (20")</t>
  </si>
  <si>
    <t>Pigging Head (16")</t>
  </si>
  <si>
    <t>Pigging Head (10")</t>
  </si>
  <si>
    <t>Water Tank for Test</t>
  </si>
  <si>
    <t>Port Heater BT400-460H</t>
  </si>
  <si>
    <t>Notes:</t>
  </si>
  <si>
    <t xml:space="preserve">1) </t>
  </si>
  <si>
    <t xml:space="preserve">weekly, monthly rates that have been incorporated in to Schedule “B”, the Construction Manager will obtain pre-approval from IPF's Project </t>
  </si>
  <si>
    <t xml:space="preserve">Director, prior to the rental of said equipment. As the Contract Equipment rates are not sufficient, the invoice for the above equipment will be </t>
  </si>
  <si>
    <r>
      <t>treated as a “Flow Through”  Invoice. The Contract Equipment rates will not apply. However, parts required to maintenance or repair the 3</t>
    </r>
    <r>
      <rPr>
        <b/>
        <vertAlign val="superscript"/>
        <sz val="10"/>
        <rFont val="Arial"/>
        <family val="2"/>
      </rPr>
      <t>rd</t>
    </r>
    <r>
      <rPr>
        <b/>
        <sz val="10"/>
        <rFont val="Arial"/>
        <family val="2"/>
      </rPr>
      <t xml:space="preserve"> </t>
    </r>
  </si>
  <si>
    <t>party equipment on the project, or repairs by maintainance forces not directly on the project will also be treated on a "Flow Through" Invoice basis.</t>
  </si>
  <si>
    <t>Column1</t>
  </si>
  <si>
    <t>Column2</t>
  </si>
  <si>
    <t>Column3</t>
  </si>
  <si>
    <t>Column4</t>
  </si>
  <si>
    <t>Column5</t>
  </si>
  <si>
    <t>Column6</t>
  </si>
  <si>
    <t>Column7</t>
  </si>
  <si>
    <t>Column8</t>
  </si>
  <si>
    <t>Column9</t>
  </si>
  <si>
    <t>Column10</t>
  </si>
  <si>
    <t>Date</t>
  </si>
  <si>
    <t>Labour</t>
  </si>
  <si>
    <t>Small Tools</t>
  </si>
  <si>
    <t>Materials</t>
  </si>
  <si>
    <t>Trucking</t>
  </si>
  <si>
    <t>Subcontractors</t>
  </si>
  <si>
    <t>Period:</t>
  </si>
  <si>
    <t>Field Log</t>
  </si>
  <si>
    <t>0001</t>
  </si>
  <si>
    <t>Pre-Construction, Yard Set Up &amp; Grade Planning</t>
  </si>
  <si>
    <t>0002</t>
  </si>
  <si>
    <t>0003</t>
  </si>
  <si>
    <t>0004</t>
  </si>
  <si>
    <t>0006</t>
  </si>
  <si>
    <t>0020</t>
  </si>
  <si>
    <t>0030</t>
  </si>
  <si>
    <t>(Small) Maintenance "Start"</t>
  </si>
  <si>
    <t>(Small) Supervision "Start"</t>
  </si>
  <si>
    <t>(Small) Trucking "Start"</t>
  </si>
  <si>
    <t>0005.1</t>
  </si>
  <si>
    <t>0005.3</t>
  </si>
  <si>
    <t>Access (Pioneering) #1</t>
  </si>
  <si>
    <t>Access (Utility Grade- Snow Bridges)</t>
  </si>
  <si>
    <t>0005.4</t>
  </si>
  <si>
    <t>Swamp Packing (Day)</t>
  </si>
  <si>
    <t>0005.5</t>
  </si>
  <si>
    <t>Swamp Packing (Night)</t>
  </si>
  <si>
    <t>0005.6</t>
  </si>
  <si>
    <t>Access (Pionering) #2</t>
  </si>
  <si>
    <t>0005.9</t>
  </si>
  <si>
    <t>Sweep (Wrangler Locating Ltd.)</t>
  </si>
  <si>
    <t>0005.91</t>
  </si>
  <si>
    <t>Sweep Mob/Demob (Travel) (Wrangler Locating Ltd.)</t>
  </si>
  <si>
    <t>Locate Hot-Lines (Hydro-Vac)</t>
  </si>
  <si>
    <t>0007.1</t>
  </si>
  <si>
    <t>(Small) Maintenance "Christmas Break"</t>
  </si>
  <si>
    <t>0007.2</t>
  </si>
  <si>
    <t>0007.3</t>
  </si>
  <si>
    <t>Access (Swamp Packing) (Day) "Christmas Break"</t>
  </si>
  <si>
    <t>Access (Swamp Packing) (Night) "Christmas Break"</t>
  </si>
  <si>
    <t>0010.1</t>
  </si>
  <si>
    <t>Clearing #1 (Grub, Rake, Pile &amp; Burn Debris) (Day)</t>
  </si>
  <si>
    <t>0010.11</t>
  </si>
  <si>
    <t>Clearing #1 (Grub, Rake, Pile &amp; Burn Debris) (Night)</t>
  </si>
  <si>
    <t>Maintenance</t>
  </si>
  <si>
    <t>Supervision</t>
  </si>
  <si>
    <t>0040</t>
  </si>
  <si>
    <t>0050</t>
  </si>
  <si>
    <t>Grade</t>
  </si>
  <si>
    <t>0060.1</t>
  </si>
  <si>
    <t>Stringing NPS 16 (Premay Pipeline Hauling LP)</t>
  </si>
  <si>
    <t>0060.2</t>
  </si>
  <si>
    <t>0060.11</t>
  </si>
  <si>
    <t>Pilot Truck For Stringing NPS 16</t>
  </si>
  <si>
    <t>Pilot Truck For Stringing NPS 30</t>
  </si>
  <si>
    <t>Stringing NPS 30 (Premay Pipeline Hauling LP)</t>
  </si>
  <si>
    <t>0060.21</t>
  </si>
  <si>
    <t>Bending, Set-Up &amp; Engineering NPS 16</t>
  </si>
  <si>
    <t>0070.1</t>
  </si>
  <si>
    <t>0070.2</t>
  </si>
  <si>
    <t>Bending, Set-Up &amp; Engineering NPS 30</t>
  </si>
  <si>
    <t>0080.01</t>
  </si>
  <si>
    <t>Welding Procedures NPS 16 &amp; 30</t>
  </si>
  <si>
    <t>0080.02</t>
  </si>
  <si>
    <t>Welers Rig-up NPS 16 &amp; 30</t>
  </si>
  <si>
    <t>Welders Training &amp; Test</t>
  </si>
  <si>
    <t>0080.1</t>
  </si>
  <si>
    <t>0080.2</t>
  </si>
  <si>
    <t>Stick Poor-Boy</t>
  </si>
  <si>
    <t>0080.3</t>
  </si>
  <si>
    <t>Stick Pipe Gang NPS 16</t>
  </si>
  <si>
    <t>0080.4</t>
  </si>
  <si>
    <t>Stick Welding NPS 16</t>
  </si>
  <si>
    <t>Stick Pipe Gang NPS 30</t>
  </si>
  <si>
    <t>0080.5</t>
  </si>
  <si>
    <t>0080.6</t>
  </si>
  <si>
    <t>Stick Welding NPS 30</t>
  </si>
  <si>
    <t>0090.1</t>
  </si>
  <si>
    <t>Main-Line Coating</t>
  </si>
  <si>
    <t>0090.2</t>
  </si>
  <si>
    <t>Tie-In Coating</t>
  </si>
  <si>
    <t>0100.1</t>
  </si>
  <si>
    <t>Main-line Ditch</t>
  </si>
  <si>
    <t>0100.2</t>
  </si>
  <si>
    <t>Tie-In Ditch</t>
  </si>
  <si>
    <t>0110.1</t>
  </si>
  <si>
    <t>Lower-in/Tie-in/Back-fill Mainline Ditch</t>
  </si>
  <si>
    <t>0120.1</t>
  </si>
  <si>
    <t>Tie-In #1</t>
  </si>
  <si>
    <t>0120.21</t>
  </si>
  <si>
    <t>Tie-In #2 (Road Bores)</t>
  </si>
  <si>
    <t>0120.22</t>
  </si>
  <si>
    <t>Tie-In #2 (Creek &amp; Drains)</t>
  </si>
  <si>
    <t>0120.3</t>
  </si>
  <si>
    <t>Tie-In #3 (Repeat From Lower-In</t>
  </si>
  <si>
    <t>0130</t>
  </si>
  <si>
    <t>Back-fill Tie-in Ditch</t>
  </si>
  <si>
    <t>0140</t>
  </si>
  <si>
    <t>Clean Up</t>
  </si>
  <si>
    <t>0140.01</t>
  </si>
  <si>
    <t>Clean Up (Creek Repair)</t>
  </si>
  <si>
    <t>0140.1</t>
  </si>
  <si>
    <t>Next Season Clean-Up</t>
  </si>
  <si>
    <t>0150</t>
  </si>
  <si>
    <t>Test</t>
  </si>
  <si>
    <t>0150.1</t>
  </si>
  <si>
    <t>Test Support</t>
  </si>
  <si>
    <t>Small Tools, Repairs &amp; Consumables</t>
  </si>
  <si>
    <t>T317</t>
  </si>
  <si>
    <t>445T</t>
  </si>
  <si>
    <t>403T</t>
  </si>
  <si>
    <t>T288</t>
  </si>
  <si>
    <t>Unit No.</t>
  </si>
  <si>
    <t>Quintel, Art</t>
  </si>
  <si>
    <t>Whitworth, Shannon</t>
  </si>
  <si>
    <t>Whitworth, Brad</t>
  </si>
  <si>
    <t>VonRieben, Pete</t>
  </si>
  <si>
    <t>Dreaver, Linden</t>
  </si>
  <si>
    <t>Jardine, Shaun</t>
  </si>
  <si>
    <t>Holdis, Darren</t>
  </si>
  <si>
    <t>Hunter, Aaron</t>
  </si>
  <si>
    <t>DL2504</t>
  </si>
  <si>
    <t>T318</t>
  </si>
  <si>
    <t>446T</t>
  </si>
  <si>
    <t>283T</t>
  </si>
  <si>
    <t>Feduik, Cy</t>
  </si>
  <si>
    <t>Field Log ID</t>
  </si>
  <si>
    <t>DL2509</t>
  </si>
  <si>
    <t>SA4-002</t>
  </si>
  <si>
    <t>481T</t>
  </si>
  <si>
    <t>269T</t>
  </si>
  <si>
    <t>DL2601</t>
  </si>
  <si>
    <t>282T</t>
  </si>
  <si>
    <t>DL2606</t>
  </si>
  <si>
    <t>145T</t>
  </si>
  <si>
    <t>501T</t>
  </si>
  <si>
    <t>Whitworth, Brett</t>
  </si>
  <si>
    <t>Bebbe, Nevin</t>
  </si>
  <si>
    <t>502T</t>
  </si>
  <si>
    <t>224T</t>
  </si>
  <si>
    <t>DL2602</t>
  </si>
  <si>
    <t>O'Connell, Robin</t>
  </si>
  <si>
    <t>DL2503</t>
  </si>
  <si>
    <t>SA9-001</t>
  </si>
  <si>
    <t>CT2</t>
  </si>
  <si>
    <t>CT3</t>
  </si>
  <si>
    <t>CT5</t>
  </si>
  <si>
    <t>CT6</t>
  </si>
  <si>
    <t>CT7</t>
  </si>
  <si>
    <t>CT9</t>
  </si>
  <si>
    <t>CT12</t>
  </si>
  <si>
    <t>CT13</t>
  </si>
  <si>
    <t>CT16</t>
  </si>
  <si>
    <t>CT21</t>
  </si>
  <si>
    <t>McMaster, Deb</t>
  </si>
  <si>
    <t>Gauld, Darel</t>
  </si>
  <si>
    <t>SA4-001</t>
  </si>
  <si>
    <t>Van Wallegham, Kelly</t>
  </si>
  <si>
    <t>DL2607</t>
  </si>
  <si>
    <t>253T</t>
  </si>
  <si>
    <t>260T</t>
  </si>
  <si>
    <t>480T</t>
  </si>
  <si>
    <t>DL2608</t>
  </si>
  <si>
    <t>DL2612</t>
  </si>
  <si>
    <t>Cantwell, Jack</t>
  </si>
  <si>
    <t>Frost, Jim</t>
  </si>
  <si>
    <t>DL2613</t>
  </si>
  <si>
    <t>Labelle, Kevin</t>
  </si>
  <si>
    <t>489T</t>
  </si>
  <si>
    <t>Gardner, Chris</t>
  </si>
  <si>
    <t>DL2599</t>
  </si>
  <si>
    <t>492T</t>
  </si>
  <si>
    <t>McMechan, Dick</t>
  </si>
  <si>
    <t>Golomchuk, Derrick</t>
  </si>
  <si>
    <t>Golomchuk, Keeton</t>
  </si>
  <si>
    <t>Madsen, Michelle</t>
  </si>
  <si>
    <t>Plowman, Krista</t>
  </si>
  <si>
    <t>GS2</t>
  </si>
  <si>
    <t>504T</t>
  </si>
  <si>
    <t>494T</t>
  </si>
  <si>
    <t>Rabishaw, William</t>
  </si>
  <si>
    <t>T336</t>
  </si>
  <si>
    <t>438T</t>
  </si>
  <si>
    <t>DL2502</t>
  </si>
  <si>
    <t>Ochocki, Ernie</t>
  </si>
  <si>
    <t>Todd, Bob</t>
  </si>
  <si>
    <t>Quinn, Shaun</t>
  </si>
  <si>
    <t>Whitbeck, Garrett</t>
  </si>
  <si>
    <t>ATV14</t>
  </si>
  <si>
    <t>ATV15</t>
  </si>
  <si>
    <t>ATV16</t>
  </si>
  <si>
    <t>ATV17</t>
  </si>
  <si>
    <t>ATV19</t>
  </si>
  <si>
    <t>496T</t>
  </si>
  <si>
    <t>DL2507</t>
  </si>
  <si>
    <t>DL2508</t>
  </si>
  <si>
    <t>337T</t>
  </si>
  <si>
    <t>DL2610</t>
  </si>
  <si>
    <t>407T</t>
  </si>
  <si>
    <t>Robert, Aurel</t>
  </si>
  <si>
    <t>Mulkay, Sid</t>
  </si>
  <si>
    <t>DL2623</t>
  </si>
  <si>
    <t>Kleckner, Shaun</t>
  </si>
  <si>
    <t>DL2594</t>
  </si>
  <si>
    <t>DL2560</t>
  </si>
  <si>
    <t>GS15</t>
  </si>
  <si>
    <t>284T</t>
  </si>
  <si>
    <t>491T</t>
  </si>
  <si>
    <t>Anderson, Carl</t>
  </si>
  <si>
    <t>DL2625</t>
  </si>
  <si>
    <t>Wolchyn, Dwayne</t>
  </si>
  <si>
    <t>DL2514</t>
  </si>
  <si>
    <t>DL2501</t>
  </si>
  <si>
    <t>Meunier, Aaron</t>
  </si>
  <si>
    <t>Corbin, Tanya</t>
  </si>
  <si>
    <t>O'Connell, Tana</t>
  </si>
  <si>
    <t>Baran, Chuck</t>
  </si>
  <si>
    <t>Berabi, Giovanni</t>
  </si>
  <si>
    <t>Bird, Bill</t>
  </si>
  <si>
    <t>Bochenesky, Jon</t>
  </si>
  <si>
    <t>Cardinal, Barry</t>
  </si>
  <si>
    <t>Cardinal, Ernest</t>
  </si>
  <si>
    <t>Cote, Allan</t>
  </si>
  <si>
    <t>DeGrace, Dave</t>
  </si>
  <si>
    <t>Dessureault, Jim</t>
  </si>
  <si>
    <t>Dessurrautt, Gilles</t>
  </si>
  <si>
    <t>Gehring, Jordan</t>
  </si>
  <si>
    <t>Gordon, Kelly</t>
  </si>
  <si>
    <t>Hamlin, Harold</t>
  </si>
  <si>
    <t>Hnatiw, Andrew</t>
  </si>
  <si>
    <t>Jackson, Arnold</t>
  </si>
  <si>
    <t>LaRose, Mario</t>
  </si>
  <si>
    <t>Laschuk, John</t>
  </si>
  <si>
    <t>MacDonald, Hector</t>
  </si>
  <si>
    <t>MacPhail, Mark</t>
  </si>
  <si>
    <t>Miller, Roddy</t>
  </si>
  <si>
    <t>Minneault, Edward</t>
  </si>
  <si>
    <t>Nelson, Gary</t>
  </si>
  <si>
    <t>Paquette, Brian</t>
  </si>
  <si>
    <t>Polard, John</t>
  </si>
  <si>
    <t>Sewepegaham, Trevor</t>
  </si>
  <si>
    <t>Shirt, Wayne</t>
  </si>
  <si>
    <t>Slyford, Blake</t>
  </si>
  <si>
    <t>Soto, Charlie</t>
  </si>
  <si>
    <t>Toenders, Cinth</t>
  </si>
  <si>
    <t>FN0365</t>
  </si>
  <si>
    <t>TC126</t>
  </si>
  <si>
    <t>DL2526</t>
  </si>
  <si>
    <t>DL2570</t>
  </si>
  <si>
    <t>DL2603</t>
  </si>
  <si>
    <t>DL2609</t>
  </si>
  <si>
    <t>DL2614</t>
  </si>
  <si>
    <t>DL2615</t>
  </si>
  <si>
    <t>DL2616</t>
  </si>
  <si>
    <t>DL2714</t>
  </si>
  <si>
    <t>TC118</t>
  </si>
  <si>
    <t>Flow Through</t>
  </si>
  <si>
    <t>Parsons, Michelle</t>
  </si>
  <si>
    <t>White, Cole</t>
  </si>
  <si>
    <t>Webber, Murray</t>
  </si>
  <si>
    <t>Enright, Sean</t>
  </si>
  <si>
    <t>DL2500</t>
  </si>
  <si>
    <t>SV01</t>
  </si>
  <si>
    <t>SV02</t>
  </si>
  <si>
    <t>Mulkay, Poncho</t>
  </si>
  <si>
    <t>Smith, Brandon</t>
  </si>
  <si>
    <t>Langlois, Randy</t>
  </si>
  <si>
    <t>Langlois, Terry</t>
  </si>
  <si>
    <t>DL2571</t>
  </si>
  <si>
    <t>Babcock, Rob</t>
  </si>
  <si>
    <t>Hunter, Johnathan</t>
  </si>
  <si>
    <t>Lybiak, Ryan</t>
  </si>
  <si>
    <t>Martz, Erle</t>
  </si>
  <si>
    <t>Sutherland, Al</t>
  </si>
  <si>
    <t>Wendel, Todd</t>
  </si>
  <si>
    <t>T234</t>
  </si>
  <si>
    <t>486T</t>
  </si>
  <si>
    <t>Sultan, Waleed</t>
  </si>
  <si>
    <t>DL2568</t>
  </si>
  <si>
    <t>Ondrasek, John</t>
  </si>
  <si>
    <t>DL2605</t>
  </si>
  <si>
    <t>Brown, Ray</t>
  </si>
  <si>
    <t>Dirkson, Lyle</t>
  </si>
  <si>
    <t>Ponych, Bruce</t>
  </si>
  <si>
    <t>DL2510</t>
  </si>
  <si>
    <t>Kristinsen, Darren</t>
  </si>
  <si>
    <t>DL2574</t>
  </si>
  <si>
    <t>P31</t>
  </si>
  <si>
    <t>P32</t>
  </si>
  <si>
    <t>Nahorney, Kerry</t>
  </si>
  <si>
    <t>T316</t>
  </si>
  <si>
    <t>Babic, Dale</t>
  </si>
  <si>
    <t>Loewen, Daniel</t>
  </si>
  <si>
    <t>SA11-019</t>
  </si>
  <si>
    <t>Phillips, Joe</t>
  </si>
  <si>
    <t>snow maker</t>
  </si>
  <si>
    <t>Gauthier, Kandis</t>
  </si>
  <si>
    <t>P732</t>
  </si>
  <si>
    <t>Pederson, Don</t>
  </si>
  <si>
    <t>Martin, Jim</t>
  </si>
  <si>
    <t>Konshu, Steve</t>
  </si>
  <si>
    <t>Miller, Troy</t>
  </si>
  <si>
    <t>Deford, Mark</t>
  </si>
  <si>
    <t>Deford, Rob</t>
  </si>
  <si>
    <t>Shaw, Brian</t>
  </si>
  <si>
    <t>Coutourier, Hector</t>
  </si>
  <si>
    <t>GS6</t>
  </si>
  <si>
    <t>CT1</t>
  </si>
  <si>
    <t>CT8</t>
  </si>
  <si>
    <t>CT10</t>
  </si>
  <si>
    <t>CT11</t>
  </si>
  <si>
    <t>CT14</t>
  </si>
  <si>
    <t>CT20</t>
  </si>
  <si>
    <t>CT22</t>
  </si>
  <si>
    <t>CT26</t>
  </si>
  <si>
    <t>CT27</t>
  </si>
  <si>
    <t>Antunes, Jorge</t>
  </si>
  <si>
    <t>Brauer, Dustin</t>
  </si>
  <si>
    <t>Brauer, Monty</t>
  </si>
  <si>
    <t>Cardinal, Gordie</t>
  </si>
  <si>
    <t>Cowan, Murray</t>
  </si>
  <si>
    <t>Cust, Kevin</t>
  </si>
  <si>
    <t>Delcourt, Bob</t>
  </si>
  <si>
    <t>Drake, Adam</t>
  </si>
  <si>
    <t>Drake, Loren</t>
  </si>
  <si>
    <t>Fedoruk, Mike</t>
  </si>
  <si>
    <t>Giesbrecht, Brian</t>
  </si>
  <si>
    <t>Gonie, Brad</t>
  </si>
  <si>
    <t>Gonie, Dan</t>
  </si>
  <si>
    <t>Gosset, Doug</t>
  </si>
  <si>
    <t>Griffin, Eric</t>
  </si>
  <si>
    <t>Hawley, David</t>
  </si>
  <si>
    <t>Jones, Jeremy</t>
  </si>
  <si>
    <t>Klassen, Darrell</t>
  </si>
  <si>
    <t>Kleckner, Art</t>
  </si>
  <si>
    <t>Lafleur, James</t>
  </si>
  <si>
    <t>Lien, Randy</t>
  </si>
  <si>
    <t>Lyver, Leonard</t>
  </si>
  <si>
    <t>Macdonnell, Derek</t>
  </si>
  <si>
    <t>O'Brien, Ryan</t>
  </si>
  <si>
    <t>O'Connell, Jordan</t>
  </si>
  <si>
    <t>Pickering, Clayton</t>
  </si>
  <si>
    <t>Powell, Kris</t>
  </si>
  <si>
    <t>Robertson, Bill</t>
  </si>
  <si>
    <t>Rutar, Gary</t>
  </si>
  <si>
    <t>Ryley, Sid</t>
  </si>
  <si>
    <t>Schaub, Pat</t>
  </si>
  <si>
    <t>Schram, Wynn</t>
  </si>
  <si>
    <t>Stefanyk, Terry</t>
  </si>
  <si>
    <t>Suderman, Jeff</t>
  </si>
  <si>
    <t>Sullivan, Shane</t>
  </si>
  <si>
    <t>Tremblay, Marcel</t>
  </si>
  <si>
    <t>Warman, Larry</t>
  </si>
  <si>
    <t>Snyder, Leonard</t>
  </si>
  <si>
    <t>Snyder, Raymond</t>
  </si>
  <si>
    <t>424.3T</t>
  </si>
  <si>
    <t>P621</t>
  </si>
  <si>
    <t>SA11-009</t>
  </si>
  <si>
    <t>U651Q0181</t>
  </si>
  <si>
    <t>Szolle, Walter</t>
  </si>
  <si>
    <t>DL2679</t>
  </si>
  <si>
    <t>DL2680</t>
  </si>
  <si>
    <t>DL2681</t>
  </si>
  <si>
    <t>SA9-003</t>
  </si>
  <si>
    <t>SA9-004</t>
  </si>
  <si>
    <t>SA9-005</t>
  </si>
  <si>
    <t>SA9-006</t>
  </si>
  <si>
    <t>SA9-007</t>
  </si>
  <si>
    <t>SA9-008</t>
  </si>
  <si>
    <t>SA9-009</t>
  </si>
  <si>
    <t>SA9-002C</t>
  </si>
  <si>
    <t>SA9-002A</t>
  </si>
  <si>
    <t>SA9-002B</t>
  </si>
  <si>
    <t>157T</t>
  </si>
  <si>
    <t>286T</t>
  </si>
  <si>
    <t>485T</t>
  </si>
  <si>
    <t>CT28</t>
  </si>
  <si>
    <t>CT29</t>
  </si>
  <si>
    <t>CT30</t>
  </si>
  <si>
    <t>CT31</t>
  </si>
  <si>
    <t>CT32</t>
  </si>
  <si>
    <t>DL2511</t>
  </si>
  <si>
    <t>DL2559</t>
  </si>
  <si>
    <t>DL2569</t>
  </si>
  <si>
    <t>DL2577</t>
  </si>
  <si>
    <t>DL2583</t>
  </si>
  <si>
    <t>DL2604</t>
  </si>
  <si>
    <t>DL2617</t>
  </si>
  <si>
    <t>DL2618</t>
  </si>
  <si>
    <t>DL2619</t>
  </si>
  <si>
    <t>DL2620</t>
  </si>
  <si>
    <t>DL2621</t>
  </si>
  <si>
    <t>Farm Tractor - Wheel &lt; 100 HP</t>
  </si>
  <si>
    <t>P33</t>
  </si>
  <si>
    <t>SA10-005</t>
  </si>
  <si>
    <t>SA11-017</t>
  </si>
  <si>
    <t>snow cat</t>
  </si>
  <si>
    <t>TC124</t>
  </si>
  <si>
    <t>SA11-023</t>
  </si>
  <si>
    <t>strong box snow pusher</t>
  </si>
  <si>
    <t>Beauchemin, Len</t>
  </si>
  <si>
    <t>Alton, Robb</t>
  </si>
  <si>
    <t>Anderson, Derek</t>
  </si>
  <si>
    <t>Badiou, Richard</t>
  </si>
  <si>
    <t>Boyd, Bare</t>
  </si>
  <si>
    <t>Broschak, Howard</t>
  </si>
  <si>
    <t>Campbell, Blair</t>
  </si>
  <si>
    <t>Chiassoh, Bertrand</t>
  </si>
  <si>
    <t>Chorney, Robert</t>
  </si>
  <si>
    <t>Clancy, Jim</t>
  </si>
  <si>
    <t>Cocks, Wade</t>
  </si>
  <si>
    <t>Doucet, David</t>
  </si>
  <si>
    <t>Drake, Brian</t>
  </si>
  <si>
    <t>Drake, Justin</t>
  </si>
  <si>
    <t>Duncan, Travis</t>
  </si>
  <si>
    <t>Elefson, Ron</t>
  </si>
  <si>
    <t>Ewasiuk, Calvin</t>
  </si>
  <si>
    <t>Fornal, Reed</t>
  </si>
  <si>
    <t>Fowler-Taylor, Chase</t>
  </si>
  <si>
    <t>Giese, Vic</t>
  </si>
  <si>
    <t>Griffin, Casey</t>
  </si>
  <si>
    <t>Hanson, Dustin</t>
  </si>
  <si>
    <t>Hayan, Abdullahi</t>
  </si>
  <si>
    <t>Hlavsa, Darren</t>
  </si>
  <si>
    <t>Hill, Bernard</t>
  </si>
  <si>
    <t>Herman, Joseph</t>
  </si>
  <si>
    <t>Held, Mitchell</t>
  </si>
  <si>
    <t>Hedge, Jason</t>
  </si>
  <si>
    <t>Hoyle, Ryan</t>
  </si>
  <si>
    <t>Hubaty, Dion</t>
  </si>
  <si>
    <t>Hunwick, James</t>
  </si>
  <si>
    <t>Jackson, Nathon</t>
  </si>
  <si>
    <t>Jackson, Russell</t>
  </si>
  <si>
    <t>Kehler, Leroy</t>
  </si>
  <si>
    <t>Kennedy, Donald</t>
  </si>
  <si>
    <t>Kiryluik, Lawrence</t>
  </si>
  <si>
    <t>Lambert, Wayne</t>
  </si>
  <si>
    <t>Levell, Jessie</t>
  </si>
  <si>
    <t>MacWatt, Andrew</t>
  </si>
  <si>
    <t>FRONT-END/TIE-IN WELDER  ON STICK WELD SPREAD (QI APPLIES)</t>
  </si>
  <si>
    <t>Maltais, Jocelyn</t>
  </si>
  <si>
    <t>Mashford, Curtis</t>
  </si>
  <si>
    <t>Mason, Brenda</t>
  </si>
  <si>
    <t>McQuaker, Andrew</t>
  </si>
  <si>
    <t>Munro, Cody</t>
  </si>
  <si>
    <t>Nyland, Gary</t>
  </si>
  <si>
    <t>Ochocki, Kirk</t>
  </si>
  <si>
    <t>Paquette, Maurice</t>
  </si>
  <si>
    <t>Pasch, Michael</t>
  </si>
  <si>
    <t>Paylin, Dennis</t>
  </si>
  <si>
    <t>Pierson, Kole</t>
  </si>
  <si>
    <t>Prive, Roger</t>
  </si>
  <si>
    <t>Reber, Albert</t>
  </si>
  <si>
    <t>Rhoden, David</t>
  </si>
  <si>
    <t>Ried, Denver</t>
  </si>
  <si>
    <t>Rogder, Kerwin</t>
  </si>
  <si>
    <t>Seaby, Gordon</t>
  </si>
  <si>
    <t>Sheppary, Raymond</t>
  </si>
  <si>
    <t>Slyford, Joshua</t>
  </si>
  <si>
    <t>Spence, Paul</t>
  </si>
  <si>
    <t>Stewart, Nathan</t>
  </si>
  <si>
    <t>Swanson, Arvid</t>
  </si>
  <si>
    <t>Thompson, Dustin</t>
  </si>
  <si>
    <t>Untinen, Brian</t>
  </si>
  <si>
    <t>Untinen, Kerry</t>
  </si>
  <si>
    <t>Untinen, Richard</t>
  </si>
  <si>
    <t>Ventanilla, Raymond</t>
  </si>
  <si>
    <t>Wancha, Doug</t>
  </si>
  <si>
    <t>Wanner, Chelsea</t>
  </si>
  <si>
    <t>Ward, Aaron</t>
  </si>
  <si>
    <t>Ward, Scott</t>
  </si>
  <si>
    <t>Abra, Robert</t>
  </si>
  <si>
    <t>T333</t>
  </si>
  <si>
    <t>T222</t>
  </si>
  <si>
    <t>PB12</t>
  </si>
  <si>
    <t>DL2595</t>
  </si>
  <si>
    <t>DL2597</t>
  </si>
  <si>
    <t>TC123</t>
  </si>
  <si>
    <t>TC117</t>
  </si>
  <si>
    <t>DL2691</t>
  </si>
  <si>
    <t>Van</t>
  </si>
  <si>
    <t>DL2587</t>
  </si>
  <si>
    <t>DL2572</t>
  </si>
  <si>
    <t>T310</t>
  </si>
  <si>
    <t>GS9</t>
  </si>
  <si>
    <t>DL2548</t>
  </si>
  <si>
    <t>DL2622</t>
  </si>
  <si>
    <t>SB210</t>
  </si>
  <si>
    <t>SB213</t>
  </si>
  <si>
    <t>T289</t>
  </si>
  <si>
    <t>CT19</t>
  </si>
  <si>
    <t>CT4</t>
  </si>
  <si>
    <t>SA10-001</t>
  </si>
  <si>
    <t>SA10-002</t>
  </si>
  <si>
    <t>SA10-003</t>
  </si>
  <si>
    <t>SA10-004</t>
  </si>
  <si>
    <t>SA10-006</t>
  </si>
  <si>
    <t>SA12-005</t>
  </si>
  <si>
    <t>DL2563</t>
  </si>
  <si>
    <t>DL2091</t>
  </si>
  <si>
    <t>DL2720</t>
  </si>
  <si>
    <t>53V500</t>
  </si>
  <si>
    <t>SA11-024</t>
  </si>
  <si>
    <t>SA11-028</t>
  </si>
  <si>
    <t>SA6-017</t>
  </si>
  <si>
    <t>SA6-020</t>
  </si>
  <si>
    <t>SA6-019</t>
  </si>
  <si>
    <t>SA6-021</t>
  </si>
  <si>
    <t>DL2592</t>
  </si>
  <si>
    <t>DL2543</t>
  </si>
  <si>
    <t>SA5-005</t>
  </si>
  <si>
    <t>SA5-007</t>
  </si>
  <si>
    <t>SA5-006</t>
  </si>
  <si>
    <t>SA5-009</t>
  </si>
  <si>
    <t>SA5-011</t>
  </si>
  <si>
    <t>SA5-012</t>
  </si>
  <si>
    <t>SA5-013</t>
  </si>
  <si>
    <t>SA5-014</t>
  </si>
  <si>
    <t>SA5-010</t>
  </si>
  <si>
    <t>DL2596</t>
  </si>
  <si>
    <t>DL2550</t>
  </si>
  <si>
    <t>SB201</t>
  </si>
  <si>
    <t>SB207</t>
  </si>
  <si>
    <t>SB308</t>
  </si>
  <si>
    <t>SA11-018</t>
  </si>
  <si>
    <t>swenson spreader</t>
  </si>
  <si>
    <t>DL2518</t>
  </si>
  <si>
    <t>TC113</t>
  </si>
  <si>
    <t>DL2581</t>
  </si>
  <si>
    <t>0005.2</t>
  </si>
  <si>
    <t>Access (Pioneering) #2</t>
  </si>
  <si>
    <t>MECHANIC/ SERVICEMAN/ LUBEMAN</t>
  </si>
  <si>
    <t>Adeaga, Olusola</t>
  </si>
  <si>
    <t>Albert, Joseph</t>
  </si>
  <si>
    <t>Allaire, Philippe</t>
  </si>
  <si>
    <t>Ambrose, Jessome</t>
  </si>
  <si>
    <t>Anderson, Greg</t>
  </si>
  <si>
    <t>Arias, Chris</t>
  </si>
  <si>
    <t>Barton, Barry</t>
  </si>
  <si>
    <t>Barter, Nicholas</t>
  </si>
  <si>
    <t>Basic, Peter</t>
  </si>
  <si>
    <t>Battagini, Mitchell</t>
  </si>
  <si>
    <t>Belanger, Marc</t>
  </si>
  <si>
    <t>Berg, Justin</t>
  </si>
  <si>
    <t>Bigger, Matthew</t>
  </si>
  <si>
    <t>Bishop, Andrew</t>
  </si>
  <si>
    <t>Bishop, Mike</t>
  </si>
  <si>
    <t>Blackwell, Billy</t>
  </si>
  <si>
    <t>Bondarchuk, Brian</t>
  </si>
  <si>
    <t>Borges, Nelson</t>
  </si>
  <si>
    <t>Boutilier, James</t>
  </si>
  <si>
    <t>Boutilier, Kirk</t>
  </si>
  <si>
    <t>Brazeau, John</t>
  </si>
  <si>
    <t>Brommerland, Roger</t>
  </si>
  <si>
    <t>Broschak, Colin</t>
  </si>
  <si>
    <t>Brown, Jeff</t>
  </si>
  <si>
    <t>Bucek, Brian</t>
  </si>
  <si>
    <t>Bulger, Trevor</t>
  </si>
  <si>
    <t>Campbell, Teri-Lynn</t>
  </si>
  <si>
    <t>Candelora, Donald</t>
  </si>
  <si>
    <t>Candelora, Matt</t>
  </si>
  <si>
    <t>Cardinal, Harvey</t>
  </si>
  <si>
    <t>Cazabon, Pierre</t>
  </si>
  <si>
    <t>Cech, Darcy</t>
  </si>
  <si>
    <t>Chang, Andrew</t>
  </si>
  <si>
    <t>Chayka, Michael</t>
  </si>
  <si>
    <t>Checkley, James</t>
  </si>
  <si>
    <t>Cherrington, Lorne</t>
  </si>
  <si>
    <t>Chromik, Matt</t>
  </si>
  <si>
    <t>Connor, Sean</t>
  </si>
  <si>
    <t>Corbin, Garnet</t>
  </si>
  <si>
    <t>Cotter, Jenna</t>
  </si>
  <si>
    <t>Coughlin, Glen</t>
  </si>
  <si>
    <t>Cridland, James</t>
  </si>
  <si>
    <t>Crooks, Ellis</t>
  </si>
  <si>
    <t>Crouch, Scott</t>
  </si>
  <si>
    <t>DaCruz, Andre</t>
  </si>
  <si>
    <t>NON-WELDER JOURNEYMAN/ FITTER ON STICK WELD SPREAD (QI APPLIES)</t>
  </si>
  <si>
    <t>Day, Mark</t>
  </si>
  <si>
    <t>Deromby, Wayne</t>
  </si>
  <si>
    <t>Dleitschuk, Dan</t>
  </si>
  <si>
    <t>Dockery, Louvin</t>
  </si>
  <si>
    <t>Dodge, Douglas</t>
  </si>
  <si>
    <t>Downer, Leonard</t>
  </si>
  <si>
    <t>Dube, Tim</t>
  </si>
  <si>
    <t>Dumont, Trent</t>
  </si>
  <si>
    <t>Emblau, John</t>
  </si>
  <si>
    <t>Erickson, Ben</t>
  </si>
  <si>
    <t>Erickson, Robert</t>
  </si>
  <si>
    <t>Faust, Ronald</t>
  </si>
  <si>
    <t>Fisher, Robert</t>
  </si>
  <si>
    <t>Fithen, Shaun</t>
  </si>
  <si>
    <t>Fornal, Jay</t>
  </si>
  <si>
    <t>Fournier, Robert</t>
  </si>
  <si>
    <t>Fuller, Mike</t>
  </si>
  <si>
    <t>Galan, Richard</t>
  </si>
  <si>
    <t>Garland, Thomas</t>
  </si>
  <si>
    <t>Gates, Carlos</t>
  </si>
  <si>
    <t>Gates, Janita</t>
  </si>
  <si>
    <t>Gilles, Chad</t>
  </si>
  <si>
    <t>Glady, Glenn</t>
  </si>
  <si>
    <t>Goodrunning, Johnny</t>
  </si>
  <si>
    <t>Gordon, Robert</t>
  </si>
  <si>
    <t>Gratto, Rob</t>
  </si>
  <si>
    <t>Grenier, Arthur</t>
  </si>
  <si>
    <t>Greyeyes, Dione</t>
  </si>
  <si>
    <t>Griffin, Clay</t>
  </si>
  <si>
    <t>Griffin, Troy</t>
  </si>
  <si>
    <t>Gustafson, Paul</t>
  </si>
  <si>
    <t>Hadsen, Michelle</t>
  </si>
  <si>
    <t>Halliday, Brandon</t>
  </si>
  <si>
    <t>Hankewich, Allen</t>
  </si>
  <si>
    <t>Hankewich, Brad</t>
  </si>
  <si>
    <t>Hannah, Aaron</t>
  </si>
  <si>
    <t>Hansen, Neil</t>
  </si>
  <si>
    <t>Harvey, Jevin</t>
  </si>
  <si>
    <t>Hassen, Richard</t>
  </si>
  <si>
    <t>Hayduk, Randy</t>
  </si>
  <si>
    <t>Hebert, Jesse</t>
  </si>
  <si>
    <t>Henderson, George</t>
  </si>
  <si>
    <t>Hendricks, Rick</t>
  </si>
  <si>
    <t>Hickey, Mark</t>
  </si>
  <si>
    <t>Hill, Gordon</t>
  </si>
  <si>
    <t>Hohman, Lawry</t>
  </si>
  <si>
    <t>Hope, Barry</t>
  </si>
  <si>
    <t>Hubley, Shye</t>
  </si>
  <si>
    <t>Huct, Jody</t>
  </si>
  <si>
    <t>Husak, Gordon</t>
  </si>
  <si>
    <t>Hygard, Rhondo</t>
  </si>
  <si>
    <t>Imeson, Sean</t>
  </si>
  <si>
    <t>Isaac, Allan</t>
  </si>
  <si>
    <t>Jardine, Billy</t>
  </si>
  <si>
    <t>Jenson, Jason</t>
  </si>
  <si>
    <t>Jones, Richard</t>
  </si>
  <si>
    <t>Keen, Kim</t>
  </si>
  <si>
    <t>Kerr, Jordan</t>
  </si>
  <si>
    <t>King, David</t>
  </si>
  <si>
    <t>LaBlanc, Joey</t>
  </si>
  <si>
    <t>Laird, Bruce</t>
  </si>
  <si>
    <t>Lajoie, Jason</t>
  </si>
  <si>
    <t>Lajoie, Mark</t>
  </si>
  <si>
    <t>Lammi, James</t>
  </si>
  <si>
    <t>Legere, Gabe</t>
  </si>
  <si>
    <t>Lewoskewicz, Henry</t>
  </si>
  <si>
    <t>Lima, Justin</t>
  </si>
  <si>
    <t>Livingston, David</t>
  </si>
  <si>
    <t>Loblick, Ryan</t>
  </si>
  <si>
    <t>Lynch, Dallas</t>
  </si>
  <si>
    <t>MacDonald, Stephen</t>
  </si>
  <si>
    <t>MacDonald, Tanner</t>
  </si>
  <si>
    <t>MacDonnell, Kirk</t>
  </si>
  <si>
    <t>MacQueen, Kim</t>
  </si>
  <si>
    <t>Madigan, Cornelius</t>
  </si>
  <si>
    <t>Malloy, Mike</t>
  </si>
  <si>
    <t>Marchuk, Chris</t>
  </si>
  <si>
    <t>Martel, Gregory</t>
  </si>
  <si>
    <t>Martin, Bob</t>
  </si>
  <si>
    <t>Maruschak, Mike</t>
  </si>
  <si>
    <t>Mashford, Harry</t>
  </si>
  <si>
    <t>McDonald, Sheldon</t>
  </si>
  <si>
    <t>Mcgean, Cody</t>
  </si>
  <si>
    <t>McGregor, Andrew</t>
  </si>
  <si>
    <t>McGregor, Justin</t>
  </si>
  <si>
    <t>McLaren, Alexander</t>
  </si>
  <si>
    <t>McLean, Brett</t>
  </si>
  <si>
    <t>McMillan, Donovan</t>
  </si>
  <si>
    <t>McMillan, Jack</t>
  </si>
  <si>
    <t>Methot, Gaston</t>
  </si>
  <si>
    <t>Meunier, Leonard</t>
  </si>
  <si>
    <t>Middleton, Dan</t>
  </si>
  <si>
    <t>Moffat, Justin</t>
  </si>
  <si>
    <t>Morken, Travis</t>
  </si>
  <si>
    <t>Morlock, Dwayne</t>
  </si>
  <si>
    <t>Morrison, Robert</t>
  </si>
  <si>
    <t>Muller, Daniel</t>
  </si>
  <si>
    <t>Murphy, Malcolm</t>
  </si>
  <si>
    <t>Myers, Jason</t>
  </si>
  <si>
    <t>Nault, Roy</t>
  </si>
  <si>
    <t>Nelson, Tyler</t>
  </si>
  <si>
    <t>Nigh, Dallas</t>
  </si>
  <si>
    <t>Noseworthy, Paul</t>
  </si>
  <si>
    <t>Nouch, Joe</t>
  </si>
  <si>
    <t>NyLand, Mike</t>
  </si>
  <si>
    <t>Odega, Johnson</t>
  </si>
  <si>
    <t>Ouellet, Luc</t>
  </si>
  <si>
    <t>Pallister, Layne</t>
  </si>
  <si>
    <t>Parenteau, Travis</t>
  </si>
  <si>
    <t>Paul, Lloyd</t>
  </si>
  <si>
    <t>Peterson, Casey</t>
  </si>
  <si>
    <t>Pettifer, Donald</t>
  </si>
  <si>
    <t>Phillips, Ervin</t>
  </si>
  <si>
    <t>Player, Craig</t>
  </si>
  <si>
    <t>Prive, Ronald</t>
  </si>
  <si>
    <t>Prouty, Janet</t>
  </si>
  <si>
    <t>Radons, Mitchel</t>
  </si>
  <si>
    <t>Remillard-Eliuk, Jed</t>
  </si>
  <si>
    <t>Renton, Matthew</t>
  </si>
  <si>
    <t>Renton, Micheal</t>
  </si>
  <si>
    <t>Restau, Rudy</t>
  </si>
  <si>
    <t>Robertson, Lanny</t>
  </si>
  <si>
    <t>Rondeau, Harvey</t>
  </si>
  <si>
    <t>Root, Shayne</t>
  </si>
  <si>
    <t>Sandham, Ewan</t>
  </si>
  <si>
    <t>Sawchuck, Anthony</t>
  </si>
  <si>
    <t>Scheck, Dwayne</t>
  </si>
  <si>
    <t>Schettler, Kyle</t>
  </si>
  <si>
    <t>Schuck, Nigel</t>
  </si>
  <si>
    <t>Shaw, Vernon</t>
  </si>
  <si>
    <t>Skarbo, Colton</t>
  </si>
  <si>
    <t>Skarbo, Trevor</t>
  </si>
  <si>
    <t>Sluys, Ignatius</t>
  </si>
  <si>
    <t>Smith, David</t>
  </si>
  <si>
    <t>Smith, Leonard</t>
  </si>
  <si>
    <t>Solomon, Nickolas</t>
  </si>
  <si>
    <t>Songhurst, Jason</t>
  </si>
  <si>
    <t>Soucy, Norm</t>
  </si>
  <si>
    <t>Spidle, Michael</t>
  </si>
  <si>
    <t>Stephen, Glenn</t>
  </si>
  <si>
    <t>Stephen, Robert</t>
  </si>
  <si>
    <t>Stephens, Spencer</t>
  </si>
  <si>
    <t>Stewart, Wayne</t>
  </si>
  <si>
    <t>Stoltz, Al</t>
  </si>
  <si>
    <t>Stubbert, Colin</t>
  </si>
  <si>
    <t>Thomas, Ryan</t>
  </si>
  <si>
    <t>Thornton, Glenn</t>
  </si>
  <si>
    <t>Turgeon, Joe</t>
  </si>
  <si>
    <t>Uhrich, Brett</t>
  </si>
  <si>
    <t>Valdez, Jerome</t>
  </si>
  <si>
    <t>Waniandy, Eddy</t>
  </si>
  <si>
    <t>Wendel, Dennis</t>
  </si>
  <si>
    <t>Whitworth, Richard</t>
  </si>
  <si>
    <t>Willison, Randy</t>
  </si>
  <si>
    <t>Wright, Brian</t>
  </si>
  <si>
    <t>York, Wayne</t>
  </si>
  <si>
    <t>Yusuf, Ali</t>
  </si>
  <si>
    <t>Zalluski, Ken</t>
  </si>
  <si>
    <t>Zotter, Ronald</t>
  </si>
  <si>
    <t>TC127</t>
  </si>
  <si>
    <t>GS12</t>
  </si>
  <si>
    <t>SB101</t>
  </si>
  <si>
    <t>SB208</t>
  </si>
  <si>
    <t>SB209</t>
  </si>
  <si>
    <t>SB303</t>
  </si>
  <si>
    <t>SB306</t>
  </si>
  <si>
    <t>SB307</t>
  </si>
  <si>
    <t>T308</t>
  </si>
  <si>
    <t>T334</t>
  </si>
  <si>
    <t>SA9-011</t>
  </si>
  <si>
    <t>SA9-012</t>
  </si>
  <si>
    <t>SA9-010</t>
  </si>
  <si>
    <t>T309</t>
  </si>
  <si>
    <t>DL2567</t>
  </si>
  <si>
    <t>DL2578</t>
  </si>
  <si>
    <t>DL2591</t>
  </si>
  <si>
    <t>DL2721</t>
  </si>
  <si>
    <t>DL2722</t>
  </si>
  <si>
    <t>DL2600</t>
  </si>
  <si>
    <t>DL2558</t>
  </si>
  <si>
    <t>P34</t>
  </si>
  <si>
    <t>SK01</t>
  </si>
  <si>
    <t>SK02</t>
  </si>
  <si>
    <t>SA11-020</t>
  </si>
  <si>
    <t>SA11-012</t>
  </si>
  <si>
    <t>Parsons, Robert</t>
  </si>
  <si>
    <t>Parsons, Keaton</t>
  </si>
  <si>
    <t>Cabral, David</t>
  </si>
  <si>
    <t>SA7-001</t>
  </si>
  <si>
    <t>SA7-002</t>
  </si>
  <si>
    <t>SA7-004</t>
  </si>
  <si>
    <t>SA7-005</t>
  </si>
  <si>
    <t>SA7-006</t>
  </si>
  <si>
    <t>SA7-007</t>
  </si>
  <si>
    <t>SA7-011</t>
  </si>
  <si>
    <t>SB311</t>
  </si>
  <si>
    <t>Field Log 1</t>
  </si>
  <si>
    <t>Field Log 2</t>
  </si>
  <si>
    <t>Field Log 4</t>
  </si>
  <si>
    <t>Field Log 6</t>
  </si>
  <si>
    <t>Field Log 3</t>
  </si>
  <si>
    <t>Field Log 7</t>
  </si>
  <si>
    <t>Field Log 9</t>
  </si>
  <si>
    <t>Field Log 11</t>
  </si>
  <si>
    <t>Field Log 5</t>
  </si>
  <si>
    <t>Field Log 8</t>
  </si>
  <si>
    <t>Field Log 13</t>
  </si>
  <si>
    <t>Field Log 14</t>
  </si>
  <si>
    <t>Field Log 15</t>
  </si>
  <si>
    <t>Field Log 12</t>
  </si>
  <si>
    <t>Field Log 10</t>
  </si>
  <si>
    <t>P780</t>
  </si>
  <si>
    <t>E103</t>
  </si>
  <si>
    <t>SA6-015</t>
  </si>
  <si>
    <t>SA6-016</t>
  </si>
  <si>
    <t>SA6-018</t>
  </si>
  <si>
    <t>SA6-022</t>
  </si>
  <si>
    <t>E109</t>
  </si>
  <si>
    <t>E110</t>
  </si>
  <si>
    <t>E78</t>
  </si>
  <si>
    <t>SA6-001</t>
  </si>
  <si>
    <t>SA6-002</t>
  </si>
  <si>
    <t>SA6-003</t>
  </si>
  <si>
    <t>SA6-006</t>
  </si>
  <si>
    <t>SA6-007</t>
  </si>
  <si>
    <t>SA6-008</t>
  </si>
  <si>
    <t>SA6-009</t>
  </si>
  <si>
    <t>SA6-010</t>
  </si>
  <si>
    <t>SA6-011</t>
  </si>
  <si>
    <t>SA6-014</t>
  </si>
  <si>
    <t>CT15</t>
  </si>
  <si>
    <t>CT25</t>
  </si>
  <si>
    <t>DL2593</t>
  </si>
  <si>
    <t>DL2598</t>
  </si>
  <si>
    <t>DL2506</t>
  </si>
  <si>
    <t>SA5-002</t>
  </si>
  <si>
    <t>SA5-008</t>
  </si>
  <si>
    <t>DL2522</t>
  </si>
  <si>
    <t>DL2579</t>
  </si>
  <si>
    <t>DL2580</t>
  </si>
  <si>
    <t>DL2582</t>
  </si>
  <si>
    <t>DL2585</t>
  </si>
  <si>
    <t>DL2586</t>
  </si>
  <si>
    <t>DL2589</t>
  </si>
  <si>
    <t>DL2590</t>
  </si>
  <si>
    <t>406T</t>
  </si>
  <si>
    <t>493T</t>
  </si>
  <si>
    <t>T290</t>
  </si>
  <si>
    <t>Mulkay</t>
  </si>
  <si>
    <t>T278</t>
  </si>
  <si>
    <t>DL2547</t>
  </si>
  <si>
    <t>SA11-001</t>
  </si>
  <si>
    <t>SA11-002</t>
  </si>
  <si>
    <t>SA11-010</t>
  </si>
  <si>
    <t>SA11-011</t>
  </si>
  <si>
    <t>SA11-013</t>
  </si>
  <si>
    <t>SA11-014</t>
  </si>
  <si>
    <t>SA7-003</t>
  </si>
  <si>
    <t>SA7-008</t>
  </si>
  <si>
    <t>SA7-009</t>
  </si>
  <si>
    <t>SA7-010</t>
  </si>
  <si>
    <t>SA7-012</t>
  </si>
  <si>
    <t>SA7-013</t>
  </si>
  <si>
    <t>SB211</t>
  </si>
  <si>
    <t>SB212</t>
  </si>
  <si>
    <t>SB301</t>
  </si>
  <si>
    <t>SB304</t>
  </si>
  <si>
    <t>SB305</t>
  </si>
  <si>
    <t>SB309</t>
  </si>
  <si>
    <t>SA7-014</t>
  </si>
  <si>
    <t>SB413</t>
  </si>
  <si>
    <t>SA9-013</t>
  </si>
  <si>
    <t>TC41</t>
  </si>
  <si>
    <t>Barter</t>
  </si>
  <si>
    <t>Wright</t>
  </si>
  <si>
    <t>Abbra Jr, John</t>
  </si>
  <si>
    <t>Aitken, Brooks</t>
  </si>
  <si>
    <t>Alderson, Greg</t>
  </si>
  <si>
    <t>Anderson, Hazen</t>
  </si>
  <si>
    <t>Andrews, Randy</t>
  </si>
  <si>
    <t>Ansari, Soroush</t>
  </si>
  <si>
    <t>Archibald, Andrew</t>
  </si>
  <si>
    <t>Babchischin, Bennet</t>
  </si>
  <si>
    <t>Babchischin, Gerald</t>
  </si>
  <si>
    <t>Baer, Joe</t>
  </si>
  <si>
    <t>Baker, Mike</t>
  </si>
  <si>
    <t>Balash, Larry</t>
  </si>
  <si>
    <t>Ball, James</t>
  </si>
  <si>
    <t>Baran, Jim</t>
  </si>
  <si>
    <t>Beaudry, Fern</t>
  </si>
  <si>
    <t>Beaudry, Mario</t>
  </si>
  <si>
    <t>Beaudry, Rheau</t>
  </si>
  <si>
    <t>Belcourt, Roland</t>
  </si>
  <si>
    <t>Benson, Drew</t>
  </si>
  <si>
    <t>Betteridge, Joshua</t>
  </si>
  <si>
    <t>Bird, Derek</t>
  </si>
  <si>
    <t>Blewer, Duncan</t>
  </si>
  <si>
    <t>Blobel, Rob</t>
  </si>
  <si>
    <t>Brauer, Dean</t>
  </si>
  <si>
    <t>Breckenridge, Bob</t>
  </si>
  <si>
    <t>Brow, Justin</t>
  </si>
  <si>
    <t>Brown, Tracy</t>
  </si>
  <si>
    <t>Bruzdzinski, Tomasz</t>
  </si>
  <si>
    <t>Bulter, Ken</t>
  </si>
  <si>
    <t>Burke, Colin</t>
  </si>
  <si>
    <t>Burns, Clare</t>
  </si>
  <si>
    <t>Burton, Doug</t>
  </si>
  <si>
    <t>Calladine, Senya</t>
  </si>
  <si>
    <t>Callihoo, Kim</t>
  </si>
  <si>
    <t>Calliou, Donovin</t>
  </si>
  <si>
    <t>Carew, William</t>
  </si>
  <si>
    <t>Carieux, David</t>
  </si>
  <si>
    <t>Carney, Jason</t>
  </si>
  <si>
    <t>Charette, Ken</t>
  </si>
  <si>
    <t>Chartrand, Darryl</t>
  </si>
  <si>
    <t>Chibry, Carter</t>
  </si>
  <si>
    <t>Chisholm, Gregory</t>
  </si>
  <si>
    <t>Clapperton, Stephen</t>
  </si>
  <si>
    <t>Cleveley, Shawn</t>
  </si>
  <si>
    <t>Collins, Gilles</t>
  </si>
  <si>
    <t>Cook, Shawn</t>
  </si>
  <si>
    <t>Cook, Wendy</t>
  </si>
  <si>
    <t>Cormier, Jeff</t>
  </si>
  <si>
    <t>Crouch, Leslie</t>
  </si>
  <si>
    <t>Cusick, Christopher</t>
  </si>
  <si>
    <t>Daly, James</t>
  </si>
  <si>
    <t>Dame, Jay</t>
  </si>
  <si>
    <t>Daniels, Dave</t>
  </si>
  <si>
    <t>Daulby, Rory</t>
  </si>
  <si>
    <t>Dehendi, Hichem</t>
  </si>
  <si>
    <t>Delorey, Jason</t>
  </si>
  <si>
    <t>Dempster, Kenneth</t>
  </si>
  <si>
    <t>DeWolfe, Patrick</t>
  </si>
  <si>
    <t>Deyoung, Trent</t>
  </si>
  <si>
    <t>Dickson, Mark</t>
  </si>
  <si>
    <t>Dixon, Dean</t>
  </si>
  <si>
    <t>Dockrill, Steve</t>
  </si>
  <si>
    <t>Doel, Douglas</t>
  </si>
  <si>
    <t>Donio, Scott</t>
  </si>
  <si>
    <t>Ebrahimi, Arash</t>
  </si>
  <si>
    <t>Egelstad, Aaron</t>
  </si>
  <si>
    <t>Einarson, Eddy</t>
  </si>
  <si>
    <t>El-Cheralowi, Rafic</t>
  </si>
  <si>
    <t>Enns, Henry</t>
  </si>
  <si>
    <t>Enns, Johnny</t>
  </si>
  <si>
    <t>Enns, Kenneth</t>
  </si>
  <si>
    <t>Ervin, Peter</t>
  </si>
  <si>
    <t>Farrell, Mike</t>
  </si>
  <si>
    <t>Faryna, Dana</t>
  </si>
  <si>
    <t>Filby, Gary</t>
  </si>
  <si>
    <t>Fillatre, Walter</t>
  </si>
  <si>
    <t>Flaman, Larry</t>
  </si>
  <si>
    <t>Flaman, Sean</t>
  </si>
  <si>
    <t>Flemming, Jason</t>
  </si>
  <si>
    <t>Fong, Hon</t>
  </si>
  <si>
    <t>Fontaine, Ryan</t>
  </si>
  <si>
    <t>Gaeton, Alexander (Fred)</t>
  </si>
  <si>
    <t>Gagne, Antonio</t>
  </si>
  <si>
    <t>Gagnon-Tremblay, Nancy</t>
  </si>
  <si>
    <t>Gale, Brian</t>
  </si>
  <si>
    <t>Garland, Spencer</t>
  </si>
  <si>
    <t>Gasbay, Robert</t>
  </si>
  <si>
    <t>Gauthier, Oliver</t>
  </si>
  <si>
    <t>Gauvin, Mario</t>
  </si>
  <si>
    <t>Goodison, Robert</t>
  </si>
  <si>
    <t>Gould, Jason</t>
  </si>
  <si>
    <t>Gravel, Gilles</t>
  </si>
  <si>
    <t>Green, Gregory</t>
  </si>
  <si>
    <t>Green, Norm</t>
  </si>
  <si>
    <t>Gregory, Galan</t>
  </si>
  <si>
    <t>Gross, Paul</t>
  </si>
  <si>
    <t>Guay, Alan</t>
  </si>
  <si>
    <t>Guay, Marcel</t>
  </si>
  <si>
    <t>Gustafson, Gordon</t>
  </si>
  <si>
    <t>Hallihan, Daniel</t>
  </si>
  <si>
    <t>Hallihan, Roderick</t>
  </si>
  <si>
    <t>Hamm, Michael</t>
  </si>
  <si>
    <t>Hanna, John</t>
  </si>
  <si>
    <t>Hart, Richard</t>
  </si>
  <si>
    <t>Hassen, Abdineli</t>
  </si>
  <si>
    <t>Havelin, William</t>
  </si>
  <si>
    <t>Hayduk, William</t>
  </si>
  <si>
    <t>Helm, Kyle</t>
  </si>
  <si>
    <t>Henderson, Robert</t>
  </si>
  <si>
    <t>Hendrickson, Thomas</t>
  </si>
  <si>
    <t>Henry, Teresa</t>
  </si>
  <si>
    <t>Hill, Larry</t>
  </si>
  <si>
    <t>Hogan, Darnell</t>
  </si>
  <si>
    <t>Hood, David</t>
  </si>
  <si>
    <t>Hopkins, Mathew</t>
  </si>
  <si>
    <t>Hopkins, Neville</t>
  </si>
  <si>
    <t>Houle, Patrick</t>
  </si>
  <si>
    <t>Hube, Kevin</t>
  </si>
  <si>
    <t>Hunter, Todd</t>
  </si>
  <si>
    <t>Ingram, Rory</t>
  </si>
  <si>
    <t>Ion, Marian</t>
  </si>
  <si>
    <t>Jacklin, Cody</t>
  </si>
  <si>
    <t>Jacklin, Derek</t>
  </si>
  <si>
    <t>Jackson, Herbert</t>
  </si>
  <si>
    <t>Jackson, Mathew</t>
  </si>
  <si>
    <t>James, Douglas</t>
  </si>
  <si>
    <t>Jamison, Cody</t>
  </si>
  <si>
    <t>Jarosz, David</t>
  </si>
  <si>
    <t>Javens, Ellen</t>
  </si>
  <si>
    <t>Johnson, Dakota</t>
  </si>
  <si>
    <t>Johnston, Robert</t>
  </si>
  <si>
    <t>Kachkowski, Cecil</t>
  </si>
  <si>
    <t>Kastendieck, Mike</t>
  </si>
  <si>
    <t>Keiver, Carl</t>
  </si>
  <si>
    <t>Kirkendall, Andrew</t>
  </si>
  <si>
    <t>Kitchen, Brian</t>
  </si>
  <si>
    <t>Kitchen, Murray</t>
  </si>
  <si>
    <t>Klassen, Jesse</t>
  </si>
  <si>
    <t>Komoroski, Andrew</t>
  </si>
  <si>
    <t>Korrey, Paul</t>
  </si>
  <si>
    <t>Kozdrowski, Hank</t>
  </si>
  <si>
    <t>Kristalovich, Ken</t>
  </si>
  <si>
    <t>Kristalovich, Barry</t>
  </si>
  <si>
    <t>Kuehl, Aaron</t>
  </si>
  <si>
    <t>Kump, Matthew</t>
  </si>
  <si>
    <t>Larocque, Danny</t>
  </si>
  <si>
    <t>Larocque, Denis</t>
  </si>
  <si>
    <t>Larocque, Travis</t>
  </si>
  <si>
    <t>Laur, Robert</t>
  </si>
  <si>
    <t>Lemal, Earl</t>
  </si>
  <si>
    <t>Lepard, Grant</t>
  </si>
  <si>
    <t>Letourneau, Robert</t>
  </si>
  <si>
    <t>Levens, Brian</t>
  </si>
  <si>
    <t>Loisel, Richard</t>
  </si>
  <si>
    <t>Long, John</t>
  </si>
  <si>
    <t>Lougheed, Stephen</t>
  </si>
  <si>
    <t>MacIsaac, Allan</t>
  </si>
  <si>
    <t>Mackelson, Michael</t>
  </si>
  <si>
    <t>MacKinnon, Darnell</t>
  </si>
  <si>
    <t>MacPhail, Robert</t>
  </si>
  <si>
    <t>Manderville, Lance</t>
  </si>
  <si>
    <t>Manson, Jason</t>
  </si>
  <si>
    <t>Marchment, Jamie</t>
  </si>
  <si>
    <t>Maric, Vojislan</t>
  </si>
  <si>
    <t>Marshall, Darrel</t>
  </si>
  <si>
    <t>Marshall, Raymond</t>
  </si>
  <si>
    <t>Martin, Kerry</t>
  </si>
  <si>
    <t>Martindale, Peter</t>
  </si>
  <si>
    <t>McCosh, Robert</t>
  </si>
  <si>
    <t>McDonald, Gord</t>
  </si>
  <si>
    <t>McLean, Bradley</t>
  </si>
  <si>
    <t>McLean, Dion</t>
  </si>
  <si>
    <t>McLean, Fred</t>
  </si>
  <si>
    <t>Mills, Gary</t>
  </si>
  <si>
    <t>Mitchell, Jim</t>
  </si>
  <si>
    <t>Moore, Stephen</t>
  </si>
  <si>
    <t>Moore, Tyler</t>
  </si>
  <si>
    <t>Moss, Phil</t>
  </si>
  <si>
    <t>Mowbray, Frank (Butch)</t>
  </si>
  <si>
    <t>Muhumed, Alodirahinan</t>
  </si>
  <si>
    <t>Munn, Larry</t>
  </si>
  <si>
    <t>Murphy, Nadine</t>
  </si>
  <si>
    <t>Murphy, Reginald</t>
  </si>
  <si>
    <t>Muxlow, Doug</t>
  </si>
  <si>
    <t>O'Brien, Kevin</t>
  </si>
  <si>
    <t>O'Brien, Shane</t>
  </si>
  <si>
    <t>O'Brien, Tyler</t>
  </si>
  <si>
    <t>O'Connell, Scott</t>
  </si>
  <si>
    <t>Ouellet, Benoit</t>
  </si>
  <si>
    <t>Ouellette, Tim</t>
  </si>
  <si>
    <t>Panovic, Dave</t>
  </si>
  <si>
    <t>Papin, Terrance</t>
  </si>
  <si>
    <t>Paquette, Rick</t>
  </si>
  <si>
    <t>Pasch, Frederick</t>
  </si>
  <si>
    <t>Patrick, Bruce</t>
  </si>
  <si>
    <t>Pearce, Kyle</t>
  </si>
  <si>
    <t>Pederson, Rodney</t>
  </si>
  <si>
    <t>Peterson, Terry</t>
  </si>
  <si>
    <t>Pideherny, Darryon</t>
  </si>
  <si>
    <t>Pinese, Thomas</t>
  </si>
  <si>
    <t>Piwtarak, Mike</t>
  </si>
  <si>
    <t>Poeta, Robert</t>
  </si>
  <si>
    <t>Poplar, Devin</t>
  </si>
  <si>
    <t>Price, Charles</t>
  </si>
  <si>
    <t>Prive, Pamela</t>
  </si>
  <si>
    <t>Prive, Robert</t>
  </si>
  <si>
    <t>Proulx, Claude</t>
  </si>
  <si>
    <t>Quann, James</t>
  </si>
  <si>
    <t>Quibell, Ryan</t>
  </si>
  <si>
    <t>Ramchuk, Chris</t>
  </si>
  <si>
    <t>Reicker, Holy</t>
  </si>
  <si>
    <t>Reimer, London</t>
  </si>
  <si>
    <t>Restau, Brad</t>
  </si>
  <si>
    <t>Rivera-Alfaro, Alberto</t>
  </si>
  <si>
    <t>Rizzo, Rizardo</t>
  </si>
  <si>
    <t>Robinson, Murray</t>
  </si>
  <si>
    <t>Rogers, Mark</t>
  </si>
  <si>
    <t>Russell, Thomas</t>
  </si>
  <si>
    <t>Saili, Ahmed</t>
  </si>
  <si>
    <t>Saunders, Sandy</t>
  </si>
  <si>
    <t>Savarie, Tim</t>
  </si>
  <si>
    <t>Semore, Guy</t>
  </si>
  <si>
    <t>Sequin, Jacques</t>
  </si>
  <si>
    <t>Seymour, Dennis</t>
  </si>
  <si>
    <t>Simpson, Vance</t>
  </si>
  <si>
    <t>Skori, Guy</t>
  </si>
  <si>
    <t>Smale, Quentin</t>
  </si>
  <si>
    <t>Smith, Anthony</t>
  </si>
  <si>
    <t>Smith, Gary</t>
  </si>
  <si>
    <t>Smith, Matthew</t>
  </si>
  <si>
    <t>Snow, Shannon</t>
  </si>
  <si>
    <t>Spencer, Cara</t>
  </si>
  <si>
    <t>Spragg, John</t>
  </si>
  <si>
    <t>Stadnek, Duane</t>
  </si>
  <si>
    <t>Stewart, Allan</t>
  </si>
  <si>
    <t>Strang, Teena</t>
  </si>
  <si>
    <t>Stronguist, Mitchell</t>
  </si>
  <si>
    <t>Sullivan, Michael</t>
  </si>
  <si>
    <t>Symington, Christan</t>
  </si>
  <si>
    <t>Tanner, Steve</t>
  </si>
  <si>
    <t>Todd, Douglas</t>
  </si>
  <si>
    <t>Tosczak, Brayden</t>
  </si>
  <si>
    <t>Trudel, Adrien</t>
  </si>
  <si>
    <t>Utz, George</t>
  </si>
  <si>
    <t>Van de Ligt, Lesley</t>
  </si>
  <si>
    <t>Vandenbussche, Brian</t>
  </si>
  <si>
    <t>Van Wallegham, Allan</t>
  </si>
  <si>
    <t>Vodden, Ryan</t>
  </si>
  <si>
    <t>Wakefield, Kirk</t>
  </si>
  <si>
    <t>Walkins, Kenneth</t>
  </si>
  <si>
    <t>Ward, Lucas</t>
  </si>
  <si>
    <t>Wark, Keith</t>
  </si>
  <si>
    <t>Way, Aaron</t>
  </si>
  <si>
    <t>Weisgerber, Craig</t>
  </si>
  <si>
    <t>Williams, Francis</t>
  </si>
  <si>
    <t>Zerr, Jeffery</t>
  </si>
  <si>
    <t>Zorn, Elizabeth</t>
  </si>
  <si>
    <t>Field Log 16</t>
  </si>
  <si>
    <t>Field Log 17</t>
  </si>
  <si>
    <t>Field Log 18</t>
  </si>
  <si>
    <t>Field Log 19</t>
  </si>
  <si>
    <t>Field Log 20</t>
  </si>
  <si>
    <t>DL2528</t>
  </si>
  <si>
    <t>Herald, Craig</t>
  </si>
  <si>
    <t>Wallace, Warren</t>
  </si>
  <si>
    <t>Drake, Raymond</t>
  </si>
  <si>
    <t>Rutar, Jeffery</t>
  </si>
  <si>
    <t>Boudreau, Jean</t>
  </si>
  <si>
    <t>Woods, Stanley</t>
  </si>
  <si>
    <t>Mallette, Rodney</t>
  </si>
  <si>
    <t>O'Donnell, James</t>
  </si>
  <si>
    <t>Van Zutphen, Michael</t>
  </si>
  <si>
    <t>SA11-032</t>
  </si>
  <si>
    <t>DL2512</t>
  </si>
  <si>
    <t>Gilles, James</t>
  </si>
  <si>
    <t>SA10-008</t>
  </si>
  <si>
    <t>WF4</t>
  </si>
  <si>
    <t>W84</t>
  </si>
  <si>
    <t>SA10-007</t>
  </si>
  <si>
    <t>SA11-030</t>
  </si>
  <si>
    <t>DL2588</t>
  </si>
  <si>
    <t>DL2750</t>
  </si>
  <si>
    <t>DL2611</t>
  </si>
  <si>
    <t>SA5-003</t>
  </si>
  <si>
    <t>TR351</t>
  </si>
  <si>
    <t>Lien, Wesley</t>
  </si>
  <si>
    <t>Chrustie, Tim</t>
  </si>
  <si>
    <t>DL2545</t>
  </si>
  <si>
    <t>DL2546</t>
  </si>
  <si>
    <t>Johannesson, Aaron</t>
  </si>
  <si>
    <t>Curry, Brent</t>
  </si>
  <si>
    <t>Sutherland, Joe</t>
  </si>
  <si>
    <t>DL2561</t>
  </si>
  <si>
    <t>SA9-016C</t>
  </si>
  <si>
    <t>SA9-016A</t>
  </si>
  <si>
    <t>DL2555</t>
  </si>
  <si>
    <t>SA3-006</t>
  </si>
  <si>
    <t>SA3-008</t>
  </si>
  <si>
    <t>AD7</t>
  </si>
  <si>
    <t>AD8</t>
  </si>
  <si>
    <t>SA11-033</t>
  </si>
  <si>
    <t>SA11-034</t>
  </si>
  <si>
    <t>E138</t>
  </si>
  <si>
    <t>E139</t>
  </si>
  <si>
    <t>E111</t>
  </si>
  <si>
    <t>SA6-005</t>
  </si>
  <si>
    <t>SA6-013</t>
  </si>
  <si>
    <t>SA5-001</t>
  </si>
  <si>
    <t>SA5-004</t>
  </si>
  <si>
    <t>TC122</t>
  </si>
  <si>
    <t>TC222</t>
  </si>
  <si>
    <t>SA6-012</t>
  </si>
  <si>
    <t>SB103</t>
  </si>
  <si>
    <t>SB302</t>
  </si>
  <si>
    <t>SB415</t>
  </si>
  <si>
    <t>SB406</t>
  </si>
  <si>
    <t>SA7-015</t>
  </si>
  <si>
    <t>SB405</t>
  </si>
  <si>
    <t>SB310</t>
  </si>
  <si>
    <t>U651Q0182</t>
  </si>
  <si>
    <t>SB410</t>
  </si>
  <si>
    <t>SA9-014C</t>
  </si>
  <si>
    <t>SA9-017C</t>
  </si>
  <si>
    <t>SA9-014A</t>
  </si>
  <si>
    <t>SA9-017A</t>
  </si>
  <si>
    <t>SA9-014B</t>
  </si>
  <si>
    <t>SA9-016B</t>
  </si>
  <si>
    <t>SA9-017B</t>
  </si>
  <si>
    <t>A08138</t>
  </si>
  <si>
    <t>SA3-010</t>
  </si>
  <si>
    <t>DL2584</t>
  </si>
  <si>
    <t>DL2554</t>
  </si>
  <si>
    <t>DL2556</t>
  </si>
  <si>
    <t>DL2562</t>
  </si>
  <si>
    <t>DL2538</t>
  </si>
  <si>
    <t>DL2540</t>
  </si>
  <si>
    <t>DL2530</t>
  </si>
  <si>
    <t>DL2531</t>
  </si>
  <si>
    <t>DL2529</t>
  </si>
  <si>
    <t>DL2573</t>
  </si>
  <si>
    <t>BM60</t>
  </si>
  <si>
    <t>SK03</t>
  </si>
  <si>
    <t>SA9-025B</t>
  </si>
  <si>
    <t>SA9-025C</t>
  </si>
  <si>
    <t>Corbin, Kathy</t>
  </si>
  <si>
    <t>SA9-025A</t>
  </si>
  <si>
    <t>DL2549</t>
  </si>
  <si>
    <t>OR2174</t>
  </si>
  <si>
    <t>OR2091</t>
  </si>
  <si>
    <t>OR2092</t>
  </si>
  <si>
    <t>SA11-035</t>
  </si>
  <si>
    <t>sheep foots packer</t>
  </si>
  <si>
    <t>OR2111</t>
  </si>
  <si>
    <t>Broschak</t>
  </si>
  <si>
    <t>OR2006</t>
  </si>
  <si>
    <t>OR2219</t>
  </si>
  <si>
    <t>Almand Heater</t>
  </si>
  <si>
    <t>SA11-027</t>
  </si>
  <si>
    <t>TR384</t>
  </si>
  <si>
    <t>ATV10</t>
  </si>
  <si>
    <t>ATV11</t>
  </si>
  <si>
    <t>PS1</t>
  </si>
  <si>
    <t>T237</t>
  </si>
  <si>
    <t>T332</t>
  </si>
  <si>
    <t>McCullough, John</t>
  </si>
  <si>
    <t>442T</t>
  </si>
  <si>
    <t>OR2001</t>
  </si>
  <si>
    <t>OR2002A</t>
  </si>
  <si>
    <t>OR2002B</t>
  </si>
  <si>
    <t>OR2003A</t>
  </si>
  <si>
    <t>OR2003B</t>
  </si>
  <si>
    <t>OR2004A</t>
  </si>
  <si>
    <t>OR2004B</t>
  </si>
  <si>
    <t>OR2005A</t>
  </si>
  <si>
    <t>KDM</t>
  </si>
  <si>
    <t>OR2005B</t>
  </si>
  <si>
    <t>OR2007</t>
  </si>
  <si>
    <t>OR2311</t>
  </si>
  <si>
    <t>Brown, Matthew</t>
  </si>
  <si>
    <t>Delorme, Kevin</t>
  </si>
  <si>
    <t>Burke, Michael</t>
  </si>
  <si>
    <t>OR2112</t>
  </si>
  <si>
    <t>OR2121</t>
  </si>
  <si>
    <t>Elefson</t>
  </si>
  <si>
    <t>Delorme</t>
  </si>
  <si>
    <t>Gosby, Robert</t>
  </si>
  <si>
    <t>SA9-024B</t>
  </si>
  <si>
    <t>SA9-024A</t>
  </si>
  <si>
    <t>SA9-024C</t>
  </si>
  <si>
    <t>McLaren, Bill</t>
  </si>
  <si>
    <t>Shippy, Kelly</t>
  </si>
  <si>
    <t>Cote, Marco</t>
  </si>
  <si>
    <t>Clavette, Tanis</t>
  </si>
  <si>
    <t>DL2565</t>
  </si>
  <si>
    <t>OR2252</t>
  </si>
  <si>
    <t>Prive, Paul</t>
  </si>
  <si>
    <t>Jacklin, Stanley</t>
  </si>
  <si>
    <t>DL2505</t>
  </si>
  <si>
    <t>SA11-038</t>
  </si>
  <si>
    <t>OR2153</t>
  </si>
  <si>
    <t>CT18</t>
  </si>
  <si>
    <t>OR2114</t>
  </si>
  <si>
    <t>Tostyniuk, Bryce</t>
  </si>
  <si>
    <t>Smigelski, James</t>
  </si>
  <si>
    <t>Ewart, Wanda</t>
  </si>
  <si>
    <t>OR2304</t>
  </si>
  <si>
    <t>OR2302</t>
  </si>
  <si>
    <t>429T</t>
  </si>
  <si>
    <t>OR2312</t>
  </si>
  <si>
    <t>Field Log 21</t>
  </si>
  <si>
    <t>Naytowhow, Alex</t>
  </si>
  <si>
    <t>Eaton, Keith</t>
  </si>
  <si>
    <t>OR2115</t>
  </si>
  <si>
    <t>Eaton</t>
  </si>
  <si>
    <t>Arseneau, Carl</t>
  </si>
  <si>
    <t>OR2008</t>
  </si>
  <si>
    <t>OR2009</t>
  </si>
  <si>
    <t>Cunningham, Theresa</t>
  </si>
  <si>
    <t>Elhelou, Daniel</t>
  </si>
  <si>
    <t>Primrose, Samantha</t>
  </si>
  <si>
    <t>OR2063</t>
  </si>
  <si>
    <t>Nesmeyanov, Pavlo</t>
  </si>
  <si>
    <t>Field Log 22</t>
  </si>
  <si>
    <t>Field Log 23</t>
  </si>
  <si>
    <t>Field Log 24</t>
  </si>
  <si>
    <t>Field Log 25</t>
  </si>
  <si>
    <t>Field Log 26</t>
  </si>
  <si>
    <t>Field Log 27</t>
  </si>
  <si>
    <t>Field Log 28</t>
  </si>
  <si>
    <t>Field Log 29</t>
  </si>
  <si>
    <t>Field Log 30</t>
  </si>
  <si>
    <t>Duplicates</t>
  </si>
  <si>
    <t>Drake, Jenna</t>
  </si>
  <si>
    <t>Andrews, Brian</t>
  </si>
  <si>
    <t>Wright, Dave</t>
  </si>
  <si>
    <t>OR2116</t>
  </si>
  <si>
    <t>P567</t>
  </si>
  <si>
    <t>OR2253a</t>
  </si>
  <si>
    <t>OR2253b</t>
  </si>
  <si>
    <t>CT17</t>
  </si>
  <si>
    <t>Dunham, Phil</t>
  </si>
  <si>
    <t>Lush, Chuck</t>
  </si>
  <si>
    <t>OR1006</t>
  </si>
  <si>
    <t>Additional Hours</t>
  </si>
  <si>
    <t>OR1145</t>
  </si>
  <si>
    <t>OR1146</t>
  </si>
  <si>
    <t>OR1147</t>
  </si>
  <si>
    <t>OR1148</t>
  </si>
  <si>
    <t>SA3-009</t>
  </si>
  <si>
    <t>Lamb, James</t>
  </si>
  <si>
    <t>Ireland, Penny</t>
  </si>
  <si>
    <t>OR1022</t>
  </si>
  <si>
    <t>OR1025</t>
  </si>
  <si>
    <t>OR1024</t>
  </si>
  <si>
    <t>OR1027</t>
  </si>
  <si>
    <t>Hujoic, Dave</t>
  </si>
  <si>
    <t>OR1016</t>
  </si>
  <si>
    <t>Symons, Cory</t>
  </si>
  <si>
    <t>Symons, Creighton</t>
  </si>
  <si>
    <t>Dionne, JC</t>
  </si>
  <si>
    <t>Stamplecoski, Mark</t>
  </si>
  <si>
    <t>OR1021</t>
  </si>
  <si>
    <t>OR1020</t>
  </si>
  <si>
    <t>DL2542</t>
  </si>
  <si>
    <t>OR1500</t>
  </si>
  <si>
    <t>OR1501</t>
  </si>
  <si>
    <t>OR1100</t>
  </si>
  <si>
    <t>OR1101</t>
  </si>
  <si>
    <t>OR1102</t>
  </si>
  <si>
    <t>SA9-020</t>
  </si>
  <si>
    <t>OR1105</t>
  </si>
  <si>
    <t>Spread</t>
  </si>
  <si>
    <t>OR1005</t>
  </si>
  <si>
    <t>Fedoruk</t>
  </si>
  <si>
    <t>Lavall</t>
  </si>
  <si>
    <t>Husak</t>
  </si>
  <si>
    <t>Balash</t>
  </si>
  <si>
    <t>OR1149</t>
  </si>
  <si>
    <t>OR1150</t>
  </si>
  <si>
    <t>OR1151</t>
  </si>
  <si>
    <t>OR1152</t>
  </si>
  <si>
    <t>Murray, Danny</t>
  </si>
  <si>
    <t>Smillie, David</t>
  </si>
  <si>
    <t>OR1301C</t>
  </si>
  <si>
    <t>OR1303C</t>
  </si>
  <si>
    <t>OR1301B</t>
  </si>
  <si>
    <t>OR1303B</t>
  </si>
  <si>
    <t>OR1301A</t>
  </si>
  <si>
    <t>OR1303A</t>
  </si>
  <si>
    <t>OR1305</t>
  </si>
  <si>
    <t>OR1306</t>
  </si>
  <si>
    <t>OR1106</t>
  </si>
  <si>
    <t>SA3-007</t>
  </si>
  <si>
    <t>OR1023</t>
  </si>
  <si>
    <t>CT23</t>
  </si>
  <si>
    <t>OR1107</t>
  </si>
  <si>
    <t>PFS1</t>
  </si>
  <si>
    <t>OR1050</t>
  </si>
  <si>
    <t>OR1026</t>
  </si>
  <si>
    <t>OR2090</t>
  </si>
  <si>
    <t>443AT</t>
  </si>
  <si>
    <t>443BT</t>
  </si>
  <si>
    <t>443CT</t>
  </si>
  <si>
    <t>419T</t>
  </si>
  <si>
    <t>441T</t>
  </si>
  <si>
    <t>490T</t>
  </si>
  <si>
    <t>Thompson</t>
  </si>
  <si>
    <t>466T</t>
  </si>
  <si>
    <t>OR1307</t>
  </si>
  <si>
    <t>OR1302</t>
  </si>
  <si>
    <t>Lafrance, Eric</t>
  </si>
  <si>
    <t>DL2812</t>
  </si>
  <si>
    <t>OR1190</t>
  </si>
  <si>
    <t>DL2520</t>
  </si>
  <si>
    <t>OR1109</t>
  </si>
  <si>
    <t>OR1206</t>
  </si>
  <si>
    <t>OR1592</t>
  </si>
  <si>
    <t>PB11</t>
  </si>
  <si>
    <t>310T</t>
  </si>
  <si>
    <t>384T</t>
  </si>
  <si>
    <t>443c</t>
  </si>
  <si>
    <t>444TC</t>
  </si>
  <si>
    <t>OR1133</t>
  </si>
  <si>
    <t>OR1134</t>
  </si>
  <si>
    <t>OR1137</t>
  </si>
  <si>
    <t>OR1138</t>
  </si>
  <si>
    <t>OR1139</t>
  </si>
  <si>
    <t>OR1140</t>
  </si>
  <si>
    <t>OR1141</t>
  </si>
  <si>
    <t>OR2011</t>
  </si>
  <si>
    <t>OR2012</t>
  </si>
  <si>
    <t>OR2013</t>
  </si>
  <si>
    <t>OR2014</t>
  </si>
  <si>
    <t>OR2015</t>
  </si>
  <si>
    <t>OR2016</t>
  </si>
  <si>
    <t>OR2017</t>
  </si>
  <si>
    <t>OR2018</t>
  </si>
  <si>
    <t>OR2019</t>
  </si>
  <si>
    <t>OR2020</t>
  </si>
  <si>
    <t>OR2021</t>
  </si>
  <si>
    <t>OR2024</t>
  </si>
  <si>
    <t>OR2025</t>
  </si>
  <si>
    <t>OR2026</t>
  </si>
  <si>
    <t>BM10</t>
  </si>
  <si>
    <t>BM58</t>
  </si>
  <si>
    <t>OR1007</t>
  </si>
  <si>
    <t>OR1008</t>
  </si>
  <si>
    <t>OR1009</t>
  </si>
  <si>
    <t>OR1015</t>
  </si>
  <si>
    <t>OR1017</t>
  </si>
  <si>
    <t>OR1018</t>
  </si>
  <si>
    <t>OR1060</t>
  </si>
  <si>
    <t>OR1061</t>
  </si>
  <si>
    <t>OR1064</t>
  </si>
  <si>
    <t>OR2031</t>
  </si>
  <si>
    <t>OR2032</t>
  </si>
  <si>
    <t>OR2033</t>
  </si>
  <si>
    <t>OR2034</t>
  </si>
  <si>
    <t>OR2035</t>
  </si>
  <si>
    <t>OR2036</t>
  </si>
  <si>
    <t>OR2037</t>
  </si>
  <si>
    <t>OR2038</t>
  </si>
  <si>
    <t>OR2039</t>
  </si>
  <si>
    <t>OR2040</t>
  </si>
  <si>
    <t>OR2041</t>
  </si>
  <si>
    <t>OR2045</t>
  </si>
  <si>
    <t>OR2046</t>
  </si>
  <si>
    <t>OR2047</t>
  </si>
  <si>
    <t>OR1000</t>
  </si>
  <si>
    <t>OR1001</t>
  </si>
  <si>
    <t>OR1002</t>
  </si>
  <si>
    <t>OR1003</t>
  </si>
  <si>
    <t>OR1010</t>
  </si>
  <si>
    <t>OR1011</t>
  </si>
  <si>
    <t>OR1012</t>
  </si>
  <si>
    <t>OR1014</t>
  </si>
  <si>
    <t>OR1019</t>
  </si>
  <si>
    <t>DM73</t>
  </si>
  <si>
    <t>DM75</t>
  </si>
  <si>
    <t>OR1593</t>
  </si>
  <si>
    <t>OR2175</t>
  </si>
  <si>
    <t>OR2180</t>
  </si>
  <si>
    <t>OR2181</t>
  </si>
  <si>
    <t>OR2182</t>
  </si>
  <si>
    <t>OR2189</t>
  </si>
  <si>
    <t>OR1540</t>
  </si>
  <si>
    <t>SA5-015</t>
  </si>
  <si>
    <t>SA5-016</t>
  </si>
  <si>
    <t>SA5-017</t>
  </si>
  <si>
    <t>SA5-018</t>
  </si>
  <si>
    <t>FE24</t>
  </si>
  <si>
    <t>FE12</t>
  </si>
  <si>
    <t>FE17</t>
  </si>
  <si>
    <t>FE20</t>
  </si>
  <si>
    <t>OR1205</t>
  </si>
  <si>
    <t>OR1590</t>
  </si>
  <si>
    <t>OR1591</t>
  </si>
  <si>
    <t>OR2177</t>
  </si>
  <si>
    <t>OR2178</t>
  </si>
  <si>
    <t>OR2179</t>
  </si>
  <si>
    <t>OR2220</t>
  </si>
  <si>
    <t>DL2532</t>
  </si>
  <si>
    <t>DL2534</t>
  </si>
  <si>
    <t>OR1051</t>
  </si>
  <si>
    <t>OR1052</t>
  </si>
  <si>
    <t>OR1053</t>
  </si>
  <si>
    <t>OR1054</t>
  </si>
  <si>
    <t>OR1056</t>
  </si>
  <si>
    <t>OR1057</t>
  </si>
  <si>
    <t>OR1058</t>
  </si>
  <si>
    <t>OR1059</t>
  </si>
  <si>
    <t>OR1062</t>
  </si>
  <si>
    <t>OR1063</t>
  </si>
  <si>
    <t>OR2048</t>
  </si>
  <si>
    <t>OR2089</t>
  </si>
  <si>
    <t>DL2516</t>
  </si>
  <si>
    <t>DL2517</t>
  </si>
  <si>
    <t>DL2524</t>
  </si>
  <si>
    <t>DL2525</t>
  </si>
  <si>
    <t>DL2527</t>
  </si>
  <si>
    <t>DL2575</t>
  </si>
  <si>
    <t>DL2576</t>
  </si>
  <si>
    <t>OR1055</t>
  </si>
  <si>
    <t>OR2504</t>
  </si>
  <si>
    <t>PROPANE FILL STATION</t>
  </si>
  <si>
    <t>OR2301</t>
  </si>
  <si>
    <t>OR2303</t>
  </si>
  <si>
    <t>OR2305</t>
  </si>
  <si>
    <t>GS20</t>
  </si>
  <si>
    <t>GS1</t>
  </si>
  <si>
    <t>GS3</t>
  </si>
  <si>
    <t>GS4</t>
  </si>
  <si>
    <t>GS5</t>
  </si>
  <si>
    <t>GS7</t>
  </si>
  <si>
    <t>GS8</t>
  </si>
  <si>
    <t>OR2183</t>
  </si>
  <si>
    <t>SA9-022</t>
  </si>
  <si>
    <t>SA11-003</t>
  </si>
  <si>
    <t>390T</t>
  </si>
  <si>
    <t>443A</t>
  </si>
  <si>
    <t>OR2000</t>
  </si>
  <si>
    <t>930 LOADER</t>
  </si>
  <si>
    <t>OR2251</t>
  </si>
  <si>
    <t>443B</t>
  </si>
  <si>
    <t>OR1153</t>
  </si>
  <si>
    <t>Shabaga</t>
  </si>
  <si>
    <t>OR2117</t>
  </si>
  <si>
    <t>OR2118</t>
  </si>
  <si>
    <t>White</t>
  </si>
  <si>
    <t>OR2113</t>
  </si>
  <si>
    <t>Arsenault</t>
  </si>
  <si>
    <t>OR2119</t>
  </si>
  <si>
    <t>Chorney</t>
  </si>
  <si>
    <t>Imerson</t>
  </si>
  <si>
    <t>OR1108A</t>
  </si>
  <si>
    <t>OR1108B</t>
  </si>
  <si>
    <t>Picker 45 Ton</t>
  </si>
  <si>
    <t>OR1030</t>
  </si>
  <si>
    <t>DL2552</t>
  </si>
  <si>
    <t>DL2073</t>
  </si>
  <si>
    <t>SA11-005</t>
  </si>
  <si>
    <t>SA11-006</t>
  </si>
  <si>
    <t>306T</t>
  </si>
  <si>
    <t>420T</t>
  </si>
  <si>
    <t>SA11-015</t>
  </si>
  <si>
    <t>SA3-003</t>
  </si>
  <si>
    <t>OR2218</t>
  </si>
  <si>
    <t>SB203</t>
  </si>
  <si>
    <t>SB312</t>
  </si>
  <si>
    <t>SB07</t>
  </si>
  <si>
    <t>SB404</t>
  </si>
  <si>
    <t>SB407</t>
  </si>
  <si>
    <t>SB416</t>
  </si>
  <si>
    <t>SB418</t>
  </si>
  <si>
    <t>SK04</t>
  </si>
  <si>
    <t>SKSLP01</t>
  </si>
  <si>
    <t>SKSLP02</t>
  </si>
  <si>
    <t>SKSLP03</t>
  </si>
  <si>
    <t>SKSLP04</t>
  </si>
  <si>
    <t>SKSLP05</t>
  </si>
  <si>
    <t>SKSLP06</t>
  </si>
  <si>
    <t>SKSLP07</t>
  </si>
  <si>
    <t>SKSLP08</t>
  </si>
  <si>
    <t>SKSLP09</t>
  </si>
  <si>
    <t>SKSLP10</t>
  </si>
  <si>
    <t>SKSLP11</t>
  </si>
  <si>
    <t>SKSLP12</t>
  </si>
  <si>
    <t>SKSLP13</t>
  </si>
  <si>
    <t>SKSLP14</t>
  </si>
  <si>
    <t>SKSLP15</t>
  </si>
  <si>
    <t>SKSLP16</t>
  </si>
  <si>
    <t>SKSLP17</t>
  </si>
  <si>
    <t>SKSLP18</t>
  </si>
  <si>
    <t>SKSLP19</t>
  </si>
  <si>
    <t>SKSLP20</t>
  </si>
  <si>
    <t>SLD01</t>
  </si>
  <si>
    <t>SLD02</t>
  </si>
  <si>
    <t>SLD03</t>
  </si>
  <si>
    <t>474T</t>
  </si>
  <si>
    <t>OR2313</t>
  </si>
  <si>
    <t>OR2315</t>
  </si>
  <si>
    <t>448T</t>
  </si>
  <si>
    <t>439T</t>
  </si>
  <si>
    <t>OR1110</t>
  </si>
  <si>
    <t>OR1308</t>
  </si>
  <si>
    <t>DL2811</t>
  </si>
  <si>
    <t>OR1191</t>
  </si>
  <si>
    <t>OR1192</t>
  </si>
  <si>
    <t>321T</t>
  </si>
  <si>
    <t>358T</t>
  </si>
  <si>
    <t>SA11-060</t>
  </si>
  <si>
    <t>SP2</t>
  </si>
  <si>
    <t>WS2</t>
  </si>
  <si>
    <t>WS3</t>
  </si>
  <si>
    <t>WS4</t>
  </si>
  <si>
    <t>WF3</t>
  </si>
  <si>
    <t>WF5</t>
  </si>
  <si>
    <t>SA9-023</t>
  </si>
  <si>
    <t>223T</t>
  </si>
  <si>
    <t>440T</t>
  </si>
  <si>
    <t>P21, WP2</t>
  </si>
  <si>
    <t>TC129</t>
  </si>
  <si>
    <t>AWE10</t>
  </si>
  <si>
    <t>AWE8</t>
  </si>
  <si>
    <t>AWE9</t>
  </si>
  <si>
    <t>Dunham</t>
  </si>
  <si>
    <t>SA9-019</t>
  </si>
  <si>
    <t>OR1154</t>
  </si>
  <si>
    <t>Beever</t>
  </si>
  <si>
    <t>McQuaker</t>
  </si>
  <si>
    <t>444ct</t>
  </si>
  <si>
    <t>snowmobile</t>
  </si>
  <si>
    <t>Vallata, Lorenzo</t>
  </si>
  <si>
    <t>Gauld, Ryan</t>
  </si>
  <si>
    <t>LaBelle, Chris</t>
  </si>
  <si>
    <t>Shabaga, Mark</t>
  </si>
  <si>
    <t>Kerr, John</t>
  </si>
  <si>
    <t>Tremblay, Dominique</t>
  </si>
  <si>
    <t>OR2255</t>
  </si>
  <si>
    <t>OR2256a</t>
  </si>
  <si>
    <t>OR1515</t>
  </si>
  <si>
    <t>OR1518</t>
  </si>
  <si>
    <t>OR1519</t>
  </si>
  <si>
    <t>SA11-061</t>
  </si>
  <si>
    <t>OR1594</t>
  </si>
  <si>
    <t>OR1538</t>
  </si>
  <si>
    <t>OR1539</t>
  </si>
  <si>
    <t>OR1562</t>
  </si>
  <si>
    <t>OR1563</t>
  </si>
  <si>
    <t>OR1564</t>
  </si>
  <si>
    <t>OR1595</t>
  </si>
  <si>
    <t>OR2156</t>
  </si>
  <si>
    <t>OR2157</t>
  </si>
  <si>
    <t>OR2158</t>
  </si>
  <si>
    <t>OR2176</t>
  </si>
  <si>
    <t>OR2190</t>
  </si>
  <si>
    <t>OR2191</t>
  </si>
  <si>
    <t>OR1573</t>
  </si>
  <si>
    <t>OR1596</t>
  </si>
  <si>
    <t>OR1566</t>
  </si>
  <si>
    <t>OR2224</t>
  </si>
  <si>
    <t>OR2257</t>
  </si>
  <si>
    <t>SA3-001</t>
  </si>
  <si>
    <t>444AT</t>
  </si>
  <si>
    <t>T263</t>
  </si>
  <si>
    <t>444BT</t>
  </si>
  <si>
    <t>SA9-021</t>
  </si>
  <si>
    <t>473T</t>
  </si>
  <si>
    <t>449T</t>
  </si>
  <si>
    <t>OR2256b</t>
  </si>
  <si>
    <t>OR2306</t>
  </si>
  <si>
    <t>OR1029</t>
  </si>
  <si>
    <t>DL2624</t>
  </si>
  <si>
    <t>DL2803</t>
  </si>
  <si>
    <t>OR1028</t>
  </si>
  <si>
    <t>OR1032</t>
  </si>
  <si>
    <t>VAN</t>
  </si>
  <si>
    <t>DL2813</t>
  </si>
  <si>
    <t>DL2814</t>
  </si>
  <si>
    <t>DO NOT ENTER</t>
  </si>
  <si>
    <t>WF2</t>
  </si>
  <si>
    <t>CT33</t>
  </si>
  <si>
    <t>CT34</t>
  </si>
  <si>
    <t>OR1103A</t>
  </si>
  <si>
    <t>OR1103B</t>
  </si>
  <si>
    <t>OR1104A</t>
  </si>
  <si>
    <t>OR1104B</t>
  </si>
  <si>
    <t>OR1193</t>
  </si>
  <si>
    <t>SA5-022</t>
  </si>
  <si>
    <t>OR1585</t>
  </si>
  <si>
    <t>SA3-002</t>
  </si>
  <si>
    <t>512T</t>
  </si>
  <si>
    <t>OR1031</t>
  </si>
  <si>
    <t>OR1035</t>
  </si>
  <si>
    <t>OR2064</t>
  </si>
  <si>
    <t>OR2065</t>
  </si>
  <si>
    <t>Beever, Leslie</t>
  </si>
  <si>
    <t>Watts, Ken</t>
  </si>
  <si>
    <t>Jones, Goldwyn</t>
  </si>
  <si>
    <t>Burns, Cameron</t>
  </si>
  <si>
    <t>Langlois, John</t>
  </si>
  <si>
    <t>OR1004</t>
  </si>
  <si>
    <t>OR1167</t>
  </si>
  <si>
    <t>OR1166</t>
  </si>
  <si>
    <t>OR1506</t>
  </si>
  <si>
    <t>OR1514</t>
  </si>
  <si>
    <t>OR1537</t>
  </si>
  <si>
    <t>OR2161</t>
  </si>
  <si>
    <t>B.Whitworth</t>
  </si>
  <si>
    <t>S. Whitworth</t>
  </si>
  <si>
    <t>Kreke, Blair</t>
  </si>
  <si>
    <t>Garinger, Kerri</t>
  </si>
  <si>
    <t>OR2132</t>
  </si>
  <si>
    <t>OR1340</t>
  </si>
  <si>
    <t>OR1516</t>
  </si>
  <si>
    <t>OR1536</t>
  </si>
  <si>
    <t>OR1587</t>
  </si>
  <si>
    <t>OR1033</t>
  </si>
  <si>
    <t>OR2088</t>
  </si>
  <si>
    <t>OR2087</t>
  </si>
  <si>
    <t>OR2085</t>
  </si>
  <si>
    <t>R. Bidou</t>
  </si>
  <si>
    <t>OR2195</t>
  </si>
  <si>
    <t>OR1508</t>
  </si>
  <si>
    <t>OR1509</t>
  </si>
  <si>
    <t>OR1510</t>
  </si>
  <si>
    <t>OR2197</t>
  </si>
  <si>
    <t>42" Mandrel</t>
  </si>
  <si>
    <t>OR2198</t>
  </si>
  <si>
    <t>OR2199</t>
  </si>
  <si>
    <t>EQUIPMENT MANAGER</t>
  </si>
  <si>
    <t>PROJECT ADMINISTRATOR</t>
  </si>
  <si>
    <t>EQUIPMENT CLERK</t>
  </si>
  <si>
    <t>TRANSPORTATION CLERK</t>
  </si>
  <si>
    <t>Automatic Welding Tractor</t>
  </si>
  <si>
    <t>OR2122</t>
  </si>
  <si>
    <t>Burke</t>
  </si>
  <si>
    <t>OR2123</t>
  </si>
  <si>
    <t>Druery</t>
  </si>
  <si>
    <t>OR1555</t>
  </si>
  <si>
    <t>SA5-021</t>
  </si>
  <si>
    <t>Anguish, Christopher</t>
  </si>
  <si>
    <t>Calliou, Ed</t>
  </si>
  <si>
    <t>McClennan, Kaleb</t>
  </si>
  <si>
    <t>Merko, Andrew</t>
  </si>
  <si>
    <t>OR1502</t>
  </si>
  <si>
    <t>OR1503</t>
  </si>
  <si>
    <t>SA9-015</t>
  </si>
  <si>
    <t>OR1112</t>
  </si>
  <si>
    <t>Mursal, Abdi</t>
  </si>
  <si>
    <t>OR1507</t>
  </si>
  <si>
    <t>Balash, Garth</t>
  </si>
  <si>
    <t>Kuiack, Ronald</t>
  </si>
  <si>
    <t>Brindly, Kevin</t>
  </si>
  <si>
    <t>Tedesco, John</t>
  </si>
  <si>
    <t>LaPorte, Gary</t>
  </si>
  <si>
    <t>OR1341</t>
  </si>
  <si>
    <t>OR1565</t>
  </si>
  <si>
    <t>OR1517</t>
  </si>
  <si>
    <t>OR1588</t>
  </si>
  <si>
    <t>SA6-023</t>
  </si>
  <si>
    <t>SA6-024</t>
  </si>
  <si>
    <t>SA5-019</t>
  </si>
  <si>
    <t>OR1541</t>
  </si>
  <si>
    <t>OR1543</t>
  </si>
  <si>
    <t>OR1544</t>
  </si>
  <si>
    <t>OR1545</t>
  </si>
  <si>
    <t>OR1504</t>
  </si>
  <si>
    <t>Farm Tractor - Challenger MT844</t>
  </si>
  <si>
    <t>SA12-001</t>
  </si>
  <si>
    <t>OR1300</t>
  </si>
  <si>
    <t>404T</t>
  </si>
  <si>
    <t>OR1312</t>
  </si>
  <si>
    <t>OR1034</t>
  </si>
  <si>
    <t>OR1038</t>
  </si>
  <si>
    <t>OR1037</t>
  </si>
  <si>
    <t>OR2120</t>
  </si>
  <si>
    <t>Cridland</t>
  </si>
  <si>
    <t>OR2124</t>
  </si>
  <si>
    <t>McKay</t>
  </si>
  <si>
    <t>OR2225</t>
  </si>
  <si>
    <t>OR2226</t>
  </si>
  <si>
    <t>OR1313</t>
  </si>
  <si>
    <t>OR1207</t>
  </si>
  <si>
    <t>Skid Steer</t>
  </si>
  <si>
    <t>OR2259</t>
  </si>
  <si>
    <t>Wojcichowsky, Ron</t>
  </si>
  <si>
    <t>Theriault, Alain</t>
  </si>
  <si>
    <t>OR1342</t>
  </si>
  <si>
    <t>OR1209</t>
  </si>
  <si>
    <t>Borchers, Dieter</t>
  </si>
  <si>
    <t>SA11-025</t>
  </si>
  <si>
    <t>Farrow, Robb</t>
  </si>
  <si>
    <t>Malek, Dave</t>
  </si>
  <si>
    <t>Haug, Mark</t>
  </si>
  <si>
    <t>Eliuk, Darren</t>
  </si>
  <si>
    <t>Richardson, Dennis</t>
  </si>
  <si>
    <t>OR1542</t>
  </si>
  <si>
    <t>Guitard, Gerry</t>
  </si>
  <si>
    <t>OR1568</t>
  </si>
  <si>
    <t>OR1311</t>
  </si>
  <si>
    <t>SA9-026C</t>
  </si>
  <si>
    <t>SA9-026A</t>
  </si>
  <si>
    <t>SA9-026B</t>
  </si>
  <si>
    <t>OR1155</t>
  </si>
  <si>
    <t>Pidherny</t>
  </si>
  <si>
    <t>Rake- Hoe Attachment</t>
  </si>
  <si>
    <t>OR1511</t>
  </si>
  <si>
    <t>60' Portable Bridge</t>
  </si>
  <si>
    <t>OR1604</t>
  </si>
  <si>
    <t>Enviro-Pads</t>
  </si>
  <si>
    <t>OR1605</t>
  </si>
  <si>
    <t>Husak, Peter</t>
  </si>
  <si>
    <t>BeeKink, Ron</t>
  </si>
  <si>
    <t>Spencer McLay, Angus</t>
  </si>
  <si>
    <t>Wawin, Joshua</t>
  </si>
  <si>
    <t>Rodriguez, Raymond</t>
  </si>
  <si>
    <t>OR1513</t>
  </si>
  <si>
    <t>OR1522</t>
  </si>
  <si>
    <t>OR1525</t>
  </si>
  <si>
    <t>OR1570</t>
  </si>
  <si>
    <t>OR1210</t>
  </si>
  <si>
    <t>340T</t>
  </si>
  <si>
    <t>217T</t>
  </si>
  <si>
    <t>OR2258</t>
  </si>
  <si>
    <t>Maxwell, Darrel</t>
  </si>
  <si>
    <t>Monty, Doran</t>
  </si>
  <si>
    <t>Dodd, Tom</t>
  </si>
  <si>
    <t>Maxwell, Jay</t>
  </si>
  <si>
    <t>OR1512</t>
  </si>
  <si>
    <t>OR1130</t>
  </si>
  <si>
    <t>SA5-020</t>
  </si>
  <si>
    <t>OR1552</t>
  </si>
  <si>
    <t>OR2160</t>
  </si>
  <si>
    <t>FE25</t>
  </si>
  <si>
    <t>SA12-003</t>
  </si>
  <si>
    <t>OR1208</t>
  </si>
  <si>
    <t>OR2403</t>
  </si>
  <si>
    <t>OR1310</t>
  </si>
  <si>
    <t>488T</t>
  </si>
  <si>
    <t>OR2261</t>
  </si>
  <si>
    <t>OR1168</t>
  </si>
  <si>
    <t>Martin</t>
  </si>
  <si>
    <t>Griffin, Glenn</t>
  </si>
  <si>
    <t>Ryan, Larry</t>
  </si>
  <si>
    <t>Smith, Monty</t>
  </si>
  <si>
    <t>Tully, Nick</t>
  </si>
  <si>
    <t>Haines, Derek</t>
  </si>
  <si>
    <t>Martin, James</t>
  </si>
  <si>
    <t>Choy, Sam</t>
  </si>
  <si>
    <t>OR2260a</t>
  </si>
  <si>
    <t>OR2228</t>
  </si>
  <si>
    <t>OR2230</t>
  </si>
  <si>
    <t>OR2231</t>
  </si>
  <si>
    <t>OR2401</t>
  </si>
  <si>
    <t>OR2404</t>
  </si>
  <si>
    <t>OR2405</t>
  </si>
  <si>
    <t>OR2192</t>
  </si>
  <si>
    <t>OR2194</t>
  </si>
  <si>
    <t>OR2227</t>
  </si>
  <si>
    <t>OR1561</t>
  </si>
  <si>
    <t>OR2222</t>
  </si>
  <si>
    <t>OR2402</t>
  </si>
  <si>
    <t>OR2260b</t>
  </si>
  <si>
    <t>OR2066</t>
  </si>
  <si>
    <t>OR2067</t>
  </si>
  <si>
    <t>OR1599</t>
  </si>
  <si>
    <t>OR1600</t>
  </si>
  <si>
    <t>SA8-001</t>
  </si>
  <si>
    <t>OR1598</t>
  </si>
  <si>
    <t>Peterson, Tyson</t>
  </si>
  <si>
    <t>OR1521</t>
  </si>
  <si>
    <t>Garne, Antonio</t>
  </si>
  <si>
    <t>OR1602</t>
  </si>
  <si>
    <t>Brackley, Wayne</t>
  </si>
  <si>
    <t>Larocque, Dave</t>
  </si>
  <si>
    <t>Wells, Dale</t>
  </si>
  <si>
    <t>OR1194</t>
  </si>
  <si>
    <t>Robertson, Monty</t>
  </si>
  <si>
    <t>OR1606</t>
  </si>
  <si>
    <t>OR1603</t>
  </si>
  <si>
    <t>OR1212</t>
  </si>
  <si>
    <t>OR1211</t>
  </si>
  <si>
    <t>NON-WELDER JOURNEYMAN/ FITTER ON AUTO WELD SPREAD (QI APPLIES)</t>
  </si>
  <si>
    <t>SA8-003</t>
  </si>
  <si>
    <t>AT02</t>
  </si>
  <si>
    <t>OR1520</t>
  </si>
  <si>
    <t>OR2093</t>
  </si>
  <si>
    <t>OR1315</t>
  </si>
  <si>
    <t>OR1114</t>
  </si>
  <si>
    <t>OR2233</t>
  </si>
  <si>
    <t>Power Dozer</t>
  </si>
  <si>
    <t>OR2233b</t>
  </si>
  <si>
    <t>Water Canon</t>
  </si>
  <si>
    <t>OR1314</t>
  </si>
  <si>
    <t>Haney, Randy</t>
  </si>
  <si>
    <t>OR1156</t>
  </si>
  <si>
    <t>Little, Michael</t>
  </si>
  <si>
    <t>SA11-026</t>
  </si>
  <si>
    <t>Konopad, John</t>
  </si>
  <si>
    <t>Reed, John</t>
  </si>
  <si>
    <t>OR1615</t>
  </si>
  <si>
    <t>G-3</t>
  </si>
  <si>
    <t>G-4</t>
  </si>
  <si>
    <t>G-5</t>
  </si>
  <si>
    <t>G-6</t>
  </si>
  <si>
    <t>WP3-2</t>
  </si>
  <si>
    <t>WP3-1</t>
  </si>
  <si>
    <t>WP3-3</t>
  </si>
  <si>
    <t>WP3-4</t>
  </si>
  <si>
    <t>WP3-5</t>
  </si>
  <si>
    <t>Snow Vehicles (Snowmobiles)</t>
  </si>
  <si>
    <t>Lowboy Trailer (40 Wheeler)</t>
  </si>
  <si>
    <t>Lowboy Trailer (48 Wheeler)</t>
  </si>
  <si>
    <t>Tesmac Ditcher</t>
  </si>
  <si>
    <t>Tag-A-Long Trailer (10 Ton)</t>
  </si>
  <si>
    <t>Tag-A-Long Trailer (Farm Wagon)</t>
  </si>
  <si>
    <t>Wash Unit - Steam, Water Truck</t>
  </si>
  <si>
    <t>Propane Station Unit</t>
  </si>
  <si>
    <t>Skid Mounted - Mainline Coating Unit</t>
  </si>
  <si>
    <t>Skagit</t>
  </si>
  <si>
    <t>Texas Winch Truck</t>
  </si>
  <si>
    <t>Mulcher</t>
  </si>
  <si>
    <t>Pipe Rollers (80,000lb)</t>
  </si>
  <si>
    <t>OR2184</t>
  </si>
  <si>
    <t>OR2186</t>
  </si>
  <si>
    <t>OR2229</t>
  </si>
  <si>
    <t>OR2400</t>
  </si>
  <si>
    <t>OR2193</t>
  </si>
  <si>
    <t>OR2232a</t>
  </si>
  <si>
    <t>OR1616</t>
  </si>
  <si>
    <t>424.1T</t>
  </si>
  <si>
    <t>424.2T</t>
  </si>
  <si>
    <t>McQuaker?</t>
  </si>
  <si>
    <t>OR2133</t>
  </si>
  <si>
    <t>Hyrhirchuk</t>
  </si>
  <si>
    <t>OR2134</t>
  </si>
  <si>
    <t>Morken</t>
  </si>
  <si>
    <t>OR1601</t>
  </si>
  <si>
    <t>SA14-018</t>
  </si>
  <si>
    <t>SA14-019</t>
  </si>
  <si>
    <t>SA14-020</t>
  </si>
  <si>
    <t>SA14-021</t>
  </si>
  <si>
    <t>SA14-022</t>
  </si>
  <si>
    <t>SA14-023</t>
  </si>
  <si>
    <t>OR1213</t>
  </si>
  <si>
    <t>EWP3-1</t>
  </si>
  <si>
    <t>EWP3-2</t>
  </si>
  <si>
    <t>EWP3-3</t>
  </si>
  <si>
    <t>EWP3-4</t>
  </si>
  <si>
    <t>EWP3-5</t>
  </si>
  <si>
    <t>Generator - 5 kW</t>
  </si>
  <si>
    <t>Goldman, Michael</t>
  </si>
  <si>
    <t>Christen, Robert</t>
  </si>
  <si>
    <t>OR1551</t>
  </si>
  <si>
    <t>OR1556</t>
  </si>
  <si>
    <t>OR1557</t>
  </si>
  <si>
    <t>OR2240</t>
  </si>
  <si>
    <t>SA8-002</t>
  </si>
  <si>
    <t>OR1589</t>
  </si>
  <si>
    <t>OR2094</t>
  </si>
  <si>
    <t>OR2073</t>
  </si>
  <si>
    <t>OR1013</t>
  </si>
  <si>
    <t>OR2268</t>
  </si>
  <si>
    <t>OR2262</t>
  </si>
  <si>
    <t>Lincoln Welder</t>
  </si>
  <si>
    <t>OR2263</t>
  </si>
  <si>
    <t>100Kw generator</t>
  </si>
  <si>
    <r>
      <t>ARGO ATV</t>
    </r>
    <r>
      <rPr>
        <sz val="10"/>
        <color indexed="8"/>
        <rFont val="Arial"/>
        <family val="2"/>
      </rPr>
      <t xml:space="preserve"> Side By Side</t>
    </r>
  </si>
  <si>
    <t>ARGO ATV Side By Side</t>
  </si>
  <si>
    <t>OR1617</t>
  </si>
  <si>
    <t>OR1558</t>
  </si>
  <si>
    <t>Nault, Ken</t>
  </si>
  <si>
    <t>Pavlia, Dennis</t>
  </si>
  <si>
    <t>Scmidt, Travis</t>
  </si>
  <si>
    <t>OR1039</t>
  </si>
  <si>
    <t>Mortell, Cheyne</t>
  </si>
  <si>
    <t>OR1554</t>
  </si>
  <si>
    <t>Danells, Brian</t>
  </si>
  <si>
    <t>OR1036</t>
  </si>
  <si>
    <t>OR1196</t>
  </si>
  <si>
    <t>OR1197</t>
  </si>
  <si>
    <t>Alook, Lorraine</t>
  </si>
  <si>
    <t>OR1317</t>
  </si>
  <si>
    <t>SA3-005</t>
  </si>
  <si>
    <t>OR1316</t>
  </si>
  <si>
    <t>OR2269</t>
  </si>
  <si>
    <t>OR2260</t>
  </si>
  <si>
    <t>OR2185</t>
  </si>
  <si>
    <t>OR2154</t>
  </si>
  <si>
    <t>OR2155</t>
  </si>
  <si>
    <t>21-082</t>
  </si>
  <si>
    <t>SA12-002</t>
  </si>
  <si>
    <t>FE18</t>
  </si>
  <si>
    <t>OR2096</t>
  </si>
  <si>
    <t>OR2095</t>
  </si>
  <si>
    <t>OR2271</t>
  </si>
  <si>
    <t>OR2245</t>
  </si>
  <si>
    <t>OR2341</t>
  </si>
  <si>
    <t>OR1201</t>
  </si>
  <si>
    <t>FTS01</t>
  </si>
  <si>
    <t>DL2810</t>
  </si>
  <si>
    <t>OR2068</t>
  </si>
  <si>
    <t>OR2069</t>
  </si>
  <si>
    <t>OR2070</t>
  </si>
  <si>
    <t>OR2071</t>
  </si>
  <si>
    <t>OR2072</t>
  </si>
  <si>
    <t>OR2074</t>
  </si>
  <si>
    <t>OR2075</t>
  </si>
  <si>
    <t>OR2076</t>
  </si>
  <si>
    <t>DL2566</t>
  </si>
  <si>
    <t>OR2135</t>
  </si>
  <si>
    <t>Legere</t>
  </si>
  <si>
    <t>OR2136</t>
  </si>
  <si>
    <t>Bauer</t>
  </si>
  <si>
    <t>OR2137</t>
  </si>
  <si>
    <t>Bosse</t>
  </si>
  <si>
    <t>OR2138</t>
  </si>
  <si>
    <t>Kozdrowski</t>
  </si>
  <si>
    <t>OR1200</t>
  </si>
  <si>
    <t>OR2270</t>
  </si>
  <si>
    <t>OR1198</t>
  </si>
  <si>
    <t>OR1343</t>
  </si>
  <si>
    <t>OR2272</t>
  </si>
  <si>
    <t>SA10-009</t>
  </si>
  <si>
    <t>SA11-050</t>
  </si>
  <si>
    <t>SA11-054</t>
  </si>
  <si>
    <t>E79</t>
  </si>
  <si>
    <t>SA11-039.01</t>
  </si>
  <si>
    <t>SA11-039.02</t>
  </si>
  <si>
    <t>SA11-039.03</t>
  </si>
  <si>
    <t>SA11-039.04</t>
  </si>
  <si>
    <t>SA11-039.05</t>
  </si>
  <si>
    <t>SA11-039.06</t>
  </si>
  <si>
    <t>SA11-039.07</t>
  </si>
  <si>
    <t>SA11-039.08</t>
  </si>
  <si>
    <t>SA11-039.09</t>
  </si>
  <si>
    <t>SA11-039.10</t>
  </si>
  <si>
    <t>SA11-039.11</t>
  </si>
  <si>
    <t>SA11-039.12</t>
  </si>
  <si>
    <t>SA11-039.13</t>
  </si>
  <si>
    <t>SA11-039.14</t>
  </si>
  <si>
    <t>SA11-039.15</t>
  </si>
  <si>
    <t>SA11-039.16</t>
  </si>
  <si>
    <t>SA11-039.17</t>
  </si>
  <si>
    <t>SA11-039.18</t>
  </si>
  <si>
    <t>SA11-039.19</t>
  </si>
  <si>
    <t>SA11-039.20</t>
  </si>
  <si>
    <t>SA11-039.21</t>
  </si>
  <si>
    <t>SA11-039.22</t>
  </si>
  <si>
    <t>SA11-039.23</t>
  </si>
  <si>
    <t>SA11-039.24</t>
  </si>
  <si>
    <t>SA11-039.25</t>
  </si>
  <si>
    <t>SA11-039.26</t>
  </si>
  <si>
    <t>SA11-039.27</t>
  </si>
  <si>
    <t>SA11-039.28</t>
  </si>
  <si>
    <t>SA11-039.29</t>
  </si>
  <si>
    <t>SA11-039.30</t>
  </si>
  <si>
    <t>SA11-062</t>
  </si>
  <si>
    <t>Hydraulic Road Sweeper</t>
  </si>
  <si>
    <t>OR2232b</t>
  </si>
  <si>
    <t>OR2246</t>
  </si>
  <si>
    <t>Portable Bridge 60"</t>
  </si>
  <si>
    <t>Aqua Dams 2.2M x 30M</t>
  </si>
  <si>
    <t>Dozer - Bush Rake Attachment</t>
  </si>
  <si>
    <t>Hoe - Bucket Rake Attachment</t>
  </si>
  <si>
    <t>Hanson, Don</t>
  </si>
  <si>
    <t>OR1299</t>
  </si>
  <si>
    <t>Thiel, Andre</t>
  </si>
  <si>
    <t>Hankewich, Chad</t>
  </si>
  <si>
    <t>OR1553</t>
  </si>
  <si>
    <t>Slack, Clayton</t>
  </si>
  <si>
    <t>Gillard, Colin</t>
  </si>
  <si>
    <t>OR1157</t>
  </si>
  <si>
    <t>Ellis, Christopher</t>
  </si>
  <si>
    <t>Joseph, Joey</t>
  </si>
  <si>
    <t>OR1344</t>
  </si>
  <si>
    <t>OR1202</t>
  </si>
  <si>
    <t>Fandrick, Cody</t>
  </si>
  <si>
    <t>Stinson, Doug</t>
  </si>
  <si>
    <t>OR1318</t>
  </si>
  <si>
    <t>Hydrovac Truck</t>
  </si>
  <si>
    <t>Pettifer</t>
  </si>
  <si>
    <t>Gordon, Cavan</t>
  </si>
  <si>
    <t>SA9-027A</t>
  </si>
  <si>
    <t>SA9-027B</t>
  </si>
  <si>
    <t>SA9-027C</t>
  </si>
  <si>
    <t>OR1040</t>
  </si>
  <si>
    <t>OR1041</t>
  </si>
  <si>
    <t>OR1042</t>
  </si>
  <si>
    <t>OR1043</t>
  </si>
  <si>
    <t>Casagrande, Peter</t>
  </si>
  <si>
    <t>OR1575</t>
  </si>
  <si>
    <t>SA8-001a</t>
  </si>
  <si>
    <t>Koebel, Jonathan</t>
  </si>
  <si>
    <t>OR1622</t>
  </si>
  <si>
    <t>OR1618</t>
  </si>
  <si>
    <t>OR1619</t>
  </si>
  <si>
    <t>Harbidge, Kathy</t>
  </si>
  <si>
    <t>Kushniruk, Phil</t>
  </si>
  <si>
    <t>OR1547</t>
  </si>
  <si>
    <t>OR1621</t>
  </si>
  <si>
    <t>OR1620</t>
  </si>
  <si>
    <t>OR1169</t>
  </si>
  <si>
    <t>Casagrande</t>
  </si>
  <si>
    <t>OR1559</t>
  </si>
  <si>
    <t>Goertzen, Elmer</t>
  </si>
  <si>
    <t>Kostyniuk, Michael</t>
  </si>
  <si>
    <t>OR1214</t>
  </si>
  <si>
    <t>OR1531</t>
  </si>
  <si>
    <t>OR2159</t>
  </si>
  <si>
    <t>OR1204</t>
  </si>
  <si>
    <t>OR2216</t>
  </si>
  <si>
    <t>Track Morooka</t>
  </si>
  <si>
    <t>OR2217</t>
  </si>
  <si>
    <t>OR1116</t>
  </si>
  <si>
    <t>OR1117</t>
  </si>
  <si>
    <t>SB401</t>
  </si>
  <si>
    <t>SB412</t>
  </si>
  <si>
    <t>SB414</t>
  </si>
  <si>
    <t>OR1625</t>
  </si>
  <si>
    <t>OR1626</t>
  </si>
  <si>
    <t>OR1627</t>
  </si>
  <si>
    <t>OR1628</t>
  </si>
  <si>
    <t>OR1629</t>
  </si>
  <si>
    <t>SA11-037</t>
  </si>
  <si>
    <t>SA3-004</t>
  </si>
  <si>
    <t>SA9-018</t>
  </si>
  <si>
    <t>OR1199</t>
  </si>
  <si>
    <t>OR1400</t>
  </si>
  <si>
    <t>OR1215</t>
  </si>
  <si>
    <t>OR2310</t>
  </si>
  <si>
    <t>OR1044</t>
  </si>
  <si>
    <t>DL2794</t>
  </si>
  <si>
    <t>OR2077</t>
  </si>
  <si>
    <t>OR2125</t>
  </si>
  <si>
    <t>Ivanchenko</t>
  </si>
  <si>
    <t>OR2126</t>
  </si>
  <si>
    <t>Gregoire</t>
  </si>
  <si>
    <t>OR1560</t>
  </si>
  <si>
    <t>SA14-016</t>
  </si>
  <si>
    <t>SA14-017</t>
  </si>
  <si>
    <t>OR1282</t>
  </si>
  <si>
    <t>OR1345</t>
  </si>
  <si>
    <t>SA10-010</t>
  </si>
  <si>
    <t>SA11-066</t>
  </si>
  <si>
    <t>Hoe - Chuck Blade Attachment</t>
  </si>
  <si>
    <t>SA11-067</t>
  </si>
  <si>
    <t>SA11-068</t>
  </si>
  <si>
    <t>OR1203</t>
  </si>
  <si>
    <t>Mandrel</t>
  </si>
  <si>
    <t>OR1287</t>
  </si>
  <si>
    <t>OR1346</t>
  </si>
  <si>
    <t>Welding Machine</t>
  </si>
  <si>
    <t>OR1347</t>
  </si>
  <si>
    <t>OR2342</t>
  </si>
  <si>
    <t>OR2343</t>
  </si>
  <si>
    <t>OR2195a</t>
  </si>
  <si>
    <t>CRC Auto Weld Pack</t>
  </si>
  <si>
    <t>OR2215</t>
  </si>
  <si>
    <t>OR2309</t>
  </si>
  <si>
    <t>Non-Articulated Dump Truck</t>
  </si>
  <si>
    <t>Cheek, Blaine</t>
  </si>
  <si>
    <t>Myren, Coleman</t>
  </si>
  <si>
    <t xml:space="preserve">Watts, Jack </t>
  </si>
  <si>
    <t>Schrey, Justin</t>
  </si>
  <si>
    <t>Curtis, Corey</t>
  </si>
  <si>
    <t>Kinch-McCrae, Jonathan</t>
  </si>
  <si>
    <t>McCaughan, Ron</t>
  </si>
  <si>
    <t>Kierstead, David</t>
  </si>
  <si>
    <t>Gawdunyk, Gary</t>
  </si>
  <si>
    <t>Merrick, James</t>
  </si>
  <si>
    <t>Gawdunyk, Kim</t>
  </si>
  <si>
    <t>Denne, Michael</t>
  </si>
  <si>
    <t>Klemchuk, Terry</t>
  </si>
  <si>
    <t>OR2273</t>
  </si>
  <si>
    <t>OR1402</t>
  </si>
  <si>
    <t>OR2345</t>
  </si>
  <si>
    <t>OR1546</t>
  </si>
  <si>
    <t>OR1401</t>
  </si>
  <si>
    <t>SA14-011</t>
  </si>
  <si>
    <t>WP3-21</t>
  </si>
  <si>
    <t>WP3-22</t>
  </si>
  <si>
    <t>WP3-23</t>
  </si>
  <si>
    <t>WP3-24</t>
  </si>
  <si>
    <t>WP3-25</t>
  </si>
  <si>
    <t>WP3-26</t>
  </si>
  <si>
    <t>WP3-27</t>
  </si>
  <si>
    <t>WP3-28</t>
  </si>
  <si>
    <t>WP3-29</t>
  </si>
  <si>
    <t>WP3-30</t>
  </si>
  <si>
    <t>Viking Power Dozer</t>
  </si>
  <si>
    <t>Bridge, Craig</t>
  </si>
  <si>
    <t>Cousineau, Andre</t>
  </si>
  <si>
    <t>Connolly, Denny</t>
  </si>
  <si>
    <t>OR1216</t>
  </si>
  <si>
    <t>OR2348</t>
  </si>
  <si>
    <t>OR2406</t>
  </si>
  <si>
    <t>OR2274</t>
  </si>
  <si>
    <t>G-7</t>
  </si>
  <si>
    <t>G-8</t>
  </si>
  <si>
    <t>G-9</t>
  </si>
  <si>
    <t>SB104</t>
  </si>
  <si>
    <t>OR1131</t>
  </si>
  <si>
    <t>OR2027</t>
  </si>
  <si>
    <t>OR2028</t>
  </si>
  <si>
    <t>WP3-20</t>
  </si>
  <si>
    <t>OR1046</t>
  </si>
  <si>
    <t>OR1047</t>
  </si>
  <si>
    <t>OR1049</t>
  </si>
  <si>
    <t>OR1048</t>
  </si>
  <si>
    <t>OR1045</t>
  </si>
  <si>
    <t>OR1170</t>
  </si>
  <si>
    <t>Hankewich</t>
  </si>
  <si>
    <t>OR1171</t>
  </si>
  <si>
    <t>Pederson</t>
  </si>
  <si>
    <t>OR2275</t>
  </si>
  <si>
    <t>Abdikadir, Abdi</t>
  </si>
  <si>
    <t>Yagol, Nuradin</t>
  </si>
  <si>
    <t>Balanko, Barry</t>
  </si>
  <si>
    <t>Rose, Patrick</t>
  </si>
  <si>
    <t>LaBelle, Corey</t>
  </si>
  <si>
    <t>Stefanov, Kamen</t>
  </si>
  <si>
    <t>Jackson, Walter</t>
  </si>
  <si>
    <t>Flath, Darren</t>
  </si>
  <si>
    <t>Snyder, Justin</t>
  </si>
  <si>
    <t>Santos, Marco</t>
  </si>
  <si>
    <t>Ross, Jesse</t>
  </si>
  <si>
    <t>Hull, Adam</t>
  </si>
  <si>
    <t>Madiuk, Jeff</t>
  </si>
  <si>
    <t>McGoey, Joey</t>
  </si>
  <si>
    <t>Bley, Kelly</t>
  </si>
  <si>
    <t>Lefebvre, Pete</t>
  </si>
  <si>
    <t>Peters, Samson</t>
  </si>
  <si>
    <t>Downer, Troy</t>
  </si>
  <si>
    <t>Murphy, Randall</t>
  </si>
  <si>
    <t>Hamze, Mohamed</t>
  </si>
  <si>
    <t>Redfern, Leigh</t>
  </si>
  <si>
    <t>OR1076</t>
  </si>
  <si>
    <t>Bachand, Nicolas</t>
  </si>
  <si>
    <t>Sharpe. Bryan</t>
  </si>
  <si>
    <t>Pederson, Dallas</t>
  </si>
  <si>
    <t>Morrison, Earl</t>
  </si>
  <si>
    <t>Knoll, Glenn</t>
  </si>
  <si>
    <t>Bley, Michael</t>
  </si>
  <si>
    <t>Neilson, Darrel</t>
  </si>
  <si>
    <t>Gardiner, Dana</t>
  </si>
  <si>
    <t>Chapman, Thomas</t>
  </si>
  <si>
    <t>Gall, Milton</t>
  </si>
  <si>
    <t>Reicker, Kevin</t>
  </si>
  <si>
    <t>Schopff, David</t>
  </si>
  <si>
    <t>Penner, Henry</t>
  </si>
  <si>
    <t>Brockhoff, Louis</t>
  </si>
  <si>
    <t>Christenson, Shaun</t>
  </si>
  <si>
    <t>Laity, Drew</t>
  </si>
  <si>
    <t>SA14-013</t>
  </si>
  <si>
    <t>Grignon, Henry</t>
  </si>
  <si>
    <t>Barr, Clayton</t>
  </si>
  <si>
    <t>Transition Machine( Without Power Unit)</t>
  </si>
  <si>
    <t>OR2276</t>
  </si>
  <si>
    <t>OR2277</t>
  </si>
  <si>
    <t>OR1376</t>
  </si>
  <si>
    <t>OR2241</t>
  </si>
  <si>
    <t>OR1567</t>
  </si>
  <si>
    <t>OR1348</t>
  </si>
  <si>
    <t>OR1349</t>
  </si>
  <si>
    <t>DL2766</t>
  </si>
  <si>
    <t>OR1320</t>
  </si>
  <si>
    <t>OR1068</t>
  </si>
  <si>
    <t>OR1088</t>
  </si>
  <si>
    <t>OR1089</t>
  </si>
  <si>
    <t>OR1090</t>
  </si>
  <si>
    <t>OR1091</t>
  </si>
  <si>
    <t>OR1080</t>
  </si>
  <si>
    <t>OR1081</t>
  </si>
  <si>
    <t>OR1078</t>
  </si>
  <si>
    <t>OR1079</t>
  </si>
  <si>
    <t>OR1082</t>
  </si>
  <si>
    <t>OR1083</t>
  </si>
  <si>
    <t>OR1084</t>
  </si>
  <si>
    <t>OR1085</t>
  </si>
  <si>
    <t>OR1069</t>
  </si>
  <si>
    <t>OR1070</t>
  </si>
  <si>
    <t>OR1071</t>
  </si>
  <si>
    <t>OR1072</t>
  </si>
  <si>
    <t>OR2206</t>
  </si>
  <si>
    <t>OR2207</t>
  </si>
  <si>
    <t>SA11-043</t>
  </si>
  <si>
    <t>SA11-044</t>
  </si>
  <si>
    <t>SA11-045</t>
  </si>
  <si>
    <t>SA11-046</t>
  </si>
  <si>
    <t>SA11-047</t>
  </si>
  <si>
    <t>SA11-053</t>
  </si>
  <si>
    <t>SA11-058</t>
  </si>
  <si>
    <t>SA11-055</t>
  </si>
  <si>
    <t>SA11-056</t>
  </si>
  <si>
    <t>SA11-059</t>
  </si>
  <si>
    <t>SLD10</t>
  </si>
  <si>
    <t>SLD4</t>
  </si>
  <si>
    <t>SLD5</t>
  </si>
  <si>
    <t>SLD6</t>
  </si>
  <si>
    <t>SLD7</t>
  </si>
  <si>
    <t>SLD8</t>
  </si>
  <si>
    <t>SLD9</t>
  </si>
  <si>
    <t>OR1623</t>
  </si>
  <si>
    <t>OR2206A</t>
  </si>
  <si>
    <t>OR2207A</t>
  </si>
  <si>
    <t>Lee, Cane</t>
  </si>
  <si>
    <t>Thimer, Davis</t>
  </si>
  <si>
    <t>Williams, Derek</t>
  </si>
  <si>
    <t>G-1</t>
  </si>
  <si>
    <t>G-2</t>
  </si>
  <si>
    <t>EWP3-6</t>
  </si>
  <si>
    <t>EWP3-7</t>
  </si>
  <si>
    <t>EWP3-8</t>
  </si>
  <si>
    <t>Hendricks, Ryan</t>
  </si>
  <si>
    <t>Kehler, Shawn</t>
  </si>
  <si>
    <t>Landry, Stephanie</t>
  </si>
  <si>
    <t>Leblanc, Dennis</t>
  </si>
  <si>
    <t>Dionne, Daniel</t>
  </si>
  <si>
    <t>Chartland, Trevor</t>
  </si>
  <si>
    <t>OR1610</t>
  </si>
  <si>
    <t>McGlynn, Doug</t>
  </si>
  <si>
    <t>Taylor, Chase</t>
  </si>
  <si>
    <t>Rain, Nathan</t>
  </si>
  <si>
    <t>Ochocki, Andrew</t>
  </si>
  <si>
    <t>Norton, James</t>
  </si>
  <si>
    <t>Rain, Andrew</t>
  </si>
  <si>
    <t>Young, Cameron</t>
  </si>
  <si>
    <t>Aradi, Ferenc</t>
  </si>
  <si>
    <t>Loades, James</t>
  </si>
  <si>
    <t>O'Brien, Mandy</t>
  </si>
  <si>
    <t>Purcell, Pauline</t>
  </si>
  <si>
    <t>Mitchell, Perry</t>
  </si>
  <si>
    <t>Derrah, Rory</t>
  </si>
  <si>
    <t>Moore, Shawn</t>
  </si>
  <si>
    <t>Smith, Tyler</t>
  </si>
  <si>
    <t>Derrah, Scott</t>
  </si>
  <si>
    <t>OR1576</t>
  </si>
  <si>
    <t>Armstrong, Brad</t>
  </si>
  <si>
    <t>Warren, Cody</t>
  </si>
  <si>
    <t>Schmidt, James</t>
  </si>
  <si>
    <t>Smith, Mehgan</t>
  </si>
  <si>
    <t>Larson, Tom</t>
  </si>
  <si>
    <t>Kemp, Chris</t>
  </si>
  <si>
    <t>OR1527</t>
  </si>
  <si>
    <t>OR1597</t>
  </si>
  <si>
    <t>OR1158</t>
  </si>
  <si>
    <t>Norton</t>
  </si>
  <si>
    <t>Stewart, Lukas</t>
  </si>
  <si>
    <t>Otten, Gerald</t>
  </si>
  <si>
    <t>Axelson, Rob</t>
  </si>
  <si>
    <t>Mann, Steven</t>
  </si>
  <si>
    <t>MacIsaac, Trevor</t>
  </si>
  <si>
    <t>O'Kane, Tyler</t>
  </si>
  <si>
    <t>OR1321</t>
  </si>
  <si>
    <t>OR1172</t>
  </si>
  <si>
    <t>OR1173</t>
  </si>
  <si>
    <t>OR1174</t>
  </si>
  <si>
    <t>OR1175</t>
  </si>
  <si>
    <t>OR1176</t>
  </si>
  <si>
    <t>OR1177</t>
  </si>
  <si>
    <t>OR1178</t>
  </si>
  <si>
    <t>O'Brien</t>
  </si>
  <si>
    <t>Skori</t>
  </si>
  <si>
    <t>McMillan</t>
  </si>
  <si>
    <t>McDonald</t>
  </si>
  <si>
    <t>Smith</t>
  </si>
  <si>
    <t>Larson</t>
  </si>
  <si>
    <t>Twohney, Jason</t>
  </si>
  <si>
    <t>Troz, Joel</t>
  </si>
  <si>
    <t>OR1132</t>
  </si>
  <si>
    <t>OR1092</t>
  </si>
  <si>
    <t>OR1093</t>
  </si>
  <si>
    <t>OR1094</t>
  </si>
  <si>
    <t>OR1095</t>
  </si>
  <si>
    <t>OR1097</t>
  </si>
  <si>
    <t>OR1319</t>
  </si>
  <si>
    <t>Casselman, Dustin</t>
  </si>
  <si>
    <t>Thesen, George</t>
  </si>
  <si>
    <t>Grosul, Ted</t>
  </si>
  <si>
    <t>OR1065</t>
  </si>
  <si>
    <t>OR1096</t>
  </si>
  <si>
    <t>OR1067</t>
  </si>
  <si>
    <t>OR1066</t>
  </si>
  <si>
    <t>Smith, Harvey</t>
  </si>
  <si>
    <t>Raposo, Jason</t>
  </si>
  <si>
    <t>Swanson, Jason</t>
  </si>
  <si>
    <t>Bozelli, John</t>
  </si>
  <si>
    <t>Johnston, Jordan</t>
  </si>
  <si>
    <t>Deveau, Tyler</t>
  </si>
  <si>
    <t>Young, Warren</t>
  </si>
  <si>
    <t>Debler, Garrett</t>
  </si>
  <si>
    <t>Loutitt, George</t>
  </si>
  <si>
    <t>Douziech, Dave</t>
  </si>
  <si>
    <t>OR1180</t>
  </si>
  <si>
    <t>SA14-014</t>
  </si>
  <si>
    <t>OR1548</t>
  </si>
  <si>
    <t>OR1408</t>
  </si>
  <si>
    <t>OR1409</t>
  </si>
  <si>
    <t>OR2349</t>
  </si>
  <si>
    <t>OR2242</t>
  </si>
  <si>
    <t>OR2347</t>
  </si>
  <si>
    <t>OR2407</t>
  </si>
  <si>
    <t>OR1118</t>
  </si>
  <si>
    <t>OR1119</t>
  </si>
  <si>
    <t>OR2350</t>
  </si>
  <si>
    <t>OR1613</t>
  </si>
  <si>
    <t>OR2337</t>
  </si>
  <si>
    <t>OR2339</t>
  </si>
  <si>
    <t>OR2340</t>
  </si>
  <si>
    <t>OR2307</t>
  </si>
  <si>
    <t>OR1406</t>
  </si>
  <si>
    <t>OR1407</t>
  </si>
  <si>
    <t>OR1410</t>
  </si>
  <si>
    <t>OR2357</t>
  </si>
  <si>
    <t>OR1142</t>
  </si>
  <si>
    <t>OR2029</t>
  </si>
  <si>
    <t>OR2030</t>
  </si>
  <si>
    <t>OR2078</t>
  </si>
  <si>
    <t>OR1077</t>
  </si>
  <si>
    <t>OR1159</t>
  </si>
  <si>
    <t>B. Pettifer</t>
  </si>
  <si>
    <t>Lajoie</t>
  </si>
  <si>
    <t>Chromik</t>
  </si>
  <si>
    <t>OR2139</t>
  </si>
  <si>
    <t>Flath</t>
  </si>
  <si>
    <t>OR2140</t>
  </si>
  <si>
    <t>Peterson</t>
  </si>
  <si>
    <t>OR1217</t>
  </si>
  <si>
    <t>EWP6-1</t>
  </si>
  <si>
    <t>EWP6-2</t>
  </si>
  <si>
    <t>EWP6-3</t>
  </si>
  <si>
    <t>EWP-10.1</t>
  </si>
  <si>
    <t>EWP-10.2</t>
  </si>
  <si>
    <t>OR2010</t>
  </si>
  <si>
    <t>PB11a</t>
  </si>
  <si>
    <t>Perrifer, Bryce</t>
  </si>
  <si>
    <t>OR2086</t>
  </si>
  <si>
    <t>Hislop, Barry</t>
  </si>
  <si>
    <t>Houston, Larry</t>
  </si>
  <si>
    <t>Nolan, Trevor</t>
  </si>
  <si>
    <t>Daly, William</t>
  </si>
  <si>
    <t>Lavallee, Brent</t>
  </si>
  <si>
    <t>McDonald, Owen</t>
  </si>
  <si>
    <t>Leroy, Dan</t>
  </si>
  <si>
    <t>Ryning, Clifford</t>
  </si>
  <si>
    <t>Morris, Donald</t>
  </si>
  <si>
    <t>Dell, James</t>
  </si>
  <si>
    <t>Meagher, James</t>
  </si>
  <si>
    <t>McDonald, Tanner</t>
  </si>
  <si>
    <t>Bush, Jason</t>
  </si>
  <si>
    <t>Langlois, Nathan</t>
  </si>
  <si>
    <t>T314</t>
  </si>
  <si>
    <t>OR1611</t>
  </si>
  <si>
    <t>Fornal, Dean</t>
  </si>
  <si>
    <t>Legge, Gary</t>
  </si>
  <si>
    <t>OR1612</t>
  </si>
  <si>
    <t>Trottier, James</t>
  </si>
  <si>
    <t>Toews, Jordan</t>
  </si>
  <si>
    <t>Near, William</t>
  </si>
  <si>
    <t>OR1135</t>
  </si>
  <si>
    <t>Flaman, Dallas</t>
  </si>
  <si>
    <t>OR1099</t>
  </si>
  <si>
    <t>OR1086</t>
  </si>
  <si>
    <t>Loiseau, Randall</t>
  </si>
  <si>
    <t>OR1309</t>
  </si>
  <si>
    <t>OR1632</t>
  </si>
  <si>
    <t>OR1608</t>
  </si>
  <si>
    <t>OR1532</t>
  </si>
  <si>
    <t>Robichaud, Eric</t>
  </si>
  <si>
    <t>OR1098</t>
  </si>
  <si>
    <t>OR1073</t>
  </si>
  <si>
    <t>OR1074</t>
  </si>
  <si>
    <t>OR1075</t>
  </si>
  <si>
    <t>OR1087</t>
  </si>
  <si>
    <t>McKinnon, Mike</t>
  </si>
  <si>
    <t>OR1577</t>
  </si>
  <si>
    <t>OR1549</t>
  </si>
  <si>
    <t>Staub, Alan</t>
  </si>
  <si>
    <t>Leblanc, Kenneth</t>
  </si>
  <si>
    <t>OR1530</t>
  </si>
  <si>
    <t>OR1533</t>
  </si>
  <si>
    <t>Erskine, Bill</t>
  </si>
  <si>
    <t>Gallant, Tim</t>
  </si>
  <si>
    <t>OR1323</t>
  </si>
  <si>
    <t>Hansen, Harvey</t>
  </si>
  <si>
    <t>Cassidy, Andrew</t>
  </si>
  <si>
    <t>Boyd, Corrine</t>
  </si>
  <si>
    <t>OR1524</t>
  </si>
  <si>
    <t>Samson, Andree-Anne</t>
  </si>
  <si>
    <t>White, Lloyd</t>
  </si>
  <si>
    <t>White, Peter</t>
  </si>
  <si>
    <t>Jacques, Lawrence</t>
  </si>
  <si>
    <t>G-12</t>
  </si>
  <si>
    <t>G-13</t>
  </si>
  <si>
    <t>G-14</t>
  </si>
  <si>
    <t>G-15</t>
  </si>
  <si>
    <t>G-10</t>
  </si>
  <si>
    <t>G-11</t>
  </si>
  <si>
    <t>OR1404</t>
  </si>
  <si>
    <t>OR1405</t>
  </si>
  <si>
    <t>EWP4-1</t>
  </si>
  <si>
    <t>Neufeld, Charlie</t>
  </si>
  <si>
    <t>Caldwell, Mark</t>
  </si>
  <si>
    <t>Berger, Kelly</t>
  </si>
  <si>
    <t>OR1160</t>
  </si>
  <si>
    <t>Berger</t>
  </si>
  <si>
    <t>Anderson, Chris</t>
  </si>
  <si>
    <t>Johnston, Melissa</t>
  </si>
  <si>
    <t>Mooney, Mike</t>
  </si>
  <si>
    <t>OR1569</t>
  </si>
  <si>
    <t>Schmalz, Myles</t>
  </si>
  <si>
    <t>OR1801</t>
  </si>
  <si>
    <t>Pipeline Roller Cradles (Each)</t>
  </si>
  <si>
    <t>OR1802</t>
  </si>
  <si>
    <t>OR1803</t>
  </si>
  <si>
    <t>OR1804</t>
  </si>
  <si>
    <t>OR1805</t>
  </si>
  <si>
    <t>OR1806</t>
  </si>
  <si>
    <t>Cameron, Alex</t>
  </si>
  <si>
    <t>Prive, Johnathon</t>
  </si>
  <si>
    <t>Debaie, Dustin</t>
  </si>
  <si>
    <t>Bruton, Glenn</t>
  </si>
  <si>
    <t>Pahl, Jason</t>
  </si>
  <si>
    <t>Watkins, Kenneth</t>
  </si>
  <si>
    <t>Cassie, Raymond</t>
  </si>
  <si>
    <t>Stamplcoski, Larry</t>
  </si>
  <si>
    <t>OR1636</t>
  </si>
  <si>
    <t>OR1633</t>
  </si>
  <si>
    <t>Cassel, Herbert</t>
  </si>
  <si>
    <t>OR1324</t>
  </si>
  <si>
    <t>Senenko, Todd</t>
  </si>
  <si>
    <t>Bilyk, Larry</t>
  </si>
  <si>
    <t>OR1354</t>
  </si>
  <si>
    <t>OR1529</t>
  </si>
  <si>
    <t>Malis, Luke</t>
  </si>
  <si>
    <t>Sliter, Troy</t>
  </si>
  <si>
    <t>Slater, Ryan</t>
  </si>
  <si>
    <t>Cryderman, Curtis</t>
  </si>
  <si>
    <t>Carrigan, Earl</t>
  </si>
  <si>
    <t>Reid, Allan</t>
  </si>
  <si>
    <t>Siebeneich, Eric</t>
  </si>
  <si>
    <t>Kiryluik, Greg</t>
  </si>
  <si>
    <t>Galan, Greg</t>
  </si>
  <si>
    <t xml:space="preserve">MacArthur, John </t>
  </si>
  <si>
    <t>Weaver, Paul</t>
  </si>
  <si>
    <t>Jones, Travis</t>
  </si>
  <si>
    <t>Mckie, Doug</t>
  </si>
  <si>
    <t>OR1523</t>
  </si>
  <si>
    <t>Sicottie, Alain</t>
  </si>
  <si>
    <t>Chodak, Lobsang</t>
  </si>
  <si>
    <t>OR1528</t>
  </si>
  <si>
    <t>Osler, Chris</t>
  </si>
  <si>
    <t>Mazerolle, Mike</t>
  </si>
  <si>
    <t>OR1136</t>
  </si>
  <si>
    <t>OR1637</t>
  </si>
  <si>
    <t>Izzo, Beniamino</t>
  </si>
  <si>
    <t>Schifano, Salvatore</t>
  </si>
  <si>
    <t>Mianucci, Giuseppe</t>
  </si>
  <si>
    <t>Sisto, Arturo</t>
  </si>
  <si>
    <t>OR1807</t>
  </si>
  <si>
    <t>OR1808</t>
  </si>
  <si>
    <t>OR1809</t>
  </si>
  <si>
    <t>OR1810</t>
  </si>
  <si>
    <t>OR1811</t>
  </si>
  <si>
    <t>OR1812</t>
  </si>
  <si>
    <t>FRONT-END/TIE-IN WELDER  ON AUTO WELD SPREAD (QI APPLIES)</t>
  </si>
  <si>
    <t>McKie, Cody</t>
  </si>
  <si>
    <t>Sanderson, Jennifer</t>
  </si>
  <si>
    <t>Blanchard, Brian</t>
  </si>
  <si>
    <t>Minaker, Dean</t>
  </si>
  <si>
    <t>Bacon, Ivan</t>
  </si>
  <si>
    <t>OR1526</t>
  </si>
  <si>
    <t>Malek, Connor</t>
  </si>
  <si>
    <t>Laplante, Yvan</t>
  </si>
  <si>
    <t>Lavoie Francis</t>
  </si>
  <si>
    <t>OR1179</t>
  </si>
  <si>
    <t>Vonrieben</t>
  </si>
  <si>
    <t>OR1181</t>
  </si>
  <si>
    <t>OR1182</t>
  </si>
  <si>
    <t>OR1183</t>
  </si>
  <si>
    <t>OR1184</t>
  </si>
  <si>
    <t>Valdez</t>
  </si>
  <si>
    <t>Cazabon</t>
  </si>
  <si>
    <t>ARR, Ali</t>
  </si>
  <si>
    <t>Ebonkalud, Chuks</t>
  </si>
  <si>
    <t>McGreish, Duncan</t>
  </si>
  <si>
    <t>Mainucci, Giuseppe</t>
  </si>
  <si>
    <t>Poitras, Bob</t>
  </si>
  <si>
    <t>OR1322</t>
  </si>
  <si>
    <t>OR1355</t>
  </si>
  <si>
    <t>EWP2-5</t>
  </si>
  <si>
    <t>EWP2-6</t>
  </si>
  <si>
    <t>WP3-10</t>
  </si>
  <si>
    <t>WP3-11</t>
  </si>
  <si>
    <t>WP3-12</t>
  </si>
  <si>
    <t>WP3-13</t>
  </si>
  <si>
    <t>WP3-14</t>
  </si>
  <si>
    <t>WP3-15</t>
  </si>
  <si>
    <t>WP3-16</t>
  </si>
  <si>
    <t>WP3-17</t>
  </si>
  <si>
    <t>WP3-18</t>
  </si>
  <si>
    <t>WP3-19</t>
  </si>
  <si>
    <t>Greene, Krista</t>
  </si>
  <si>
    <t>Theirault, Ron</t>
  </si>
  <si>
    <t>Cardwell,Steve</t>
  </si>
  <si>
    <t>OR1638</t>
  </si>
  <si>
    <t>OR1505</t>
  </si>
  <si>
    <t>OR2243</t>
  </si>
  <si>
    <t>OR1635</t>
  </si>
  <si>
    <t>Backhoe - Hitachi 870LC</t>
  </si>
  <si>
    <t>OR2351</t>
  </si>
  <si>
    <t>OR2162</t>
  </si>
  <si>
    <t>OR1634</t>
  </si>
  <si>
    <t>OR2409</t>
  </si>
  <si>
    <t>OR2408</t>
  </si>
  <si>
    <t>GS13</t>
  </si>
  <si>
    <t>SA7-008D</t>
  </si>
  <si>
    <t>SA7-011D</t>
  </si>
  <si>
    <t>SA7-012D</t>
  </si>
  <si>
    <t>SA7-015D</t>
  </si>
  <si>
    <t>OR1639</t>
  </si>
  <si>
    <t>OR2079</t>
  </si>
  <si>
    <t>OR2127</t>
  </si>
  <si>
    <t>Larkman</t>
  </si>
  <si>
    <t>MacMillan</t>
  </si>
  <si>
    <t>Ouellette</t>
  </si>
  <si>
    <t>OR2141</t>
  </si>
  <si>
    <t>Middleton</t>
  </si>
  <si>
    <t>OR2142</t>
  </si>
  <si>
    <t>Gorgichuk</t>
  </si>
  <si>
    <t>OR2143</t>
  </si>
  <si>
    <t>Erickson</t>
  </si>
  <si>
    <t>OR2144</t>
  </si>
  <si>
    <t>Cushman</t>
  </si>
  <si>
    <t>OR2145</t>
  </si>
  <si>
    <t>French</t>
  </si>
  <si>
    <t>OR2146</t>
  </si>
  <si>
    <t>Aitken</t>
  </si>
  <si>
    <t>OR2147</t>
  </si>
  <si>
    <t>Keen</t>
  </si>
  <si>
    <t>U651Q0183</t>
  </si>
  <si>
    <t>U651Q0180</t>
  </si>
  <si>
    <t>AWE1</t>
  </si>
  <si>
    <t>AWE2</t>
  </si>
  <si>
    <t>AWE4</t>
  </si>
  <si>
    <t>AWE5</t>
  </si>
  <si>
    <t>AWE6</t>
  </si>
  <si>
    <t>SA11-040</t>
  </si>
  <si>
    <t>SA11-041</t>
  </si>
  <si>
    <t>SA11-042</t>
  </si>
  <si>
    <t>SA11-048</t>
  </si>
  <si>
    <t>SA11-049</t>
  </si>
  <si>
    <t>SA11-051</t>
  </si>
  <si>
    <t>SA11-052</t>
  </si>
  <si>
    <t>SA11-057</t>
  </si>
  <si>
    <t>SA11-025D</t>
  </si>
  <si>
    <t>SA11-026D</t>
  </si>
  <si>
    <t>2" Water Pump</t>
  </si>
  <si>
    <t>OR2282</t>
  </si>
  <si>
    <t>Shoring Box</t>
  </si>
  <si>
    <t>OR2283</t>
  </si>
  <si>
    <t>OR1640</t>
  </si>
  <si>
    <t>OR1641</t>
  </si>
  <si>
    <t>OR1332</t>
  </si>
  <si>
    <t>OR1700</t>
  </si>
  <si>
    <t>OR1701</t>
  </si>
  <si>
    <t>OR1702</t>
  </si>
  <si>
    <t>OR1703</t>
  </si>
  <si>
    <t>OR1704</t>
  </si>
  <si>
    <t>OR1705</t>
  </si>
  <si>
    <t>OR1185</t>
  </si>
  <si>
    <t>Marchuk</t>
  </si>
  <si>
    <t>Iverson, Raymond</t>
  </si>
  <si>
    <t>Pomerleau, Karen</t>
  </si>
  <si>
    <t>Larocque, Daniel</t>
  </si>
  <si>
    <t>Gauthier, Lois</t>
  </si>
  <si>
    <t>Martial, Bobby</t>
  </si>
  <si>
    <t>Arbour, Denis</t>
  </si>
  <si>
    <t>Rondeau, Paul</t>
  </si>
  <si>
    <t>Erwin, Johnathon</t>
  </si>
  <si>
    <t>Issacc, Jason</t>
  </si>
  <si>
    <t>Walker, Laird</t>
  </si>
  <si>
    <t>Flamond, Gary</t>
  </si>
  <si>
    <t>Robichaud, Jean</t>
  </si>
  <si>
    <t>OR1642</t>
  </si>
  <si>
    <t>Stewart, William</t>
  </si>
  <si>
    <t>Prive, Bob</t>
  </si>
  <si>
    <t>Shirley, Brian</t>
  </si>
  <si>
    <t>Petrie, Regis</t>
  </si>
  <si>
    <t>Burton, Justin</t>
  </si>
  <si>
    <t>Loades, Kevin</t>
  </si>
  <si>
    <t>Ritchie, Mark</t>
  </si>
  <si>
    <t>Joly, Pierre</t>
  </si>
  <si>
    <t>Pope, Terry</t>
  </si>
  <si>
    <t>Osborne, Brian</t>
  </si>
  <si>
    <t>Brown, Calvin</t>
  </si>
  <si>
    <t>Frykas, Darcey</t>
  </si>
  <si>
    <t>Cadavis, Gonzalo</t>
  </si>
  <si>
    <t>Reid, Richard</t>
  </si>
  <si>
    <t>Osborne, Terry</t>
  </si>
  <si>
    <t>Mallet, Carl</t>
  </si>
  <si>
    <t>OR1403</t>
  </si>
  <si>
    <t>Krpan, Miroslav</t>
  </si>
  <si>
    <t>OR1070D</t>
  </si>
  <si>
    <t>OR1071D</t>
  </si>
  <si>
    <t>Mannah, Adam</t>
  </si>
  <si>
    <t>Lajoie, Barry</t>
  </si>
  <si>
    <t>Leganchuk, Larry</t>
  </si>
  <si>
    <t>OR1186</t>
  </si>
  <si>
    <t>OR1187</t>
  </si>
  <si>
    <t>OR1188</t>
  </si>
  <si>
    <t>Belanger</t>
  </si>
  <si>
    <t>Leganchuk</t>
  </si>
  <si>
    <t>OR1304D</t>
  </si>
  <si>
    <t>Uri, Aurel</t>
  </si>
  <si>
    <t>OR1325</t>
  </si>
  <si>
    <t>Schmalz, Ashley</t>
  </si>
  <si>
    <t>OR1534</t>
  </si>
  <si>
    <t>OR1535</t>
  </si>
  <si>
    <t>OR1218</t>
  </si>
  <si>
    <t>OR1219</t>
  </si>
  <si>
    <t>OR2187</t>
  </si>
  <si>
    <t>OR1646</t>
  </si>
  <si>
    <t>OR1647</t>
  </si>
  <si>
    <t>OR1644</t>
  </si>
  <si>
    <t>OR2286</t>
  </si>
  <si>
    <t>OR2288</t>
  </si>
  <si>
    <t>OR2098</t>
  </si>
  <si>
    <t>OR1413</t>
  </si>
  <si>
    <t>OR1414</t>
  </si>
  <si>
    <t>SB402</t>
  </si>
  <si>
    <t>SB403</t>
  </si>
  <si>
    <t>SB409</t>
  </si>
  <si>
    <t>SB411</t>
  </si>
  <si>
    <t>OR1648</t>
  </si>
  <si>
    <t>OR1649</t>
  </si>
  <si>
    <t>OR1586</t>
  </si>
  <si>
    <t>OR1327</t>
  </si>
  <si>
    <t>OR2287</t>
  </si>
  <si>
    <t>Floc Water Tank</t>
  </si>
  <si>
    <t>OR1143</t>
  </si>
  <si>
    <t>OR1144</t>
  </si>
  <si>
    <t>OR2422</t>
  </si>
  <si>
    <t>OR2049</t>
  </si>
  <si>
    <t>OR2050</t>
  </si>
  <si>
    <t>OR2051</t>
  </si>
  <si>
    <t>OR2052</t>
  </si>
  <si>
    <t>OR2053</t>
  </si>
  <si>
    <t>B Lajoie</t>
  </si>
  <si>
    <t>SB201D</t>
  </si>
  <si>
    <t>SB203D</t>
  </si>
  <si>
    <t>SB207D</t>
  </si>
  <si>
    <t>SB208D</t>
  </si>
  <si>
    <t>SB209D</t>
  </si>
  <si>
    <t>U651Q0183D</t>
  </si>
  <si>
    <t>U651Q0180D</t>
  </si>
  <si>
    <t>AWE3</t>
  </si>
  <si>
    <t>OR1645</t>
  </si>
  <si>
    <t>PRT1</t>
  </si>
  <si>
    <t>Pipe Ramming Tool</t>
  </si>
  <si>
    <t>OR2201.1</t>
  </si>
  <si>
    <t>OR2201.2</t>
  </si>
  <si>
    <t>OR2201.3</t>
  </si>
  <si>
    <t>OR2201.4</t>
  </si>
  <si>
    <t>OR2201.5</t>
  </si>
  <si>
    <t>OR2201.6</t>
  </si>
  <si>
    <t>OR2264</t>
  </si>
  <si>
    <t>OR2265</t>
  </si>
  <si>
    <t>OR2266</t>
  </si>
  <si>
    <t>OR2267</t>
  </si>
  <si>
    <t>Field Log 31</t>
  </si>
  <si>
    <t>Field Log 32</t>
  </si>
  <si>
    <t>Field Log 33</t>
  </si>
  <si>
    <t>Field Log 34</t>
  </si>
  <si>
    <t>Field Log 35</t>
  </si>
  <si>
    <t>OR1820</t>
  </si>
  <si>
    <t>OR1411</t>
  </si>
  <si>
    <t>OR2427</t>
  </si>
  <si>
    <t>OR2110</t>
  </si>
  <si>
    <t>OR1304</t>
  </si>
  <si>
    <t>Bonnet-Allaire, Philippe</t>
  </si>
  <si>
    <t>Sakar, Ali Adam</t>
  </si>
  <si>
    <t>Coating Pre-Heat Generator &amp; Coil</t>
  </si>
  <si>
    <t>Flatdeck Bottle Truck</t>
  </si>
  <si>
    <t>Dozer - Cat 'U' Blade</t>
  </si>
  <si>
    <t>OR2290</t>
  </si>
  <si>
    <t>OR2097</t>
  </si>
  <si>
    <t>OR2248</t>
  </si>
  <si>
    <t>OR2249</t>
  </si>
  <si>
    <t>OR2358</t>
  </si>
  <si>
    <t>OR2281</t>
  </si>
  <si>
    <t>Delorme, Terrance</t>
  </si>
  <si>
    <t>OR1706</t>
  </si>
  <si>
    <t>Wilson, Ryan</t>
  </si>
  <si>
    <t>OR1291</t>
  </si>
  <si>
    <t>Ozzie Padder</t>
  </si>
  <si>
    <t>Mahamud, Mahat</t>
  </si>
  <si>
    <t>Paquette, Keinan</t>
  </si>
  <si>
    <t>Moreau, Daniel</t>
  </si>
  <si>
    <t>Hannah, Adam</t>
  </si>
  <si>
    <t>Schmidt, Kevin</t>
  </si>
  <si>
    <t>OR1651</t>
  </si>
  <si>
    <t>Samuels, Richard</t>
  </si>
  <si>
    <t>Portable Shop Heater - Allmand</t>
  </si>
  <si>
    <t>Generator Pump Pkg 35kW</t>
  </si>
  <si>
    <t>Generator Pump Pkg 75kW</t>
  </si>
  <si>
    <t>Generator Pump &amp; Light 15-20kW</t>
  </si>
  <si>
    <t>Generator Pump &amp; Light 8-10kW</t>
  </si>
  <si>
    <t>OR1412</t>
  </si>
  <si>
    <t>OR2188</t>
  </si>
  <si>
    <t>OR1652</t>
  </si>
  <si>
    <t>OR1653</t>
  </si>
  <si>
    <t>OR1821</t>
  </si>
  <si>
    <t>OR2291</t>
  </si>
  <si>
    <t>OR1121</t>
  </si>
  <si>
    <t>G-16</t>
  </si>
  <si>
    <t>G-17</t>
  </si>
  <si>
    <t>G-18</t>
  </si>
  <si>
    <t>OR2203</t>
  </si>
  <si>
    <t>OR1356</t>
  </si>
  <si>
    <t>OR1357</t>
  </si>
  <si>
    <t>OR1358</t>
  </si>
  <si>
    <t>OR1413D</t>
  </si>
  <si>
    <t>OR1414D</t>
  </si>
  <si>
    <t>OR1354D</t>
  </si>
  <si>
    <t>OR1355D</t>
  </si>
  <si>
    <t>OR2352</t>
  </si>
  <si>
    <t>SB408</t>
  </si>
  <si>
    <t>OR1650</t>
  </si>
  <si>
    <t>OR2234</t>
  </si>
  <si>
    <t>OR2221</t>
  </si>
  <si>
    <t>OR2247</t>
  </si>
  <si>
    <t>OR2338</t>
  </si>
  <si>
    <t>OR2421</t>
  </si>
  <si>
    <t>OR1707</t>
  </si>
  <si>
    <t>OR2080</t>
  </si>
  <si>
    <t>OR1750</t>
  </si>
  <si>
    <t>OR1751</t>
  </si>
  <si>
    <t>OR2081</t>
  </si>
  <si>
    <t>OR2128</t>
  </si>
  <si>
    <t>Korycki</t>
  </si>
  <si>
    <t>OR1189</t>
  </si>
  <si>
    <t>Arias</t>
  </si>
  <si>
    <t>OR2148</t>
  </si>
  <si>
    <t>Track</t>
  </si>
  <si>
    <t>OR2353</t>
  </si>
  <si>
    <t>AWE7</t>
  </si>
  <si>
    <t>OR2293</t>
  </si>
  <si>
    <t>EWP3-9</t>
  </si>
  <si>
    <t>EWP3-10</t>
  </si>
  <si>
    <t>EWP3-11</t>
  </si>
  <si>
    <t>WP3-6</t>
  </si>
  <si>
    <t>WP3-7</t>
  </si>
  <si>
    <t>WP3-31</t>
  </si>
  <si>
    <t>WP3-32</t>
  </si>
  <si>
    <t>WP3-33</t>
  </si>
  <si>
    <t>WP3-34</t>
  </si>
  <si>
    <t>WP3-35</t>
  </si>
  <si>
    <t>WP3-36</t>
  </si>
  <si>
    <t>OR2279</t>
  </si>
  <si>
    <t>SA11-032D</t>
  </si>
  <si>
    <t>SA11-036</t>
  </si>
  <si>
    <t>Rubber Tired Hoe</t>
  </si>
  <si>
    <t>Letendre, Cody</t>
  </si>
  <si>
    <t>Collier, Troy</t>
  </si>
  <si>
    <t>Athey Wagon - 30 Tonne</t>
  </si>
  <si>
    <t>OR2235</t>
  </si>
  <si>
    <t>OR2236</t>
  </si>
  <si>
    <t>OR2354</t>
  </si>
  <si>
    <t>OR2356</t>
  </si>
  <si>
    <t>OR2277b</t>
  </si>
  <si>
    <t>OR2202D</t>
  </si>
  <si>
    <t>OR2203D</t>
  </si>
  <si>
    <t>DL2536</t>
  </si>
  <si>
    <t>DL2521</t>
  </si>
  <si>
    <t>OR2295</t>
  </si>
  <si>
    <t>SA11-035d</t>
  </si>
  <si>
    <t>Sheep's Foot Drum Packer</t>
  </si>
  <si>
    <t>SA11-036d</t>
  </si>
  <si>
    <t>OR2351d</t>
  </si>
  <si>
    <t>Starr, Donald</t>
  </si>
  <si>
    <t>Payne, Carl</t>
  </si>
  <si>
    <t>Germain, Jesse</t>
  </si>
  <si>
    <t>Patterson, Michael</t>
  </si>
  <si>
    <t>Jacklin, Tom</t>
  </si>
  <si>
    <t>Botts, Adam</t>
  </si>
  <si>
    <t>Bird, Michael</t>
  </si>
  <si>
    <t>William, Grant</t>
  </si>
  <si>
    <t>Samuel, Niles</t>
  </si>
  <si>
    <t>Wiens, Chandin</t>
  </si>
  <si>
    <t>McKague, Michael</t>
  </si>
  <si>
    <t>Underhill, Ryan</t>
  </si>
  <si>
    <t>Sananes, Rachel</t>
  </si>
  <si>
    <t>McKerchar, Geordie</t>
  </si>
  <si>
    <t>OR1326</t>
  </si>
  <si>
    <t>Spencer, Kyle</t>
  </si>
  <si>
    <t>Trepanier, Leslie</t>
  </si>
  <si>
    <t>Chern, Brett</t>
  </si>
  <si>
    <t>OR1328</t>
  </si>
  <si>
    <t>Grasley, Jeffrey</t>
  </si>
  <si>
    <t>Parrill, Robert</t>
  </si>
  <si>
    <t>Buch, Jason</t>
  </si>
  <si>
    <t>OR1708</t>
  </si>
  <si>
    <t>Adair, John</t>
  </si>
  <si>
    <t>OR1709</t>
  </si>
  <si>
    <t>WP3-37</t>
  </si>
  <si>
    <t>WP3-38</t>
  </si>
  <si>
    <t>WP3-39</t>
  </si>
  <si>
    <t>WP3-40</t>
  </si>
  <si>
    <t>WP3-41</t>
  </si>
  <si>
    <t>WP3-42</t>
  </si>
  <si>
    <t>OR1654</t>
  </si>
  <si>
    <t>Hermanson, Stefan</t>
  </si>
  <si>
    <t>Lambert, Wilfred</t>
  </si>
  <si>
    <t>SA11-004</t>
  </si>
  <si>
    <t>Huezo, Julio</t>
  </si>
  <si>
    <t>Lambert, Devon</t>
  </si>
  <si>
    <t>OR1361</t>
  </si>
  <si>
    <t>OR1362</t>
  </si>
  <si>
    <t>OR1359</t>
  </si>
  <si>
    <t>OR1360</t>
  </si>
  <si>
    <t>OR1348D</t>
  </si>
  <si>
    <t>OR1349D</t>
  </si>
  <si>
    <t>OR1122</t>
  </si>
  <si>
    <t>OR1123</t>
  </si>
  <si>
    <t>Gagne, Brad</t>
  </si>
  <si>
    <t>OR1329</t>
  </si>
  <si>
    <t>Johannesson, Danton</t>
  </si>
  <si>
    <t>WP3-9</t>
  </si>
  <si>
    <t>OR1363</t>
  </si>
  <si>
    <t>OR1710</t>
  </si>
  <si>
    <t>Pope, Jason</t>
  </si>
  <si>
    <t>OR1416</t>
  </si>
  <si>
    <t>Farrell, Shawn</t>
  </si>
  <si>
    <t>OR1578</t>
  </si>
  <si>
    <t>OR1124</t>
  </si>
  <si>
    <t>Banks, Robin</t>
  </si>
  <si>
    <t>Heinekamp, Delbert</t>
  </si>
  <si>
    <t>Kelly, Scott</t>
  </si>
  <si>
    <t>Harrop, James</t>
  </si>
  <si>
    <t>Strawberry, Darren</t>
  </si>
  <si>
    <t>Thomas, Dana</t>
  </si>
  <si>
    <t>Brewster, Ryan</t>
  </si>
  <si>
    <t>O'Connor, Scott</t>
  </si>
  <si>
    <t>OR1656</t>
  </si>
  <si>
    <t>SA8-004</t>
  </si>
  <si>
    <t>SA6-012d</t>
  </si>
  <si>
    <t>E78D</t>
  </si>
  <si>
    <t>OR2244</t>
  </si>
  <si>
    <t>OR2367</t>
  </si>
  <si>
    <t>OR2346</t>
  </si>
  <si>
    <t>OR2223D</t>
  </si>
  <si>
    <t>Backhoe - Link Belt 1400 Long Stick</t>
  </si>
  <si>
    <t>OR2355</t>
  </si>
  <si>
    <t>OR1655</t>
  </si>
  <si>
    <t>DM66</t>
  </si>
  <si>
    <t>OR1220</t>
  </si>
  <si>
    <t>OR1221</t>
  </si>
  <si>
    <t>OR1222</t>
  </si>
  <si>
    <t>OR2099</t>
  </si>
  <si>
    <t>OR2100</t>
  </si>
  <si>
    <t>OR2297</t>
  </si>
  <si>
    <t>OR2237</t>
  </si>
  <si>
    <t>OR2238</t>
  </si>
  <si>
    <t>OR2239</t>
  </si>
  <si>
    <t>OR2250</t>
  </si>
  <si>
    <t>OR2163</t>
  </si>
  <si>
    <t>OR2359</t>
  </si>
  <si>
    <t>OR2435</t>
  </si>
  <si>
    <t>T309D</t>
  </si>
  <si>
    <t>OR1330</t>
  </si>
  <si>
    <t>DL2557</t>
  </si>
  <si>
    <t>OR2055</t>
  </si>
  <si>
    <t>OR2082</t>
  </si>
  <si>
    <t>OR2083</t>
  </si>
  <si>
    <t>OR2149</t>
  </si>
  <si>
    <t>Sookalal</t>
  </si>
  <si>
    <t>OR2150</t>
  </si>
  <si>
    <t>Tataryn</t>
  </si>
  <si>
    <t>OR2151</t>
  </si>
  <si>
    <t>Phillips</t>
  </si>
  <si>
    <t>OR2152</t>
  </si>
  <si>
    <t>Hagan</t>
  </si>
  <si>
    <t>OR2294</t>
  </si>
  <si>
    <t>OR1223</t>
  </si>
  <si>
    <t>OR2292</t>
  </si>
  <si>
    <t>OR2296</t>
  </si>
  <si>
    <t>OR2366</t>
  </si>
  <si>
    <t>Fuel Tank</t>
  </si>
  <si>
    <t>OR2436</t>
  </si>
  <si>
    <t>OR2208</t>
  </si>
  <si>
    <t>6-36 X 48 ROLLI CRADLES</t>
  </si>
  <si>
    <t>OR2437</t>
  </si>
  <si>
    <t>2-36 X 54 ROLLI CRADLES &amp;2 - SPREADER BARS</t>
  </si>
  <si>
    <t>OR1125</t>
  </si>
  <si>
    <t>Skura, Anthony</t>
  </si>
  <si>
    <t>Roster, John</t>
  </si>
  <si>
    <t>Coburn, Daven</t>
  </si>
  <si>
    <t>MacDonald, Mitch</t>
  </si>
  <si>
    <t>Roller Packer 90" Contour</t>
  </si>
  <si>
    <t>Ditch Witch 1330 &amp; Trailer</t>
  </si>
  <si>
    <t>Sideboom - Liebherr RL64</t>
  </si>
  <si>
    <t>OR2101</t>
  </si>
  <si>
    <t>OR2102</t>
  </si>
  <si>
    <t>OR2103</t>
  </si>
  <si>
    <t>OR2104</t>
  </si>
  <si>
    <t>OR1331</t>
  </si>
  <si>
    <t>Russell, Donald</t>
  </si>
  <si>
    <t>OR1657</t>
  </si>
  <si>
    <t>Trudeau, David</t>
  </si>
  <si>
    <t>MacDonald, David</t>
  </si>
  <si>
    <t>Libiak, Ryan</t>
  </si>
  <si>
    <t>Major, John</t>
  </si>
  <si>
    <t>OR1660</t>
  </si>
  <si>
    <t>OR1659</t>
  </si>
  <si>
    <t>Smith, Clark</t>
  </si>
  <si>
    <t>WP3-8</t>
  </si>
  <si>
    <t>SA5-004D</t>
  </si>
  <si>
    <t>Boucher, Yvon</t>
  </si>
  <si>
    <t>Ritza, Philip</t>
  </si>
  <si>
    <t>Douglas, Robbie</t>
  </si>
  <si>
    <t>Brazeau, Guy</t>
  </si>
  <si>
    <t>Faulkner, Ian</t>
  </si>
  <si>
    <t>OR1415</t>
  </si>
  <si>
    <t>BR01</t>
  </si>
  <si>
    <t>SA14-012</t>
  </si>
  <si>
    <t>SA14-015</t>
  </si>
  <si>
    <t>Boucher, Valbert</t>
  </si>
  <si>
    <t>OR1661</t>
  </si>
  <si>
    <t>OR1332D</t>
  </si>
  <si>
    <t>OR1624</t>
  </si>
  <si>
    <t>Penner, Geraldine</t>
  </si>
  <si>
    <t>Landry, Shane</t>
  </si>
  <si>
    <t>Ewasiuk, Clarence</t>
  </si>
  <si>
    <t>OR1664</t>
  </si>
  <si>
    <t>Lagg, Kenneth</t>
  </si>
  <si>
    <t>Mica, Jason</t>
  </si>
  <si>
    <t>White, Perry</t>
  </si>
  <si>
    <t>Moffat, Michael</t>
  </si>
  <si>
    <t>Villata, Lorenzo</t>
  </si>
  <si>
    <t>OR1126</t>
  </si>
  <si>
    <t>OR1336</t>
  </si>
  <si>
    <t>Bernard, Rolland</t>
  </si>
  <si>
    <t>OR1127</t>
  </si>
  <si>
    <t>SA12-004</t>
  </si>
  <si>
    <t>Silt Fence Installation Attachment</t>
  </si>
  <si>
    <t>OR1126D</t>
  </si>
  <si>
    <t>Stoyko, Heidi</t>
  </si>
  <si>
    <t>Bach, Rodney</t>
  </si>
  <si>
    <t>OR1666</t>
  </si>
  <si>
    <t>ATV18</t>
  </si>
  <si>
    <t>OR1224</t>
  </si>
  <si>
    <t>Moalin, Abdiaziz</t>
  </si>
  <si>
    <t>MacPhail, Douglas</t>
  </si>
  <si>
    <t>OR1337</t>
  </si>
  <si>
    <t>OR1338</t>
  </si>
  <si>
    <t>OR1662</t>
  </si>
  <si>
    <t>OR1663</t>
  </si>
  <si>
    <t>OR1665</t>
  </si>
  <si>
    <t>OR1667</t>
  </si>
  <si>
    <t>SA6-004</t>
  </si>
  <si>
    <t>OR2374</t>
  </si>
  <si>
    <t>OR2442</t>
  </si>
  <si>
    <t>OR2164</t>
  </si>
  <si>
    <t>OR2438</t>
  </si>
  <si>
    <t>OR1673</t>
  </si>
  <si>
    <t>OR2369</t>
  </si>
  <si>
    <t>OR1672</t>
  </si>
  <si>
    <t>OR1668</t>
  </si>
  <si>
    <t>OR1674</t>
  </si>
  <si>
    <t>OR1675</t>
  </si>
  <si>
    <t>OR1669</t>
  </si>
  <si>
    <t>OR1671</t>
  </si>
  <si>
    <t>OR1670</t>
  </si>
  <si>
    <t>OR1676</t>
  </si>
  <si>
    <t>OR1226</t>
  </si>
  <si>
    <t>OR1227</t>
  </si>
  <si>
    <t>OR2368</t>
  </si>
  <si>
    <t>SA9-028</t>
  </si>
  <si>
    <t>OR2372</t>
  </si>
  <si>
    <t>OR2373</t>
  </si>
  <si>
    <t>OR2360</t>
  </si>
  <si>
    <t>OR1339</t>
  </si>
  <si>
    <t>Trailer - B - Train</t>
  </si>
  <si>
    <t>DL2521D</t>
  </si>
  <si>
    <t>OR1330d</t>
  </si>
  <si>
    <t>OR2423</t>
  </si>
  <si>
    <t>OR2061</t>
  </si>
  <si>
    <t>OR2062</t>
  </si>
  <si>
    <t>OR2054</t>
  </si>
  <si>
    <t>DL2580D</t>
  </si>
  <si>
    <t>DL2861</t>
  </si>
  <si>
    <t>OR2451</t>
  </si>
  <si>
    <t>Smilsky</t>
  </si>
  <si>
    <t>OR2452</t>
  </si>
  <si>
    <t>Stefan</t>
  </si>
  <si>
    <t>OR2453</t>
  </si>
  <si>
    <t>Van Gisteren</t>
  </si>
  <si>
    <t>OR2452D</t>
  </si>
  <si>
    <t>OR1677</t>
  </si>
  <si>
    <t>OR1678</t>
  </si>
  <si>
    <t>OR2361</t>
  </si>
  <si>
    <t>OR2374D</t>
  </si>
  <si>
    <t>OR2370</t>
  </si>
  <si>
    <t>OR2371</t>
  </si>
  <si>
    <t>OR2375</t>
  </si>
  <si>
    <t>OR2439</t>
  </si>
  <si>
    <t>OR2440</t>
  </si>
  <si>
    <t>OR2441</t>
  </si>
  <si>
    <t>OR1679</t>
  </si>
  <si>
    <t>OR1680</t>
  </si>
  <si>
    <t>OR1681</t>
  </si>
  <si>
    <t>OR1228</t>
  </si>
  <si>
    <t>OR1229</t>
  </si>
  <si>
    <t>OR2105</t>
  </si>
  <si>
    <t>OR2376</t>
  </si>
  <si>
    <t>Warehouse Trailer/ Van Diesel Heated Storage</t>
  </si>
  <si>
    <t>Sutton, Jonathan</t>
  </si>
  <si>
    <t>Vaughn, Robert</t>
  </si>
  <si>
    <t>OR2380</t>
  </si>
  <si>
    <t>OR2381</t>
  </si>
  <si>
    <t>OR2382</t>
  </si>
  <si>
    <t>OR2411</t>
  </si>
  <si>
    <t>OR1687</t>
  </si>
  <si>
    <t>OR1590d</t>
  </si>
  <si>
    <t>OR1684</t>
  </si>
  <si>
    <t>OR1685</t>
  </si>
  <si>
    <t>OR2383</t>
  </si>
  <si>
    <t>OR2384</t>
  </si>
  <si>
    <t>FE19</t>
  </si>
  <si>
    <t>SA12-005d</t>
  </si>
  <si>
    <t>OR1688</t>
  </si>
  <si>
    <t>OR2446</t>
  </si>
  <si>
    <t>OR2445</t>
  </si>
  <si>
    <t>OR2448</t>
  </si>
  <si>
    <t>OR2443</t>
  </si>
  <si>
    <t>OR2444</t>
  </si>
  <si>
    <t>OR2447</t>
  </si>
  <si>
    <t>OR1689</t>
  </si>
  <si>
    <t>OR1690</t>
  </si>
  <si>
    <t>OR2377</t>
  </si>
  <si>
    <t>OR2379</t>
  </si>
  <si>
    <t>OR1367</t>
  </si>
  <si>
    <t>OR1682</t>
  </si>
  <si>
    <t>OR1683</t>
  </si>
  <si>
    <t>OR2410</t>
  </si>
  <si>
    <t>OR1691</t>
  </si>
  <si>
    <t>OR1692</t>
  </si>
  <si>
    <t>OR1231</t>
  </si>
  <si>
    <t>OR2385</t>
  </si>
  <si>
    <t>Cardinal, William</t>
  </si>
  <si>
    <t>Rostek, John</t>
  </si>
  <si>
    <t>Mooney, Brian</t>
  </si>
  <si>
    <t>Trithardt, Dennis</t>
  </si>
  <si>
    <t>Landry, Donat</t>
  </si>
  <si>
    <t>Issac, Jesse</t>
  </si>
  <si>
    <t>Reed, John Jr</t>
  </si>
  <si>
    <t>Blais, Laurel</t>
  </si>
  <si>
    <t>OR1696</t>
  </si>
  <si>
    <t>or1694</t>
  </si>
  <si>
    <t>OR2386</t>
  </si>
  <si>
    <t>OR2450</t>
  </si>
  <si>
    <t>SA12-006</t>
  </si>
  <si>
    <t>OR2449</t>
  </si>
  <si>
    <t>OR1695</t>
  </si>
  <si>
    <t>OR2106</t>
  </si>
  <si>
    <t>or1822</t>
  </si>
  <si>
    <t>OR1823</t>
  </si>
  <si>
    <t>OR2232C</t>
  </si>
  <si>
    <t>OR1686</t>
  </si>
  <si>
    <t>Arseneau, Jesse</t>
  </si>
  <si>
    <t>Henderson, Kelvin</t>
  </si>
  <si>
    <t>Brisbois, Stephane</t>
  </si>
  <si>
    <t>FE21</t>
  </si>
  <si>
    <t>FE22</t>
  </si>
  <si>
    <t>FE23</t>
  </si>
  <si>
    <t>OR2108</t>
  </si>
  <si>
    <t>OR2109</t>
  </si>
  <si>
    <t>OR2476</t>
  </si>
  <si>
    <t>OR2477</t>
  </si>
  <si>
    <t>Frailick, Daniel</t>
  </si>
  <si>
    <t>Packer- Crowfoot</t>
  </si>
  <si>
    <t>Plate Tamper- Walk Behind (1000Lb)</t>
  </si>
  <si>
    <t>Boat &amp; Motor (No Trailer)</t>
  </si>
  <si>
    <t>Panther T8 All Terrain Dump Vehicle</t>
  </si>
  <si>
    <t>OR1230</t>
  </si>
  <si>
    <t>OR1693</t>
  </si>
  <si>
    <t>OR1418</t>
  </si>
  <si>
    <t>OR1419</t>
  </si>
  <si>
    <t>OR1369</t>
  </si>
  <si>
    <t>OR1697</t>
  </si>
  <si>
    <t>OR1234</t>
  </si>
  <si>
    <t>OR1235</t>
  </si>
  <si>
    <t>OR1233</t>
  </si>
  <si>
    <t>OR1696D</t>
  </si>
  <si>
    <t>OR1420</t>
  </si>
  <si>
    <t>OR1236</t>
  </si>
  <si>
    <t>OR1237</t>
  </si>
  <si>
    <t>OR1238</t>
  </si>
  <si>
    <t>OR1239</t>
  </si>
  <si>
    <t>OR1371</t>
  </si>
  <si>
    <t>OR1372</t>
  </si>
  <si>
    <t>OR1580</t>
  </si>
  <si>
    <t>OR1581</t>
  </si>
  <si>
    <t>OR1582</t>
  </si>
  <si>
    <t>OR1583</t>
  </si>
  <si>
    <t>OR1373</t>
  </si>
  <si>
    <t>OR1374</t>
  </si>
  <si>
    <t>OR1698</t>
  </si>
  <si>
    <t>OR2455</t>
  </si>
  <si>
    <t>OR2456</t>
  </si>
  <si>
    <t>OR2468</t>
  </si>
  <si>
    <t>OR2467</t>
  </si>
  <si>
    <t>OR2457</t>
  </si>
  <si>
    <t>OR1421</t>
  </si>
  <si>
    <t>OR2107</t>
  </si>
  <si>
    <t>OR2378</t>
  </si>
  <si>
    <t>OR2362</t>
  </si>
  <si>
    <t>DL2535</t>
  </si>
  <si>
    <t>OR2330</t>
  </si>
  <si>
    <t>OR2454</t>
  </si>
  <si>
    <t>Renton</t>
  </si>
  <si>
    <t>Lavoie</t>
  </si>
  <si>
    <t>G. Gawdunyk</t>
  </si>
  <si>
    <t>K. Gawdunyk</t>
  </si>
  <si>
    <t>OR2460</t>
  </si>
  <si>
    <t>Loy</t>
  </si>
  <si>
    <t>OR2461</t>
  </si>
  <si>
    <t>Songhurst</t>
  </si>
  <si>
    <t>OR2462</t>
  </si>
  <si>
    <t>Oleitschuk</t>
  </si>
  <si>
    <t>OR2463</t>
  </si>
  <si>
    <t>Davey</t>
  </si>
  <si>
    <t>OR2464</t>
  </si>
  <si>
    <t>Fithen</t>
  </si>
  <si>
    <t>OR1232</t>
  </si>
  <si>
    <t>OR1240</t>
  </si>
  <si>
    <t>OR2298</t>
  </si>
  <si>
    <t>OR2299</t>
  </si>
  <si>
    <t>OR2300</t>
  </si>
  <si>
    <t>SA12-007</t>
  </si>
  <si>
    <t>SILT FENCE INSTALLATION ATTACHMENT</t>
  </si>
  <si>
    <t>OR1417d</t>
  </si>
  <si>
    <t>OR2363</t>
  </si>
  <si>
    <t>OR2364</t>
  </si>
  <si>
    <t>OR2466</t>
  </si>
  <si>
    <t>OR1686D</t>
  </si>
  <si>
    <t>Carter, Clayton</t>
  </si>
  <si>
    <t>Lodge, Dorman Sr</t>
  </si>
  <si>
    <t>OR1584</t>
  </si>
  <si>
    <t>OR1699</t>
  </si>
  <si>
    <t>OR1366</t>
  </si>
  <si>
    <t>Rock Splitter</t>
  </si>
  <si>
    <t>Loader Attachment - Pipe/Pole Grapple</t>
  </si>
  <si>
    <t>Tessier, Jean Paul</t>
  </si>
  <si>
    <t>OR1161</t>
  </si>
  <si>
    <t>Tessier</t>
  </si>
  <si>
    <t>OR2165</t>
  </si>
  <si>
    <t>OR2478</t>
  </si>
  <si>
    <t>OR2479</t>
  </si>
  <si>
    <t>OR2480</t>
  </si>
  <si>
    <t>OR2481</t>
  </si>
  <si>
    <t>OR2482</t>
  </si>
  <si>
    <t>OR2483</t>
  </si>
  <si>
    <t>OR1377</t>
  </si>
  <si>
    <t>OR1375</t>
  </si>
  <si>
    <t>OR1757</t>
  </si>
  <si>
    <t>OR1758</t>
  </si>
  <si>
    <t>OR2316</t>
  </si>
  <si>
    <t>OR2317</t>
  </si>
  <si>
    <t>DL2553</t>
  </si>
  <si>
    <t>DL2519</t>
  </si>
  <si>
    <t>OR2458</t>
  </si>
  <si>
    <t>OR2469</t>
  </si>
  <si>
    <t>OR2470</t>
  </si>
  <si>
    <t>OR2471</t>
  </si>
  <si>
    <t>OR2472</t>
  </si>
  <si>
    <t>OR1368</t>
  </si>
  <si>
    <t>Maclean, Dion</t>
  </si>
  <si>
    <t>OR1424</t>
  </si>
  <si>
    <t>OR1840</t>
  </si>
  <si>
    <t>OR1841</t>
  </si>
  <si>
    <t>OR1842</t>
  </si>
  <si>
    <t>WP3-46</t>
  </si>
  <si>
    <t>WP3-47</t>
  </si>
  <si>
    <t>Thrithardt, Dennis</t>
  </si>
  <si>
    <t>OR1425</t>
  </si>
  <si>
    <t>OR1427</t>
  </si>
  <si>
    <t>OR1426</t>
  </si>
  <si>
    <t>522T</t>
  </si>
  <si>
    <t>OR1423</t>
  </si>
  <si>
    <t>OR1429</t>
  </si>
  <si>
    <t>OR1752</t>
  </si>
  <si>
    <t>OR1845</t>
  </si>
  <si>
    <t>OR1384</t>
  </si>
  <si>
    <t>OR1383</t>
  </si>
  <si>
    <t>DL2564</t>
  </si>
  <si>
    <t>STRAW</t>
  </si>
  <si>
    <t>OR1225</t>
  </si>
  <si>
    <t>OR1762</t>
  </si>
  <si>
    <t>OR1440</t>
  </si>
  <si>
    <t>OR2503A</t>
  </si>
  <si>
    <t>OR2166</t>
  </si>
  <si>
    <t>OR2509</t>
  </si>
  <si>
    <t>SA6-001d</t>
  </si>
  <si>
    <t>OR2166d</t>
  </si>
  <si>
    <t>OR2167</t>
  </si>
  <si>
    <t>OR2491</t>
  </si>
  <si>
    <t>OR2496</t>
  </si>
  <si>
    <t>OR2496B</t>
  </si>
  <si>
    <t>OR2509D</t>
  </si>
  <si>
    <t>SA8-006</t>
  </si>
  <si>
    <t>OR2531</t>
  </si>
  <si>
    <t>SA4-003</t>
  </si>
  <si>
    <t>OR2328</t>
  </si>
  <si>
    <t>OR2329</t>
  </si>
  <si>
    <t>OR1428</t>
  </si>
  <si>
    <t>OR1759</t>
  </si>
  <si>
    <t>OR1436</t>
  </si>
  <si>
    <t>OR2484</t>
  </si>
  <si>
    <t>OR2485</t>
  </si>
  <si>
    <t>OR1422</t>
  </si>
  <si>
    <t>OR2508</t>
  </si>
  <si>
    <t>OR2465</t>
  </si>
  <si>
    <t>OR1379</t>
  </si>
  <si>
    <t>OR2431</t>
  </si>
  <si>
    <t>SA11-031</t>
  </si>
  <si>
    <t>OR1699D</t>
  </si>
  <si>
    <t>OR2492</t>
  </si>
  <si>
    <t>OR2493</t>
  </si>
  <si>
    <t>T315</t>
  </si>
  <si>
    <t>OR2365</t>
  </si>
  <si>
    <t>T291</t>
  </si>
  <si>
    <t>OR1825</t>
  </si>
  <si>
    <t>OR1826</t>
  </si>
  <si>
    <t>OR1827</t>
  </si>
  <si>
    <t>OR2318</t>
  </si>
  <si>
    <t>434T</t>
  </si>
  <si>
    <t>OR2503B</t>
  </si>
  <si>
    <t>OR2330d</t>
  </si>
  <si>
    <t>DL2809</t>
  </si>
  <si>
    <t>DL2539</t>
  </si>
  <si>
    <t>DL2541</t>
  </si>
  <si>
    <t>DL2544</t>
  </si>
  <si>
    <t>DL2513</t>
  </si>
  <si>
    <t>DL2533</t>
  </si>
  <si>
    <t>DL2537</t>
  </si>
  <si>
    <t>OR2042</t>
  </si>
  <si>
    <t>OR2043</t>
  </si>
  <si>
    <t>DL2523</t>
  </si>
  <si>
    <t>OR2130</t>
  </si>
  <si>
    <t>Mercier</t>
  </si>
  <si>
    <t>OR1760</t>
  </si>
  <si>
    <t>OR1761</t>
  </si>
  <si>
    <t>OR2473</t>
  </si>
  <si>
    <t>OR2474</t>
  </si>
  <si>
    <t>OR2475</t>
  </si>
  <si>
    <t>OR2488</t>
  </si>
  <si>
    <t>WP3-43</t>
  </si>
  <si>
    <t>WP3-44</t>
  </si>
  <si>
    <t>WP3-45</t>
  </si>
  <si>
    <t>OR1378</t>
  </si>
  <si>
    <t>WP11</t>
  </si>
  <si>
    <t>WP12</t>
  </si>
  <si>
    <t>479T</t>
  </si>
  <si>
    <t>CT24</t>
  </si>
  <si>
    <t>SA10-011</t>
  </si>
  <si>
    <t>SA10-012</t>
  </si>
  <si>
    <t>SA10-013</t>
  </si>
  <si>
    <t>OR1446</t>
  </si>
  <si>
    <t>SA15-008</t>
  </si>
  <si>
    <t>OR2631</t>
  </si>
  <si>
    <t>OR2632</t>
  </si>
  <si>
    <t>OR2495</t>
  </si>
  <si>
    <t>SA15-017</t>
  </si>
  <si>
    <t>Surge Tank</t>
  </si>
  <si>
    <t>SA15-018</t>
  </si>
  <si>
    <t>Fill Pipe - 8" (2.5Km)</t>
  </si>
  <si>
    <t>OR2489</t>
  </si>
  <si>
    <t>Diesel Generator 185Kw</t>
  </si>
  <si>
    <t>OR2490</t>
  </si>
  <si>
    <t>OR2459</t>
  </si>
  <si>
    <t>Diesel Heater 390,000 BTU</t>
  </si>
  <si>
    <t>OR2497</t>
  </si>
  <si>
    <t>OR2498</t>
  </si>
  <si>
    <t>OR2499</t>
  </si>
  <si>
    <t>OR2500</t>
  </si>
  <si>
    <t>OR2501</t>
  </si>
  <si>
    <t>OR2506</t>
  </si>
  <si>
    <t>OR2507</t>
  </si>
  <si>
    <t>OR2610</t>
  </si>
  <si>
    <t>Slop Tanks</t>
  </si>
  <si>
    <t>OR2505</t>
  </si>
  <si>
    <t>OR2600</t>
  </si>
  <si>
    <t>Solar Road Sign Boards</t>
  </si>
  <si>
    <t>OR2601</t>
  </si>
  <si>
    <t>OR2491D</t>
  </si>
  <si>
    <t>Shamrock Backhoe 320</t>
  </si>
  <si>
    <t>OR2502</t>
  </si>
  <si>
    <t>Self Centering Pallet Forks</t>
  </si>
  <si>
    <t>OR1763</t>
  </si>
  <si>
    <t>OR1768</t>
  </si>
  <si>
    <t>OR1767</t>
  </si>
  <si>
    <t>OR1447</t>
  </si>
  <si>
    <t>OR1762D</t>
  </si>
  <si>
    <t>OR1433</t>
  </si>
  <si>
    <t>OR1445</t>
  </si>
  <si>
    <t>Sirois, Gratien</t>
  </si>
  <si>
    <t>OR1770</t>
  </si>
  <si>
    <t>OR1451</t>
  </si>
  <si>
    <t>STEWRD</t>
  </si>
  <si>
    <t>Perteet, Tim</t>
  </si>
  <si>
    <t>OR1772</t>
  </si>
  <si>
    <t>Richmond, Michelle</t>
  </si>
  <si>
    <t>Roby, John</t>
  </si>
  <si>
    <t>Dioulou, Marcel</t>
  </si>
  <si>
    <t>Cust, Zachary</t>
  </si>
  <si>
    <t>OR1771</t>
  </si>
  <si>
    <t>Panko, Al</t>
  </si>
  <si>
    <t>OR1389</t>
  </si>
  <si>
    <t>Planko, Alo</t>
  </si>
  <si>
    <t>OR1450</t>
  </si>
  <si>
    <t>Tang, Sam</t>
  </si>
  <si>
    <t>OR1392</t>
  </si>
  <si>
    <t>OR1393</t>
  </si>
  <si>
    <t>Vader, Cody</t>
  </si>
  <si>
    <t>OR1715</t>
  </si>
  <si>
    <t>Balan, Tyler</t>
  </si>
  <si>
    <t>OR1162</t>
  </si>
  <si>
    <t>Langlais, Michael</t>
  </si>
  <si>
    <t>Springer, Trent</t>
  </si>
  <si>
    <t>Diesel Heater 185Kw</t>
  </si>
  <si>
    <t>Dual 60 Kw Generator</t>
  </si>
  <si>
    <t>Dual 100 Kw Generator</t>
  </si>
  <si>
    <t>Wacker, 1301 - Ground Heater and Generator</t>
  </si>
  <si>
    <t>OR2602</t>
  </si>
  <si>
    <t>OR2603</t>
  </si>
  <si>
    <t>OR2606</t>
  </si>
  <si>
    <t>OR2602A</t>
  </si>
  <si>
    <t>OR2603A</t>
  </si>
  <si>
    <t>OR2552</t>
  </si>
  <si>
    <t>OR2509b</t>
  </si>
  <si>
    <t>OR2532</t>
  </si>
  <si>
    <t>OR2550</t>
  </si>
  <si>
    <t>OR1454</t>
  </si>
  <si>
    <t>OR2168</t>
  </si>
  <si>
    <t>OR2169</t>
  </si>
  <si>
    <t>OR2170</t>
  </si>
  <si>
    <t>OR2171</t>
  </si>
  <si>
    <t>OR2607</t>
  </si>
  <si>
    <t>OR2616</t>
  </si>
  <si>
    <t>OR2602B</t>
  </si>
  <si>
    <t>OR2603B</t>
  </si>
  <si>
    <t>OR2319</t>
  </si>
  <si>
    <t>OR1752d</t>
  </si>
  <si>
    <t>OR2651</t>
  </si>
  <si>
    <t>DL2515</t>
  </si>
  <si>
    <t>T. Balan</t>
  </si>
  <si>
    <t>SA9-029</t>
  </si>
  <si>
    <t>OR2530</t>
  </si>
  <si>
    <t>OR2619</t>
  </si>
  <si>
    <t>OR2612</t>
  </si>
  <si>
    <t>OR2614</t>
  </si>
  <si>
    <t>OR2615</t>
  </si>
  <si>
    <t>OR2621</t>
  </si>
  <si>
    <t>OR2622</t>
  </si>
  <si>
    <t>OR2608</t>
  </si>
  <si>
    <t>OR2609</t>
  </si>
  <si>
    <t>OR2172</t>
  </si>
  <si>
    <t>OR2321</t>
  </si>
  <si>
    <t>OR2553</t>
  </si>
  <si>
    <t>OR2617</t>
  </si>
  <si>
    <t>OR2557</t>
  </si>
  <si>
    <t>OR2558</t>
  </si>
  <si>
    <t>Sno Cat</t>
  </si>
  <si>
    <t>OR2555</t>
  </si>
  <si>
    <t>OR2559</t>
  </si>
  <si>
    <t>OR2560</t>
  </si>
  <si>
    <t>Shaw, Anthony</t>
  </si>
  <si>
    <t>Day, Chad</t>
  </si>
  <si>
    <t>White, Norman</t>
  </si>
  <si>
    <t>Greco, Daniele</t>
  </si>
  <si>
    <t>Bourassa, Nathan</t>
  </si>
  <si>
    <t>OR1453</t>
  </si>
  <si>
    <t>OR1449</t>
  </si>
  <si>
    <t>OR1769</t>
  </si>
  <si>
    <t>OR2602D</t>
  </si>
  <si>
    <t>OR2603D</t>
  </si>
  <si>
    <t>OR1776</t>
  </si>
  <si>
    <t>OR1778</t>
  </si>
  <si>
    <t>OR2560d</t>
  </si>
  <si>
    <t>OR2672</t>
  </si>
  <si>
    <t>OR2604</t>
  </si>
  <si>
    <t>OR1777</t>
  </si>
  <si>
    <t>OR1779</t>
  </si>
  <si>
    <t>OR2044</t>
  </si>
  <si>
    <t>OR2652</t>
  </si>
  <si>
    <t>OR2653</t>
  </si>
  <si>
    <t>OR2654</t>
  </si>
  <si>
    <t>OR2655</t>
  </si>
  <si>
    <t>OR2658</t>
  </si>
  <si>
    <t>OR2661</t>
  </si>
  <si>
    <t>OR2665</t>
  </si>
  <si>
    <t>OR2660</t>
  </si>
  <si>
    <t>OR2623</t>
  </si>
  <si>
    <r>
      <t>DAILY or</t>
    </r>
    <r>
      <rPr>
        <b/>
        <sz val="8"/>
        <rFont val="Arial"/>
        <family val="2"/>
      </rPr>
      <t xml:space="preserve"> </t>
    </r>
  </si>
  <si>
    <r>
      <t xml:space="preserve">Date: </t>
    </r>
    <r>
      <rPr>
        <b/>
        <sz val="10"/>
        <color indexed="10"/>
        <rFont val="Arial"/>
        <family val="2"/>
      </rPr>
      <t>Rev1Dec 08, 13</t>
    </r>
  </si>
  <si>
    <t>MATERIALS COORDINATOR</t>
  </si>
  <si>
    <t>Contract Rate</t>
  </si>
  <si>
    <t>STRAW  - FITTER ON STICK WELD SPREAD (QI APPLIES)</t>
  </si>
  <si>
    <t>STRAW  - FITTER ON AUTO WELD SPREAD (QI APPLIES)</t>
  </si>
  <si>
    <t>UA JOB STEWARD ON STICK WELD SPREAD (QI APPLIES)</t>
  </si>
  <si>
    <t>UA JOB STEWARD ON AUTO WELD SPREAD (QI APPLIES)</t>
  </si>
  <si>
    <t>BACKEND WELDER  ON STICK WELD SPREAD (QI APPLIES)</t>
  </si>
  <si>
    <t>BACKEND WELDER  ON AUTO WELD SPREAD (QI APPLIES)</t>
  </si>
  <si>
    <t>REPAIR WELDER STICK OR AUTO WELD SPREAD (QI APPLIES)</t>
  </si>
  <si>
    <t>SPACER/STABBER ON STICK WELD SPREAD (QI APPLIES)</t>
  </si>
  <si>
    <t>SPACER/STABBER ON AUTO WELD SPREAD (QI APPLIES)</t>
  </si>
  <si>
    <t>END PREP/ TRANSITION FITTER ON STICK WELD SPREAD (QI APPLIES)</t>
  </si>
  <si>
    <t>END PREP/ TRANSITION FITTER ON AUTO WELD SPREAD (QI APPLIES)</t>
  </si>
  <si>
    <t>WELDING TECHNICIAN ON STICK OR AUTO WELD SPREAD (QI APPLIES)</t>
  </si>
  <si>
    <t>MANDREL OPERATOR ON STICK WELD SPREAD (QI APPLIES)</t>
  </si>
  <si>
    <t>MANDREL OPERATOR ON AUTO WELD SPREAD (QI APPLIES)</t>
  </si>
  <si>
    <t>Sutton, Ron</t>
  </si>
  <si>
    <t>Changed Jan 2</t>
  </si>
  <si>
    <t>WP2-3</t>
  </si>
  <si>
    <t>WP2-4</t>
  </si>
  <si>
    <t>WP2-5</t>
  </si>
  <si>
    <t>WP2-6</t>
  </si>
  <si>
    <t>WP2-7</t>
  </si>
  <si>
    <t>OR1846</t>
  </si>
  <si>
    <t>"Cabbed" Argo Side by Side C/W Trailer</t>
  </si>
  <si>
    <t>Snow Making Equipment, Sled, Snow Guns, Compressor, Generator Pumps</t>
  </si>
  <si>
    <t>D5 LPG C/W Tyalta Roto Slasher</t>
  </si>
  <si>
    <t>Changed Jan 3</t>
  </si>
  <si>
    <t>OR1843</t>
  </si>
  <si>
    <t>OR1103a</t>
  </si>
  <si>
    <t>OR1103b</t>
  </si>
  <si>
    <t>OR1104a</t>
  </si>
  <si>
    <t>OR1104b</t>
  </si>
  <si>
    <t>OR1108a</t>
  </si>
  <si>
    <t>OR1108b</t>
  </si>
  <si>
    <t>McQuaker, Jim</t>
  </si>
  <si>
    <t>Steward</t>
  </si>
  <si>
    <t>MacDonnell, Derek</t>
  </si>
  <si>
    <t>LaFrance, Eric</t>
  </si>
  <si>
    <t>444cT</t>
  </si>
  <si>
    <t>444aT</t>
  </si>
  <si>
    <t>444bT</t>
  </si>
  <si>
    <t>OR1714</t>
  </si>
  <si>
    <t>Tolley, Julie</t>
  </si>
  <si>
    <t>Wondemu, Mesfin</t>
  </si>
  <si>
    <t>or1782</t>
  </si>
  <si>
    <t>or1439</t>
  </si>
  <si>
    <t>or1437</t>
  </si>
  <si>
    <t>or1438</t>
  </si>
  <si>
    <t>or1394</t>
  </si>
  <si>
    <t>sa11-016</t>
  </si>
  <si>
    <t>OR1765</t>
  </si>
  <si>
    <t>OR1766</t>
  </si>
  <si>
    <t>or1129</t>
  </si>
  <si>
    <t>or1382</t>
  </si>
  <si>
    <t>or1341d</t>
  </si>
  <si>
    <t>OR1729</t>
  </si>
  <si>
    <t>OR1720</t>
  </si>
  <si>
    <t>Heise, William</t>
  </si>
  <si>
    <t>OR1787</t>
  </si>
  <si>
    <t>OR1439</t>
  </si>
  <si>
    <t>OR1441</t>
  </si>
  <si>
    <t>OR1437</t>
  </si>
  <si>
    <t>OR2004a</t>
  </si>
  <si>
    <t>OR2004b</t>
  </si>
  <si>
    <t>OR1394</t>
  </si>
  <si>
    <t>SA11-016</t>
  </si>
  <si>
    <t>Pettifer, Bill</t>
  </si>
  <si>
    <t>OR1304d</t>
  </si>
  <si>
    <t>OR1129</t>
  </si>
  <si>
    <t>OR1332d</t>
  </si>
  <si>
    <t>OR1442</t>
  </si>
  <si>
    <t>OR1443</t>
  </si>
  <si>
    <t>OR1448</t>
  </si>
  <si>
    <t>OR1728</t>
  </si>
  <si>
    <t>OR1382</t>
  </si>
  <si>
    <t>OR1762d</t>
  </si>
  <si>
    <t>Straw</t>
  </si>
  <si>
    <t>Changed Jan 9</t>
  </si>
  <si>
    <t>OR1829</t>
  </si>
  <si>
    <t>OR1822</t>
  </si>
  <si>
    <t>Laity, Evan</t>
  </si>
  <si>
    <r>
      <t>UA JOB STEWARD ON AUTO</t>
    </r>
    <r>
      <rPr>
        <u/>
        <sz val="10"/>
        <rFont val="Arial"/>
        <family val="2"/>
      </rPr>
      <t xml:space="preserve"> WELD</t>
    </r>
    <r>
      <rPr>
        <sz val="10"/>
        <rFont val="Arial"/>
        <family val="2"/>
      </rPr>
      <t xml:space="preserve"> SPREAD (QI APPLIES)</t>
    </r>
  </si>
  <si>
    <t>OR1731</t>
  </si>
  <si>
    <t>OR1730</t>
  </si>
  <si>
    <t>OR1773</t>
  </si>
  <si>
    <t>Griffin, Riley</t>
  </si>
  <si>
    <t>Niles, Samuel</t>
  </si>
  <si>
    <t>Redford, Scot</t>
  </si>
  <si>
    <t>Harder, Ted</t>
  </si>
  <si>
    <t>Beattie, Wayne</t>
  </si>
  <si>
    <t>OR1457</t>
  </si>
  <si>
    <t>OR1460</t>
  </si>
  <si>
    <t>OR1458</t>
  </si>
  <si>
    <t>OR1459</t>
  </si>
  <si>
    <t>OR1463</t>
  </si>
  <si>
    <t>OR1467</t>
  </si>
  <si>
    <t>OR1723</t>
  </si>
  <si>
    <t>OR1724</t>
  </si>
  <si>
    <t>OR1725</t>
  </si>
  <si>
    <t>OR1726</t>
  </si>
  <si>
    <t>OR1727</t>
  </si>
  <si>
    <t>OR1452</t>
  </si>
  <si>
    <t>OR1462</t>
  </si>
  <si>
    <t>OR1464</t>
  </si>
  <si>
    <t>OR1465</t>
  </si>
  <si>
    <t>OR1466</t>
  </si>
  <si>
    <t>SA11-018d</t>
  </si>
  <si>
    <t>Soroush, Ansari</t>
  </si>
  <si>
    <t>Santos, Carlos</t>
  </si>
  <si>
    <t>Elmi, Feisal</t>
  </si>
  <si>
    <t>Urie, Glenn</t>
  </si>
  <si>
    <t>Brys, John</t>
  </si>
  <si>
    <t>Mickey, Kevin</t>
  </si>
  <si>
    <t>Agboola, Olusoji</t>
  </si>
  <si>
    <t>Mickey, Raymond</t>
  </si>
  <si>
    <t>Dooley, Steven</t>
  </si>
  <si>
    <t>OR1468</t>
  </si>
  <si>
    <t>OR1469</t>
  </si>
  <si>
    <t>Simms, Aaron</t>
  </si>
  <si>
    <t>MacDonald, Bernard</t>
  </si>
  <si>
    <t>Allan, Mitch</t>
  </si>
  <si>
    <t>Dawe, Ronald</t>
  </si>
  <si>
    <t>Vande Vyvere, Ryan</t>
  </si>
  <si>
    <t>OR1461</t>
  </si>
  <si>
    <t>Skid Steer C/W Auger Attachment</t>
  </si>
  <si>
    <t>Loader Attachment - De-Icer</t>
  </si>
  <si>
    <t>Hoe Attachment - Snow Blower</t>
  </si>
  <si>
    <t>Portable Plug In Panel with Generator</t>
  </si>
  <si>
    <t>OR1716</t>
  </si>
  <si>
    <t>Hyslop, Barry</t>
  </si>
  <si>
    <t>OR1472</t>
  </si>
  <si>
    <t>OR1473</t>
  </si>
  <si>
    <t>King, Justin</t>
  </si>
  <si>
    <t>Grant, William</t>
  </si>
  <si>
    <t>OR1718</t>
  </si>
  <si>
    <t>OR1057d</t>
  </si>
  <si>
    <t>OR1831</t>
  </si>
  <si>
    <t>OR1433d</t>
  </si>
  <si>
    <t>OR1375d</t>
  </si>
  <si>
    <t>OR1376d</t>
  </si>
  <si>
    <t>OR1377d</t>
  </si>
  <si>
    <t>OR1444</t>
  </si>
  <si>
    <t>Inglis, Michael</t>
  </si>
  <si>
    <t>OR1722</t>
  </si>
  <si>
    <t>OR1712</t>
  </si>
  <si>
    <t>OR1435</t>
  </si>
  <si>
    <t>MacLean, Daniel</t>
  </si>
  <si>
    <t>MacKinnon, Robert</t>
  </si>
  <si>
    <t>Dufault, Conrad</t>
  </si>
  <si>
    <t>Kay, Kasey</t>
  </si>
  <si>
    <r>
      <t>FRONT-END/TIE-IN WELDER  ON STICK</t>
    </r>
    <r>
      <rPr>
        <u/>
        <sz val="10"/>
        <rFont val="Arial"/>
        <family val="2"/>
      </rPr>
      <t xml:space="preserve"> WELD</t>
    </r>
    <r>
      <rPr>
        <sz val="10"/>
        <rFont val="Arial"/>
        <family val="2"/>
      </rPr>
      <t xml:space="preserve"> SPREAD (QI APPLIES)</t>
    </r>
  </si>
  <si>
    <t>OR1445d</t>
  </si>
  <si>
    <t>OR1560d</t>
  </si>
  <si>
    <t>OR1561d</t>
  </si>
  <si>
    <t>OR1793</t>
  </si>
  <si>
    <t>Desbiane, Shane</t>
  </si>
  <si>
    <t>OR1076d</t>
  </si>
  <si>
    <t>OR1775</t>
  </si>
  <si>
    <t>Dendura, Jake</t>
  </si>
  <si>
    <t>LaFleur, James</t>
  </si>
  <si>
    <t>Desjarlais, Dennis</t>
  </si>
  <si>
    <t>OR1788</t>
  </si>
  <si>
    <t>OR1486</t>
  </si>
  <si>
    <t>OR1777d</t>
  </si>
  <si>
    <t>OR1756</t>
  </si>
  <si>
    <t>OR1734</t>
  </si>
  <si>
    <t>Ghebreghziabher, Tbehaye</t>
  </si>
  <si>
    <t>MacLean, Dion</t>
  </si>
  <si>
    <t>Roney, Clayton</t>
  </si>
  <si>
    <t>Desbiens, Guy</t>
  </si>
  <si>
    <t>Woodward, Warren</t>
  </si>
  <si>
    <t>OR1602d</t>
  </si>
  <si>
    <t>Mallais, Miguel</t>
  </si>
  <si>
    <t>OR1849</t>
  </si>
  <si>
    <t>OR1851</t>
  </si>
  <si>
    <t>OR1474</t>
  </si>
  <si>
    <t>OR1433DD</t>
  </si>
  <si>
    <t>OR1433dd</t>
  </si>
  <si>
    <t>Changed Jan 15</t>
  </si>
  <si>
    <t>OR1434</t>
  </si>
  <si>
    <t>OR1470</t>
  </si>
  <si>
    <t>OR1790</t>
  </si>
  <si>
    <t>OR1783</t>
  </si>
  <si>
    <t>OR1784</t>
  </si>
  <si>
    <t>OR1785</t>
  </si>
  <si>
    <t>OR1786</t>
  </si>
  <si>
    <t>Wali Fidin, Yussuf</t>
  </si>
  <si>
    <t>Traub, Gary</t>
  </si>
  <si>
    <t>Burton, Jamie</t>
  </si>
  <si>
    <t>Sinclair, Sheila</t>
  </si>
  <si>
    <t>Brinton, Tanner</t>
  </si>
  <si>
    <t>Crossman, Edgar</t>
  </si>
  <si>
    <t>Shaiye, Isse</t>
  </si>
  <si>
    <t>OR1791</t>
  </si>
  <si>
    <t>Flaman, Douglas</t>
  </si>
  <si>
    <t>Changed Jan 17</t>
  </si>
  <si>
    <t>McKie, Doug</t>
  </si>
  <si>
    <t>OR1471</t>
  </si>
  <si>
    <t>OR1243</t>
  </si>
  <si>
    <t>Deagle, Aaron</t>
  </si>
  <si>
    <t>Pegg, Aaron</t>
  </si>
  <si>
    <t>Daffurn, Chad</t>
  </si>
  <si>
    <t>Ilkew, Darryl</t>
  </si>
  <si>
    <t>Sorenson, James</t>
  </si>
  <si>
    <t>Hofer, Levi</t>
  </si>
  <si>
    <t>OR1398</t>
  </si>
  <si>
    <t>Svennes, Leonard</t>
  </si>
  <si>
    <t>OR1780</t>
  </si>
  <si>
    <t>OR1830</t>
  </si>
  <si>
    <t>OR1241</t>
  </si>
  <si>
    <t>Mohamud, Mohamed</t>
  </si>
  <si>
    <t>OR1165</t>
  </si>
  <si>
    <t>McKim, Justin</t>
  </si>
  <si>
    <t>Pertteli, Chantelle</t>
  </si>
  <si>
    <t>OR1754</t>
  </si>
  <si>
    <t>OR1757d</t>
  </si>
  <si>
    <t>OR1414d</t>
  </si>
  <si>
    <t>OR1246</t>
  </si>
  <si>
    <t>OR1247</t>
  </si>
  <si>
    <t>OR1792</t>
  </si>
  <si>
    <t>OR1248</t>
  </si>
  <si>
    <t>OR1249</t>
  </si>
  <si>
    <t>OR1250</t>
  </si>
  <si>
    <t>OR1755</t>
  </si>
  <si>
    <t>Vienneau, Eugene</t>
  </si>
  <si>
    <t>LeBlanc, Kenneth</t>
  </si>
  <si>
    <t>Nemec, Dave</t>
  </si>
  <si>
    <t>OR1377D</t>
  </si>
  <si>
    <t>MacDonal, John</t>
  </si>
  <si>
    <t>OR1832</t>
  </si>
  <si>
    <t>Synnes, Joshua</t>
  </si>
  <si>
    <t>OR1794</t>
  </si>
  <si>
    <t>OR1781</t>
  </si>
  <si>
    <t>Shifano, Salvatore</t>
  </si>
  <si>
    <t>OR1330D</t>
  </si>
  <si>
    <t>OR1478</t>
  </si>
  <si>
    <t>Vautour, Andrew</t>
  </si>
  <si>
    <t>Gibson, Peter</t>
  </si>
  <si>
    <t>OR1852</t>
  </si>
  <si>
    <t>OR1476</t>
  </si>
  <si>
    <t>OR1717</t>
  </si>
  <si>
    <t>OR1719</t>
  </si>
  <si>
    <t>OR1721</t>
  </si>
  <si>
    <t>OR1764</t>
  </si>
  <si>
    <t>OR1475</t>
  </si>
  <si>
    <t>or1044</t>
  </si>
  <si>
    <t>Quaghebeur, Glen</t>
  </si>
  <si>
    <t>OR1711</t>
  </si>
  <si>
    <t>OR1242</t>
  </si>
  <si>
    <t>OR1244</t>
  </si>
  <si>
    <t>OR1245</t>
  </si>
  <si>
    <t>OR1251</t>
  </si>
  <si>
    <t>Fraser, Aspen</t>
  </si>
  <si>
    <t>Trombley, josh</t>
  </si>
  <si>
    <t>CQF</t>
  </si>
  <si>
    <t>CQ5</t>
  </si>
  <si>
    <t>TEAMSTER HOURLY RATES</t>
  </si>
  <si>
    <t>U.A./WELDER HOURLY RATES</t>
  </si>
  <si>
    <t>LABOURER HOURLY RATES</t>
  </si>
  <si>
    <t xml:space="preserve">OPERATOR HOURLY RATES </t>
  </si>
  <si>
    <t>EQUIPMENT RATES</t>
  </si>
  <si>
    <t>Master Agreement</t>
  </si>
  <si>
    <t>LABOUR RATES FOR CONSTRUCTION</t>
  </si>
  <si>
    <t xml:space="preserve">Escalation Year 2 </t>
  </si>
  <si>
    <t>Escalation Year 3</t>
  </si>
  <si>
    <r>
      <t>In the event that 3</t>
    </r>
    <r>
      <rPr>
        <b/>
        <vertAlign val="superscript"/>
        <sz val="11"/>
        <rFont val="Calibri"/>
        <family val="2"/>
      </rPr>
      <t>rd</t>
    </r>
    <r>
      <rPr>
        <b/>
        <sz val="11"/>
        <rFont val="Calibri"/>
        <family val="2"/>
      </rPr>
      <t xml:space="preserve"> party equipment, (rental equipment ) is sourced for the project, and the negotiated rental rates exceed the Contract daily, </t>
    </r>
  </si>
  <si>
    <t>CX2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</si>
</sst>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_-* #,##0.00_-;\-* #,##0.00_-;_-* &quot;-&quot;??_-;_-@_-"/>
    <numFmt numFmtId="165" formatCode="&quot;$&quot;#,##0.00"/>
    <numFmt numFmtId="166" formatCode="0.000%"/>
    <numFmt numFmtId="167" formatCode="0.0%"/>
    <numFmt numFmtId="168" formatCode="[$-F800]dddd\,\ mmmm\ dd\,\ yyyy"/>
  </numFmts>
  <fonts count="77">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8"/>
      <color theme="1"/>
      <name val="Tahoma"/>
      <family val="2"/>
    </font>
    <font>
      <sz val="7"/>
      <color theme="1"/>
      <name val="Tahoma"/>
      <family val="2"/>
    </font>
    <font>
      <sz val="7"/>
      <color theme="1"/>
      <name val="Calibri"/>
      <family val="2"/>
      <scheme val="minor"/>
    </font>
    <font>
      <b/>
      <sz val="7"/>
      <color theme="1"/>
      <name val="Tahoma"/>
      <family val="2"/>
    </font>
    <font>
      <u/>
      <sz val="11"/>
      <color theme="10"/>
      <name val="Calibri"/>
      <family val="2"/>
      <scheme val="minor"/>
    </font>
    <font>
      <sz val="8"/>
      <color theme="1"/>
      <name val="Tohoma"/>
    </font>
    <font>
      <b/>
      <u/>
      <sz val="8"/>
      <color theme="1"/>
      <name val="Tohoma"/>
    </font>
    <font>
      <sz val="8"/>
      <color rgb="FF0070C0"/>
      <name val="Tahoma"/>
      <family val="2"/>
    </font>
    <font>
      <b/>
      <sz val="8"/>
      <color theme="0"/>
      <name val="Tahoma"/>
      <family val="2"/>
    </font>
    <font>
      <b/>
      <sz val="8"/>
      <color theme="1"/>
      <name val="Tahoma"/>
      <family val="2"/>
    </font>
    <font>
      <sz val="9"/>
      <color theme="1"/>
      <name val="Tahoma"/>
      <family val="2"/>
    </font>
    <font>
      <b/>
      <sz val="8"/>
      <color rgb="FFFF0000"/>
      <name val="Tahoma"/>
      <family val="2"/>
    </font>
    <font>
      <u/>
      <sz val="11"/>
      <color theme="11"/>
      <name val="Calibri"/>
      <family val="2"/>
      <scheme val="minor"/>
    </font>
    <font>
      <sz val="10"/>
      <name val="Arial"/>
      <family val="2"/>
    </font>
    <font>
      <b/>
      <sz val="24"/>
      <name val="Arial"/>
      <family val="2"/>
    </font>
    <font>
      <sz val="24"/>
      <name val="Arial"/>
      <family val="2"/>
    </font>
    <font>
      <b/>
      <i/>
      <sz val="18"/>
      <name val="Arial"/>
      <family val="2"/>
    </font>
    <font>
      <sz val="18"/>
      <name val="Arial"/>
      <family val="2"/>
    </font>
    <font>
      <b/>
      <i/>
      <sz val="14"/>
      <name val="Arial"/>
      <family val="2"/>
    </font>
    <font>
      <sz val="14"/>
      <name val="Arial"/>
      <family val="2"/>
    </font>
    <font>
      <b/>
      <sz val="12"/>
      <name val="Arial"/>
      <family val="2"/>
    </font>
    <font>
      <b/>
      <sz val="10"/>
      <name val="Arial"/>
      <family val="2"/>
    </font>
    <font>
      <b/>
      <sz val="9"/>
      <name val="Arial"/>
      <family val="2"/>
    </font>
    <font>
      <b/>
      <u/>
      <sz val="10"/>
      <name val="Arial"/>
      <family val="2"/>
    </font>
    <font>
      <b/>
      <sz val="8"/>
      <name val="Arial"/>
      <family val="2"/>
    </font>
    <font>
      <b/>
      <i/>
      <sz val="10"/>
      <name val="Arial"/>
      <family val="2"/>
    </font>
    <font>
      <sz val="8"/>
      <name val="Arial"/>
      <family val="2"/>
    </font>
    <font>
      <u/>
      <sz val="10"/>
      <name val="Arial"/>
      <family val="2"/>
    </font>
    <font>
      <sz val="9"/>
      <name val="Arial"/>
      <family val="2"/>
    </font>
    <font>
      <b/>
      <sz val="16"/>
      <name val="Arial"/>
      <family val="2"/>
    </font>
    <font>
      <b/>
      <sz val="12"/>
      <color indexed="8"/>
      <name val="Arial"/>
      <family val="2"/>
    </font>
    <font>
      <b/>
      <sz val="10"/>
      <color indexed="8"/>
      <name val="Arial"/>
      <family val="2"/>
    </font>
    <font>
      <sz val="12"/>
      <name val="Arial"/>
      <family val="2"/>
    </font>
    <font>
      <sz val="11"/>
      <name val="Tahoma"/>
      <family val="2"/>
    </font>
    <font>
      <b/>
      <u val="singleAccounting"/>
      <sz val="10"/>
      <name val="Arial"/>
      <family val="2"/>
    </font>
    <font>
      <sz val="12"/>
      <color indexed="8"/>
      <name val="Arial"/>
      <family val="2"/>
    </font>
    <font>
      <b/>
      <u/>
      <sz val="10"/>
      <color indexed="8"/>
      <name val="Arial"/>
      <family val="2"/>
    </font>
    <font>
      <sz val="10"/>
      <color indexed="8"/>
      <name val="Arial"/>
      <family val="2"/>
    </font>
    <font>
      <b/>
      <u/>
      <sz val="11"/>
      <name val="Arial"/>
      <family val="2"/>
    </font>
    <font>
      <b/>
      <sz val="11"/>
      <name val="Calibri"/>
      <family val="2"/>
    </font>
    <font>
      <b/>
      <vertAlign val="superscript"/>
      <sz val="11"/>
      <name val="Calibri"/>
      <family val="2"/>
    </font>
    <font>
      <b/>
      <sz val="9"/>
      <color rgb="FF0070C0"/>
      <name val="Arial"/>
      <family val="2"/>
    </font>
    <font>
      <b/>
      <vertAlign val="superscript"/>
      <sz val="10"/>
      <name val="Arial"/>
      <family val="2"/>
    </font>
    <font>
      <sz val="8"/>
      <name val="Calibri"/>
      <family val="2"/>
      <scheme val="minor"/>
    </font>
    <font>
      <b/>
      <sz val="11"/>
      <color theme="1"/>
      <name val="Calibri"/>
      <family val="2"/>
      <scheme val="minor"/>
    </font>
    <font>
      <sz val="9"/>
      <name val="Tahoma"/>
      <family val="2"/>
    </font>
    <font>
      <sz val="9"/>
      <color rgb="FF000000"/>
      <name val="Tahoma"/>
      <family val="2"/>
    </font>
    <font>
      <sz val="8"/>
      <color rgb="FF000000"/>
      <name val="Tahoma"/>
      <family val="2"/>
    </font>
    <font>
      <sz val="11"/>
      <color rgb="FFFF0000"/>
      <name val="Calibri"/>
      <family val="2"/>
      <scheme val="minor"/>
    </font>
    <font>
      <sz val="10"/>
      <color rgb="FFFF0000"/>
      <name val="Arial"/>
      <family val="2"/>
    </font>
    <font>
      <sz val="8"/>
      <name val="Tahoma"/>
      <family val="2"/>
    </font>
    <font>
      <sz val="10"/>
      <color theme="1"/>
      <name val="Arial"/>
      <family val="2"/>
    </font>
    <font>
      <sz val="11"/>
      <color rgb="FF000000"/>
      <name val="Calibri"/>
      <family val="2"/>
      <scheme val="minor"/>
    </font>
    <font>
      <sz val="11"/>
      <name val="Calibri"/>
      <family val="2"/>
      <scheme val="minor"/>
    </font>
    <font>
      <b/>
      <sz val="12"/>
      <color theme="1"/>
      <name val="Calibri"/>
      <family val="2"/>
      <scheme val="minor"/>
    </font>
    <font>
      <sz val="12"/>
      <name val="Calibri"/>
      <family val="2"/>
      <scheme val="minor"/>
    </font>
    <font>
      <sz val="10"/>
      <color theme="1"/>
      <name val="Calibri"/>
      <family val="2"/>
      <scheme val="minor"/>
    </font>
    <font>
      <sz val="10"/>
      <color indexed="8"/>
      <name val="Arial"/>
      <family val="2"/>
    </font>
    <font>
      <sz val="11"/>
      <color theme="1"/>
      <name val="Calibri"/>
      <family val="2"/>
      <scheme val="minor"/>
    </font>
    <font>
      <b/>
      <sz val="11"/>
      <name val="Calibri"/>
      <family val="2"/>
      <scheme val="minor"/>
    </font>
    <font>
      <sz val="10"/>
      <color rgb="FF000000"/>
      <name val="Arial"/>
      <family val="2"/>
    </font>
    <font>
      <sz val="11"/>
      <color theme="1"/>
      <name val="Calibri"/>
      <family val="2"/>
      <scheme val="minor"/>
    </font>
    <font>
      <sz val="10"/>
      <color indexed="8"/>
      <name val="Arial"/>
      <family val="2"/>
    </font>
    <font>
      <sz val="10"/>
      <color indexed="8"/>
      <name val="Arial"/>
      <family val="2"/>
    </font>
    <font>
      <sz val="11"/>
      <color theme="1"/>
      <name val="Calibri"/>
      <family val="2"/>
      <scheme val="minor"/>
    </font>
    <font>
      <sz val="10"/>
      <color indexed="8"/>
      <name val="Arial"/>
      <family val="2"/>
    </font>
    <font>
      <sz val="11"/>
      <color theme="1"/>
      <name val="Calibri"/>
      <family val="2"/>
      <scheme val="minor"/>
    </font>
    <font>
      <sz val="10"/>
      <color indexed="8"/>
      <name val="Arial"/>
      <family val="2"/>
    </font>
    <font>
      <sz val="11"/>
      <color theme="1"/>
      <name val="Calibri"/>
      <family val="2"/>
      <scheme val="minor"/>
    </font>
    <font>
      <b/>
      <sz val="10"/>
      <color indexed="10"/>
      <name val="Arial"/>
      <family val="2"/>
    </font>
  </fonts>
  <fills count="10">
    <fill>
      <patternFill patternType="none"/>
    </fill>
    <fill>
      <patternFill patternType="gray125"/>
    </fill>
    <fill>
      <patternFill patternType="solid">
        <fgColor theme="1"/>
        <bgColor indexed="64"/>
      </patternFill>
    </fill>
    <fill>
      <patternFill patternType="solid">
        <fgColor theme="9" tint="0.59999389629810485"/>
        <bgColor indexed="64"/>
      </patternFill>
    </fill>
    <fill>
      <patternFill patternType="solid">
        <fgColor rgb="FFFFFF00"/>
        <bgColor indexed="64"/>
      </patternFill>
    </fill>
    <fill>
      <patternFill patternType="solid">
        <fgColor theme="6" tint="0.79998168889431442"/>
        <bgColor indexed="64"/>
      </patternFill>
    </fill>
    <fill>
      <patternFill patternType="solid">
        <fgColor rgb="FFF7F7F7"/>
        <bgColor indexed="64"/>
      </patternFill>
    </fill>
    <fill>
      <patternFill patternType="solid">
        <fgColor rgb="FFFFFF00"/>
        <bgColor rgb="FF000000"/>
      </patternFill>
    </fill>
    <fill>
      <patternFill patternType="solid">
        <fgColor theme="0" tint="-4.9989318521683403E-2"/>
        <bgColor indexed="64"/>
      </patternFill>
    </fill>
    <fill>
      <patternFill patternType="solid">
        <fgColor theme="0"/>
        <bgColor indexed="64"/>
      </patternFill>
    </fill>
  </fills>
  <borders count="53">
    <border>
      <left/>
      <right/>
      <top/>
      <bottom/>
      <diagonal/>
    </border>
    <border>
      <left/>
      <right/>
      <top/>
      <bottom style="thin">
        <color auto="1"/>
      </bottom>
      <diagonal/>
    </border>
    <border>
      <left/>
      <right/>
      <top style="thin">
        <color auto="1"/>
      </top>
      <bottom/>
      <diagonal/>
    </border>
    <border>
      <left/>
      <right/>
      <top style="thin">
        <color auto="1"/>
      </top>
      <bottom style="thin">
        <color auto="1"/>
      </bottom>
      <diagonal/>
    </border>
    <border>
      <left/>
      <right/>
      <top style="medium">
        <color auto="1"/>
      </top>
      <bottom style="medium">
        <color auto="1"/>
      </bottom>
      <diagonal/>
    </border>
    <border>
      <left style="thin">
        <color auto="1"/>
      </left>
      <right style="thin">
        <color auto="1"/>
      </right>
      <top style="thin">
        <color auto="1"/>
      </top>
      <bottom style="thin">
        <color auto="1"/>
      </bottom>
      <diagonal/>
    </border>
    <border>
      <left/>
      <right/>
      <top style="medium">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top style="medium">
        <color auto="1"/>
      </top>
      <bottom style="medium">
        <color auto="1"/>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right style="medium">
        <color auto="1"/>
      </right>
      <top style="medium">
        <color auto="1"/>
      </top>
      <bottom style="medium">
        <color auto="1"/>
      </bottom>
      <diagonal/>
    </border>
    <border>
      <left style="medium">
        <color auto="1"/>
      </left>
      <right/>
      <top/>
      <bottom/>
      <diagonal/>
    </border>
    <border>
      <left/>
      <right style="medium">
        <color auto="1"/>
      </right>
      <top/>
      <bottom/>
      <diagonal/>
    </border>
    <border>
      <left style="medium">
        <color auto="1"/>
      </left>
      <right/>
      <top style="medium">
        <color auto="1"/>
      </top>
      <bottom/>
      <diagonal/>
    </border>
    <border>
      <left style="thin">
        <color auto="1"/>
      </left>
      <right/>
      <top style="medium">
        <color auto="1"/>
      </top>
      <bottom style="medium">
        <color auto="1"/>
      </bottom>
      <diagonal/>
    </border>
    <border>
      <left style="thin">
        <color auto="1"/>
      </left>
      <right/>
      <top style="medium">
        <color auto="1"/>
      </top>
      <bottom/>
      <diagonal/>
    </border>
    <border>
      <left/>
      <right style="medium">
        <color auto="1"/>
      </right>
      <top style="medium">
        <color auto="1"/>
      </top>
      <bottom/>
      <diagonal/>
    </border>
    <border>
      <left style="thin">
        <color auto="1"/>
      </left>
      <right style="thin">
        <color auto="1"/>
      </right>
      <top/>
      <bottom/>
      <diagonal/>
    </border>
    <border>
      <left style="thin">
        <color auto="1"/>
      </left>
      <right style="thin">
        <color auto="1"/>
      </right>
      <top style="medium">
        <color auto="1"/>
      </top>
      <bottom/>
      <diagonal/>
    </border>
    <border>
      <left style="thin">
        <color auto="1"/>
      </left>
      <right/>
      <top/>
      <bottom style="medium">
        <color auto="1"/>
      </bottom>
      <diagonal/>
    </border>
    <border>
      <left/>
      <right style="medium">
        <color auto="1"/>
      </right>
      <top/>
      <bottom style="medium">
        <color auto="1"/>
      </bottom>
      <diagonal/>
    </border>
    <border>
      <left style="thin">
        <color auto="1"/>
      </left>
      <right/>
      <top/>
      <bottom/>
      <diagonal/>
    </border>
    <border>
      <left/>
      <right/>
      <top/>
      <bottom style="medium">
        <color auto="1"/>
      </bottom>
      <diagonal/>
    </border>
    <border>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diagonal/>
    </border>
    <border>
      <left/>
      <right style="thin">
        <color auto="1"/>
      </right>
      <top/>
      <bottom/>
      <diagonal/>
    </border>
    <border>
      <left style="medium">
        <color auto="1"/>
      </left>
      <right/>
      <top/>
      <bottom style="medium">
        <color auto="1"/>
      </bottom>
      <diagonal/>
    </border>
    <border>
      <left style="thin">
        <color auto="1"/>
      </left>
      <right style="medium">
        <color auto="1"/>
      </right>
      <top/>
      <bottom style="medium">
        <color auto="1"/>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medium">
        <color auto="1"/>
      </left>
      <right style="medium">
        <color auto="1"/>
      </right>
      <top style="medium">
        <color auto="1"/>
      </top>
      <bottom style="medium">
        <color auto="1"/>
      </bottom>
      <diagonal/>
    </border>
    <border>
      <left/>
      <right/>
      <top/>
      <bottom style="double">
        <color auto="1"/>
      </bottom>
      <diagonal/>
    </border>
    <border>
      <left style="thin">
        <color auto="1"/>
      </left>
      <right style="thin">
        <color auto="1"/>
      </right>
      <top style="double">
        <color auto="1"/>
      </top>
      <bottom style="thin">
        <color auto="1"/>
      </bottom>
      <diagonal/>
    </border>
    <border>
      <left style="thin">
        <color auto="1"/>
      </left>
      <right style="medium">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style="thin">
        <color auto="1"/>
      </bottom>
      <diagonal/>
    </border>
    <border>
      <left/>
      <right/>
      <top style="thin">
        <color theme="1"/>
      </top>
      <bottom/>
      <diagonal/>
    </border>
    <border>
      <left/>
      <right style="thin">
        <color auto="1"/>
      </right>
      <top style="medium">
        <color auto="1"/>
      </top>
      <bottom style="medium">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n">
        <color auto="1"/>
      </left>
      <right/>
      <top style="thin">
        <color auto="1"/>
      </top>
      <bottom/>
      <diagonal/>
    </border>
    <border>
      <left/>
      <right style="thin">
        <color auto="1"/>
      </right>
      <top style="thin">
        <color auto="1"/>
      </top>
      <bottom/>
      <diagonal/>
    </border>
  </borders>
  <cellStyleXfs count="1646">
    <xf numFmtId="0" fontId="0" fillId="0" borderId="0"/>
    <xf numFmtId="164" fontId="6" fillId="0" borderId="0" applyFont="0" applyFill="0" applyBorder="0" applyAlignment="0" applyProtection="0"/>
    <xf numFmtId="0" fontId="11"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20" fillId="0" borderId="0"/>
    <xf numFmtId="44" fontId="20" fillId="0" borderId="0" applyFont="0" applyFill="0" applyBorder="0" applyAlignment="0" applyProtection="0"/>
    <xf numFmtId="9" fontId="20" fillId="0" borderId="0" applyFon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cellStyleXfs>
  <cellXfs count="389">
    <xf numFmtId="0" fontId="0" fillId="0" borderId="0" xfId="0"/>
    <xf numFmtId="0" fontId="7" fillId="0" borderId="0" xfId="0" applyFont="1"/>
    <xf numFmtId="0" fontId="7" fillId="0" borderId="0" xfId="0" applyFont="1" applyAlignment="1">
      <alignment horizontal="right"/>
    </xf>
    <xf numFmtId="0" fontId="13" fillId="0" borderId="0" xfId="2" applyFont="1" applyAlignment="1">
      <alignment horizontal="center"/>
    </xf>
    <xf numFmtId="0" fontId="12" fillId="0" borderId="0" xfId="0" applyFont="1" applyAlignment="1">
      <alignment horizontal="center"/>
    </xf>
    <xf numFmtId="0" fontId="14" fillId="0" borderId="1" xfId="0" applyFont="1" applyBorder="1"/>
    <xf numFmtId="0" fontId="8" fillId="0" borderId="1" xfId="0" applyFont="1" applyBorder="1"/>
    <xf numFmtId="0" fontId="8" fillId="0" borderId="1" xfId="0" applyFont="1" applyBorder="1" applyAlignment="1">
      <alignment horizontal="right"/>
    </xf>
    <xf numFmtId="0" fontId="8" fillId="0" borderId="0" xfId="0" applyFont="1" applyAlignment="1">
      <alignment horizontal="right"/>
    </xf>
    <xf numFmtId="0" fontId="14" fillId="0" borderId="3" xfId="0" applyFont="1" applyBorder="1"/>
    <xf numFmtId="0" fontId="8" fillId="0" borderId="3" xfId="0" applyFont="1" applyBorder="1"/>
    <xf numFmtId="0" fontId="8" fillId="0" borderId="3" xfId="0" applyFont="1" applyBorder="1" applyAlignment="1">
      <alignment horizontal="right"/>
    </xf>
    <xf numFmtId="0" fontId="14" fillId="0" borderId="2" xfId="0" applyFont="1" applyBorder="1"/>
    <xf numFmtId="0" fontId="8" fillId="0" borderId="2" xfId="0" applyFont="1" applyBorder="1"/>
    <xf numFmtId="0" fontId="8" fillId="0" borderId="2" xfId="0" applyFont="1" applyBorder="1" applyAlignment="1">
      <alignment horizontal="right"/>
    </xf>
    <xf numFmtId="0" fontId="7" fillId="0" borderId="2" xfId="0" applyFont="1" applyBorder="1"/>
    <xf numFmtId="0" fontId="0" fillId="0" borderId="2" xfId="0" applyBorder="1"/>
    <xf numFmtId="0" fontId="15" fillId="2" borderId="4" xfId="0" applyFont="1" applyFill="1" applyBorder="1" applyAlignment="1">
      <alignment horizontal="left" vertical="center"/>
    </xf>
    <xf numFmtId="0" fontId="15" fillId="2" borderId="4" xfId="0" applyFont="1" applyFill="1" applyBorder="1" applyAlignment="1">
      <alignment horizontal="right" vertical="center"/>
    </xf>
    <xf numFmtId="0" fontId="16" fillId="0" borderId="0" xfId="0" applyFont="1" applyAlignment="1">
      <alignment vertical="center"/>
    </xf>
    <xf numFmtId="0" fontId="7" fillId="0" borderId="5" xfId="0" applyFont="1" applyBorder="1" applyAlignment="1">
      <alignment horizontal="right"/>
    </xf>
    <xf numFmtId="0" fontId="7" fillId="0" borderId="6" xfId="0" applyFont="1" applyBorder="1" applyAlignment="1">
      <alignment horizontal="right"/>
    </xf>
    <xf numFmtId="0" fontId="15" fillId="2" borderId="9" xfId="0" applyFont="1" applyFill="1" applyBorder="1" applyAlignment="1">
      <alignment vertical="center"/>
    </xf>
    <xf numFmtId="0" fontId="15" fillId="2" borderId="4" xfId="0" applyFont="1" applyFill="1" applyBorder="1" applyAlignment="1">
      <alignment vertical="center"/>
    </xf>
    <xf numFmtId="0" fontId="7" fillId="0" borderId="3" xfId="0" applyFont="1" applyBorder="1"/>
    <xf numFmtId="0" fontId="7" fillId="0" borderId="6" xfId="0" applyFont="1" applyBorder="1"/>
    <xf numFmtId="0" fontId="7" fillId="0" borderId="0" xfId="0" applyFont="1" applyAlignment="1">
      <alignment horizontal="left"/>
    </xf>
    <xf numFmtId="0" fontId="16" fillId="0" borderId="0" xfId="0" applyFont="1" applyAlignment="1">
      <alignment horizontal="left"/>
    </xf>
    <xf numFmtId="3" fontId="7" fillId="0" borderId="0" xfId="0" applyNumberFormat="1" applyFont="1"/>
    <xf numFmtId="0" fontId="14" fillId="0" borderId="0" xfId="0" applyFont="1" applyAlignment="1">
      <alignment horizontal="left"/>
    </xf>
    <xf numFmtId="0" fontId="16" fillId="3" borderId="0" xfId="0" applyFont="1" applyFill="1" applyAlignment="1">
      <alignment horizontal="left"/>
    </xf>
    <xf numFmtId="0" fontId="16" fillId="0" borderId="0" xfId="0" applyFont="1"/>
    <xf numFmtId="0" fontId="7" fillId="0" borderId="1" xfId="0" applyFont="1" applyBorder="1"/>
    <xf numFmtId="0" fontId="16" fillId="0" borderId="0" xfId="0" applyFont="1" applyAlignment="1">
      <alignment horizontal="right"/>
    </xf>
    <xf numFmtId="0" fontId="8" fillId="0" borderId="0" xfId="0" applyFont="1"/>
    <xf numFmtId="0" fontId="0" fillId="0" borderId="0" xfId="0" applyAlignment="1">
      <alignment horizontal="right"/>
    </xf>
    <xf numFmtId="0" fontId="7" fillId="0" borderId="5" xfId="0" applyFont="1" applyBorder="1"/>
    <xf numFmtId="165" fontId="7" fillId="0" borderId="12" xfId="0" applyNumberFormat="1" applyFont="1" applyBorder="1"/>
    <xf numFmtId="165" fontId="7" fillId="0" borderId="10" xfId="0" applyNumberFormat="1" applyFont="1" applyBorder="1"/>
    <xf numFmtId="165" fontId="7" fillId="0" borderId="13" xfId="0" applyNumberFormat="1" applyFont="1" applyBorder="1"/>
    <xf numFmtId="165" fontId="7" fillId="0" borderId="14" xfId="0" applyNumberFormat="1" applyFont="1" applyBorder="1"/>
    <xf numFmtId="0" fontId="7" fillId="0" borderId="2" xfId="0" applyFont="1" applyBorder="1" applyAlignment="1">
      <alignment horizontal="center"/>
    </xf>
    <xf numFmtId="2" fontId="7" fillId="0" borderId="5" xfId="0" applyNumberFormat="1" applyFont="1" applyBorder="1" applyAlignment="1">
      <alignment horizontal="right"/>
    </xf>
    <xf numFmtId="0" fontId="7" fillId="0" borderId="11" xfId="0" applyFont="1" applyBorder="1"/>
    <xf numFmtId="0" fontId="17" fillId="0" borderId="0" xfId="0" applyFont="1" applyAlignment="1">
      <alignment horizontal="right"/>
    </xf>
    <xf numFmtId="0" fontId="18" fillId="0" borderId="0" xfId="0" applyFont="1"/>
    <xf numFmtId="49" fontId="17" fillId="4" borderId="0" xfId="0" applyNumberFormat="1" applyFont="1" applyFill="1" applyAlignment="1">
      <alignment horizontal="left"/>
    </xf>
    <xf numFmtId="0" fontId="17" fillId="0" borderId="0" xfId="0" applyFont="1" applyAlignment="1">
      <alignment horizontal="left"/>
    </xf>
    <xf numFmtId="0" fontId="7" fillId="0" borderId="5" xfId="0" applyFont="1" applyBorder="1" applyAlignment="1">
      <alignment horizontal="center"/>
    </xf>
    <xf numFmtId="0" fontId="7" fillId="0" borderId="5" xfId="0" applyFont="1" applyBorder="1" applyAlignment="1">
      <alignment horizontal="left" wrapText="1"/>
    </xf>
    <xf numFmtId="0" fontId="22" fillId="0" borderId="0" xfId="6" applyFont="1"/>
    <xf numFmtId="0" fontId="24" fillId="0" borderId="0" xfId="6" applyFont="1" applyAlignment="1">
      <alignment horizontal="centerContinuous"/>
    </xf>
    <xf numFmtId="0" fontId="24" fillId="0" borderId="0" xfId="6" applyFont="1"/>
    <xf numFmtId="0" fontId="26" fillId="0" borderId="0" xfId="6" applyFont="1" applyAlignment="1">
      <alignment horizontal="centerContinuous"/>
    </xf>
    <xf numFmtId="0" fontId="26" fillId="0" borderId="0" xfId="6" applyFont="1"/>
    <xf numFmtId="0" fontId="27" fillId="0" borderId="0" xfId="6" applyFont="1"/>
    <xf numFmtId="0" fontId="20" fillId="0" borderId="0" xfId="6"/>
    <xf numFmtId="0" fontId="20" fillId="0" borderId="0" xfId="6" applyAlignment="1">
      <alignment horizontal="center"/>
    </xf>
    <xf numFmtId="44" fontId="0" fillId="0" borderId="0" xfId="7" applyFont="1" applyBorder="1" applyAlignment="1">
      <alignment horizontal="centerContinuous"/>
    </xf>
    <xf numFmtId="44" fontId="29" fillId="0" borderId="0" xfId="7" applyFont="1" applyBorder="1" applyAlignment="1">
      <alignment horizontal="right"/>
    </xf>
    <xf numFmtId="0" fontId="30" fillId="0" borderId="0" xfId="6" applyFont="1" applyAlignment="1">
      <alignment horizontal="center"/>
    </xf>
    <xf numFmtId="44" fontId="28" fillId="0" borderId="0" xfId="7" applyFont="1" applyBorder="1" applyAlignment="1">
      <alignment horizontal="right"/>
    </xf>
    <xf numFmtId="44" fontId="28" fillId="0" borderId="0" xfId="7" applyFont="1" applyBorder="1"/>
    <xf numFmtId="0" fontId="28" fillId="0" borderId="0" xfId="6" applyFont="1" applyAlignment="1">
      <alignment horizontal="centerContinuous"/>
    </xf>
    <xf numFmtId="0" fontId="20" fillId="0" borderId="16" xfId="6" applyBorder="1"/>
    <xf numFmtId="44" fontId="0" fillId="0" borderId="6" xfId="7" applyFont="1" applyBorder="1" applyAlignment="1">
      <alignment horizontal="centerContinuous"/>
    </xf>
    <xf numFmtId="44" fontId="0" fillId="0" borderId="6" xfId="7" applyFont="1" applyBorder="1"/>
    <xf numFmtId="44" fontId="28" fillId="0" borderId="19" xfId="7" applyFont="1" applyBorder="1" applyAlignment="1">
      <alignment horizontal="centerContinuous"/>
    </xf>
    <xf numFmtId="44" fontId="20" fillId="0" borderId="4" xfId="7" applyFont="1" applyBorder="1" applyAlignment="1">
      <alignment horizontal="centerContinuous"/>
    </xf>
    <xf numFmtId="44" fontId="28" fillId="0" borderId="4" xfId="7" applyFont="1" applyBorder="1" applyAlignment="1">
      <alignment horizontal="centerContinuous"/>
    </xf>
    <xf numFmtId="44" fontId="28" fillId="0" borderId="23" xfId="7" applyFont="1" applyBorder="1" applyAlignment="1">
      <alignment horizontal="center"/>
    </xf>
    <xf numFmtId="44" fontId="28" fillId="0" borderId="6" xfId="7" applyFont="1" applyBorder="1" applyAlignment="1">
      <alignment horizontal="centerContinuous"/>
    </xf>
    <xf numFmtId="44" fontId="28" fillId="0" borderId="20" xfId="7" applyFont="1" applyBorder="1"/>
    <xf numFmtId="44" fontId="0" fillId="0" borderId="4" xfId="7" applyFont="1" applyBorder="1" applyAlignment="1">
      <alignment horizontal="centerContinuous"/>
    </xf>
    <xf numFmtId="44" fontId="28" fillId="0" borderId="22" xfId="7" applyFont="1" applyBorder="1" applyAlignment="1">
      <alignment horizontal="center"/>
    </xf>
    <xf numFmtId="44" fontId="28" fillId="0" borderId="22" xfId="7" applyFont="1" applyBorder="1" applyAlignment="1">
      <alignment horizontal="centerContinuous"/>
    </xf>
    <xf numFmtId="44" fontId="28" fillId="0" borderId="0" xfId="7" applyFont="1" applyBorder="1" applyAlignment="1">
      <alignment horizontal="center"/>
    </xf>
    <xf numFmtId="44" fontId="28" fillId="0" borderId="26" xfId="7" applyFont="1" applyBorder="1" applyAlignment="1">
      <alignment horizontal="centerContinuous"/>
    </xf>
    <xf numFmtId="0" fontId="20" fillId="0" borderId="0" xfId="6" applyAlignment="1">
      <alignment horizontal="centerContinuous"/>
    </xf>
    <xf numFmtId="44" fontId="32" fillId="0" borderId="27" xfId="7" applyFont="1" applyBorder="1" applyAlignment="1">
      <alignment horizontal="centerContinuous"/>
    </xf>
    <xf numFmtId="0" fontId="20" fillId="0" borderId="27" xfId="6" applyBorder="1"/>
    <xf numFmtId="44" fontId="28" fillId="0" borderId="27" xfId="7" applyFont="1" applyBorder="1" applyAlignment="1">
      <alignment horizontal="centerContinuous"/>
    </xf>
    <xf numFmtId="44" fontId="28" fillId="0" borderId="27" xfId="7" applyFont="1" applyBorder="1" applyAlignment="1">
      <alignment horizontal="center"/>
    </xf>
    <xf numFmtId="44" fontId="28" fillId="0" borderId="27" xfId="7" applyFont="1" applyBorder="1" applyAlignment="1">
      <alignment horizontal="center" wrapText="1"/>
    </xf>
    <xf numFmtId="44" fontId="28" fillId="0" borderId="29" xfId="7" applyFont="1" applyBorder="1" applyAlignment="1">
      <alignment horizontal="center" wrapText="1"/>
    </xf>
    <xf numFmtId="44" fontId="28" fillId="0" borderId="29" xfId="7" applyFont="1" applyBorder="1" applyAlignment="1">
      <alignment horizontal="centerContinuous" wrapText="1"/>
    </xf>
    <xf numFmtId="9" fontId="28" fillId="0" borderId="27" xfId="7" applyNumberFormat="1" applyFont="1" applyBorder="1" applyAlignment="1">
      <alignment horizontal="center"/>
    </xf>
    <xf numFmtId="44" fontId="28" fillId="0" borderId="24" xfId="7" applyFont="1" applyBorder="1" applyAlignment="1">
      <alignment horizontal="center"/>
    </xf>
    <xf numFmtId="0" fontId="28" fillId="0" borderId="0" xfId="6" applyFont="1" applyAlignment="1">
      <alignment horizontal="center" wrapText="1"/>
    </xf>
    <xf numFmtId="44" fontId="32" fillId="0" borderId="0" xfId="7" applyFont="1" applyBorder="1" applyAlignment="1">
      <alignment horizontal="centerContinuous"/>
    </xf>
    <xf numFmtId="44" fontId="28" fillId="0" borderId="0" xfId="7" applyFont="1" applyBorder="1" applyAlignment="1">
      <alignment horizontal="centerContinuous"/>
    </xf>
    <xf numFmtId="44" fontId="28" fillId="0" borderId="20" xfId="7" applyFont="1" applyBorder="1" applyAlignment="1">
      <alignment horizontal="centerContinuous"/>
    </xf>
    <xf numFmtId="0" fontId="28" fillId="0" borderId="16" xfId="6" applyFont="1" applyBorder="1" applyAlignment="1">
      <alignment horizontal="centerContinuous"/>
    </xf>
    <xf numFmtId="10" fontId="28" fillId="0" borderId="0" xfId="7" applyNumberFormat="1" applyFont="1" applyBorder="1" applyAlignment="1">
      <alignment horizontal="centerContinuous"/>
    </xf>
    <xf numFmtId="10" fontId="28" fillId="0" borderId="0" xfId="7" applyNumberFormat="1" applyFont="1" applyBorder="1" applyAlignment="1">
      <alignment horizontal="center"/>
    </xf>
    <xf numFmtId="0" fontId="31" fillId="0" borderId="0" xfId="6" applyFont="1"/>
    <xf numFmtId="44" fontId="28" fillId="5" borderId="22" xfId="7" applyFont="1" applyFill="1" applyBorder="1" applyAlignment="1">
      <alignment horizontal="center"/>
    </xf>
    <xf numFmtId="10" fontId="31" fillId="0" borderId="0" xfId="7" applyNumberFormat="1" applyFont="1" applyBorder="1" applyAlignment="1">
      <alignment horizontal="centerContinuous" vertical="top"/>
    </xf>
    <xf numFmtId="166" fontId="28" fillId="0" borderId="0" xfId="7" applyNumberFormat="1" applyFont="1" applyBorder="1" applyAlignment="1">
      <alignment horizontal="center"/>
    </xf>
    <xf numFmtId="0" fontId="34" fillId="0" borderId="0" xfId="6" applyFont="1" applyAlignment="1">
      <alignment horizontal="center"/>
    </xf>
    <xf numFmtId="10" fontId="31" fillId="0" borderId="0" xfId="7" applyNumberFormat="1" applyFont="1" applyBorder="1" applyAlignment="1">
      <alignment horizontal="center" vertical="top"/>
    </xf>
    <xf numFmtId="44" fontId="0" fillId="0" borderId="0" xfId="7" applyFont="1" applyBorder="1"/>
    <xf numFmtId="44" fontId="0" fillId="0" borderId="26" xfId="7" applyFont="1" applyBorder="1"/>
    <xf numFmtId="44" fontId="0" fillId="0" borderId="22" xfId="7" applyFont="1" applyBorder="1"/>
    <xf numFmtId="44" fontId="0" fillId="0" borderId="0" xfId="7" applyFont="1" applyBorder="1" applyAlignment="1">
      <alignment horizontal="center"/>
    </xf>
    <xf numFmtId="44" fontId="20" fillId="0" borderId="26" xfId="7" applyFont="1" applyBorder="1" applyAlignment="1">
      <alignment horizontal="center"/>
    </xf>
    <xf numFmtId="44" fontId="20" fillId="0" borderId="22" xfId="6" applyNumberFormat="1" applyBorder="1"/>
    <xf numFmtId="44" fontId="20" fillId="0" borderId="30" xfId="7" applyFont="1" applyBorder="1" applyAlignment="1">
      <alignment horizontal="center"/>
    </xf>
    <xf numFmtId="44" fontId="20" fillId="0" borderId="0" xfId="7" applyFont="1" applyBorder="1" applyAlignment="1">
      <alignment horizontal="center"/>
    </xf>
    <xf numFmtId="44" fontId="20" fillId="0" borderId="0" xfId="6" applyNumberFormat="1"/>
    <xf numFmtId="44" fontId="20" fillId="0" borderId="26" xfId="7" applyFont="1" applyBorder="1"/>
    <xf numFmtId="44" fontId="0" fillId="0" borderId="0" xfId="7" applyFont="1"/>
    <xf numFmtId="44" fontId="0" fillId="0" borderId="31" xfId="7" applyFont="1" applyBorder="1" applyAlignment="1">
      <alignment horizontal="centerContinuous"/>
    </xf>
    <xf numFmtId="44" fontId="28" fillId="0" borderId="26" xfId="7" applyFont="1" applyBorder="1"/>
    <xf numFmtId="44" fontId="0" fillId="0" borderId="30" xfId="7" applyFont="1" applyBorder="1" applyAlignment="1">
      <alignment horizontal="center"/>
    </xf>
    <xf numFmtId="44" fontId="0" fillId="0" borderId="0" xfId="7" applyFont="1" applyAlignment="1">
      <alignment horizontal="centerContinuous"/>
    </xf>
    <xf numFmtId="44" fontId="28" fillId="0" borderId="32" xfId="7" applyFont="1" applyBorder="1" applyAlignment="1">
      <alignment horizontal="centerContinuous"/>
    </xf>
    <xf numFmtId="44" fontId="0" fillId="0" borderId="27" xfId="7" applyFont="1" applyBorder="1" applyAlignment="1">
      <alignment horizontal="centerContinuous"/>
    </xf>
    <xf numFmtId="44" fontId="0" fillId="0" borderId="29" xfId="7" applyFont="1" applyBorder="1" applyAlignment="1">
      <alignment horizontal="centerContinuous"/>
    </xf>
    <xf numFmtId="44" fontId="20" fillId="0" borderId="33" xfId="7" applyFont="1" applyBorder="1" applyAlignment="1">
      <alignment horizontal="centerContinuous"/>
    </xf>
    <xf numFmtId="44" fontId="20" fillId="0" borderId="0" xfId="7" applyFont="1" applyBorder="1" applyAlignment="1">
      <alignment horizontal="centerContinuous"/>
    </xf>
    <xf numFmtId="44" fontId="28" fillId="0" borderId="16" xfId="7" applyFont="1" applyBorder="1" applyAlignment="1">
      <alignment horizontal="centerContinuous"/>
    </xf>
    <xf numFmtId="44" fontId="20" fillId="0" borderId="17" xfId="7" applyFont="1" applyBorder="1" applyAlignment="1">
      <alignment horizontal="centerContinuous"/>
    </xf>
    <xf numFmtId="44" fontId="20" fillId="0" borderId="17" xfId="7" applyFont="1" applyBorder="1" applyAlignment="1">
      <alignment horizontal="center"/>
    </xf>
    <xf numFmtId="44" fontId="28" fillId="0" borderId="0" xfId="7" applyFont="1" applyFill="1" applyBorder="1"/>
    <xf numFmtId="44" fontId="0" fillId="0" borderId="0" xfId="7" applyFont="1" applyFill="1" applyBorder="1"/>
    <xf numFmtId="44" fontId="0" fillId="0" borderId="27" xfId="7" applyFont="1" applyBorder="1"/>
    <xf numFmtId="0" fontId="36" fillId="4" borderId="34" xfId="6" applyFont="1" applyFill="1" applyBorder="1" applyAlignment="1">
      <alignment horizontal="center" vertical="center" wrapText="1"/>
    </xf>
    <xf numFmtId="0" fontId="36" fillId="4" borderId="35" xfId="6" applyFont="1" applyFill="1" applyBorder="1" applyAlignment="1">
      <alignment horizontal="center" vertical="center" wrapText="1"/>
    </xf>
    <xf numFmtId="0" fontId="36" fillId="4" borderId="36" xfId="6" applyFont="1" applyFill="1" applyBorder="1" applyAlignment="1">
      <alignment horizontal="center" vertical="center" wrapText="1"/>
    </xf>
    <xf numFmtId="0" fontId="37" fillId="0" borderId="34" xfId="6" applyFont="1" applyBorder="1" applyAlignment="1">
      <alignment horizontal="center" vertical="center" wrapText="1"/>
    </xf>
    <xf numFmtId="0" fontId="37" fillId="0" borderId="35" xfId="6" applyFont="1" applyBorder="1" applyAlignment="1">
      <alignment horizontal="center" vertical="center" wrapText="1"/>
    </xf>
    <xf numFmtId="0" fontId="37" fillId="0" borderId="36" xfId="6" applyFont="1" applyBorder="1" applyAlignment="1">
      <alignment horizontal="center" vertical="center" wrapText="1"/>
    </xf>
    <xf numFmtId="0" fontId="38" fillId="0" borderId="34" xfId="6" applyFont="1" applyBorder="1" applyAlignment="1">
      <alignment horizontal="center" vertical="center" wrapText="1"/>
    </xf>
    <xf numFmtId="0" fontId="38" fillId="0" borderId="35" xfId="6" applyFont="1" applyBorder="1" applyAlignment="1">
      <alignment horizontal="center" vertical="center" wrapText="1"/>
    </xf>
    <xf numFmtId="0" fontId="38" fillId="0" borderId="36" xfId="6" applyFont="1" applyBorder="1" applyAlignment="1">
      <alignment horizontal="center" vertical="center" wrapText="1"/>
    </xf>
    <xf numFmtId="44" fontId="41" fillId="0" borderId="0" xfId="7" applyFont="1" applyAlignment="1">
      <alignment horizontal="center"/>
    </xf>
    <xf numFmtId="44" fontId="28" fillId="0" borderId="37" xfId="7" applyFont="1" applyBorder="1" applyAlignment="1">
      <alignment horizontal="center"/>
    </xf>
    <xf numFmtId="44" fontId="0" fillId="0" borderId="32" xfId="7" applyFont="1" applyBorder="1"/>
    <xf numFmtId="49" fontId="28" fillId="0" borderId="37" xfId="7" applyNumberFormat="1" applyFont="1" applyBorder="1" applyAlignment="1">
      <alignment horizontal="center" wrapText="1"/>
    </xf>
    <xf numFmtId="49" fontId="28" fillId="0" borderId="32" xfId="7" applyNumberFormat="1" applyFont="1" applyBorder="1" applyAlignment="1">
      <alignment horizontal="center" wrapText="1"/>
    </xf>
    <xf numFmtId="0" fontId="27" fillId="0" borderId="0" xfId="6" applyFont="1" applyAlignment="1">
      <alignment vertical="center" wrapText="1"/>
    </xf>
    <xf numFmtId="0" fontId="42" fillId="0" borderId="38" xfId="6" applyFont="1" applyBorder="1" applyAlignment="1">
      <alignment horizontal="right" vertical="center" wrapText="1"/>
    </xf>
    <xf numFmtId="0" fontId="20" fillId="0" borderId="38" xfId="6" applyBorder="1" applyAlignment="1">
      <alignment wrapText="1"/>
    </xf>
    <xf numFmtId="0" fontId="20" fillId="0" borderId="38" xfId="6" applyBorder="1"/>
    <xf numFmtId="0" fontId="43" fillId="0" borderId="39" xfId="6" applyFont="1" applyBorder="1" applyAlignment="1">
      <alignment horizontal="center" vertical="top" wrapText="1"/>
    </xf>
    <xf numFmtId="44" fontId="0" fillId="0" borderId="39" xfId="7" applyFont="1" applyBorder="1" applyAlignment="1">
      <alignment horizontal="center"/>
    </xf>
    <xf numFmtId="1" fontId="0" fillId="0" borderId="39" xfId="8" applyNumberFormat="1" applyFont="1" applyBorder="1" applyAlignment="1">
      <alignment horizontal="center"/>
    </xf>
    <xf numFmtId="167" fontId="0" fillId="0" borderId="39" xfId="8" applyNumberFormat="1" applyFont="1" applyBorder="1" applyAlignment="1">
      <alignment horizontal="center"/>
    </xf>
    <xf numFmtId="9" fontId="0" fillId="0" borderId="39" xfId="8" applyFont="1" applyBorder="1" applyAlignment="1">
      <alignment horizontal="center"/>
    </xf>
    <xf numFmtId="0" fontId="28" fillId="0" borderId="40" xfId="6" applyFont="1" applyBorder="1" applyAlignment="1">
      <alignment horizontal="center" vertical="center" wrapText="1"/>
    </xf>
    <xf numFmtId="0" fontId="28" fillId="0" borderId="10" xfId="6" applyFont="1" applyBorder="1" applyAlignment="1">
      <alignment horizontal="center" vertical="center" wrapText="1"/>
    </xf>
    <xf numFmtId="44" fontId="0" fillId="0" borderId="41" xfId="7" applyFont="1" applyBorder="1" applyAlignment="1">
      <alignment horizontal="center" wrapText="1"/>
    </xf>
    <xf numFmtId="0" fontId="20" fillId="0" borderId="42" xfId="6" applyBorder="1" applyAlignment="1">
      <alignment horizontal="center" wrapText="1"/>
    </xf>
    <xf numFmtId="44" fontId="0" fillId="0" borderId="42" xfId="7" applyFont="1" applyBorder="1" applyAlignment="1">
      <alignment horizontal="center" wrapText="1"/>
    </xf>
    <xf numFmtId="44" fontId="20" fillId="0" borderId="42" xfId="7" applyFont="1" applyBorder="1" applyAlignment="1">
      <alignment horizontal="center" wrapText="1"/>
    </xf>
    <xf numFmtId="0" fontId="44" fillId="0" borderId="43" xfId="6" applyFont="1" applyBorder="1" applyAlignment="1">
      <alignment horizontal="right" vertical="top" wrapText="1"/>
    </xf>
    <xf numFmtId="44" fontId="0" fillId="0" borderId="43" xfId="7" applyFont="1" applyFill="1" applyBorder="1"/>
    <xf numFmtId="0" fontId="20" fillId="0" borderId="5" xfId="6" applyBorder="1" applyAlignment="1">
      <alignment horizontal="center"/>
    </xf>
    <xf numFmtId="44" fontId="0" fillId="0" borderId="5" xfId="7" applyFont="1" applyFill="1" applyBorder="1"/>
    <xf numFmtId="0" fontId="44" fillId="0" borderId="11" xfId="6" applyFont="1" applyBorder="1" applyAlignment="1">
      <alignment horizontal="left" vertical="top" wrapText="1"/>
    </xf>
    <xf numFmtId="0" fontId="44" fillId="0" borderId="43" xfId="6" applyFont="1" applyBorder="1" applyAlignment="1">
      <alignment horizontal="left" vertical="top" wrapText="1"/>
    </xf>
    <xf numFmtId="1" fontId="20" fillId="0" borderId="5" xfId="6" applyNumberFormat="1" applyBorder="1" applyAlignment="1">
      <alignment horizontal="center"/>
    </xf>
    <xf numFmtId="44" fontId="20" fillId="0" borderId="43" xfId="7" applyFont="1" applyFill="1" applyBorder="1"/>
    <xf numFmtId="0" fontId="20" fillId="0" borderId="43" xfId="6" applyBorder="1" applyAlignment="1">
      <alignment horizontal="left" vertical="top" wrapText="1"/>
    </xf>
    <xf numFmtId="0" fontId="20" fillId="0" borderId="43" xfId="6" applyBorder="1"/>
    <xf numFmtId="44" fontId="20" fillId="0" borderId="5" xfId="7" applyFont="1" applyFill="1" applyBorder="1" applyAlignment="1">
      <alignment horizontal="center"/>
    </xf>
    <xf numFmtId="44" fontId="20" fillId="0" borderId="5" xfId="7" applyFont="1" applyFill="1" applyBorder="1"/>
    <xf numFmtId="0" fontId="20" fillId="0" borderId="43" xfId="6" applyBorder="1" applyAlignment="1">
      <alignment wrapText="1"/>
    </xf>
    <xf numFmtId="0" fontId="45" fillId="0" borderId="0" xfId="6" applyFont="1" applyAlignment="1">
      <alignment horizontal="justify"/>
    </xf>
    <xf numFmtId="0" fontId="28" fillId="0" borderId="0" xfId="6" applyFont="1" applyAlignment="1">
      <alignment horizontal="right"/>
    </xf>
    <xf numFmtId="0" fontId="46" fillId="0" borderId="0" xfId="6" applyFont="1"/>
    <xf numFmtId="44" fontId="48" fillId="0" borderId="0" xfId="7" applyFont="1"/>
    <xf numFmtId="0" fontId="28" fillId="0" borderId="0" xfId="6" applyFont="1"/>
    <xf numFmtId="49" fontId="39" fillId="0" borderId="0" xfId="6" applyNumberFormat="1" applyFont="1" applyAlignment="1">
      <alignment horizontal="center"/>
    </xf>
    <xf numFmtId="0" fontId="40" fillId="0" borderId="0" xfId="6" applyFont="1" applyAlignment="1">
      <alignment horizontal="center"/>
    </xf>
    <xf numFmtId="0" fontId="44" fillId="0" borderId="22" xfId="6" applyFont="1" applyBorder="1" applyAlignment="1">
      <alignment horizontal="left" vertical="top" wrapText="1"/>
    </xf>
    <xf numFmtId="0" fontId="20" fillId="0" borderId="44" xfId="6" applyBorder="1"/>
    <xf numFmtId="44" fontId="6" fillId="0" borderId="5" xfId="7" applyFont="1" applyBorder="1"/>
    <xf numFmtId="43" fontId="7" fillId="0" borderId="5" xfId="0" applyNumberFormat="1" applyFont="1" applyBorder="1" applyAlignment="1">
      <alignment horizontal="right"/>
    </xf>
    <xf numFmtId="43" fontId="15" fillId="2" borderId="4" xfId="0" applyNumberFormat="1" applyFont="1" applyFill="1" applyBorder="1" applyAlignment="1">
      <alignment horizontal="right" vertical="center"/>
    </xf>
    <xf numFmtId="43" fontId="7" fillId="0" borderId="5" xfId="0" applyNumberFormat="1" applyFont="1" applyBorder="1"/>
    <xf numFmtId="43" fontId="7" fillId="0" borderId="8" xfId="1" applyNumberFormat="1" applyFont="1" applyBorder="1"/>
    <xf numFmtId="43" fontId="7" fillId="0" borderId="8" xfId="1" applyNumberFormat="1" applyFont="1" applyBorder="1" applyAlignment="1">
      <alignment horizontal="right"/>
    </xf>
    <xf numFmtId="0" fontId="7" fillId="6" borderId="5" xfId="0" applyFont="1" applyFill="1" applyBorder="1" applyAlignment="1">
      <alignment horizontal="right"/>
    </xf>
    <xf numFmtId="0" fontId="7" fillId="6" borderId="5" xfId="0" applyFont="1" applyFill="1" applyBorder="1"/>
    <xf numFmtId="0" fontId="51" fillId="0" borderId="0" xfId="0" applyFont="1"/>
    <xf numFmtId="0" fontId="7" fillId="4" borderId="0" xfId="0" applyFont="1" applyFill="1" applyAlignment="1">
      <alignment horizontal="right"/>
    </xf>
    <xf numFmtId="0" fontId="52" fillId="4" borderId="0" xfId="0" applyFont="1" applyFill="1"/>
    <xf numFmtId="0" fontId="17" fillId="4" borderId="0" xfId="0" applyFont="1" applyFill="1"/>
    <xf numFmtId="0" fontId="7" fillId="4" borderId="0" xfId="0" applyFont="1" applyFill="1"/>
    <xf numFmtId="0" fontId="53" fillId="7" borderId="0" xfId="0" applyFont="1" applyFill="1"/>
    <xf numFmtId="0" fontId="54" fillId="7" borderId="0" xfId="0" applyFont="1" applyFill="1"/>
    <xf numFmtId="49" fontId="0" fillId="0" borderId="0" xfId="0" applyNumberFormat="1"/>
    <xf numFmtId="16" fontId="18" fillId="0" borderId="0" xfId="0" applyNumberFormat="1" applyFont="1"/>
    <xf numFmtId="0" fontId="54" fillId="0" borderId="11" xfId="0" applyFont="1" applyBorder="1"/>
    <xf numFmtId="0" fontId="54" fillId="0" borderId="45" xfId="0" applyFont="1" applyBorder="1"/>
    <xf numFmtId="168" fontId="17" fillId="4" borderId="1" xfId="0" applyNumberFormat="1" applyFont="1" applyFill="1" applyBorder="1" applyAlignment="1">
      <alignment horizontal="center"/>
    </xf>
    <xf numFmtId="0" fontId="44" fillId="0" borderId="0" xfId="6" applyFont="1" applyAlignment="1">
      <alignment horizontal="left" vertical="top" wrapText="1"/>
    </xf>
    <xf numFmtId="16" fontId="7" fillId="0" borderId="2" xfId="0" applyNumberFormat="1" applyFont="1" applyBorder="1" applyAlignment="1">
      <alignment horizontal="center"/>
    </xf>
    <xf numFmtId="0" fontId="56" fillId="0" borderId="22" xfId="6" applyFont="1" applyBorder="1" applyAlignment="1">
      <alignment horizontal="left" vertical="top" wrapText="1"/>
    </xf>
    <xf numFmtId="44" fontId="55" fillId="0" borderId="5" xfId="7" applyFont="1" applyBorder="1"/>
    <xf numFmtId="0" fontId="7" fillId="8" borderId="5" xfId="0" applyFont="1" applyFill="1" applyBorder="1"/>
    <xf numFmtId="0" fontId="7" fillId="8" borderId="5" xfId="0" applyFont="1" applyFill="1" applyBorder="1" applyAlignment="1">
      <alignment horizontal="right"/>
    </xf>
    <xf numFmtId="0" fontId="57" fillId="0" borderId="5" xfId="0" applyFont="1" applyBorder="1"/>
    <xf numFmtId="43" fontId="57" fillId="0" borderId="8" xfId="1" applyNumberFormat="1" applyFont="1" applyBorder="1" applyAlignment="1">
      <alignment horizontal="right"/>
    </xf>
    <xf numFmtId="43" fontId="7" fillId="0" borderId="8" xfId="1" applyNumberFormat="1" applyFont="1" applyFill="1" applyBorder="1" applyAlignment="1">
      <alignment horizontal="right"/>
    </xf>
    <xf numFmtId="43" fontId="7" fillId="0" borderId="8" xfId="1" applyNumberFormat="1" applyFont="1" applyFill="1" applyBorder="1"/>
    <xf numFmtId="2" fontId="57" fillId="0" borderId="5" xfId="0" applyNumberFormat="1" applyFont="1" applyBorder="1" applyAlignment="1">
      <alignment horizontal="right"/>
    </xf>
    <xf numFmtId="0" fontId="0" fillId="0" borderId="46" xfId="0" applyBorder="1"/>
    <xf numFmtId="0" fontId="20" fillId="0" borderId="46" xfId="6" applyBorder="1"/>
    <xf numFmtId="0" fontId="20" fillId="0" borderId="0" xfId="6" applyAlignment="1">
      <alignment vertical="center"/>
    </xf>
    <xf numFmtId="44" fontId="28" fillId="0" borderId="0" xfId="7" applyFont="1" applyFill="1" applyBorder="1" applyAlignment="1">
      <alignment horizontal="centerContinuous"/>
    </xf>
    <xf numFmtId="0" fontId="58" fillId="0" borderId="0" xfId="6" applyFont="1"/>
    <xf numFmtId="43" fontId="57" fillId="0" borderId="5" xfId="0" applyNumberFormat="1" applyFont="1" applyBorder="1" applyAlignment="1">
      <alignment horizontal="right"/>
    </xf>
    <xf numFmtId="44" fontId="0" fillId="0" borderId="22" xfId="7" applyFont="1" applyFill="1" applyBorder="1"/>
    <xf numFmtId="0" fontId="0" fillId="0" borderId="27" xfId="0" applyBorder="1"/>
    <xf numFmtId="0" fontId="7" fillId="0" borderId="3" xfId="0" applyFont="1" applyBorder="1" applyAlignment="1">
      <alignment horizontal="left"/>
    </xf>
    <xf numFmtId="0" fontId="0" fillId="0" borderId="22" xfId="0" applyBorder="1"/>
    <xf numFmtId="0" fontId="5" fillId="0" borderId="0" xfId="0" applyFont="1"/>
    <xf numFmtId="0" fontId="61" fillId="0" borderId="0" xfId="0" applyFont="1" applyAlignment="1">
      <alignment horizontal="center"/>
    </xf>
    <xf numFmtId="0" fontId="5" fillId="0" borderId="0" xfId="0" applyFont="1" applyAlignment="1">
      <alignment horizontal="center"/>
    </xf>
    <xf numFmtId="43" fontId="5" fillId="0" borderId="0" xfId="0" applyNumberFormat="1" applyFont="1"/>
    <xf numFmtId="0" fontId="61" fillId="0" borderId="0" xfId="0" applyFont="1" applyAlignment="1">
      <alignment horizontal="left"/>
    </xf>
    <xf numFmtId="168" fontId="5" fillId="0" borderId="0" xfId="0" applyNumberFormat="1" applyFont="1" applyAlignment="1">
      <alignment horizontal="center"/>
    </xf>
    <xf numFmtId="0" fontId="61" fillId="0" borderId="5" xfId="0" applyFont="1" applyBorder="1" applyAlignment="1">
      <alignment horizontal="center"/>
    </xf>
    <xf numFmtId="43" fontId="61" fillId="0" borderId="5" xfId="0" applyNumberFormat="1" applyFont="1" applyBorder="1" applyAlignment="1">
      <alignment horizontal="center"/>
    </xf>
    <xf numFmtId="0" fontId="61" fillId="0" borderId="0" xfId="0" applyFont="1"/>
    <xf numFmtId="0" fontId="62" fillId="0" borderId="0" xfId="0" applyFont="1"/>
    <xf numFmtId="43" fontId="62" fillId="0" borderId="0" xfId="0" applyNumberFormat="1" applyFont="1"/>
    <xf numFmtId="168" fontId="62" fillId="0" borderId="0" xfId="0" applyNumberFormat="1" applyFont="1" applyAlignment="1">
      <alignment horizontal="center"/>
    </xf>
    <xf numFmtId="0" fontId="62" fillId="0" borderId="0" xfId="0" applyFont="1" applyAlignment="1">
      <alignment horizontal="center"/>
    </xf>
    <xf numFmtId="0" fontId="63" fillId="0" borderId="22" xfId="0" applyFont="1" applyBorder="1"/>
    <xf numFmtId="0" fontId="51" fillId="0" borderId="44" xfId="0" applyFont="1" applyBorder="1"/>
    <xf numFmtId="0" fontId="59" fillId="0" borderId="0" xfId="0" applyFont="1"/>
    <xf numFmtId="0" fontId="4" fillId="0" borderId="0" xfId="0" applyFont="1"/>
    <xf numFmtId="0" fontId="7" fillId="0" borderId="45" xfId="0" applyFont="1" applyBorder="1"/>
    <xf numFmtId="0" fontId="28" fillId="0" borderId="0" xfId="6" applyFont="1" applyAlignment="1">
      <alignment horizontal="center" vertical="center" wrapText="1"/>
    </xf>
    <xf numFmtId="168" fontId="3" fillId="0" borderId="0" xfId="0" applyNumberFormat="1" applyFont="1" applyAlignment="1">
      <alignment horizontal="center"/>
    </xf>
    <xf numFmtId="16" fontId="0" fillId="0" borderId="0" xfId="0" applyNumberFormat="1"/>
    <xf numFmtId="0" fontId="44" fillId="0" borderId="0" xfId="6" applyFont="1" applyAlignment="1">
      <alignment horizontal="left" wrapText="1"/>
    </xf>
    <xf numFmtId="165" fontId="57" fillId="0" borderId="10" xfId="0" applyNumberFormat="1" applyFont="1" applyBorder="1"/>
    <xf numFmtId="43" fontId="57" fillId="0" borderId="5" xfId="0" applyNumberFormat="1" applyFont="1" applyBorder="1"/>
    <xf numFmtId="0" fontId="36" fillId="4" borderId="48" xfId="6" applyFont="1" applyFill="1" applyBorder="1" applyAlignment="1">
      <alignment horizontal="center" vertical="center" wrapText="1"/>
    </xf>
    <xf numFmtId="0" fontId="36" fillId="4" borderId="49" xfId="6" applyFont="1" applyFill="1" applyBorder="1" applyAlignment="1">
      <alignment horizontal="center" vertical="center" wrapText="1"/>
    </xf>
    <xf numFmtId="0" fontId="36" fillId="4" borderId="50" xfId="6" applyFont="1" applyFill="1" applyBorder="1" applyAlignment="1">
      <alignment horizontal="center" vertical="center" wrapText="1"/>
    </xf>
    <xf numFmtId="0" fontId="64" fillId="0" borderId="11" xfId="6" applyFont="1" applyBorder="1" applyAlignment="1">
      <alignment horizontal="left" vertical="top" wrapText="1"/>
    </xf>
    <xf numFmtId="44" fontId="65" fillId="0" borderId="43" xfId="7" applyFont="1" applyFill="1" applyBorder="1"/>
    <xf numFmtId="44" fontId="65" fillId="0" borderId="5" xfId="7" applyFont="1" applyFill="1" applyBorder="1"/>
    <xf numFmtId="0" fontId="44" fillId="4" borderId="22" xfId="6" applyFont="1" applyFill="1" applyBorder="1" applyAlignment="1">
      <alignment horizontal="left" vertical="top" wrapText="1"/>
    </xf>
    <xf numFmtId="44" fontId="6" fillId="4" borderId="5" xfId="7" applyFont="1" applyFill="1" applyBorder="1"/>
    <xf numFmtId="0" fontId="44" fillId="0" borderId="51" xfId="6" applyFont="1" applyBorder="1" applyAlignment="1">
      <alignment horizontal="left" vertical="top" wrapText="1"/>
    </xf>
    <xf numFmtId="0" fontId="20" fillId="0" borderId="52" xfId="6" applyBorder="1"/>
    <xf numFmtId="44" fontId="0" fillId="0" borderId="52" xfId="7" applyFont="1" applyFill="1" applyBorder="1"/>
    <xf numFmtId="1" fontId="20" fillId="0" borderId="44" xfId="6" applyNumberFormat="1" applyBorder="1" applyAlignment="1">
      <alignment horizontal="center"/>
    </xf>
    <xf numFmtId="44" fontId="0" fillId="0" borderId="44" xfId="7" applyFont="1" applyFill="1" applyBorder="1"/>
    <xf numFmtId="0" fontId="66" fillId="0" borderId="0" xfId="0" applyFont="1" applyAlignment="1">
      <alignment horizontal="center"/>
    </xf>
    <xf numFmtId="0" fontId="67" fillId="0" borderId="0" xfId="0" applyFont="1" applyAlignment="1">
      <alignment horizontal="left" vertical="top" wrapText="1"/>
    </xf>
    <xf numFmtId="0" fontId="51" fillId="0" borderId="0" xfId="0" applyFont="1" applyAlignment="1">
      <alignment horizontal="center"/>
    </xf>
    <xf numFmtId="0" fontId="57" fillId="0" borderId="3" xfId="0" applyFont="1" applyBorder="1"/>
    <xf numFmtId="0" fontId="20" fillId="0" borderId="0" xfId="0" applyFont="1" applyAlignment="1">
      <alignment horizontal="left" vertical="top" wrapText="1"/>
    </xf>
    <xf numFmtId="0" fontId="20" fillId="0" borderId="0" xfId="6" applyAlignment="1">
      <alignment horizontal="left" vertical="top" wrapText="1"/>
    </xf>
    <xf numFmtId="44" fontId="6" fillId="0" borderId="43" xfId="7" applyFont="1" applyFill="1" applyBorder="1"/>
    <xf numFmtId="44" fontId="6" fillId="0" borderId="5" xfId="7" applyFont="1" applyFill="1" applyBorder="1"/>
    <xf numFmtId="44" fontId="68" fillId="0" borderId="43" xfId="7" applyFont="1" applyFill="1" applyBorder="1"/>
    <xf numFmtId="44" fontId="68" fillId="0" borderId="5" xfId="7" applyFont="1" applyFill="1" applyBorder="1"/>
    <xf numFmtId="0" fontId="58" fillId="0" borderId="0" xfId="0" applyFont="1"/>
    <xf numFmtId="0" fontId="63" fillId="0" borderId="0" xfId="0" applyFont="1"/>
    <xf numFmtId="0" fontId="69" fillId="0" borderId="11" xfId="6" applyFont="1" applyBorder="1" applyAlignment="1">
      <alignment horizontal="left" vertical="top" wrapText="1"/>
    </xf>
    <xf numFmtId="0" fontId="70" fillId="0" borderId="11" xfId="6" applyFont="1" applyBorder="1" applyAlignment="1">
      <alignment horizontal="left" vertical="top" wrapText="1"/>
    </xf>
    <xf numFmtId="44" fontId="71" fillId="0" borderId="43" xfId="7" applyFont="1" applyFill="1" applyBorder="1"/>
    <xf numFmtId="44" fontId="71" fillId="0" borderId="5" xfId="7" applyFont="1" applyFill="1" applyBorder="1"/>
    <xf numFmtId="0" fontId="60" fillId="0" borderId="0" xfId="0" applyFont="1"/>
    <xf numFmtId="0" fontId="72" fillId="0" borderId="11" xfId="6" applyFont="1" applyBorder="1" applyAlignment="1">
      <alignment horizontal="left" vertical="top" wrapText="1"/>
    </xf>
    <xf numFmtId="44" fontId="73" fillId="0" borderId="43" xfId="7" applyFont="1" applyFill="1" applyBorder="1"/>
    <xf numFmtId="44" fontId="73" fillId="0" borderId="5" xfId="7" applyFont="1" applyFill="1" applyBorder="1"/>
    <xf numFmtId="0" fontId="2" fillId="0" borderId="0" xfId="0" applyFont="1" applyAlignment="1">
      <alignment horizontal="center"/>
    </xf>
    <xf numFmtId="0" fontId="74" fillId="0" borderId="11" xfId="6" applyFont="1" applyBorder="1" applyAlignment="1">
      <alignment horizontal="left" vertical="top" wrapText="1"/>
    </xf>
    <xf numFmtId="44" fontId="75" fillId="0" borderId="43" xfId="7" applyFont="1" applyFill="1" applyBorder="1"/>
    <xf numFmtId="44" fontId="75" fillId="0" borderId="5" xfId="7" applyFont="1" applyFill="1" applyBorder="1"/>
    <xf numFmtId="0" fontId="28" fillId="0" borderId="16" xfId="0" applyFont="1" applyBorder="1"/>
    <xf numFmtId="0" fontId="0" fillId="0" borderId="0" xfId="0" applyAlignment="1">
      <alignment horizontal="center"/>
    </xf>
    <xf numFmtId="0" fontId="30" fillId="0" borderId="0" xfId="0" applyFont="1" applyAlignment="1">
      <alignment horizontal="center"/>
    </xf>
    <xf numFmtId="0" fontId="28" fillId="0" borderId="0" xfId="0" applyFont="1"/>
    <xf numFmtId="0" fontId="29" fillId="0" borderId="0" xfId="0" applyFont="1" applyAlignment="1">
      <alignment horizontal="right"/>
    </xf>
    <xf numFmtId="0" fontId="28" fillId="0" borderId="0" xfId="0" applyFont="1" applyAlignment="1">
      <alignment horizontal="right"/>
    </xf>
    <xf numFmtId="0" fontId="30" fillId="0" borderId="17" xfId="0" applyFont="1" applyBorder="1" applyAlignment="1">
      <alignment horizontal="center"/>
    </xf>
    <xf numFmtId="0" fontId="28" fillId="0" borderId="0" xfId="0" applyFont="1" applyAlignment="1">
      <alignment horizontal="centerContinuous"/>
    </xf>
    <xf numFmtId="0" fontId="0" fillId="0" borderId="17" xfId="0" applyBorder="1"/>
    <xf numFmtId="0" fontId="56" fillId="0" borderId="16" xfId="0" applyFont="1" applyBorder="1"/>
    <xf numFmtId="0" fontId="29" fillId="0" borderId="9" xfId="0" applyFont="1" applyBorder="1" applyAlignment="1">
      <alignment horizontal="right"/>
    </xf>
    <xf numFmtId="0" fontId="28" fillId="0" borderId="4" xfId="0" applyFont="1" applyBorder="1" applyAlignment="1">
      <alignment horizontal="right"/>
    </xf>
    <xf numFmtId="0" fontId="30" fillId="0" borderId="15" xfId="0" applyFont="1" applyBorder="1" applyAlignment="1">
      <alignment horizontal="center"/>
    </xf>
    <xf numFmtId="0" fontId="0" fillId="0" borderId="18" xfId="0" applyBorder="1"/>
    <xf numFmtId="0" fontId="0" fillId="0" borderId="6" xfId="0" applyBorder="1"/>
    <xf numFmtId="0" fontId="0" fillId="0" borderId="6" xfId="0" applyBorder="1" applyAlignment="1">
      <alignment horizontal="center"/>
    </xf>
    <xf numFmtId="0" fontId="28" fillId="0" borderId="6" xfId="0" applyFont="1" applyBorder="1" applyAlignment="1">
      <alignment horizontal="centerContinuous"/>
    </xf>
    <xf numFmtId="0" fontId="0" fillId="0" borderId="20" xfId="0" applyBorder="1"/>
    <xf numFmtId="0" fontId="0" fillId="0" borderId="21" xfId="0" applyBorder="1"/>
    <xf numFmtId="0" fontId="0" fillId="0" borderId="16" xfId="0" applyBorder="1"/>
    <xf numFmtId="0" fontId="28" fillId="0" borderId="22" xfId="0" applyFont="1" applyBorder="1" applyAlignment="1">
      <alignment horizontal="center"/>
    </xf>
    <xf numFmtId="0" fontId="0" fillId="0" borderId="24" xfId="0" applyBorder="1"/>
    <xf numFmtId="0" fontId="0" fillId="0" borderId="25" xfId="0" applyBorder="1"/>
    <xf numFmtId="0" fontId="0" fillId="0" borderId="9" xfId="0" applyBorder="1" applyAlignment="1">
      <alignment horizontal="centerContinuous"/>
    </xf>
    <xf numFmtId="0" fontId="0" fillId="0" borderId="4" xfId="0" applyBorder="1" applyAlignment="1">
      <alignment horizontal="centerContinuous"/>
    </xf>
    <xf numFmtId="0" fontId="0" fillId="0" borderId="15" xfId="0" applyBorder="1" applyAlignment="1">
      <alignment horizontal="centerContinuous"/>
    </xf>
    <xf numFmtId="0" fontId="28" fillId="0" borderId="19" xfId="0" applyFont="1" applyBorder="1" applyAlignment="1">
      <alignment horizontal="center"/>
    </xf>
    <xf numFmtId="0" fontId="28" fillId="0" borderId="15" xfId="0" applyFont="1" applyBorder="1" applyAlignment="1">
      <alignment horizontal="center"/>
    </xf>
    <xf numFmtId="0" fontId="32" fillId="0" borderId="27" xfId="0" applyFont="1" applyBorder="1"/>
    <xf numFmtId="0" fontId="0" fillId="0" borderId="27" xfId="0" applyBorder="1" applyAlignment="1">
      <alignment horizontal="center"/>
    </xf>
    <xf numFmtId="0" fontId="28" fillId="0" borderId="27" xfId="0" applyFont="1" applyBorder="1" applyAlignment="1">
      <alignment horizontal="centerContinuous"/>
    </xf>
    <xf numFmtId="0" fontId="28" fillId="0" borderId="27" xfId="0" applyFont="1" applyBorder="1" applyAlignment="1">
      <alignment horizontal="center"/>
    </xf>
    <xf numFmtId="0" fontId="28" fillId="0" borderId="4" xfId="0" applyFont="1" applyBorder="1" applyAlignment="1">
      <alignment horizontal="center"/>
    </xf>
    <xf numFmtId="0" fontId="28" fillId="0" borderId="0" xfId="0" applyFont="1" applyAlignment="1">
      <alignment horizontal="center" wrapText="1"/>
    </xf>
    <xf numFmtId="0" fontId="0" fillId="0" borderId="28" xfId="0" applyBorder="1"/>
    <xf numFmtId="0" fontId="28" fillId="0" borderId="24" xfId="0" applyFont="1" applyBorder="1" applyAlignment="1">
      <alignment horizontal="centerContinuous" wrapText="1"/>
    </xf>
    <xf numFmtId="0" fontId="28" fillId="0" borderId="15" xfId="0" applyFont="1" applyBorder="1" applyAlignment="1">
      <alignment horizontal="center" wrapText="1"/>
    </xf>
    <xf numFmtId="0" fontId="33" fillId="0" borderId="6" xfId="0" applyFont="1" applyBorder="1" applyAlignment="1">
      <alignment horizontal="center"/>
    </xf>
    <xf numFmtId="0" fontId="28" fillId="0" borderId="23" xfId="0" applyFont="1" applyBorder="1" applyAlignment="1">
      <alignment horizontal="center"/>
    </xf>
    <xf numFmtId="0" fontId="28" fillId="0" borderId="17" xfId="0" applyFont="1" applyBorder="1" applyAlignment="1">
      <alignment horizontal="centerContinuous"/>
    </xf>
    <xf numFmtId="10" fontId="28" fillId="0" borderId="0" xfId="0" applyNumberFormat="1" applyFont="1" applyAlignment="1">
      <alignment horizontal="center"/>
    </xf>
    <xf numFmtId="166" fontId="28" fillId="0" borderId="0" xfId="0" applyNumberFormat="1" applyFont="1" applyAlignment="1">
      <alignment horizontal="centerContinuous"/>
    </xf>
    <xf numFmtId="0" fontId="31" fillId="0" borderId="0" xfId="0" applyFont="1"/>
    <xf numFmtId="0" fontId="31" fillId="0" borderId="17" xfId="0" applyFont="1" applyBorder="1"/>
    <xf numFmtId="0" fontId="30" fillId="0" borderId="16" xfId="0" applyFont="1" applyBorder="1" applyAlignment="1">
      <alignment horizontal="center"/>
    </xf>
    <xf numFmtId="0" fontId="33" fillId="0" borderId="0" xfId="0" applyFont="1"/>
    <xf numFmtId="0" fontId="28" fillId="0" borderId="30" xfId="0" applyFont="1" applyBorder="1" applyAlignment="1">
      <alignment horizontal="centerContinuous"/>
    </xf>
    <xf numFmtId="0" fontId="0" fillId="0" borderId="0" xfId="0" applyAlignment="1">
      <alignment horizontal="centerContinuous"/>
    </xf>
    <xf numFmtId="44" fontId="0" fillId="0" borderId="22" xfId="0" applyNumberFormat="1" applyBorder="1"/>
    <xf numFmtId="44" fontId="0" fillId="0" borderId="0" xfId="0" applyNumberFormat="1"/>
    <xf numFmtId="44" fontId="0" fillId="5" borderId="22" xfId="0" applyNumberFormat="1" applyFill="1" applyBorder="1"/>
    <xf numFmtId="44" fontId="20" fillId="4" borderId="0" xfId="7" applyFont="1" applyFill="1" applyBorder="1" applyAlignment="1">
      <alignment horizontal="centerContinuous"/>
    </xf>
    <xf numFmtId="0" fontId="0" fillId="9" borderId="16" xfId="0" applyFill="1" applyBorder="1"/>
    <xf numFmtId="0" fontId="20" fillId="0" borderId="16" xfId="0" applyFont="1" applyBorder="1"/>
    <xf numFmtId="0" fontId="20" fillId="0" borderId="0" xfId="0" applyFont="1" applyAlignment="1">
      <alignment horizontal="center"/>
    </xf>
    <xf numFmtId="0" fontId="0" fillId="5" borderId="22" xfId="0" applyFill="1" applyBorder="1"/>
    <xf numFmtId="0" fontId="28" fillId="0" borderId="30" xfId="0" applyFont="1" applyBorder="1" applyAlignment="1">
      <alignment horizontal="center"/>
    </xf>
    <xf numFmtId="0" fontId="28" fillId="0" borderId="0" xfId="0" applyFont="1" applyAlignment="1">
      <alignment horizontal="center"/>
    </xf>
    <xf numFmtId="0" fontId="20" fillId="0" borderId="0" xfId="0" applyFont="1" applyAlignment="1">
      <alignment horizontal="center" vertical="center" wrapText="1"/>
    </xf>
    <xf numFmtId="44" fontId="20" fillId="0" borderId="0" xfId="7" applyFont="1" applyBorder="1" applyAlignment="1">
      <alignment horizontal="center" vertical="center" wrapText="1"/>
    </xf>
    <xf numFmtId="44" fontId="0" fillId="0" borderId="26" xfId="7" applyFont="1" applyBorder="1" applyAlignment="1">
      <alignment horizontal="centerContinuous" wrapText="1"/>
    </xf>
    <xf numFmtId="0" fontId="20" fillId="0" borderId="0" xfId="0" applyFont="1"/>
    <xf numFmtId="0" fontId="35" fillId="0" borderId="0" xfId="0" applyFont="1" applyAlignment="1">
      <alignment horizontal="centerContinuous"/>
    </xf>
    <xf numFmtId="44" fontId="0" fillId="0" borderId="22" xfId="7" applyFont="1" applyBorder="1" applyAlignment="1">
      <alignment horizontal="centerContinuous" wrapText="1"/>
    </xf>
    <xf numFmtId="44" fontId="0" fillId="0" borderId="22" xfId="7" applyFont="1" applyBorder="1" applyAlignment="1">
      <alignment horizontal="centerContinuous"/>
    </xf>
    <xf numFmtId="44" fontId="0" fillId="0" borderId="26" xfId="7" applyFont="1" applyBorder="1" applyAlignment="1">
      <alignment horizontal="centerContinuous"/>
    </xf>
    <xf numFmtId="0" fontId="20" fillId="0" borderId="0" xfId="0" applyFont="1" applyAlignment="1">
      <alignment horizontal="centerContinuous"/>
    </xf>
    <xf numFmtId="0" fontId="0" fillId="0" borderId="27" xfId="0" applyBorder="1" applyAlignment="1">
      <alignment horizontal="centerContinuous"/>
    </xf>
    <xf numFmtId="44" fontId="0" fillId="0" borderId="29" xfId="0" applyNumberFormat="1" applyBorder="1" applyAlignment="1">
      <alignment horizontal="centerContinuous"/>
    </xf>
    <xf numFmtId="44" fontId="0" fillId="0" borderId="0" xfId="0" applyNumberFormat="1" applyAlignment="1">
      <alignment horizontal="centerContinuous"/>
    </xf>
    <xf numFmtId="0" fontId="30" fillId="0" borderId="0" xfId="0" applyFont="1" applyAlignment="1">
      <alignment horizontal="left"/>
    </xf>
    <xf numFmtId="0" fontId="28" fillId="0" borderId="0" xfId="0" quotePrefix="1" applyFont="1"/>
    <xf numFmtId="0" fontId="28" fillId="0" borderId="0" xfId="0" applyFont="1" applyAlignment="1">
      <alignment horizontal="left"/>
    </xf>
    <xf numFmtId="0" fontId="0" fillId="0" borderId="32" xfId="0" applyBorder="1"/>
    <xf numFmtId="0" fontId="0" fillId="0" borderId="25" xfId="0" applyBorder="1" applyAlignment="1">
      <alignment horizontal="center"/>
    </xf>
    <xf numFmtId="2" fontId="7" fillId="0" borderId="0" xfId="0" applyNumberFormat="1" applyFont="1" applyAlignment="1">
      <alignment horizontal="right"/>
    </xf>
    <xf numFmtId="0" fontId="7" fillId="4" borderId="5" xfId="0" applyFont="1" applyFill="1" applyBorder="1"/>
    <xf numFmtId="0" fontId="7" fillId="4" borderId="3" xfId="0" applyFont="1" applyFill="1" applyBorder="1"/>
    <xf numFmtId="2" fontId="7" fillId="4" borderId="5" xfId="0" applyNumberFormat="1" applyFont="1" applyFill="1" applyBorder="1" applyAlignment="1">
      <alignment horizontal="right"/>
    </xf>
    <xf numFmtId="0" fontId="20" fillId="4" borderId="0" xfId="6" applyFill="1"/>
    <xf numFmtId="0" fontId="16" fillId="0" borderId="7" xfId="0" applyFont="1" applyBorder="1" applyAlignment="1">
      <alignment horizontal="left"/>
    </xf>
    <xf numFmtId="0" fontId="16" fillId="0" borderId="8" xfId="0" applyFont="1" applyBorder="1" applyAlignment="1">
      <alignment horizontal="left"/>
    </xf>
    <xf numFmtId="0" fontId="16" fillId="0" borderId="0" xfId="0" applyFont="1" applyAlignment="1">
      <alignment horizontal="left"/>
    </xf>
    <xf numFmtId="22" fontId="8" fillId="0" borderId="0" xfId="0" applyNumberFormat="1" applyFont="1" applyAlignment="1">
      <alignment horizontal="left"/>
    </xf>
    <xf numFmtId="0" fontId="8" fillId="0" borderId="0" xfId="0" applyFont="1" applyAlignment="1">
      <alignment horizontal="center"/>
    </xf>
    <xf numFmtId="0" fontId="9" fillId="0" borderId="0" xfId="0" applyFont="1" applyAlignment="1">
      <alignment horizontal="center"/>
    </xf>
    <xf numFmtId="0" fontId="0" fillId="0" borderId="0" xfId="0"/>
    <xf numFmtId="0" fontId="10" fillId="0" borderId="0" xfId="0" applyFont="1" applyAlignment="1">
      <alignment horizontal="center"/>
    </xf>
    <xf numFmtId="0" fontId="11" fillId="0" borderId="0" xfId="2" applyAlignment="1">
      <alignment horizontal="center" wrapText="1"/>
    </xf>
    <xf numFmtId="0" fontId="12" fillId="0" borderId="0" xfId="0" applyFont="1" applyAlignment="1">
      <alignment horizontal="center"/>
    </xf>
    <xf numFmtId="0" fontId="7" fillId="4" borderId="0" xfId="0" applyFont="1" applyFill="1" applyAlignment="1">
      <alignment horizontal="left"/>
    </xf>
    <xf numFmtId="0" fontId="17" fillId="0" borderId="0" xfId="0" applyFont="1" applyAlignment="1">
      <alignment horizontal="left"/>
    </xf>
    <xf numFmtId="0" fontId="16" fillId="0" borderId="9" xfId="0" applyFont="1" applyBorder="1" applyAlignment="1">
      <alignment horizontal="left"/>
    </xf>
    <xf numFmtId="0" fontId="16" fillId="0" borderId="47" xfId="0" applyFont="1" applyBorder="1" applyAlignment="1">
      <alignment horizontal="left"/>
    </xf>
    <xf numFmtId="0" fontId="53" fillId="0" borderId="0" xfId="0" applyFont="1" applyAlignment="1">
      <alignment horizontal="left"/>
    </xf>
    <xf numFmtId="0" fontId="16" fillId="0" borderId="17" xfId="0" applyFont="1" applyBorder="1" applyAlignment="1">
      <alignment horizontal="left"/>
    </xf>
    <xf numFmtId="0" fontId="21" fillId="4" borderId="9" xfId="6" applyFont="1" applyFill="1" applyBorder="1" applyAlignment="1">
      <alignment horizontal="center"/>
    </xf>
    <xf numFmtId="0" fontId="21" fillId="4" borderId="4" xfId="6" applyFont="1" applyFill="1" applyBorder="1" applyAlignment="1">
      <alignment horizontal="center"/>
    </xf>
    <xf numFmtId="0" fontId="21" fillId="4" borderId="15" xfId="6" applyFont="1" applyFill="1" applyBorder="1" applyAlignment="1">
      <alignment horizontal="center"/>
    </xf>
    <xf numFmtId="0" fontId="23" fillId="0" borderId="16" xfId="0" applyFont="1" applyBorder="1" applyAlignment="1">
      <alignment horizontal="center"/>
    </xf>
    <xf numFmtId="0" fontId="23" fillId="0" borderId="0" xfId="0" applyFont="1" applyAlignment="1">
      <alignment horizontal="center"/>
    </xf>
    <xf numFmtId="0" fontId="23" fillId="0" borderId="17" xfId="0" applyFont="1" applyBorder="1" applyAlignment="1">
      <alignment horizontal="center"/>
    </xf>
    <xf numFmtId="0" fontId="25" fillId="0" borderId="16" xfId="0" applyFont="1" applyBorder="1" applyAlignment="1">
      <alignment horizontal="center"/>
    </xf>
    <xf numFmtId="0" fontId="25" fillId="0" borderId="0" xfId="0" applyFont="1" applyAlignment="1">
      <alignment horizontal="center"/>
    </xf>
    <xf numFmtId="0" fontId="25" fillId="0" borderId="17" xfId="0" applyFont="1" applyBorder="1" applyAlignment="1">
      <alignment horizontal="center"/>
    </xf>
    <xf numFmtId="0" fontId="27" fillId="0" borderId="16" xfId="0" applyFont="1" applyBorder="1" applyAlignment="1">
      <alignment horizontal="center"/>
    </xf>
    <xf numFmtId="0" fontId="27" fillId="0" borderId="0" xfId="0" applyFont="1" applyAlignment="1">
      <alignment horizontal="center"/>
    </xf>
    <xf numFmtId="0" fontId="27" fillId="0" borderId="17" xfId="0" applyFont="1" applyBorder="1" applyAlignment="1">
      <alignment horizontal="center"/>
    </xf>
    <xf numFmtId="0" fontId="1" fillId="0" borderId="0" xfId="0" applyFont="1" applyAlignment="1">
      <alignment horizontal="center"/>
    </xf>
  </cellXfs>
  <cellStyles count="1646">
    <cellStyle name="Comma" xfId="1" builtinId="3"/>
    <cellStyle name="Currency 2" xfId="7" xr:uid="{00000000-0005-0000-0000-000001000000}"/>
    <cellStyle name="Followed Hyperlink" xfId="3" builtinId="9" hidden="1"/>
    <cellStyle name="Followed Hyperlink" xfId="4" builtinId="9" hidden="1"/>
    <cellStyle name="Followed Hyperlink" xfId="5"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2"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Followed Hyperlink" xfId="77" builtinId="9" hidden="1"/>
    <cellStyle name="Followed Hyperlink" xfId="78" builtinId="9" hidden="1"/>
    <cellStyle name="Followed Hyperlink" xfId="79" builtinId="9" hidden="1"/>
    <cellStyle name="Followed Hyperlink" xfId="80" builtinId="9" hidden="1"/>
    <cellStyle name="Followed Hyperlink" xfId="81" builtinId="9" hidden="1"/>
    <cellStyle name="Followed Hyperlink" xfId="82" builtinId="9" hidden="1"/>
    <cellStyle name="Followed Hyperlink" xfId="83" builtinId="9" hidden="1"/>
    <cellStyle name="Followed Hyperlink" xfId="84" builtinId="9" hidden="1"/>
    <cellStyle name="Followed Hyperlink" xfId="85" builtinId="9" hidden="1"/>
    <cellStyle name="Followed Hyperlink" xfId="86" builtinId="9" hidden="1"/>
    <cellStyle name="Followed Hyperlink" xfId="87" builtinId="9" hidden="1"/>
    <cellStyle name="Followed Hyperlink" xfId="88" builtinId="9" hidden="1"/>
    <cellStyle name="Followed Hyperlink" xfId="89" builtinId="9" hidden="1"/>
    <cellStyle name="Followed Hyperlink" xfId="90" builtinId="9" hidden="1"/>
    <cellStyle name="Followed Hyperlink" xfId="91" builtinId="9" hidden="1"/>
    <cellStyle name="Followed Hyperlink" xfId="92" builtinId="9" hidden="1"/>
    <cellStyle name="Followed Hyperlink" xfId="93" builtinId="9" hidden="1"/>
    <cellStyle name="Followed Hyperlink" xfId="94" builtinId="9" hidden="1"/>
    <cellStyle name="Followed Hyperlink" xfId="95" builtinId="9" hidden="1"/>
    <cellStyle name="Followed Hyperlink" xfId="96" builtinId="9" hidden="1"/>
    <cellStyle name="Followed Hyperlink" xfId="97" builtinId="9" hidden="1"/>
    <cellStyle name="Followed Hyperlink" xfId="98" builtinId="9" hidden="1"/>
    <cellStyle name="Followed Hyperlink" xfId="99" builtinId="9" hidden="1"/>
    <cellStyle name="Followed Hyperlink" xfId="100" builtinId="9" hidden="1"/>
    <cellStyle name="Followed Hyperlink" xfId="101" builtinId="9" hidden="1"/>
    <cellStyle name="Followed Hyperlink" xfId="102" builtinId="9" hidden="1"/>
    <cellStyle name="Followed Hyperlink" xfId="103" builtinId="9" hidden="1"/>
    <cellStyle name="Followed Hyperlink" xfId="104" builtinId="9" hidden="1"/>
    <cellStyle name="Followed Hyperlink" xfId="105" builtinId="9" hidden="1"/>
    <cellStyle name="Followed Hyperlink" xfId="106" builtinId="9" hidden="1"/>
    <cellStyle name="Followed Hyperlink" xfId="107" builtinId="9" hidden="1"/>
    <cellStyle name="Followed Hyperlink" xfId="108" builtinId="9" hidden="1"/>
    <cellStyle name="Followed Hyperlink" xfId="109" builtinId="9" hidden="1"/>
    <cellStyle name="Followed Hyperlink" xfId="110" builtinId="9" hidden="1"/>
    <cellStyle name="Followed Hyperlink" xfId="111" builtinId="9" hidden="1"/>
    <cellStyle name="Followed Hyperlink" xfId="112" builtinId="9" hidden="1"/>
    <cellStyle name="Followed Hyperlink" xfId="113" builtinId="9" hidden="1"/>
    <cellStyle name="Followed Hyperlink" xfId="114" builtinId="9" hidden="1"/>
    <cellStyle name="Followed Hyperlink" xfId="115" builtinId="9" hidden="1"/>
    <cellStyle name="Followed Hyperlink" xfId="116" builtinId="9" hidden="1"/>
    <cellStyle name="Followed Hyperlink" xfId="117" builtinId="9" hidden="1"/>
    <cellStyle name="Followed Hyperlink" xfId="118" builtinId="9" hidden="1"/>
    <cellStyle name="Followed Hyperlink" xfId="119" builtinId="9" hidden="1"/>
    <cellStyle name="Followed Hyperlink" xfId="120" builtinId="9" hidden="1"/>
    <cellStyle name="Followed Hyperlink" xfId="121" builtinId="9" hidden="1"/>
    <cellStyle name="Followed Hyperlink" xfId="122" builtinId="9" hidden="1"/>
    <cellStyle name="Followed Hyperlink" xfId="123" builtinId="9" hidden="1"/>
    <cellStyle name="Followed Hyperlink" xfId="124" builtinId="9" hidden="1"/>
    <cellStyle name="Followed Hyperlink" xfId="125" builtinId="9" hidden="1"/>
    <cellStyle name="Followed Hyperlink" xfId="126" builtinId="9" hidden="1"/>
    <cellStyle name="Followed Hyperlink" xfId="127" builtinId="9" hidden="1"/>
    <cellStyle name="Followed Hyperlink" xfId="128" builtinId="9" hidden="1"/>
    <cellStyle name="Followed Hyperlink" xfId="129" builtinId="9" hidden="1"/>
    <cellStyle name="Followed Hyperlink" xfId="130" builtinId="9" hidden="1"/>
    <cellStyle name="Followed Hyperlink" xfId="131" builtinId="9" hidden="1"/>
    <cellStyle name="Followed Hyperlink" xfId="132" builtinId="9" hidden="1"/>
    <cellStyle name="Followed Hyperlink" xfId="133" builtinId="9" hidden="1"/>
    <cellStyle name="Followed Hyperlink" xfId="134" builtinId="9" hidden="1"/>
    <cellStyle name="Followed Hyperlink" xfId="135" builtinId="9" hidden="1"/>
    <cellStyle name="Followed Hyperlink" xfId="136" builtinId="9" hidden="1"/>
    <cellStyle name="Followed Hyperlink" xfId="137" builtinId="9" hidden="1"/>
    <cellStyle name="Followed Hyperlink" xfId="138" builtinId="9" hidden="1"/>
    <cellStyle name="Followed Hyperlink" xfId="139" builtinId="9" hidden="1"/>
    <cellStyle name="Followed Hyperlink" xfId="140" builtinId="9" hidden="1"/>
    <cellStyle name="Followed Hyperlink" xfId="141" builtinId="9" hidden="1"/>
    <cellStyle name="Followed Hyperlink" xfId="142" builtinId="9" hidden="1"/>
    <cellStyle name="Followed Hyperlink" xfId="143" builtinId="9" hidden="1"/>
    <cellStyle name="Followed Hyperlink" xfId="144" builtinId="9" hidden="1"/>
    <cellStyle name="Followed Hyperlink" xfId="145" builtinId="9" hidden="1"/>
    <cellStyle name="Followed Hyperlink" xfId="146" builtinId="9" hidden="1"/>
    <cellStyle name="Followed Hyperlink" xfId="147" builtinId="9" hidden="1"/>
    <cellStyle name="Followed Hyperlink" xfId="148" builtinId="9" hidden="1"/>
    <cellStyle name="Followed Hyperlink" xfId="149" builtinId="9" hidden="1"/>
    <cellStyle name="Followed Hyperlink" xfId="150" builtinId="9" hidden="1"/>
    <cellStyle name="Followed Hyperlink" xfId="151" builtinId="9" hidden="1"/>
    <cellStyle name="Followed Hyperlink" xfId="152" builtinId="9" hidden="1"/>
    <cellStyle name="Followed Hyperlink" xfId="153" builtinId="9" hidden="1"/>
    <cellStyle name="Followed Hyperlink" xfId="154" builtinId="9" hidden="1"/>
    <cellStyle name="Followed Hyperlink" xfId="155" builtinId="9" hidden="1"/>
    <cellStyle name="Followed Hyperlink" xfId="156" builtinId="9" hidden="1"/>
    <cellStyle name="Followed Hyperlink" xfId="157" builtinId="9" hidden="1"/>
    <cellStyle name="Followed Hyperlink" xfId="158" builtinId="9" hidden="1"/>
    <cellStyle name="Followed Hyperlink" xfId="159" builtinId="9" hidden="1"/>
    <cellStyle name="Followed Hyperlink" xfId="160" builtinId="9" hidden="1"/>
    <cellStyle name="Followed Hyperlink" xfId="161" builtinId="9" hidden="1"/>
    <cellStyle name="Followed Hyperlink" xfId="162" builtinId="9" hidden="1"/>
    <cellStyle name="Followed Hyperlink" xfId="163" builtinId="9" hidden="1"/>
    <cellStyle name="Followed Hyperlink" xfId="164" builtinId="9" hidden="1"/>
    <cellStyle name="Followed Hyperlink" xfId="165" builtinId="9" hidden="1"/>
    <cellStyle name="Followed Hyperlink" xfId="166" builtinId="9" hidden="1"/>
    <cellStyle name="Followed Hyperlink" xfId="167" builtinId="9" hidden="1"/>
    <cellStyle name="Followed Hyperlink" xfId="168" builtinId="9" hidden="1"/>
    <cellStyle name="Followed Hyperlink" xfId="169" builtinId="9" hidden="1"/>
    <cellStyle name="Followed Hyperlink" xfId="170" builtinId="9" hidden="1"/>
    <cellStyle name="Followed Hyperlink" xfId="171" builtinId="9" hidden="1"/>
    <cellStyle name="Followed Hyperlink" xfId="172" builtinId="9" hidden="1"/>
    <cellStyle name="Followed Hyperlink" xfId="173" builtinId="9" hidden="1"/>
    <cellStyle name="Followed Hyperlink" xfId="174" builtinId="9" hidden="1"/>
    <cellStyle name="Followed Hyperlink" xfId="175" builtinId="9" hidden="1"/>
    <cellStyle name="Followed Hyperlink" xfId="176" builtinId="9" hidden="1"/>
    <cellStyle name="Followed Hyperlink" xfId="177" builtinId="9" hidden="1"/>
    <cellStyle name="Followed Hyperlink" xfId="178" builtinId="9" hidden="1"/>
    <cellStyle name="Followed Hyperlink" xfId="179" builtinId="9" hidden="1"/>
    <cellStyle name="Followed Hyperlink" xfId="180" builtinId="9" hidden="1"/>
    <cellStyle name="Followed Hyperlink" xfId="181" builtinId="9" hidden="1"/>
    <cellStyle name="Followed Hyperlink" xfId="182" builtinId="9" hidden="1"/>
    <cellStyle name="Followed Hyperlink" xfId="183" builtinId="9" hidden="1"/>
    <cellStyle name="Followed Hyperlink" xfId="184" builtinId="9" hidden="1"/>
    <cellStyle name="Followed Hyperlink" xfId="185" builtinId="9" hidden="1"/>
    <cellStyle name="Followed Hyperlink" xfId="186" builtinId="9" hidden="1"/>
    <cellStyle name="Followed Hyperlink" xfId="187" builtinId="9" hidden="1"/>
    <cellStyle name="Followed Hyperlink" xfId="188" builtinId="9" hidden="1"/>
    <cellStyle name="Followed Hyperlink" xfId="189" builtinId="9" hidden="1"/>
    <cellStyle name="Followed Hyperlink" xfId="190" builtinId="9" hidden="1"/>
    <cellStyle name="Followed Hyperlink" xfId="191" builtinId="9" hidden="1"/>
    <cellStyle name="Followed Hyperlink" xfId="192" builtinId="9" hidden="1"/>
    <cellStyle name="Followed Hyperlink" xfId="193" builtinId="9" hidden="1"/>
    <cellStyle name="Followed Hyperlink" xfId="194" builtinId="9" hidden="1"/>
    <cellStyle name="Followed Hyperlink" xfId="195" builtinId="9" hidden="1"/>
    <cellStyle name="Followed Hyperlink" xfId="196" builtinId="9" hidden="1"/>
    <cellStyle name="Followed Hyperlink" xfId="197" builtinId="9" hidden="1"/>
    <cellStyle name="Followed Hyperlink" xfId="198" builtinId="9" hidden="1"/>
    <cellStyle name="Followed Hyperlink" xfId="199" builtinId="9" hidden="1"/>
    <cellStyle name="Followed Hyperlink" xfId="200" builtinId="9" hidden="1"/>
    <cellStyle name="Followed Hyperlink" xfId="201" builtinId="9" hidden="1"/>
    <cellStyle name="Followed Hyperlink" xfId="202" builtinId="9" hidden="1"/>
    <cellStyle name="Followed Hyperlink" xfId="203" builtinId="9" hidden="1"/>
    <cellStyle name="Followed Hyperlink" xfId="204" builtinId="9" hidden="1"/>
    <cellStyle name="Followed Hyperlink" xfId="205" builtinId="9" hidden="1"/>
    <cellStyle name="Followed Hyperlink" xfId="206" builtinId="9" hidden="1"/>
    <cellStyle name="Followed Hyperlink" xfId="207" builtinId="9" hidden="1"/>
    <cellStyle name="Followed Hyperlink" xfId="208" builtinId="9" hidden="1"/>
    <cellStyle name="Followed Hyperlink" xfId="209" builtinId="9" hidden="1"/>
    <cellStyle name="Followed Hyperlink" xfId="210" builtinId="9" hidden="1"/>
    <cellStyle name="Followed Hyperlink" xfId="211" builtinId="9" hidden="1"/>
    <cellStyle name="Followed Hyperlink" xfId="212" builtinId="9" hidden="1"/>
    <cellStyle name="Followed Hyperlink" xfId="213" builtinId="9" hidden="1"/>
    <cellStyle name="Followed Hyperlink" xfId="214" builtinId="9" hidden="1"/>
    <cellStyle name="Followed Hyperlink" xfId="215" builtinId="9" hidden="1"/>
    <cellStyle name="Followed Hyperlink" xfId="216" builtinId="9" hidden="1"/>
    <cellStyle name="Followed Hyperlink" xfId="217" builtinId="9" hidden="1"/>
    <cellStyle name="Followed Hyperlink" xfId="218" builtinId="9" hidden="1"/>
    <cellStyle name="Followed Hyperlink" xfId="219" builtinId="9" hidden="1"/>
    <cellStyle name="Followed Hyperlink" xfId="220" builtinId="9" hidden="1"/>
    <cellStyle name="Followed Hyperlink" xfId="221" builtinId="9" hidden="1"/>
    <cellStyle name="Followed Hyperlink" xfId="222" builtinId="9" hidden="1"/>
    <cellStyle name="Followed Hyperlink" xfId="223" builtinId="9" hidden="1"/>
    <cellStyle name="Followed Hyperlink" xfId="224" builtinId="9" hidden="1"/>
    <cellStyle name="Followed Hyperlink" xfId="225" builtinId="9" hidden="1"/>
    <cellStyle name="Followed Hyperlink" xfId="226" builtinId="9" hidden="1"/>
    <cellStyle name="Followed Hyperlink" xfId="227" builtinId="9" hidden="1"/>
    <cellStyle name="Followed Hyperlink" xfId="228" builtinId="9" hidden="1"/>
    <cellStyle name="Followed Hyperlink" xfId="229" builtinId="9" hidden="1"/>
    <cellStyle name="Followed Hyperlink" xfId="230" builtinId="9" hidden="1"/>
    <cellStyle name="Followed Hyperlink" xfId="231" builtinId="9" hidden="1"/>
    <cellStyle name="Followed Hyperlink" xfId="232" builtinId="9" hidden="1"/>
    <cellStyle name="Followed Hyperlink" xfId="233" builtinId="9" hidden="1"/>
    <cellStyle name="Followed Hyperlink" xfId="234" builtinId="9" hidden="1"/>
    <cellStyle name="Followed Hyperlink" xfId="235" builtinId="9" hidden="1"/>
    <cellStyle name="Followed Hyperlink" xfId="236" builtinId="9" hidden="1"/>
    <cellStyle name="Followed Hyperlink" xfId="237" builtinId="9" hidden="1"/>
    <cellStyle name="Followed Hyperlink" xfId="238" builtinId="9" hidden="1"/>
    <cellStyle name="Followed Hyperlink" xfId="239" builtinId="9" hidden="1"/>
    <cellStyle name="Followed Hyperlink" xfId="240" builtinId="9" hidden="1"/>
    <cellStyle name="Followed Hyperlink" xfId="241" builtinId="9" hidden="1"/>
    <cellStyle name="Followed Hyperlink" xfId="242" builtinId="9" hidden="1"/>
    <cellStyle name="Followed Hyperlink" xfId="243" builtinId="9" hidden="1"/>
    <cellStyle name="Followed Hyperlink" xfId="244" builtinId="9" hidden="1"/>
    <cellStyle name="Followed Hyperlink" xfId="245" builtinId="9" hidden="1"/>
    <cellStyle name="Followed Hyperlink" xfId="246" builtinId="9" hidden="1"/>
    <cellStyle name="Followed Hyperlink" xfId="247" builtinId="9" hidden="1"/>
    <cellStyle name="Followed Hyperlink" xfId="248" builtinId="9" hidden="1"/>
    <cellStyle name="Followed Hyperlink" xfId="249" builtinId="9" hidden="1"/>
    <cellStyle name="Followed Hyperlink" xfId="250" builtinId="9" hidden="1"/>
    <cellStyle name="Followed Hyperlink" xfId="251" builtinId="9" hidden="1"/>
    <cellStyle name="Followed Hyperlink" xfId="252" builtinId="9" hidden="1"/>
    <cellStyle name="Followed Hyperlink" xfId="253" builtinId="9" hidden="1"/>
    <cellStyle name="Followed Hyperlink" xfId="254" builtinId="9" hidden="1"/>
    <cellStyle name="Followed Hyperlink" xfId="255" builtinId="9" hidden="1"/>
    <cellStyle name="Followed Hyperlink" xfId="256" builtinId="9" hidden="1"/>
    <cellStyle name="Followed Hyperlink" xfId="257" builtinId="9" hidden="1"/>
    <cellStyle name="Followed Hyperlink" xfId="258" builtinId="9" hidden="1"/>
    <cellStyle name="Followed Hyperlink" xfId="259" builtinId="9" hidden="1"/>
    <cellStyle name="Followed Hyperlink" xfId="260" builtinId="9" hidden="1"/>
    <cellStyle name="Followed Hyperlink" xfId="261" builtinId="9" hidden="1"/>
    <cellStyle name="Followed Hyperlink" xfId="262" builtinId="9" hidden="1"/>
    <cellStyle name="Followed Hyperlink" xfId="263" builtinId="9" hidden="1"/>
    <cellStyle name="Followed Hyperlink" xfId="264" builtinId="9" hidden="1"/>
    <cellStyle name="Followed Hyperlink" xfId="265" builtinId="9" hidden="1"/>
    <cellStyle name="Followed Hyperlink" xfId="266" builtinId="9" hidden="1"/>
    <cellStyle name="Followed Hyperlink" xfId="267" builtinId="9" hidden="1"/>
    <cellStyle name="Followed Hyperlink" xfId="268" builtinId="9" hidden="1"/>
    <cellStyle name="Followed Hyperlink" xfId="269" builtinId="9" hidden="1"/>
    <cellStyle name="Followed Hyperlink" xfId="270" builtinId="9" hidden="1"/>
    <cellStyle name="Followed Hyperlink" xfId="271" builtinId="9" hidden="1"/>
    <cellStyle name="Followed Hyperlink" xfId="272" builtinId="9" hidden="1"/>
    <cellStyle name="Followed Hyperlink" xfId="273" builtinId="9" hidden="1"/>
    <cellStyle name="Followed Hyperlink" xfId="274" builtinId="9" hidden="1"/>
    <cellStyle name="Followed Hyperlink" xfId="275" builtinId="9" hidden="1"/>
    <cellStyle name="Followed Hyperlink" xfId="276" builtinId="9" hidden="1"/>
    <cellStyle name="Followed Hyperlink" xfId="277" builtinId="9" hidden="1"/>
    <cellStyle name="Followed Hyperlink" xfId="278" builtinId="9" hidden="1"/>
    <cellStyle name="Followed Hyperlink" xfId="279" builtinId="9" hidden="1"/>
    <cellStyle name="Followed Hyperlink" xfId="280" builtinId="9" hidden="1"/>
    <cellStyle name="Followed Hyperlink" xfId="281" builtinId="9" hidden="1"/>
    <cellStyle name="Followed Hyperlink" xfId="282" builtinId="9" hidden="1"/>
    <cellStyle name="Followed Hyperlink" xfId="283" builtinId="9" hidden="1"/>
    <cellStyle name="Followed Hyperlink" xfId="284" builtinId="9" hidden="1"/>
    <cellStyle name="Followed Hyperlink" xfId="285" builtinId="9" hidden="1"/>
    <cellStyle name="Followed Hyperlink" xfId="286" builtinId="9" hidden="1"/>
    <cellStyle name="Followed Hyperlink" xfId="287" builtinId="9" hidden="1"/>
    <cellStyle name="Followed Hyperlink" xfId="288" builtinId="9" hidden="1"/>
    <cellStyle name="Followed Hyperlink" xfId="289" builtinId="9" hidden="1"/>
    <cellStyle name="Followed Hyperlink" xfId="290" builtinId="9" hidden="1"/>
    <cellStyle name="Followed Hyperlink" xfId="291" builtinId="9" hidden="1"/>
    <cellStyle name="Followed Hyperlink" xfId="292" builtinId="9" hidden="1"/>
    <cellStyle name="Followed Hyperlink" xfId="293" builtinId="9" hidden="1"/>
    <cellStyle name="Followed Hyperlink" xfId="294" builtinId="9" hidden="1"/>
    <cellStyle name="Followed Hyperlink" xfId="295" builtinId="9" hidden="1"/>
    <cellStyle name="Followed Hyperlink" xfId="296" builtinId="9" hidden="1"/>
    <cellStyle name="Followed Hyperlink" xfId="297" builtinId="9" hidden="1"/>
    <cellStyle name="Followed Hyperlink" xfId="298" builtinId="9" hidden="1"/>
    <cellStyle name="Followed Hyperlink" xfId="299" builtinId="9" hidden="1"/>
    <cellStyle name="Followed Hyperlink" xfId="300" builtinId="9" hidden="1"/>
    <cellStyle name="Followed Hyperlink" xfId="301" builtinId="9" hidden="1"/>
    <cellStyle name="Followed Hyperlink" xfId="302" builtinId="9" hidden="1"/>
    <cellStyle name="Followed Hyperlink" xfId="303" builtinId="9" hidden="1"/>
    <cellStyle name="Followed Hyperlink" xfId="304" builtinId="9" hidden="1"/>
    <cellStyle name="Followed Hyperlink" xfId="305" builtinId="9" hidden="1"/>
    <cellStyle name="Followed Hyperlink" xfId="306" builtinId="9" hidden="1"/>
    <cellStyle name="Followed Hyperlink" xfId="307" builtinId="9" hidden="1"/>
    <cellStyle name="Followed Hyperlink" xfId="308" builtinId="9" hidden="1"/>
    <cellStyle name="Followed Hyperlink" xfId="309" builtinId="9" hidden="1"/>
    <cellStyle name="Followed Hyperlink" xfId="310" builtinId="9" hidden="1"/>
    <cellStyle name="Followed Hyperlink" xfId="311" builtinId="9" hidden="1"/>
    <cellStyle name="Followed Hyperlink" xfId="312" builtinId="9" hidden="1"/>
    <cellStyle name="Followed Hyperlink" xfId="313" builtinId="9" hidden="1"/>
    <cellStyle name="Followed Hyperlink" xfId="314" builtinId="9" hidden="1"/>
    <cellStyle name="Followed Hyperlink" xfId="315" builtinId="9" hidden="1"/>
    <cellStyle name="Followed Hyperlink" xfId="316" builtinId="9" hidden="1"/>
    <cellStyle name="Followed Hyperlink" xfId="317" builtinId="9" hidden="1"/>
    <cellStyle name="Followed Hyperlink" xfId="318" builtinId="9" hidden="1"/>
    <cellStyle name="Followed Hyperlink" xfId="319" builtinId="9" hidden="1"/>
    <cellStyle name="Followed Hyperlink" xfId="320" builtinId="9" hidden="1"/>
    <cellStyle name="Followed Hyperlink" xfId="321" builtinId="9" hidden="1"/>
    <cellStyle name="Followed Hyperlink" xfId="322" builtinId="9" hidden="1"/>
    <cellStyle name="Followed Hyperlink" xfId="323" builtinId="9" hidden="1"/>
    <cellStyle name="Followed Hyperlink" xfId="324" builtinId="9" hidden="1"/>
    <cellStyle name="Followed Hyperlink" xfId="325" builtinId="9" hidden="1"/>
    <cellStyle name="Followed Hyperlink" xfId="326" builtinId="9" hidden="1"/>
    <cellStyle name="Followed Hyperlink" xfId="327" builtinId="9" hidden="1"/>
    <cellStyle name="Followed Hyperlink" xfId="328" builtinId="9" hidden="1"/>
    <cellStyle name="Followed Hyperlink" xfId="329" builtinId="9" hidden="1"/>
    <cellStyle name="Followed Hyperlink" xfId="330" builtinId="9" hidden="1"/>
    <cellStyle name="Followed Hyperlink" xfId="331" builtinId="9" hidden="1"/>
    <cellStyle name="Followed Hyperlink" xfId="332" builtinId="9" hidden="1"/>
    <cellStyle name="Followed Hyperlink" xfId="333" builtinId="9" hidden="1"/>
    <cellStyle name="Followed Hyperlink" xfId="334" builtinId="9" hidden="1"/>
    <cellStyle name="Followed Hyperlink" xfId="335" builtinId="9" hidden="1"/>
    <cellStyle name="Followed Hyperlink" xfId="336" builtinId="9" hidden="1"/>
    <cellStyle name="Followed Hyperlink" xfId="337" builtinId="9" hidden="1"/>
    <cellStyle name="Followed Hyperlink" xfId="338" builtinId="9" hidden="1"/>
    <cellStyle name="Followed Hyperlink" xfId="339" builtinId="9" hidden="1"/>
    <cellStyle name="Followed Hyperlink" xfId="340" builtinId="9" hidden="1"/>
    <cellStyle name="Followed Hyperlink" xfId="341" builtinId="9" hidden="1"/>
    <cellStyle name="Followed Hyperlink" xfId="342" builtinId="9" hidden="1"/>
    <cellStyle name="Followed Hyperlink" xfId="343" builtinId="9" hidden="1"/>
    <cellStyle name="Followed Hyperlink" xfId="344" builtinId="9" hidden="1"/>
    <cellStyle name="Followed Hyperlink" xfId="345" builtinId="9" hidden="1"/>
    <cellStyle name="Followed Hyperlink" xfId="346" builtinId="9" hidden="1"/>
    <cellStyle name="Followed Hyperlink" xfId="347" builtinId="9" hidden="1"/>
    <cellStyle name="Followed Hyperlink" xfId="348" builtinId="9" hidden="1"/>
    <cellStyle name="Followed Hyperlink" xfId="349" builtinId="9" hidden="1"/>
    <cellStyle name="Followed Hyperlink" xfId="350" builtinId="9" hidden="1"/>
    <cellStyle name="Followed Hyperlink" xfId="351" builtinId="9" hidden="1"/>
    <cellStyle name="Followed Hyperlink" xfId="352" builtinId="9" hidden="1"/>
    <cellStyle name="Followed Hyperlink" xfId="353" builtinId="9" hidden="1"/>
    <cellStyle name="Followed Hyperlink" xfId="354" builtinId="9" hidden="1"/>
    <cellStyle name="Followed Hyperlink" xfId="355" builtinId="9" hidden="1"/>
    <cellStyle name="Followed Hyperlink" xfId="356" builtinId="9" hidden="1"/>
    <cellStyle name="Followed Hyperlink" xfId="357" builtinId="9" hidden="1"/>
    <cellStyle name="Followed Hyperlink" xfId="358" builtinId="9" hidden="1"/>
    <cellStyle name="Followed Hyperlink" xfId="359" builtinId="9" hidden="1"/>
    <cellStyle name="Followed Hyperlink" xfId="360" builtinId="9" hidden="1"/>
    <cellStyle name="Followed Hyperlink" xfId="361" builtinId="9" hidden="1"/>
    <cellStyle name="Followed Hyperlink" xfId="362" builtinId="9" hidden="1"/>
    <cellStyle name="Followed Hyperlink" xfId="363" builtinId="9" hidden="1"/>
    <cellStyle name="Followed Hyperlink" xfId="364" builtinId="9" hidden="1"/>
    <cellStyle name="Followed Hyperlink" xfId="365" builtinId="9" hidden="1"/>
    <cellStyle name="Followed Hyperlink" xfId="366" builtinId="9" hidden="1"/>
    <cellStyle name="Followed Hyperlink" xfId="367" builtinId="9" hidden="1"/>
    <cellStyle name="Followed Hyperlink" xfId="368" builtinId="9" hidden="1"/>
    <cellStyle name="Followed Hyperlink" xfId="369" builtinId="9" hidden="1"/>
    <cellStyle name="Followed Hyperlink" xfId="370" builtinId="9" hidden="1"/>
    <cellStyle name="Followed Hyperlink" xfId="371" builtinId="9" hidden="1"/>
    <cellStyle name="Followed Hyperlink" xfId="372" builtinId="9" hidden="1"/>
    <cellStyle name="Followed Hyperlink" xfId="373" builtinId="9" hidden="1"/>
    <cellStyle name="Followed Hyperlink" xfId="374" builtinId="9" hidden="1"/>
    <cellStyle name="Followed Hyperlink" xfId="375" builtinId="9" hidden="1"/>
    <cellStyle name="Followed Hyperlink" xfId="376" builtinId="9" hidden="1"/>
    <cellStyle name="Followed Hyperlink" xfId="377" builtinId="9" hidden="1"/>
    <cellStyle name="Followed Hyperlink" xfId="378" builtinId="9" hidden="1"/>
    <cellStyle name="Followed Hyperlink" xfId="379" builtinId="9" hidden="1"/>
    <cellStyle name="Followed Hyperlink" xfId="380" builtinId="9" hidden="1"/>
    <cellStyle name="Followed Hyperlink" xfId="381" builtinId="9" hidden="1"/>
    <cellStyle name="Followed Hyperlink" xfId="382" builtinId="9" hidden="1"/>
    <cellStyle name="Followed Hyperlink" xfId="383" builtinId="9" hidden="1"/>
    <cellStyle name="Followed Hyperlink" xfId="384" builtinId="9" hidden="1"/>
    <cellStyle name="Followed Hyperlink" xfId="385" builtinId="9" hidden="1"/>
    <cellStyle name="Followed Hyperlink" xfId="386" builtinId="9" hidden="1"/>
    <cellStyle name="Followed Hyperlink" xfId="387" builtinId="9" hidden="1"/>
    <cellStyle name="Followed Hyperlink" xfId="388" builtinId="9" hidden="1"/>
    <cellStyle name="Followed Hyperlink" xfId="389" builtinId="9" hidden="1"/>
    <cellStyle name="Followed Hyperlink" xfId="390" builtinId="9" hidden="1"/>
    <cellStyle name="Followed Hyperlink" xfId="391" builtinId="9" hidden="1"/>
    <cellStyle name="Followed Hyperlink" xfId="392" builtinId="9" hidden="1"/>
    <cellStyle name="Followed Hyperlink" xfId="393" builtinId="9" hidden="1"/>
    <cellStyle name="Followed Hyperlink" xfId="394" builtinId="9" hidden="1"/>
    <cellStyle name="Followed Hyperlink" xfId="395" builtinId="9" hidden="1"/>
    <cellStyle name="Followed Hyperlink" xfId="396" builtinId="9" hidden="1"/>
    <cellStyle name="Followed Hyperlink" xfId="397" builtinId="9" hidden="1"/>
    <cellStyle name="Followed Hyperlink" xfId="398" builtinId="9" hidden="1"/>
    <cellStyle name="Followed Hyperlink" xfId="399" builtinId="9" hidden="1"/>
    <cellStyle name="Followed Hyperlink" xfId="400" builtinId="9" hidden="1"/>
    <cellStyle name="Followed Hyperlink" xfId="401" builtinId="9" hidden="1"/>
    <cellStyle name="Followed Hyperlink" xfId="402" builtinId="9" hidden="1"/>
    <cellStyle name="Followed Hyperlink" xfId="403" builtinId="9" hidden="1"/>
    <cellStyle name="Followed Hyperlink" xfId="404" builtinId="9" hidden="1"/>
    <cellStyle name="Followed Hyperlink" xfId="405" builtinId="9" hidden="1"/>
    <cellStyle name="Followed Hyperlink" xfId="406" builtinId="9" hidden="1"/>
    <cellStyle name="Followed Hyperlink" xfId="407" builtinId="9" hidden="1"/>
    <cellStyle name="Followed Hyperlink" xfId="408" builtinId="9" hidden="1"/>
    <cellStyle name="Followed Hyperlink" xfId="409" builtinId="9" hidden="1"/>
    <cellStyle name="Followed Hyperlink" xfId="410" builtinId="9" hidden="1"/>
    <cellStyle name="Followed Hyperlink" xfId="411" builtinId="9" hidden="1"/>
    <cellStyle name="Followed Hyperlink" xfId="412" builtinId="9" hidden="1"/>
    <cellStyle name="Followed Hyperlink" xfId="413" builtinId="9" hidden="1"/>
    <cellStyle name="Followed Hyperlink" xfId="414" builtinId="9" hidden="1"/>
    <cellStyle name="Followed Hyperlink" xfId="415" builtinId="9" hidden="1"/>
    <cellStyle name="Followed Hyperlink" xfId="416" builtinId="9" hidden="1"/>
    <cellStyle name="Followed Hyperlink" xfId="417" builtinId="9" hidden="1"/>
    <cellStyle name="Followed Hyperlink" xfId="418" builtinId="9" hidden="1"/>
    <cellStyle name="Followed Hyperlink" xfId="419" builtinId="9" hidden="1"/>
    <cellStyle name="Followed Hyperlink" xfId="420" builtinId="9" hidden="1"/>
    <cellStyle name="Followed Hyperlink" xfId="421" builtinId="9" hidden="1"/>
    <cellStyle name="Followed Hyperlink" xfId="422" builtinId="9" hidden="1"/>
    <cellStyle name="Followed Hyperlink" xfId="423" builtinId="9" hidden="1"/>
    <cellStyle name="Followed Hyperlink" xfId="424" builtinId="9" hidden="1"/>
    <cellStyle name="Followed Hyperlink" xfId="425" builtinId="9" hidden="1"/>
    <cellStyle name="Followed Hyperlink" xfId="426" builtinId="9" hidden="1"/>
    <cellStyle name="Followed Hyperlink" xfId="427" builtinId="9" hidden="1"/>
    <cellStyle name="Followed Hyperlink" xfId="428" builtinId="9" hidden="1"/>
    <cellStyle name="Followed Hyperlink" xfId="429" builtinId="9" hidden="1"/>
    <cellStyle name="Followed Hyperlink" xfId="430" builtinId="9" hidden="1"/>
    <cellStyle name="Followed Hyperlink" xfId="431" builtinId="9" hidden="1"/>
    <cellStyle name="Followed Hyperlink" xfId="432" builtinId="9" hidden="1"/>
    <cellStyle name="Followed Hyperlink" xfId="433" builtinId="9" hidden="1"/>
    <cellStyle name="Followed Hyperlink" xfId="434" builtinId="9" hidden="1"/>
    <cellStyle name="Followed Hyperlink" xfId="435" builtinId="9" hidden="1"/>
    <cellStyle name="Followed Hyperlink" xfId="436" builtinId="9" hidden="1"/>
    <cellStyle name="Followed Hyperlink" xfId="437" builtinId="9" hidden="1"/>
    <cellStyle name="Followed Hyperlink" xfId="438" builtinId="9" hidden="1"/>
    <cellStyle name="Followed Hyperlink" xfId="439" builtinId="9" hidden="1"/>
    <cellStyle name="Followed Hyperlink" xfId="440" builtinId="9" hidden="1"/>
    <cellStyle name="Followed Hyperlink" xfId="441" builtinId="9" hidden="1"/>
    <cellStyle name="Followed Hyperlink" xfId="442" builtinId="9" hidden="1"/>
    <cellStyle name="Followed Hyperlink" xfId="443" builtinId="9" hidden="1"/>
    <cellStyle name="Followed Hyperlink" xfId="444" builtinId="9" hidden="1"/>
    <cellStyle name="Followed Hyperlink" xfId="445" builtinId="9" hidden="1"/>
    <cellStyle name="Followed Hyperlink" xfId="446" builtinId="9" hidden="1"/>
    <cellStyle name="Followed Hyperlink" xfId="447" builtinId="9" hidden="1"/>
    <cellStyle name="Followed Hyperlink" xfId="448" builtinId="9" hidden="1"/>
    <cellStyle name="Followed Hyperlink" xfId="449" builtinId="9" hidden="1"/>
    <cellStyle name="Followed Hyperlink" xfId="450" builtinId="9" hidden="1"/>
    <cellStyle name="Followed Hyperlink" xfId="451" builtinId="9" hidden="1"/>
    <cellStyle name="Followed Hyperlink" xfId="452" builtinId="9" hidden="1"/>
    <cellStyle name="Followed Hyperlink" xfId="453" builtinId="9" hidden="1"/>
    <cellStyle name="Followed Hyperlink" xfId="454" builtinId="9" hidden="1"/>
    <cellStyle name="Followed Hyperlink" xfId="455" builtinId="9" hidden="1"/>
    <cellStyle name="Followed Hyperlink" xfId="456" builtinId="9" hidden="1"/>
    <cellStyle name="Followed Hyperlink" xfId="457" builtinId="9" hidden="1"/>
    <cellStyle name="Followed Hyperlink" xfId="458" builtinId="9" hidden="1"/>
    <cellStyle name="Followed Hyperlink" xfId="459" builtinId="9" hidden="1"/>
    <cellStyle name="Followed Hyperlink" xfId="460" builtinId="9" hidden="1"/>
    <cellStyle name="Followed Hyperlink" xfId="461" builtinId="9" hidden="1"/>
    <cellStyle name="Followed Hyperlink" xfId="462" builtinId="9" hidden="1"/>
    <cellStyle name="Followed Hyperlink" xfId="463" builtinId="9" hidden="1"/>
    <cellStyle name="Followed Hyperlink" xfId="464" builtinId="9" hidden="1"/>
    <cellStyle name="Followed Hyperlink" xfId="465" builtinId="9" hidden="1"/>
    <cellStyle name="Followed Hyperlink" xfId="466" builtinId="9" hidden="1"/>
    <cellStyle name="Followed Hyperlink" xfId="467" builtinId="9" hidden="1"/>
    <cellStyle name="Followed Hyperlink" xfId="468" builtinId="9" hidden="1"/>
    <cellStyle name="Followed Hyperlink" xfId="469" builtinId="9" hidden="1"/>
    <cellStyle name="Followed Hyperlink" xfId="470" builtinId="9" hidden="1"/>
    <cellStyle name="Followed Hyperlink" xfId="471" builtinId="9" hidden="1"/>
    <cellStyle name="Followed Hyperlink" xfId="472" builtinId="9" hidden="1"/>
    <cellStyle name="Followed Hyperlink" xfId="473" builtinId="9" hidden="1"/>
    <cellStyle name="Followed Hyperlink" xfId="474" builtinId="9" hidden="1"/>
    <cellStyle name="Followed Hyperlink" xfId="475" builtinId="9" hidden="1"/>
    <cellStyle name="Followed Hyperlink" xfId="476" builtinId="9" hidden="1"/>
    <cellStyle name="Followed Hyperlink" xfId="477" builtinId="9" hidden="1"/>
    <cellStyle name="Followed Hyperlink" xfId="478" builtinId="9" hidden="1"/>
    <cellStyle name="Followed Hyperlink" xfId="479" builtinId="9" hidden="1"/>
    <cellStyle name="Followed Hyperlink" xfId="480" builtinId="9" hidden="1"/>
    <cellStyle name="Followed Hyperlink" xfId="481" builtinId="9" hidden="1"/>
    <cellStyle name="Followed Hyperlink" xfId="482" builtinId="9" hidden="1"/>
    <cellStyle name="Followed Hyperlink" xfId="483" builtinId="9" hidden="1"/>
    <cellStyle name="Followed Hyperlink" xfId="484" builtinId="9" hidden="1"/>
    <cellStyle name="Followed Hyperlink" xfId="485" builtinId="9" hidden="1"/>
    <cellStyle name="Followed Hyperlink" xfId="486" builtinId="9" hidden="1"/>
    <cellStyle name="Followed Hyperlink" xfId="487" builtinId="9" hidden="1"/>
    <cellStyle name="Followed Hyperlink" xfId="488" builtinId="9" hidden="1"/>
    <cellStyle name="Followed Hyperlink" xfId="489" builtinId="9" hidden="1"/>
    <cellStyle name="Followed Hyperlink" xfId="490" builtinId="9" hidden="1"/>
    <cellStyle name="Followed Hyperlink" xfId="491" builtinId="9" hidden="1"/>
    <cellStyle name="Followed Hyperlink" xfId="492" builtinId="9" hidden="1"/>
    <cellStyle name="Followed Hyperlink" xfId="493" builtinId="9" hidden="1"/>
    <cellStyle name="Followed Hyperlink" xfId="494" builtinId="9" hidden="1"/>
    <cellStyle name="Followed Hyperlink" xfId="495" builtinId="9" hidden="1"/>
    <cellStyle name="Followed Hyperlink" xfId="496" builtinId="9" hidden="1"/>
    <cellStyle name="Followed Hyperlink" xfId="497" builtinId="9" hidden="1"/>
    <cellStyle name="Followed Hyperlink" xfId="498" builtinId="9" hidden="1"/>
    <cellStyle name="Followed Hyperlink" xfId="499" builtinId="9" hidden="1"/>
    <cellStyle name="Followed Hyperlink" xfId="500" builtinId="9" hidden="1"/>
    <cellStyle name="Followed Hyperlink" xfId="501" builtinId="9" hidden="1"/>
    <cellStyle name="Followed Hyperlink" xfId="502" builtinId="9" hidden="1"/>
    <cellStyle name="Followed Hyperlink" xfId="503" builtinId="9" hidden="1"/>
    <cellStyle name="Followed Hyperlink" xfId="504" builtinId="9" hidden="1"/>
    <cellStyle name="Followed Hyperlink" xfId="505" builtinId="9" hidden="1"/>
    <cellStyle name="Followed Hyperlink" xfId="506" builtinId="9" hidden="1"/>
    <cellStyle name="Followed Hyperlink" xfId="507" builtinId="9" hidden="1"/>
    <cellStyle name="Followed Hyperlink" xfId="508" builtinId="9" hidden="1"/>
    <cellStyle name="Followed Hyperlink" xfId="509" builtinId="9" hidden="1"/>
    <cellStyle name="Followed Hyperlink" xfId="510" builtinId="9" hidden="1"/>
    <cellStyle name="Followed Hyperlink" xfId="511" builtinId="9" hidden="1"/>
    <cellStyle name="Followed Hyperlink" xfId="512" builtinId="9" hidden="1"/>
    <cellStyle name="Followed Hyperlink" xfId="513" builtinId="9" hidden="1"/>
    <cellStyle name="Followed Hyperlink" xfId="514" builtinId="9" hidden="1"/>
    <cellStyle name="Followed Hyperlink" xfId="515" builtinId="9" hidden="1"/>
    <cellStyle name="Followed Hyperlink" xfId="516" builtinId="9" hidden="1"/>
    <cellStyle name="Followed Hyperlink" xfId="517" builtinId="9" hidden="1"/>
    <cellStyle name="Followed Hyperlink" xfId="518" builtinId="9" hidden="1"/>
    <cellStyle name="Followed Hyperlink" xfId="519" builtinId="9" hidden="1"/>
    <cellStyle name="Followed Hyperlink" xfId="520" builtinId="9" hidden="1"/>
    <cellStyle name="Followed Hyperlink" xfId="521" builtinId="9" hidden="1"/>
    <cellStyle name="Followed Hyperlink" xfId="522" builtinId="9" hidden="1"/>
    <cellStyle name="Followed Hyperlink" xfId="523" builtinId="9" hidden="1"/>
    <cellStyle name="Followed Hyperlink" xfId="524" builtinId="9" hidden="1"/>
    <cellStyle name="Followed Hyperlink" xfId="525" builtinId="9" hidden="1"/>
    <cellStyle name="Followed Hyperlink" xfId="526" builtinId="9" hidden="1"/>
    <cellStyle name="Followed Hyperlink" xfId="527" builtinId="9" hidden="1"/>
    <cellStyle name="Followed Hyperlink" xfId="528" builtinId="9" hidden="1"/>
    <cellStyle name="Followed Hyperlink" xfId="529" builtinId="9" hidden="1"/>
    <cellStyle name="Followed Hyperlink" xfId="530" builtinId="9" hidden="1"/>
    <cellStyle name="Followed Hyperlink" xfId="531" builtinId="9" hidden="1"/>
    <cellStyle name="Followed Hyperlink" xfId="532" builtinId="9" hidden="1"/>
    <cellStyle name="Followed Hyperlink" xfId="533" builtinId="9" hidden="1"/>
    <cellStyle name="Followed Hyperlink" xfId="534" builtinId="9" hidden="1"/>
    <cellStyle name="Followed Hyperlink" xfId="535" builtinId="9" hidden="1"/>
    <cellStyle name="Followed Hyperlink" xfId="536" builtinId="9" hidden="1"/>
    <cellStyle name="Followed Hyperlink" xfId="537" builtinId="9" hidden="1"/>
    <cellStyle name="Followed Hyperlink" xfId="538" builtinId="9" hidden="1"/>
    <cellStyle name="Followed Hyperlink" xfId="539" builtinId="9" hidden="1"/>
    <cellStyle name="Followed Hyperlink" xfId="540" builtinId="9" hidden="1"/>
    <cellStyle name="Followed Hyperlink" xfId="541" builtinId="9" hidden="1"/>
    <cellStyle name="Followed Hyperlink" xfId="542" builtinId="9" hidden="1"/>
    <cellStyle name="Followed Hyperlink" xfId="543" builtinId="9" hidden="1"/>
    <cellStyle name="Followed Hyperlink" xfId="544" builtinId="9" hidden="1"/>
    <cellStyle name="Followed Hyperlink" xfId="545" builtinId="9" hidden="1"/>
    <cellStyle name="Followed Hyperlink" xfId="546" builtinId="9" hidden="1"/>
    <cellStyle name="Followed Hyperlink" xfId="547" builtinId="9" hidden="1"/>
    <cellStyle name="Followed Hyperlink" xfId="548" builtinId="9" hidden="1"/>
    <cellStyle name="Followed Hyperlink" xfId="549" builtinId="9" hidden="1"/>
    <cellStyle name="Followed Hyperlink" xfId="550" builtinId="9" hidden="1"/>
    <cellStyle name="Followed Hyperlink" xfId="551" builtinId="9" hidden="1"/>
    <cellStyle name="Followed Hyperlink" xfId="552" builtinId="9" hidden="1"/>
    <cellStyle name="Followed Hyperlink" xfId="553" builtinId="9" hidden="1"/>
    <cellStyle name="Followed Hyperlink" xfId="554" builtinId="9" hidden="1"/>
    <cellStyle name="Followed Hyperlink" xfId="555" builtinId="9" hidden="1"/>
    <cellStyle name="Followed Hyperlink" xfId="556" builtinId="9" hidden="1"/>
    <cellStyle name="Followed Hyperlink" xfId="557" builtinId="9" hidden="1"/>
    <cellStyle name="Followed Hyperlink" xfId="558" builtinId="9" hidden="1"/>
    <cellStyle name="Followed Hyperlink" xfId="559" builtinId="9" hidden="1"/>
    <cellStyle name="Followed Hyperlink" xfId="560" builtinId="9" hidden="1"/>
    <cellStyle name="Followed Hyperlink" xfId="561" builtinId="9" hidden="1"/>
    <cellStyle name="Followed Hyperlink" xfId="562" builtinId="9" hidden="1"/>
    <cellStyle name="Followed Hyperlink" xfId="563" builtinId="9" hidden="1"/>
    <cellStyle name="Followed Hyperlink" xfId="564" builtinId="9" hidden="1"/>
    <cellStyle name="Followed Hyperlink" xfId="565" builtinId="9" hidden="1"/>
    <cellStyle name="Followed Hyperlink" xfId="566" builtinId="9" hidden="1"/>
    <cellStyle name="Followed Hyperlink" xfId="567" builtinId="9" hidden="1"/>
    <cellStyle name="Followed Hyperlink" xfId="568" builtinId="9" hidden="1"/>
    <cellStyle name="Followed Hyperlink" xfId="569" builtinId="9" hidden="1"/>
    <cellStyle name="Followed Hyperlink" xfId="570" builtinId="9" hidden="1"/>
    <cellStyle name="Followed Hyperlink" xfId="571" builtinId="9" hidden="1"/>
    <cellStyle name="Followed Hyperlink" xfId="572" builtinId="9" hidden="1"/>
    <cellStyle name="Followed Hyperlink" xfId="573" builtinId="9" hidden="1"/>
    <cellStyle name="Followed Hyperlink" xfId="574" builtinId="9" hidden="1"/>
    <cellStyle name="Followed Hyperlink" xfId="575" builtinId="9" hidden="1"/>
    <cellStyle name="Followed Hyperlink" xfId="576" builtinId="9" hidden="1"/>
    <cellStyle name="Followed Hyperlink" xfId="577" builtinId="9" hidden="1"/>
    <cellStyle name="Followed Hyperlink" xfId="578" builtinId="9" hidden="1"/>
    <cellStyle name="Followed Hyperlink" xfId="579" builtinId="9" hidden="1"/>
    <cellStyle name="Followed Hyperlink" xfId="580" builtinId="9" hidden="1"/>
    <cellStyle name="Followed Hyperlink" xfId="581" builtinId="9" hidden="1"/>
    <cellStyle name="Followed Hyperlink" xfId="582" builtinId="9" hidden="1"/>
    <cellStyle name="Followed Hyperlink" xfId="583" builtinId="9" hidden="1"/>
    <cellStyle name="Followed Hyperlink" xfId="584" builtinId="9" hidden="1"/>
    <cellStyle name="Followed Hyperlink" xfId="585" builtinId="9" hidden="1"/>
    <cellStyle name="Followed Hyperlink" xfId="586" builtinId="9" hidden="1"/>
    <cellStyle name="Followed Hyperlink" xfId="587" builtinId="9" hidden="1"/>
    <cellStyle name="Followed Hyperlink" xfId="588" builtinId="9" hidden="1"/>
    <cellStyle name="Followed Hyperlink" xfId="589" builtinId="9" hidden="1"/>
    <cellStyle name="Followed Hyperlink" xfId="590" builtinId="9" hidden="1"/>
    <cellStyle name="Followed Hyperlink" xfId="591" builtinId="9" hidden="1"/>
    <cellStyle name="Followed Hyperlink" xfId="592" builtinId="9" hidden="1"/>
    <cellStyle name="Followed Hyperlink" xfId="593" builtinId="9" hidden="1"/>
    <cellStyle name="Followed Hyperlink" xfId="594" builtinId="9" hidden="1"/>
    <cellStyle name="Followed Hyperlink" xfId="595" builtinId="9" hidden="1"/>
    <cellStyle name="Followed Hyperlink" xfId="596" builtinId="9" hidden="1"/>
    <cellStyle name="Followed Hyperlink" xfId="597" builtinId="9" hidden="1"/>
    <cellStyle name="Followed Hyperlink" xfId="598" builtinId="9" hidden="1"/>
    <cellStyle name="Followed Hyperlink" xfId="599" builtinId="9" hidden="1"/>
    <cellStyle name="Followed Hyperlink" xfId="600" builtinId="9" hidden="1"/>
    <cellStyle name="Followed Hyperlink" xfId="601" builtinId="9" hidden="1"/>
    <cellStyle name="Followed Hyperlink" xfId="602" builtinId="9" hidden="1"/>
    <cellStyle name="Followed Hyperlink" xfId="603" builtinId="9" hidden="1"/>
    <cellStyle name="Followed Hyperlink" xfId="604" builtinId="9" hidden="1"/>
    <cellStyle name="Followed Hyperlink" xfId="605" builtinId="9" hidden="1"/>
    <cellStyle name="Followed Hyperlink" xfId="606" builtinId="9" hidden="1"/>
    <cellStyle name="Followed Hyperlink" xfId="607" builtinId="9" hidden="1"/>
    <cellStyle name="Followed Hyperlink" xfId="608" builtinId="9" hidden="1"/>
    <cellStyle name="Followed Hyperlink" xfId="609" builtinId="9" hidden="1"/>
    <cellStyle name="Followed Hyperlink" xfId="610" builtinId="9" hidden="1"/>
    <cellStyle name="Followed Hyperlink" xfId="611" builtinId="9" hidden="1"/>
    <cellStyle name="Followed Hyperlink" xfId="612" builtinId="9" hidden="1"/>
    <cellStyle name="Followed Hyperlink" xfId="613" builtinId="9" hidden="1"/>
    <cellStyle name="Followed Hyperlink" xfId="614" builtinId="9" hidden="1"/>
    <cellStyle name="Followed Hyperlink" xfId="615" builtinId="9" hidden="1"/>
    <cellStyle name="Followed Hyperlink" xfId="616" builtinId="9" hidden="1"/>
    <cellStyle name="Followed Hyperlink" xfId="617" builtinId="9" hidden="1"/>
    <cellStyle name="Followed Hyperlink" xfId="618" builtinId="9" hidden="1"/>
    <cellStyle name="Followed Hyperlink" xfId="619" builtinId="9" hidden="1"/>
    <cellStyle name="Followed Hyperlink" xfId="620" builtinId="9" hidden="1"/>
    <cellStyle name="Followed Hyperlink" xfId="621" builtinId="9" hidden="1"/>
    <cellStyle name="Followed Hyperlink" xfId="622" builtinId="9" hidden="1"/>
    <cellStyle name="Followed Hyperlink" xfId="623" builtinId="9" hidden="1"/>
    <cellStyle name="Followed Hyperlink" xfId="624" builtinId="9" hidden="1"/>
    <cellStyle name="Followed Hyperlink" xfId="625" builtinId="9" hidden="1"/>
    <cellStyle name="Followed Hyperlink" xfId="626" builtinId="9" hidden="1"/>
    <cellStyle name="Followed Hyperlink" xfId="627" builtinId="9" hidden="1"/>
    <cellStyle name="Followed Hyperlink" xfId="628" builtinId="9" hidden="1"/>
    <cellStyle name="Followed Hyperlink" xfId="629" builtinId="9" hidden="1"/>
    <cellStyle name="Followed Hyperlink" xfId="630" builtinId="9" hidden="1"/>
    <cellStyle name="Followed Hyperlink" xfId="631" builtinId="9" hidden="1"/>
    <cellStyle name="Followed Hyperlink" xfId="632" builtinId="9" hidden="1"/>
    <cellStyle name="Followed Hyperlink" xfId="633" builtinId="9" hidden="1"/>
    <cellStyle name="Followed Hyperlink" xfId="634" builtinId="9" hidden="1"/>
    <cellStyle name="Followed Hyperlink" xfId="635" builtinId="9" hidden="1"/>
    <cellStyle name="Followed Hyperlink" xfId="636" builtinId="9" hidden="1"/>
    <cellStyle name="Followed Hyperlink" xfId="637" builtinId="9" hidden="1"/>
    <cellStyle name="Followed Hyperlink" xfId="638" builtinId="9" hidden="1"/>
    <cellStyle name="Followed Hyperlink" xfId="639" builtinId="9" hidden="1"/>
    <cellStyle name="Followed Hyperlink" xfId="640" builtinId="9" hidden="1"/>
    <cellStyle name="Followed Hyperlink" xfId="641" builtinId="9" hidden="1"/>
    <cellStyle name="Followed Hyperlink" xfId="642" builtinId="9" hidden="1"/>
    <cellStyle name="Followed Hyperlink" xfId="643" builtinId="9" hidden="1"/>
    <cellStyle name="Followed Hyperlink" xfId="644" builtinId="9" hidden="1"/>
    <cellStyle name="Followed Hyperlink" xfId="645" builtinId="9" hidden="1"/>
    <cellStyle name="Followed Hyperlink" xfId="646" builtinId="9" hidden="1"/>
    <cellStyle name="Followed Hyperlink" xfId="647" builtinId="9" hidden="1"/>
    <cellStyle name="Followed Hyperlink" xfId="648" builtinId="9" hidden="1"/>
    <cellStyle name="Followed Hyperlink" xfId="649" builtinId="9" hidden="1"/>
    <cellStyle name="Followed Hyperlink" xfId="650" builtinId="9" hidden="1"/>
    <cellStyle name="Followed Hyperlink" xfId="651" builtinId="9" hidden="1"/>
    <cellStyle name="Followed Hyperlink" xfId="652" builtinId="9" hidden="1"/>
    <cellStyle name="Followed Hyperlink" xfId="653" builtinId="9" hidden="1"/>
    <cellStyle name="Followed Hyperlink" xfId="654" builtinId="9" hidden="1"/>
    <cellStyle name="Followed Hyperlink" xfId="655" builtinId="9" hidden="1"/>
    <cellStyle name="Followed Hyperlink" xfId="656" builtinId="9" hidden="1"/>
    <cellStyle name="Followed Hyperlink" xfId="657" builtinId="9" hidden="1"/>
    <cellStyle name="Followed Hyperlink" xfId="658" builtinId="9" hidden="1"/>
    <cellStyle name="Followed Hyperlink" xfId="659" builtinId="9" hidden="1"/>
    <cellStyle name="Followed Hyperlink" xfId="660" builtinId="9" hidden="1"/>
    <cellStyle name="Followed Hyperlink" xfId="661" builtinId="9" hidden="1"/>
    <cellStyle name="Followed Hyperlink" xfId="662" builtinId="9" hidden="1"/>
    <cellStyle name="Followed Hyperlink" xfId="663" builtinId="9" hidden="1"/>
    <cellStyle name="Followed Hyperlink" xfId="664" builtinId="9" hidden="1"/>
    <cellStyle name="Followed Hyperlink" xfId="665" builtinId="9" hidden="1"/>
    <cellStyle name="Followed Hyperlink" xfId="666" builtinId="9" hidden="1"/>
    <cellStyle name="Followed Hyperlink" xfId="667" builtinId="9" hidden="1"/>
    <cellStyle name="Followed Hyperlink" xfId="668" builtinId="9" hidden="1"/>
    <cellStyle name="Followed Hyperlink" xfId="669" builtinId="9" hidden="1"/>
    <cellStyle name="Followed Hyperlink" xfId="670" builtinId="9" hidden="1"/>
    <cellStyle name="Followed Hyperlink" xfId="671" builtinId="9" hidden="1"/>
    <cellStyle name="Followed Hyperlink" xfId="672" builtinId="9" hidden="1"/>
    <cellStyle name="Followed Hyperlink" xfId="673" builtinId="9" hidden="1"/>
    <cellStyle name="Followed Hyperlink" xfId="674" builtinId="9" hidden="1"/>
    <cellStyle name="Followed Hyperlink" xfId="675" builtinId="9" hidden="1"/>
    <cellStyle name="Followed Hyperlink" xfId="676" builtinId="9" hidden="1"/>
    <cellStyle name="Followed Hyperlink" xfId="677" builtinId="9" hidden="1"/>
    <cellStyle name="Followed Hyperlink" xfId="678" builtinId="9" hidden="1"/>
    <cellStyle name="Followed Hyperlink" xfId="679" builtinId="9" hidden="1"/>
    <cellStyle name="Followed Hyperlink" xfId="680" builtinId="9" hidden="1"/>
    <cellStyle name="Followed Hyperlink" xfId="681" builtinId="9" hidden="1"/>
    <cellStyle name="Followed Hyperlink" xfId="682" builtinId="9" hidden="1"/>
    <cellStyle name="Followed Hyperlink" xfId="683" builtinId="9" hidden="1"/>
    <cellStyle name="Followed Hyperlink" xfId="684" builtinId="9" hidden="1"/>
    <cellStyle name="Followed Hyperlink" xfId="685" builtinId="9" hidden="1"/>
    <cellStyle name="Followed Hyperlink" xfId="686" builtinId="9" hidden="1"/>
    <cellStyle name="Followed Hyperlink" xfId="687" builtinId="9" hidden="1"/>
    <cellStyle name="Followed Hyperlink" xfId="688" builtinId="9" hidden="1"/>
    <cellStyle name="Followed Hyperlink" xfId="689" builtinId="9" hidden="1"/>
    <cellStyle name="Followed Hyperlink" xfId="690" builtinId="9" hidden="1"/>
    <cellStyle name="Followed Hyperlink" xfId="691" builtinId="9" hidden="1"/>
    <cellStyle name="Followed Hyperlink" xfId="692" builtinId="9" hidden="1"/>
    <cellStyle name="Followed Hyperlink" xfId="693" builtinId="9" hidden="1"/>
    <cellStyle name="Followed Hyperlink" xfId="694" builtinId="9" hidden="1"/>
    <cellStyle name="Followed Hyperlink" xfId="695" builtinId="9" hidden="1"/>
    <cellStyle name="Followed Hyperlink" xfId="696" builtinId="9" hidden="1"/>
    <cellStyle name="Followed Hyperlink" xfId="697" builtinId="9" hidden="1"/>
    <cellStyle name="Followed Hyperlink" xfId="698" builtinId="9" hidden="1"/>
    <cellStyle name="Followed Hyperlink" xfId="699" builtinId="9" hidden="1"/>
    <cellStyle name="Followed Hyperlink" xfId="700" builtinId="9" hidden="1"/>
    <cellStyle name="Followed Hyperlink" xfId="701" builtinId="9" hidden="1"/>
    <cellStyle name="Followed Hyperlink" xfId="702" builtinId="9" hidden="1"/>
    <cellStyle name="Followed Hyperlink" xfId="703" builtinId="9" hidden="1"/>
    <cellStyle name="Followed Hyperlink" xfId="704" builtinId="9" hidden="1"/>
    <cellStyle name="Followed Hyperlink" xfId="705" builtinId="9" hidden="1"/>
    <cellStyle name="Followed Hyperlink" xfId="706" builtinId="9" hidden="1"/>
    <cellStyle name="Followed Hyperlink" xfId="707" builtinId="9" hidden="1"/>
    <cellStyle name="Followed Hyperlink" xfId="708" builtinId="9" hidden="1"/>
    <cellStyle name="Followed Hyperlink" xfId="709" builtinId="9" hidden="1"/>
    <cellStyle name="Followed Hyperlink" xfId="710" builtinId="9" hidden="1"/>
    <cellStyle name="Followed Hyperlink" xfId="711" builtinId="9" hidden="1"/>
    <cellStyle name="Followed Hyperlink" xfId="712" builtinId="9" hidden="1"/>
    <cellStyle name="Followed Hyperlink" xfId="713" builtinId="9" hidden="1"/>
    <cellStyle name="Followed Hyperlink" xfId="714" builtinId="9" hidden="1"/>
    <cellStyle name="Followed Hyperlink" xfId="715" builtinId="9" hidden="1"/>
    <cellStyle name="Followed Hyperlink" xfId="716" builtinId="9" hidden="1"/>
    <cellStyle name="Followed Hyperlink" xfId="717" builtinId="9" hidden="1"/>
    <cellStyle name="Followed Hyperlink" xfId="718" builtinId="9" hidden="1"/>
    <cellStyle name="Followed Hyperlink" xfId="719" builtinId="9" hidden="1"/>
    <cellStyle name="Followed Hyperlink" xfId="720" builtinId="9" hidden="1"/>
    <cellStyle name="Followed Hyperlink" xfId="721" builtinId="9" hidden="1"/>
    <cellStyle name="Followed Hyperlink" xfId="722" builtinId="9" hidden="1"/>
    <cellStyle name="Followed Hyperlink" xfId="723" builtinId="9" hidden="1"/>
    <cellStyle name="Followed Hyperlink" xfId="724" builtinId="9" hidden="1"/>
    <cellStyle name="Followed Hyperlink" xfId="725" builtinId="9" hidden="1"/>
    <cellStyle name="Followed Hyperlink" xfId="726" builtinId="9" hidden="1"/>
    <cellStyle name="Followed Hyperlink" xfId="727" builtinId="9" hidden="1"/>
    <cellStyle name="Followed Hyperlink" xfId="728" builtinId="9" hidden="1"/>
    <cellStyle name="Followed Hyperlink" xfId="729" builtinId="9" hidden="1"/>
    <cellStyle name="Followed Hyperlink" xfId="730" builtinId="9" hidden="1"/>
    <cellStyle name="Followed Hyperlink" xfId="731" builtinId="9" hidden="1"/>
    <cellStyle name="Followed Hyperlink" xfId="732" builtinId="9" hidden="1"/>
    <cellStyle name="Followed Hyperlink" xfId="733" builtinId="9" hidden="1"/>
    <cellStyle name="Followed Hyperlink" xfId="734" builtinId="9" hidden="1"/>
    <cellStyle name="Followed Hyperlink" xfId="735" builtinId="9" hidden="1"/>
    <cellStyle name="Followed Hyperlink" xfId="736" builtinId="9" hidden="1"/>
    <cellStyle name="Followed Hyperlink" xfId="737" builtinId="9" hidden="1"/>
    <cellStyle name="Followed Hyperlink" xfId="738" builtinId="9" hidden="1"/>
    <cellStyle name="Followed Hyperlink" xfId="739" builtinId="9" hidden="1"/>
    <cellStyle name="Followed Hyperlink" xfId="740" builtinId="9" hidden="1"/>
    <cellStyle name="Followed Hyperlink" xfId="741" builtinId="9" hidden="1"/>
    <cellStyle name="Followed Hyperlink" xfId="742" builtinId="9" hidden="1"/>
    <cellStyle name="Followed Hyperlink" xfId="743" builtinId="9" hidden="1"/>
    <cellStyle name="Followed Hyperlink" xfId="744" builtinId="9" hidden="1"/>
    <cellStyle name="Followed Hyperlink" xfId="745" builtinId="9" hidden="1"/>
    <cellStyle name="Followed Hyperlink" xfId="746" builtinId="9" hidden="1"/>
    <cellStyle name="Followed Hyperlink" xfId="747" builtinId="9" hidden="1"/>
    <cellStyle name="Followed Hyperlink" xfId="748" builtinId="9" hidden="1"/>
    <cellStyle name="Followed Hyperlink" xfId="749" builtinId="9" hidden="1"/>
    <cellStyle name="Followed Hyperlink" xfId="750" builtinId="9" hidden="1"/>
    <cellStyle name="Followed Hyperlink" xfId="751" builtinId="9" hidden="1"/>
    <cellStyle name="Followed Hyperlink" xfId="752" builtinId="9" hidden="1"/>
    <cellStyle name="Followed Hyperlink" xfId="753" builtinId="9" hidden="1"/>
    <cellStyle name="Followed Hyperlink" xfId="754" builtinId="9" hidden="1"/>
    <cellStyle name="Followed Hyperlink" xfId="755" builtinId="9" hidden="1"/>
    <cellStyle name="Followed Hyperlink" xfId="756" builtinId="9" hidden="1"/>
    <cellStyle name="Followed Hyperlink" xfId="757" builtinId="9" hidden="1"/>
    <cellStyle name="Followed Hyperlink" xfId="758" builtinId="9" hidden="1"/>
    <cellStyle name="Followed Hyperlink" xfId="759" builtinId="9" hidden="1"/>
    <cellStyle name="Followed Hyperlink" xfId="760" builtinId="9" hidden="1"/>
    <cellStyle name="Followed Hyperlink" xfId="761" builtinId="9" hidden="1"/>
    <cellStyle name="Followed Hyperlink" xfId="762" builtinId="9" hidden="1"/>
    <cellStyle name="Followed Hyperlink" xfId="763" builtinId="9" hidden="1"/>
    <cellStyle name="Followed Hyperlink" xfId="764" builtinId="9" hidden="1"/>
    <cellStyle name="Followed Hyperlink" xfId="765" builtinId="9" hidden="1"/>
    <cellStyle name="Followed Hyperlink" xfId="766" builtinId="9" hidden="1"/>
    <cellStyle name="Followed Hyperlink" xfId="767" builtinId="9" hidden="1"/>
    <cellStyle name="Followed Hyperlink" xfId="768" builtinId="9" hidden="1"/>
    <cellStyle name="Followed Hyperlink" xfId="769" builtinId="9" hidden="1"/>
    <cellStyle name="Followed Hyperlink" xfId="770" builtinId="9" hidden="1"/>
    <cellStyle name="Followed Hyperlink" xfId="771" builtinId="9" hidden="1"/>
    <cellStyle name="Followed Hyperlink" xfId="772" builtinId="9" hidden="1"/>
    <cellStyle name="Followed Hyperlink" xfId="773" builtinId="9" hidden="1"/>
    <cellStyle name="Followed Hyperlink" xfId="774" builtinId="9" hidden="1"/>
    <cellStyle name="Followed Hyperlink" xfId="775" builtinId="9" hidden="1"/>
    <cellStyle name="Followed Hyperlink" xfId="776" builtinId="9" hidden="1"/>
    <cellStyle name="Followed Hyperlink" xfId="777" builtinId="9" hidden="1"/>
    <cellStyle name="Followed Hyperlink" xfId="778" builtinId="9" hidden="1"/>
    <cellStyle name="Followed Hyperlink" xfId="779" builtinId="9" hidden="1"/>
    <cellStyle name="Followed Hyperlink" xfId="780" builtinId="9" hidden="1"/>
    <cellStyle name="Followed Hyperlink" xfId="781" builtinId="9" hidden="1"/>
    <cellStyle name="Followed Hyperlink" xfId="782" builtinId="9" hidden="1"/>
    <cellStyle name="Followed Hyperlink" xfId="783" builtinId="9" hidden="1"/>
    <cellStyle name="Followed Hyperlink" xfId="784" builtinId="9" hidden="1"/>
    <cellStyle name="Followed Hyperlink" xfId="785" builtinId="9" hidden="1"/>
    <cellStyle name="Followed Hyperlink" xfId="786" builtinId="9" hidden="1"/>
    <cellStyle name="Followed Hyperlink" xfId="787" builtinId="9" hidden="1"/>
    <cellStyle name="Followed Hyperlink" xfId="788" builtinId="9" hidden="1"/>
    <cellStyle name="Followed Hyperlink" xfId="789" builtinId="9" hidden="1"/>
    <cellStyle name="Followed Hyperlink" xfId="790" builtinId="9" hidden="1"/>
    <cellStyle name="Followed Hyperlink" xfId="791" builtinId="9" hidden="1"/>
    <cellStyle name="Followed Hyperlink" xfId="792" builtinId="9" hidden="1"/>
    <cellStyle name="Followed Hyperlink" xfId="793" builtinId="9" hidden="1"/>
    <cellStyle name="Followed Hyperlink" xfId="794" builtinId="9" hidden="1"/>
    <cellStyle name="Followed Hyperlink" xfId="795" builtinId="9" hidden="1"/>
    <cellStyle name="Followed Hyperlink" xfId="796" builtinId="9" hidden="1"/>
    <cellStyle name="Followed Hyperlink" xfId="797" builtinId="9" hidden="1"/>
    <cellStyle name="Followed Hyperlink" xfId="798" builtinId="9" hidden="1"/>
    <cellStyle name="Followed Hyperlink" xfId="799" builtinId="9" hidden="1"/>
    <cellStyle name="Followed Hyperlink" xfId="800" builtinId="9" hidden="1"/>
    <cellStyle name="Followed Hyperlink" xfId="801" builtinId="9" hidden="1"/>
    <cellStyle name="Followed Hyperlink" xfId="802" builtinId="9" hidden="1"/>
    <cellStyle name="Followed Hyperlink" xfId="803" builtinId="9" hidden="1"/>
    <cellStyle name="Followed Hyperlink" xfId="804" builtinId="9" hidden="1"/>
    <cellStyle name="Followed Hyperlink" xfId="805" builtinId="9" hidden="1"/>
    <cellStyle name="Followed Hyperlink" xfId="806" builtinId="9" hidden="1"/>
    <cellStyle name="Followed Hyperlink" xfId="807" builtinId="9" hidden="1"/>
    <cellStyle name="Followed Hyperlink" xfId="808" builtinId="9" hidden="1"/>
    <cellStyle name="Followed Hyperlink" xfId="809" builtinId="9" hidden="1"/>
    <cellStyle name="Followed Hyperlink" xfId="810" builtinId="9" hidden="1"/>
    <cellStyle name="Followed Hyperlink" xfId="811" builtinId="9" hidden="1"/>
    <cellStyle name="Followed Hyperlink" xfId="812" builtinId="9" hidden="1"/>
    <cellStyle name="Followed Hyperlink" xfId="813" builtinId="9" hidden="1"/>
    <cellStyle name="Followed Hyperlink" xfId="814" builtinId="9" hidden="1"/>
    <cellStyle name="Followed Hyperlink" xfId="815" builtinId="9" hidden="1"/>
    <cellStyle name="Followed Hyperlink" xfId="816" builtinId="9" hidden="1"/>
    <cellStyle name="Followed Hyperlink" xfId="817" builtinId="9" hidden="1"/>
    <cellStyle name="Followed Hyperlink" xfId="818" builtinId="9" hidden="1"/>
    <cellStyle name="Followed Hyperlink" xfId="819" builtinId="9" hidden="1"/>
    <cellStyle name="Followed Hyperlink" xfId="820" builtinId="9" hidden="1"/>
    <cellStyle name="Followed Hyperlink" xfId="821" builtinId="9" hidden="1"/>
    <cellStyle name="Followed Hyperlink" xfId="822" builtinId="9" hidden="1"/>
    <cellStyle name="Followed Hyperlink" xfId="823" builtinId="9" hidden="1"/>
    <cellStyle name="Followed Hyperlink" xfId="824" builtinId="9" hidden="1"/>
    <cellStyle name="Followed Hyperlink" xfId="825" builtinId="9" hidden="1"/>
    <cellStyle name="Followed Hyperlink" xfId="826" builtinId="9" hidden="1"/>
    <cellStyle name="Followed Hyperlink" xfId="827" builtinId="9" hidden="1"/>
    <cellStyle name="Followed Hyperlink" xfId="828" builtinId="9" hidden="1"/>
    <cellStyle name="Followed Hyperlink" xfId="829" builtinId="9" hidden="1"/>
    <cellStyle name="Followed Hyperlink" xfId="830" builtinId="9" hidden="1"/>
    <cellStyle name="Followed Hyperlink" xfId="831" builtinId="9" hidden="1"/>
    <cellStyle name="Followed Hyperlink" xfId="832" builtinId="9" hidden="1"/>
    <cellStyle name="Followed Hyperlink" xfId="833" builtinId="9" hidden="1"/>
    <cellStyle name="Followed Hyperlink" xfId="834" builtinId="9" hidden="1"/>
    <cellStyle name="Followed Hyperlink" xfId="835" builtinId="9" hidden="1"/>
    <cellStyle name="Followed Hyperlink" xfId="836" builtinId="9" hidden="1"/>
    <cellStyle name="Followed Hyperlink" xfId="837" builtinId="9" hidden="1"/>
    <cellStyle name="Followed Hyperlink" xfId="838" builtinId="9" hidden="1"/>
    <cellStyle name="Followed Hyperlink" xfId="839" builtinId="9" hidden="1"/>
    <cellStyle name="Followed Hyperlink" xfId="840" builtinId="9" hidden="1"/>
    <cellStyle name="Followed Hyperlink" xfId="841" builtinId="9" hidden="1"/>
    <cellStyle name="Followed Hyperlink" xfId="842" builtinId="9" hidden="1"/>
    <cellStyle name="Followed Hyperlink" xfId="843" builtinId="9" hidden="1"/>
    <cellStyle name="Followed Hyperlink" xfId="844" builtinId="9" hidden="1"/>
    <cellStyle name="Followed Hyperlink" xfId="845" builtinId="9" hidden="1"/>
    <cellStyle name="Followed Hyperlink" xfId="846" builtinId="9" hidden="1"/>
    <cellStyle name="Followed Hyperlink" xfId="847" builtinId="9" hidden="1"/>
    <cellStyle name="Followed Hyperlink" xfId="848" builtinId="9" hidden="1"/>
    <cellStyle name="Followed Hyperlink" xfId="849" builtinId="9" hidden="1"/>
    <cellStyle name="Followed Hyperlink" xfId="850" builtinId="9" hidden="1"/>
    <cellStyle name="Followed Hyperlink" xfId="851" builtinId="9" hidden="1"/>
    <cellStyle name="Followed Hyperlink" xfId="852" builtinId="9" hidden="1"/>
    <cellStyle name="Followed Hyperlink" xfId="853" builtinId="9" hidden="1"/>
    <cellStyle name="Followed Hyperlink" xfId="854" builtinId="9" hidden="1"/>
    <cellStyle name="Followed Hyperlink" xfId="855" builtinId="9" hidden="1"/>
    <cellStyle name="Followed Hyperlink" xfId="856" builtinId="9" hidden="1"/>
    <cellStyle name="Followed Hyperlink" xfId="857" builtinId="9" hidden="1"/>
    <cellStyle name="Followed Hyperlink" xfId="858" builtinId="9" hidden="1"/>
    <cellStyle name="Followed Hyperlink" xfId="859" builtinId="9" hidden="1"/>
    <cellStyle name="Followed Hyperlink" xfId="860" builtinId="9" hidden="1"/>
    <cellStyle name="Followed Hyperlink" xfId="861" builtinId="9" hidden="1"/>
    <cellStyle name="Followed Hyperlink" xfId="862" builtinId="9" hidden="1"/>
    <cellStyle name="Followed Hyperlink" xfId="863" builtinId="9" hidden="1"/>
    <cellStyle name="Followed Hyperlink" xfId="864" builtinId="9" hidden="1"/>
    <cellStyle name="Followed Hyperlink" xfId="865" builtinId="9" hidden="1"/>
    <cellStyle name="Followed Hyperlink" xfId="866" builtinId="9" hidden="1"/>
    <cellStyle name="Followed Hyperlink" xfId="867" builtinId="9" hidden="1"/>
    <cellStyle name="Followed Hyperlink" xfId="868" builtinId="9" hidden="1"/>
    <cellStyle name="Followed Hyperlink" xfId="869" builtinId="9" hidden="1"/>
    <cellStyle name="Followed Hyperlink" xfId="870" builtinId="9" hidden="1"/>
    <cellStyle name="Followed Hyperlink" xfId="871" builtinId="9" hidden="1"/>
    <cellStyle name="Followed Hyperlink" xfId="872" builtinId="9" hidden="1"/>
    <cellStyle name="Followed Hyperlink" xfId="873" builtinId="9" hidden="1"/>
    <cellStyle name="Followed Hyperlink" xfId="874" builtinId="9" hidden="1"/>
    <cellStyle name="Followed Hyperlink" xfId="875" builtinId="9" hidden="1"/>
    <cellStyle name="Followed Hyperlink" xfId="876" builtinId="9" hidden="1"/>
    <cellStyle name="Followed Hyperlink" xfId="877" builtinId="9" hidden="1"/>
    <cellStyle name="Followed Hyperlink" xfId="878" builtinId="9" hidden="1"/>
    <cellStyle name="Followed Hyperlink" xfId="879" builtinId="9" hidden="1"/>
    <cellStyle name="Followed Hyperlink" xfId="880" builtinId="9" hidden="1"/>
    <cellStyle name="Followed Hyperlink" xfId="881" builtinId="9" hidden="1"/>
    <cellStyle name="Followed Hyperlink" xfId="882" builtinId="9" hidden="1"/>
    <cellStyle name="Followed Hyperlink" xfId="883" builtinId="9" hidden="1"/>
    <cellStyle name="Followed Hyperlink" xfId="884" builtinId="9" hidden="1"/>
    <cellStyle name="Followed Hyperlink" xfId="885" builtinId="9" hidden="1"/>
    <cellStyle name="Followed Hyperlink" xfId="886" builtinId="9" hidden="1"/>
    <cellStyle name="Followed Hyperlink" xfId="887" builtinId="9" hidden="1"/>
    <cellStyle name="Followed Hyperlink" xfId="888" builtinId="9" hidden="1"/>
    <cellStyle name="Followed Hyperlink" xfId="889" builtinId="9" hidden="1"/>
    <cellStyle name="Followed Hyperlink" xfId="890" builtinId="9" hidden="1"/>
    <cellStyle name="Followed Hyperlink" xfId="891" builtinId="9" hidden="1"/>
    <cellStyle name="Followed Hyperlink" xfId="892" builtinId="9" hidden="1"/>
    <cellStyle name="Followed Hyperlink" xfId="893" builtinId="9" hidden="1"/>
    <cellStyle name="Followed Hyperlink" xfId="894" builtinId="9" hidden="1"/>
    <cellStyle name="Followed Hyperlink" xfId="895" builtinId="9" hidden="1"/>
    <cellStyle name="Followed Hyperlink" xfId="896" builtinId="9" hidden="1"/>
    <cellStyle name="Followed Hyperlink" xfId="897" builtinId="9" hidden="1"/>
    <cellStyle name="Followed Hyperlink" xfId="898" builtinId="9" hidden="1"/>
    <cellStyle name="Followed Hyperlink" xfId="899" builtinId="9" hidden="1"/>
    <cellStyle name="Followed Hyperlink" xfId="900" builtinId="9" hidden="1"/>
    <cellStyle name="Followed Hyperlink" xfId="901" builtinId="9" hidden="1"/>
    <cellStyle name="Followed Hyperlink" xfId="902" builtinId="9" hidden="1"/>
    <cellStyle name="Followed Hyperlink" xfId="903" builtinId="9" hidden="1"/>
    <cellStyle name="Followed Hyperlink" xfId="904" builtinId="9" hidden="1"/>
    <cellStyle name="Followed Hyperlink" xfId="905" builtinId="9" hidden="1"/>
    <cellStyle name="Followed Hyperlink" xfId="906" builtinId="9" hidden="1"/>
    <cellStyle name="Followed Hyperlink" xfId="907" builtinId="9" hidden="1"/>
    <cellStyle name="Followed Hyperlink" xfId="908" builtinId="9" hidden="1"/>
    <cellStyle name="Followed Hyperlink" xfId="909" builtinId="9" hidden="1"/>
    <cellStyle name="Followed Hyperlink" xfId="910" builtinId="9" hidden="1"/>
    <cellStyle name="Followed Hyperlink" xfId="911" builtinId="9" hidden="1"/>
    <cellStyle name="Followed Hyperlink" xfId="912" builtinId="9" hidden="1"/>
    <cellStyle name="Followed Hyperlink" xfId="913" builtinId="9" hidden="1"/>
    <cellStyle name="Followed Hyperlink" xfId="914" builtinId="9" hidden="1"/>
    <cellStyle name="Followed Hyperlink" xfId="915" builtinId="9" hidden="1"/>
    <cellStyle name="Followed Hyperlink" xfId="916" builtinId="9" hidden="1"/>
    <cellStyle name="Followed Hyperlink" xfId="917" builtinId="9" hidden="1"/>
    <cellStyle name="Followed Hyperlink" xfId="918" builtinId="9" hidden="1"/>
    <cellStyle name="Followed Hyperlink" xfId="919" builtinId="9" hidden="1"/>
    <cellStyle name="Followed Hyperlink" xfId="920" builtinId="9" hidden="1"/>
    <cellStyle name="Followed Hyperlink" xfId="921" builtinId="9" hidden="1"/>
    <cellStyle name="Followed Hyperlink" xfId="922" builtinId="9" hidden="1"/>
    <cellStyle name="Followed Hyperlink" xfId="923" builtinId="9" hidden="1"/>
    <cellStyle name="Followed Hyperlink" xfId="924" builtinId="9" hidden="1"/>
    <cellStyle name="Followed Hyperlink" xfId="925" builtinId="9" hidden="1"/>
    <cellStyle name="Followed Hyperlink" xfId="926" builtinId="9" hidden="1"/>
    <cellStyle name="Followed Hyperlink" xfId="927" builtinId="9" hidden="1"/>
    <cellStyle name="Followed Hyperlink" xfId="928" builtinId="9" hidden="1"/>
    <cellStyle name="Followed Hyperlink" xfId="929" builtinId="9" hidden="1"/>
    <cellStyle name="Followed Hyperlink" xfId="930" builtinId="9" hidden="1"/>
    <cellStyle name="Followed Hyperlink" xfId="931" builtinId="9" hidden="1"/>
    <cellStyle name="Followed Hyperlink" xfId="932" builtinId="9" hidden="1"/>
    <cellStyle name="Followed Hyperlink" xfId="933" builtinId="9" hidden="1"/>
    <cellStyle name="Followed Hyperlink" xfId="934" builtinId="9" hidden="1"/>
    <cellStyle name="Followed Hyperlink" xfId="935" builtinId="9" hidden="1"/>
    <cellStyle name="Followed Hyperlink" xfId="936" builtinId="9" hidden="1"/>
    <cellStyle name="Followed Hyperlink" xfId="937" builtinId="9" hidden="1"/>
    <cellStyle name="Followed Hyperlink" xfId="938" builtinId="9" hidden="1"/>
    <cellStyle name="Followed Hyperlink" xfId="939" builtinId="9" hidden="1"/>
    <cellStyle name="Followed Hyperlink" xfId="940" builtinId="9" hidden="1"/>
    <cellStyle name="Followed Hyperlink" xfId="941" builtinId="9" hidden="1"/>
    <cellStyle name="Followed Hyperlink" xfId="942" builtinId="9" hidden="1"/>
    <cellStyle name="Followed Hyperlink" xfId="943" builtinId="9" hidden="1"/>
    <cellStyle name="Followed Hyperlink" xfId="944" builtinId="9" hidden="1"/>
    <cellStyle name="Followed Hyperlink" xfId="945" builtinId="9" hidden="1"/>
    <cellStyle name="Followed Hyperlink" xfId="946" builtinId="9" hidden="1"/>
    <cellStyle name="Followed Hyperlink" xfId="947" builtinId="9" hidden="1"/>
    <cellStyle name="Followed Hyperlink" xfId="948" builtinId="9" hidden="1"/>
    <cellStyle name="Followed Hyperlink" xfId="949" builtinId="9" hidden="1"/>
    <cellStyle name="Followed Hyperlink" xfId="950" builtinId="9" hidden="1"/>
    <cellStyle name="Followed Hyperlink" xfId="951" builtinId="9" hidden="1"/>
    <cellStyle name="Followed Hyperlink" xfId="952" builtinId="9" hidden="1"/>
    <cellStyle name="Followed Hyperlink" xfId="953" builtinId="9" hidden="1"/>
    <cellStyle name="Followed Hyperlink" xfId="954" builtinId="9" hidden="1"/>
    <cellStyle name="Followed Hyperlink" xfId="955" builtinId="9" hidden="1"/>
    <cellStyle name="Followed Hyperlink" xfId="956" builtinId="9" hidden="1"/>
    <cellStyle name="Followed Hyperlink" xfId="957" builtinId="9" hidden="1"/>
    <cellStyle name="Followed Hyperlink" xfId="958" builtinId="9" hidden="1"/>
    <cellStyle name="Followed Hyperlink" xfId="959" builtinId="9" hidden="1"/>
    <cellStyle name="Followed Hyperlink" xfId="960" builtinId="9" hidden="1"/>
    <cellStyle name="Followed Hyperlink" xfId="961" builtinId="9" hidden="1"/>
    <cellStyle name="Followed Hyperlink" xfId="962" builtinId="9" hidden="1"/>
    <cellStyle name="Followed Hyperlink" xfId="963" builtinId="9" hidden="1"/>
    <cellStyle name="Followed Hyperlink" xfId="964" builtinId="9" hidden="1"/>
    <cellStyle name="Followed Hyperlink" xfId="965" builtinId="9" hidden="1"/>
    <cellStyle name="Followed Hyperlink" xfId="966" builtinId="9" hidden="1"/>
    <cellStyle name="Followed Hyperlink" xfId="967" builtinId="9" hidden="1"/>
    <cellStyle name="Followed Hyperlink" xfId="968" builtinId="9" hidden="1"/>
    <cellStyle name="Followed Hyperlink" xfId="969" builtinId="9" hidden="1"/>
    <cellStyle name="Followed Hyperlink" xfId="970" builtinId="9" hidden="1"/>
    <cellStyle name="Followed Hyperlink" xfId="971" builtinId="9" hidden="1"/>
    <cellStyle name="Followed Hyperlink" xfId="972" builtinId="9" hidden="1"/>
    <cellStyle name="Followed Hyperlink" xfId="973" builtinId="9" hidden="1"/>
    <cellStyle name="Followed Hyperlink" xfId="974" builtinId="9" hidden="1"/>
    <cellStyle name="Followed Hyperlink" xfId="975" builtinId="9" hidden="1"/>
    <cellStyle name="Followed Hyperlink" xfId="976" builtinId="9" hidden="1"/>
    <cellStyle name="Followed Hyperlink" xfId="977" builtinId="9" hidden="1"/>
    <cellStyle name="Followed Hyperlink" xfId="978" builtinId="9" hidden="1"/>
    <cellStyle name="Followed Hyperlink" xfId="979" builtinId="9" hidden="1"/>
    <cellStyle name="Followed Hyperlink" xfId="980" builtinId="9" hidden="1"/>
    <cellStyle name="Followed Hyperlink" xfId="981" builtinId="9" hidden="1"/>
    <cellStyle name="Followed Hyperlink" xfId="982" builtinId="9" hidden="1"/>
    <cellStyle name="Followed Hyperlink" xfId="983" builtinId="9" hidden="1"/>
    <cellStyle name="Followed Hyperlink" xfId="984" builtinId="9" hidden="1"/>
    <cellStyle name="Followed Hyperlink" xfId="985" builtinId="9" hidden="1"/>
    <cellStyle name="Followed Hyperlink" xfId="986" builtinId="9" hidden="1"/>
    <cellStyle name="Followed Hyperlink" xfId="987" builtinId="9" hidden="1"/>
    <cellStyle name="Followed Hyperlink" xfId="988" builtinId="9" hidden="1"/>
    <cellStyle name="Followed Hyperlink" xfId="989" builtinId="9" hidden="1"/>
    <cellStyle name="Followed Hyperlink" xfId="990" builtinId="9" hidden="1"/>
    <cellStyle name="Followed Hyperlink" xfId="991" builtinId="9" hidden="1"/>
    <cellStyle name="Followed Hyperlink" xfId="992" builtinId="9" hidden="1"/>
    <cellStyle name="Followed Hyperlink" xfId="993" builtinId="9" hidden="1"/>
    <cellStyle name="Followed Hyperlink" xfId="994" builtinId="9" hidden="1"/>
    <cellStyle name="Followed Hyperlink" xfId="995" builtinId="9" hidden="1"/>
    <cellStyle name="Followed Hyperlink" xfId="996" builtinId="9" hidden="1"/>
    <cellStyle name="Followed Hyperlink" xfId="997" builtinId="9" hidden="1"/>
    <cellStyle name="Followed Hyperlink" xfId="998" builtinId="9" hidden="1"/>
    <cellStyle name="Followed Hyperlink" xfId="999" builtinId="9" hidden="1"/>
    <cellStyle name="Followed Hyperlink" xfId="1000" builtinId="9" hidden="1"/>
    <cellStyle name="Followed Hyperlink" xfId="1001" builtinId="9" hidden="1"/>
    <cellStyle name="Followed Hyperlink" xfId="1002" builtinId="9" hidden="1"/>
    <cellStyle name="Followed Hyperlink" xfId="1003" builtinId="9" hidden="1"/>
    <cellStyle name="Followed Hyperlink" xfId="1004" builtinId="9" hidden="1"/>
    <cellStyle name="Followed Hyperlink" xfId="1005" builtinId="9" hidden="1"/>
    <cellStyle name="Followed Hyperlink" xfId="1006" builtinId="9" hidden="1"/>
    <cellStyle name="Followed Hyperlink" xfId="1007" builtinId="9" hidden="1"/>
    <cellStyle name="Followed Hyperlink" xfId="1008" builtinId="9" hidden="1"/>
    <cellStyle name="Followed Hyperlink" xfId="1009" builtinId="9" hidden="1"/>
    <cellStyle name="Followed Hyperlink" xfId="1010" builtinId="9" hidden="1"/>
    <cellStyle name="Followed Hyperlink" xfId="1011" builtinId="9" hidden="1"/>
    <cellStyle name="Followed Hyperlink" xfId="1012" builtinId="9" hidden="1"/>
    <cellStyle name="Followed Hyperlink" xfId="1013" builtinId="9" hidden="1"/>
    <cellStyle name="Followed Hyperlink" xfId="1014" builtinId="9" hidden="1"/>
    <cellStyle name="Followed Hyperlink" xfId="1015" builtinId="9" hidden="1"/>
    <cellStyle name="Followed Hyperlink" xfId="1016" builtinId="9" hidden="1"/>
    <cellStyle name="Followed Hyperlink" xfId="1017" builtinId="9" hidden="1"/>
    <cellStyle name="Followed Hyperlink" xfId="1018" builtinId="9" hidden="1"/>
    <cellStyle name="Followed Hyperlink" xfId="1019" builtinId="9" hidden="1"/>
    <cellStyle name="Followed Hyperlink" xfId="1020" builtinId="9" hidden="1"/>
    <cellStyle name="Followed Hyperlink" xfId="1021" builtinId="9" hidden="1"/>
    <cellStyle name="Followed Hyperlink" xfId="1022" builtinId="9" hidden="1"/>
    <cellStyle name="Followed Hyperlink" xfId="1023" builtinId="9" hidden="1"/>
    <cellStyle name="Followed Hyperlink" xfId="1024" builtinId="9" hidden="1"/>
    <cellStyle name="Followed Hyperlink" xfId="1025" builtinId="9" hidden="1"/>
    <cellStyle name="Followed Hyperlink" xfId="1026" builtinId="9" hidden="1"/>
    <cellStyle name="Followed Hyperlink" xfId="1027" builtinId="9" hidden="1"/>
    <cellStyle name="Followed Hyperlink" xfId="1028" builtinId="9" hidden="1"/>
    <cellStyle name="Followed Hyperlink" xfId="1029" builtinId="9" hidden="1"/>
    <cellStyle name="Followed Hyperlink" xfId="1030" builtinId="9" hidden="1"/>
    <cellStyle name="Followed Hyperlink" xfId="1031" builtinId="9" hidden="1"/>
    <cellStyle name="Followed Hyperlink" xfId="1032" builtinId="9" hidden="1"/>
    <cellStyle name="Followed Hyperlink" xfId="1033" builtinId="9" hidden="1"/>
    <cellStyle name="Followed Hyperlink" xfId="1034" builtinId="9" hidden="1"/>
    <cellStyle name="Followed Hyperlink" xfId="1035" builtinId="9" hidden="1"/>
    <cellStyle name="Followed Hyperlink" xfId="1036" builtinId="9" hidden="1"/>
    <cellStyle name="Followed Hyperlink" xfId="1037" builtinId="9" hidden="1"/>
    <cellStyle name="Followed Hyperlink" xfId="1038" builtinId="9" hidden="1"/>
    <cellStyle name="Followed Hyperlink" xfId="1039" builtinId="9" hidden="1"/>
    <cellStyle name="Followed Hyperlink" xfId="1040" builtinId="9" hidden="1"/>
    <cellStyle name="Followed Hyperlink" xfId="1041" builtinId="9" hidden="1"/>
    <cellStyle name="Followed Hyperlink" xfId="1042" builtinId="9" hidden="1"/>
    <cellStyle name="Followed Hyperlink" xfId="1043" builtinId="9" hidden="1"/>
    <cellStyle name="Followed Hyperlink" xfId="1044" builtinId="9" hidden="1"/>
    <cellStyle name="Followed Hyperlink" xfId="1045" builtinId="9" hidden="1"/>
    <cellStyle name="Followed Hyperlink" xfId="1046" builtinId="9" hidden="1"/>
    <cellStyle name="Followed Hyperlink" xfId="1047" builtinId="9" hidden="1"/>
    <cellStyle name="Followed Hyperlink" xfId="1048" builtinId="9" hidden="1"/>
    <cellStyle name="Followed Hyperlink" xfId="1049" builtinId="9" hidden="1"/>
    <cellStyle name="Followed Hyperlink" xfId="1050" builtinId="9" hidden="1"/>
    <cellStyle name="Followed Hyperlink" xfId="1051" builtinId="9" hidden="1"/>
    <cellStyle name="Followed Hyperlink" xfId="1052" builtinId="9" hidden="1"/>
    <cellStyle name="Followed Hyperlink" xfId="1053" builtinId="9" hidden="1"/>
    <cellStyle name="Followed Hyperlink" xfId="1054" builtinId="9" hidden="1"/>
    <cellStyle name="Followed Hyperlink" xfId="1055" builtinId="9" hidden="1"/>
    <cellStyle name="Followed Hyperlink" xfId="1056" builtinId="9" hidden="1"/>
    <cellStyle name="Followed Hyperlink" xfId="1057" builtinId="9" hidden="1"/>
    <cellStyle name="Followed Hyperlink" xfId="1058" builtinId="9" hidden="1"/>
    <cellStyle name="Followed Hyperlink" xfId="1059" builtinId="9" hidden="1"/>
    <cellStyle name="Followed Hyperlink" xfId="1060" builtinId="9" hidden="1"/>
    <cellStyle name="Followed Hyperlink" xfId="1061" builtinId="9" hidden="1"/>
    <cellStyle name="Followed Hyperlink" xfId="1062" builtinId="9" hidden="1"/>
    <cellStyle name="Followed Hyperlink" xfId="1063" builtinId="9" hidden="1"/>
    <cellStyle name="Followed Hyperlink" xfId="1064" builtinId="9" hidden="1"/>
    <cellStyle name="Followed Hyperlink" xfId="1065" builtinId="9" hidden="1"/>
    <cellStyle name="Followed Hyperlink" xfId="1066" builtinId="9" hidden="1"/>
    <cellStyle name="Followed Hyperlink" xfId="1067" builtinId="9" hidden="1"/>
    <cellStyle name="Followed Hyperlink" xfId="1068" builtinId="9" hidden="1"/>
    <cellStyle name="Followed Hyperlink" xfId="1069" builtinId="9" hidden="1"/>
    <cellStyle name="Followed Hyperlink" xfId="1070" builtinId="9" hidden="1"/>
    <cellStyle name="Followed Hyperlink" xfId="1071" builtinId="9" hidden="1"/>
    <cellStyle name="Followed Hyperlink" xfId="1072" builtinId="9" hidden="1"/>
    <cellStyle name="Followed Hyperlink" xfId="1073" builtinId="9" hidden="1"/>
    <cellStyle name="Followed Hyperlink" xfId="1074" builtinId="9" hidden="1"/>
    <cellStyle name="Followed Hyperlink" xfId="1075" builtinId="9" hidden="1"/>
    <cellStyle name="Followed Hyperlink" xfId="1076" builtinId="9" hidden="1"/>
    <cellStyle name="Followed Hyperlink" xfId="1077" builtinId="9" hidden="1"/>
    <cellStyle name="Followed Hyperlink" xfId="1078" builtinId="9" hidden="1"/>
    <cellStyle name="Followed Hyperlink" xfId="1079" builtinId="9" hidden="1"/>
    <cellStyle name="Followed Hyperlink" xfId="1080" builtinId="9" hidden="1"/>
    <cellStyle name="Followed Hyperlink" xfId="1081" builtinId="9" hidden="1"/>
    <cellStyle name="Followed Hyperlink" xfId="1082" builtinId="9" hidden="1"/>
    <cellStyle name="Followed Hyperlink" xfId="1083" builtinId="9" hidden="1"/>
    <cellStyle name="Followed Hyperlink" xfId="1084" builtinId="9" hidden="1"/>
    <cellStyle name="Followed Hyperlink" xfId="1085" builtinId="9" hidden="1"/>
    <cellStyle name="Followed Hyperlink" xfId="1086" builtinId="9" hidden="1"/>
    <cellStyle name="Followed Hyperlink" xfId="1087" builtinId="9" hidden="1"/>
    <cellStyle name="Followed Hyperlink" xfId="1088" builtinId="9" hidden="1"/>
    <cellStyle name="Followed Hyperlink" xfId="1089" builtinId="9" hidden="1"/>
    <cellStyle name="Followed Hyperlink" xfId="1090" builtinId="9" hidden="1"/>
    <cellStyle name="Followed Hyperlink" xfId="1091" builtinId="9" hidden="1"/>
    <cellStyle name="Followed Hyperlink" xfId="1092" builtinId="9" hidden="1"/>
    <cellStyle name="Followed Hyperlink" xfId="1093" builtinId="9" hidden="1"/>
    <cellStyle name="Followed Hyperlink" xfId="1094" builtinId="9" hidden="1"/>
    <cellStyle name="Followed Hyperlink" xfId="1095" builtinId="9" hidden="1"/>
    <cellStyle name="Followed Hyperlink" xfId="1096" builtinId="9" hidden="1"/>
    <cellStyle name="Followed Hyperlink" xfId="1097" builtinId="9" hidden="1"/>
    <cellStyle name="Followed Hyperlink" xfId="1098" builtinId="9" hidden="1"/>
    <cellStyle name="Followed Hyperlink" xfId="1099" builtinId="9" hidden="1"/>
    <cellStyle name="Followed Hyperlink" xfId="1100" builtinId="9" hidden="1"/>
    <cellStyle name="Followed Hyperlink" xfId="1101" builtinId="9" hidden="1"/>
    <cellStyle name="Followed Hyperlink" xfId="1102" builtinId="9" hidden="1"/>
    <cellStyle name="Followed Hyperlink" xfId="1103" builtinId="9" hidden="1"/>
    <cellStyle name="Followed Hyperlink" xfId="1104" builtinId="9" hidden="1"/>
    <cellStyle name="Followed Hyperlink" xfId="1105" builtinId="9" hidden="1"/>
    <cellStyle name="Followed Hyperlink" xfId="1106" builtinId="9" hidden="1"/>
    <cellStyle name="Followed Hyperlink" xfId="1107" builtinId="9" hidden="1"/>
    <cellStyle name="Followed Hyperlink" xfId="1108" builtinId="9" hidden="1"/>
    <cellStyle name="Followed Hyperlink" xfId="1109" builtinId="9" hidden="1"/>
    <cellStyle name="Followed Hyperlink" xfId="1110" builtinId="9" hidden="1"/>
    <cellStyle name="Followed Hyperlink" xfId="1111" builtinId="9" hidden="1"/>
    <cellStyle name="Followed Hyperlink" xfId="1112" builtinId="9" hidden="1"/>
    <cellStyle name="Followed Hyperlink" xfId="1113" builtinId="9" hidden="1"/>
    <cellStyle name="Followed Hyperlink" xfId="1114" builtinId="9" hidden="1"/>
    <cellStyle name="Followed Hyperlink" xfId="1115" builtinId="9" hidden="1"/>
    <cellStyle name="Followed Hyperlink" xfId="1116" builtinId="9" hidden="1"/>
    <cellStyle name="Followed Hyperlink" xfId="1117" builtinId="9" hidden="1"/>
    <cellStyle name="Followed Hyperlink" xfId="1118" builtinId="9" hidden="1"/>
    <cellStyle name="Followed Hyperlink" xfId="1119" builtinId="9" hidden="1"/>
    <cellStyle name="Followed Hyperlink" xfId="1120" builtinId="9" hidden="1"/>
    <cellStyle name="Followed Hyperlink" xfId="1121" builtinId="9" hidden="1"/>
    <cellStyle name="Followed Hyperlink" xfId="1122" builtinId="9" hidden="1"/>
    <cellStyle name="Followed Hyperlink" xfId="1123" builtinId="9" hidden="1"/>
    <cellStyle name="Followed Hyperlink" xfId="1124" builtinId="9" hidden="1"/>
    <cellStyle name="Followed Hyperlink" xfId="1125" builtinId="9" hidden="1"/>
    <cellStyle name="Followed Hyperlink" xfId="1126" builtinId="9" hidden="1"/>
    <cellStyle name="Followed Hyperlink" xfId="1127" builtinId="9" hidden="1"/>
    <cellStyle name="Followed Hyperlink" xfId="1128" builtinId="9" hidden="1"/>
    <cellStyle name="Followed Hyperlink" xfId="1129" builtinId="9" hidden="1"/>
    <cellStyle name="Followed Hyperlink" xfId="1130" builtinId="9" hidden="1"/>
    <cellStyle name="Followed Hyperlink" xfId="1131" builtinId="9" hidden="1"/>
    <cellStyle name="Followed Hyperlink" xfId="1132" builtinId="9" hidden="1"/>
    <cellStyle name="Followed Hyperlink" xfId="1133" builtinId="9" hidden="1"/>
    <cellStyle name="Followed Hyperlink" xfId="1134" builtinId="9" hidden="1"/>
    <cellStyle name="Followed Hyperlink" xfId="1135" builtinId="9" hidden="1"/>
    <cellStyle name="Followed Hyperlink" xfId="1136" builtinId="9" hidden="1"/>
    <cellStyle name="Followed Hyperlink" xfId="1137" builtinId="9" hidden="1"/>
    <cellStyle name="Followed Hyperlink" xfId="1138" builtinId="9" hidden="1"/>
    <cellStyle name="Followed Hyperlink" xfId="1139" builtinId="9" hidden="1"/>
    <cellStyle name="Followed Hyperlink" xfId="1140" builtinId="9" hidden="1"/>
    <cellStyle name="Followed Hyperlink" xfId="1141" builtinId="9" hidden="1"/>
    <cellStyle name="Followed Hyperlink" xfId="1142" builtinId="9" hidden="1"/>
    <cellStyle name="Followed Hyperlink" xfId="1143" builtinId="9" hidden="1"/>
    <cellStyle name="Followed Hyperlink" xfId="1144" builtinId="9" hidden="1"/>
    <cellStyle name="Followed Hyperlink" xfId="1145" builtinId="9" hidden="1"/>
    <cellStyle name="Followed Hyperlink" xfId="1146" builtinId="9" hidden="1"/>
    <cellStyle name="Followed Hyperlink" xfId="1147" builtinId="9" hidden="1"/>
    <cellStyle name="Followed Hyperlink" xfId="1148" builtinId="9" hidden="1"/>
    <cellStyle name="Followed Hyperlink" xfId="1149" builtinId="9" hidden="1"/>
    <cellStyle name="Followed Hyperlink" xfId="1150" builtinId="9" hidden="1"/>
    <cellStyle name="Followed Hyperlink" xfId="1151" builtinId="9" hidden="1"/>
    <cellStyle name="Followed Hyperlink" xfId="1152" builtinId="9" hidden="1"/>
    <cellStyle name="Followed Hyperlink" xfId="1153" builtinId="9" hidden="1"/>
    <cellStyle name="Followed Hyperlink" xfId="1154" builtinId="9" hidden="1"/>
    <cellStyle name="Followed Hyperlink" xfId="1155" builtinId="9" hidden="1"/>
    <cellStyle name="Followed Hyperlink" xfId="1156" builtinId="9" hidden="1"/>
    <cellStyle name="Followed Hyperlink" xfId="1157" builtinId="9" hidden="1"/>
    <cellStyle name="Followed Hyperlink" xfId="1158" builtinId="9" hidden="1"/>
    <cellStyle name="Followed Hyperlink" xfId="1159" builtinId="9" hidden="1"/>
    <cellStyle name="Followed Hyperlink" xfId="1160" builtinId="9" hidden="1"/>
    <cellStyle name="Followed Hyperlink" xfId="1161" builtinId="9" hidden="1"/>
    <cellStyle name="Followed Hyperlink" xfId="1162" builtinId="9" hidden="1"/>
    <cellStyle name="Followed Hyperlink" xfId="1163" builtinId="9" hidden="1"/>
    <cellStyle name="Followed Hyperlink" xfId="1164" builtinId="9" hidden="1"/>
    <cellStyle name="Followed Hyperlink" xfId="1165" builtinId="9" hidden="1"/>
    <cellStyle name="Followed Hyperlink" xfId="1166" builtinId="9" hidden="1"/>
    <cellStyle name="Followed Hyperlink" xfId="1167" builtinId="9" hidden="1"/>
    <cellStyle name="Followed Hyperlink" xfId="1168" builtinId="9" hidden="1"/>
    <cellStyle name="Followed Hyperlink" xfId="1169" builtinId="9" hidden="1"/>
    <cellStyle name="Followed Hyperlink" xfId="1170" builtinId="9" hidden="1"/>
    <cellStyle name="Followed Hyperlink" xfId="1171" builtinId="9" hidden="1"/>
    <cellStyle name="Followed Hyperlink" xfId="1172" builtinId="9" hidden="1"/>
    <cellStyle name="Followed Hyperlink" xfId="1173" builtinId="9" hidden="1"/>
    <cellStyle name="Followed Hyperlink" xfId="1174" builtinId="9" hidden="1"/>
    <cellStyle name="Followed Hyperlink" xfId="1175" builtinId="9" hidden="1"/>
    <cellStyle name="Followed Hyperlink" xfId="1176" builtinId="9" hidden="1"/>
    <cellStyle name="Followed Hyperlink" xfId="1177" builtinId="9" hidden="1"/>
    <cellStyle name="Followed Hyperlink" xfId="1178" builtinId="9" hidden="1"/>
    <cellStyle name="Followed Hyperlink" xfId="1179" builtinId="9" hidden="1"/>
    <cellStyle name="Followed Hyperlink" xfId="1180" builtinId="9" hidden="1"/>
    <cellStyle name="Followed Hyperlink" xfId="1181" builtinId="9" hidden="1"/>
    <cellStyle name="Followed Hyperlink" xfId="1182" builtinId="9" hidden="1"/>
    <cellStyle name="Followed Hyperlink" xfId="1183" builtinId="9" hidden="1"/>
    <cellStyle name="Followed Hyperlink" xfId="1184" builtinId="9" hidden="1"/>
    <cellStyle name="Followed Hyperlink" xfId="1185" builtinId="9" hidden="1"/>
    <cellStyle name="Followed Hyperlink" xfId="1186" builtinId="9" hidden="1"/>
    <cellStyle name="Followed Hyperlink" xfId="1187" builtinId="9" hidden="1"/>
    <cellStyle name="Followed Hyperlink" xfId="1188" builtinId="9" hidden="1"/>
    <cellStyle name="Followed Hyperlink" xfId="1189" builtinId="9" hidden="1"/>
    <cellStyle name="Followed Hyperlink" xfId="1190" builtinId="9" hidden="1"/>
    <cellStyle name="Followed Hyperlink" xfId="1191" builtinId="9" hidden="1"/>
    <cellStyle name="Followed Hyperlink" xfId="1192" builtinId="9" hidden="1"/>
    <cellStyle name="Followed Hyperlink" xfId="1193" builtinId="9" hidden="1"/>
    <cellStyle name="Followed Hyperlink" xfId="1194" builtinId="9" hidden="1"/>
    <cellStyle name="Followed Hyperlink" xfId="1195" builtinId="9" hidden="1"/>
    <cellStyle name="Followed Hyperlink" xfId="1196" builtinId="9" hidden="1"/>
    <cellStyle name="Followed Hyperlink" xfId="1197" builtinId="9" hidden="1"/>
    <cellStyle name="Followed Hyperlink" xfId="1198" builtinId="9" hidden="1"/>
    <cellStyle name="Followed Hyperlink" xfId="1199" builtinId="9" hidden="1"/>
    <cellStyle name="Followed Hyperlink" xfId="1200" builtinId="9" hidden="1"/>
    <cellStyle name="Followed Hyperlink" xfId="1201" builtinId="9" hidden="1"/>
    <cellStyle name="Followed Hyperlink" xfId="1202" builtinId="9" hidden="1"/>
    <cellStyle name="Followed Hyperlink" xfId="1203" builtinId="9" hidden="1"/>
    <cellStyle name="Followed Hyperlink" xfId="1204" builtinId="9" hidden="1"/>
    <cellStyle name="Followed Hyperlink" xfId="1205" builtinId="9" hidden="1"/>
    <cellStyle name="Followed Hyperlink" xfId="1206" builtinId="9" hidden="1"/>
    <cellStyle name="Followed Hyperlink" xfId="1207" builtinId="9" hidden="1"/>
    <cellStyle name="Followed Hyperlink" xfId="1208" builtinId="9" hidden="1"/>
    <cellStyle name="Followed Hyperlink" xfId="1209" builtinId="9" hidden="1"/>
    <cellStyle name="Followed Hyperlink" xfId="1210" builtinId="9" hidden="1"/>
    <cellStyle name="Followed Hyperlink" xfId="1211" builtinId="9" hidden="1"/>
    <cellStyle name="Followed Hyperlink" xfId="1212" builtinId="9" hidden="1"/>
    <cellStyle name="Followed Hyperlink" xfId="1213" builtinId="9" hidden="1"/>
    <cellStyle name="Followed Hyperlink" xfId="1214" builtinId="9" hidden="1"/>
    <cellStyle name="Followed Hyperlink" xfId="1215" builtinId="9" hidden="1"/>
    <cellStyle name="Followed Hyperlink" xfId="1216" builtinId="9" hidden="1"/>
    <cellStyle name="Followed Hyperlink" xfId="1217" builtinId="9" hidden="1"/>
    <cellStyle name="Followed Hyperlink" xfId="1218" builtinId="9" hidden="1"/>
    <cellStyle name="Followed Hyperlink" xfId="1219" builtinId="9" hidden="1"/>
    <cellStyle name="Followed Hyperlink" xfId="1220" builtinId="9" hidden="1"/>
    <cellStyle name="Followed Hyperlink" xfId="1221" builtinId="9" hidden="1"/>
    <cellStyle name="Followed Hyperlink" xfId="1222" builtinId="9" hidden="1"/>
    <cellStyle name="Followed Hyperlink" xfId="1223" builtinId="9" hidden="1"/>
    <cellStyle name="Followed Hyperlink" xfId="1224" builtinId="9" hidden="1"/>
    <cellStyle name="Followed Hyperlink" xfId="1225" builtinId="9" hidden="1"/>
    <cellStyle name="Followed Hyperlink" xfId="1226" builtinId="9" hidden="1"/>
    <cellStyle name="Followed Hyperlink" xfId="1227" builtinId="9" hidden="1"/>
    <cellStyle name="Followed Hyperlink" xfId="1228" builtinId="9" hidden="1"/>
    <cellStyle name="Followed Hyperlink" xfId="1229" builtinId="9" hidden="1"/>
    <cellStyle name="Followed Hyperlink" xfId="1230" builtinId="9" hidden="1"/>
    <cellStyle name="Followed Hyperlink" xfId="1231" builtinId="9" hidden="1"/>
    <cellStyle name="Followed Hyperlink" xfId="1232" builtinId="9" hidden="1"/>
    <cellStyle name="Followed Hyperlink" xfId="1233" builtinId="9" hidden="1"/>
    <cellStyle name="Followed Hyperlink" xfId="1234" builtinId="9" hidden="1"/>
    <cellStyle name="Followed Hyperlink" xfId="1235" builtinId="9" hidden="1"/>
    <cellStyle name="Followed Hyperlink" xfId="1236" builtinId="9" hidden="1"/>
    <cellStyle name="Followed Hyperlink" xfId="1237" builtinId="9" hidden="1"/>
    <cellStyle name="Followed Hyperlink" xfId="1238" builtinId="9" hidden="1"/>
    <cellStyle name="Followed Hyperlink" xfId="1239" builtinId="9" hidden="1"/>
    <cellStyle name="Followed Hyperlink" xfId="1240" builtinId="9" hidden="1"/>
    <cellStyle name="Followed Hyperlink" xfId="1241" builtinId="9" hidden="1"/>
    <cellStyle name="Followed Hyperlink" xfId="1242" builtinId="9" hidden="1"/>
    <cellStyle name="Followed Hyperlink" xfId="1243" builtinId="9" hidden="1"/>
    <cellStyle name="Followed Hyperlink" xfId="1244" builtinId="9" hidden="1"/>
    <cellStyle name="Followed Hyperlink" xfId="1245" builtinId="9" hidden="1"/>
    <cellStyle name="Followed Hyperlink" xfId="1246" builtinId="9" hidden="1"/>
    <cellStyle name="Followed Hyperlink" xfId="1247" builtinId="9" hidden="1"/>
    <cellStyle name="Followed Hyperlink" xfId="1248" builtinId="9" hidden="1"/>
    <cellStyle name="Followed Hyperlink" xfId="1249" builtinId="9" hidden="1"/>
    <cellStyle name="Followed Hyperlink" xfId="1250" builtinId="9" hidden="1"/>
    <cellStyle name="Followed Hyperlink" xfId="1251" builtinId="9" hidden="1"/>
    <cellStyle name="Followed Hyperlink" xfId="1252" builtinId="9" hidden="1"/>
    <cellStyle name="Followed Hyperlink" xfId="1253" builtinId="9" hidden="1"/>
    <cellStyle name="Followed Hyperlink" xfId="1254" builtinId="9" hidden="1"/>
    <cellStyle name="Followed Hyperlink" xfId="1255" builtinId="9" hidden="1"/>
    <cellStyle name="Followed Hyperlink" xfId="1256" builtinId="9" hidden="1"/>
    <cellStyle name="Followed Hyperlink" xfId="1257" builtinId="9" hidden="1"/>
    <cellStyle name="Followed Hyperlink" xfId="1258" builtinId="9" hidden="1"/>
    <cellStyle name="Followed Hyperlink" xfId="1259" builtinId="9" hidden="1"/>
    <cellStyle name="Followed Hyperlink" xfId="1260" builtinId="9" hidden="1"/>
    <cellStyle name="Followed Hyperlink" xfId="1261" builtinId="9" hidden="1"/>
    <cellStyle name="Followed Hyperlink" xfId="1262" builtinId="9" hidden="1"/>
    <cellStyle name="Followed Hyperlink" xfId="1263" builtinId="9" hidden="1"/>
    <cellStyle name="Followed Hyperlink" xfId="1264" builtinId="9" hidden="1"/>
    <cellStyle name="Followed Hyperlink" xfId="1265" builtinId="9" hidden="1"/>
    <cellStyle name="Followed Hyperlink" xfId="1266" builtinId="9" hidden="1"/>
    <cellStyle name="Followed Hyperlink" xfId="1267" builtinId="9" hidden="1"/>
    <cellStyle name="Followed Hyperlink" xfId="1268" builtinId="9" hidden="1"/>
    <cellStyle name="Followed Hyperlink" xfId="1269" builtinId="9" hidden="1"/>
    <cellStyle name="Followed Hyperlink" xfId="1270" builtinId="9" hidden="1"/>
    <cellStyle name="Followed Hyperlink" xfId="1271" builtinId="9" hidden="1"/>
    <cellStyle name="Followed Hyperlink" xfId="1272" builtinId="9" hidden="1"/>
    <cellStyle name="Followed Hyperlink" xfId="1273" builtinId="9" hidden="1"/>
    <cellStyle name="Followed Hyperlink" xfId="1274" builtinId="9" hidden="1"/>
    <cellStyle name="Followed Hyperlink" xfId="1275" builtinId="9" hidden="1"/>
    <cellStyle name="Followed Hyperlink" xfId="1276" builtinId="9" hidden="1"/>
    <cellStyle name="Followed Hyperlink" xfId="1277" builtinId="9" hidden="1"/>
    <cellStyle name="Followed Hyperlink" xfId="1278" builtinId="9" hidden="1"/>
    <cellStyle name="Followed Hyperlink" xfId="1279" builtinId="9" hidden="1"/>
    <cellStyle name="Followed Hyperlink" xfId="1280" builtinId="9" hidden="1"/>
    <cellStyle name="Followed Hyperlink" xfId="1281" builtinId="9" hidden="1"/>
    <cellStyle name="Followed Hyperlink" xfId="1282" builtinId="9" hidden="1"/>
    <cellStyle name="Followed Hyperlink" xfId="1283" builtinId="9" hidden="1"/>
    <cellStyle name="Followed Hyperlink" xfId="1284" builtinId="9" hidden="1"/>
    <cellStyle name="Followed Hyperlink" xfId="1285" builtinId="9" hidden="1"/>
    <cellStyle name="Followed Hyperlink" xfId="1286" builtinId="9" hidden="1"/>
    <cellStyle name="Followed Hyperlink" xfId="1287" builtinId="9" hidden="1"/>
    <cellStyle name="Followed Hyperlink" xfId="1288" builtinId="9" hidden="1"/>
    <cellStyle name="Followed Hyperlink" xfId="1289" builtinId="9" hidden="1"/>
    <cellStyle name="Followed Hyperlink" xfId="1290" builtinId="9" hidden="1"/>
    <cellStyle name="Followed Hyperlink" xfId="1291" builtinId="9" hidden="1"/>
    <cellStyle name="Followed Hyperlink" xfId="1292" builtinId="9" hidden="1"/>
    <cellStyle name="Followed Hyperlink" xfId="1293" builtinId="9" hidden="1"/>
    <cellStyle name="Followed Hyperlink" xfId="1294" builtinId="9" hidden="1"/>
    <cellStyle name="Followed Hyperlink" xfId="1295" builtinId="9" hidden="1"/>
    <cellStyle name="Followed Hyperlink" xfId="1296" builtinId="9" hidden="1"/>
    <cellStyle name="Followed Hyperlink" xfId="1297" builtinId="9" hidden="1"/>
    <cellStyle name="Followed Hyperlink" xfId="1298" builtinId="9" hidden="1"/>
    <cellStyle name="Followed Hyperlink" xfId="1299" builtinId="9" hidden="1"/>
    <cellStyle name="Followed Hyperlink" xfId="1300" builtinId="9" hidden="1"/>
    <cellStyle name="Followed Hyperlink" xfId="1301" builtinId="9" hidden="1"/>
    <cellStyle name="Followed Hyperlink" xfId="1302" builtinId="9" hidden="1"/>
    <cellStyle name="Followed Hyperlink" xfId="1303" builtinId="9" hidden="1"/>
    <cellStyle name="Followed Hyperlink" xfId="1304" builtinId="9" hidden="1"/>
    <cellStyle name="Followed Hyperlink" xfId="1305" builtinId="9" hidden="1"/>
    <cellStyle name="Followed Hyperlink" xfId="1306" builtinId="9" hidden="1"/>
    <cellStyle name="Followed Hyperlink" xfId="1307" builtinId="9" hidden="1"/>
    <cellStyle name="Followed Hyperlink" xfId="1308" builtinId="9" hidden="1"/>
    <cellStyle name="Followed Hyperlink" xfId="1309" builtinId="9" hidden="1"/>
    <cellStyle name="Followed Hyperlink" xfId="1310" builtinId="9" hidden="1"/>
    <cellStyle name="Followed Hyperlink" xfId="1311" builtinId="9" hidden="1"/>
    <cellStyle name="Followed Hyperlink" xfId="1312" builtinId="9" hidden="1"/>
    <cellStyle name="Followed Hyperlink" xfId="1313" builtinId="9" hidden="1"/>
    <cellStyle name="Followed Hyperlink" xfId="1314" builtinId="9" hidden="1"/>
    <cellStyle name="Followed Hyperlink" xfId="1315" builtinId="9" hidden="1"/>
    <cellStyle name="Followed Hyperlink" xfId="1316" builtinId="9" hidden="1"/>
    <cellStyle name="Followed Hyperlink" xfId="1317" builtinId="9" hidden="1"/>
    <cellStyle name="Followed Hyperlink" xfId="1318" builtinId="9" hidden="1"/>
    <cellStyle name="Followed Hyperlink" xfId="1319" builtinId="9" hidden="1"/>
    <cellStyle name="Followed Hyperlink" xfId="1320" builtinId="9" hidden="1"/>
    <cellStyle name="Followed Hyperlink" xfId="1321" builtinId="9" hidden="1"/>
    <cellStyle name="Followed Hyperlink" xfId="1322" builtinId="9" hidden="1"/>
    <cellStyle name="Followed Hyperlink" xfId="1323" builtinId="9" hidden="1"/>
    <cellStyle name="Followed Hyperlink" xfId="1324" builtinId="9" hidden="1"/>
    <cellStyle name="Followed Hyperlink" xfId="1325" builtinId="9" hidden="1"/>
    <cellStyle name="Followed Hyperlink" xfId="1326" builtinId="9" hidden="1"/>
    <cellStyle name="Followed Hyperlink" xfId="1327" builtinId="9" hidden="1"/>
    <cellStyle name="Followed Hyperlink" xfId="1328" builtinId="9" hidden="1"/>
    <cellStyle name="Followed Hyperlink" xfId="1329" builtinId="9" hidden="1"/>
    <cellStyle name="Followed Hyperlink" xfId="1330" builtinId="9" hidden="1"/>
    <cellStyle name="Followed Hyperlink" xfId="1331" builtinId="9" hidden="1"/>
    <cellStyle name="Followed Hyperlink" xfId="1332" builtinId="9" hidden="1"/>
    <cellStyle name="Followed Hyperlink" xfId="1333" builtinId="9" hidden="1"/>
    <cellStyle name="Followed Hyperlink" xfId="1334" builtinId="9" hidden="1"/>
    <cellStyle name="Followed Hyperlink" xfId="1335" builtinId="9" hidden="1"/>
    <cellStyle name="Followed Hyperlink" xfId="1336" builtinId="9" hidden="1"/>
    <cellStyle name="Followed Hyperlink" xfId="1337" builtinId="9" hidden="1"/>
    <cellStyle name="Followed Hyperlink" xfId="1338" builtinId="9" hidden="1"/>
    <cellStyle name="Followed Hyperlink" xfId="1339" builtinId="9" hidden="1"/>
    <cellStyle name="Followed Hyperlink" xfId="1340" builtinId="9" hidden="1"/>
    <cellStyle name="Followed Hyperlink" xfId="1341" builtinId="9" hidden="1"/>
    <cellStyle name="Followed Hyperlink" xfId="1342" builtinId="9" hidden="1"/>
    <cellStyle name="Followed Hyperlink" xfId="1343" builtinId="9" hidden="1"/>
    <cellStyle name="Followed Hyperlink" xfId="1344" builtinId="9" hidden="1"/>
    <cellStyle name="Followed Hyperlink" xfId="1345" builtinId="9" hidden="1"/>
    <cellStyle name="Followed Hyperlink" xfId="1346" builtinId="9" hidden="1"/>
    <cellStyle name="Followed Hyperlink" xfId="1347" builtinId="9" hidden="1"/>
    <cellStyle name="Followed Hyperlink" xfId="1348" builtinId="9" hidden="1"/>
    <cellStyle name="Followed Hyperlink" xfId="1349" builtinId="9" hidden="1"/>
    <cellStyle name="Followed Hyperlink" xfId="1350" builtinId="9" hidden="1"/>
    <cellStyle name="Followed Hyperlink" xfId="1351" builtinId="9" hidden="1"/>
    <cellStyle name="Followed Hyperlink" xfId="1352" builtinId="9" hidden="1"/>
    <cellStyle name="Followed Hyperlink" xfId="1353" builtinId="9" hidden="1"/>
    <cellStyle name="Followed Hyperlink" xfId="1354" builtinId="9" hidden="1"/>
    <cellStyle name="Followed Hyperlink" xfId="1355" builtinId="9" hidden="1"/>
    <cellStyle name="Followed Hyperlink" xfId="1356" builtinId="9" hidden="1"/>
    <cellStyle name="Followed Hyperlink" xfId="1357" builtinId="9" hidden="1"/>
    <cellStyle name="Followed Hyperlink" xfId="1358" builtinId="9" hidden="1"/>
    <cellStyle name="Followed Hyperlink" xfId="1359" builtinId="9" hidden="1"/>
    <cellStyle name="Followed Hyperlink" xfId="1360" builtinId="9" hidden="1"/>
    <cellStyle name="Followed Hyperlink" xfId="1361" builtinId="9" hidden="1"/>
    <cellStyle name="Followed Hyperlink" xfId="1362" builtinId="9" hidden="1"/>
    <cellStyle name="Followed Hyperlink" xfId="1363" builtinId="9" hidden="1"/>
    <cellStyle name="Followed Hyperlink" xfId="1364" builtinId="9" hidden="1"/>
    <cellStyle name="Followed Hyperlink" xfId="1365" builtinId="9" hidden="1"/>
    <cellStyle name="Followed Hyperlink" xfId="1366" builtinId="9" hidden="1"/>
    <cellStyle name="Followed Hyperlink" xfId="1367" builtinId="9" hidden="1"/>
    <cellStyle name="Followed Hyperlink" xfId="1368" builtinId="9" hidden="1"/>
    <cellStyle name="Followed Hyperlink" xfId="1369" builtinId="9" hidden="1"/>
    <cellStyle name="Followed Hyperlink" xfId="1370" builtinId="9" hidden="1"/>
    <cellStyle name="Followed Hyperlink" xfId="1371" builtinId="9" hidden="1"/>
    <cellStyle name="Followed Hyperlink" xfId="1372" builtinId="9" hidden="1"/>
    <cellStyle name="Followed Hyperlink" xfId="1373" builtinId="9" hidden="1"/>
    <cellStyle name="Followed Hyperlink" xfId="1374" builtinId="9" hidden="1"/>
    <cellStyle name="Followed Hyperlink" xfId="1375" builtinId="9" hidden="1"/>
    <cellStyle name="Followed Hyperlink" xfId="1376" builtinId="9" hidden="1"/>
    <cellStyle name="Followed Hyperlink" xfId="1377" builtinId="9" hidden="1"/>
    <cellStyle name="Followed Hyperlink" xfId="1378" builtinId="9" hidden="1"/>
    <cellStyle name="Followed Hyperlink" xfId="1379" builtinId="9" hidden="1"/>
    <cellStyle name="Followed Hyperlink" xfId="1380" builtinId="9" hidden="1"/>
    <cellStyle name="Followed Hyperlink" xfId="1381" builtinId="9" hidden="1"/>
    <cellStyle name="Followed Hyperlink" xfId="1382" builtinId="9" hidden="1"/>
    <cellStyle name="Followed Hyperlink" xfId="1383" builtinId="9" hidden="1"/>
    <cellStyle name="Followed Hyperlink" xfId="1384" builtinId="9" hidden="1"/>
    <cellStyle name="Followed Hyperlink" xfId="1385" builtinId="9" hidden="1"/>
    <cellStyle name="Followed Hyperlink" xfId="1386" builtinId="9" hidden="1"/>
    <cellStyle name="Followed Hyperlink" xfId="1387" builtinId="9" hidden="1"/>
    <cellStyle name="Followed Hyperlink" xfId="1388" builtinId="9" hidden="1"/>
    <cellStyle name="Followed Hyperlink" xfId="1389" builtinId="9" hidden="1"/>
    <cellStyle name="Followed Hyperlink" xfId="1390" builtinId="9" hidden="1"/>
    <cellStyle name="Followed Hyperlink" xfId="1391" builtinId="9" hidden="1"/>
    <cellStyle name="Followed Hyperlink" xfId="1392" builtinId="9" hidden="1"/>
    <cellStyle name="Followed Hyperlink" xfId="1393" builtinId="9" hidden="1"/>
    <cellStyle name="Followed Hyperlink" xfId="1394" builtinId="9" hidden="1"/>
    <cellStyle name="Followed Hyperlink" xfId="1395" builtinId="9" hidden="1"/>
    <cellStyle name="Followed Hyperlink" xfId="1396" builtinId="9" hidden="1"/>
    <cellStyle name="Followed Hyperlink" xfId="1397" builtinId="9" hidden="1"/>
    <cellStyle name="Followed Hyperlink" xfId="1398" builtinId="9" hidden="1"/>
    <cellStyle name="Followed Hyperlink" xfId="1399" builtinId="9" hidden="1"/>
    <cellStyle name="Followed Hyperlink" xfId="1400" builtinId="9" hidden="1"/>
    <cellStyle name="Followed Hyperlink" xfId="1401" builtinId="9" hidden="1"/>
    <cellStyle name="Followed Hyperlink" xfId="1402" builtinId="9" hidden="1"/>
    <cellStyle name="Followed Hyperlink" xfId="1403" builtinId="9" hidden="1"/>
    <cellStyle name="Followed Hyperlink" xfId="1404" builtinId="9" hidden="1"/>
    <cellStyle name="Followed Hyperlink" xfId="1405" builtinId="9" hidden="1"/>
    <cellStyle name="Followed Hyperlink" xfId="1406" builtinId="9" hidden="1"/>
    <cellStyle name="Followed Hyperlink" xfId="1407" builtinId="9" hidden="1"/>
    <cellStyle name="Followed Hyperlink" xfId="1408" builtinId="9" hidden="1"/>
    <cellStyle name="Followed Hyperlink" xfId="1409" builtinId="9" hidden="1"/>
    <cellStyle name="Followed Hyperlink" xfId="1410" builtinId="9" hidden="1"/>
    <cellStyle name="Followed Hyperlink" xfId="1411" builtinId="9" hidden="1"/>
    <cellStyle name="Followed Hyperlink" xfId="1412" builtinId="9" hidden="1"/>
    <cellStyle name="Followed Hyperlink" xfId="1413" builtinId="9" hidden="1"/>
    <cellStyle name="Followed Hyperlink" xfId="1414" builtinId="9" hidden="1"/>
    <cellStyle name="Followed Hyperlink" xfId="1415" builtinId="9" hidden="1"/>
    <cellStyle name="Followed Hyperlink" xfId="1416" builtinId="9" hidden="1"/>
    <cellStyle name="Followed Hyperlink" xfId="1417" builtinId="9" hidden="1"/>
    <cellStyle name="Followed Hyperlink" xfId="1418" builtinId="9" hidden="1"/>
    <cellStyle name="Followed Hyperlink" xfId="1419" builtinId="9" hidden="1"/>
    <cellStyle name="Followed Hyperlink" xfId="1420" builtinId="9" hidden="1"/>
    <cellStyle name="Followed Hyperlink" xfId="1421" builtinId="9" hidden="1"/>
    <cellStyle name="Followed Hyperlink" xfId="1422" builtinId="9" hidden="1"/>
    <cellStyle name="Followed Hyperlink" xfId="1423" builtinId="9" hidden="1"/>
    <cellStyle name="Followed Hyperlink" xfId="1424" builtinId="9" hidden="1"/>
    <cellStyle name="Followed Hyperlink" xfId="1425" builtinId="9" hidden="1"/>
    <cellStyle name="Followed Hyperlink" xfId="1426" builtinId="9" hidden="1"/>
    <cellStyle name="Followed Hyperlink" xfId="1427" builtinId="9" hidden="1"/>
    <cellStyle name="Followed Hyperlink" xfId="1428" builtinId="9" hidden="1"/>
    <cellStyle name="Followed Hyperlink" xfId="1429" builtinId="9" hidden="1"/>
    <cellStyle name="Followed Hyperlink" xfId="1430" builtinId="9" hidden="1"/>
    <cellStyle name="Followed Hyperlink" xfId="1431" builtinId="9" hidden="1"/>
    <cellStyle name="Followed Hyperlink" xfId="1432" builtinId="9" hidden="1"/>
    <cellStyle name="Followed Hyperlink" xfId="1433" builtinId="9" hidden="1"/>
    <cellStyle name="Followed Hyperlink" xfId="1434" builtinId="9" hidden="1"/>
    <cellStyle name="Followed Hyperlink" xfId="1435" builtinId="9" hidden="1"/>
    <cellStyle name="Followed Hyperlink" xfId="1436" builtinId="9" hidden="1"/>
    <cellStyle name="Followed Hyperlink" xfId="1437" builtinId="9" hidden="1"/>
    <cellStyle name="Followed Hyperlink" xfId="1438" builtinId="9" hidden="1"/>
    <cellStyle name="Followed Hyperlink" xfId="1439" builtinId="9" hidden="1"/>
    <cellStyle name="Followed Hyperlink" xfId="1440" builtinId="9" hidden="1"/>
    <cellStyle name="Followed Hyperlink" xfId="1441" builtinId="9" hidden="1"/>
    <cellStyle name="Followed Hyperlink" xfId="1442" builtinId="9" hidden="1"/>
    <cellStyle name="Followed Hyperlink" xfId="1443" builtinId="9" hidden="1"/>
    <cellStyle name="Followed Hyperlink" xfId="1444" builtinId="9" hidden="1"/>
    <cellStyle name="Followed Hyperlink" xfId="1445" builtinId="9" hidden="1"/>
    <cellStyle name="Followed Hyperlink" xfId="1446" builtinId="9" hidden="1"/>
    <cellStyle name="Followed Hyperlink" xfId="1447" builtinId="9" hidden="1"/>
    <cellStyle name="Followed Hyperlink" xfId="1448" builtinId="9" hidden="1"/>
    <cellStyle name="Followed Hyperlink" xfId="1449" builtinId="9" hidden="1"/>
    <cellStyle name="Followed Hyperlink" xfId="1450" builtinId="9" hidden="1"/>
    <cellStyle name="Followed Hyperlink" xfId="1451" builtinId="9" hidden="1"/>
    <cellStyle name="Followed Hyperlink" xfId="1452" builtinId="9" hidden="1"/>
    <cellStyle name="Followed Hyperlink" xfId="1453" builtinId="9" hidden="1"/>
    <cellStyle name="Followed Hyperlink" xfId="1454" builtinId="9" hidden="1"/>
    <cellStyle name="Followed Hyperlink" xfId="1455" builtinId="9" hidden="1"/>
    <cellStyle name="Followed Hyperlink" xfId="1456" builtinId="9" hidden="1"/>
    <cellStyle name="Followed Hyperlink" xfId="1457" builtinId="9" hidden="1"/>
    <cellStyle name="Followed Hyperlink" xfId="1458" builtinId="9" hidden="1"/>
    <cellStyle name="Followed Hyperlink" xfId="1459" builtinId="9" hidden="1"/>
    <cellStyle name="Followed Hyperlink" xfId="1460" builtinId="9" hidden="1"/>
    <cellStyle name="Followed Hyperlink" xfId="1461" builtinId="9" hidden="1"/>
    <cellStyle name="Followed Hyperlink" xfId="1462" builtinId="9" hidden="1"/>
    <cellStyle name="Followed Hyperlink" xfId="1463" builtinId="9" hidden="1"/>
    <cellStyle name="Followed Hyperlink" xfId="1464" builtinId="9" hidden="1"/>
    <cellStyle name="Followed Hyperlink" xfId="1465" builtinId="9" hidden="1"/>
    <cellStyle name="Followed Hyperlink" xfId="1466" builtinId="9" hidden="1"/>
    <cellStyle name="Followed Hyperlink" xfId="1467" builtinId="9" hidden="1"/>
    <cellStyle name="Followed Hyperlink" xfId="1468" builtinId="9" hidden="1"/>
    <cellStyle name="Followed Hyperlink" xfId="1469" builtinId="9" hidden="1"/>
    <cellStyle name="Followed Hyperlink" xfId="1470" builtinId="9" hidden="1"/>
    <cellStyle name="Followed Hyperlink" xfId="1471" builtinId="9" hidden="1"/>
    <cellStyle name="Followed Hyperlink" xfId="1472" builtinId="9" hidden="1"/>
    <cellStyle name="Followed Hyperlink" xfId="1473" builtinId="9" hidden="1"/>
    <cellStyle name="Followed Hyperlink" xfId="1474" builtinId="9" hidden="1"/>
    <cellStyle name="Followed Hyperlink" xfId="1475" builtinId="9" hidden="1"/>
    <cellStyle name="Followed Hyperlink" xfId="1476" builtinId="9" hidden="1"/>
    <cellStyle name="Followed Hyperlink" xfId="1477" builtinId="9" hidden="1"/>
    <cellStyle name="Followed Hyperlink" xfId="1478" builtinId="9" hidden="1"/>
    <cellStyle name="Followed Hyperlink" xfId="1479" builtinId="9" hidden="1"/>
    <cellStyle name="Followed Hyperlink" xfId="1480" builtinId="9" hidden="1"/>
    <cellStyle name="Followed Hyperlink" xfId="1481" builtinId="9" hidden="1"/>
    <cellStyle name="Followed Hyperlink" xfId="1482" builtinId="9" hidden="1"/>
    <cellStyle name="Followed Hyperlink" xfId="1483" builtinId="9" hidden="1"/>
    <cellStyle name="Followed Hyperlink" xfId="1484" builtinId="9" hidden="1"/>
    <cellStyle name="Followed Hyperlink" xfId="1485" builtinId="9" hidden="1"/>
    <cellStyle name="Followed Hyperlink" xfId="1486" builtinId="9" hidden="1"/>
    <cellStyle name="Followed Hyperlink" xfId="1487" builtinId="9" hidden="1"/>
    <cellStyle name="Followed Hyperlink" xfId="1488" builtinId="9" hidden="1"/>
    <cellStyle name="Followed Hyperlink" xfId="1489" builtinId="9" hidden="1"/>
    <cellStyle name="Followed Hyperlink" xfId="1490" builtinId="9" hidden="1"/>
    <cellStyle name="Followed Hyperlink" xfId="1491" builtinId="9" hidden="1"/>
    <cellStyle name="Followed Hyperlink" xfId="1492" builtinId="9" hidden="1"/>
    <cellStyle name="Followed Hyperlink" xfId="1493" builtinId="9" hidden="1"/>
    <cellStyle name="Followed Hyperlink" xfId="1494" builtinId="9" hidden="1"/>
    <cellStyle name="Followed Hyperlink" xfId="1495" builtinId="9" hidden="1"/>
    <cellStyle name="Followed Hyperlink" xfId="1496" builtinId="9" hidden="1"/>
    <cellStyle name="Followed Hyperlink" xfId="1497" builtinId="9" hidden="1"/>
    <cellStyle name="Followed Hyperlink" xfId="1498" builtinId="9" hidden="1"/>
    <cellStyle name="Followed Hyperlink" xfId="1499" builtinId="9" hidden="1"/>
    <cellStyle name="Followed Hyperlink" xfId="1500" builtinId="9" hidden="1"/>
    <cellStyle name="Followed Hyperlink" xfId="1501" builtinId="9" hidden="1"/>
    <cellStyle name="Followed Hyperlink" xfId="1502" builtinId="9" hidden="1"/>
    <cellStyle name="Followed Hyperlink" xfId="1503" builtinId="9" hidden="1"/>
    <cellStyle name="Followed Hyperlink" xfId="1504" builtinId="9" hidden="1"/>
    <cellStyle name="Followed Hyperlink" xfId="1505" builtinId="9" hidden="1"/>
    <cellStyle name="Followed Hyperlink" xfId="1506" builtinId="9" hidden="1"/>
    <cellStyle name="Followed Hyperlink" xfId="1507" builtinId="9" hidden="1"/>
    <cellStyle name="Followed Hyperlink" xfId="1508" builtinId="9" hidden="1"/>
    <cellStyle name="Followed Hyperlink" xfId="1509" builtinId="9" hidden="1"/>
    <cellStyle name="Followed Hyperlink" xfId="1510" builtinId="9" hidden="1"/>
    <cellStyle name="Followed Hyperlink" xfId="1511" builtinId="9" hidden="1"/>
    <cellStyle name="Followed Hyperlink" xfId="1512" builtinId="9" hidden="1"/>
    <cellStyle name="Followed Hyperlink" xfId="1513" builtinId="9" hidden="1"/>
    <cellStyle name="Followed Hyperlink" xfId="1514" builtinId="9" hidden="1"/>
    <cellStyle name="Followed Hyperlink" xfId="1515" builtinId="9" hidden="1"/>
    <cellStyle name="Followed Hyperlink" xfId="1516" builtinId="9" hidden="1"/>
    <cellStyle name="Followed Hyperlink" xfId="1517" builtinId="9" hidden="1"/>
    <cellStyle name="Followed Hyperlink" xfId="1518" builtinId="9" hidden="1"/>
    <cellStyle name="Followed Hyperlink" xfId="1519" builtinId="9" hidden="1"/>
    <cellStyle name="Followed Hyperlink" xfId="1520" builtinId="9" hidden="1"/>
    <cellStyle name="Followed Hyperlink" xfId="1521" builtinId="9" hidden="1"/>
    <cellStyle name="Followed Hyperlink" xfId="1522" builtinId="9" hidden="1"/>
    <cellStyle name="Followed Hyperlink" xfId="1523" builtinId="9" hidden="1"/>
    <cellStyle name="Followed Hyperlink" xfId="1524" builtinId="9" hidden="1"/>
    <cellStyle name="Followed Hyperlink" xfId="1525" builtinId="9" hidden="1"/>
    <cellStyle name="Followed Hyperlink" xfId="1526" builtinId="9" hidden="1"/>
    <cellStyle name="Followed Hyperlink" xfId="1527" builtinId="9" hidden="1"/>
    <cellStyle name="Followed Hyperlink" xfId="1528" builtinId="9" hidden="1"/>
    <cellStyle name="Followed Hyperlink" xfId="1529" builtinId="9" hidden="1"/>
    <cellStyle name="Followed Hyperlink" xfId="1530" builtinId="9" hidden="1"/>
    <cellStyle name="Followed Hyperlink" xfId="1531" builtinId="9" hidden="1"/>
    <cellStyle name="Followed Hyperlink" xfId="1532" builtinId="9" hidden="1"/>
    <cellStyle name="Followed Hyperlink" xfId="1533" builtinId="9" hidden="1"/>
    <cellStyle name="Followed Hyperlink" xfId="1534" builtinId="9" hidden="1"/>
    <cellStyle name="Followed Hyperlink" xfId="1535" builtinId="9" hidden="1"/>
    <cellStyle name="Followed Hyperlink" xfId="1536" builtinId="9" hidden="1"/>
    <cellStyle name="Followed Hyperlink" xfId="1537" builtinId="9" hidden="1"/>
    <cellStyle name="Followed Hyperlink" xfId="1538" builtinId="9" hidden="1"/>
    <cellStyle name="Followed Hyperlink" xfId="1539" builtinId="9" hidden="1"/>
    <cellStyle name="Followed Hyperlink" xfId="1540" builtinId="9" hidden="1"/>
    <cellStyle name="Followed Hyperlink" xfId="1541" builtinId="9" hidden="1"/>
    <cellStyle name="Followed Hyperlink" xfId="1542" builtinId="9" hidden="1"/>
    <cellStyle name="Followed Hyperlink" xfId="1543" builtinId="9" hidden="1"/>
    <cellStyle name="Followed Hyperlink" xfId="1544" builtinId="9" hidden="1"/>
    <cellStyle name="Followed Hyperlink" xfId="1545" builtinId="9" hidden="1"/>
    <cellStyle name="Followed Hyperlink" xfId="1546" builtinId="9" hidden="1"/>
    <cellStyle name="Followed Hyperlink" xfId="1547" builtinId="9" hidden="1"/>
    <cellStyle name="Followed Hyperlink" xfId="1548" builtinId="9" hidden="1"/>
    <cellStyle name="Followed Hyperlink" xfId="1549" builtinId="9" hidden="1"/>
    <cellStyle name="Followed Hyperlink" xfId="1550" builtinId="9" hidden="1"/>
    <cellStyle name="Followed Hyperlink" xfId="1551" builtinId="9" hidden="1"/>
    <cellStyle name="Followed Hyperlink" xfId="1552" builtinId="9" hidden="1"/>
    <cellStyle name="Followed Hyperlink" xfId="1553" builtinId="9" hidden="1"/>
    <cellStyle name="Followed Hyperlink" xfId="1554" builtinId="9" hidden="1"/>
    <cellStyle name="Followed Hyperlink" xfId="1555" builtinId="9" hidden="1"/>
    <cellStyle name="Followed Hyperlink" xfId="1556" builtinId="9" hidden="1"/>
    <cellStyle name="Followed Hyperlink" xfId="1557" builtinId="9" hidden="1"/>
    <cellStyle name="Followed Hyperlink" xfId="1558" builtinId="9" hidden="1"/>
    <cellStyle name="Followed Hyperlink" xfId="1559" builtinId="9" hidden="1"/>
    <cellStyle name="Followed Hyperlink" xfId="1560" builtinId="9" hidden="1"/>
    <cellStyle name="Followed Hyperlink" xfId="1561" builtinId="9" hidden="1"/>
    <cellStyle name="Followed Hyperlink" xfId="1562" builtinId="9" hidden="1"/>
    <cellStyle name="Followed Hyperlink" xfId="1563" builtinId="9" hidden="1"/>
    <cellStyle name="Followed Hyperlink" xfId="1564" builtinId="9" hidden="1"/>
    <cellStyle name="Followed Hyperlink" xfId="1565" builtinId="9" hidden="1"/>
    <cellStyle name="Followed Hyperlink" xfId="1566" builtinId="9" hidden="1"/>
    <cellStyle name="Followed Hyperlink" xfId="1567" builtinId="9" hidden="1"/>
    <cellStyle name="Followed Hyperlink" xfId="1568" builtinId="9" hidden="1"/>
    <cellStyle name="Followed Hyperlink" xfId="1569" builtinId="9" hidden="1"/>
    <cellStyle name="Followed Hyperlink" xfId="1570" builtinId="9" hidden="1"/>
    <cellStyle name="Followed Hyperlink" xfId="1571" builtinId="9" hidden="1"/>
    <cellStyle name="Followed Hyperlink" xfId="1572" builtinId="9" hidden="1"/>
    <cellStyle name="Followed Hyperlink" xfId="1573" builtinId="9" hidden="1"/>
    <cellStyle name="Followed Hyperlink" xfId="1574" builtinId="9" hidden="1"/>
    <cellStyle name="Followed Hyperlink" xfId="1575" builtinId="9" hidden="1"/>
    <cellStyle name="Followed Hyperlink" xfId="1576" builtinId="9" hidden="1"/>
    <cellStyle name="Followed Hyperlink" xfId="1577" builtinId="9" hidden="1"/>
    <cellStyle name="Followed Hyperlink" xfId="1578" builtinId="9" hidden="1"/>
    <cellStyle name="Followed Hyperlink" xfId="1579" builtinId="9" hidden="1"/>
    <cellStyle name="Followed Hyperlink" xfId="1580" builtinId="9" hidden="1"/>
    <cellStyle name="Followed Hyperlink" xfId="1581" builtinId="9" hidden="1"/>
    <cellStyle name="Followed Hyperlink" xfId="1582" builtinId="9" hidden="1"/>
    <cellStyle name="Followed Hyperlink" xfId="1583" builtinId="9" hidden="1"/>
    <cellStyle name="Followed Hyperlink" xfId="1584" builtinId="9" hidden="1"/>
    <cellStyle name="Followed Hyperlink" xfId="1585" builtinId="9" hidden="1"/>
    <cellStyle name="Followed Hyperlink" xfId="1586" builtinId="9" hidden="1"/>
    <cellStyle name="Followed Hyperlink" xfId="1587" builtinId="9" hidden="1"/>
    <cellStyle name="Followed Hyperlink" xfId="1588" builtinId="9" hidden="1"/>
    <cellStyle name="Followed Hyperlink" xfId="1589" builtinId="9" hidden="1"/>
    <cellStyle name="Followed Hyperlink" xfId="1590" builtinId="9" hidden="1"/>
    <cellStyle name="Followed Hyperlink" xfId="1591" builtinId="9" hidden="1"/>
    <cellStyle name="Followed Hyperlink" xfId="1592" builtinId="9" hidden="1"/>
    <cellStyle name="Followed Hyperlink" xfId="1593" builtinId="9" hidden="1"/>
    <cellStyle name="Followed Hyperlink" xfId="1594" builtinId="9" hidden="1"/>
    <cellStyle name="Followed Hyperlink" xfId="1595" builtinId="9" hidden="1"/>
    <cellStyle name="Followed Hyperlink" xfId="1596" builtinId="9" hidden="1"/>
    <cellStyle name="Followed Hyperlink" xfId="1597" builtinId="9" hidden="1"/>
    <cellStyle name="Followed Hyperlink" xfId="1598" builtinId="9" hidden="1"/>
    <cellStyle name="Followed Hyperlink" xfId="1599" builtinId="9" hidden="1"/>
    <cellStyle name="Followed Hyperlink" xfId="1600" builtinId="9" hidden="1"/>
    <cellStyle name="Followed Hyperlink" xfId="1601" builtinId="9" hidden="1"/>
    <cellStyle name="Followed Hyperlink" xfId="1602" builtinId="9" hidden="1"/>
    <cellStyle name="Followed Hyperlink" xfId="1603" builtinId="9" hidden="1"/>
    <cellStyle name="Followed Hyperlink" xfId="1604" builtinId="9" hidden="1"/>
    <cellStyle name="Followed Hyperlink" xfId="1605" builtinId="9" hidden="1"/>
    <cellStyle name="Followed Hyperlink" xfId="1606" builtinId="9" hidden="1"/>
    <cellStyle name="Followed Hyperlink" xfId="1607" builtinId="9" hidden="1"/>
    <cellStyle name="Followed Hyperlink" xfId="1608" builtinId="9" hidden="1"/>
    <cellStyle name="Followed Hyperlink" xfId="1609" builtinId="9" hidden="1"/>
    <cellStyle name="Followed Hyperlink" xfId="1610" builtinId="9" hidden="1"/>
    <cellStyle name="Followed Hyperlink" xfId="1611" builtinId="9" hidden="1"/>
    <cellStyle name="Followed Hyperlink" xfId="1612" builtinId="9" hidden="1"/>
    <cellStyle name="Followed Hyperlink" xfId="1613" builtinId="9" hidden="1"/>
    <cellStyle name="Followed Hyperlink" xfId="1614" builtinId="9" hidden="1"/>
    <cellStyle name="Followed Hyperlink" xfId="1615" builtinId="9" hidden="1"/>
    <cellStyle name="Followed Hyperlink" xfId="1616" builtinId="9" hidden="1"/>
    <cellStyle name="Followed Hyperlink" xfId="1617" builtinId="9" hidden="1"/>
    <cellStyle name="Followed Hyperlink" xfId="1618" builtinId="9" hidden="1"/>
    <cellStyle name="Followed Hyperlink" xfId="1619" builtinId="9" hidden="1"/>
    <cellStyle name="Followed Hyperlink" xfId="1620" builtinId="9" hidden="1"/>
    <cellStyle name="Followed Hyperlink" xfId="1621" builtinId="9" hidden="1"/>
    <cellStyle name="Followed Hyperlink" xfId="1622" builtinId="9" hidden="1"/>
    <cellStyle name="Followed Hyperlink" xfId="1623" builtinId="9" hidden="1"/>
    <cellStyle name="Followed Hyperlink" xfId="1624" builtinId="9" hidden="1"/>
    <cellStyle name="Followed Hyperlink" xfId="1625" builtinId="9" hidden="1"/>
    <cellStyle name="Followed Hyperlink" xfId="1626" builtinId="9" hidden="1"/>
    <cellStyle name="Followed Hyperlink" xfId="1627" builtinId="9" hidden="1"/>
    <cellStyle name="Followed Hyperlink" xfId="1628" builtinId="9" hidden="1"/>
    <cellStyle name="Followed Hyperlink" xfId="1629" builtinId="9" hidden="1"/>
    <cellStyle name="Followed Hyperlink" xfId="1630" builtinId="9" hidden="1"/>
    <cellStyle name="Followed Hyperlink" xfId="1631" builtinId="9" hidden="1"/>
    <cellStyle name="Followed Hyperlink" xfId="1632" builtinId="9" hidden="1"/>
    <cellStyle name="Followed Hyperlink" xfId="1633" builtinId="9" hidden="1"/>
    <cellStyle name="Followed Hyperlink" xfId="1634" builtinId="9" hidden="1"/>
    <cellStyle name="Followed Hyperlink" xfId="1635" builtinId="9" hidden="1"/>
    <cellStyle name="Followed Hyperlink" xfId="1636" builtinId="9" hidden="1"/>
    <cellStyle name="Followed Hyperlink" xfId="1637" builtinId="9" hidden="1"/>
    <cellStyle name="Followed Hyperlink" xfId="1638" builtinId="9" hidden="1"/>
    <cellStyle name="Followed Hyperlink" xfId="1639" builtinId="9" hidden="1"/>
    <cellStyle name="Followed Hyperlink" xfId="1640" builtinId="9" hidden="1"/>
    <cellStyle name="Followed Hyperlink" xfId="1641" builtinId="9" hidden="1"/>
    <cellStyle name="Followed Hyperlink" xfId="1642" builtinId="9" hidden="1"/>
    <cellStyle name="Followed Hyperlink" xfId="1643" builtinId="9" hidden="1"/>
    <cellStyle name="Followed Hyperlink" xfId="1644" builtinId="9" hidden="1"/>
    <cellStyle name="Followed Hyperlink" xfId="1645" builtinId="9" hidden="1"/>
    <cellStyle name="Hyperlink" xfId="2" builtinId="8"/>
    <cellStyle name="Normal" xfId="0" builtinId="0"/>
    <cellStyle name="Normal 2" xfId="6" xr:uid="{00000000-0005-0000-0000-00006C060000}"/>
    <cellStyle name="Percent 2" xfId="8" xr:uid="{00000000-0005-0000-0000-00006D060000}"/>
  </cellStyles>
  <dxfs count="115">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ont>
        <color rgb="FF9C0006"/>
      </font>
      <fill>
        <patternFill>
          <bgColor rgb="FFFFC7CE"/>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5" tint="0.79998168889431442"/>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border diagonalUp="0" diagonalDown="0">
        <left style="thin">
          <color auto="1"/>
        </left>
        <right style="thin">
          <color auto="1"/>
        </right>
        <top style="thin">
          <color auto="1"/>
        </top>
        <bottom style="thin">
          <color auto="1"/>
        </bottom>
        <vertical/>
        <horizontal/>
      </border>
    </dxf>
    <dxf>
      <numFmt numFmtId="1" formatCode="0"/>
      <fill>
        <patternFill patternType="none">
          <fgColor indexed="64"/>
          <bgColor indexed="65"/>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scheme val="minor"/>
      </font>
      <fill>
        <patternFill patternType="none">
          <fgColor indexed="64"/>
          <bgColor indexed="65"/>
        </patternFill>
      </fill>
      <border diagonalUp="0" diagonalDown="0">
        <left/>
        <right style="thin">
          <color auto="1"/>
        </right>
        <top style="thin">
          <color auto="1"/>
        </top>
        <bottom style="thin">
          <color auto="1"/>
        </bottom>
        <vertical/>
        <horizontal/>
      </border>
    </dxf>
    <dxf>
      <fill>
        <patternFill patternType="none">
          <fgColor indexed="64"/>
          <bgColor indexed="65"/>
        </patternFill>
      </fill>
      <border diagonalUp="0" diagonalDown="0">
        <left/>
        <right style="thin">
          <color auto="1"/>
        </right>
        <top style="thin">
          <color auto="1"/>
        </top>
        <bottom style="thin">
          <color auto="1"/>
        </bottom>
        <vertical/>
        <horizontal/>
      </border>
    </dxf>
    <dxf>
      <font>
        <b val="0"/>
        <i val="0"/>
        <strike val="0"/>
        <condense val="0"/>
        <extend val="0"/>
        <outline val="0"/>
        <shadow val="0"/>
        <u val="none"/>
        <vertAlign val="baseline"/>
        <sz val="10"/>
        <color indexed="8"/>
        <name val="Arial"/>
        <scheme val="none"/>
      </font>
      <fill>
        <patternFill patternType="none">
          <fgColor indexed="64"/>
          <bgColor indexed="65"/>
        </patternFill>
      </fill>
      <alignment horizontal="left" vertical="top" textRotation="0" wrapText="1" indent="0" justifyLastLine="0" shrinkToFit="0" readingOrder="0"/>
      <border diagonalUp="0" diagonalDown="0">
        <left style="thin">
          <color auto="1"/>
        </left>
        <right/>
        <top style="thin">
          <color auto="1"/>
        </top>
        <bottom style="thin">
          <color auto="1"/>
        </bottom>
        <vertical/>
        <horizontal/>
      </border>
    </dxf>
    <dxf>
      <border outline="0">
        <top style="thick">
          <color auto="1"/>
        </top>
        <bottom style="thin">
          <color auto="1"/>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dxf>
    <dxf>
      <border outline="0">
        <bottom style="thick">
          <color auto="1"/>
        </bottom>
      </border>
    </dxf>
    <dxf>
      <font>
        <b/>
        <i val="0"/>
        <strike val="0"/>
        <condense val="0"/>
        <extend val="0"/>
        <outline val="0"/>
        <shadow val="0"/>
        <u val="none"/>
        <vertAlign val="baseline"/>
        <sz val="16"/>
        <color auto="1"/>
        <name val="Arial"/>
        <scheme val="none"/>
      </font>
      <fill>
        <patternFill patternType="solid">
          <fgColor indexed="64"/>
          <bgColor rgb="FFFFFF00"/>
        </patternFill>
      </fill>
      <alignment horizontal="center" vertical="center"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5" Type="http://schemas.openxmlformats.org/officeDocument/2006/relationships/worksheet" Target="worksheets/sheet5.xml"/><Relationship Id="rId61" Type="http://schemas.microsoft.com/office/2017/10/relationships/person" Target="persons/perso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13" displayName="Table13" ref="B1:K314" totalsRowShown="0" headerRowDxfId="114" dataDxfId="112" headerRowBorderDxfId="113" tableBorderDxfId="111" headerRowCellStyle="Normal 2" dataCellStyle="Currency 2">
  <autoFilter ref="B1:K314" xr:uid="{00000000-0009-0000-0100-000002000000}"/>
  <tableColumns count="10">
    <tableColumn id="1" xr3:uid="{00000000-0010-0000-0000-000001000000}" name="Column1" dataDxfId="110" dataCellStyle="Normal 2"/>
    <tableColumn id="2" xr3:uid="{00000000-0010-0000-0000-000002000000}" name="Column2" dataDxfId="109" dataCellStyle="Normal 2"/>
    <tableColumn id="3" xr3:uid="{00000000-0010-0000-0000-000003000000}" name="Column3" dataDxfId="108" dataCellStyle="Currency 2"/>
    <tableColumn id="4" xr3:uid="{00000000-0010-0000-0000-000004000000}" name="Column4" dataDxfId="107" dataCellStyle="Normal 2">
      <calculatedColumnFormula>$E$11</calculatedColumnFormula>
    </tableColumn>
    <tableColumn id="5" xr3:uid="{00000000-0010-0000-0000-000005000000}" name="Column5" dataDxfId="106" dataCellStyle="Currency 2">
      <calculatedColumnFormula>D2/E2</calculatedColumnFormula>
    </tableColumn>
    <tableColumn id="6" xr3:uid="{00000000-0010-0000-0000-000006000000}" name="Column6" dataDxfId="105" dataCellStyle="Currency 2">
      <calculatedColumnFormula>$F2*$G$11</calculatedColumnFormula>
    </tableColumn>
    <tableColumn id="7" xr3:uid="{00000000-0010-0000-0000-000007000000}" name="Column7" dataDxfId="104" dataCellStyle="Currency 2">
      <calculatedColumnFormula>F2*$H$11</calculatedColumnFormula>
    </tableColumn>
    <tableColumn id="8" xr3:uid="{00000000-0010-0000-0000-000008000000}" name="Column8" dataDxfId="103" dataCellStyle="Currency 2">
      <calculatedColumnFormula>$F2*$I$11</calculatedColumnFormula>
    </tableColumn>
    <tableColumn id="9" xr3:uid="{00000000-0010-0000-0000-000009000000}" name="Column9" dataDxfId="102" dataCellStyle="Currency 2">
      <calculatedColumnFormula>($F2+$I2)*$J$11</calculatedColumnFormula>
    </tableColumn>
    <tableColumn id="10" xr3:uid="{00000000-0010-0000-0000-00000A000000}" name="Column10" dataDxfId="101" dataCellStyle="Currency 2">
      <calculatedColumnFormula>ROUNDUP((SUM(F2:J2)),0)</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122"/>
  <sheetViews>
    <sheetView topLeftCell="A25" zoomScale="120" zoomScaleNormal="120" zoomScalePageLayoutView="120" workbookViewId="0">
      <selection activeCell="D38" sqref="D38"/>
    </sheetView>
  </sheetViews>
  <sheetFormatPr baseColWidth="10" defaultColWidth="8.83203125" defaultRowHeight="11"/>
  <cols>
    <col min="1" max="1" width="13" style="1" customWidth="1"/>
    <col min="2" max="2" width="30" style="1" customWidth="1"/>
    <col min="3" max="3" width="24.5" style="1" customWidth="1"/>
    <col min="4" max="4" width="8.6640625" style="2" customWidth="1"/>
    <col min="5" max="6" width="8.33203125" style="2" customWidth="1"/>
    <col min="7" max="8" width="8.6640625" style="2" customWidth="1"/>
    <col min="9" max="9" width="9.33203125" style="2" customWidth="1"/>
    <col min="10" max="10" width="8.6640625" style="2" customWidth="1"/>
    <col min="11" max="11" width="21.6640625" style="1" customWidth="1"/>
    <col min="12" max="12" width="3.5" style="1" hidden="1" customWidth="1"/>
    <col min="13" max="16384" width="8.83203125" style="1"/>
  </cols>
  <sheetData>
    <row r="1" spans="1:13" ht="15">
      <c r="C1" s="364"/>
      <c r="D1" s="365"/>
      <c r="E1" s="365"/>
      <c r="F1" s="365"/>
      <c r="G1" s="365"/>
      <c r="H1" s="366"/>
      <c r="J1" s="2" t="s">
        <v>0</v>
      </c>
      <c r="K1" s="197"/>
      <c r="M1" s="45"/>
    </row>
    <row r="2" spans="1:13" ht="15">
      <c r="C2" s="367"/>
      <c r="D2" s="367"/>
      <c r="E2" s="367"/>
      <c r="F2" s="367"/>
      <c r="G2" s="367"/>
      <c r="H2" s="366"/>
      <c r="K2" s="41"/>
    </row>
    <row r="3" spans="1:13" ht="15">
      <c r="C3" s="368"/>
      <c r="D3" s="369"/>
      <c r="E3" s="369"/>
      <c r="F3" s="369"/>
      <c r="G3" s="369"/>
      <c r="H3" s="366"/>
    </row>
    <row r="4" spans="1:13">
      <c r="C4" s="3"/>
      <c r="D4" s="4"/>
      <c r="E4" s="4"/>
      <c r="F4" s="4"/>
      <c r="G4" s="4"/>
    </row>
    <row r="5" spans="1:13">
      <c r="C5" s="3"/>
      <c r="D5" s="4"/>
      <c r="E5" s="4"/>
      <c r="F5" s="4"/>
      <c r="G5" s="4"/>
    </row>
    <row r="6" spans="1:13" ht="12">
      <c r="B6" s="5"/>
      <c r="C6" s="6"/>
      <c r="D6" s="7"/>
      <c r="E6" s="8"/>
      <c r="F6" s="8"/>
      <c r="G6" s="1" t="s">
        <v>1</v>
      </c>
      <c r="H6" s="370"/>
      <c r="I6" s="370"/>
      <c r="J6" s="1" t="s">
        <v>2</v>
      </c>
      <c r="K6" s="47"/>
    </row>
    <row r="7" spans="1:13" ht="12">
      <c r="A7" s="1" t="s">
        <v>3</v>
      </c>
      <c r="B7" s="9"/>
      <c r="C7" s="10"/>
      <c r="D7" s="11"/>
      <c r="E7" s="8"/>
      <c r="F7" s="8"/>
      <c r="G7" s="1" t="s">
        <v>4</v>
      </c>
      <c r="H7" s="371"/>
      <c r="I7" s="371"/>
      <c r="J7" s="1" t="s">
        <v>5</v>
      </c>
      <c r="K7" s="46"/>
    </row>
    <row r="8" spans="1:13" ht="12">
      <c r="B8" s="12"/>
      <c r="C8" s="13"/>
      <c r="D8" s="14"/>
      <c r="E8" s="8"/>
      <c r="F8" s="8"/>
      <c r="G8" s="1" t="s">
        <v>6</v>
      </c>
      <c r="H8" s="187"/>
      <c r="I8" s="188"/>
      <c r="J8" s="44"/>
    </row>
    <row r="9" spans="1:13" ht="16" thickBot="1">
      <c r="B9" s="15"/>
      <c r="C9" s="16"/>
      <c r="D9" s="16"/>
      <c r="E9" s="8"/>
      <c r="F9" s="8"/>
      <c r="G9" s="8"/>
    </row>
    <row r="10" spans="1:13" s="19" customFormat="1" ht="12" thickBot="1">
      <c r="A10" s="17" t="s">
        <v>7</v>
      </c>
      <c r="B10" s="17" t="s">
        <v>8</v>
      </c>
      <c r="C10" s="17" t="s">
        <v>9</v>
      </c>
      <c r="D10" s="18" t="s">
        <v>10</v>
      </c>
      <c r="E10" s="18" t="s">
        <v>11</v>
      </c>
      <c r="F10" s="18" t="s">
        <v>12</v>
      </c>
      <c r="G10" s="180" t="s">
        <v>13</v>
      </c>
      <c r="H10" s="18" t="s">
        <v>14</v>
      </c>
      <c r="I10" s="18" t="s">
        <v>15</v>
      </c>
      <c r="J10" s="18" t="s">
        <v>16</v>
      </c>
      <c r="K10" s="18" t="s">
        <v>17</v>
      </c>
      <c r="M10" s="19" t="s">
        <v>1797</v>
      </c>
    </row>
    <row r="11" spans="1:13" ht="15" customHeight="1">
      <c r="A11" s="48"/>
      <c r="B11" s="49">
        <f>VLOOKUP($C$11:$C$24,Personnel!$A$1:$B$1234,2,FALSE)</f>
        <v>0</v>
      </c>
      <c r="C11" s="36"/>
      <c r="D11" s="184"/>
      <c r="E11" s="179">
        <f>VLOOKUP($B$11:$B$24,'Constr. Wage Rate Calculations'!$A$19:$Z$288,22,FALSE)</f>
        <v>0</v>
      </c>
      <c r="F11" s="184"/>
      <c r="G11" s="179">
        <f>VLOOKUP($B$11:$B$24,'Constr. Wage Rate Calculations'!$A$19:$Z$288,23,FALSE)</f>
        <v>0</v>
      </c>
      <c r="H11" s="184"/>
      <c r="I11" s="179">
        <f>VLOOKUP($B$11:$B$24,'Constr. Wage Rate Calculations'!$A$19:$Z$288,24,FALSE)</f>
        <v>0</v>
      </c>
      <c r="J11" s="20">
        <f>VLOOKUP($B$11:$B$25,'Constr. Wage Rate Calculations'!$A$19:$Z$288,25,FALSE)</f>
        <v>0</v>
      </c>
      <c r="K11" s="179" t="str">
        <f t="shared" ref="K11:K24" si="0">IF($D11&gt;=1,$J11+(D11*E11)+(F11*G11)+(H11*I11),IF($F11&gt;=1,$J11+(D11*E11)+(F11*G11)+(H11*I11),IF($H11&gt;=1,$J11+(D11*E11)+(F11*G11)+(H11*I11),"")))</f>
        <v/>
      </c>
    </row>
    <row r="12" spans="1:13" ht="15" customHeight="1">
      <c r="A12" s="48"/>
      <c r="B12" s="49">
        <f>VLOOKUP($C$11:$C$24,Personnel!$A$1:$B$1234,2,FALSE)</f>
        <v>0</v>
      </c>
      <c r="C12" s="36"/>
      <c r="D12" s="184"/>
      <c r="E12" s="179">
        <f>VLOOKUP($B$11:$B$24,'Constr. Wage Rate Calculations'!$A$19:$Z$288,22,FALSE)</f>
        <v>0</v>
      </c>
      <c r="F12" s="184"/>
      <c r="G12" s="179">
        <f>VLOOKUP($B$11:$B$24,'Constr. Wage Rate Calculations'!$A$19:$Z$288,23,FALSE)</f>
        <v>0</v>
      </c>
      <c r="H12" s="184"/>
      <c r="I12" s="179">
        <f>VLOOKUP($B$11:$B$24,'Constr. Wage Rate Calculations'!$A$19:$Z$288,24,FALSE)</f>
        <v>0</v>
      </c>
      <c r="J12" s="20">
        <f>VLOOKUP($B$11:$B$25,'Constr. Wage Rate Calculations'!$A$19:$Z$288,25,FALSE)</f>
        <v>0</v>
      </c>
      <c r="K12" s="179" t="str">
        <f t="shared" si="0"/>
        <v/>
      </c>
    </row>
    <row r="13" spans="1:13" ht="15" customHeight="1">
      <c r="A13" s="48"/>
      <c r="B13" s="49">
        <f>VLOOKUP($C$11:$C$24,Personnel!$A$1:$B$1234,2,FALSE)</f>
        <v>0</v>
      </c>
      <c r="C13" s="36"/>
      <c r="D13" s="184"/>
      <c r="E13" s="179">
        <f>VLOOKUP($B$11:$B$24,'Constr. Wage Rate Calculations'!$A$19:$Z$288,22,FALSE)</f>
        <v>0</v>
      </c>
      <c r="F13" s="184"/>
      <c r="G13" s="179">
        <f>VLOOKUP($B$11:$B$24,'Constr. Wage Rate Calculations'!$A$19:$Z$288,23,FALSE)</f>
        <v>0</v>
      </c>
      <c r="H13" s="184"/>
      <c r="I13" s="179">
        <f>VLOOKUP($B$11:$B$24,'Constr. Wage Rate Calculations'!$A$19:$Z$288,24,FALSE)</f>
        <v>0</v>
      </c>
      <c r="J13" s="20">
        <f>VLOOKUP($B$11:$B$25,'Constr. Wage Rate Calculations'!$A$19:$Z$288,25,FALSE)</f>
        <v>0</v>
      </c>
      <c r="K13" s="179" t="str">
        <f t="shared" si="0"/>
        <v/>
      </c>
    </row>
    <row r="14" spans="1:13" ht="15" customHeight="1">
      <c r="A14" s="48"/>
      <c r="B14" s="49">
        <f>VLOOKUP($C$11:$C$24,Personnel!$A$1:$B$1234,2,FALSE)</f>
        <v>0</v>
      </c>
      <c r="C14" s="36"/>
      <c r="D14" s="184"/>
      <c r="E14" s="179">
        <f>VLOOKUP($B$11:$B$24,'Constr. Wage Rate Calculations'!$A$19:$Z$288,22,FALSE)</f>
        <v>0</v>
      </c>
      <c r="F14" s="184"/>
      <c r="G14" s="179">
        <f>VLOOKUP($B$11:$B$24,'Constr. Wage Rate Calculations'!$A$19:$Z$288,23,FALSE)</f>
        <v>0</v>
      </c>
      <c r="H14" s="184"/>
      <c r="I14" s="179">
        <f>VLOOKUP($B$11:$B$24,'Constr. Wage Rate Calculations'!$A$19:$Z$288,24,FALSE)</f>
        <v>0</v>
      </c>
      <c r="J14" s="20">
        <f>VLOOKUP($B$11:$B$25,'Constr. Wage Rate Calculations'!$A$19:$Z$288,25,FALSE)</f>
        <v>0</v>
      </c>
      <c r="K14" s="179" t="str">
        <f t="shared" si="0"/>
        <v/>
      </c>
    </row>
    <row r="15" spans="1:13" ht="15" customHeight="1">
      <c r="A15" s="48"/>
      <c r="B15" s="49">
        <f>VLOOKUP($C$11:$C$24,Personnel!$A$1:$B$1234,2,FALSE)</f>
        <v>0</v>
      </c>
      <c r="C15" s="36"/>
      <c r="D15" s="184"/>
      <c r="E15" s="179">
        <f>VLOOKUP($B$11:$B$24,'Constr. Wage Rate Calculations'!$A$19:$Z$288,22,FALSE)</f>
        <v>0</v>
      </c>
      <c r="F15" s="184"/>
      <c r="G15" s="179">
        <f>VLOOKUP($B$11:$B$24,'Constr. Wage Rate Calculations'!$A$19:$Z$288,23,FALSE)</f>
        <v>0</v>
      </c>
      <c r="H15" s="184"/>
      <c r="I15" s="179">
        <f>VLOOKUP($B$11:$B$24,'Constr. Wage Rate Calculations'!$A$19:$Z$288,24,FALSE)</f>
        <v>0</v>
      </c>
      <c r="J15" s="20">
        <f>VLOOKUP($B$11:$B$25,'Constr. Wage Rate Calculations'!$A$19:$Z$288,25,FALSE)</f>
        <v>0</v>
      </c>
      <c r="K15" s="179" t="str">
        <f t="shared" si="0"/>
        <v/>
      </c>
    </row>
    <row r="16" spans="1:13" ht="15" customHeight="1">
      <c r="A16" s="48"/>
      <c r="B16" s="49">
        <f>VLOOKUP($C$11:$C$24,Personnel!$A$1:$B$1234,2,FALSE)</f>
        <v>0</v>
      </c>
      <c r="C16" s="36"/>
      <c r="D16" s="184"/>
      <c r="E16" s="179">
        <f>VLOOKUP($B$11:$B$24,'Constr. Wage Rate Calculations'!$A$19:$Z$288,22,FALSE)</f>
        <v>0</v>
      </c>
      <c r="F16" s="184"/>
      <c r="G16" s="179">
        <f>VLOOKUP($B$11:$B$24,'Constr. Wage Rate Calculations'!$A$19:$Z$288,23,FALSE)</f>
        <v>0</v>
      </c>
      <c r="H16" s="184"/>
      <c r="I16" s="179">
        <f>VLOOKUP($B$11:$B$24,'Constr. Wage Rate Calculations'!$A$19:$Z$288,24,FALSE)</f>
        <v>0</v>
      </c>
      <c r="J16" s="20">
        <f>VLOOKUP($B$11:$B$25,'Constr. Wage Rate Calculations'!$A$19:$Z$288,25,FALSE)</f>
        <v>0</v>
      </c>
      <c r="K16" s="179" t="str">
        <f t="shared" si="0"/>
        <v/>
      </c>
    </row>
    <row r="17" spans="1:15" ht="15" customHeight="1">
      <c r="A17" s="48"/>
      <c r="B17" s="49">
        <f>VLOOKUP($C$11:$C$24,Personnel!$A$1:$B$1234,2,FALSE)</f>
        <v>0</v>
      </c>
      <c r="C17" s="36"/>
      <c r="D17" s="184"/>
      <c r="E17" s="179">
        <f>VLOOKUP($B$11:$B$24,'Constr. Wage Rate Calculations'!$A$19:$Z$288,22,FALSE)</f>
        <v>0</v>
      </c>
      <c r="F17" s="184"/>
      <c r="G17" s="179">
        <f>VLOOKUP($B$11:$B$24,'Constr. Wage Rate Calculations'!$A$19:$Z$288,23,FALSE)</f>
        <v>0</v>
      </c>
      <c r="H17" s="184"/>
      <c r="I17" s="179">
        <f>VLOOKUP($B$11:$B$24,'Constr. Wage Rate Calculations'!$A$19:$Z$288,24,FALSE)</f>
        <v>0</v>
      </c>
      <c r="J17" s="20">
        <f>VLOOKUP($B$11:$B$25,'Constr. Wage Rate Calculations'!$A$19:$Z$288,25,FALSE)</f>
        <v>0</v>
      </c>
      <c r="K17" s="179" t="str">
        <f t="shared" si="0"/>
        <v/>
      </c>
    </row>
    <row r="18" spans="1:15" ht="15" customHeight="1">
      <c r="A18" s="48"/>
      <c r="B18" s="49">
        <f>VLOOKUP($C$11:$C$24,Personnel!$A$1:$B$1234,2,FALSE)</f>
        <v>0</v>
      </c>
      <c r="C18" s="36"/>
      <c r="D18" s="184"/>
      <c r="E18" s="179">
        <f>VLOOKUP($B$11:$B$24,'Constr. Wage Rate Calculations'!$A$19:$Z$288,22,FALSE)</f>
        <v>0</v>
      </c>
      <c r="F18" s="184"/>
      <c r="G18" s="179">
        <f>VLOOKUP($B$11:$B$24,'Constr. Wage Rate Calculations'!$A$19:$Z$288,23,FALSE)</f>
        <v>0</v>
      </c>
      <c r="H18" s="184"/>
      <c r="I18" s="179">
        <f>VLOOKUP($B$11:$B$24,'Constr. Wage Rate Calculations'!$A$19:$Z$288,24,FALSE)</f>
        <v>0</v>
      </c>
      <c r="J18" s="20">
        <f>VLOOKUP($B$11:$B$25,'Constr. Wage Rate Calculations'!$A$19:$Z$288,25,FALSE)</f>
        <v>0</v>
      </c>
      <c r="K18" s="179" t="str">
        <f t="shared" si="0"/>
        <v/>
      </c>
    </row>
    <row r="19" spans="1:15" ht="15" customHeight="1">
      <c r="A19" s="48"/>
      <c r="B19" s="49">
        <f>VLOOKUP($C$11:$C$24,Personnel!$A$1:$B$1234,2,FALSE)</f>
        <v>0</v>
      </c>
      <c r="C19" s="36"/>
      <c r="D19" s="184"/>
      <c r="E19" s="179">
        <f>VLOOKUP($B$11:$B$24,'Constr. Wage Rate Calculations'!$A$19:$Z$288,22,FALSE)</f>
        <v>0</v>
      </c>
      <c r="F19" s="184"/>
      <c r="G19" s="179">
        <f>VLOOKUP($B$11:$B$24,'Constr. Wage Rate Calculations'!$A$19:$Z$288,23,FALSE)</f>
        <v>0</v>
      </c>
      <c r="H19" s="184"/>
      <c r="I19" s="179">
        <f>VLOOKUP($B$11:$B$24,'Constr. Wage Rate Calculations'!$A$19:$Z$288,24,FALSE)</f>
        <v>0</v>
      </c>
      <c r="J19" s="20">
        <f>VLOOKUP($B$11:$B$25,'Constr. Wage Rate Calculations'!$A$19:$Z$288,25,FALSE)</f>
        <v>0</v>
      </c>
      <c r="K19" s="179" t="str">
        <f t="shared" si="0"/>
        <v/>
      </c>
    </row>
    <row r="20" spans="1:15" ht="15" customHeight="1">
      <c r="A20" s="48"/>
      <c r="B20" s="49">
        <f>VLOOKUP($C$11:$C$24,Personnel!$A$1:$B$1234,2,FALSE)</f>
        <v>0</v>
      </c>
      <c r="C20" s="36"/>
      <c r="D20" s="184"/>
      <c r="E20" s="179">
        <f>VLOOKUP($B$11:$B$24,'Constr. Wage Rate Calculations'!$A$19:$Z$288,22,FALSE)</f>
        <v>0</v>
      </c>
      <c r="F20" s="184"/>
      <c r="G20" s="179">
        <f>VLOOKUP($B$11:$B$24,'Constr. Wage Rate Calculations'!$A$19:$Z$288,23,FALSE)</f>
        <v>0</v>
      </c>
      <c r="H20" s="184"/>
      <c r="I20" s="179">
        <f>VLOOKUP($B$11:$B$24,'Constr. Wage Rate Calculations'!$A$19:$Z$288,24,FALSE)</f>
        <v>0</v>
      </c>
      <c r="J20" s="20">
        <f>VLOOKUP($B$11:$B$25,'Constr. Wage Rate Calculations'!$A$19:$Z$288,25,FALSE)</f>
        <v>0</v>
      </c>
      <c r="K20" s="179" t="str">
        <f t="shared" si="0"/>
        <v/>
      </c>
    </row>
    <row r="21" spans="1:15" ht="15" customHeight="1">
      <c r="A21" s="48"/>
      <c r="B21" s="49">
        <f>VLOOKUP($C$11:$C$24,Personnel!$A$1:$B$1234,2,FALSE)</f>
        <v>0</v>
      </c>
      <c r="C21" s="36"/>
      <c r="D21" s="184"/>
      <c r="E21" s="179">
        <f>VLOOKUP($B$11:$B$24,'Constr. Wage Rate Calculations'!$A$19:$Z$288,22,FALSE)</f>
        <v>0</v>
      </c>
      <c r="F21" s="203"/>
      <c r="G21" s="179">
        <f>VLOOKUP($B$11:$B$24,'Constr. Wage Rate Calculations'!$A$19:$Z$288,23,FALSE)</f>
        <v>0</v>
      </c>
      <c r="H21" s="184"/>
      <c r="I21" s="179">
        <f>VLOOKUP($B$11:$B$24,'Constr. Wage Rate Calculations'!$A$19:$Z$288,24,FALSE)</f>
        <v>0</v>
      </c>
      <c r="J21" s="20">
        <f>VLOOKUP($B$11:$B$25,'Constr. Wage Rate Calculations'!$A$19:$Z$288,25,FALSE)</f>
        <v>0</v>
      </c>
      <c r="K21" s="179" t="str">
        <f t="shared" si="0"/>
        <v/>
      </c>
    </row>
    <row r="22" spans="1:15" ht="15" customHeight="1">
      <c r="A22" s="48"/>
      <c r="B22" s="49">
        <f>VLOOKUP($C$11:$C$24,Personnel!$A$1:$B$1234,2,FALSE)</f>
        <v>0</v>
      </c>
      <c r="C22" s="36"/>
      <c r="D22" s="184"/>
      <c r="E22" s="179">
        <f>VLOOKUP($B$11:$B$24,'Constr. Wage Rate Calculations'!$A$19:$Z$288,22,FALSE)</f>
        <v>0</v>
      </c>
      <c r="F22" s="203"/>
      <c r="G22" s="179">
        <f>VLOOKUP($B$11:$B$24,'Constr. Wage Rate Calculations'!$A$19:$Z$288,23,FALSE)</f>
        <v>0</v>
      </c>
      <c r="H22" s="184"/>
      <c r="I22" s="179">
        <f>VLOOKUP($B$11:$B$24,'Constr. Wage Rate Calculations'!$A$19:$Z$288,24,FALSE)</f>
        <v>0</v>
      </c>
      <c r="J22" s="20">
        <f>VLOOKUP($B$11:$B$25,'Constr. Wage Rate Calculations'!$A$19:$Z$288,25,FALSE)</f>
        <v>0</v>
      </c>
      <c r="K22" s="179" t="str">
        <f t="shared" si="0"/>
        <v/>
      </c>
    </row>
    <row r="23" spans="1:15" ht="15" customHeight="1">
      <c r="A23" s="48"/>
      <c r="B23" s="49">
        <f>VLOOKUP($C$11:$C$24,Personnel!$A$1:$B$1234,2,FALSE)</f>
        <v>0</v>
      </c>
      <c r="C23" s="36"/>
      <c r="D23" s="184"/>
      <c r="E23" s="179">
        <f>VLOOKUP($B$11:$B$24,'Constr. Wage Rate Calculations'!$A$19:$Z$288,22,FALSE)</f>
        <v>0</v>
      </c>
      <c r="F23" s="184"/>
      <c r="G23" s="179">
        <f>VLOOKUP($B$11:$B$24,'Constr. Wage Rate Calculations'!$A$19:$Z$288,23,FALSE)</f>
        <v>0</v>
      </c>
      <c r="H23" s="184"/>
      <c r="I23" s="179">
        <f>VLOOKUP($B$11:$B$24,'Constr. Wage Rate Calculations'!$A$19:$Z$288,24,FALSE)</f>
        <v>0</v>
      </c>
      <c r="J23" s="20">
        <f>VLOOKUP($B$11:$B$25,'Constr. Wage Rate Calculations'!$A$19:$Z$288,25,FALSE)</f>
        <v>0</v>
      </c>
      <c r="K23" s="179" t="str">
        <f t="shared" si="0"/>
        <v/>
      </c>
    </row>
    <row r="24" spans="1:15" ht="15" customHeight="1" thickBot="1">
      <c r="A24" s="48"/>
      <c r="B24" s="49">
        <f>VLOOKUP($C$11:$C$24,Personnel!$A$1:$B$1234,2,FALSE)</f>
        <v>0</v>
      </c>
      <c r="C24" s="36"/>
      <c r="D24" s="184"/>
      <c r="E24" s="179">
        <f>VLOOKUP($B$11:$B$24,'Constr. Wage Rate Calculations'!$A$19:$Z$288,22,FALSE)</f>
        <v>0</v>
      </c>
      <c r="F24" s="184"/>
      <c r="G24" s="179">
        <f>VLOOKUP($B$11:$B$24,'Constr. Wage Rate Calculations'!$A$19:$Z$288,23,FALSE)</f>
        <v>0</v>
      </c>
      <c r="H24" s="184"/>
      <c r="I24" s="179">
        <f>VLOOKUP($B$11:$B$24,'Constr. Wage Rate Calculations'!$A$19:$Z$288,24,FALSE)</f>
        <v>0</v>
      </c>
      <c r="J24" s="20">
        <f>VLOOKUP($B$11:$B$25,'Constr. Wage Rate Calculations'!$A$19:$Z$288,25,FALSE)</f>
        <v>0</v>
      </c>
      <c r="K24" s="179" t="str">
        <f t="shared" si="0"/>
        <v/>
      </c>
      <c r="M24" s="1">
        <f>SUM(M11:M23)</f>
        <v>0</v>
      </c>
    </row>
    <row r="25" spans="1:15" ht="15" customHeight="1" thickBot="1">
      <c r="A25"/>
      <c r="B25"/>
      <c r="C25"/>
      <c r="D25" s="21"/>
      <c r="E25" s="21"/>
      <c r="F25" s="21"/>
      <c r="G25" s="21"/>
      <c r="H25" s="21"/>
      <c r="I25" s="360" t="s">
        <v>18</v>
      </c>
      <c r="J25" s="361"/>
      <c r="K25" s="183">
        <f>SUM(K11:K24)</f>
        <v>0</v>
      </c>
      <c r="M25" s="1">
        <f>SUMIFS(D11:D24,D11:D24,"&lt;3",D11:D24,"&lt;5")</f>
        <v>0</v>
      </c>
      <c r="N25" s="1">
        <f>SUMIFS(D11:D24,D11:D24,"&gt;3",D11:D24,"&gt;5")</f>
        <v>0</v>
      </c>
      <c r="O25" s="1">
        <f>SUM(F11:F24,H11:H24,M25,N25)-M24</f>
        <v>0</v>
      </c>
    </row>
    <row r="26" spans="1:15" ht="10" customHeight="1" thickBot="1">
      <c r="M26" s="19"/>
      <c r="N26" s="19"/>
      <c r="O26" s="19"/>
    </row>
    <row r="27" spans="1:15" s="19" customFormat="1" ht="15" customHeight="1" thickBot="1">
      <c r="A27" s="22" t="s">
        <v>19</v>
      </c>
      <c r="B27" s="23" t="s">
        <v>20</v>
      </c>
      <c r="C27" s="23"/>
      <c r="D27" s="23"/>
      <c r="E27" s="23"/>
      <c r="F27" s="23"/>
      <c r="G27" s="23"/>
      <c r="H27" s="18" t="s">
        <v>21</v>
      </c>
      <c r="I27" s="18" t="s">
        <v>22</v>
      </c>
      <c r="J27" s="18" t="s">
        <v>23</v>
      </c>
      <c r="K27" s="18" t="s">
        <v>17</v>
      </c>
      <c r="M27" s="1"/>
      <c r="N27" s="1"/>
      <c r="O27" s="1"/>
    </row>
    <row r="28" spans="1:15" ht="15" customHeight="1">
      <c r="A28" s="43"/>
      <c r="B28" s="49">
        <f>VLOOKUP($C$28:$C$49,Equipment!$A$1:$B$2322,2,FALSE)</f>
        <v>0</v>
      </c>
      <c r="C28" s="24"/>
      <c r="D28" s="24"/>
      <c r="E28" s="24"/>
      <c r="F28" s="24"/>
      <c r="G28" s="24"/>
      <c r="H28" s="202"/>
      <c r="I28" s="203"/>
      <c r="J28" s="42">
        <f>VLOOKUP($B$28:$B$49,'Alberta Equip. Rates Year 3'!$B$13:$K$314,10,FALSE)</f>
        <v>0</v>
      </c>
      <c r="K28" s="181">
        <f>(H28+I28)*J28</f>
        <v>0</v>
      </c>
    </row>
    <row r="29" spans="1:15" ht="15" customHeight="1">
      <c r="A29" s="43"/>
      <c r="B29" s="49">
        <f>VLOOKUP($C$28:$C$49,Equipment!$A$1:$B$2322,2,FALSE)</f>
        <v>0</v>
      </c>
      <c r="C29" s="24"/>
      <c r="D29" s="24"/>
      <c r="E29" s="24"/>
      <c r="F29" s="24"/>
      <c r="G29" s="24"/>
      <c r="H29" s="202"/>
      <c r="I29" s="203"/>
      <c r="J29" s="42">
        <f>VLOOKUP($B$28:$B$49,'Alberta Equip. Rates Year 3'!$B$13:$K$314,10,FALSE)</f>
        <v>0</v>
      </c>
      <c r="K29" s="181">
        <f t="shared" ref="K29:K49" si="1">(H29+I29)*J29</f>
        <v>0</v>
      </c>
    </row>
    <row r="30" spans="1:15" ht="15" customHeight="1">
      <c r="A30" s="43"/>
      <c r="B30" s="49">
        <f>VLOOKUP($C$28:$C$49,Equipment!$A$1:$B$2322,2,FALSE)</f>
        <v>0</v>
      </c>
      <c r="C30" s="24"/>
      <c r="D30" s="24"/>
      <c r="E30" s="24"/>
      <c r="F30" s="24"/>
      <c r="G30" s="24"/>
      <c r="H30" s="202"/>
      <c r="I30" s="203"/>
      <c r="J30" s="42">
        <f>VLOOKUP($B$28:$B$49,'Alberta Equip. Rates Year 3'!$B$13:$K$314,10,FALSE)</f>
        <v>0</v>
      </c>
      <c r="K30" s="181">
        <f t="shared" si="1"/>
        <v>0</v>
      </c>
    </row>
    <row r="31" spans="1:15" ht="15" customHeight="1">
      <c r="A31" s="43"/>
      <c r="B31" s="49">
        <f>VLOOKUP($C$28:$C$49,Equipment!$A$1:$B$2322,2,FALSE)</f>
        <v>0</v>
      </c>
      <c r="C31" s="24"/>
      <c r="D31" s="24"/>
      <c r="E31" s="24"/>
      <c r="F31" s="24"/>
      <c r="G31" s="24"/>
      <c r="H31" s="202"/>
      <c r="I31" s="203"/>
      <c r="J31" s="42">
        <f>VLOOKUP($B$28:$B$49,'Alberta Equip. Rates Year 3'!$B$13:$K$314,10,FALSE)</f>
        <v>0</v>
      </c>
      <c r="K31" s="181">
        <f t="shared" si="1"/>
        <v>0</v>
      </c>
    </row>
    <row r="32" spans="1:15" ht="15" customHeight="1">
      <c r="A32" s="43"/>
      <c r="B32" s="49">
        <f>VLOOKUP($C$28:$C$49,Equipment!$A$1:$B$2322,2,FALSE)</f>
        <v>0</v>
      </c>
      <c r="C32" s="24"/>
      <c r="D32" s="24"/>
      <c r="E32" s="24"/>
      <c r="F32" s="24"/>
      <c r="G32" s="24"/>
      <c r="H32" s="202"/>
      <c r="I32" s="203"/>
      <c r="J32" s="42">
        <f>VLOOKUP($B$28:$B$49,'Alberta Equip. Rates Year 3'!$B$13:$K$314,10,FALSE)</f>
        <v>0</v>
      </c>
      <c r="K32" s="181">
        <f t="shared" si="1"/>
        <v>0</v>
      </c>
    </row>
    <row r="33" spans="1:11" ht="15" customHeight="1">
      <c r="A33" s="43"/>
      <c r="B33" s="49">
        <f>VLOOKUP($C$28:$C$49,Equipment!$A$1:$B$2322,2,FALSE)</f>
        <v>0</v>
      </c>
      <c r="C33" s="24"/>
      <c r="D33" s="24"/>
      <c r="E33" s="24"/>
      <c r="F33" s="24"/>
      <c r="G33" s="24"/>
      <c r="H33" s="202"/>
      <c r="I33" s="203"/>
      <c r="J33" s="42">
        <f>VLOOKUP($B$28:$B$49,'Alberta Equip. Rates Year 3'!$B$13:$K$314,10,FALSE)</f>
        <v>0</v>
      </c>
      <c r="K33" s="181">
        <f t="shared" si="1"/>
        <v>0</v>
      </c>
    </row>
    <row r="34" spans="1:11" ht="15" customHeight="1">
      <c r="A34" s="43"/>
      <c r="B34" s="49">
        <f>VLOOKUP($C$28:$C$49,Equipment!$A$1:$B$2322,2,FALSE)</f>
        <v>0</v>
      </c>
      <c r="C34" s="24"/>
      <c r="D34" s="24"/>
      <c r="E34" s="24"/>
      <c r="F34" s="24"/>
      <c r="G34" s="24"/>
      <c r="H34" s="202"/>
      <c r="I34" s="203"/>
      <c r="J34" s="42">
        <f>VLOOKUP($B$28:$B$49,'Alberta Equip. Rates Year 3'!$B$13:$K$314,10,FALSE)</f>
        <v>0</v>
      </c>
      <c r="K34" s="181">
        <f t="shared" si="1"/>
        <v>0</v>
      </c>
    </row>
    <row r="35" spans="1:11" ht="15" customHeight="1">
      <c r="A35" s="43"/>
      <c r="B35" s="49">
        <f>VLOOKUP($C$28:$C$49,Equipment!$A$1:$B$2322,2,FALSE)</f>
        <v>0</v>
      </c>
      <c r="C35" s="24"/>
      <c r="D35" s="24"/>
      <c r="E35" s="24"/>
      <c r="F35" s="24"/>
      <c r="G35" s="24"/>
      <c r="H35" s="185"/>
      <c r="I35" s="184"/>
      <c r="J35" s="42">
        <f>VLOOKUP($B$28:$B$49,'Alberta Equip. Rates Year 3'!$B$13:$K$314,10,FALSE)</f>
        <v>0</v>
      </c>
      <c r="K35" s="181">
        <f t="shared" si="1"/>
        <v>0</v>
      </c>
    </row>
    <row r="36" spans="1:11" ht="15" customHeight="1">
      <c r="A36" s="43"/>
      <c r="B36" s="49">
        <f>VLOOKUP($C$28:$C$49,Equipment!$A$1:$B$2322,2,FALSE)</f>
        <v>0</v>
      </c>
      <c r="C36" s="24"/>
      <c r="D36" s="24"/>
      <c r="E36" s="24"/>
      <c r="F36" s="24"/>
      <c r="G36" s="24"/>
      <c r="H36" s="185"/>
      <c r="I36" s="184"/>
      <c r="J36" s="42">
        <f>VLOOKUP($B$28:$B$49,'Alberta Equip. Rates Year 3'!$B$13:$K$314,10,FALSE)</f>
        <v>0</v>
      </c>
      <c r="K36" s="181">
        <f t="shared" si="1"/>
        <v>0</v>
      </c>
    </row>
    <row r="37" spans="1:11" ht="15" customHeight="1">
      <c r="A37" s="43"/>
      <c r="B37" s="49">
        <f>VLOOKUP($C$28:$C$49,Equipment!$A$1:$B$2322,2,FALSE)</f>
        <v>0</v>
      </c>
      <c r="C37" s="24"/>
      <c r="D37" s="24"/>
      <c r="E37" s="24"/>
      <c r="F37" s="24"/>
      <c r="G37" s="24"/>
      <c r="H37" s="185"/>
      <c r="I37" s="184"/>
      <c r="J37" s="42">
        <f>VLOOKUP($B$28:$B$49,'Alberta Equip. Rates Year 3'!$B$13:$K$314,10,FALSE)</f>
        <v>0</v>
      </c>
      <c r="K37" s="181">
        <f t="shared" si="1"/>
        <v>0</v>
      </c>
    </row>
    <row r="38" spans="1:11" ht="15" customHeight="1">
      <c r="A38" s="43"/>
      <c r="B38" s="49">
        <f>VLOOKUP($C$28:$C$49,Equipment!$A$1:$B$2322,2,FALSE)</f>
        <v>0</v>
      </c>
      <c r="C38" s="24"/>
      <c r="D38" s="24"/>
      <c r="E38" s="24"/>
      <c r="F38" s="24"/>
      <c r="G38" s="24"/>
      <c r="H38" s="185"/>
      <c r="I38" s="184"/>
      <c r="J38" s="42">
        <f>VLOOKUP($B$28:$B$49,'Alberta Equip. Rates Year 3'!$B$13:$K$314,10,FALSE)</f>
        <v>0</v>
      </c>
      <c r="K38" s="181">
        <f>(H38+I38)*J38</f>
        <v>0</v>
      </c>
    </row>
    <row r="39" spans="1:11" ht="15" customHeight="1">
      <c r="A39" s="43"/>
      <c r="B39" s="49">
        <f>VLOOKUP($C$28:$C$49,Equipment!$A$1:$B$2322,2,FALSE)</f>
        <v>0</v>
      </c>
      <c r="C39" s="24"/>
      <c r="D39" s="24"/>
      <c r="E39" s="24"/>
      <c r="F39" s="24"/>
      <c r="G39" s="24"/>
      <c r="H39" s="202"/>
      <c r="I39" s="203"/>
      <c r="J39" s="42">
        <f>VLOOKUP($B$28:$B$49,'Alberta Equip. Rates Year 3'!$B$13:$K$314,10,FALSE)</f>
        <v>0</v>
      </c>
      <c r="K39" s="181">
        <f t="shared" si="1"/>
        <v>0</v>
      </c>
    </row>
    <row r="40" spans="1:11" ht="15" customHeight="1">
      <c r="A40" s="43"/>
      <c r="B40" s="49">
        <f>VLOOKUP($C$28:$C$49,Equipment!$A$1:$B$2322,2,FALSE)</f>
        <v>0</v>
      </c>
      <c r="C40" s="24"/>
      <c r="D40" s="24"/>
      <c r="E40" s="24"/>
      <c r="F40" s="24"/>
      <c r="G40" s="24"/>
      <c r="H40" s="202"/>
      <c r="I40" s="203"/>
      <c r="J40" s="42">
        <f>VLOOKUP($B$28:$B$49,'Alberta Equip. Rates Year 3'!$B$13:$K$314,10,FALSE)</f>
        <v>0</v>
      </c>
      <c r="K40" s="181">
        <f t="shared" si="1"/>
        <v>0</v>
      </c>
    </row>
    <row r="41" spans="1:11" ht="15" customHeight="1">
      <c r="A41" s="43"/>
      <c r="B41" s="49">
        <f>VLOOKUP($C$28:$C$49,Equipment!$A$1:$B$2322,2,FALSE)</f>
        <v>0</v>
      </c>
      <c r="C41" s="24"/>
      <c r="D41" s="24"/>
      <c r="E41" s="24"/>
      <c r="F41" s="24"/>
      <c r="G41" s="24"/>
      <c r="H41" s="185"/>
      <c r="I41" s="184"/>
      <c r="J41" s="42">
        <f>VLOOKUP($B$28:$B$49,'Alberta Equip. Rates Year 3'!$B$13:$K$314,10,FALSE)</f>
        <v>0</v>
      </c>
      <c r="K41" s="181">
        <f t="shared" si="1"/>
        <v>0</v>
      </c>
    </row>
    <row r="42" spans="1:11" ht="15" customHeight="1">
      <c r="A42" s="43"/>
      <c r="B42" s="49">
        <f>VLOOKUP($C$28:$C$49,Equipment!$A$1:$B$2322,2,FALSE)</f>
        <v>0</v>
      </c>
      <c r="C42" s="24"/>
      <c r="D42" s="24"/>
      <c r="E42" s="24"/>
      <c r="F42" s="24"/>
      <c r="G42" s="24"/>
      <c r="H42" s="185"/>
      <c r="I42" s="184"/>
      <c r="J42" s="42">
        <f>VLOOKUP($B$28:$B$49,'Alberta Equip. Rates Year 3'!$B$13:$K$314,10,FALSE)</f>
        <v>0</v>
      </c>
      <c r="K42" s="181">
        <f t="shared" si="1"/>
        <v>0</v>
      </c>
    </row>
    <row r="43" spans="1:11" ht="15" customHeight="1">
      <c r="A43" s="43"/>
      <c r="B43" s="49">
        <f>VLOOKUP($C$28:$C$49,Equipment!$A$1:$B$2322,2,FALSE)</f>
        <v>0</v>
      </c>
      <c r="C43" s="24"/>
      <c r="D43" s="24"/>
      <c r="E43" s="24"/>
      <c r="F43" s="24"/>
      <c r="G43" s="24"/>
      <c r="H43" s="185"/>
      <c r="I43" s="184"/>
      <c r="J43" s="42">
        <f>VLOOKUP($B$28:$B$49,'Alberta Equip. Rates Year 3'!$B$13:$K$314,10,FALSE)</f>
        <v>0</v>
      </c>
      <c r="K43" s="181">
        <f t="shared" si="1"/>
        <v>0</v>
      </c>
    </row>
    <row r="44" spans="1:11" ht="15" customHeight="1">
      <c r="A44" s="43"/>
      <c r="B44" s="49">
        <f>VLOOKUP($C$28:$C$49,Equipment!$A$1:$B$2322,2,FALSE)</f>
        <v>0</v>
      </c>
      <c r="C44" s="24"/>
      <c r="D44" s="24"/>
      <c r="E44" s="24"/>
      <c r="F44" s="24"/>
      <c r="G44" s="24"/>
      <c r="H44" s="185"/>
      <c r="I44" s="184"/>
      <c r="J44" s="42">
        <f>VLOOKUP($B$28:$B$49,'Alberta Equip. Rates Year 3'!$B$13:$K$314,10,FALSE)</f>
        <v>0</v>
      </c>
      <c r="K44" s="181">
        <f t="shared" si="1"/>
        <v>0</v>
      </c>
    </row>
    <row r="45" spans="1:11" ht="15" customHeight="1">
      <c r="A45" s="43"/>
      <c r="B45" s="49">
        <f>VLOOKUP($C$28:$C$49,Equipment!$A$1:$B$2322,2,FALSE)</f>
        <v>0</v>
      </c>
      <c r="C45" s="24"/>
      <c r="D45" s="24"/>
      <c r="E45" s="24"/>
      <c r="F45" s="24"/>
      <c r="G45" s="24"/>
      <c r="H45" s="185"/>
      <c r="I45" s="184"/>
      <c r="J45" s="42">
        <f>VLOOKUP($B$28:$B$49,'Alberta Equip. Rates Year 3'!$B$13:$K$314,10,FALSE)</f>
        <v>0</v>
      </c>
      <c r="K45" s="181">
        <f t="shared" si="1"/>
        <v>0</v>
      </c>
    </row>
    <row r="46" spans="1:11" ht="15" customHeight="1">
      <c r="A46" s="43"/>
      <c r="B46" s="49">
        <f>VLOOKUP($C$28:$C$49,Equipment!$A$1:$B$2322,2,FALSE)</f>
        <v>0</v>
      </c>
      <c r="C46" s="24"/>
      <c r="D46" s="24"/>
      <c r="E46" s="24"/>
      <c r="F46" s="24"/>
      <c r="G46" s="24"/>
      <c r="H46" s="185"/>
      <c r="I46" s="184"/>
      <c r="J46" s="42">
        <f>VLOOKUP($B$28:$B$49,'Alberta Equip. Rates Year 3'!$B$13:$K$314,10,FALSE)</f>
        <v>0</v>
      </c>
      <c r="K46" s="181">
        <f t="shared" si="1"/>
        <v>0</v>
      </c>
    </row>
    <row r="47" spans="1:11" ht="15" customHeight="1">
      <c r="A47" s="43"/>
      <c r="B47" s="49">
        <f>VLOOKUP($C$28:$C$49,Equipment!$A$1:$B$2322,2,FALSE)</f>
        <v>0</v>
      </c>
      <c r="C47" s="24"/>
      <c r="D47" s="24"/>
      <c r="E47" s="24"/>
      <c r="F47" s="24"/>
      <c r="G47" s="24"/>
      <c r="H47" s="185"/>
      <c r="I47" s="184"/>
      <c r="J47" s="42">
        <f>VLOOKUP($B$28:$B$49,'Alberta Equip. Rates Year 3'!$B$13:$K$314,10,FALSE)</f>
        <v>0</v>
      </c>
      <c r="K47" s="181">
        <f t="shared" si="1"/>
        <v>0</v>
      </c>
    </row>
    <row r="48" spans="1:11" ht="15" customHeight="1">
      <c r="A48" s="43"/>
      <c r="B48" s="49">
        <f>VLOOKUP($C$28:$C$49,Equipment!$A$1:$B$2322,2,FALSE)</f>
        <v>0</v>
      </c>
      <c r="C48" s="24"/>
      <c r="D48" s="24"/>
      <c r="E48" s="24"/>
      <c r="F48" s="24"/>
      <c r="G48" s="24"/>
      <c r="H48" s="185"/>
      <c r="I48" s="184"/>
      <c r="J48" s="42">
        <f>VLOOKUP($B$28:$B$49,'Alberta Equip. Rates Year 3'!$B$13:$K$314,10,FALSE)</f>
        <v>0</v>
      </c>
      <c r="K48" s="181">
        <f t="shared" si="1"/>
        <v>0</v>
      </c>
    </row>
    <row r="49" spans="1:15" ht="15" customHeight="1" thickBot="1">
      <c r="A49" s="43"/>
      <c r="B49" s="49">
        <f>VLOOKUP($C$28:$C$49,Equipment!$A$1:$B$2322,2,FALSE)</f>
        <v>0</v>
      </c>
      <c r="C49" s="24"/>
      <c r="D49" s="24"/>
      <c r="E49" s="24"/>
      <c r="F49" s="24"/>
      <c r="G49" s="24"/>
      <c r="H49" s="185"/>
      <c r="I49" s="184"/>
      <c r="J49" s="42">
        <f>VLOOKUP($B$28:$B$49,'Alberta Equip. Rates Year 3'!$B$13:$K$314,10,FALSE)</f>
        <v>0</v>
      </c>
      <c r="K49" s="181">
        <f t="shared" si="1"/>
        <v>0</v>
      </c>
    </row>
    <row r="50" spans="1:15" ht="12" thickBot="1">
      <c r="A50" s="25"/>
      <c r="B50" s="25"/>
      <c r="C50" s="25"/>
      <c r="D50" s="21"/>
      <c r="E50" s="21"/>
      <c r="F50" s="21"/>
      <c r="G50" s="21"/>
      <c r="H50" s="21"/>
      <c r="I50" s="360" t="s">
        <v>24</v>
      </c>
      <c r="J50" s="361"/>
      <c r="K50" s="182">
        <f>SUM(K28:K49)</f>
        <v>0</v>
      </c>
    </row>
    <row r="51" spans="1:15" ht="12" thickBot="1">
      <c r="A51" s="26"/>
      <c r="D51" s="26"/>
      <c r="I51" s="27"/>
      <c r="J51" s="27"/>
      <c r="K51" s="28"/>
    </row>
    <row r="52" spans="1:15">
      <c r="A52" s="1" t="s">
        <v>25</v>
      </c>
      <c r="B52" s="29"/>
      <c r="D52" s="1"/>
      <c r="E52" s="1"/>
      <c r="F52" s="1"/>
      <c r="G52" s="1"/>
      <c r="H52" s="1"/>
      <c r="I52" s="362" t="s">
        <v>26</v>
      </c>
      <c r="J52" s="362"/>
      <c r="K52" s="37">
        <f>K25</f>
        <v>0</v>
      </c>
    </row>
    <row r="53" spans="1:15">
      <c r="D53" s="1"/>
      <c r="E53" s="1"/>
      <c r="F53" s="1"/>
      <c r="G53" s="1"/>
      <c r="H53" s="1"/>
      <c r="I53" s="362" t="s">
        <v>27</v>
      </c>
      <c r="J53" s="362"/>
      <c r="K53" s="38">
        <f>K50</f>
        <v>0</v>
      </c>
    </row>
    <row r="54" spans="1:15">
      <c r="D54" s="1"/>
      <c r="E54" s="1"/>
      <c r="F54" s="1"/>
      <c r="G54" s="1"/>
      <c r="H54" s="1"/>
      <c r="I54" s="27" t="s">
        <v>28</v>
      </c>
      <c r="J54" s="27"/>
      <c r="K54" s="38">
        <f>(O25)*14.15</f>
        <v>0</v>
      </c>
    </row>
    <row r="55" spans="1:15">
      <c r="D55" s="1"/>
      <c r="E55" s="1"/>
      <c r="F55" s="1"/>
      <c r="G55" s="1"/>
      <c r="H55" s="1"/>
      <c r="I55" s="30" t="s">
        <v>29</v>
      </c>
      <c r="J55" s="30"/>
      <c r="K55" s="39"/>
    </row>
    <row r="56" spans="1:15">
      <c r="D56" s="1"/>
      <c r="E56" s="1"/>
      <c r="F56" s="1"/>
      <c r="G56" s="1"/>
      <c r="H56" s="1"/>
      <c r="I56" s="30" t="s">
        <v>30</v>
      </c>
      <c r="J56" s="30"/>
      <c r="K56" s="39"/>
    </row>
    <row r="57" spans="1:15">
      <c r="D57" s="1"/>
      <c r="E57" s="1"/>
      <c r="F57" s="1"/>
      <c r="G57" s="1"/>
      <c r="H57" s="1"/>
      <c r="I57" s="30" t="s">
        <v>31</v>
      </c>
      <c r="J57" s="30"/>
      <c r="K57" s="39"/>
    </row>
    <row r="58" spans="1:15" ht="12" thickBot="1">
      <c r="D58" s="1"/>
      <c r="E58" s="1"/>
      <c r="F58" s="1"/>
      <c r="G58" s="1"/>
      <c r="H58" s="1"/>
      <c r="I58" s="362" t="s">
        <v>32</v>
      </c>
      <c r="J58" s="362"/>
      <c r="K58" s="40">
        <f>SUM(K52:K57)</f>
        <v>0</v>
      </c>
    </row>
    <row r="59" spans="1:15">
      <c r="D59" s="1"/>
      <c r="E59" s="1"/>
      <c r="F59" s="1"/>
      <c r="G59" s="1"/>
      <c r="H59" s="1"/>
      <c r="I59" s="27"/>
      <c r="J59" s="27"/>
    </row>
    <row r="60" spans="1:15">
      <c r="A60" s="31" t="s">
        <v>33</v>
      </c>
      <c r="B60" s="32"/>
      <c r="C60" s="32"/>
      <c r="D60" s="1"/>
      <c r="H60" s="33" t="s">
        <v>34</v>
      </c>
      <c r="I60" s="32"/>
      <c r="J60" s="32"/>
      <c r="K60" s="32"/>
    </row>
    <row r="61" spans="1:15" ht="15">
      <c r="A61" s="34"/>
      <c r="E61" s="8"/>
      <c r="F61" s="8"/>
      <c r="G61" s="8"/>
      <c r="H61" s="35"/>
      <c r="I61" s="35"/>
      <c r="J61" s="35"/>
      <c r="K61" s="35"/>
    </row>
    <row r="62" spans="1:15" ht="15">
      <c r="A62" s="34" t="s">
        <v>35</v>
      </c>
      <c r="E62" s="8"/>
      <c r="F62" s="8"/>
      <c r="G62" s="8"/>
      <c r="H62" s="35"/>
      <c r="I62" s="35"/>
      <c r="J62" s="35"/>
      <c r="K62" s="35"/>
      <c r="M62" s="34"/>
      <c r="N62" s="34"/>
      <c r="O62" s="34"/>
    </row>
    <row r="63" spans="1:15" s="34" customFormat="1">
      <c r="A63" s="363">
        <v>41218.479166666664</v>
      </c>
      <c r="B63" s="363"/>
      <c r="C63" s="364"/>
      <c r="D63" s="364"/>
      <c r="E63" s="364"/>
      <c r="F63" s="364"/>
      <c r="G63" s="364"/>
      <c r="H63" s="364"/>
      <c r="I63" s="364"/>
      <c r="J63" s="364"/>
      <c r="K63" s="8"/>
      <c r="M63" s="1"/>
      <c r="N63" s="1"/>
      <c r="O63" s="1"/>
    </row>
    <row r="73" s="1" customFormat="1"/>
    <row r="74" s="1" customFormat="1"/>
    <row r="75" s="1" customFormat="1"/>
    <row r="76" s="1" customFormat="1"/>
    <row r="77" s="1" customFormat="1"/>
    <row r="78" s="1" customFormat="1"/>
    <row r="79" s="1" customFormat="1"/>
    <row r="80" s="1" customFormat="1"/>
    <row r="81" s="1" customFormat="1"/>
    <row r="82" s="1" customFormat="1"/>
    <row r="83" s="1" customFormat="1"/>
    <row r="84" s="1" customFormat="1"/>
    <row r="85" s="1" customFormat="1"/>
    <row r="86" s="1" customFormat="1"/>
    <row r="91" s="1" customFormat="1"/>
    <row r="119" s="1" customFormat="1"/>
    <row r="120" s="1" customFormat="1"/>
    <row r="121" s="1" customFormat="1"/>
    <row r="122" s="1" customFormat="1"/>
  </sheetData>
  <mergeCells count="12">
    <mergeCell ref="I25:J25"/>
    <mergeCell ref="C1:H1"/>
    <mergeCell ref="C2:H2"/>
    <mergeCell ref="C3:H3"/>
    <mergeCell ref="H6:I6"/>
    <mergeCell ref="H7:I7"/>
    <mergeCell ref="I50:J50"/>
    <mergeCell ref="I52:J52"/>
    <mergeCell ref="I53:J53"/>
    <mergeCell ref="I58:J58"/>
    <mergeCell ref="A63:B63"/>
    <mergeCell ref="C63:J63"/>
  </mergeCells>
  <printOptions horizontalCentered="1"/>
  <pageMargins left="0.19685039370078741" right="0.19685039370078741" top="0.39370078740157483" bottom="0.39370078740157483" header="0" footer="0"/>
  <pageSetup orientation="portrait" horizontalDpi="4294967292" verticalDpi="4294967292"/>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000-000000000000}">
          <x14:formula1>
            <xm:f>Accounts!$A$4:$A$60</xm:f>
          </x14:formula1>
          <xm:sqref>K7</xm:sqref>
        </x14:dataValidation>
        <x14:dataValidation type="list" allowBlank="1" showInputMessage="1" showErrorMessage="1" xr:uid="{00000000-0002-0000-0000-000001000000}">
          <x14:formula1>
            <xm:f>'Constr. Wage Rate Calculations'!$A$19:$A$288</xm:f>
          </x14:formula1>
          <xm:sqref>B11:B24</xm:sqref>
        </x14:dataValidation>
        <x14:dataValidation type="list" allowBlank="1" showInputMessage="1" showErrorMessage="1" xr:uid="{00000000-0002-0000-0000-000002000000}">
          <x14:formula1>
            <xm:f>Personnel!$A:$A</xm:f>
          </x14:formula1>
          <xm:sqref>C11:C24</xm:sqref>
        </x14:dataValidation>
        <x14:dataValidation type="list" allowBlank="1" showInputMessage="1" showErrorMessage="1" xr:uid="{00000000-0002-0000-0000-000003000000}">
          <x14:formula1>
            <xm:f>Equipment!$A:$A</xm:f>
          </x14:formula1>
          <xm:sqref>C28:C49</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O122"/>
  <sheetViews>
    <sheetView zoomScale="120" zoomScaleNormal="120" zoomScalePageLayoutView="120" workbookViewId="0">
      <selection activeCell="C11" sqref="C11"/>
    </sheetView>
  </sheetViews>
  <sheetFormatPr baseColWidth="10" defaultColWidth="8.83203125" defaultRowHeight="11"/>
  <cols>
    <col min="1" max="1" width="13" style="1" customWidth="1"/>
    <col min="2" max="2" width="30" style="1" customWidth="1"/>
    <col min="3" max="3" width="24.5" style="1" customWidth="1"/>
    <col min="4" max="4" width="8.6640625" style="2" customWidth="1"/>
    <col min="5" max="6" width="8.33203125" style="2" customWidth="1"/>
    <col min="7" max="8" width="8.6640625" style="2" customWidth="1"/>
    <col min="9" max="9" width="9.33203125" style="2" customWidth="1"/>
    <col min="10" max="10" width="8.6640625" style="2" customWidth="1"/>
    <col min="11" max="11" width="21.6640625" style="1" customWidth="1"/>
    <col min="12" max="12" width="3.5" style="1" hidden="1" customWidth="1"/>
    <col min="13" max="16384" width="8.83203125" style="1"/>
  </cols>
  <sheetData>
    <row r="1" spans="1:13" ht="15">
      <c r="C1" s="364"/>
      <c r="D1" s="365"/>
      <c r="E1" s="365"/>
      <c r="F1" s="365"/>
      <c r="G1" s="365"/>
      <c r="H1" s="366"/>
      <c r="J1" s="2" t="s">
        <v>0</v>
      </c>
      <c r="K1" s="197"/>
      <c r="M1" s="45"/>
    </row>
    <row r="2" spans="1:13" ht="15">
      <c r="C2" s="367"/>
      <c r="D2" s="367"/>
      <c r="E2" s="367"/>
      <c r="F2" s="367"/>
      <c r="G2" s="367"/>
      <c r="H2" s="366"/>
      <c r="K2" s="41"/>
    </row>
    <row r="3" spans="1:13" ht="15">
      <c r="C3" s="368"/>
      <c r="D3" s="369"/>
      <c r="E3" s="369"/>
      <c r="F3" s="369"/>
      <c r="G3" s="369"/>
      <c r="H3" s="366"/>
    </row>
    <row r="4" spans="1:13">
      <c r="C4" s="3"/>
      <c r="D4" s="4"/>
      <c r="E4" s="4"/>
      <c r="F4" s="4"/>
      <c r="G4" s="4"/>
    </row>
    <row r="5" spans="1:13">
      <c r="C5" s="3"/>
      <c r="D5" s="4"/>
      <c r="E5" s="4"/>
      <c r="F5" s="4"/>
      <c r="G5" s="4"/>
    </row>
    <row r="6" spans="1:13" ht="12">
      <c r="B6" s="5"/>
      <c r="C6" s="6"/>
      <c r="D6" s="7"/>
      <c r="E6" s="8"/>
      <c r="F6" s="8"/>
      <c r="G6" s="1" t="s">
        <v>1</v>
      </c>
      <c r="H6" s="370"/>
      <c r="I6" s="370"/>
      <c r="J6" s="1" t="s">
        <v>2</v>
      </c>
      <c r="K6" s="47"/>
    </row>
    <row r="7" spans="1:13" ht="12">
      <c r="A7" s="1" t="s">
        <v>3</v>
      </c>
      <c r="B7" s="9"/>
      <c r="C7" s="10"/>
      <c r="D7" s="11"/>
      <c r="E7" s="8"/>
      <c r="F7" s="8"/>
      <c r="G7" s="1" t="s">
        <v>4</v>
      </c>
      <c r="H7" s="371"/>
      <c r="I7" s="371"/>
      <c r="J7" s="1" t="s">
        <v>5</v>
      </c>
      <c r="K7" s="46"/>
    </row>
    <row r="8" spans="1:13" ht="12">
      <c r="B8" s="12"/>
      <c r="C8" s="13"/>
      <c r="D8" s="14"/>
      <c r="E8" s="8"/>
      <c r="F8" s="8"/>
      <c r="G8" s="1" t="s">
        <v>6</v>
      </c>
      <c r="H8" s="187"/>
      <c r="I8" s="188"/>
      <c r="J8" s="44"/>
    </row>
    <row r="9" spans="1:13" ht="16" thickBot="1">
      <c r="B9" s="15"/>
      <c r="C9" s="16"/>
      <c r="D9" s="16"/>
      <c r="E9" s="8"/>
      <c r="F9" s="8"/>
      <c r="G9" s="8"/>
    </row>
    <row r="10" spans="1:13" s="19" customFormat="1" ht="12" thickBot="1">
      <c r="A10" s="17" t="s">
        <v>7</v>
      </c>
      <c r="B10" s="17" t="s">
        <v>8</v>
      </c>
      <c r="C10" s="17" t="s">
        <v>9</v>
      </c>
      <c r="D10" s="18" t="s">
        <v>10</v>
      </c>
      <c r="E10" s="18" t="s">
        <v>11</v>
      </c>
      <c r="F10" s="18" t="s">
        <v>12</v>
      </c>
      <c r="G10" s="180" t="s">
        <v>13</v>
      </c>
      <c r="H10" s="18" t="s">
        <v>14</v>
      </c>
      <c r="I10" s="18" t="s">
        <v>15</v>
      </c>
      <c r="J10" s="18" t="s">
        <v>16</v>
      </c>
      <c r="K10" s="18" t="s">
        <v>17</v>
      </c>
      <c r="M10" s="19" t="s">
        <v>1797</v>
      </c>
    </row>
    <row r="11" spans="1:13" ht="15" customHeight="1">
      <c r="A11" s="48"/>
      <c r="B11" s="49">
        <f>VLOOKUP($C$11:$C$24,Personnel!$A$1:$B$1234,2,FALSE)</f>
        <v>0</v>
      </c>
      <c r="C11" s="36"/>
      <c r="D11" s="184"/>
      <c r="E11" s="179">
        <f>VLOOKUP($B$11:$B$24,'Constr. Wage Rate Calculations'!$A$19:$Z$288,22,FALSE)</f>
        <v>0</v>
      </c>
      <c r="F11" s="203"/>
      <c r="G11" s="179">
        <f>VLOOKUP($B$11:$B$24,'Constr. Wage Rate Calculations'!$A$19:$Z$288,23,FALSE)</f>
        <v>0</v>
      </c>
      <c r="H11" s="184"/>
      <c r="I11" s="179">
        <f>VLOOKUP($B$11:$B$24,'Constr. Wage Rate Calculations'!$A$19:$Z$288,24,FALSE)</f>
        <v>0</v>
      </c>
      <c r="J11" s="20">
        <f>VLOOKUP($B$11:$B$25,'Constr. Wage Rate Calculations'!$A$19:$Z$288,25,FALSE)</f>
        <v>0</v>
      </c>
      <c r="K11" s="179" t="str">
        <f t="shared" ref="K11:K24" si="0">IF($D11&gt;=1,$J11+(D11*E11)+(F11*G11)+(H11*I11),IF($F11&gt;=1,$J11+(D11*E11)+(F11*G11)+(H11*I11),IF($H11&gt;=1,$J11+(D11*E11)+(F11*G11)+(H11*I11),"")))</f>
        <v/>
      </c>
    </row>
    <row r="12" spans="1:13" ht="15" customHeight="1">
      <c r="A12" s="48"/>
      <c r="B12" s="49">
        <f>VLOOKUP($C$11:$C$24,Personnel!$A$1:$B$1234,2,FALSE)</f>
        <v>0</v>
      </c>
      <c r="C12" s="36"/>
      <c r="D12" s="184"/>
      <c r="E12" s="179">
        <f>VLOOKUP($B$11:$B$24,'Constr. Wage Rate Calculations'!$A$19:$Z$288,22,FALSE)</f>
        <v>0</v>
      </c>
      <c r="F12" s="203"/>
      <c r="G12" s="179">
        <f>VLOOKUP($B$11:$B$24,'Constr. Wage Rate Calculations'!$A$19:$Z$288,23,FALSE)</f>
        <v>0</v>
      </c>
      <c r="H12" s="184"/>
      <c r="I12" s="179">
        <f>VLOOKUP($B$11:$B$24,'Constr. Wage Rate Calculations'!$A$19:$Z$288,24,FALSE)</f>
        <v>0</v>
      </c>
      <c r="J12" s="20">
        <f>VLOOKUP($B$11:$B$25,'Constr. Wage Rate Calculations'!$A$19:$Z$288,25,FALSE)</f>
        <v>0</v>
      </c>
      <c r="K12" s="179" t="str">
        <f t="shared" si="0"/>
        <v/>
      </c>
    </row>
    <row r="13" spans="1:13" ht="15" customHeight="1">
      <c r="A13" s="48"/>
      <c r="B13" s="49">
        <f>VLOOKUP($C$11:$C$24,Personnel!$A$1:$B$1234,2,FALSE)</f>
        <v>0</v>
      </c>
      <c r="C13" s="36"/>
      <c r="D13" s="184"/>
      <c r="E13" s="179">
        <f>VLOOKUP($B$11:$B$24,'Constr. Wage Rate Calculations'!$A$19:$Z$288,22,FALSE)</f>
        <v>0</v>
      </c>
      <c r="F13" s="203"/>
      <c r="G13" s="179">
        <f>VLOOKUP($B$11:$B$24,'Constr. Wage Rate Calculations'!$A$19:$Z$288,23,FALSE)</f>
        <v>0</v>
      </c>
      <c r="H13" s="184"/>
      <c r="I13" s="179">
        <f>VLOOKUP($B$11:$B$24,'Constr. Wage Rate Calculations'!$A$19:$Z$288,24,FALSE)</f>
        <v>0</v>
      </c>
      <c r="J13" s="20">
        <f>VLOOKUP($B$11:$B$25,'Constr. Wage Rate Calculations'!$A$19:$Z$288,25,FALSE)</f>
        <v>0</v>
      </c>
      <c r="K13" s="179" t="str">
        <f t="shared" si="0"/>
        <v/>
      </c>
    </row>
    <row r="14" spans="1:13" ht="15" customHeight="1">
      <c r="A14" s="48"/>
      <c r="B14" s="49">
        <f>VLOOKUP($C$11:$C$24,Personnel!$A$1:$B$1234,2,FALSE)</f>
        <v>0</v>
      </c>
      <c r="C14" s="36"/>
      <c r="D14" s="184"/>
      <c r="E14" s="179">
        <f>VLOOKUP($B$11:$B$24,'Constr. Wage Rate Calculations'!$A$19:$Z$288,22,FALSE)</f>
        <v>0</v>
      </c>
      <c r="F14" s="203"/>
      <c r="G14" s="179">
        <f>VLOOKUP($B$11:$B$24,'Constr. Wage Rate Calculations'!$A$19:$Z$288,23,FALSE)</f>
        <v>0</v>
      </c>
      <c r="H14" s="184"/>
      <c r="I14" s="179">
        <f>VLOOKUP($B$11:$B$24,'Constr. Wage Rate Calculations'!$A$19:$Z$288,24,FALSE)</f>
        <v>0</v>
      </c>
      <c r="J14" s="20">
        <f>VLOOKUP($B$11:$B$25,'Constr. Wage Rate Calculations'!$A$19:$Z$288,25,FALSE)</f>
        <v>0</v>
      </c>
      <c r="K14" s="179" t="str">
        <f t="shared" si="0"/>
        <v/>
      </c>
    </row>
    <row r="15" spans="1:13" ht="15" customHeight="1">
      <c r="A15" s="48"/>
      <c r="B15" s="49">
        <f>VLOOKUP($C$11:$C$24,Personnel!$A$1:$B$1234,2,FALSE)</f>
        <v>0</v>
      </c>
      <c r="C15" s="36"/>
      <c r="D15" s="184"/>
      <c r="E15" s="179">
        <f>VLOOKUP($B$11:$B$24,'Constr. Wage Rate Calculations'!$A$19:$Z$288,22,FALSE)</f>
        <v>0</v>
      </c>
      <c r="F15" s="203"/>
      <c r="G15" s="179">
        <f>VLOOKUP($B$11:$B$24,'Constr. Wage Rate Calculations'!$A$19:$Z$288,23,FALSE)</f>
        <v>0</v>
      </c>
      <c r="H15" s="184"/>
      <c r="I15" s="179">
        <f>VLOOKUP($B$11:$B$24,'Constr. Wage Rate Calculations'!$A$19:$Z$288,24,FALSE)</f>
        <v>0</v>
      </c>
      <c r="J15" s="20">
        <f>VLOOKUP($B$11:$B$25,'Constr. Wage Rate Calculations'!$A$19:$Z$288,25,FALSE)</f>
        <v>0</v>
      </c>
      <c r="K15" s="179" t="str">
        <f t="shared" si="0"/>
        <v/>
      </c>
    </row>
    <row r="16" spans="1:13" ht="15" customHeight="1">
      <c r="A16" s="48"/>
      <c r="B16" s="49">
        <f>VLOOKUP($C$11:$C$24,Personnel!$A$1:$B$1234,2,FALSE)</f>
        <v>0</v>
      </c>
      <c r="C16" s="36"/>
      <c r="D16" s="184"/>
      <c r="E16" s="179">
        <f>VLOOKUP($B$11:$B$24,'Constr. Wage Rate Calculations'!$A$19:$Z$288,22,FALSE)</f>
        <v>0</v>
      </c>
      <c r="F16" s="203"/>
      <c r="G16" s="179">
        <f>VLOOKUP($B$11:$B$24,'Constr. Wage Rate Calculations'!$A$19:$Z$288,23,FALSE)</f>
        <v>0</v>
      </c>
      <c r="H16" s="184"/>
      <c r="I16" s="179">
        <f>VLOOKUP($B$11:$B$24,'Constr. Wage Rate Calculations'!$A$19:$Z$288,24,FALSE)</f>
        <v>0</v>
      </c>
      <c r="J16" s="20">
        <f>VLOOKUP($B$11:$B$25,'Constr. Wage Rate Calculations'!$A$19:$Z$288,25,FALSE)</f>
        <v>0</v>
      </c>
      <c r="K16" s="179" t="str">
        <f t="shared" si="0"/>
        <v/>
      </c>
    </row>
    <row r="17" spans="1:15" ht="15" customHeight="1">
      <c r="A17" s="48"/>
      <c r="B17" s="49">
        <f>VLOOKUP($C$11:$C$24,Personnel!$A$1:$B$1234,2,FALSE)</f>
        <v>0</v>
      </c>
      <c r="C17" s="36"/>
      <c r="D17" s="184"/>
      <c r="E17" s="179">
        <f>VLOOKUP($B$11:$B$24,'Constr. Wage Rate Calculations'!$A$19:$Z$288,22,FALSE)</f>
        <v>0</v>
      </c>
      <c r="F17" s="203"/>
      <c r="G17" s="179">
        <f>VLOOKUP($B$11:$B$24,'Constr. Wage Rate Calculations'!$A$19:$Z$288,23,FALSE)</f>
        <v>0</v>
      </c>
      <c r="H17" s="184"/>
      <c r="I17" s="179">
        <f>VLOOKUP($B$11:$B$24,'Constr. Wage Rate Calculations'!$A$19:$Z$288,24,FALSE)</f>
        <v>0</v>
      </c>
      <c r="J17" s="20">
        <f>VLOOKUP($B$11:$B$25,'Constr. Wage Rate Calculations'!$A$19:$Z$288,25,FALSE)</f>
        <v>0</v>
      </c>
      <c r="K17" s="179" t="str">
        <f t="shared" si="0"/>
        <v/>
      </c>
    </row>
    <row r="18" spans="1:15" ht="15" customHeight="1">
      <c r="A18" s="48"/>
      <c r="B18" s="49">
        <f>VLOOKUP($C$11:$C$24,Personnel!$A$1:$B$1234,2,FALSE)</f>
        <v>0</v>
      </c>
      <c r="C18" s="36"/>
      <c r="D18" s="184"/>
      <c r="E18" s="179">
        <f>VLOOKUP($B$11:$B$24,'Constr. Wage Rate Calculations'!$A$19:$Z$288,22,FALSE)</f>
        <v>0</v>
      </c>
      <c r="F18" s="203"/>
      <c r="G18" s="179">
        <f>VLOOKUP($B$11:$B$24,'Constr. Wage Rate Calculations'!$A$19:$Z$288,23,FALSE)</f>
        <v>0</v>
      </c>
      <c r="H18" s="184"/>
      <c r="I18" s="179">
        <f>VLOOKUP($B$11:$B$24,'Constr. Wage Rate Calculations'!$A$19:$Z$288,24,FALSE)</f>
        <v>0</v>
      </c>
      <c r="J18" s="20">
        <f>VLOOKUP($B$11:$B$25,'Constr. Wage Rate Calculations'!$A$19:$Z$288,25,FALSE)</f>
        <v>0</v>
      </c>
      <c r="K18" s="179" t="str">
        <f t="shared" si="0"/>
        <v/>
      </c>
    </row>
    <row r="19" spans="1:15" ht="15" customHeight="1">
      <c r="A19" s="48"/>
      <c r="B19" s="49">
        <f>VLOOKUP($C$11:$C$24,Personnel!$A$1:$B$1234,2,FALSE)</f>
        <v>0</v>
      </c>
      <c r="C19" s="36"/>
      <c r="D19" s="184"/>
      <c r="E19" s="179">
        <f>VLOOKUP($B$11:$B$24,'Constr. Wage Rate Calculations'!$A$19:$Z$288,22,FALSE)</f>
        <v>0</v>
      </c>
      <c r="F19" s="203"/>
      <c r="G19" s="179">
        <f>VLOOKUP($B$11:$B$24,'Constr. Wage Rate Calculations'!$A$19:$Z$288,23,FALSE)</f>
        <v>0</v>
      </c>
      <c r="H19" s="184"/>
      <c r="I19" s="179">
        <f>VLOOKUP($B$11:$B$24,'Constr. Wage Rate Calculations'!$A$19:$Z$288,24,FALSE)</f>
        <v>0</v>
      </c>
      <c r="J19" s="20">
        <f>VLOOKUP($B$11:$B$25,'Constr. Wage Rate Calculations'!$A$19:$Z$288,25,FALSE)</f>
        <v>0</v>
      </c>
      <c r="K19" s="179" t="str">
        <f t="shared" si="0"/>
        <v/>
      </c>
    </row>
    <row r="20" spans="1:15" ht="15" customHeight="1">
      <c r="A20" s="48"/>
      <c r="B20" s="49">
        <f>VLOOKUP($C$11:$C$24,Personnel!$A$1:$B$1234,2,FALSE)</f>
        <v>0</v>
      </c>
      <c r="C20" s="36"/>
      <c r="D20" s="184"/>
      <c r="E20" s="179">
        <f>VLOOKUP($B$11:$B$24,'Constr. Wage Rate Calculations'!$A$19:$Z$288,22,FALSE)</f>
        <v>0</v>
      </c>
      <c r="F20" s="203"/>
      <c r="G20" s="179">
        <f>VLOOKUP($B$11:$B$24,'Constr. Wage Rate Calculations'!$A$19:$Z$288,23,FALSE)</f>
        <v>0</v>
      </c>
      <c r="H20" s="184"/>
      <c r="I20" s="179">
        <f>VLOOKUP($B$11:$B$24,'Constr. Wage Rate Calculations'!$A$19:$Z$288,24,FALSE)</f>
        <v>0</v>
      </c>
      <c r="J20" s="20">
        <f>VLOOKUP($B$11:$B$25,'Constr. Wage Rate Calculations'!$A$19:$Z$288,25,FALSE)</f>
        <v>0</v>
      </c>
      <c r="K20" s="179" t="str">
        <f t="shared" si="0"/>
        <v/>
      </c>
    </row>
    <row r="21" spans="1:15" ht="15" customHeight="1">
      <c r="A21" s="48"/>
      <c r="B21" s="49">
        <f>VLOOKUP($C$11:$C$24,Personnel!$A$1:$B$1234,2,FALSE)</f>
        <v>0</v>
      </c>
      <c r="C21" s="36"/>
      <c r="D21" s="184"/>
      <c r="E21" s="179">
        <f>VLOOKUP($B$11:$B$24,'Constr. Wage Rate Calculations'!$A$19:$Z$288,22,FALSE)</f>
        <v>0</v>
      </c>
      <c r="F21" s="203"/>
      <c r="G21" s="179">
        <f>VLOOKUP($B$11:$B$24,'Constr. Wage Rate Calculations'!$A$19:$Z$288,23,FALSE)</f>
        <v>0</v>
      </c>
      <c r="H21" s="184"/>
      <c r="I21" s="179">
        <f>VLOOKUP($B$11:$B$24,'Constr. Wage Rate Calculations'!$A$19:$Z$288,24,FALSE)</f>
        <v>0</v>
      </c>
      <c r="J21" s="20">
        <f>VLOOKUP($B$11:$B$25,'Constr. Wage Rate Calculations'!$A$19:$Z$288,25,FALSE)</f>
        <v>0</v>
      </c>
      <c r="K21" s="179" t="str">
        <f t="shared" si="0"/>
        <v/>
      </c>
    </row>
    <row r="22" spans="1:15" ht="15" customHeight="1">
      <c r="A22" s="48"/>
      <c r="B22" s="49">
        <f>VLOOKUP($C$11:$C$24,Personnel!$A$1:$B$1234,2,FALSE)</f>
        <v>0</v>
      </c>
      <c r="C22" s="36"/>
      <c r="D22" s="184"/>
      <c r="E22" s="179">
        <f>VLOOKUP($B$11:$B$24,'Constr. Wage Rate Calculations'!$A$19:$Z$288,22,FALSE)</f>
        <v>0</v>
      </c>
      <c r="F22" s="203"/>
      <c r="G22" s="179">
        <f>VLOOKUP($B$11:$B$24,'Constr. Wage Rate Calculations'!$A$19:$Z$288,23,FALSE)</f>
        <v>0</v>
      </c>
      <c r="H22" s="184"/>
      <c r="I22" s="179">
        <f>VLOOKUP($B$11:$B$24,'Constr. Wage Rate Calculations'!$A$19:$Z$288,24,FALSE)</f>
        <v>0</v>
      </c>
      <c r="J22" s="20">
        <f>VLOOKUP($B$11:$B$25,'Constr. Wage Rate Calculations'!$A$19:$Z$288,25,FALSE)</f>
        <v>0</v>
      </c>
      <c r="K22" s="179" t="str">
        <f t="shared" si="0"/>
        <v/>
      </c>
    </row>
    <row r="23" spans="1:15" ht="15" customHeight="1">
      <c r="A23" s="48"/>
      <c r="B23" s="49">
        <f>VLOOKUP($C$11:$C$24,Personnel!$A$1:$B$1234,2,FALSE)</f>
        <v>0</v>
      </c>
      <c r="C23" s="36"/>
      <c r="D23" s="184"/>
      <c r="E23" s="179">
        <f>VLOOKUP($B$11:$B$24,'Constr. Wage Rate Calculations'!$A$19:$Z$288,22,FALSE)</f>
        <v>0</v>
      </c>
      <c r="F23" s="184"/>
      <c r="G23" s="179">
        <f>VLOOKUP($B$11:$B$24,'Constr. Wage Rate Calculations'!$A$19:$Z$288,23,FALSE)</f>
        <v>0</v>
      </c>
      <c r="H23" s="184"/>
      <c r="I23" s="179">
        <f>VLOOKUP($B$11:$B$24,'Constr. Wage Rate Calculations'!$A$19:$Z$288,24,FALSE)</f>
        <v>0</v>
      </c>
      <c r="J23" s="20">
        <f>VLOOKUP($B$11:$B$25,'Constr. Wage Rate Calculations'!$A$19:$Z$288,25,FALSE)</f>
        <v>0</v>
      </c>
      <c r="K23" s="179" t="str">
        <f t="shared" si="0"/>
        <v/>
      </c>
    </row>
    <row r="24" spans="1:15" ht="15" customHeight="1" thickBot="1">
      <c r="A24" s="48"/>
      <c r="B24" s="49">
        <f>VLOOKUP($C$11:$C$24,Personnel!$A$1:$B$1234,2,FALSE)</f>
        <v>0</v>
      </c>
      <c r="C24" s="36"/>
      <c r="D24" s="184"/>
      <c r="E24" s="179">
        <f>VLOOKUP($B$11:$B$24,'Constr. Wage Rate Calculations'!$A$19:$Z$288,22,FALSE)</f>
        <v>0</v>
      </c>
      <c r="F24" s="184"/>
      <c r="G24" s="179">
        <f>VLOOKUP($B$11:$B$24,'Constr. Wage Rate Calculations'!$A$19:$Z$288,23,FALSE)</f>
        <v>0</v>
      </c>
      <c r="H24" s="184"/>
      <c r="I24" s="179">
        <f>VLOOKUP($B$11:$B$24,'Constr. Wage Rate Calculations'!$A$19:$Z$288,24,FALSE)</f>
        <v>0</v>
      </c>
      <c r="J24" s="20">
        <f>VLOOKUP($B$11:$B$25,'Constr. Wage Rate Calculations'!$A$19:$Z$288,25,FALSE)</f>
        <v>0</v>
      </c>
      <c r="K24" s="179" t="str">
        <f t="shared" si="0"/>
        <v/>
      </c>
      <c r="M24" s="1">
        <f>SUM(M11:M23)</f>
        <v>0</v>
      </c>
    </row>
    <row r="25" spans="1:15" ht="15" customHeight="1" thickBot="1">
      <c r="A25"/>
      <c r="B25"/>
      <c r="C25"/>
      <c r="D25" s="21"/>
      <c r="E25" s="21"/>
      <c r="F25" s="21"/>
      <c r="G25" s="21"/>
      <c r="H25" s="21"/>
      <c r="I25" s="360" t="s">
        <v>18</v>
      </c>
      <c r="J25" s="361"/>
      <c r="K25" s="206">
        <f>SUM(K11:K24)</f>
        <v>0</v>
      </c>
      <c r="M25" s="1">
        <f>SUMIFS(D11:D24,D11:D24,"&lt;3",D11:D24,"&lt;5")</f>
        <v>0</v>
      </c>
      <c r="N25" s="1">
        <f>SUMIFS(D11:D24,D11:D24,"&gt;3",D11:D24,"&gt;5")</f>
        <v>0</v>
      </c>
      <c r="O25" s="1">
        <f>SUM(F11:F24,H11:H24,M25,N25)-M24</f>
        <v>0</v>
      </c>
    </row>
    <row r="26" spans="1:15" ht="10" customHeight="1" thickBot="1"/>
    <row r="27" spans="1:15" s="19" customFormat="1" ht="15" customHeight="1" thickBot="1">
      <c r="A27" s="22" t="s">
        <v>19</v>
      </c>
      <c r="B27" s="23" t="s">
        <v>20</v>
      </c>
      <c r="C27" s="23"/>
      <c r="D27" s="23"/>
      <c r="E27" s="23"/>
      <c r="F27" s="23"/>
      <c r="G27" s="23"/>
      <c r="H27" s="18" t="s">
        <v>21</v>
      </c>
      <c r="I27" s="18" t="s">
        <v>22</v>
      </c>
      <c r="J27" s="18" t="s">
        <v>23</v>
      </c>
      <c r="K27" s="18" t="s">
        <v>17</v>
      </c>
    </row>
    <row r="28" spans="1:15" ht="15" customHeight="1">
      <c r="A28" s="43"/>
      <c r="B28" s="49">
        <f>VLOOKUP($C$28:$C$49,Equipment!$A$1:$B$2322,2,FALSE)</f>
        <v>0</v>
      </c>
      <c r="C28" s="24"/>
      <c r="D28" s="24"/>
      <c r="E28" s="24"/>
      <c r="F28" s="24"/>
      <c r="G28" s="24"/>
      <c r="H28" s="202"/>
      <c r="I28" s="203"/>
      <c r="J28" s="42">
        <f>VLOOKUP($B$28:$B$49,'Alberta Equip. Rates Year 3'!$B$13:$K$314,10,FALSE)</f>
        <v>0</v>
      </c>
      <c r="K28" s="181">
        <f t="shared" ref="K28:K38" si="1">(H28+I28)*J28</f>
        <v>0</v>
      </c>
    </row>
    <row r="29" spans="1:15" ht="15" customHeight="1">
      <c r="A29" s="43"/>
      <c r="B29" s="49">
        <f>VLOOKUP($C$28:$C$49,Equipment!$A$1:$B$2322,2,FALSE)</f>
        <v>0</v>
      </c>
      <c r="C29" s="24"/>
      <c r="D29" s="24"/>
      <c r="E29" s="24"/>
      <c r="F29" s="24"/>
      <c r="G29" s="24"/>
      <c r="H29" s="202"/>
      <c r="I29" s="203"/>
      <c r="J29" s="42">
        <f>VLOOKUP($B$28:$B$49,'Alberta Equip. Rates Year 3'!$B$13:$K$314,10,FALSE)</f>
        <v>0</v>
      </c>
      <c r="K29" s="181">
        <f t="shared" si="1"/>
        <v>0</v>
      </c>
    </row>
    <row r="30" spans="1:15" ht="15" customHeight="1">
      <c r="A30" s="43"/>
      <c r="B30" s="49">
        <f>VLOOKUP($C$28:$C$49,Equipment!$A$1:$B$2322,2,FALSE)</f>
        <v>0</v>
      </c>
      <c r="C30" s="24"/>
      <c r="D30" s="24"/>
      <c r="E30" s="24"/>
      <c r="F30" s="24"/>
      <c r="G30" s="24"/>
      <c r="H30" s="202"/>
      <c r="I30" s="203"/>
      <c r="J30" s="42">
        <f>VLOOKUP($B$28:$B$49,'Alberta Equip. Rates Year 3'!$B$13:$K$314,10,FALSE)</f>
        <v>0</v>
      </c>
      <c r="K30" s="181">
        <f t="shared" si="1"/>
        <v>0</v>
      </c>
    </row>
    <row r="31" spans="1:15" ht="15" customHeight="1">
      <c r="A31" s="43"/>
      <c r="B31" s="49">
        <f>VLOOKUP($C$28:$C$49,Equipment!$A$1:$B$2322,2,FALSE)</f>
        <v>0</v>
      </c>
      <c r="C31" s="24"/>
      <c r="D31" s="24"/>
      <c r="E31" s="24"/>
      <c r="F31" s="24"/>
      <c r="G31" s="24"/>
      <c r="H31" s="202"/>
      <c r="I31" s="203"/>
      <c r="J31" s="42">
        <f>VLOOKUP($B$28:$B$49,'Alberta Equip. Rates Year 3'!$B$13:$K$314,10,FALSE)</f>
        <v>0</v>
      </c>
      <c r="K31" s="181">
        <f t="shared" si="1"/>
        <v>0</v>
      </c>
    </row>
    <row r="32" spans="1:15" ht="15" customHeight="1">
      <c r="A32" s="43"/>
      <c r="B32" s="49">
        <f>VLOOKUP($C$28:$C$49,Equipment!$A$1:$B$2322,2,FALSE)</f>
        <v>0</v>
      </c>
      <c r="C32" s="24"/>
      <c r="D32" s="24"/>
      <c r="E32" s="24"/>
      <c r="F32" s="24"/>
      <c r="G32" s="24"/>
      <c r="H32" s="202"/>
      <c r="I32" s="203"/>
      <c r="J32" s="42">
        <f>VLOOKUP($B$28:$B$49,'Alberta Equip. Rates Year 3'!$B$13:$K$314,10,FALSE)</f>
        <v>0</v>
      </c>
      <c r="K32" s="181">
        <f t="shared" si="1"/>
        <v>0</v>
      </c>
    </row>
    <row r="33" spans="1:11" ht="15" customHeight="1">
      <c r="A33" s="43"/>
      <c r="B33" s="49">
        <f>VLOOKUP($C$28:$C$49,Equipment!$A$1:$B$2322,2,FALSE)</f>
        <v>0</v>
      </c>
      <c r="C33" s="24"/>
      <c r="D33" s="24"/>
      <c r="E33" s="24"/>
      <c r="F33" s="24"/>
      <c r="G33" s="24"/>
      <c r="H33" s="202"/>
      <c r="I33" s="203"/>
      <c r="J33" s="42">
        <f>VLOOKUP($B$28:$B$49,'Alberta Equip. Rates Year 3'!$B$13:$K$314,10,FALSE)</f>
        <v>0</v>
      </c>
      <c r="K33" s="181">
        <f t="shared" si="1"/>
        <v>0</v>
      </c>
    </row>
    <row r="34" spans="1:11" ht="15" customHeight="1">
      <c r="A34" s="43"/>
      <c r="B34" s="49">
        <f>VLOOKUP($C$28:$C$49,Equipment!$A$1:$B$2322,2,FALSE)</f>
        <v>0</v>
      </c>
      <c r="C34" s="24"/>
      <c r="D34" s="24"/>
      <c r="E34" s="24"/>
      <c r="F34" s="24"/>
      <c r="G34" s="24"/>
      <c r="H34" s="202"/>
      <c r="I34" s="203"/>
      <c r="J34" s="42">
        <f>VLOOKUP($B$28:$B$49,'Alberta Equip. Rates Year 3'!$B$13:$K$314,10,FALSE)</f>
        <v>0</v>
      </c>
      <c r="K34" s="181">
        <f t="shared" si="1"/>
        <v>0</v>
      </c>
    </row>
    <row r="35" spans="1:11" ht="15" customHeight="1">
      <c r="A35" s="43"/>
      <c r="B35" s="49">
        <f>VLOOKUP($C$28:$C$49,Equipment!$A$1:$B$2322,2,FALSE)</f>
        <v>0</v>
      </c>
      <c r="C35" s="24"/>
      <c r="D35" s="24"/>
      <c r="E35" s="24"/>
      <c r="F35" s="24"/>
      <c r="G35" s="24"/>
      <c r="H35" s="202"/>
      <c r="I35" s="203"/>
      <c r="J35" s="42">
        <f>VLOOKUP($B$28:$B$49,'Alberta Equip. Rates Year 3'!$B$13:$K$314,10,FALSE)</f>
        <v>0</v>
      </c>
      <c r="K35" s="181">
        <f t="shared" si="1"/>
        <v>0</v>
      </c>
    </row>
    <row r="36" spans="1:11" ht="15" customHeight="1">
      <c r="A36" s="43"/>
      <c r="B36" s="49">
        <f>VLOOKUP($C$28:$C$49,Equipment!$A$1:$B$2322,2,FALSE)</f>
        <v>0</v>
      </c>
      <c r="C36" s="24"/>
      <c r="D36" s="24"/>
      <c r="E36" s="24"/>
      <c r="F36" s="24"/>
      <c r="G36" s="24"/>
      <c r="H36" s="202"/>
      <c r="I36" s="203"/>
      <c r="J36" s="42">
        <f>VLOOKUP($B$28:$B$49,'Alberta Equip. Rates Year 3'!$B$13:$K$314,10,FALSE)</f>
        <v>0</v>
      </c>
      <c r="K36" s="181">
        <f t="shared" si="1"/>
        <v>0</v>
      </c>
    </row>
    <row r="37" spans="1:11" ht="15" customHeight="1">
      <c r="A37" s="43"/>
      <c r="B37" s="49">
        <f>VLOOKUP($C$28:$C$49,Equipment!$A$1:$B$2322,2,FALSE)</f>
        <v>0</v>
      </c>
      <c r="C37" s="24"/>
      <c r="D37" s="24"/>
      <c r="E37" s="24"/>
      <c r="F37" s="24"/>
      <c r="G37" s="24"/>
      <c r="H37" s="202"/>
      <c r="I37" s="203"/>
      <c r="J37" s="42">
        <f>VLOOKUP($B$28:$B$49,'Alberta Equip. Rates Year 3'!$B$13:$K$314,10,FALSE)</f>
        <v>0</v>
      </c>
      <c r="K37" s="181">
        <f t="shared" si="1"/>
        <v>0</v>
      </c>
    </row>
    <row r="38" spans="1:11" ht="15" customHeight="1">
      <c r="A38" s="43"/>
      <c r="B38" s="49">
        <f>VLOOKUP($C$28:$C$49,Equipment!$A$1:$B$2322,2,FALSE)</f>
        <v>0</v>
      </c>
      <c r="C38" s="24"/>
      <c r="D38" s="24"/>
      <c r="E38" s="24"/>
      <c r="F38" s="24"/>
      <c r="G38" s="24"/>
      <c r="H38" s="202"/>
      <c r="I38" s="203"/>
      <c r="J38" s="42">
        <f>VLOOKUP($B$28:$B$49,'Alberta Equip. Rates Year 3'!$B$13:$K$314,10,FALSE)</f>
        <v>0</v>
      </c>
      <c r="K38" s="181">
        <f t="shared" si="1"/>
        <v>0</v>
      </c>
    </row>
    <row r="39" spans="1:11" ht="15" customHeight="1">
      <c r="A39" s="43"/>
      <c r="B39" s="49">
        <f>VLOOKUP($C$28:$C$49,Equipment!$A$1:$B$2322,2,FALSE)</f>
        <v>0</v>
      </c>
      <c r="C39" s="24"/>
      <c r="D39" s="24"/>
      <c r="E39" s="24"/>
      <c r="F39" s="24"/>
      <c r="G39" s="24"/>
      <c r="H39" s="202"/>
      <c r="I39" s="203"/>
      <c r="J39" s="42">
        <f>VLOOKUP($B$28:$B$49,'Alberta Equip. Rates Year 3'!$B$13:$K$314,10,FALSE)</f>
        <v>0</v>
      </c>
      <c r="K39" s="181">
        <f t="shared" ref="K39:K49" si="2">(H39+I39)*J39</f>
        <v>0</v>
      </c>
    </row>
    <row r="40" spans="1:11" ht="15" customHeight="1">
      <c r="A40" s="43"/>
      <c r="B40" s="49">
        <f>VLOOKUP($C$28:$C$49,Equipment!$A$1:$B$2322,2,FALSE)</f>
        <v>0</v>
      </c>
      <c r="C40" s="24"/>
      <c r="D40" s="24"/>
      <c r="E40" s="24"/>
      <c r="F40" s="24"/>
      <c r="G40" s="24"/>
      <c r="H40" s="202"/>
      <c r="I40" s="203"/>
      <c r="J40" s="42">
        <f>VLOOKUP($B$28:$B$49,'Alberta Equip. Rates Year 3'!$B$13:$K$314,10,FALSE)</f>
        <v>0</v>
      </c>
      <c r="K40" s="181">
        <f t="shared" si="2"/>
        <v>0</v>
      </c>
    </row>
    <row r="41" spans="1:11" ht="15" customHeight="1">
      <c r="A41" s="43"/>
      <c r="B41" s="49">
        <f>VLOOKUP($C$28:$C$49,Equipment!$A$1:$B$2322,2,FALSE)</f>
        <v>0</v>
      </c>
      <c r="C41" s="24"/>
      <c r="D41" s="24"/>
      <c r="E41" s="24"/>
      <c r="F41" s="24"/>
      <c r="G41" s="24"/>
      <c r="H41" s="185"/>
      <c r="I41" s="184"/>
      <c r="J41" s="42">
        <f>VLOOKUP($B$28:$B$49,'Alberta Equip. Rates Year 3'!$B$13:$K$314,10,FALSE)</f>
        <v>0</v>
      </c>
      <c r="K41" s="181">
        <f t="shared" si="2"/>
        <v>0</v>
      </c>
    </row>
    <row r="42" spans="1:11" ht="15" customHeight="1">
      <c r="A42" s="43"/>
      <c r="B42" s="49">
        <f>VLOOKUP($C$28:$C$49,Equipment!$A$1:$B$2322,2,FALSE)</f>
        <v>0</v>
      </c>
      <c r="C42" s="24"/>
      <c r="D42" s="24"/>
      <c r="E42" s="24"/>
      <c r="F42" s="24"/>
      <c r="G42" s="24"/>
      <c r="H42" s="185"/>
      <c r="I42" s="184"/>
      <c r="J42" s="42">
        <f>VLOOKUP($B$28:$B$49,'Alberta Equip. Rates Year 3'!$B$13:$K$314,10,FALSE)</f>
        <v>0</v>
      </c>
      <c r="K42" s="181">
        <f t="shared" si="2"/>
        <v>0</v>
      </c>
    </row>
    <row r="43" spans="1:11" ht="15" customHeight="1">
      <c r="A43" s="43"/>
      <c r="B43" s="49">
        <f>VLOOKUP($C$28:$C$49,Equipment!$A$1:$B$2322,2,FALSE)</f>
        <v>0</v>
      </c>
      <c r="C43" s="24"/>
      <c r="D43" s="24"/>
      <c r="E43" s="24"/>
      <c r="F43" s="24"/>
      <c r="G43" s="24"/>
      <c r="H43" s="185"/>
      <c r="I43" s="184"/>
      <c r="J43" s="42">
        <f>VLOOKUP($B$28:$B$49,'Alberta Equip. Rates Year 3'!$B$13:$K$314,10,FALSE)</f>
        <v>0</v>
      </c>
      <c r="K43" s="181">
        <f t="shared" si="2"/>
        <v>0</v>
      </c>
    </row>
    <row r="44" spans="1:11" ht="15" customHeight="1">
      <c r="A44" s="43"/>
      <c r="B44" s="49">
        <f>VLOOKUP($C$28:$C$49,Equipment!$A$1:$B$2322,2,FALSE)</f>
        <v>0</v>
      </c>
      <c r="C44" s="24"/>
      <c r="D44" s="24"/>
      <c r="E44" s="24"/>
      <c r="F44" s="24"/>
      <c r="G44" s="24"/>
      <c r="H44" s="185"/>
      <c r="I44" s="184"/>
      <c r="J44" s="42">
        <f>VLOOKUP($B$28:$B$49,'Alberta Equip. Rates Year 3'!$B$13:$K$314,10,FALSE)</f>
        <v>0</v>
      </c>
      <c r="K44" s="181">
        <f t="shared" si="2"/>
        <v>0</v>
      </c>
    </row>
    <row r="45" spans="1:11" ht="15" customHeight="1">
      <c r="A45" s="43"/>
      <c r="B45" s="49">
        <f>VLOOKUP($C$28:$C$49,Equipment!$A$1:$B$2322,2,FALSE)</f>
        <v>0</v>
      </c>
      <c r="C45" s="24"/>
      <c r="D45" s="24"/>
      <c r="E45" s="24"/>
      <c r="F45" s="24"/>
      <c r="G45" s="24"/>
      <c r="H45" s="185"/>
      <c r="I45" s="184"/>
      <c r="J45" s="42">
        <f>VLOOKUP($B$28:$B$49,'Alberta Equip. Rates Year 3'!$B$13:$K$314,10,FALSE)</f>
        <v>0</v>
      </c>
      <c r="K45" s="181">
        <f t="shared" si="2"/>
        <v>0</v>
      </c>
    </row>
    <row r="46" spans="1:11" ht="15" customHeight="1">
      <c r="A46" s="43"/>
      <c r="B46" s="49">
        <f>VLOOKUP($C$28:$C$49,Equipment!$A$1:$B$2322,2,FALSE)</f>
        <v>0</v>
      </c>
      <c r="C46" s="24"/>
      <c r="D46" s="24"/>
      <c r="E46" s="24"/>
      <c r="F46" s="24"/>
      <c r="G46" s="24"/>
      <c r="H46" s="185"/>
      <c r="I46" s="184"/>
      <c r="J46" s="42">
        <f>VLOOKUP($B$28:$B$49,'Alberta Equip. Rates Year 3'!$B$13:$K$314,10,FALSE)</f>
        <v>0</v>
      </c>
      <c r="K46" s="181">
        <f t="shared" si="2"/>
        <v>0</v>
      </c>
    </row>
    <row r="47" spans="1:11" ht="15" customHeight="1">
      <c r="A47" s="43"/>
      <c r="B47" s="49">
        <f>VLOOKUP($C$28:$C$49,Equipment!$A$1:$B$2322,2,FALSE)</f>
        <v>0</v>
      </c>
      <c r="C47" s="24"/>
      <c r="D47" s="24"/>
      <c r="E47" s="24"/>
      <c r="F47" s="24"/>
      <c r="G47" s="24"/>
      <c r="H47" s="185"/>
      <c r="I47" s="184"/>
      <c r="J47" s="42">
        <f>VLOOKUP($B$28:$B$49,'Alberta Equip. Rates Year 3'!$B$13:$K$314,10,FALSE)</f>
        <v>0</v>
      </c>
      <c r="K47" s="181">
        <f t="shared" si="2"/>
        <v>0</v>
      </c>
    </row>
    <row r="48" spans="1:11" ht="15" customHeight="1">
      <c r="A48" s="43"/>
      <c r="B48" s="49">
        <f>VLOOKUP($C$28:$C$49,Equipment!$A$1:$B$2322,2,FALSE)</f>
        <v>0</v>
      </c>
      <c r="C48" s="24"/>
      <c r="D48" s="24"/>
      <c r="E48" s="24"/>
      <c r="F48" s="24"/>
      <c r="G48" s="24"/>
      <c r="H48" s="185"/>
      <c r="I48" s="184"/>
      <c r="J48" s="42">
        <f>VLOOKUP($B$28:$B$49,'Alberta Equip. Rates Year 3'!$B$13:$K$314,10,FALSE)</f>
        <v>0</v>
      </c>
      <c r="K48" s="181">
        <f t="shared" si="2"/>
        <v>0</v>
      </c>
    </row>
    <row r="49" spans="1:11" ht="15" customHeight="1" thickBot="1">
      <c r="A49" s="43"/>
      <c r="B49" s="49">
        <f>VLOOKUP($C$28:$C$49,Equipment!$A$1:$B$2322,2,FALSE)</f>
        <v>0</v>
      </c>
      <c r="C49" s="24"/>
      <c r="D49" s="24"/>
      <c r="E49" s="24"/>
      <c r="F49" s="24"/>
      <c r="G49" s="24"/>
      <c r="H49" s="185"/>
      <c r="I49" s="184"/>
      <c r="J49" s="42">
        <f>VLOOKUP($B$28:$B$49,'Alberta Equip. Rates Year 3'!$B$13:$K$314,10,FALSE)</f>
        <v>0</v>
      </c>
      <c r="K49" s="181">
        <f t="shared" si="2"/>
        <v>0</v>
      </c>
    </row>
    <row r="50" spans="1:11" ht="12" thickBot="1">
      <c r="A50" s="25"/>
      <c r="B50" s="25"/>
      <c r="C50" s="25"/>
      <c r="D50" s="21"/>
      <c r="E50" s="21"/>
      <c r="F50" s="21"/>
      <c r="G50" s="21"/>
      <c r="H50" s="21"/>
      <c r="I50" s="360" t="s">
        <v>24</v>
      </c>
      <c r="J50" s="361"/>
      <c r="K50" s="182">
        <f>SUM(K28:K49)</f>
        <v>0</v>
      </c>
    </row>
    <row r="51" spans="1:11" ht="12" thickBot="1">
      <c r="A51" s="26"/>
      <c r="D51" s="26"/>
      <c r="I51" s="27"/>
      <c r="J51" s="27"/>
      <c r="K51" s="28"/>
    </row>
    <row r="52" spans="1:11">
      <c r="A52" s="1" t="s">
        <v>25</v>
      </c>
      <c r="B52" s="29"/>
      <c r="D52" s="1"/>
      <c r="E52" s="1"/>
      <c r="F52" s="1"/>
      <c r="G52" s="1"/>
      <c r="H52" s="1"/>
      <c r="I52" s="362" t="s">
        <v>26</v>
      </c>
      <c r="J52" s="362"/>
      <c r="K52" s="37">
        <f>K25</f>
        <v>0</v>
      </c>
    </row>
    <row r="53" spans="1:11">
      <c r="D53" s="1"/>
      <c r="E53" s="1"/>
      <c r="F53" s="1"/>
      <c r="G53" s="1"/>
      <c r="H53" s="1"/>
      <c r="I53" s="362" t="s">
        <v>27</v>
      </c>
      <c r="J53" s="362"/>
      <c r="K53" s="38">
        <f>K50</f>
        <v>0</v>
      </c>
    </row>
    <row r="54" spans="1:11">
      <c r="D54" s="1"/>
      <c r="E54" s="1"/>
      <c r="F54" s="1"/>
      <c r="G54" s="1"/>
      <c r="H54" s="1"/>
      <c r="I54" s="27" t="s">
        <v>28</v>
      </c>
      <c r="J54" s="27"/>
      <c r="K54" s="38">
        <f>(O25)*14.15</f>
        <v>0</v>
      </c>
    </row>
    <row r="55" spans="1:11">
      <c r="D55" s="1"/>
      <c r="E55" s="1"/>
      <c r="F55" s="1"/>
      <c r="G55" s="1"/>
      <c r="H55" s="1"/>
      <c r="I55" s="30" t="s">
        <v>29</v>
      </c>
      <c r="J55" s="30"/>
      <c r="K55" s="39"/>
    </row>
    <row r="56" spans="1:11">
      <c r="D56" s="1"/>
      <c r="E56" s="1"/>
      <c r="F56" s="1"/>
      <c r="G56" s="1"/>
      <c r="H56" s="1"/>
      <c r="I56" s="30" t="s">
        <v>30</v>
      </c>
      <c r="J56" s="30"/>
      <c r="K56" s="39"/>
    </row>
    <row r="57" spans="1:11">
      <c r="D57" s="1"/>
      <c r="E57" s="1"/>
      <c r="F57" s="1"/>
      <c r="G57" s="1"/>
      <c r="H57" s="1"/>
      <c r="I57" s="30" t="s">
        <v>31</v>
      </c>
      <c r="J57" s="30"/>
      <c r="K57" s="39"/>
    </row>
    <row r="58" spans="1:11" ht="12" thickBot="1">
      <c r="D58" s="1"/>
      <c r="E58" s="1"/>
      <c r="F58" s="1"/>
      <c r="G58" s="1"/>
      <c r="H58" s="1"/>
      <c r="I58" s="362" t="s">
        <v>32</v>
      </c>
      <c r="J58" s="362"/>
      <c r="K58" s="40">
        <f>SUM(K52:K57)</f>
        <v>0</v>
      </c>
    </row>
    <row r="59" spans="1:11">
      <c r="D59" s="1"/>
      <c r="E59" s="1"/>
      <c r="F59" s="1"/>
      <c r="G59" s="1"/>
      <c r="H59" s="1"/>
      <c r="I59" s="27"/>
      <c r="J59" s="27"/>
    </row>
    <row r="60" spans="1:11">
      <c r="A60" s="31" t="s">
        <v>33</v>
      </c>
      <c r="B60" s="32"/>
      <c r="C60" s="32"/>
      <c r="D60" s="1"/>
      <c r="H60" s="33" t="s">
        <v>34</v>
      </c>
      <c r="I60" s="32"/>
      <c r="J60" s="32"/>
      <c r="K60" s="32"/>
    </row>
    <row r="61" spans="1:11" ht="15">
      <c r="A61" s="34"/>
      <c r="E61" s="8"/>
      <c r="F61" s="8"/>
      <c r="G61" s="8"/>
      <c r="H61" s="35"/>
      <c r="I61" s="35"/>
      <c r="J61" s="35"/>
      <c r="K61" s="35"/>
    </row>
    <row r="62" spans="1:11" ht="15">
      <c r="A62" s="34" t="s">
        <v>35</v>
      </c>
      <c r="E62" s="8"/>
      <c r="F62" s="8"/>
      <c r="G62" s="8"/>
      <c r="H62" s="35"/>
      <c r="I62" s="35"/>
      <c r="J62" s="35"/>
      <c r="K62" s="35"/>
    </row>
    <row r="63" spans="1:11" s="34" customFormat="1">
      <c r="A63" s="363">
        <v>41218.479166666664</v>
      </c>
      <c r="B63" s="363"/>
      <c r="C63" s="364"/>
      <c r="D63" s="364"/>
      <c r="E63" s="364"/>
      <c r="F63" s="364"/>
      <c r="G63" s="364"/>
      <c r="H63" s="364"/>
      <c r="I63" s="364"/>
      <c r="J63" s="364"/>
      <c r="K63" s="8"/>
    </row>
    <row r="73" s="1" customFormat="1"/>
    <row r="74" s="1" customFormat="1"/>
    <row r="75" s="1" customFormat="1"/>
    <row r="76" s="1" customFormat="1"/>
    <row r="77" s="1" customFormat="1"/>
    <row r="78" s="1" customFormat="1"/>
    <row r="79" s="1" customFormat="1"/>
    <row r="80" s="1" customFormat="1"/>
    <row r="81" s="1" customFormat="1"/>
    <row r="82" s="1" customFormat="1"/>
    <row r="83" s="1" customFormat="1"/>
    <row r="84" s="1" customFormat="1"/>
    <row r="85" s="1" customFormat="1"/>
    <row r="86" s="1" customFormat="1"/>
    <row r="91" s="1" customFormat="1"/>
    <row r="119" s="1" customFormat="1"/>
    <row r="120" s="1" customFormat="1"/>
    <row r="121" s="1" customFormat="1"/>
    <row r="122" s="1" customFormat="1"/>
  </sheetData>
  <mergeCells count="12">
    <mergeCell ref="I25:J25"/>
    <mergeCell ref="C1:H1"/>
    <mergeCell ref="C2:H2"/>
    <mergeCell ref="C3:H3"/>
    <mergeCell ref="H6:I6"/>
    <mergeCell ref="H7:I7"/>
    <mergeCell ref="I50:J50"/>
    <mergeCell ref="I52:J52"/>
    <mergeCell ref="I53:J53"/>
    <mergeCell ref="I58:J58"/>
    <mergeCell ref="A63:B63"/>
    <mergeCell ref="C63:J63"/>
  </mergeCells>
  <printOptions horizontalCentered="1"/>
  <pageMargins left="0.19685039370078741" right="0.19685039370078741" top="0.39370078740157483" bottom="0.39370078740157483" header="0" footer="0"/>
  <pageSetup orientation="portrait" horizontalDpi="4294967292" verticalDpi="4294967292"/>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100-000000000000}">
          <x14:formula1>
            <xm:f>Accounts!$A$4:$A$60</xm:f>
          </x14:formula1>
          <xm:sqref>K7</xm:sqref>
        </x14:dataValidation>
        <x14:dataValidation type="list" allowBlank="1" showInputMessage="1" showErrorMessage="1" xr:uid="{00000000-0002-0000-0100-000001000000}">
          <x14:formula1>
            <xm:f>'Constr. Wage Rate Calculations'!$A$19:$A$288</xm:f>
          </x14:formula1>
          <xm:sqref>B11:B24</xm:sqref>
        </x14:dataValidation>
        <x14:dataValidation type="list" allowBlank="1" showInputMessage="1" showErrorMessage="1" xr:uid="{00000000-0002-0000-0100-000002000000}">
          <x14:formula1>
            <xm:f>Personnel!$A:$A</xm:f>
          </x14:formula1>
          <xm:sqref>C11:C24</xm:sqref>
        </x14:dataValidation>
        <x14:dataValidation type="list" allowBlank="1" showInputMessage="1" showErrorMessage="1" xr:uid="{00000000-0002-0000-0100-000004000000}">
          <x14:formula1>
            <xm:f>Equipment!$A:$A</xm:f>
          </x14:formula1>
          <xm:sqref>C28:C49</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122"/>
  <sheetViews>
    <sheetView zoomScale="120" zoomScaleNormal="120" zoomScalePageLayoutView="120" workbookViewId="0">
      <selection activeCell="C37" sqref="C37"/>
    </sheetView>
  </sheetViews>
  <sheetFormatPr baseColWidth="10" defaultColWidth="8.83203125" defaultRowHeight="11"/>
  <cols>
    <col min="1" max="1" width="13" style="1" customWidth="1"/>
    <col min="2" max="2" width="30" style="1" customWidth="1"/>
    <col min="3" max="3" width="24.5" style="1" customWidth="1"/>
    <col min="4" max="4" width="8.6640625" style="2" customWidth="1"/>
    <col min="5" max="6" width="8.33203125" style="2" customWidth="1"/>
    <col min="7" max="8" width="8.6640625" style="2" customWidth="1"/>
    <col min="9" max="9" width="9.33203125" style="2" customWidth="1"/>
    <col min="10" max="10" width="8.6640625" style="2" customWidth="1"/>
    <col min="11" max="11" width="21.6640625" style="1" customWidth="1"/>
    <col min="12" max="12" width="3.5" style="1" hidden="1" customWidth="1"/>
    <col min="13" max="16384" width="8.83203125" style="1"/>
  </cols>
  <sheetData>
    <row r="1" spans="1:13" ht="15">
      <c r="C1" s="364"/>
      <c r="D1" s="365"/>
      <c r="E1" s="365"/>
      <c r="F1" s="365"/>
      <c r="G1" s="365"/>
      <c r="H1" s="366"/>
      <c r="J1" s="2" t="s">
        <v>0</v>
      </c>
      <c r="K1" s="197"/>
      <c r="M1" s="45"/>
    </row>
    <row r="2" spans="1:13" ht="15">
      <c r="C2" s="367"/>
      <c r="D2" s="367"/>
      <c r="E2" s="367"/>
      <c r="F2" s="367"/>
      <c r="G2" s="367"/>
      <c r="H2" s="366"/>
      <c r="K2" s="41"/>
    </row>
    <row r="3" spans="1:13" ht="15">
      <c r="C3" s="368"/>
      <c r="D3" s="369"/>
      <c r="E3" s="369"/>
      <c r="F3" s="369"/>
      <c r="G3" s="369"/>
      <c r="H3" s="366"/>
    </row>
    <row r="4" spans="1:13">
      <c r="C4" s="3"/>
      <c r="D4" s="4"/>
      <c r="E4" s="4"/>
      <c r="F4" s="4"/>
      <c r="G4" s="4"/>
    </row>
    <row r="5" spans="1:13">
      <c r="C5" s="3"/>
      <c r="D5" s="4"/>
      <c r="E5" s="4"/>
      <c r="F5" s="4"/>
      <c r="G5" s="4"/>
    </row>
    <row r="6" spans="1:13" ht="12">
      <c r="B6" s="5"/>
      <c r="C6" s="6"/>
      <c r="D6" s="7"/>
      <c r="E6" s="8"/>
      <c r="F6" s="8"/>
      <c r="G6" s="1" t="s">
        <v>1</v>
      </c>
      <c r="H6" s="370"/>
      <c r="I6" s="370"/>
      <c r="J6" s="1" t="s">
        <v>2</v>
      </c>
      <c r="K6" s="47"/>
    </row>
    <row r="7" spans="1:13" ht="12">
      <c r="A7" s="1" t="s">
        <v>3</v>
      </c>
      <c r="B7" s="9"/>
      <c r="C7" s="10"/>
      <c r="D7" s="11"/>
      <c r="E7" s="8"/>
      <c r="F7" s="8"/>
      <c r="G7" s="1" t="s">
        <v>4</v>
      </c>
      <c r="H7" s="371"/>
      <c r="I7" s="371"/>
      <c r="J7" s="1" t="s">
        <v>5</v>
      </c>
      <c r="K7" s="46"/>
    </row>
    <row r="8" spans="1:13" ht="12">
      <c r="B8" s="12"/>
      <c r="C8" s="13"/>
      <c r="D8" s="14"/>
      <c r="E8" s="8"/>
      <c r="F8" s="8"/>
      <c r="G8" s="1" t="s">
        <v>6</v>
      </c>
      <c r="H8" s="187"/>
      <c r="I8" s="188"/>
      <c r="J8" s="44"/>
    </row>
    <row r="9" spans="1:13" ht="16" thickBot="1">
      <c r="B9" s="15"/>
      <c r="C9" s="16"/>
      <c r="D9" s="16"/>
      <c r="E9" s="8"/>
      <c r="F9" s="8"/>
      <c r="G9" s="8"/>
    </row>
    <row r="10" spans="1:13" s="19" customFormat="1" ht="12" thickBot="1">
      <c r="A10" s="17" t="s">
        <v>7</v>
      </c>
      <c r="B10" s="17" t="s">
        <v>8</v>
      </c>
      <c r="C10" s="17" t="s">
        <v>9</v>
      </c>
      <c r="D10" s="18" t="s">
        <v>10</v>
      </c>
      <c r="E10" s="18" t="s">
        <v>11</v>
      </c>
      <c r="F10" s="18" t="s">
        <v>12</v>
      </c>
      <c r="G10" s="180" t="s">
        <v>13</v>
      </c>
      <c r="H10" s="18" t="s">
        <v>14</v>
      </c>
      <c r="I10" s="18" t="s">
        <v>15</v>
      </c>
      <c r="J10" s="18" t="s">
        <v>16</v>
      </c>
      <c r="K10" s="18" t="s">
        <v>17</v>
      </c>
      <c r="M10" s="19" t="s">
        <v>1797</v>
      </c>
    </row>
    <row r="11" spans="1:13" ht="15" customHeight="1">
      <c r="A11" s="48"/>
      <c r="B11" s="49">
        <f>VLOOKUP($C$11:$C$24,Personnel!$A$1:$B$1234,2,FALSE)</f>
        <v>0</v>
      </c>
      <c r="C11" s="36"/>
      <c r="D11" s="184"/>
      <c r="E11" s="179">
        <f>VLOOKUP($B$11:$B$24,'Constr. Wage Rate Calculations'!$A$19:$Z$288,22,FALSE)</f>
        <v>0</v>
      </c>
      <c r="F11" s="184"/>
      <c r="G11" s="179">
        <f>VLOOKUP($B$11:$B$24,'Constr. Wage Rate Calculations'!$A$19:$Z$288,23,FALSE)</f>
        <v>0</v>
      </c>
      <c r="H11" s="184"/>
      <c r="I11" s="179">
        <f>VLOOKUP($B$11:$B$24,'Constr. Wage Rate Calculations'!$A$19:$Z$288,24,FALSE)</f>
        <v>0</v>
      </c>
      <c r="J11" s="20">
        <f>VLOOKUP($B$11:$B$25,'Constr. Wage Rate Calculations'!$A$19:$Z$288,25,FALSE)</f>
        <v>0</v>
      </c>
      <c r="K11" s="179" t="str">
        <f t="shared" ref="K11:K24" si="0">IF($D11&gt;=1,$J11+(D11*E11)+(F11*G11)+(H11*I11),IF($F11&gt;=1,$J11+(D11*E11)+(F11*G11)+(H11*I11),IF($H11&gt;=1,$J11+(D11*E11)+(F11*G11)+(H11*I11),"")))</f>
        <v/>
      </c>
    </row>
    <row r="12" spans="1:13" ht="15" customHeight="1">
      <c r="A12" s="48"/>
      <c r="B12" s="49">
        <f>VLOOKUP($C$11:$C$24,Personnel!$A$1:$B$1234,2,FALSE)</f>
        <v>0</v>
      </c>
      <c r="C12" s="36"/>
      <c r="D12" s="184"/>
      <c r="E12" s="179">
        <f>VLOOKUP($B$11:$B$24,'Constr. Wage Rate Calculations'!$A$19:$Z$288,22,FALSE)</f>
        <v>0</v>
      </c>
      <c r="F12" s="184"/>
      <c r="G12" s="179">
        <f>VLOOKUP($B$11:$B$24,'Constr. Wage Rate Calculations'!$A$19:$Z$288,23,FALSE)</f>
        <v>0</v>
      </c>
      <c r="H12" s="184"/>
      <c r="I12" s="179">
        <f>VLOOKUP($B$11:$B$24,'Constr. Wage Rate Calculations'!$A$19:$Z$288,24,FALSE)</f>
        <v>0</v>
      </c>
      <c r="J12" s="20">
        <f>VLOOKUP($B$11:$B$25,'Constr. Wage Rate Calculations'!$A$19:$Z$288,25,FALSE)</f>
        <v>0</v>
      </c>
      <c r="K12" s="179" t="str">
        <f t="shared" si="0"/>
        <v/>
      </c>
    </row>
    <row r="13" spans="1:13" ht="15" customHeight="1">
      <c r="A13" s="48"/>
      <c r="B13" s="49">
        <f>VLOOKUP($C$11:$C$24,Personnel!$A$1:$B$1234,2,FALSE)</f>
        <v>0</v>
      </c>
      <c r="C13" s="36"/>
      <c r="D13" s="184"/>
      <c r="E13" s="179">
        <f>VLOOKUP($B$11:$B$24,'Constr. Wage Rate Calculations'!$A$19:$Z$288,22,FALSE)</f>
        <v>0</v>
      </c>
      <c r="F13" s="184"/>
      <c r="G13" s="179">
        <f>VLOOKUP($B$11:$B$24,'Constr. Wage Rate Calculations'!$A$19:$Z$288,23,FALSE)</f>
        <v>0</v>
      </c>
      <c r="H13" s="184"/>
      <c r="I13" s="179">
        <f>VLOOKUP($B$11:$B$24,'Constr. Wage Rate Calculations'!$A$19:$Z$288,24,FALSE)</f>
        <v>0</v>
      </c>
      <c r="J13" s="20">
        <f>VLOOKUP($B$11:$B$25,'Constr. Wage Rate Calculations'!$A$19:$Z$288,25,FALSE)</f>
        <v>0</v>
      </c>
      <c r="K13" s="179" t="str">
        <f t="shared" si="0"/>
        <v/>
      </c>
    </row>
    <row r="14" spans="1:13" ht="15" customHeight="1">
      <c r="A14" s="48"/>
      <c r="B14" s="49">
        <f>VLOOKUP($C$11:$C$24,Personnel!$A$1:$B$1234,2,FALSE)</f>
        <v>0</v>
      </c>
      <c r="C14" s="36"/>
      <c r="D14" s="184"/>
      <c r="E14" s="179">
        <f>VLOOKUP($B$11:$B$24,'Constr. Wage Rate Calculations'!$A$19:$Z$288,22,FALSE)</f>
        <v>0</v>
      </c>
      <c r="F14" s="184"/>
      <c r="G14" s="179">
        <f>VLOOKUP($B$11:$B$24,'Constr. Wage Rate Calculations'!$A$19:$Z$288,23,FALSE)</f>
        <v>0</v>
      </c>
      <c r="H14" s="184"/>
      <c r="I14" s="179">
        <f>VLOOKUP($B$11:$B$24,'Constr. Wage Rate Calculations'!$A$19:$Z$288,24,FALSE)</f>
        <v>0</v>
      </c>
      <c r="J14" s="20">
        <f>VLOOKUP($B$11:$B$25,'Constr. Wage Rate Calculations'!$A$19:$Z$288,25,FALSE)</f>
        <v>0</v>
      </c>
      <c r="K14" s="179" t="str">
        <f t="shared" si="0"/>
        <v/>
      </c>
    </row>
    <row r="15" spans="1:13" ht="15" customHeight="1">
      <c r="A15" s="48"/>
      <c r="B15" s="49">
        <f>VLOOKUP($C$11:$C$24,Personnel!$A$1:$B$1234,2,FALSE)</f>
        <v>0</v>
      </c>
      <c r="C15" s="36"/>
      <c r="D15" s="184"/>
      <c r="E15" s="179">
        <f>VLOOKUP($B$11:$B$24,'Constr. Wage Rate Calculations'!$A$19:$Z$288,22,FALSE)</f>
        <v>0</v>
      </c>
      <c r="F15" s="184"/>
      <c r="G15" s="179">
        <f>VLOOKUP($B$11:$B$24,'Constr. Wage Rate Calculations'!$A$19:$Z$288,23,FALSE)</f>
        <v>0</v>
      </c>
      <c r="H15" s="184"/>
      <c r="I15" s="179">
        <f>VLOOKUP($B$11:$B$24,'Constr. Wage Rate Calculations'!$A$19:$Z$288,24,FALSE)</f>
        <v>0</v>
      </c>
      <c r="J15" s="20">
        <f>VLOOKUP($B$11:$B$25,'Constr. Wage Rate Calculations'!$A$19:$Z$288,25,FALSE)</f>
        <v>0</v>
      </c>
      <c r="K15" s="179" t="str">
        <f t="shared" si="0"/>
        <v/>
      </c>
    </row>
    <row r="16" spans="1:13" ht="15" customHeight="1">
      <c r="A16" s="48"/>
      <c r="B16" s="49">
        <f>VLOOKUP($C$11:$C$24,Personnel!$A$1:$B$1234,2,FALSE)</f>
        <v>0</v>
      </c>
      <c r="C16" s="36"/>
      <c r="D16" s="184"/>
      <c r="E16" s="179">
        <f>VLOOKUP($B$11:$B$24,'Constr. Wage Rate Calculations'!$A$19:$Z$288,22,FALSE)</f>
        <v>0</v>
      </c>
      <c r="F16" s="184"/>
      <c r="G16" s="179">
        <f>VLOOKUP($B$11:$B$24,'Constr. Wage Rate Calculations'!$A$19:$Z$288,23,FALSE)</f>
        <v>0</v>
      </c>
      <c r="H16" s="184"/>
      <c r="I16" s="179">
        <f>VLOOKUP($B$11:$B$24,'Constr. Wage Rate Calculations'!$A$19:$Z$288,24,FALSE)</f>
        <v>0</v>
      </c>
      <c r="J16" s="20">
        <f>VLOOKUP($B$11:$B$25,'Constr. Wage Rate Calculations'!$A$19:$Z$288,25,FALSE)</f>
        <v>0</v>
      </c>
      <c r="K16" s="179" t="str">
        <f t="shared" si="0"/>
        <v/>
      </c>
    </row>
    <row r="17" spans="1:15" ht="15" customHeight="1">
      <c r="A17" s="48"/>
      <c r="B17" s="49">
        <f>VLOOKUP($C$11:$C$24,Personnel!$A$1:$B$1234,2,FALSE)</f>
        <v>0</v>
      </c>
      <c r="C17" s="36"/>
      <c r="D17" s="184"/>
      <c r="E17" s="179">
        <f>VLOOKUP($B$11:$B$24,'Constr. Wage Rate Calculations'!$A$19:$Z$288,22,FALSE)</f>
        <v>0</v>
      </c>
      <c r="F17" s="184"/>
      <c r="G17" s="179">
        <f>VLOOKUP($B$11:$B$24,'Constr. Wage Rate Calculations'!$A$19:$Z$288,23,FALSE)</f>
        <v>0</v>
      </c>
      <c r="H17" s="184"/>
      <c r="I17" s="179">
        <f>VLOOKUP($B$11:$B$24,'Constr. Wage Rate Calculations'!$A$19:$Z$288,24,FALSE)</f>
        <v>0</v>
      </c>
      <c r="J17" s="20">
        <f>VLOOKUP($B$11:$B$25,'Constr. Wage Rate Calculations'!$A$19:$Z$288,25,FALSE)</f>
        <v>0</v>
      </c>
      <c r="K17" s="179" t="str">
        <f t="shared" si="0"/>
        <v/>
      </c>
    </row>
    <row r="18" spans="1:15" ht="15" customHeight="1">
      <c r="A18" s="48"/>
      <c r="B18" s="49">
        <f>VLOOKUP($C$11:$C$24,Personnel!$A$1:$B$1234,2,FALSE)</f>
        <v>0</v>
      </c>
      <c r="C18" s="36"/>
      <c r="D18" s="184"/>
      <c r="E18" s="179">
        <f>VLOOKUP($B$11:$B$24,'Constr. Wage Rate Calculations'!$A$19:$Z$288,22,FALSE)</f>
        <v>0</v>
      </c>
      <c r="F18" s="184"/>
      <c r="G18" s="179">
        <f>VLOOKUP($B$11:$B$24,'Constr. Wage Rate Calculations'!$A$19:$Z$288,23,FALSE)</f>
        <v>0</v>
      </c>
      <c r="H18" s="184"/>
      <c r="I18" s="179">
        <f>VLOOKUP($B$11:$B$24,'Constr. Wage Rate Calculations'!$A$19:$Z$288,24,FALSE)</f>
        <v>0</v>
      </c>
      <c r="J18" s="20">
        <v>0</v>
      </c>
      <c r="K18" s="179" t="str">
        <f t="shared" si="0"/>
        <v/>
      </c>
    </row>
    <row r="19" spans="1:15" ht="15" customHeight="1">
      <c r="A19" s="48"/>
      <c r="B19" s="49">
        <f>VLOOKUP($C$11:$C$24,Personnel!$A$1:$B$1234,2,FALSE)</f>
        <v>0</v>
      </c>
      <c r="C19" s="36"/>
      <c r="D19" s="184"/>
      <c r="E19" s="179">
        <f>VLOOKUP($B$11:$B$24,'Constr. Wage Rate Calculations'!$A$19:$Z$288,22,FALSE)</f>
        <v>0</v>
      </c>
      <c r="F19" s="184"/>
      <c r="G19" s="179">
        <f>VLOOKUP($B$11:$B$24,'Constr. Wage Rate Calculations'!$A$19:$Z$288,23,FALSE)</f>
        <v>0</v>
      </c>
      <c r="H19" s="184"/>
      <c r="I19" s="179">
        <f>VLOOKUP($B$11:$B$24,'Constr. Wage Rate Calculations'!$A$19:$Z$288,24,FALSE)</f>
        <v>0</v>
      </c>
      <c r="J19" s="20">
        <f>VLOOKUP($B$11:$B$25,'Constr. Wage Rate Calculations'!$A$19:$Z$288,25,FALSE)</f>
        <v>0</v>
      </c>
      <c r="K19" s="179" t="str">
        <f t="shared" si="0"/>
        <v/>
      </c>
    </row>
    <row r="20" spans="1:15" ht="15" customHeight="1">
      <c r="A20" s="48"/>
      <c r="B20" s="49">
        <f>VLOOKUP($C$11:$C$24,Personnel!$A$1:$B$1234,2,FALSE)</f>
        <v>0</v>
      </c>
      <c r="C20" s="36"/>
      <c r="D20" s="184"/>
      <c r="E20" s="179">
        <f>VLOOKUP($B$11:$B$24,'Constr. Wage Rate Calculations'!$A$19:$Z$288,22,FALSE)</f>
        <v>0</v>
      </c>
      <c r="F20" s="184"/>
      <c r="G20" s="179">
        <f>VLOOKUP($B$11:$B$24,'Constr. Wage Rate Calculations'!$A$19:$Z$288,23,FALSE)</f>
        <v>0</v>
      </c>
      <c r="H20" s="184"/>
      <c r="I20" s="179">
        <f>VLOOKUP($B$11:$B$24,'Constr. Wage Rate Calculations'!$A$19:$Z$288,24,FALSE)</f>
        <v>0</v>
      </c>
      <c r="J20" s="20">
        <f>VLOOKUP($B$11:$B$25,'Constr. Wage Rate Calculations'!$A$19:$Z$288,25,FALSE)</f>
        <v>0</v>
      </c>
      <c r="K20" s="179" t="str">
        <f t="shared" si="0"/>
        <v/>
      </c>
    </row>
    <row r="21" spans="1:15" ht="15" customHeight="1">
      <c r="A21" s="48"/>
      <c r="B21" s="49">
        <f>VLOOKUP($C$11:$C$24,Personnel!$A$1:$B$1234,2,FALSE)</f>
        <v>0</v>
      </c>
      <c r="C21" s="36"/>
      <c r="D21" s="184"/>
      <c r="E21" s="179">
        <f>VLOOKUP($B$11:$B$24,'Constr. Wage Rate Calculations'!$A$19:$Z$288,22,FALSE)</f>
        <v>0</v>
      </c>
      <c r="F21" s="203"/>
      <c r="G21" s="179">
        <f>VLOOKUP($B$11:$B$24,'Constr. Wage Rate Calculations'!$A$19:$Z$288,23,FALSE)</f>
        <v>0</v>
      </c>
      <c r="H21" s="184"/>
      <c r="I21" s="179">
        <f>VLOOKUP($B$11:$B$24,'Constr. Wage Rate Calculations'!$A$19:$Z$288,24,FALSE)</f>
        <v>0</v>
      </c>
      <c r="J21" s="20">
        <f>VLOOKUP($B$11:$B$25,'Constr. Wage Rate Calculations'!$A$19:$Z$288,25,FALSE)</f>
        <v>0</v>
      </c>
      <c r="K21" s="179" t="str">
        <f t="shared" si="0"/>
        <v/>
      </c>
    </row>
    <row r="22" spans="1:15" ht="15" customHeight="1">
      <c r="A22" s="48"/>
      <c r="B22" s="49">
        <f>VLOOKUP($C$11:$C$24,Personnel!$A$1:$B$1234,2,FALSE)</f>
        <v>0</v>
      </c>
      <c r="C22" s="36"/>
      <c r="D22" s="184"/>
      <c r="E22" s="179">
        <f>VLOOKUP($B$11:$B$24,'Constr. Wage Rate Calculations'!$A$19:$Z$288,22,FALSE)</f>
        <v>0</v>
      </c>
      <c r="F22" s="203"/>
      <c r="G22" s="179">
        <f>VLOOKUP($B$11:$B$24,'Constr. Wage Rate Calculations'!$A$19:$Z$288,23,FALSE)</f>
        <v>0</v>
      </c>
      <c r="H22" s="184"/>
      <c r="I22" s="179">
        <f>VLOOKUP($B$11:$B$24,'Constr. Wage Rate Calculations'!$A$19:$Z$288,24,FALSE)</f>
        <v>0</v>
      </c>
      <c r="J22" s="20">
        <f>VLOOKUP($B$11:$B$25,'Constr. Wage Rate Calculations'!$A$19:$Z$288,25,FALSE)</f>
        <v>0</v>
      </c>
      <c r="K22" s="179" t="str">
        <f t="shared" si="0"/>
        <v/>
      </c>
    </row>
    <row r="23" spans="1:15" ht="15" customHeight="1">
      <c r="A23" s="48"/>
      <c r="B23" s="49">
        <f>VLOOKUP($C$11:$C$24,Personnel!$A$1:$B$1234,2,FALSE)</f>
        <v>0</v>
      </c>
      <c r="C23" s="36"/>
      <c r="D23" s="184"/>
      <c r="E23" s="179">
        <f>VLOOKUP($B$11:$B$24,'Constr. Wage Rate Calculations'!$A$19:$Z$288,22,FALSE)</f>
        <v>0</v>
      </c>
      <c r="F23" s="184"/>
      <c r="G23" s="179">
        <f>VLOOKUP($B$11:$B$24,'Constr. Wage Rate Calculations'!$A$19:$Z$288,23,FALSE)</f>
        <v>0</v>
      </c>
      <c r="H23" s="184"/>
      <c r="I23" s="179">
        <f>VLOOKUP($B$11:$B$24,'Constr. Wage Rate Calculations'!$A$19:$Z$288,24,FALSE)</f>
        <v>0</v>
      </c>
      <c r="J23" s="20">
        <f>VLOOKUP($B$11:$B$25,'Constr. Wage Rate Calculations'!$A$19:$Z$288,25,FALSE)</f>
        <v>0</v>
      </c>
      <c r="K23" s="179" t="str">
        <f t="shared" si="0"/>
        <v/>
      </c>
    </row>
    <row r="24" spans="1:15" ht="15" customHeight="1" thickBot="1">
      <c r="A24" s="48"/>
      <c r="B24" s="49">
        <f>VLOOKUP($C$11:$C$24,Personnel!$A$1:$B$1234,2,FALSE)</f>
        <v>0</v>
      </c>
      <c r="C24" s="36"/>
      <c r="D24" s="184"/>
      <c r="E24" s="179">
        <f>VLOOKUP($B$11:$B$24,'Constr. Wage Rate Calculations'!$A$19:$Z$288,22,FALSE)</f>
        <v>0</v>
      </c>
      <c r="F24" s="184"/>
      <c r="G24" s="179">
        <f>VLOOKUP($B$11:$B$24,'Constr. Wage Rate Calculations'!$A$19:$Z$288,23,FALSE)</f>
        <v>0</v>
      </c>
      <c r="H24" s="184"/>
      <c r="I24" s="179">
        <f>VLOOKUP($B$11:$B$24,'Constr. Wage Rate Calculations'!$A$19:$Z$288,24,FALSE)</f>
        <v>0</v>
      </c>
      <c r="J24" s="20">
        <f>VLOOKUP($B$11:$B$25,'Constr. Wage Rate Calculations'!$A$19:$Z$288,25,FALSE)</f>
        <v>0</v>
      </c>
      <c r="K24" s="179" t="str">
        <f t="shared" si="0"/>
        <v/>
      </c>
      <c r="M24" s="1">
        <f>SUM(M11:M23)</f>
        <v>0</v>
      </c>
    </row>
    <row r="25" spans="1:15" ht="15" customHeight="1" thickBot="1">
      <c r="A25"/>
      <c r="B25"/>
      <c r="C25"/>
      <c r="D25" s="21"/>
      <c r="E25" s="21"/>
      <c r="F25" s="21"/>
      <c r="G25" s="21"/>
      <c r="H25" s="21"/>
      <c r="I25" s="360" t="s">
        <v>18</v>
      </c>
      <c r="J25" s="361"/>
      <c r="K25" s="183">
        <f>SUM(K11:K24)</f>
        <v>0</v>
      </c>
      <c r="M25" s="1">
        <f>SUMIFS(D11:D24,D11:D24,"&lt;3",D11:D24,"&lt;5")</f>
        <v>0</v>
      </c>
      <c r="N25" s="1">
        <f>SUMIFS(D11:D24,D11:D24,"&gt;3",D11:D24,"&gt;5")</f>
        <v>0</v>
      </c>
      <c r="O25" s="1">
        <f>SUM(F11:F24,H11:H24,M25,N25)-M24</f>
        <v>0</v>
      </c>
    </row>
    <row r="26" spans="1:15" ht="10" customHeight="1" thickBot="1"/>
    <row r="27" spans="1:15" s="19" customFormat="1" ht="15" customHeight="1" thickBot="1">
      <c r="A27" s="22" t="s">
        <v>19</v>
      </c>
      <c r="B27" s="23" t="s">
        <v>20</v>
      </c>
      <c r="C27" s="23"/>
      <c r="D27" s="23"/>
      <c r="E27" s="23"/>
      <c r="F27" s="23"/>
      <c r="G27" s="23"/>
      <c r="H27" s="18" t="s">
        <v>21</v>
      </c>
      <c r="I27" s="18" t="s">
        <v>22</v>
      </c>
      <c r="J27" s="18" t="s">
        <v>23</v>
      </c>
      <c r="K27" s="18" t="s">
        <v>17</v>
      </c>
    </row>
    <row r="28" spans="1:15" ht="15" customHeight="1">
      <c r="A28" s="43"/>
      <c r="B28" s="49">
        <f>VLOOKUP($C$28:$C$49,Equipment!$A$1:$B$2322,2,FALSE)</f>
        <v>0</v>
      </c>
      <c r="C28" s="24"/>
      <c r="D28" s="24"/>
      <c r="E28" s="24"/>
      <c r="F28" s="24"/>
      <c r="G28" s="24"/>
      <c r="H28" s="202"/>
      <c r="I28" s="203"/>
      <c r="J28" s="42">
        <f>VLOOKUP($B$28:$B$49,'Alberta Equip. Rates Year 3'!$B$13:$K$314,10,FALSE)</f>
        <v>0</v>
      </c>
      <c r="K28" s="181">
        <f>(H28+I28)*J28</f>
        <v>0</v>
      </c>
    </row>
    <row r="29" spans="1:15" ht="15" customHeight="1">
      <c r="A29" s="43"/>
      <c r="B29" s="49">
        <f>VLOOKUP($C$28:$C$49,Equipment!$A$1:$B$2322,2,FALSE)</f>
        <v>0</v>
      </c>
      <c r="C29" s="24"/>
      <c r="D29" s="24"/>
      <c r="E29" s="24"/>
      <c r="F29" s="24"/>
      <c r="G29" s="24"/>
      <c r="H29" s="202"/>
      <c r="I29" s="203"/>
      <c r="J29" s="42">
        <f>VLOOKUP($B$28:$B$49,'Alberta Equip. Rates Year 3'!$B$13:$K$314,10,FALSE)</f>
        <v>0</v>
      </c>
      <c r="K29" s="181">
        <f t="shared" ref="K29:K49" si="1">(H29+I29)*J29</f>
        <v>0</v>
      </c>
    </row>
    <row r="30" spans="1:15" ht="15" customHeight="1">
      <c r="A30" s="43"/>
      <c r="B30" s="49">
        <f>VLOOKUP($C$28:$C$49,Equipment!$A$1:$B$2322,2,FALSE)</f>
        <v>0</v>
      </c>
      <c r="C30" s="24"/>
      <c r="D30" s="24"/>
      <c r="E30" s="24"/>
      <c r="F30" s="24"/>
      <c r="G30" s="24"/>
      <c r="H30" s="202"/>
      <c r="I30" s="203"/>
      <c r="J30" s="42">
        <f>VLOOKUP($B$28:$B$49,'Alberta Equip. Rates Year 3'!$B$13:$K$314,10,FALSE)</f>
        <v>0</v>
      </c>
      <c r="K30" s="181">
        <f t="shared" si="1"/>
        <v>0</v>
      </c>
    </row>
    <row r="31" spans="1:15" ht="15" customHeight="1">
      <c r="A31" s="43"/>
      <c r="B31" s="49">
        <f>VLOOKUP($C$28:$C$49,Equipment!$A$1:$B$2322,2,FALSE)</f>
        <v>0</v>
      </c>
      <c r="C31" s="24"/>
      <c r="D31" s="24"/>
      <c r="E31" s="24"/>
      <c r="F31" s="24"/>
      <c r="G31" s="24"/>
      <c r="H31" s="202"/>
      <c r="I31" s="203"/>
      <c r="J31" s="42">
        <f>VLOOKUP($B$28:$B$49,'Alberta Equip. Rates Year 3'!$B$13:$K$314,10,FALSE)</f>
        <v>0</v>
      </c>
      <c r="K31" s="181">
        <f t="shared" si="1"/>
        <v>0</v>
      </c>
    </row>
    <row r="32" spans="1:15" ht="15" customHeight="1">
      <c r="A32" s="43"/>
      <c r="B32" s="49">
        <f>VLOOKUP($C$28:$C$49,Equipment!$A$1:$B$2322,2,FALSE)</f>
        <v>0</v>
      </c>
      <c r="C32" s="24"/>
      <c r="D32" s="24"/>
      <c r="E32" s="24"/>
      <c r="F32" s="24"/>
      <c r="G32" s="24"/>
      <c r="H32" s="202"/>
      <c r="I32" s="203"/>
      <c r="J32" s="42">
        <f>VLOOKUP($B$28:$B$49,'Alberta Equip. Rates Year 3'!$B$13:$K$314,10,FALSE)</f>
        <v>0</v>
      </c>
      <c r="K32" s="181">
        <f t="shared" si="1"/>
        <v>0</v>
      </c>
    </row>
    <row r="33" spans="1:11" ht="15" customHeight="1">
      <c r="A33" s="43"/>
      <c r="B33" s="49">
        <f>VLOOKUP($C$28:$C$49,Equipment!$A$1:$B$2322,2,FALSE)</f>
        <v>0</v>
      </c>
      <c r="C33" s="24"/>
      <c r="D33" s="24"/>
      <c r="E33" s="24"/>
      <c r="F33" s="24"/>
      <c r="G33" s="24"/>
      <c r="H33" s="202"/>
      <c r="I33" s="203"/>
      <c r="J33" s="42">
        <f>VLOOKUP($B$28:$B$49,'Alberta Equip. Rates Year 3'!$B$13:$K$314,10,FALSE)</f>
        <v>0</v>
      </c>
      <c r="K33" s="181">
        <f t="shared" si="1"/>
        <v>0</v>
      </c>
    </row>
    <row r="34" spans="1:11" ht="15" customHeight="1">
      <c r="A34" s="43"/>
      <c r="B34" s="49">
        <f>VLOOKUP($C$28:$C$49,Equipment!$A$1:$B$2322,2,FALSE)</f>
        <v>0</v>
      </c>
      <c r="C34" s="24"/>
      <c r="D34" s="24"/>
      <c r="E34" s="24"/>
      <c r="F34" s="24"/>
      <c r="G34" s="24"/>
      <c r="H34" s="202"/>
      <c r="I34" s="203"/>
      <c r="J34" s="42">
        <f>VLOOKUP($B$28:$B$49,'Alberta Equip. Rates Year 3'!$B$13:$K$314,10,FALSE)</f>
        <v>0</v>
      </c>
      <c r="K34" s="181">
        <f t="shared" si="1"/>
        <v>0</v>
      </c>
    </row>
    <row r="35" spans="1:11" ht="15" customHeight="1">
      <c r="A35" s="43"/>
      <c r="B35" s="49">
        <f>VLOOKUP($C$28:$C$49,Equipment!$A$1:$B$2322,2,FALSE)</f>
        <v>0</v>
      </c>
      <c r="C35" s="24"/>
      <c r="D35" s="24"/>
      <c r="E35" s="24"/>
      <c r="F35" s="24"/>
      <c r="G35" s="24"/>
      <c r="H35" s="185"/>
      <c r="I35" s="184"/>
      <c r="J35" s="42">
        <f>VLOOKUP($B$28:$B$49,'Alberta Equip. Rates Year 3'!$B$13:$K$314,10,FALSE)</f>
        <v>0</v>
      </c>
      <c r="K35" s="181">
        <f t="shared" si="1"/>
        <v>0</v>
      </c>
    </row>
    <row r="36" spans="1:11" ht="15" customHeight="1">
      <c r="A36" s="43"/>
      <c r="B36" s="49">
        <f>VLOOKUP($C$28:$C$49,Equipment!$A$1:$B$2322,2,FALSE)</f>
        <v>0</v>
      </c>
      <c r="C36" s="24"/>
      <c r="D36" s="24"/>
      <c r="E36" s="24"/>
      <c r="F36" s="24"/>
      <c r="G36" s="24"/>
      <c r="H36" s="185"/>
      <c r="I36" s="184"/>
      <c r="J36" s="42">
        <f>VLOOKUP($B$28:$B$49,'Alberta Equip. Rates Year 3'!$B$13:$K$314,10,FALSE)</f>
        <v>0</v>
      </c>
      <c r="K36" s="181">
        <f t="shared" si="1"/>
        <v>0</v>
      </c>
    </row>
    <row r="37" spans="1:11" ht="15" customHeight="1">
      <c r="A37" s="43"/>
      <c r="B37" s="49">
        <f>VLOOKUP($C$28:$C$49,Equipment!$A$1:$B$2322,2,FALSE)</f>
        <v>0</v>
      </c>
      <c r="C37" s="24"/>
      <c r="D37" s="24"/>
      <c r="E37" s="24"/>
      <c r="F37" s="24"/>
      <c r="G37" s="24"/>
      <c r="H37" s="185"/>
      <c r="I37" s="184"/>
      <c r="J37" s="42">
        <f>VLOOKUP($B$28:$B$49,'Alberta Equip. Rates Year 3'!$B$13:$K$314,10,FALSE)</f>
        <v>0</v>
      </c>
      <c r="K37" s="181">
        <f t="shared" si="1"/>
        <v>0</v>
      </c>
    </row>
    <row r="38" spans="1:11" ht="15" customHeight="1">
      <c r="A38" s="43"/>
      <c r="B38" s="49">
        <f>VLOOKUP($C$28:$C$49,Equipment!$A$1:$B$2322,2,FALSE)</f>
        <v>0</v>
      </c>
      <c r="C38" s="24"/>
      <c r="D38" s="24"/>
      <c r="E38" s="24"/>
      <c r="F38" s="24"/>
      <c r="G38" s="24"/>
      <c r="H38" s="185"/>
      <c r="I38" s="184"/>
      <c r="J38" s="42">
        <f>VLOOKUP($B$28:$B$49,'Alberta Equip. Rates Year 3'!$B$13:$K$314,10,FALSE)</f>
        <v>0</v>
      </c>
      <c r="K38" s="181">
        <f>(H38+I38)*J38</f>
        <v>0</v>
      </c>
    </row>
    <row r="39" spans="1:11" ht="15" customHeight="1">
      <c r="A39" s="43"/>
      <c r="B39" s="49">
        <f>VLOOKUP($C$28:$C$49,Equipment!$A$1:$B$2322,2,FALSE)</f>
        <v>0</v>
      </c>
      <c r="C39" s="24"/>
      <c r="D39" s="24"/>
      <c r="E39" s="24"/>
      <c r="F39" s="24"/>
      <c r="G39" s="24"/>
      <c r="H39" s="202"/>
      <c r="I39" s="203"/>
      <c r="J39" s="42">
        <f>VLOOKUP($B$28:$B$49,'Alberta Equip. Rates Year 3'!$B$13:$K$314,10,FALSE)</f>
        <v>0</v>
      </c>
      <c r="K39" s="181">
        <f t="shared" si="1"/>
        <v>0</v>
      </c>
    </row>
    <row r="40" spans="1:11" ht="15" customHeight="1">
      <c r="A40" s="43"/>
      <c r="B40" s="49">
        <f>VLOOKUP($C$28:$C$49,Equipment!$A$1:$B$2322,2,FALSE)</f>
        <v>0</v>
      </c>
      <c r="C40" s="24"/>
      <c r="D40" s="24"/>
      <c r="E40" s="24"/>
      <c r="F40" s="24"/>
      <c r="G40" s="24"/>
      <c r="H40" s="202"/>
      <c r="I40" s="203"/>
      <c r="J40" s="42">
        <f>VLOOKUP($B$28:$B$49,'Alberta Equip. Rates Year 3'!$B$13:$K$314,10,FALSE)</f>
        <v>0</v>
      </c>
      <c r="K40" s="181">
        <f t="shared" si="1"/>
        <v>0</v>
      </c>
    </row>
    <row r="41" spans="1:11" ht="15" customHeight="1">
      <c r="A41" s="43"/>
      <c r="B41" s="49">
        <f>VLOOKUP($C$28:$C$49,Equipment!$A$1:$B$2322,2,FALSE)</f>
        <v>0</v>
      </c>
      <c r="C41" s="24"/>
      <c r="D41" s="24"/>
      <c r="E41" s="24"/>
      <c r="F41" s="24"/>
      <c r="G41" s="24"/>
      <c r="H41" s="185"/>
      <c r="I41" s="184"/>
      <c r="J41" s="42">
        <f>VLOOKUP($B$28:$B$49,'Alberta Equip. Rates Year 3'!$B$13:$K$314,10,FALSE)</f>
        <v>0</v>
      </c>
      <c r="K41" s="181">
        <f t="shared" si="1"/>
        <v>0</v>
      </c>
    </row>
    <row r="42" spans="1:11" ht="15" customHeight="1">
      <c r="A42" s="43"/>
      <c r="B42" s="49">
        <f>VLOOKUP($C$28:$C$49,Equipment!$A$1:$B$2322,2,FALSE)</f>
        <v>0</v>
      </c>
      <c r="C42" s="24"/>
      <c r="D42" s="24"/>
      <c r="E42" s="24"/>
      <c r="F42" s="24"/>
      <c r="G42" s="24"/>
      <c r="H42" s="185"/>
      <c r="I42" s="184"/>
      <c r="J42" s="42">
        <f>VLOOKUP($B$28:$B$49,'Alberta Equip. Rates Year 3'!$B$13:$K$314,10,FALSE)</f>
        <v>0</v>
      </c>
      <c r="K42" s="181">
        <f t="shared" si="1"/>
        <v>0</v>
      </c>
    </row>
    <row r="43" spans="1:11" ht="15" customHeight="1">
      <c r="A43" s="43"/>
      <c r="B43" s="49">
        <f>VLOOKUP($C$28:$C$49,Equipment!$A$1:$B$2322,2,FALSE)</f>
        <v>0</v>
      </c>
      <c r="C43" s="24"/>
      <c r="D43" s="24"/>
      <c r="E43" s="24"/>
      <c r="F43" s="24"/>
      <c r="G43" s="24"/>
      <c r="H43" s="185"/>
      <c r="I43" s="184"/>
      <c r="J43" s="42">
        <f>VLOOKUP($B$28:$B$49,'Alberta Equip. Rates Year 3'!$B$13:$K$314,10,FALSE)</f>
        <v>0</v>
      </c>
      <c r="K43" s="181">
        <f t="shared" si="1"/>
        <v>0</v>
      </c>
    </row>
    <row r="44" spans="1:11" ht="15" customHeight="1">
      <c r="A44" s="43"/>
      <c r="B44" s="49">
        <f>VLOOKUP($C$28:$C$49,Equipment!$A$1:$B$2322,2,FALSE)</f>
        <v>0</v>
      </c>
      <c r="C44" s="24"/>
      <c r="D44" s="24"/>
      <c r="E44" s="24"/>
      <c r="F44" s="24"/>
      <c r="G44" s="24"/>
      <c r="H44" s="185"/>
      <c r="I44" s="184"/>
      <c r="J44" s="42">
        <f>VLOOKUP($B$28:$B$49,'Alberta Equip. Rates Year 3'!$B$13:$K$314,10,FALSE)</f>
        <v>0</v>
      </c>
      <c r="K44" s="181">
        <f t="shared" si="1"/>
        <v>0</v>
      </c>
    </row>
    <row r="45" spans="1:11" ht="15" customHeight="1">
      <c r="A45" s="43"/>
      <c r="B45" s="49">
        <f>VLOOKUP($C$28:$C$49,Equipment!$A$1:$B$2322,2,FALSE)</f>
        <v>0</v>
      </c>
      <c r="C45" s="24"/>
      <c r="D45" s="24"/>
      <c r="E45" s="24"/>
      <c r="F45" s="24"/>
      <c r="G45" s="24"/>
      <c r="H45" s="185"/>
      <c r="I45" s="184"/>
      <c r="J45" s="42">
        <f>VLOOKUP($B$28:$B$49,'Alberta Equip. Rates Year 3'!$B$13:$K$314,10,FALSE)</f>
        <v>0</v>
      </c>
      <c r="K45" s="181">
        <f t="shared" si="1"/>
        <v>0</v>
      </c>
    </row>
    <row r="46" spans="1:11" ht="15" customHeight="1">
      <c r="A46" s="43"/>
      <c r="B46" s="49">
        <f>VLOOKUP($C$28:$C$49,Equipment!$A$1:$B$2322,2,FALSE)</f>
        <v>0</v>
      </c>
      <c r="C46" s="24"/>
      <c r="D46" s="24"/>
      <c r="E46" s="24"/>
      <c r="F46" s="24"/>
      <c r="G46" s="24"/>
      <c r="H46" s="185"/>
      <c r="I46" s="184"/>
      <c r="J46" s="42">
        <f>VLOOKUP($B$28:$B$49,'Alberta Equip. Rates Year 3'!$B$13:$K$314,10,FALSE)</f>
        <v>0</v>
      </c>
      <c r="K46" s="181">
        <f t="shared" si="1"/>
        <v>0</v>
      </c>
    </row>
    <row r="47" spans="1:11" ht="15" customHeight="1">
      <c r="A47" s="43"/>
      <c r="B47" s="49">
        <f>VLOOKUP($C$28:$C$49,Equipment!$A$1:$B$2322,2,FALSE)</f>
        <v>0</v>
      </c>
      <c r="C47" s="24"/>
      <c r="D47" s="24"/>
      <c r="E47" s="24"/>
      <c r="F47" s="24"/>
      <c r="G47" s="24"/>
      <c r="H47" s="185"/>
      <c r="I47" s="184"/>
      <c r="J47" s="42">
        <f>VLOOKUP($B$28:$B$49,'Alberta Equip. Rates Year 3'!$B$13:$K$314,10,FALSE)</f>
        <v>0</v>
      </c>
      <c r="K47" s="181">
        <f t="shared" si="1"/>
        <v>0</v>
      </c>
    </row>
    <row r="48" spans="1:11" ht="15" customHeight="1">
      <c r="A48" s="43"/>
      <c r="B48" s="49">
        <f>VLOOKUP($C$28:$C$49,Equipment!$A$1:$B$2322,2,FALSE)</f>
        <v>0</v>
      </c>
      <c r="C48" s="24"/>
      <c r="D48" s="24"/>
      <c r="E48" s="24"/>
      <c r="F48" s="24"/>
      <c r="G48" s="24"/>
      <c r="H48" s="185"/>
      <c r="I48" s="184"/>
      <c r="J48" s="42">
        <f>VLOOKUP($B$28:$B$49,'Alberta Equip. Rates Year 3'!$B$13:$K$314,10,FALSE)</f>
        <v>0</v>
      </c>
      <c r="K48" s="181">
        <f t="shared" si="1"/>
        <v>0</v>
      </c>
    </row>
    <row r="49" spans="1:11" ht="15" customHeight="1" thickBot="1">
      <c r="A49" s="43"/>
      <c r="B49" s="49">
        <f>VLOOKUP($C$28:$C$49,Equipment!$A$1:$B$2322,2,FALSE)</f>
        <v>0</v>
      </c>
      <c r="C49" s="24"/>
      <c r="D49" s="24"/>
      <c r="E49" s="24"/>
      <c r="F49" s="24"/>
      <c r="G49" s="24"/>
      <c r="H49" s="185"/>
      <c r="I49" s="184"/>
      <c r="J49" s="42">
        <f>VLOOKUP($B$28:$B$49,'Alberta Equip. Rates Year 3'!$B$13:$K$314,10,FALSE)</f>
        <v>0</v>
      </c>
      <c r="K49" s="181">
        <f t="shared" si="1"/>
        <v>0</v>
      </c>
    </row>
    <row r="50" spans="1:11" ht="12" thickBot="1">
      <c r="A50" s="25"/>
      <c r="B50" s="25"/>
      <c r="C50" s="25"/>
      <c r="D50" s="21"/>
      <c r="E50" s="21"/>
      <c r="F50" s="21"/>
      <c r="G50" s="21"/>
      <c r="H50" s="21"/>
      <c r="I50" s="360" t="s">
        <v>24</v>
      </c>
      <c r="J50" s="361"/>
      <c r="K50" s="182">
        <f>SUM(K28:K49)</f>
        <v>0</v>
      </c>
    </row>
    <row r="51" spans="1:11" ht="12" thickBot="1">
      <c r="A51" s="26"/>
      <c r="D51" s="26"/>
      <c r="I51" s="27"/>
      <c r="J51" s="27"/>
      <c r="K51" s="28"/>
    </row>
    <row r="52" spans="1:11">
      <c r="A52" s="1" t="s">
        <v>25</v>
      </c>
      <c r="B52" s="29"/>
      <c r="D52" s="1"/>
      <c r="E52" s="1"/>
      <c r="F52" s="1"/>
      <c r="G52" s="1"/>
      <c r="H52" s="1"/>
      <c r="I52" s="362" t="s">
        <v>26</v>
      </c>
      <c r="J52" s="362"/>
      <c r="K52" s="37">
        <f>K25</f>
        <v>0</v>
      </c>
    </row>
    <row r="53" spans="1:11">
      <c r="D53" s="1"/>
      <c r="E53" s="1"/>
      <c r="F53" s="1"/>
      <c r="G53" s="1"/>
      <c r="H53" s="1"/>
      <c r="I53" s="362" t="s">
        <v>27</v>
      </c>
      <c r="J53" s="362"/>
      <c r="K53" s="38">
        <f>K50</f>
        <v>0</v>
      </c>
    </row>
    <row r="54" spans="1:11">
      <c r="D54" s="1"/>
      <c r="E54" s="1"/>
      <c r="F54" s="1"/>
      <c r="G54" s="1"/>
      <c r="H54" s="1"/>
      <c r="I54" s="27" t="s">
        <v>28</v>
      </c>
      <c r="J54" s="27"/>
      <c r="K54" s="38">
        <f>(O25)*14.15</f>
        <v>0</v>
      </c>
    </row>
    <row r="55" spans="1:11">
      <c r="D55" s="1"/>
      <c r="E55" s="1"/>
      <c r="F55" s="1"/>
      <c r="G55" s="1"/>
      <c r="H55" s="1"/>
      <c r="I55" s="30" t="s">
        <v>29</v>
      </c>
      <c r="J55" s="30"/>
      <c r="K55" s="39"/>
    </row>
    <row r="56" spans="1:11">
      <c r="D56" s="1"/>
      <c r="E56" s="1"/>
      <c r="F56" s="1"/>
      <c r="G56" s="1"/>
      <c r="H56" s="1"/>
      <c r="I56" s="30" t="s">
        <v>30</v>
      </c>
      <c r="J56" s="30"/>
      <c r="K56" s="39"/>
    </row>
    <row r="57" spans="1:11">
      <c r="D57" s="1"/>
      <c r="E57" s="1"/>
      <c r="F57" s="1"/>
      <c r="G57" s="1"/>
      <c r="H57" s="1"/>
      <c r="I57" s="30" t="s">
        <v>31</v>
      </c>
      <c r="J57" s="30"/>
      <c r="K57" s="39"/>
    </row>
    <row r="58" spans="1:11" ht="12" thickBot="1">
      <c r="D58" s="1"/>
      <c r="E58" s="1"/>
      <c r="F58" s="1"/>
      <c r="G58" s="1"/>
      <c r="H58" s="1"/>
      <c r="I58" s="362" t="s">
        <v>32</v>
      </c>
      <c r="J58" s="362"/>
      <c r="K58" s="40">
        <f>SUM(K52:K57)</f>
        <v>0</v>
      </c>
    </row>
    <row r="59" spans="1:11">
      <c r="D59" s="1"/>
      <c r="E59" s="1"/>
      <c r="F59" s="1"/>
      <c r="G59" s="1"/>
      <c r="H59" s="1"/>
      <c r="I59" s="27"/>
      <c r="J59" s="27"/>
    </row>
    <row r="60" spans="1:11">
      <c r="A60" s="31" t="s">
        <v>33</v>
      </c>
      <c r="B60" s="32"/>
      <c r="C60" s="32"/>
      <c r="D60" s="1"/>
      <c r="H60" s="33" t="s">
        <v>34</v>
      </c>
      <c r="I60" s="32"/>
      <c r="J60" s="32"/>
      <c r="K60" s="32"/>
    </row>
    <row r="61" spans="1:11" ht="15">
      <c r="A61" s="34"/>
      <c r="E61" s="8"/>
      <c r="F61" s="8"/>
      <c r="G61" s="8"/>
      <c r="H61" s="35"/>
      <c r="I61" s="35"/>
      <c r="J61" s="35"/>
      <c r="K61" s="35"/>
    </row>
    <row r="62" spans="1:11" ht="15">
      <c r="A62" s="34" t="s">
        <v>35</v>
      </c>
      <c r="E62" s="8"/>
      <c r="F62" s="8"/>
      <c r="G62" s="8"/>
      <c r="H62" s="35"/>
      <c r="I62" s="35"/>
      <c r="J62" s="35"/>
      <c r="K62" s="35"/>
    </row>
    <row r="63" spans="1:11" s="34" customFormat="1">
      <c r="A63" s="363">
        <v>41218.479166666664</v>
      </c>
      <c r="B63" s="363"/>
      <c r="C63" s="364"/>
      <c r="D63" s="364"/>
      <c r="E63" s="364"/>
      <c r="F63" s="364"/>
      <c r="G63" s="364"/>
      <c r="H63" s="364"/>
      <c r="I63" s="364"/>
      <c r="J63" s="364"/>
      <c r="K63" s="8"/>
    </row>
    <row r="73" s="1" customFormat="1"/>
    <row r="74" s="1" customFormat="1"/>
    <row r="75" s="1" customFormat="1"/>
    <row r="76" s="1" customFormat="1"/>
    <row r="77" s="1" customFormat="1"/>
    <row r="78" s="1" customFormat="1"/>
    <row r="79" s="1" customFormat="1"/>
    <row r="80" s="1" customFormat="1"/>
    <row r="81" s="1" customFormat="1"/>
    <row r="82" s="1" customFormat="1"/>
    <row r="83" s="1" customFormat="1"/>
    <row r="84" s="1" customFormat="1"/>
    <row r="85" s="1" customFormat="1"/>
    <row r="86" s="1" customFormat="1"/>
    <row r="91" s="1" customFormat="1"/>
    <row r="119" s="1" customFormat="1"/>
    <row r="120" s="1" customFormat="1"/>
    <row r="121" s="1" customFormat="1"/>
    <row r="122" s="1" customFormat="1"/>
  </sheetData>
  <mergeCells count="12">
    <mergeCell ref="I25:J25"/>
    <mergeCell ref="C1:H1"/>
    <mergeCell ref="C2:H2"/>
    <mergeCell ref="C3:H3"/>
    <mergeCell ref="H6:I6"/>
    <mergeCell ref="H7:I7"/>
    <mergeCell ref="I50:J50"/>
    <mergeCell ref="I52:J52"/>
    <mergeCell ref="I53:J53"/>
    <mergeCell ref="I58:J58"/>
    <mergeCell ref="A63:B63"/>
    <mergeCell ref="C63:J63"/>
  </mergeCells>
  <printOptions horizontalCentered="1"/>
  <pageMargins left="0.19685039370078741" right="0.19685039370078741" top="0.39370078740157483" bottom="0.39370078740157483" header="0" footer="0"/>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200-000000000000}">
          <x14:formula1>
            <xm:f>Accounts!$A$4:$A$60</xm:f>
          </x14:formula1>
          <xm:sqref>K7</xm:sqref>
        </x14:dataValidation>
        <x14:dataValidation type="list" allowBlank="1" showInputMessage="1" showErrorMessage="1" xr:uid="{00000000-0002-0000-0200-000001000000}">
          <x14:formula1>
            <xm:f>'Constr. Wage Rate Calculations'!$A$19:$A$288</xm:f>
          </x14:formula1>
          <xm:sqref>B11:B24</xm:sqref>
        </x14:dataValidation>
        <x14:dataValidation type="list" allowBlank="1" showInputMessage="1" showErrorMessage="1" xr:uid="{00000000-0002-0000-0200-000002000000}">
          <x14:formula1>
            <xm:f>Personnel!$A:$A</xm:f>
          </x14:formula1>
          <xm:sqref>C11:C24</xm:sqref>
        </x14:dataValidation>
        <x14:dataValidation type="list" allowBlank="1" showInputMessage="1" showErrorMessage="1" xr:uid="{00000000-0002-0000-0200-000004000000}">
          <x14:formula1>
            <xm:f>Equipment!$A:$A</xm:f>
          </x14:formula1>
          <xm:sqref>C28:C49</xm:sqref>
        </x14:dataValidation>
      </x14:dataValidations>
    </ex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O122"/>
  <sheetViews>
    <sheetView topLeftCell="A2" zoomScale="120" zoomScaleNormal="120" zoomScalePageLayoutView="120" workbookViewId="0">
      <selection activeCell="B10" sqref="B10"/>
    </sheetView>
  </sheetViews>
  <sheetFormatPr baseColWidth="10" defaultColWidth="8.83203125" defaultRowHeight="11"/>
  <cols>
    <col min="1" max="1" width="13" style="1" customWidth="1"/>
    <col min="2" max="2" width="30" style="1" customWidth="1"/>
    <col min="3" max="3" width="24.5" style="1" customWidth="1"/>
    <col min="4" max="4" width="8.6640625" style="2" customWidth="1"/>
    <col min="5" max="6" width="8.33203125" style="2" customWidth="1"/>
    <col min="7" max="8" width="8.6640625" style="2" customWidth="1"/>
    <col min="9" max="9" width="9.33203125" style="2" customWidth="1"/>
    <col min="10" max="10" width="8.6640625" style="2" customWidth="1"/>
    <col min="11" max="11" width="21.6640625" style="1" customWidth="1"/>
    <col min="12" max="12" width="3.5" style="1" hidden="1" customWidth="1"/>
    <col min="13" max="16384" width="8.83203125" style="1"/>
  </cols>
  <sheetData>
    <row r="1" spans="1:13" ht="15">
      <c r="C1" s="364"/>
      <c r="D1" s="365"/>
      <c r="E1" s="365"/>
      <c r="F1" s="365"/>
      <c r="G1" s="365"/>
      <c r="H1" s="366"/>
      <c r="J1" s="2" t="s">
        <v>0</v>
      </c>
      <c r="K1" s="197"/>
      <c r="M1" s="45"/>
    </row>
    <row r="2" spans="1:13" ht="15">
      <c r="C2" s="367"/>
      <c r="D2" s="367"/>
      <c r="E2" s="367"/>
      <c r="F2" s="367"/>
      <c r="G2" s="367"/>
      <c r="H2" s="366"/>
      <c r="K2" s="41"/>
    </row>
    <row r="3" spans="1:13" ht="15">
      <c r="C3" s="368"/>
      <c r="D3" s="369"/>
      <c r="E3" s="369"/>
      <c r="F3" s="369"/>
      <c r="G3" s="369"/>
      <c r="H3" s="366"/>
    </row>
    <row r="4" spans="1:13">
      <c r="C4" s="3"/>
      <c r="D4" s="4"/>
      <c r="E4" s="4"/>
      <c r="F4" s="4"/>
      <c r="G4" s="4"/>
    </row>
    <row r="5" spans="1:13">
      <c r="C5" s="3"/>
      <c r="D5" s="4"/>
      <c r="E5" s="4"/>
      <c r="F5" s="4"/>
      <c r="G5" s="4"/>
    </row>
    <row r="6" spans="1:13" ht="12">
      <c r="B6" s="5"/>
      <c r="C6" s="6"/>
      <c r="D6" s="7"/>
      <c r="E6" s="8"/>
      <c r="F6" s="8"/>
      <c r="G6" s="1" t="s">
        <v>1</v>
      </c>
      <c r="H6" s="370"/>
      <c r="I6" s="370"/>
      <c r="J6" s="1" t="s">
        <v>2</v>
      </c>
      <c r="K6" s="47"/>
    </row>
    <row r="7" spans="1:13" ht="12">
      <c r="A7" s="1" t="s">
        <v>3</v>
      </c>
      <c r="B7" s="9"/>
      <c r="C7" s="10"/>
      <c r="D7" s="11"/>
      <c r="E7" s="8"/>
      <c r="F7" s="8"/>
      <c r="G7" s="1" t="s">
        <v>4</v>
      </c>
      <c r="H7" s="371"/>
      <c r="I7" s="371"/>
      <c r="J7" s="1" t="s">
        <v>5</v>
      </c>
      <c r="K7" s="46"/>
    </row>
    <row r="8" spans="1:13" ht="12">
      <c r="B8" s="12"/>
      <c r="C8" s="13"/>
      <c r="D8" s="14"/>
      <c r="E8" s="8"/>
      <c r="F8" s="8"/>
      <c r="G8" s="1" t="s">
        <v>6</v>
      </c>
      <c r="H8" s="187"/>
      <c r="I8" s="188"/>
      <c r="J8" s="44"/>
    </row>
    <row r="9" spans="1:13" ht="16" thickBot="1">
      <c r="B9" s="15"/>
      <c r="C9" s="16"/>
      <c r="D9" s="16"/>
      <c r="E9" s="8"/>
      <c r="F9" s="8"/>
      <c r="G9" s="8"/>
    </row>
    <row r="10" spans="1:13" s="19" customFormat="1" ht="12" thickBot="1">
      <c r="A10" s="17" t="s">
        <v>7</v>
      </c>
      <c r="B10" s="17" t="s">
        <v>8</v>
      </c>
      <c r="C10" s="17" t="s">
        <v>9</v>
      </c>
      <c r="D10" s="18" t="s">
        <v>10</v>
      </c>
      <c r="E10" s="18" t="s">
        <v>11</v>
      </c>
      <c r="F10" s="18" t="s">
        <v>12</v>
      </c>
      <c r="G10" s="180" t="s">
        <v>13</v>
      </c>
      <c r="H10" s="18" t="s">
        <v>14</v>
      </c>
      <c r="I10" s="18" t="s">
        <v>15</v>
      </c>
      <c r="J10" s="18" t="s">
        <v>16</v>
      </c>
      <c r="K10" s="18" t="s">
        <v>17</v>
      </c>
      <c r="M10" s="19" t="s">
        <v>1797</v>
      </c>
    </row>
    <row r="11" spans="1:13" ht="15" customHeight="1">
      <c r="A11" s="48"/>
      <c r="B11" s="49">
        <f>VLOOKUP($C$11:$C$24,Personnel!$A$1:$B$1234,2,FALSE)</f>
        <v>0</v>
      </c>
      <c r="C11" s="36"/>
      <c r="D11" s="184"/>
      <c r="E11" s="179">
        <f>VLOOKUP($B$11:$B$24,'Constr. Wage Rate Calculations'!$A$19:$Z$288,22,FALSE)</f>
        <v>0</v>
      </c>
      <c r="F11" s="184"/>
      <c r="G11" s="179">
        <f>VLOOKUP($B$11:$B$24,'Constr. Wage Rate Calculations'!$A$19:$Z$288,23,FALSE)</f>
        <v>0</v>
      </c>
      <c r="H11" s="184"/>
      <c r="I11" s="179">
        <f>VLOOKUP($B$11:$B$24,'Constr. Wage Rate Calculations'!$A$19:$Z$288,24,FALSE)</f>
        <v>0</v>
      </c>
      <c r="J11" s="20">
        <f>VLOOKUP($B$11:$B$25,'Constr. Wage Rate Calculations'!$A$19:$Z$288,25,FALSE)</f>
        <v>0</v>
      </c>
      <c r="K11" s="179" t="str">
        <f t="shared" ref="K11:K24" si="0">IF($D11&gt;=1,$J11+(D11*E11)+(F11*G11)+(H11*I11),IF($F11&gt;=1,$J11+(D11*E11)+(F11*G11)+(H11*I11),IF($H11&gt;=1,$J11+(D11*E11)+(F11*G11)+(H11*I11),"")))</f>
        <v/>
      </c>
    </row>
    <row r="12" spans="1:13" ht="15" customHeight="1">
      <c r="A12" s="48"/>
      <c r="B12" s="49">
        <f>VLOOKUP($C$11:$C$24,Personnel!$A$1:$B$1234,2,FALSE)</f>
        <v>0</v>
      </c>
      <c r="C12" s="36"/>
      <c r="D12" s="184"/>
      <c r="E12" s="179">
        <f>VLOOKUP($B$11:$B$24,'Constr. Wage Rate Calculations'!$A$19:$Z$288,22,FALSE)</f>
        <v>0</v>
      </c>
      <c r="F12" s="184"/>
      <c r="G12" s="179">
        <f>VLOOKUP($B$11:$B$24,'Constr. Wage Rate Calculations'!$A$19:$Z$288,23,FALSE)</f>
        <v>0</v>
      </c>
      <c r="H12" s="184"/>
      <c r="I12" s="179">
        <f>VLOOKUP($B$11:$B$24,'Constr. Wage Rate Calculations'!$A$19:$Z$288,24,FALSE)</f>
        <v>0</v>
      </c>
      <c r="J12" s="20">
        <f>VLOOKUP($B$11:$B$25,'Constr. Wage Rate Calculations'!$A$19:$Z$288,25,FALSE)</f>
        <v>0</v>
      </c>
      <c r="K12" s="179" t="str">
        <f t="shared" si="0"/>
        <v/>
      </c>
    </row>
    <row r="13" spans="1:13" ht="15" customHeight="1">
      <c r="A13" s="48"/>
      <c r="B13" s="49">
        <f>VLOOKUP($C$11:$C$24,Personnel!$A$1:$B$1234,2,FALSE)</f>
        <v>0</v>
      </c>
      <c r="C13" s="36"/>
      <c r="D13" s="184"/>
      <c r="E13" s="179">
        <f>VLOOKUP($B$11:$B$24,'Constr. Wage Rate Calculations'!$A$19:$Z$288,22,FALSE)</f>
        <v>0</v>
      </c>
      <c r="F13" s="184"/>
      <c r="G13" s="179">
        <f>VLOOKUP($B$11:$B$24,'Constr. Wage Rate Calculations'!$A$19:$Z$288,23,FALSE)</f>
        <v>0</v>
      </c>
      <c r="H13" s="184"/>
      <c r="I13" s="179">
        <f>VLOOKUP($B$11:$B$24,'Constr. Wage Rate Calculations'!$A$19:$Z$288,24,FALSE)</f>
        <v>0</v>
      </c>
      <c r="J13" s="20">
        <f>VLOOKUP($B$11:$B$25,'Constr. Wage Rate Calculations'!$A$19:$Z$288,25,FALSE)</f>
        <v>0</v>
      </c>
      <c r="K13" s="179" t="str">
        <f t="shared" si="0"/>
        <v/>
      </c>
    </row>
    <row r="14" spans="1:13" ht="15" customHeight="1">
      <c r="A14" s="48"/>
      <c r="B14" s="49">
        <f>VLOOKUP($C$11:$C$24,Personnel!$A$1:$B$1234,2,FALSE)</f>
        <v>0</v>
      </c>
      <c r="C14" s="36"/>
      <c r="D14" s="184"/>
      <c r="E14" s="179">
        <f>VLOOKUP($B$11:$B$24,'Constr. Wage Rate Calculations'!$A$19:$Z$288,22,FALSE)</f>
        <v>0</v>
      </c>
      <c r="F14" s="184"/>
      <c r="G14" s="179">
        <f>VLOOKUP($B$11:$B$24,'Constr. Wage Rate Calculations'!$A$19:$Z$288,23,FALSE)</f>
        <v>0</v>
      </c>
      <c r="H14" s="184"/>
      <c r="I14" s="179">
        <f>VLOOKUP($B$11:$B$24,'Constr. Wage Rate Calculations'!$A$19:$Z$288,24,FALSE)</f>
        <v>0</v>
      </c>
      <c r="J14" s="20">
        <f>VLOOKUP($B$11:$B$25,'Constr. Wage Rate Calculations'!$A$19:$Z$288,25,FALSE)</f>
        <v>0</v>
      </c>
      <c r="K14" s="179" t="str">
        <f t="shared" si="0"/>
        <v/>
      </c>
    </row>
    <row r="15" spans="1:13" ht="15" customHeight="1">
      <c r="A15" s="48"/>
      <c r="B15" s="49">
        <f>VLOOKUP($C$11:$C$24,Personnel!$A$1:$B$1234,2,FALSE)</f>
        <v>0</v>
      </c>
      <c r="C15" s="36"/>
      <c r="D15" s="184"/>
      <c r="E15" s="179">
        <f>VLOOKUP($B$11:$B$24,'Constr. Wage Rate Calculations'!$A$19:$Z$288,22,FALSE)</f>
        <v>0</v>
      </c>
      <c r="F15" s="184"/>
      <c r="G15" s="179">
        <f>VLOOKUP($B$11:$B$24,'Constr. Wage Rate Calculations'!$A$19:$Z$288,23,FALSE)</f>
        <v>0</v>
      </c>
      <c r="H15" s="184"/>
      <c r="I15" s="179">
        <f>VLOOKUP($B$11:$B$24,'Constr. Wage Rate Calculations'!$A$19:$Z$288,24,FALSE)</f>
        <v>0</v>
      </c>
      <c r="J15" s="20">
        <f>VLOOKUP($B$11:$B$25,'Constr. Wage Rate Calculations'!$A$19:$Z$288,25,FALSE)</f>
        <v>0</v>
      </c>
      <c r="K15" s="179" t="str">
        <f t="shared" si="0"/>
        <v/>
      </c>
    </row>
    <row r="16" spans="1:13" ht="15" customHeight="1">
      <c r="A16" s="48"/>
      <c r="B16" s="49">
        <f>VLOOKUP($C$11:$C$24,Personnel!$A$1:$B$1234,2,FALSE)</f>
        <v>0</v>
      </c>
      <c r="C16" s="36"/>
      <c r="D16" s="184"/>
      <c r="E16" s="179">
        <f>VLOOKUP($B$11:$B$24,'Constr. Wage Rate Calculations'!$A$19:$Z$288,22,FALSE)</f>
        <v>0</v>
      </c>
      <c r="F16" s="184"/>
      <c r="G16" s="179">
        <f>VLOOKUP($B$11:$B$24,'Constr. Wage Rate Calculations'!$A$19:$Z$288,23,FALSE)</f>
        <v>0</v>
      </c>
      <c r="H16" s="184"/>
      <c r="I16" s="179">
        <f>VLOOKUP($B$11:$B$24,'Constr. Wage Rate Calculations'!$A$19:$Z$288,24,FALSE)</f>
        <v>0</v>
      </c>
      <c r="J16" s="20">
        <f>VLOOKUP($B$11:$B$25,'Constr. Wage Rate Calculations'!$A$19:$Z$288,25,FALSE)</f>
        <v>0</v>
      </c>
      <c r="K16" s="179" t="str">
        <f t="shared" si="0"/>
        <v/>
      </c>
    </row>
    <row r="17" spans="1:15" ht="15" customHeight="1">
      <c r="A17" s="48"/>
      <c r="B17" s="49">
        <f>VLOOKUP($C$11:$C$24,Personnel!$A$1:$B$1234,2,FALSE)</f>
        <v>0</v>
      </c>
      <c r="C17" s="36"/>
      <c r="D17" s="184"/>
      <c r="E17" s="179">
        <f>VLOOKUP($B$11:$B$24,'Constr. Wage Rate Calculations'!$A$19:$Z$288,22,FALSE)</f>
        <v>0</v>
      </c>
      <c r="F17" s="184"/>
      <c r="G17" s="179">
        <f>VLOOKUP($B$11:$B$24,'Constr. Wage Rate Calculations'!$A$19:$Z$288,23,FALSE)</f>
        <v>0</v>
      </c>
      <c r="H17" s="184"/>
      <c r="I17" s="179">
        <f>VLOOKUP($B$11:$B$24,'Constr. Wage Rate Calculations'!$A$19:$Z$288,24,FALSE)</f>
        <v>0</v>
      </c>
      <c r="J17" s="20">
        <f>VLOOKUP($B$11:$B$25,'Constr. Wage Rate Calculations'!$A$19:$Z$288,25,FALSE)</f>
        <v>0</v>
      </c>
      <c r="K17" s="179" t="str">
        <f t="shared" si="0"/>
        <v/>
      </c>
    </row>
    <row r="18" spans="1:15" ht="15" customHeight="1">
      <c r="A18" s="48"/>
      <c r="B18" s="49">
        <f>VLOOKUP($C$11:$C$24,Personnel!$A$1:$B$1234,2,FALSE)</f>
        <v>0</v>
      </c>
      <c r="C18" s="36"/>
      <c r="D18" s="184"/>
      <c r="E18" s="179">
        <f>VLOOKUP($B$11:$B$24,'Constr. Wage Rate Calculations'!$A$19:$Z$288,22,FALSE)</f>
        <v>0</v>
      </c>
      <c r="F18" s="184"/>
      <c r="G18" s="179">
        <f>VLOOKUP($B$11:$B$24,'Constr. Wage Rate Calculations'!$A$19:$Z$288,23,FALSE)</f>
        <v>0</v>
      </c>
      <c r="H18" s="184"/>
      <c r="I18" s="179">
        <f>VLOOKUP($B$11:$B$24,'Constr. Wage Rate Calculations'!$A$19:$Z$288,24,FALSE)</f>
        <v>0</v>
      </c>
      <c r="J18" s="20">
        <f>VLOOKUP($B$11:$B$25,'Constr. Wage Rate Calculations'!$A$19:$Z$288,25,FALSE)</f>
        <v>0</v>
      </c>
      <c r="K18" s="179" t="str">
        <f t="shared" si="0"/>
        <v/>
      </c>
    </row>
    <row r="19" spans="1:15" ht="15" customHeight="1">
      <c r="A19" s="48"/>
      <c r="B19" s="49">
        <f>VLOOKUP($C$11:$C$24,Personnel!$A$1:$B$1234,2,FALSE)</f>
        <v>0</v>
      </c>
      <c r="C19" s="36"/>
      <c r="D19" s="184"/>
      <c r="E19" s="179">
        <f>VLOOKUP($B$11:$B$24,'Constr. Wage Rate Calculations'!$A$19:$Z$288,22,FALSE)</f>
        <v>0</v>
      </c>
      <c r="F19" s="184"/>
      <c r="G19" s="179">
        <f>VLOOKUP($B$11:$B$24,'Constr. Wage Rate Calculations'!$A$19:$Z$288,23,FALSE)</f>
        <v>0</v>
      </c>
      <c r="H19" s="184"/>
      <c r="I19" s="179">
        <f>VLOOKUP($B$11:$B$24,'Constr. Wage Rate Calculations'!$A$19:$Z$288,24,FALSE)</f>
        <v>0</v>
      </c>
      <c r="J19" s="20">
        <f>VLOOKUP($B$11:$B$25,'Constr. Wage Rate Calculations'!$A$19:$Z$288,25,FALSE)</f>
        <v>0</v>
      </c>
      <c r="K19" s="179" t="str">
        <f t="shared" si="0"/>
        <v/>
      </c>
    </row>
    <row r="20" spans="1:15" ht="15" customHeight="1">
      <c r="A20" s="48"/>
      <c r="B20" s="49">
        <f>VLOOKUP($C$11:$C$24,Personnel!$A$1:$B$1234,2,FALSE)</f>
        <v>0</v>
      </c>
      <c r="C20" s="36"/>
      <c r="D20" s="184"/>
      <c r="E20" s="179">
        <f>VLOOKUP($B$11:$B$24,'Constr. Wage Rate Calculations'!$A$19:$Z$288,22,FALSE)</f>
        <v>0</v>
      </c>
      <c r="F20" s="184"/>
      <c r="G20" s="179">
        <f>VLOOKUP($B$11:$B$24,'Constr. Wage Rate Calculations'!$A$19:$Z$288,23,FALSE)</f>
        <v>0</v>
      </c>
      <c r="H20" s="184"/>
      <c r="I20" s="179">
        <f>VLOOKUP($B$11:$B$24,'Constr. Wage Rate Calculations'!$A$19:$Z$288,24,FALSE)</f>
        <v>0</v>
      </c>
      <c r="J20" s="20">
        <f>VLOOKUP($B$11:$B$25,'Constr. Wage Rate Calculations'!$A$19:$Z$288,25,FALSE)</f>
        <v>0</v>
      </c>
      <c r="K20" s="179" t="str">
        <f t="shared" si="0"/>
        <v/>
      </c>
    </row>
    <row r="21" spans="1:15" ht="15" customHeight="1">
      <c r="A21" s="48"/>
      <c r="B21" s="49">
        <f>VLOOKUP($C$11:$C$24,Personnel!$A$1:$B$1234,2,FALSE)</f>
        <v>0</v>
      </c>
      <c r="C21" s="36"/>
      <c r="D21" s="184"/>
      <c r="E21" s="179">
        <f>VLOOKUP($B$11:$B$24,'Constr. Wage Rate Calculations'!$A$19:$Z$288,22,FALSE)</f>
        <v>0</v>
      </c>
      <c r="F21" s="203"/>
      <c r="G21" s="179">
        <f>VLOOKUP($B$11:$B$24,'Constr. Wage Rate Calculations'!$A$19:$Z$288,23,FALSE)</f>
        <v>0</v>
      </c>
      <c r="H21" s="184"/>
      <c r="I21" s="179">
        <f>VLOOKUP($B$11:$B$24,'Constr. Wage Rate Calculations'!$A$19:$Z$288,24,FALSE)</f>
        <v>0</v>
      </c>
      <c r="J21" s="20">
        <f>VLOOKUP($B$11:$B$25,'Constr. Wage Rate Calculations'!$A$19:$Z$288,25,FALSE)</f>
        <v>0</v>
      </c>
      <c r="K21" s="179" t="str">
        <f t="shared" si="0"/>
        <v/>
      </c>
    </row>
    <row r="22" spans="1:15" ht="15" customHeight="1">
      <c r="A22" s="48"/>
      <c r="B22" s="49">
        <f>VLOOKUP($C$11:$C$24,Personnel!$A$1:$B$1234,2,FALSE)</f>
        <v>0</v>
      </c>
      <c r="C22" s="36"/>
      <c r="D22" s="184"/>
      <c r="E22" s="179">
        <f>VLOOKUP($B$11:$B$24,'Constr. Wage Rate Calculations'!$A$19:$Z$288,22,FALSE)</f>
        <v>0</v>
      </c>
      <c r="F22" s="203"/>
      <c r="G22" s="179">
        <f>VLOOKUP($B$11:$B$24,'Constr. Wage Rate Calculations'!$A$19:$Z$288,23,FALSE)</f>
        <v>0</v>
      </c>
      <c r="H22" s="184"/>
      <c r="I22" s="179">
        <f>VLOOKUP($B$11:$B$24,'Constr. Wage Rate Calculations'!$A$19:$Z$288,24,FALSE)</f>
        <v>0</v>
      </c>
      <c r="J22" s="20">
        <f>VLOOKUP($B$11:$B$25,'Constr. Wage Rate Calculations'!$A$19:$Z$288,25,FALSE)</f>
        <v>0</v>
      </c>
      <c r="K22" s="179" t="str">
        <f t="shared" si="0"/>
        <v/>
      </c>
    </row>
    <row r="23" spans="1:15" ht="15" customHeight="1">
      <c r="A23" s="48"/>
      <c r="B23" s="49">
        <f>VLOOKUP($C$11:$C$24,Personnel!$A$1:$B$1234,2,FALSE)</f>
        <v>0</v>
      </c>
      <c r="C23" s="36"/>
      <c r="D23" s="184"/>
      <c r="E23" s="179">
        <f>VLOOKUP($B$11:$B$24,'Constr. Wage Rate Calculations'!$A$19:$Z$288,22,FALSE)</f>
        <v>0</v>
      </c>
      <c r="F23" s="184"/>
      <c r="G23" s="179">
        <f>VLOOKUP($B$11:$B$24,'Constr. Wage Rate Calculations'!$A$19:$Z$288,23,FALSE)</f>
        <v>0</v>
      </c>
      <c r="H23" s="184"/>
      <c r="I23" s="179">
        <f>VLOOKUP($B$11:$B$24,'Constr. Wage Rate Calculations'!$A$19:$Z$288,24,FALSE)</f>
        <v>0</v>
      </c>
      <c r="J23" s="20">
        <f>VLOOKUP($B$11:$B$25,'Constr. Wage Rate Calculations'!$A$19:$Z$288,25,FALSE)</f>
        <v>0</v>
      </c>
      <c r="K23" s="179" t="str">
        <f t="shared" si="0"/>
        <v/>
      </c>
    </row>
    <row r="24" spans="1:15" ht="15" customHeight="1" thickBot="1">
      <c r="A24" s="48"/>
      <c r="B24" s="49">
        <f>VLOOKUP($C$11:$C$24,Personnel!$A$1:$B$1234,2,FALSE)</f>
        <v>0</v>
      </c>
      <c r="C24" s="36"/>
      <c r="D24" s="184"/>
      <c r="E24" s="179">
        <f>VLOOKUP($B$11:$B$24,'Constr. Wage Rate Calculations'!$A$19:$Z$288,22,FALSE)</f>
        <v>0</v>
      </c>
      <c r="F24" s="184"/>
      <c r="G24" s="179">
        <f>VLOOKUP($B$11:$B$24,'Constr. Wage Rate Calculations'!$A$19:$Z$288,23,FALSE)</f>
        <v>0</v>
      </c>
      <c r="H24" s="184"/>
      <c r="I24" s="179">
        <f>VLOOKUP($B$11:$B$24,'Constr. Wage Rate Calculations'!$A$19:$Z$288,24,FALSE)</f>
        <v>0</v>
      </c>
      <c r="J24" s="20">
        <f>VLOOKUP($B$11:$B$25,'Constr. Wage Rate Calculations'!$A$19:$Z$288,25,FALSE)</f>
        <v>0</v>
      </c>
      <c r="K24" s="179" t="str">
        <f t="shared" si="0"/>
        <v/>
      </c>
      <c r="M24" s="1">
        <f>SUM(M11:M23)</f>
        <v>0</v>
      </c>
    </row>
    <row r="25" spans="1:15" ht="15" customHeight="1" thickBot="1">
      <c r="A25"/>
      <c r="B25"/>
      <c r="C25"/>
      <c r="D25" s="21"/>
      <c r="E25" s="21"/>
      <c r="F25" s="21"/>
      <c r="G25" s="21"/>
      <c r="H25" s="21"/>
      <c r="I25" s="360" t="s">
        <v>18</v>
      </c>
      <c r="J25" s="361"/>
      <c r="K25" s="183">
        <f>SUM(K11:K24)</f>
        <v>0</v>
      </c>
      <c r="M25" s="1">
        <f>SUMIFS(D11:D24,D11:D24,"&lt;3",D11:D24,"&lt;5")</f>
        <v>0</v>
      </c>
      <c r="N25" s="1">
        <f>SUMIFS(D11:D24,D11:D24,"&gt;3",D11:D24,"&gt;5")</f>
        <v>0</v>
      </c>
      <c r="O25" s="1">
        <f>SUM(F11:F24,H11:H24,M25,N25)-M24</f>
        <v>0</v>
      </c>
    </row>
    <row r="26" spans="1:15" ht="10" customHeight="1" thickBot="1"/>
    <row r="27" spans="1:15" s="19" customFormat="1" ht="15" customHeight="1" thickBot="1">
      <c r="A27" s="22" t="s">
        <v>19</v>
      </c>
      <c r="B27" s="23" t="s">
        <v>20</v>
      </c>
      <c r="C27" s="23"/>
      <c r="D27" s="23"/>
      <c r="E27" s="23"/>
      <c r="F27" s="23"/>
      <c r="G27" s="23"/>
      <c r="H27" s="18" t="s">
        <v>21</v>
      </c>
      <c r="I27" s="18" t="s">
        <v>22</v>
      </c>
      <c r="J27" s="18" t="s">
        <v>23</v>
      </c>
      <c r="K27" s="18" t="s">
        <v>17</v>
      </c>
    </row>
    <row r="28" spans="1:15" ht="15" customHeight="1">
      <c r="A28" s="43"/>
      <c r="B28" s="49">
        <f>VLOOKUP($C$28:$C$49,Equipment!$A$1:$B$2322,2,FALSE)</f>
        <v>0</v>
      </c>
      <c r="C28" s="24"/>
      <c r="D28" s="24"/>
      <c r="E28" s="24"/>
      <c r="F28" s="24"/>
      <c r="G28" s="24"/>
      <c r="H28" s="202"/>
      <c r="I28" s="203"/>
      <c r="J28" s="42">
        <f>VLOOKUP($B$28:$B$49,'Alberta Equip. Rates Year 3'!$B$13:$K$314,10,FALSE)</f>
        <v>0</v>
      </c>
      <c r="K28" s="181">
        <f>(H28+I28)*J28</f>
        <v>0</v>
      </c>
    </row>
    <row r="29" spans="1:15" ht="15" customHeight="1">
      <c r="A29" s="43"/>
      <c r="B29" s="49">
        <f>VLOOKUP($C$28:$C$49,Equipment!$A$1:$B$2322,2,FALSE)</f>
        <v>0</v>
      </c>
      <c r="C29" s="24"/>
      <c r="D29" s="24"/>
      <c r="E29" s="24"/>
      <c r="F29" s="24"/>
      <c r="G29" s="24"/>
      <c r="H29" s="202"/>
      <c r="I29" s="203"/>
      <c r="J29" s="42">
        <f>VLOOKUP($B$28:$B$49,'Alberta Equip. Rates Year 3'!$B$13:$K$314,10,FALSE)</f>
        <v>0</v>
      </c>
      <c r="K29" s="181">
        <f t="shared" ref="K29:K49" si="1">(H29+I29)*J29</f>
        <v>0</v>
      </c>
    </row>
    <row r="30" spans="1:15" ht="15" customHeight="1">
      <c r="A30" s="43"/>
      <c r="B30" s="49">
        <f>VLOOKUP($C$28:$C$49,Equipment!$A$1:$B$2322,2,FALSE)</f>
        <v>0</v>
      </c>
      <c r="C30" s="24"/>
      <c r="D30" s="24"/>
      <c r="E30" s="24"/>
      <c r="F30" s="24"/>
      <c r="G30" s="24"/>
      <c r="H30" s="202"/>
      <c r="I30" s="203"/>
      <c r="J30" s="42">
        <f>VLOOKUP($B$28:$B$49,'Alberta Equip. Rates Year 3'!$B$13:$K$314,10,FALSE)</f>
        <v>0</v>
      </c>
      <c r="K30" s="181">
        <f t="shared" si="1"/>
        <v>0</v>
      </c>
    </row>
    <row r="31" spans="1:15" ht="15" customHeight="1">
      <c r="A31" s="43"/>
      <c r="B31" s="49">
        <f>VLOOKUP($C$28:$C$49,Equipment!$A$1:$B$2322,2,FALSE)</f>
        <v>0</v>
      </c>
      <c r="C31" s="24"/>
      <c r="D31" s="24"/>
      <c r="E31" s="24"/>
      <c r="F31" s="24"/>
      <c r="G31" s="24"/>
      <c r="H31" s="202"/>
      <c r="I31" s="203"/>
      <c r="J31" s="42">
        <f>VLOOKUP($B$28:$B$49,'Alberta Equip. Rates Year 3'!$B$13:$K$314,10,FALSE)</f>
        <v>0</v>
      </c>
      <c r="K31" s="181">
        <f>(H31+I31)*J31</f>
        <v>0</v>
      </c>
    </row>
    <row r="32" spans="1:15" ht="15" customHeight="1">
      <c r="A32" s="43"/>
      <c r="B32" s="49">
        <f>VLOOKUP($C$28:$C$49,Equipment!$A$1:$B$2322,2,FALSE)</f>
        <v>0</v>
      </c>
      <c r="C32" s="24"/>
      <c r="D32" s="24"/>
      <c r="E32" s="24"/>
      <c r="F32" s="24"/>
      <c r="G32" s="24"/>
      <c r="H32" s="202"/>
      <c r="I32" s="203"/>
      <c r="J32" s="42">
        <f>VLOOKUP($B$28:$B$49,'Alberta Equip. Rates Year 3'!$B$13:$K$314,10,FALSE)</f>
        <v>0</v>
      </c>
      <c r="K32" s="181">
        <f>(H32+I32)*J32</f>
        <v>0</v>
      </c>
    </row>
    <row r="33" spans="1:11" ht="15" customHeight="1">
      <c r="A33" s="43"/>
      <c r="B33" s="49">
        <f>VLOOKUP($C$28:$C$49,Equipment!$A$1:$B$2322,2,FALSE)</f>
        <v>0</v>
      </c>
      <c r="C33" s="24"/>
      <c r="D33" s="24"/>
      <c r="E33" s="24"/>
      <c r="F33" s="24"/>
      <c r="G33" s="24"/>
      <c r="H33" s="202"/>
      <c r="I33" s="203"/>
      <c r="J33" s="42">
        <f>VLOOKUP($B$28:$B$49,'Alberta Equip. Rates Year 3'!$B$13:$K$314,10,FALSE)</f>
        <v>0</v>
      </c>
      <c r="K33" s="181">
        <f t="shared" si="1"/>
        <v>0</v>
      </c>
    </row>
    <row r="34" spans="1:11" ht="15" customHeight="1">
      <c r="A34" s="43"/>
      <c r="B34" s="49">
        <f>VLOOKUP($C$28:$C$49,Equipment!$A$1:$B$2322,2,FALSE)</f>
        <v>0</v>
      </c>
      <c r="C34" s="24"/>
      <c r="D34" s="24"/>
      <c r="E34" s="24"/>
      <c r="F34" s="24"/>
      <c r="G34" s="24"/>
      <c r="H34" s="202"/>
      <c r="I34" s="203"/>
      <c r="J34" s="42">
        <f>VLOOKUP($B$28:$B$49,'Alberta Equip. Rates Year 3'!$B$13:$K$314,10,FALSE)</f>
        <v>0</v>
      </c>
      <c r="K34" s="181">
        <f t="shared" si="1"/>
        <v>0</v>
      </c>
    </row>
    <row r="35" spans="1:11" ht="15" customHeight="1">
      <c r="A35" s="43"/>
      <c r="B35" s="49">
        <f>VLOOKUP($C$28:$C$49,Equipment!$A$1:$B$2322,2,FALSE)</f>
        <v>0</v>
      </c>
      <c r="C35" s="24"/>
      <c r="D35" s="24"/>
      <c r="E35" s="24"/>
      <c r="F35" s="24"/>
      <c r="G35" s="24"/>
      <c r="H35" s="202"/>
      <c r="I35" s="203"/>
      <c r="J35" s="42">
        <f>VLOOKUP($B$28:$B$49,'Alberta Equip. Rates Year 3'!$B$13:$K$314,10,FALSE)</f>
        <v>0</v>
      </c>
      <c r="K35" s="181">
        <f>(H35+I35)*J35</f>
        <v>0</v>
      </c>
    </row>
    <row r="36" spans="1:11" ht="15" customHeight="1">
      <c r="A36" s="43"/>
      <c r="B36" s="49">
        <f>VLOOKUP($C$28:$C$49,Equipment!$A$1:$B$2322,2,FALSE)</f>
        <v>0</v>
      </c>
      <c r="C36" s="24"/>
      <c r="D36" s="24"/>
      <c r="E36" s="24"/>
      <c r="F36" s="24"/>
      <c r="G36" s="24"/>
      <c r="H36" s="202"/>
      <c r="I36" s="203"/>
      <c r="J36" s="42">
        <f>VLOOKUP($B$28:$B$49,'Alberta Equip. Rates Year 3'!$B$13:$K$314,10,FALSE)</f>
        <v>0</v>
      </c>
      <c r="K36" s="181">
        <f t="shared" si="1"/>
        <v>0</v>
      </c>
    </row>
    <row r="37" spans="1:11" ht="15" customHeight="1">
      <c r="A37" s="43"/>
      <c r="B37" s="49">
        <f>VLOOKUP($C$28:$C$49,Equipment!$A$1:$B$2322,2,FALSE)</f>
        <v>0</v>
      </c>
      <c r="C37" s="24"/>
      <c r="D37" s="24"/>
      <c r="E37" s="24"/>
      <c r="F37" s="24"/>
      <c r="G37" s="24"/>
      <c r="H37" s="202"/>
      <c r="I37" s="203"/>
      <c r="J37" s="42">
        <f>VLOOKUP($B$28:$B$49,'Alberta Equip. Rates Year 3'!$B$13:$K$314,10,FALSE)</f>
        <v>0</v>
      </c>
      <c r="K37" s="181">
        <f t="shared" si="1"/>
        <v>0</v>
      </c>
    </row>
    <row r="38" spans="1:11" ht="15" customHeight="1">
      <c r="A38" s="43"/>
      <c r="B38" s="49">
        <f>VLOOKUP($C$28:$C$49,Equipment!$A$1:$B$2322,2,FALSE)</f>
        <v>0</v>
      </c>
      <c r="C38" s="24"/>
      <c r="D38" s="24"/>
      <c r="E38" s="24"/>
      <c r="F38" s="24"/>
      <c r="G38" s="24"/>
      <c r="H38" s="185"/>
      <c r="I38" s="184"/>
      <c r="J38" s="42">
        <f>VLOOKUP($B$28:$B$49,'Alberta Equip. Rates Year 3'!$B$13:$K$314,10,FALSE)</f>
        <v>0</v>
      </c>
      <c r="K38" s="181">
        <f t="shared" si="1"/>
        <v>0</v>
      </c>
    </row>
    <row r="39" spans="1:11" ht="15" customHeight="1">
      <c r="A39" s="43"/>
      <c r="B39" s="49">
        <f>VLOOKUP($C$28:$C$49,Equipment!$A$1:$B$2322,2,FALSE)</f>
        <v>0</v>
      </c>
      <c r="C39" s="24"/>
      <c r="D39" s="24"/>
      <c r="E39" s="24"/>
      <c r="F39" s="24"/>
      <c r="G39" s="24"/>
      <c r="H39" s="185"/>
      <c r="I39" s="184"/>
      <c r="J39" s="42">
        <f>VLOOKUP($B$28:$B$49,'Alberta Equip. Rates Year 3'!$B$13:$K$314,10,FALSE)</f>
        <v>0</v>
      </c>
      <c r="K39" s="181">
        <f t="shared" si="1"/>
        <v>0</v>
      </c>
    </row>
    <row r="40" spans="1:11" ht="15" customHeight="1">
      <c r="A40" s="43"/>
      <c r="B40" s="49">
        <f>VLOOKUP($C$28:$C$49,Equipment!$A$1:$B$2322,2,FALSE)</f>
        <v>0</v>
      </c>
      <c r="C40" s="24"/>
      <c r="D40" s="24"/>
      <c r="E40" s="24"/>
      <c r="F40" s="24"/>
      <c r="G40" s="24"/>
      <c r="H40" s="185"/>
      <c r="I40" s="184"/>
      <c r="J40" s="42">
        <f>VLOOKUP($B$28:$B$49,'Alberta Equip. Rates Year 3'!$B$13:$K$314,10,FALSE)</f>
        <v>0</v>
      </c>
      <c r="K40" s="181">
        <f>(H40+I40)*J40</f>
        <v>0</v>
      </c>
    </row>
    <row r="41" spans="1:11" ht="15" customHeight="1">
      <c r="A41" s="43"/>
      <c r="B41" s="49">
        <f>VLOOKUP($C$28:$C$49,Equipment!$A$1:$B$2322,2,FALSE)</f>
        <v>0</v>
      </c>
      <c r="C41" s="24"/>
      <c r="D41" s="24"/>
      <c r="E41" s="24"/>
      <c r="F41" s="24"/>
      <c r="G41" s="24"/>
      <c r="H41" s="185"/>
      <c r="I41" s="184"/>
      <c r="J41" s="42">
        <f>VLOOKUP($B$28:$B$49,'Alberta Equip. Rates Year 3'!$B$13:$K$314,10,FALSE)</f>
        <v>0</v>
      </c>
      <c r="K41" s="181">
        <f t="shared" si="1"/>
        <v>0</v>
      </c>
    </row>
    <row r="42" spans="1:11" ht="15" customHeight="1">
      <c r="A42" s="43"/>
      <c r="B42" s="49">
        <f>VLOOKUP($C$28:$C$49,Equipment!$A$1:$B$2322,2,FALSE)</f>
        <v>0</v>
      </c>
      <c r="C42" s="24"/>
      <c r="D42" s="24"/>
      <c r="E42" s="24"/>
      <c r="F42" s="24"/>
      <c r="G42" s="24"/>
      <c r="H42" s="185"/>
      <c r="I42" s="184"/>
      <c r="J42" s="42">
        <f>VLOOKUP($B$28:$B$49,'Alberta Equip. Rates Year 3'!$B$13:$K$314,10,FALSE)</f>
        <v>0</v>
      </c>
      <c r="K42" s="181">
        <f t="shared" si="1"/>
        <v>0</v>
      </c>
    </row>
    <row r="43" spans="1:11" ht="15" customHeight="1">
      <c r="A43" s="43"/>
      <c r="B43" s="49">
        <f>VLOOKUP($C$28:$C$49,Equipment!$A$1:$B$2322,2,FALSE)</f>
        <v>0</v>
      </c>
      <c r="C43" s="24"/>
      <c r="D43" s="24"/>
      <c r="E43" s="24"/>
      <c r="F43" s="24"/>
      <c r="G43" s="24"/>
      <c r="H43" s="185"/>
      <c r="I43" s="184"/>
      <c r="J43" s="42">
        <f>VLOOKUP($B$28:$B$49,'Alberta Equip. Rates Year 3'!$B$13:$K$314,10,FALSE)</f>
        <v>0</v>
      </c>
      <c r="K43" s="181">
        <f t="shared" si="1"/>
        <v>0</v>
      </c>
    </row>
    <row r="44" spans="1:11" ht="15" customHeight="1">
      <c r="A44" s="43"/>
      <c r="B44" s="49">
        <f>VLOOKUP($C$28:$C$49,Equipment!$A$1:$B$2322,2,FALSE)</f>
        <v>0</v>
      </c>
      <c r="C44" s="24"/>
      <c r="D44" s="24"/>
      <c r="E44" s="24"/>
      <c r="F44" s="24"/>
      <c r="G44" s="24"/>
      <c r="H44" s="185"/>
      <c r="I44" s="184"/>
      <c r="J44" s="42">
        <f>VLOOKUP($B$28:$B$49,'Alberta Equip. Rates Year 3'!$B$13:$K$314,10,FALSE)</f>
        <v>0</v>
      </c>
      <c r="K44" s="181">
        <f t="shared" si="1"/>
        <v>0</v>
      </c>
    </row>
    <row r="45" spans="1:11" ht="15" customHeight="1">
      <c r="A45" s="43"/>
      <c r="B45" s="49">
        <f>VLOOKUP($C$28:$C$49,Equipment!$A$1:$B$2322,2,FALSE)</f>
        <v>0</v>
      </c>
      <c r="C45" s="24"/>
      <c r="D45" s="24"/>
      <c r="E45" s="24"/>
      <c r="F45" s="24"/>
      <c r="G45" s="24"/>
      <c r="H45" s="185"/>
      <c r="I45" s="184"/>
      <c r="J45" s="42">
        <f>VLOOKUP($B$28:$B$49,'Alberta Equip. Rates Year 3'!$B$13:$K$314,10,FALSE)</f>
        <v>0</v>
      </c>
      <c r="K45" s="181">
        <f t="shared" si="1"/>
        <v>0</v>
      </c>
    </row>
    <row r="46" spans="1:11" ht="15" customHeight="1">
      <c r="A46" s="43"/>
      <c r="B46" s="49">
        <f>VLOOKUP($C$28:$C$49,Equipment!$A$1:$B$2322,2,FALSE)</f>
        <v>0</v>
      </c>
      <c r="C46" s="24"/>
      <c r="D46" s="24"/>
      <c r="E46" s="24"/>
      <c r="F46" s="24"/>
      <c r="G46" s="24"/>
      <c r="H46" s="185"/>
      <c r="I46" s="184"/>
      <c r="J46" s="42">
        <f>VLOOKUP($B$28:$B$49,'Alberta Equip. Rates Year 3'!$B$13:$K$314,10,FALSE)</f>
        <v>0</v>
      </c>
      <c r="K46" s="181">
        <f t="shared" si="1"/>
        <v>0</v>
      </c>
    </row>
    <row r="47" spans="1:11" ht="15" customHeight="1">
      <c r="A47" s="43"/>
      <c r="B47" s="49">
        <f>VLOOKUP($C$28:$C$49,Equipment!$A$1:$B$2322,2,FALSE)</f>
        <v>0</v>
      </c>
      <c r="C47" s="24"/>
      <c r="D47" s="24"/>
      <c r="E47" s="24"/>
      <c r="F47" s="24"/>
      <c r="G47" s="24"/>
      <c r="H47" s="185"/>
      <c r="I47" s="184"/>
      <c r="J47" s="42">
        <f>VLOOKUP($B$28:$B$49,'Alberta Equip. Rates Year 3'!$B$13:$K$314,10,FALSE)</f>
        <v>0</v>
      </c>
      <c r="K47" s="181">
        <f t="shared" si="1"/>
        <v>0</v>
      </c>
    </row>
    <row r="48" spans="1:11" ht="15" customHeight="1">
      <c r="A48" s="43"/>
      <c r="B48" s="49">
        <f>VLOOKUP($C$28:$C$49,Equipment!$A$1:$B$2322,2,FALSE)</f>
        <v>0</v>
      </c>
      <c r="C48" s="24"/>
      <c r="D48" s="24"/>
      <c r="E48" s="24"/>
      <c r="F48" s="24"/>
      <c r="G48" s="24"/>
      <c r="H48" s="185"/>
      <c r="I48" s="184"/>
      <c r="J48" s="42">
        <f>VLOOKUP($B$28:$B$49,'Alberta Equip. Rates Year 3'!$B$13:$K$314,10,FALSE)</f>
        <v>0</v>
      </c>
      <c r="K48" s="181">
        <f t="shared" si="1"/>
        <v>0</v>
      </c>
    </row>
    <row r="49" spans="1:11" ht="15" customHeight="1" thickBot="1">
      <c r="A49" s="43"/>
      <c r="B49" s="49">
        <f>VLOOKUP($C$28:$C$49,Equipment!$A$1:$B$2322,2,FALSE)</f>
        <v>0</v>
      </c>
      <c r="C49" s="24"/>
      <c r="D49" s="24"/>
      <c r="E49" s="24"/>
      <c r="F49" s="24"/>
      <c r="G49" s="24"/>
      <c r="H49" s="185"/>
      <c r="I49" s="184"/>
      <c r="J49" s="42">
        <f>VLOOKUP($B$28:$B$49,'Alberta Equip. Rates Year 3'!$B$13:$K$314,10,FALSE)</f>
        <v>0</v>
      </c>
      <c r="K49" s="181">
        <f t="shared" si="1"/>
        <v>0</v>
      </c>
    </row>
    <row r="50" spans="1:11" ht="12" thickBot="1">
      <c r="A50" s="25"/>
      <c r="B50" s="25"/>
      <c r="C50" s="25"/>
      <c r="D50" s="21"/>
      <c r="E50" s="21"/>
      <c r="F50" s="21"/>
      <c r="G50" s="21"/>
      <c r="H50" s="21"/>
      <c r="I50" s="360" t="s">
        <v>24</v>
      </c>
      <c r="J50" s="361"/>
      <c r="K50" s="182">
        <f>SUM(K28:K49)</f>
        <v>0</v>
      </c>
    </row>
    <row r="51" spans="1:11" ht="12" thickBot="1">
      <c r="A51" s="26"/>
      <c r="D51" s="26"/>
      <c r="I51" s="27"/>
      <c r="J51" s="27"/>
      <c r="K51" s="28"/>
    </row>
    <row r="52" spans="1:11">
      <c r="A52" s="1" t="s">
        <v>25</v>
      </c>
      <c r="B52" s="29"/>
      <c r="D52" s="1"/>
      <c r="E52" s="1"/>
      <c r="F52" s="1"/>
      <c r="G52" s="1"/>
      <c r="H52" s="1"/>
      <c r="I52" s="362" t="s">
        <v>26</v>
      </c>
      <c r="J52" s="362"/>
      <c r="K52" s="37">
        <f>K25</f>
        <v>0</v>
      </c>
    </row>
    <row r="53" spans="1:11">
      <c r="D53" s="1"/>
      <c r="E53" s="1"/>
      <c r="F53" s="1"/>
      <c r="G53" s="1"/>
      <c r="H53" s="1"/>
      <c r="I53" s="362" t="s">
        <v>27</v>
      </c>
      <c r="J53" s="362"/>
      <c r="K53" s="38">
        <f>K50</f>
        <v>0</v>
      </c>
    </row>
    <row r="54" spans="1:11">
      <c r="D54" s="1"/>
      <c r="E54" s="1"/>
      <c r="F54" s="1"/>
      <c r="G54" s="1"/>
      <c r="H54" s="1"/>
      <c r="I54" s="27" t="s">
        <v>28</v>
      </c>
      <c r="J54" s="27"/>
      <c r="K54" s="38">
        <f>(O25)*14.15</f>
        <v>0</v>
      </c>
    </row>
    <row r="55" spans="1:11">
      <c r="D55" s="1"/>
      <c r="E55" s="1"/>
      <c r="F55" s="1"/>
      <c r="G55" s="1"/>
      <c r="H55" s="1"/>
      <c r="I55" s="30" t="s">
        <v>29</v>
      </c>
      <c r="J55" s="30"/>
      <c r="K55" s="39"/>
    </row>
    <row r="56" spans="1:11">
      <c r="D56" s="1"/>
      <c r="E56" s="1"/>
      <c r="F56" s="1"/>
      <c r="G56" s="1"/>
      <c r="H56" s="1"/>
      <c r="I56" s="30" t="s">
        <v>30</v>
      </c>
      <c r="J56" s="30"/>
      <c r="K56" s="39"/>
    </row>
    <row r="57" spans="1:11">
      <c r="D57" s="1"/>
      <c r="E57" s="1"/>
      <c r="F57" s="1"/>
      <c r="G57" s="1"/>
      <c r="H57" s="1"/>
      <c r="I57" s="30" t="s">
        <v>31</v>
      </c>
      <c r="J57" s="30"/>
      <c r="K57" s="39"/>
    </row>
    <row r="58" spans="1:11" ht="12" thickBot="1">
      <c r="D58" s="1"/>
      <c r="E58" s="1"/>
      <c r="F58" s="1"/>
      <c r="G58" s="1"/>
      <c r="H58" s="1"/>
      <c r="I58" s="362" t="s">
        <v>32</v>
      </c>
      <c r="J58" s="362"/>
      <c r="K58" s="40">
        <f>SUM(K52:K57)</f>
        <v>0</v>
      </c>
    </row>
    <row r="59" spans="1:11">
      <c r="D59" s="1"/>
      <c r="E59" s="1"/>
      <c r="F59" s="1"/>
      <c r="G59" s="1"/>
      <c r="H59" s="1"/>
      <c r="I59" s="27"/>
      <c r="J59" s="27"/>
    </row>
    <row r="60" spans="1:11">
      <c r="A60" s="31" t="s">
        <v>33</v>
      </c>
      <c r="B60" s="32"/>
      <c r="C60" s="32"/>
      <c r="D60" s="1"/>
      <c r="H60" s="33" t="s">
        <v>34</v>
      </c>
      <c r="I60" s="32"/>
      <c r="J60" s="32"/>
      <c r="K60" s="32"/>
    </row>
    <row r="61" spans="1:11" ht="15">
      <c r="A61" s="34"/>
      <c r="E61" s="8"/>
      <c r="F61" s="8"/>
      <c r="G61" s="8"/>
      <c r="H61" s="35"/>
      <c r="I61" s="35"/>
      <c r="J61" s="35"/>
      <c r="K61" s="35"/>
    </row>
    <row r="62" spans="1:11" ht="15">
      <c r="A62" s="34" t="s">
        <v>35</v>
      </c>
      <c r="E62" s="8"/>
      <c r="F62" s="8"/>
      <c r="G62" s="8"/>
      <c r="H62" s="35"/>
      <c r="I62" s="35"/>
      <c r="J62" s="35"/>
      <c r="K62" s="35"/>
    </row>
    <row r="63" spans="1:11" s="34" customFormat="1">
      <c r="A63" s="363">
        <v>41218.479166666664</v>
      </c>
      <c r="B63" s="363"/>
      <c r="C63" s="364"/>
      <c r="D63" s="364"/>
      <c r="E63" s="364"/>
      <c r="F63" s="364"/>
      <c r="G63" s="364"/>
      <c r="H63" s="364"/>
      <c r="I63" s="364"/>
      <c r="J63" s="364"/>
      <c r="K63" s="8"/>
    </row>
    <row r="73" s="1" customFormat="1"/>
    <row r="74" s="1" customFormat="1"/>
    <row r="75" s="1" customFormat="1"/>
    <row r="76" s="1" customFormat="1"/>
    <row r="77" s="1" customFormat="1"/>
    <row r="78" s="1" customFormat="1"/>
    <row r="79" s="1" customFormat="1"/>
    <row r="80" s="1" customFormat="1"/>
    <row r="81" s="1" customFormat="1"/>
    <row r="82" s="1" customFormat="1"/>
    <row r="83" s="1" customFormat="1"/>
    <row r="84" s="1" customFormat="1"/>
    <row r="85" s="1" customFormat="1"/>
    <row r="86" s="1" customFormat="1"/>
    <row r="91" s="1" customFormat="1"/>
    <row r="119" s="1" customFormat="1"/>
    <row r="120" s="1" customFormat="1"/>
    <row r="121" s="1" customFormat="1"/>
    <row r="122" s="1" customFormat="1"/>
  </sheetData>
  <mergeCells count="12">
    <mergeCell ref="I25:J25"/>
    <mergeCell ref="C1:H1"/>
    <mergeCell ref="C2:H2"/>
    <mergeCell ref="C3:H3"/>
    <mergeCell ref="H6:I6"/>
    <mergeCell ref="H7:I7"/>
    <mergeCell ref="I50:J50"/>
    <mergeCell ref="I52:J52"/>
    <mergeCell ref="I53:J53"/>
    <mergeCell ref="I58:J58"/>
    <mergeCell ref="A63:B63"/>
    <mergeCell ref="C63:J63"/>
  </mergeCells>
  <printOptions horizontalCentered="1"/>
  <pageMargins left="0.19685039370078741" right="0.19685039370078741" top="0.39370078740157483" bottom="0.39370078740157483" header="0" footer="0"/>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300-000000000000}">
          <x14:formula1>
            <xm:f>Accounts!$A$4:$A$60</xm:f>
          </x14:formula1>
          <xm:sqref>K7</xm:sqref>
        </x14:dataValidation>
        <x14:dataValidation type="list" allowBlank="1" showInputMessage="1" showErrorMessage="1" xr:uid="{00000000-0002-0000-0300-000001000000}">
          <x14:formula1>
            <xm:f>'Constr. Wage Rate Calculations'!$A$19:$A$288</xm:f>
          </x14:formula1>
          <xm:sqref>B11:B24</xm:sqref>
        </x14:dataValidation>
        <x14:dataValidation type="list" allowBlank="1" showInputMessage="1" showErrorMessage="1" xr:uid="{00000000-0002-0000-0300-000002000000}">
          <x14:formula1>
            <xm:f>Personnel!$A:$A</xm:f>
          </x14:formula1>
          <xm:sqref>C11:C24</xm:sqref>
        </x14:dataValidation>
        <x14:dataValidation type="list" allowBlank="1" showInputMessage="1" showErrorMessage="1" xr:uid="{00000000-0002-0000-0300-000003000000}">
          <x14:formula1>
            <xm:f>Equipment!$A:$A</xm:f>
          </x14:formula1>
          <xm:sqref>C28:C49</xm:sqref>
        </x14:dataValidation>
      </x14:dataValidations>
    </ex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O122"/>
  <sheetViews>
    <sheetView zoomScale="120" zoomScaleNormal="120" zoomScalePageLayoutView="120" workbookViewId="0">
      <selection activeCell="D16" sqref="D16"/>
    </sheetView>
  </sheetViews>
  <sheetFormatPr baseColWidth="10" defaultColWidth="8.83203125" defaultRowHeight="11"/>
  <cols>
    <col min="1" max="1" width="13" style="1" customWidth="1"/>
    <col min="2" max="2" width="30" style="1" customWidth="1"/>
    <col min="3" max="3" width="24.5" style="1" customWidth="1"/>
    <col min="4" max="4" width="8.6640625" style="2" customWidth="1"/>
    <col min="5" max="6" width="8.33203125" style="2" customWidth="1"/>
    <col min="7" max="8" width="8.6640625" style="2" customWidth="1"/>
    <col min="9" max="9" width="9.33203125" style="2" customWidth="1"/>
    <col min="10" max="10" width="8.6640625" style="2" customWidth="1"/>
    <col min="11" max="11" width="21.6640625" style="1" customWidth="1"/>
    <col min="12" max="12" width="3.5" style="1" hidden="1" customWidth="1"/>
    <col min="13" max="16384" width="8.83203125" style="1"/>
  </cols>
  <sheetData>
    <row r="1" spans="1:13" ht="15">
      <c r="C1" s="364"/>
      <c r="D1" s="365"/>
      <c r="E1" s="365"/>
      <c r="F1" s="365"/>
      <c r="G1" s="365"/>
      <c r="H1" s="366"/>
      <c r="J1" s="2" t="s">
        <v>0</v>
      </c>
      <c r="K1" s="197"/>
      <c r="M1" s="45"/>
    </row>
    <row r="2" spans="1:13" ht="15">
      <c r="C2" s="367"/>
      <c r="D2" s="367"/>
      <c r="E2" s="367"/>
      <c r="F2" s="367"/>
      <c r="G2" s="367"/>
      <c r="H2" s="366"/>
      <c r="K2" s="41"/>
    </row>
    <row r="3" spans="1:13" ht="15">
      <c r="C3" s="368"/>
      <c r="D3" s="369"/>
      <c r="E3" s="369"/>
      <c r="F3" s="369"/>
      <c r="G3" s="369"/>
      <c r="H3" s="366"/>
    </row>
    <row r="4" spans="1:13">
      <c r="C4" s="3"/>
      <c r="D4" s="4"/>
      <c r="E4" s="4"/>
      <c r="F4" s="4"/>
      <c r="G4" s="4"/>
    </row>
    <row r="5" spans="1:13">
      <c r="C5" s="3"/>
      <c r="D5" s="4"/>
      <c r="E5" s="4"/>
      <c r="F5" s="4"/>
      <c r="G5" s="4"/>
    </row>
    <row r="6" spans="1:13" ht="12">
      <c r="B6" s="5"/>
      <c r="C6" s="6"/>
      <c r="D6" s="7"/>
      <c r="E6" s="8"/>
      <c r="F6" s="8"/>
      <c r="G6" s="1" t="s">
        <v>1</v>
      </c>
      <c r="H6" s="370"/>
      <c r="I6" s="370"/>
      <c r="J6" s="1" t="s">
        <v>2</v>
      </c>
      <c r="K6" s="47"/>
    </row>
    <row r="7" spans="1:13" ht="12">
      <c r="A7" s="1" t="s">
        <v>3</v>
      </c>
      <c r="B7" s="9"/>
      <c r="C7" s="10"/>
      <c r="D7" s="11"/>
      <c r="E7" s="8"/>
      <c r="F7" s="8"/>
      <c r="G7" s="1" t="s">
        <v>4</v>
      </c>
      <c r="H7" s="371"/>
      <c r="I7" s="371"/>
      <c r="J7" s="1" t="s">
        <v>5</v>
      </c>
      <c r="K7" s="46"/>
    </row>
    <row r="8" spans="1:13" ht="12">
      <c r="B8" s="12"/>
      <c r="C8" s="13"/>
      <c r="D8" s="14"/>
      <c r="E8" s="8"/>
      <c r="F8" s="8"/>
      <c r="G8" s="1" t="s">
        <v>6</v>
      </c>
      <c r="H8" s="187"/>
      <c r="I8" s="188"/>
      <c r="J8" s="44"/>
    </row>
    <row r="9" spans="1:13" ht="16" thickBot="1">
      <c r="B9" s="15"/>
      <c r="C9" s="16"/>
      <c r="D9" s="16"/>
      <c r="E9" s="8"/>
      <c r="F9" s="8"/>
      <c r="G9" s="8"/>
    </row>
    <row r="10" spans="1:13" s="19" customFormat="1" ht="12" thickBot="1">
      <c r="A10" s="17" t="s">
        <v>7</v>
      </c>
      <c r="B10" s="17" t="s">
        <v>8</v>
      </c>
      <c r="C10" s="17" t="s">
        <v>9</v>
      </c>
      <c r="D10" s="18" t="s">
        <v>10</v>
      </c>
      <c r="E10" s="18" t="s">
        <v>11</v>
      </c>
      <c r="F10" s="18" t="s">
        <v>12</v>
      </c>
      <c r="G10" s="180" t="s">
        <v>13</v>
      </c>
      <c r="H10" s="18" t="s">
        <v>14</v>
      </c>
      <c r="I10" s="18" t="s">
        <v>15</v>
      </c>
      <c r="J10" s="18" t="s">
        <v>16</v>
      </c>
      <c r="K10" s="18" t="s">
        <v>17</v>
      </c>
      <c r="M10" s="19" t="s">
        <v>1797</v>
      </c>
    </row>
    <row r="11" spans="1:13" ht="15" customHeight="1">
      <c r="A11" s="48"/>
      <c r="B11" s="49">
        <f>VLOOKUP($C$11:$C$24,Personnel!$A$1:$B$1234,2,FALSE)</f>
        <v>0</v>
      </c>
      <c r="C11" s="36"/>
      <c r="D11" s="184"/>
      <c r="E11" s="179">
        <f>VLOOKUP($B$11:$B$24,'Constr. Wage Rate Calculations'!$A$19:$Z$288,22,FALSE)</f>
        <v>0</v>
      </c>
      <c r="F11" s="184"/>
      <c r="G11" s="179">
        <f>VLOOKUP($B$11:$B$24,'Constr. Wage Rate Calculations'!$A$19:$Z$288,23,FALSE)</f>
        <v>0</v>
      </c>
      <c r="H11" s="184"/>
      <c r="I11" s="179">
        <f>VLOOKUP($B$11:$B$24,'Constr. Wage Rate Calculations'!$A$19:$Z$288,24,FALSE)</f>
        <v>0</v>
      </c>
      <c r="J11" s="20">
        <f>VLOOKUP($B$11:$B$25,'Constr. Wage Rate Calculations'!$A$19:$Z$288,25,FALSE)</f>
        <v>0</v>
      </c>
      <c r="K11" s="179" t="str">
        <f t="shared" ref="K11:K21" si="0">IF($D11&gt;=1,$J11+(D11*E11)+(F11*G11)+(H11*I11),IF($F11&gt;=1,$J11+(D11*E11)+(F11*G11)+(H11*I11),IF($H11&gt;=1,$J11+(D11*E11)+(F11*G11)+(H11*I11),"")))</f>
        <v/>
      </c>
    </row>
    <row r="12" spans="1:13" ht="15" customHeight="1">
      <c r="A12" s="48"/>
      <c r="B12" s="49">
        <f>VLOOKUP($C$11:$C$24,Personnel!$A$1:$B$1234,2,FALSE)</f>
        <v>0</v>
      </c>
      <c r="C12" s="36"/>
      <c r="D12" s="184"/>
      <c r="E12" s="179">
        <f>VLOOKUP($B$11:$B$24,'Constr. Wage Rate Calculations'!$A$19:$Z$288,22,FALSE)</f>
        <v>0</v>
      </c>
      <c r="F12" s="20"/>
      <c r="G12" s="179">
        <f>VLOOKUP($B$11:$B$24,'Constr. Wage Rate Calculations'!$A$19:$Z$288,23,FALSE)</f>
        <v>0</v>
      </c>
      <c r="H12" s="184"/>
      <c r="I12" s="179">
        <f>VLOOKUP($B$11:$B$24,'Constr. Wage Rate Calculations'!$A$19:$Z$288,24,FALSE)</f>
        <v>0</v>
      </c>
      <c r="J12" s="20">
        <f>VLOOKUP($B$11:$B$25,'Constr. Wage Rate Calculations'!$A$19:$Z$288,25,FALSE)</f>
        <v>0</v>
      </c>
      <c r="K12" s="179" t="str">
        <f t="shared" si="0"/>
        <v/>
      </c>
    </row>
    <row r="13" spans="1:13" ht="15" customHeight="1">
      <c r="A13" s="48"/>
      <c r="B13" s="49">
        <f>VLOOKUP($C$11:$C$24,Personnel!$A$1:$B$1234,2,FALSE)</f>
        <v>0</v>
      </c>
      <c r="C13" s="36"/>
      <c r="D13" s="184"/>
      <c r="E13" s="179">
        <f>VLOOKUP($B$11:$B$24,'Constr. Wage Rate Calculations'!$A$19:$Z$288,22,FALSE)</f>
        <v>0</v>
      </c>
      <c r="F13" s="20"/>
      <c r="G13" s="179">
        <f>VLOOKUP($B$11:$B$24,'Constr. Wage Rate Calculations'!$A$19:$Z$288,23,FALSE)</f>
        <v>0</v>
      </c>
      <c r="H13" s="184"/>
      <c r="I13" s="179">
        <f>VLOOKUP($B$11:$B$24,'Constr. Wage Rate Calculations'!$A$19:$Z$288,24,FALSE)</f>
        <v>0</v>
      </c>
      <c r="J13" s="20">
        <f>VLOOKUP($B$11:$B$25,'Constr. Wage Rate Calculations'!$A$19:$Z$288,25,FALSE)</f>
        <v>0</v>
      </c>
      <c r="K13" s="179" t="str">
        <f t="shared" si="0"/>
        <v/>
      </c>
    </row>
    <row r="14" spans="1:13" ht="15" customHeight="1">
      <c r="A14" s="48"/>
      <c r="B14" s="49">
        <f>VLOOKUP($C$11:$C$24,Personnel!$A$1:$B$1234,2,FALSE)</f>
        <v>0</v>
      </c>
      <c r="C14" s="36"/>
      <c r="D14" s="184"/>
      <c r="E14" s="179">
        <f>VLOOKUP($B$11:$B$24,'Constr. Wage Rate Calculations'!$A$19:$Z$288,22,FALSE)</f>
        <v>0</v>
      </c>
      <c r="F14" s="184"/>
      <c r="G14" s="179">
        <f>VLOOKUP($B$11:$B$24,'Constr. Wage Rate Calculations'!$A$19:$Z$288,23,FALSE)</f>
        <v>0</v>
      </c>
      <c r="H14" s="184"/>
      <c r="I14" s="179">
        <f>VLOOKUP($B$11:$B$24,'Constr. Wage Rate Calculations'!$A$19:$Z$288,24,FALSE)</f>
        <v>0</v>
      </c>
      <c r="J14" s="20">
        <f>VLOOKUP($B$11:$B$25,'Constr. Wage Rate Calculations'!$A$19:$Z$288,25,FALSE)</f>
        <v>0</v>
      </c>
      <c r="K14" s="179" t="str">
        <f t="shared" si="0"/>
        <v/>
      </c>
    </row>
    <row r="15" spans="1:13" ht="15" customHeight="1">
      <c r="A15" s="48"/>
      <c r="B15" s="49">
        <f>VLOOKUP($C$11:$C$24,Personnel!$A$1:$B$1234,2,FALSE)</f>
        <v>0</v>
      </c>
      <c r="C15" s="36"/>
      <c r="D15" s="184"/>
      <c r="E15" s="179">
        <f>VLOOKUP($B$11:$B$24,'Constr. Wage Rate Calculations'!$A$19:$Z$288,22,FALSE)</f>
        <v>0</v>
      </c>
      <c r="F15" s="184"/>
      <c r="G15" s="179">
        <f>VLOOKUP($B$11:$B$24,'Constr. Wage Rate Calculations'!$A$19:$Z$288,23,FALSE)</f>
        <v>0</v>
      </c>
      <c r="H15" s="184"/>
      <c r="I15" s="179">
        <f>VLOOKUP($B$11:$B$24,'Constr. Wage Rate Calculations'!$A$19:$Z$288,24,FALSE)</f>
        <v>0</v>
      </c>
      <c r="J15" s="20">
        <f>VLOOKUP($B$11:$B$25,'Constr. Wage Rate Calculations'!$A$19:$Z$288,25,FALSE)</f>
        <v>0</v>
      </c>
      <c r="K15" s="179" t="str">
        <f t="shared" si="0"/>
        <v/>
      </c>
    </row>
    <row r="16" spans="1:13" ht="15" customHeight="1">
      <c r="A16" s="48"/>
      <c r="B16" s="49">
        <f>VLOOKUP($C$11:$C$24,Personnel!$A$1:$B$1234,2,FALSE)</f>
        <v>0</v>
      </c>
      <c r="C16" s="36"/>
      <c r="D16" s="184"/>
      <c r="E16" s="179">
        <f>VLOOKUP($B$11:$B$24,'Constr. Wage Rate Calculations'!$A$19:$Z$288,22,FALSE)</f>
        <v>0</v>
      </c>
      <c r="F16" s="184"/>
      <c r="G16" s="179">
        <f>VLOOKUP($B$11:$B$24,'Constr. Wage Rate Calculations'!$A$19:$Z$288,23,FALSE)</f>
        <v>0</v>
      </c>
      <c r="H16" s="184"/>
      <c r="I16" s="179">
        <f>VLOOKUP($B$11:$B$24,'Constr. Wage Rate Calculations'!$A$19:$Z$288,24,FALSE)</f>
        <v>0</v>
      </c>
      <c r="J16" s="20">
        <f>VLOOKUP($B$11:$B$25,'Constr. Wage Rate Calculations'!$A$19:$Z$288,25,FALSE)</f>
        <v>0</v>
      </c>
      <c r="K16" s="179" t="str">
        <f t="shared" si="0"/>
        <v/>
      </c>
    </row>
    <row r="17" spans="1:15" ht="15" customHeight="1">
      <c r="A17" s="48"/>
      <c r="B17" s="49">
        <f>VLOOKUP($C$11:$C$24,Personnel!$A$1:$B$1234,2,FALSE)</f>
        <v>0</v>
      </c>
      <c r="C17" s="36"/>
      <c r="D17" s="184"/>
      <c r="E17" s="179">
        <f>VLOOKUP($B$11:$B$24,'Constr. Wage Rate Calculations'!$A$19:$Z$288,22,FALSE)</f>
        <v>0</v>
      </c>
      <c r="F17" s="184"/>
      <c r="G17" s="179">
        <f>VLOOKUP($B$11:$B$24,'Constr. Wage Rate Calculations'!$A$19:$Z$288,23,FALSE)</f>
        <v>0</v>
      </c>
      <c r="H17" s="184"/>
      <c r="I17" s="179">
        <f>VLOOKUP($B$11:$B$24,'Constr. Wage Rate Calculations'!$A$19:$Z$288,24,FALSE)</f>
        <v>0</v>
      </c>
      <c r="J17" s="20">
        <f>VLOOKUP($B$11:$B$25,'Constr. Wage Rate Calculations'!$A$19:$Z$288,25,FALSE)</f>
        <v>0</v>
      </c>
      <c r="K17" s="179" t="str">
        <f t="shared" si="0"/>
        <v/>
      </c>
    </row>
    <row r="18" spans="1:15" ht="15" customHeight="1">
      <c r="A18" s="48"/>
      <c r="B18" s="49">
        <f>VLOOKUP($C$11:$C$24,Personnel!$A$1:$B$1234,2,FALSE)</f>
        <v>0</v>
      </c>
      <c r="C18" s="36"/>
      <c r="D18" s="184"/>
      <c r="E18" s="179">
        <f>VLOOKUP($B$11:$B$24,'Constr. Wage Rate Calculations'!$A$19:$Z$288,22,FALSE)</f>
        <v>0</v>
      </c>
      <c r="F18" s="184"/>
      <c r="G18" s="179">
        <f>VLOOKUP($B$11:$B$24,'Constr. Wage Rate Calculations'!$A$19:$Z$288,23,FALSE)</f>
        <v>0</v>
      </c>
      <c r="H18" s="184"/>
      <c r="I18" s="179">
        <f>VLOOKUP($B$11:$B$24,'Constr. Wage Rate Calculations'!$A$19:$Z$288,24,FALSE)</f>
        <v>0</v>
      </c>
      <c r="J18" s="20">
        <f>VLOOKUP($B$11:$B$25,'Constr. Wage Rate Calculations'!$A$19:$Z$288,25,FALSE)</f>
        <v>0</v>
      </c>
      <c r="K18" s="179" t="str">
        <f t="shared" si="0"/>
        <v/>
      </c>
    </row>
    <row r="19" spans="1:15" ht="15" customHeight="1">
      <c r="A19" s="48"/>
      <c r="B19" s="49">
        <f>VLOOKUP($C$11:$C$24,Personnel!$A$1:$B$1234,2,FALSE)</f>
        <v>0</v>
      </c>
      <c r="C19" s="36"/>
      <c r="D19" s="184"/>
      <c r="E19" s="179">
        <f>VLOOKUP($B$11:$B$24,'Constr. Wage Rate Calculations'!$A$19:$Z$288,22,FALSE)</f>
        <v>0</v>
      </c>
      <c r="F19" s="184"/>
      <c r="G19" s="179">
        <f>VLOOKUP($B$11:$B$24,'Constr. Wage Rate Calculations'!$A$19:$Z$288,23,FALSE)</f>
        <v>0</v>
      </c>
      <c r="H19" s="184"/>
      <c r="I19" s="179">
        <f>VLOOKUP($B$11:$B$24,'Constr. Wage Rate Calculations'!$A$19:$Z$288,24,FALSE)</f>
        <v>0</v>
      </c>
      <c r="J19" s="20">
        <f>VLOOKUP($B$11:$B$25,'Constr. Wage Rate Calculations'!$A$19:$Z$288,25,FALSE)</f>
        <v>0</v>
      </c>
      <c r="K19" s="179" t="str">
        <f t="shared" si="0"/>
        <v/>
      </c>
    </row>
    <row r="20" spans="1:15" ht="15" customHeight="1">
      <c r="A20" s="48"/>
      <c r="B20" s="49">
        <f>VLOOKUP($C$11:$C$24,Personnel!$A$1:$B$1234,2,FALSE)</f>
        <v>0</v>
      </c>
      <c r="C20" s="36"/>
      <c r="D20" s="184"/>
      <c r="E20" s="179">
        <f>VLOOKUP($B$11:$B$24,'Constr. Wage Rate Calculations'!$A$19:$Z$288,22,FALSE)</f>
        <v>0</v>
      </c>
      <c r="F20" s="184"/>
      <c r="G20" s="179">
        <f>VLOOKUP($B$11:$B$24,'Constr. Wage Rate Calculations'!$A$19:$Z$288,23,FALSE)</f>
        <v>0</v>
      </c>
      <c r="H20" s="184"/>
      <c r="I20" s="179">
        <f>VLOOKUP($B$11:$B$24,'Constr. Wage Rate Calculations'!$A$19:$Z$288,24,FALSE)</f>
        <v>0</v>
      </c>
      <c r="J20" s="20">
        <f>VLOOKUP($B$11:$B$25,'Constr. Wage Rate Calculations'!$A$19:$Z$288,25,FALSE)</f>
        <v>0</v>
      </c>
      <c r="K20" s="179" t="str">
        <f t="shared" si="0"/>
        <v/>
      </c>
    </row>
    <row r="21" spans="1:15" ht="15" customHeight="1">
      <c r="A21" s="48"/>
      <c r="B21" s="49">
        <f>VLOOKUP($C$11:$C$24,Personnel!$A$1:$B$1234,2,FALSE)</f>
        <v>0</v>
      </c>
      <c r="C21" s="36"/>
      <c r="D21" s="184"/>
      <c r="E21" s="179">
        <f>VLOOKUP($B$11:$B$24,'Constr. Wage Rate Calculations'!$A$19:$Z$288,22,FALSE)</f>
        <v>0</v>
      </c>
      <c r="F21" s="20"/>
      <c r="G21" s="179">
        <f>VLOOKUP($B$11:$B$24,'Constr. Wage Rate Calculations'!$A$19:$Z$288,23,FALSE)</f>
        <v>0</v>
      </c>
      <c r="H21" s="184"/>
      <c r="I21" s="179">
        <f>VLOOKUP($B$11:$B$24,'Constr. Wage Rate Calculations'!$A$19:$Z$288,24,FALSE)</f>
        <v>0</v>
      </c>
      <c r="J21" s="20">
        <f>VLOOKUP($B$11:$B$25,'Constr. Wage Rate Calculations'!$A$19:$Z$288,25,FALSE)</f>
        <v>0</v>
      </c>
      <c r="K21" s="179" t="str">
        <f t="shared" si="0"/>
        <v/>
      </c>
    </row>
    <row r="22" spans="1:15" ht="15" customHeight="1">
      <c r="A22" s="48"/>
      <c r="B22" s="49">
        <f>VLOOKUP($C$11:$C$24,Personnel!$A$1:$B$1234,2,FALSE)</f>
        <v>0</v>
      </c>
      <c r="C22" s="36"/>
      <c r="D22" s="184"/>
      <c r="E22" s="179">
        <f>VLOOKUP($B$11:$B$24,'Constr. Wage Rate Calculations'!$A$19:$Z$288,22,FALSE)</f>
        <v>0</v>
      </c>
      <c r="F22" s="20"/>
      <c r="G22" s="179">
        <f>VLOOKUP($B$11:$B$24,'Constr. Wage Rate Calculations'!$A$19:$Z$288,23,FALSE)</f>
        <v>0</v>
      </c>
      <c r="H22" s="184"/>
      <c r="I22" s="179">
        <f>VLOOKUP($B$11:$B$24,'Constr. Wage Rate Calculations'!$A$19:$Z$288,24,FALSE)</f>
        <v>0</v>
      </c>
      <c r="J22" s="20">
        <f>VLOOKUP($B$11:$B$25,'Constr. Wage Rate Calculations'!$A$19:$Z$288,25,FALSE)</f>
        <v>0</v>
      </c>
      <c r="K22" s="179" t="str">
        <f>IF($D22&gt;=1,$J22+(D22*E22)+(F22*G22)+(H22*I22),IF($F22&gt;=1,$J22+(D22*E22)+(F22*G22)+(H22*I22),IF($H22&gt;=1,$J22+(D22*E22)+(F22*G22)+(H22*I22),"")))</f>
        <v/>
      </c>
    </row>
    <row r="23" spans="1:15" ht="15" customHeight="1">
      <c r="A23" s="48"/>
      <c r="B23" s="49">
        <f>VLOOKUP($C$11:$C$24,Personnel!$A$1:$B$1234,2,FALSE)</f>
        <v>0</v>
      </c>
      <c r="C23" s="36"/>
      <c r="D23" s="184"/>
      <c r="E23" s="179">
        <f>VLOOKUP($B$11:$B$24,'Constr. Wage Rate Calculations'!$A$19:$Z$288,22,FALSE)</f>
        <v>0</v>
      </c>
      <c r="F23" s="184"/>
      <c r="G23" s="179">
        <f>VLOOKUP($B$11:$B$24,'Constr. Wage Rate Calculations'!$A$19:$Z$288,23,FALSE)</f>
        <v>0</v>
      </c>
      <c r="H23" s="184"/>
      <c r="I23" s="179">
        <f>VLOOKUP($B$11:$B$24,'Constr. Wage Rate Calculations'!$A$19:$Z$288,24,FALSE)</f>
        <v>0</v>
      </c>
      <c r="J23" s="20">
        <f>VLOOKUP($B$11:$B$25,'Constr. Wage Rate Calculations'!$A$19:$Z$288,25,FALSE)</f>
        <v>0</v>
      </c>
      <c r="K23" s="179" t="str">
        <f>IF($D23&gt;=1,$J23+(D23*E23)+(F23*G23)+(H23*I23),IF($F23&gt;=1,$J23+(D23*E23)+(F23*G23)+(H23*I23),IF($H23&gt;=1,$J23+(D23*E23)+(F23*G23)+(H23*I23),"")))</f>
        <v/>
      </c>
    </row>
    <row r="24" spans="1:15" ht="15" customHeight="1" thickBot="1">
      <c r="A24" s="48"/>
      <c r="B24" s="49">
        <f>VLOOKUP($C$11:$C$24,Personnel!$A$1:$B$1234,2,FALSE)</f>
        <v>0</v>
      </c>
      <c r="C24" s="36"/>
      <c r="D24" s="184"/>
      <c r="E24" s="179">
        <f>VLOOKUP($B$11:$B$24,'Constr. Wage Rate Calculations'!$A$19:$Z$288,22,FALSE)</f>
        <v>0</v>
      </c>
      <c r="F24" s="184"/>
      <c r="G24" s="179">
        <f>VLOOKUP($B$11:$B$24,'Constr. Wage Rate Calculations'!$A$19:$Z$288,23,FALSE)</f>
        <v>0</v>
      </c>
      <c r="H24" s="184"/>
      <c r="I24" s="179">
        <f>VLOOKUP($B$11:$B$24,'Constr. Wage Rate Calculations'!$A$19:$Z$288,24,FALSE)</f>
        <v>0</v>
      </c>
      <c r="J24" s="20">
        <f>VLOOKUP($B$11:$B$25,'Constr. Wage Rate Calculations'!$A$19:$Z$288,25,FALSE)</f>
        <v>0</v>
      </c>
      <c r="K24" s="179" t="str">
        <f>IF($D24&gt;=1,$J24+(D24*E24)+(F24*G24)+(H24*I24),IF($F24&gt;=1,$J24+(D24*E24)+(F24*G24)+(H24*I24),IF($H24&gt;=1,$J24+(D24*E24)+(F24*G24)+(H24*I24),"")))</f>
        <v/>
      </c>
      <c r="M24" s="1">
        <f>SUM(M11:M23)</f>
        <v>0</v>
      </c>
    </row>
    <row r="25" spans="1:15" ht="15" customHeight="1" thickBot="1">
      <c r="A25"/>
      <c r="B25"/>
      <c r="C25"/>
      <c r="D25" s="21"/>
      <c r="E25" s="21"/>
      <c r="F25" s="21"/>
      <c r="G25" s="21"/>
      <c r="H25" s="21"/>
      <c r="I25" s="360" t="s">
        <v>18</v>
      </c>
      <c r="J25" s="361"/>
      <c r="K25" s="183">
        <f>SUM(K11:K24)</f>
        <v>0</v>
      </c>
      <c r="M25" s="1">
        <f>SUMIFS(D11:D24,D11:D24,"&lt;3",D11:D24,"&lt;5")</f>
        <v>0</v>
      </c>
      <c r="N25" s="1">
        <f>SUMIFS(D11:D24,D11:D24,"&gt;3",D11:D24,"&gt;5")</f>
        <v>0</v>
      </c>
      <c r="O25" s="1">
        <f>SUM(F11:F24,H11:H24,M25,N25)-M24</f>
        <v>0</v>
      </c>
    </row>
    <row r="26" spans="1:15" ht="10" customHeight="1" thickBot="1"/>
    <row r="27" spans="1:15" s="19" customFormat="1" ht="15" customHeight="1" thickBot="1">
      <c r="A27" s="22" t="s">
        <v>19</v>
      </c>
      <c r="B27" s="23" t="s">
        <v>20</v>
      </c>
      <c r="C27" s="23"/>
      <c r="D27" s="23"/>
      <c r="E27" s="23"/>
      <c r="F27" s="23"/>
      <c r="G27" s="23"/>
      <c r="H27" s="18" t="s">
        <v>21</v>
      </c>
      <c r="I27" s="18" t="s">
        <v>22</v>
      </c>
      <c r="J27" s="18" t="s">
        <v>23</v>
      </c>
      <c r="K27" s="18" t="s">
        <v>17</v>
      </c>
    </row>
    <row r="28" spans="1:15" ht="15" customHeight="1">
      <c r="A28" s="43"/>
      <c r="B28" s="49">
        <f>VLOOKUP($C$28:$C$49,Equipment!$A$1:$B$2322,2,FALSE)</f>
        <v>0</v>
      </c>
      <c r="C28" s="24"/>
      <c r="D28" s="24"/>
      <c r="E28" s="24"/>
      <c r="F28" s="24"/>
      <c r="G28" s="24"/>
      <c r="H28" s="185"/>
      <c r="I28" s="184"/>
      <c r="J28" s="42">
        <f>VLOOKUP($B$28:$B$49,'Alberta Equip. Rates Year 3'!$B$13:$K$314,10,FALSE)</f>
        <v>0</v>
      </c>
      <c r="K28" s="181">
        <f>(H28+I28)*J28</f>
        <v>0</v>
      </c>
    </row>
    <row r="29" spans="1:15" ht="15" customHeight="1">
      <c r="A29" s="43"/>
      <c r="B29" s="49">
        <f>VLOOKUP($C$28:$C$49,Equipment!$A$1:$B$2322,2,FALSE)</f>
        <v>0</v>
      </c>
      <c r="C29" s="24"/>
      <c r="D29" s="24"/>
      <c r="E29" s="24"/>
      <c r="F29" s="24"/>
      <c r="G29" s="24"/>
      <c r="H29" s="185"/>
      <c r="I29" s="184"/>
      <c r="J29" s="42">
        <f>VLOOKUP($B$28:$B$49,'Alberta Equip. Rates Year 3'!$B$13:$K$314,10,FALSE)</f>
        <v>0</v>
      </c>
      <c r="K29" s="181">
        <f t="shared" ref="K29:K49" si="1">(H29+I29)*J29</f>
        <v>0</v>
      </c>
    </row>
    <row r="30" spans="1:15" ht="15" customHeight="1">
      <c r="A30" s="43"/>
      <c r="B30" s="49">
        <f>VLOOKUP($C$28:$C$49,Equipment!$A$1:$B$2322,2,FALSE)</f>
        <v>0</v>
      </c>
      <c r="C30" s="24"/>
      <c r="D30" s="24"/>
      <c r="E30" s="24"/>
      <c r="F30" s="24"/>
      <c r="G30" s="24"/>
      <c r="H30" s="185"/>
      <c r="I30" s="184"/>
      <c r="J30" s="42">
        <f>VLOOKUP($B$28:$B$49,'Alberta Equip. Rates Year 3'!$B$13:$K$314,10,FALSE)</f>
        <v>0</v>
      </c>
      <c r="K30" s="181">
        <f t="shared" si="1"/>
        <v>0</v>
      </c>
    </row>
    <row r="31" spans="1:15" ht="15" customHeight="1">
      <c r="A31" s="43"/>
      <c r="B31" s="49">
        <f>VLOOKUP($C$28:$C$49,Equipment!$A$1:$B$2322,2,FALSE)</f>
        <v>0</v>
      </c>
      <c r="C31" s="24"/>
      <c r="D31" s="24"/>
      <c r="E31" s="24"/>
      <c r="F31" s="24"/>
      <c r="G31" s="24"/>
      <c r="H31" s="36"/>
      <c r="I31" s="20"/>
      <c r="J31" s="42">
        <f>VLOOKUP($B$28:$B$49,'Alberta Equip. Rates Year 3'!$B$13:$K$314,10,FALSE)</f>
        <v>0</v>
      </c>
      <c r="K31" s="181">
        <f t="shared" si="1"/>
        <v>0</v>
      </c>
    </row>
    <row r="32" spans="1:15" ht="15" customHeight="1">
      <c r="A32" s="43"/>
      <c r="B32" s="49">
        <f>VLOOKUP($C$28:$C$49,Equipment!$A$1:$B$2322,2,FALSE)</f>
        <v>0</v>
      </c>
      <c r="C32" s="24"/>
      <c r="D32" s="24"/>
      <c r="E32" s="24"/>
      <c r="F32" s="24"/>
      <c r="G32" s="24"/>
      <c r="H32" s="185"/>
      <c r="I32" s="184"/>
      <c r="J32" s="42">
        <f>VLOOKUP($B$28:$B$49,'Alberta Equip. Rates Year 3'!$B$13:$K$314,10,FALSE)</f>
        <v>0</v>
      </c>
      <c r="K32" s="181">
        <f t="shared" si="1"/>
        <v>0</v>
      </c>
    </row>
    <row r="33" spans="1:11" ht="15" customHeight="1">
      <c r="A33" s="43"/>
      <c r="B33" s="49">
        <f>VLOOKUP($C$28:$C$49,Equipment!$A$1:$B$2322,2,FALSE)</f>
        <v>0</v>
      </c>
      <c r="C33" s="24"/>
      <c r="D33" s="24"/>
      <c r="E33" s="24"/>
      <c r="F33" s="24"/>
      <c r="G33" s="24"/>
      <c r="H33" s="36"/>
      <c r="I33" s="20"/>
      <c r="J33" s="42">
        <f>VLOOKUP($B$28:$B$49,'Alberta Equip. Rates Year 3'!$B$13:$K$314,10,FALSE)</f>
        <v>0</v>
      </c>
      <c r="K33" s="181">
        <f t="shared" si="1"/>
        <v>0</v>
      </c>
    </row>
    <row r="34" spans="1:11" ht="15" customHeight="1">
      <c r="A34" s="43"/>
      <c r="B34" s="49">
        <f>VLOOKUP($C$28:$C$49,Equipment!$A$1:$B$2322,2,FALSE)</f>
        <v>0</v>
      </c>
      <c r="C34" s="24"/>
      <c r="D34" s="24"/>
      <c r="E34" s="24"/>
      <c r="F34" s="24"/>
      <c r="G34" s="24"/>
      <c r="H34" s="36"/>
      <c r="I34" s="20"/>
      <c r="J34" s="42">
        <f>VLOOKUP($B$28:$B$49,'Alberta Equip. Rates Year 3'!$B$13:$K$314,10,FALSE)</f>
        <v>0</v>
      </c>
      <c r="K34" s="181">
        <f t="shared" si="1"/>
        <v>0</v>
      </c>
    </row>
    <row r="35" spans="1:11" ht="15" customHeight="1">
      <c r="A35" s="43"/>
      <c r="B35" s="49">
        <f>VLOOKUP($C$28:$C$49,Equipment!$A$1:$B$2322,2,FALSE)</f>
        <v>0</v>
      </c>
      <c r="C35" s="24"/>
      <c r="D35" s="24"/>
      <c r="E35" s="24"/>
      <c r="F35" s="24"/>
      <c r="G35" s="24"/>
      <c r="H35" s="185"/>
      <c r="I35" s="184"/>
      <c r="J35" s="42">
        <f>VLOOKUP($B$28:$B$49,'Alberta Equip. Rates Year 3'!$B$13:$K$314,10,FALSE)</f>
        <v>0</v>
      </c>
      <c r="K35" s="181">
        <f t="shared" si="1"/>
        <v>0</v>
      </c>
    </row>
    <row r="36" spans="1:11" ht="15" customHeight="1">
      <c r="A36" s="43"/>
      <c r="B36" s="49">
        <f>VLOOKUP($C$28:$C$49,Equipment!$A$1:$B$2322,2,FALSE)</f>
        <v>0</v>
      </c>
      <c r="C36" s="24"/>
      <c r="D36" s="24"/>
      <c r="E36" s="24"/>
      <c r="F36" s="24"/>
      <c r="G36" s="24"/>
      <c r="H36" s="185"/>
      <c r="I36" s="184"/>
      <c r="J36" s="42">
        <f>VLOOKUP($B$28:$B$49,'Alberta Equip. Rates Year 3'!$B$13:$K$314,10,FALSE)</f>
        <v>0</v>
      </c>
      <c r="K36" s="181">
        <f t="shared" si="1"/>
        <v>0</v>
      </c>
    </row>
    <row r="37" spans="1:11" ht="15" customHeight="1">
      <c r="A37" s="43"/>
      <c r="B37" s="49">
        <f>VLOOKUP($C$28:$C$49,Equipment!$A$1:$B$2322,2,FALSE)</f>
        <v>0</v>
      </c>
      <c r="C37" s="24"/>
      <c r="D37" s="24"/>
      <c r="E37" s="24"/>
      <c r="F37" s="24"/>
      <c r="G37" s="24"/>
      <c r="H37" s="185"/>
      <c r="I37" s="184"/>
      <c r="J37" s="42">
        <f>VLOOKUP($B$28:$B$49,'Alberta Equip. Rates Year 3'!$B$13:$K$314,10,FALSE)</f>
        <v>0</v>
      </c>
      <c r="K37" s="181">
        <f t="shared" si="1"/>
        <v>0</v>
      </c>
    </row>
    <row r="38" spans="1:11" ht="15" customHeight="1">
      <c r="A38" s="43"/>
      <c r="B38" s="49">
        <f>VLOOKUP($C$28:$C$49,Equipment!$A$1:$B$2322,2,FALSE)</f>
        <v>0</v>
      </c>
      <c r="C38" s="24"/>
      <c r="D38" s="24"/>
      <c r="E38" s="24"/>
      <c r="F38" s="24"/>
      <c r="G38" s="24"/>
      <c r="H38" s="185"/>
      <c r="I38" s="184"/>
      <c r="J38" s="42">
        <f>VLOOKUP($B$28:$B$49,'Alberta Equip. Rates Year 3'!$B$13:$K$314,10,FALSE)</f>
        <v>0</v>
      </c>
      <c r="K38" s="181">
        <f>(H38+I38)*J38</f>
        <v>0</v>
      </c>
    </row>
    <row r="39" spans="1:11" ht="15" customHeight="1">
      <c r="A39" s="43"/>
      <c r="B39" s="49">
        <f>VLOOKUP($C$28:$C$49,Equipment!$A$1:$B$2322,2,FALSE)</f>
        <v>0</v>
      </c>
      <c r="C39" s="24"/>
      <c r="D39" s="24"/>
      <c r="E39" s="24"/>
      <c r="F39" s="24"/>
      <c r="G39" s="24"/>
      <c r="H39" s="36"/>
      <c r="I39" s="20"/>
      <c r="J39" s="42">
        <f>VLOOKUP($B$28:$B$49,'Alberta Equip. Rates Year 3'!$B$13:$K$314,10,FALSE)</f>
        <v>0</v>
      </c>
      <c r="K39" s="181">
        <f t="shared" si="1"/>
        <v>0</v>
      </c>
    </row>
    <row r="40" spans="1:11" ht="15" customHeight="1">
      <c r="A40" s="43"/>
      <c r="B40" s="49">
        <f>VLOOKUP($C$28:$C$49,Equipment!$A$1:$B$2322,2,FALSE)</f>
        <v>0</v>
      </c>
      <c r="C40" s="24"/>
      <c r="D40" s="24"/>
      <c r="E40" s="24"/>
      <c r="F40" s="24"/>
      <c r="G40" s="24"/>
      <c r="H40" s="36"/>
      <c r="I40" s="184"/>
      <c r="J40" s="42">
        <f>VLOOKUP($B$28:$B$49,'Alberta Equip. Rates Year 3'!$B$13:$K$314,10,FALSE)</f>
        <v>0</v>
      </c>
      <c r="K40" s="181">
        <f t="shared" ref="K40:K47" si="2">(H40+I40)*J40</f>
        <v>0</v>
      </c>
    </row>
    <row r="41" spans="1:11" ht="15" customHeight="1">
      <c r="A41" s="43"/>
      <c r="B41" s="49">
        <f>VLOOKUP($C$28:$C$49,Equipment!$A$1:$B$2322,2,FALSE)</f>
        <v>0</v>
      </c>
      <c r="C41" s="24"/>
      <c r="D41" s="24"/>
      <c r="E41" s="24"/>
      <c r="F41" s="24"/>
      <c r="G41" s="24"/>
      <c r="H41" s="185"/>
      <c r="I41" s="184"/>
      <c r="J41" s="42">
        <f>VLOOKUP($B$28:$B$49,'Alberta Equip. Rates Year 3'!$B$13:$K$314,10,FALSE)</f>
        <v>0</v>
      </c>
      <c r="K41" s="181">
        <f t="shared" si="2"/>
        <v>0</v>
      </c>
    </row>
    <row r="42" spans="1:11" ht="15" customHeight="1">
      <c r="A42" s="43"/>
      <c r="B42" s="49">
        <f>VLOOKUP($C$28:$C$49,Equipment!$A$1:$B$2322,2,FALSE)</f>
        <v>0</v>
      </c>
      <c r="C42" s="24"/>
      <c r="D42" s="24"/>
      <c r="E42" s="24"/>
      <c r="F42" s="24"/>
      <c r="G42" s="24"/>
      <c r="H42" s="185"/>
      <c r="I42" s="184"/>
      <c r="J42" s="42">
        <f>VLOOKUP($B$28:$B$49,'Alberta Equip. Rates Year 3'!$B$13:$K$314,10,FALSE)</f>
        <v>0</v>
      </c>
      <c r="K42" s="181">
        <f t="shared" si="2"/>
        <v>0</v>
      </c>
    </row>
    <row r="43" spans="1:11" ht="15" customHeight="1">
      <c r="A43" s="43"/>
      <c r="B43" s="49">
        <f>VLOOKUP($C$28:$C$49,Equipment!$A$1:$B$2322,2,FALSE)</f>
        <v>0</v>
      </c>
      <c r="C43" s="24"/>
      <c r="D43" s="24"/>
      <c r="E43" s="24"/>
      <c r="F43" s="24"/>
      <c r="G43" s="24"/>
      <c r="H43" s="185"/>
      <c r="I43" s="184"/>
      <c r="J43" s="42">
        <f>VLOOKUP($B$28:$B$49,'Alberta Equip. Rates Year 3'!$B$13:$K$314,10,FALSE)</f>
        <v>0</v>
      </c>
      <c r="K43" s="181">
        <f t="shared" si="2"/>
        <v>0</v>
      </c>
    </row>
    <row r="44" spans="1:11" ht="15" customHeight="1">
      <c r="A44" s="43"/>
      <c r="B44" s="49">
        <f>VLOOKUP($C$28:$C$49,Equipment!$A$1:$B$2322,2,FALSE)</f>
        <v>0</v>
      </c>
      <c r="C44" s="24"/>
      <c r="D44" s="24"/>
      <c r="E44" s="24"/>
      <c r="F44" s="24"/>
      <c r="G44" s="24"/>
      <c r="H44" s="185"/>
      <c r="I44" s="184"/>
      <c r="J44" s="42">
        <f>VLOOKUP($B$28:$B$49,'Alberta Equip. Rates Year 3'!$B$13:$K$314,10,FALSE)</f>
        <v>0</v>
      </c>
      <c r="K44" s="181">
        <f t="shared" si="2"/>
        <v>0</v>
      </c>
    </row>
    <row r="45" spans="1:11" ht="15" customHeight="1">
      <c r="A45" s="43"/>
      <c r="B45" s="49">
        <f>VLOOKUP($C$28:$C$49,Equipment!$A$1:$B$2322,2,FALSE)</f>
        <v>0</v>
      </c>
      <c r="C45" s="24"/>
      <c r="D45" s="24"/>
      <c r="E45" s="24"/>
      <c r="F45" s="24"/>
      <c r="G45" s="24"/>
      <c r="H45" s="185"/>
      <c r="I45" s="184"/>
      <c r="J45" s="42">
        <f>VLOOKUP($B$28:$B$49,'Alberta Equip. Rates Year 3'!$B$13:$K$314,10,FALSE)</f>
        <v>0</v>
      </c>
      <c r="K45" s="181">
        <f t="shared" si="2"/>
        <v>0</v>
      </c>
    </row>
    <row r="46" spans="1:11" ht="15" customHeight="1">
      <c r="A46" s="43"/>
      <c r="B46" s="49">
        <f>VLOOKUP($C$28:$C$49,Equipment!$A$1:$B$2322,2,FALSE)</f>
        <v>0</v>
      </c>
      <c r="C46" s="24"/>
      <c r="D46" s="24"/>
      <c r="E46" s="24"/>
      <c r="F46" s="24"/>
      <c r="G46" s="24"/>
      <c r="H46" s="185"/>
      <c r="I46" s="184"/>
      <c r="J46" s="42">
        <f>VLOOKUP($B$28:$B$49,'Alberta Equip. Rates Year 3'!$B$13:$K$314,10,FALSE)</f>
        <v>0</v>
      </c>
      <c r="K46" s="181">
        <f t="shared" si="2"/>
        <v>0</v>
      </c>
    </row>
    <row r="47" spans="1:11" ht="15" customHeight="1">
      <c r="A47" s="43"/>
      <c r="B47" s="49">
        <f>VLOOKUP($C$28:$C$49,Equipment!$A$1:$B$2322,2,FALSE)</f>
        <v>0</v>
      </c>
      <c r="C47" s="24"/>
      <c r="D47" s="24"/>
      <c r="E47" s="24"/>
      <c r="F47" s="24"/>
      <c r="G47" s="24"/>
      <c r="H47" s="185"/>
      <c r="I47" s="184"/>
      <c r="J47" s="42">
        <f>VLOOKUP($B$28:$B$49,'Alberta Equip. Rates Year 3'!$B$13:$K$314,10,FALSE)</f>
        <v>0</v>
      </c>
      <c r="K47" s="181">
        <f t="shared" si="2"/>
        <v>0</v>
      </c>
    </row>
    <row r="48" spans="1:11" ht="15" customHeight="1">
      <c r="A48" s="43"/>
      <c r="B48" s="49">
        <f>VLOOKUP($C$28:$C$49,Equipment!$A$1:$B$2322,2,FALSE)</f>
        <v>0</v>
      </c>
      <c r="C48" s="24"/>
      <c r="D48" s="24"/>
      <c r="E48" s="24"/>
      <c r="F48" s="24"/>
      <c r="G48" s="24"/>
      <c r="H48" s="185"/>
      <c r="I48" s="184"/>
      <c r="J48" s="42">
        <f>VLOOKUP($B$28:$B$49,'Alberta Equip. Rates Year 3'!$B$13:$K$314,10,FALSE)</f>
        <v>0</v>
      </c>
      <c r="K48" s="181">
        <f t="shared" si="1"/>
        <v>0</v>
      </c>
    </row>
    <row r="49" spans="1:11" ht="15" customHeight="1" thickBot="1">
      <c r="A49" s="43"/>
      <c r="B49" s="49">
        <f>VLOOKUP($C$28:$C$49,Equipment!$A$1:$B$2322,2,FALSE)</f>
        <v>0</v>
      </c>
      <c r="C49" s="24"/>
      <c r="D49" s="24"/>
      <c r="E49" s="24"/>
      <c r="F49" s="24"/>
      <c r="G49" s="24"/>
      <c r="H49" s="185"/>
      <c r="I49" s="184"/>
      <c r="J49" s="42">
        <f>VLOOKUP($B$28:$B$49,'Alberta Equip. Rates Year 3'!$B$13:$K$314,10,FALSE)</f>
        <v>0</v>
      </c>
      <c r="K49" s="181">
        <f t="shared" si="1"/>
        <v>0</v>
      </c>
    </row>
    <row r="50" spans="1:11" ht="12" thickBot="1">
      <c r="A50" s="25"/>
      <c r="B50" s="25"/>
      <c r="C50" s="25"/>
      <c r="D50" s="21"/>
      <c r="E50" s="21"/>
      <c r="F50" s="21"/>
      <c r="G50" s="21"/>
      <c r="H50" s="21"/>
      <c r="I50" s="360" t="s">
        <v>24</v>
      </c>
      <c r="J50" s="361"/>
      <c r="K50" s="182">
        <f>SUM(K28:K49)</f>
        <v>0</v>
      </c>
    </row>
    <row r="51" spans="1:11" ht="12" thickBot="1">
      <c r="A51" s="26"/>
      <c r="D51" s="26"/>
      <c r="I51" s="27"/>
      <c r="J51" s="27"/>
      <c r="K51" s="28"/>
    </row>
    <row r="52" spans="1:11">
      <c r="A52" s="1" t="s">
        <v>25</v>
      </c>
      <c r="B52" s="29"/>
      <c r="D52" s="1"/>
      <c r="E52" s="1"/>
      <c r="F52" s="1"/>
      <c r="G52" s="1"/>
      <c r="H52" s="1"/>
      <c r="I52" s="362" t="s">
        <v>26</v>
      </c>
      <c r="J52" s="362"/>
      <c r="K52" s="37">
        <f>K25</f>
        <v>0</v>
      </c>
    </row>
    <row r="53" spans="1:11">
      <c r="D53" s="1"/>
      <c r="E53" s="1"/>
      <c r="F53" s="1"/>
      <c r="G53" s="1"/>
      <c r="H53" s="1"/>
      <c r="I53" s="362" t="s">
        <v>27</v>
      </c>
      <c r="J53" s="362"/>
      <c r="K53" s="38">
        <f>K50</f>
        <v>0</v>
      </c>
    </row>
    <row r="54" spans="1:11">
      <c r="D54" s="1"/>
      <c r="E54" s="1"/>
      <c r="F54" s="1"/>
      <c r="G54" s="1"/>
      <c r="H54" s="1"/>
      <c r="I54" s="27" t="s">
        <v>28</v>
      </c>
      <c r="J54" s="27"/>
      <c r="K54" s="38">
        <f>(O25)*14.15</f>
        <v>0</v>
      </c>
    </row>
    <row r="55" spans="1:11">
      <c r="D55" s="1"/>
      <c r="E55" s="1"/>
      <c r="F55" s="1"/>
      <c r="G55" s="1"/>
      <c r="H55" s="1"/>
      <c r="I55" s="30" t="s">
        <v>29</v>
      </c>
      <c r="J55" s="30"/>
      <c r="K55" s="39"/>
    </row>
    <row r="56" spans="1:11">
      <c r="D56" s="1"/>
      <c r="E56" s="1"/>
      <c r="F56" s="1"/>
      <c r="G56" s="1"/>
      <c r="H56" s="1"/>
      <c r="I56" s="30" t="s">
        <v>30</v>
      </c>
      <c r="J56" s="30"/>
      <c r="K56" s="39"/>
    </row>
    <row r="57" spans="1:11">
      <c r="D57" s="1"/>
      <c r="E57" s="1"/>
      <c r="F57" s="1"/>
      <c r="G57" s="1"/>
      <c r="H57" s="1"/>
      <c r="I57" s="30" t="s">
        <v>31</v>
      </c>
      <c r="J57" s="30"/>
      <c r="K57" s="39"/>
    </row>
    <row r="58" spans="1:11" ht="12" thickBot="1">
      <c r="D58" s="1"/>
      <c r="E58" s="1"/>
      <c r="F58" s="1"/>
      <c r="G58" s="1"/>
      <c r="H58" s="1"/>
      <c r="I58" s="362" t="s">
        <v>32</v>
      </c>
      <c r="J58" s="362"/>
      <c r="K58" s="40">
        <f>SUM(K52:K57)</f>
        <v>0</v>
      </c>
    </row>
    <row r="59" spans="1:11">
      <c r="D59" s="1"/>
      <c r="E59" s="1"/>
      <c r="F59" s="1"/>
      <c r="G59" s="1"/>
      <c r="H59" s="1"/>
      <c r="I59" s="27"/>
      <c r="J59" s="27"/>
    </row>
    <row r="60" spans="1:11">
      <c r="A60" s="31" t="s">
        <v>33</v>
      </c>
      <c r="B60" s="32"/>
      <c r="C60" s="32"/>
      <c r="D60" s="1"/>
      <c r="H60" s="33" t="s">
        <v>34</v>
      </c>
      <c r="I60" s="32"/>
      <c r="J60" s="32"/>
      <c r="K60" s="32"/>
    </row>
    <row r="61" spans="1:11" ht="15">
      <c r="A61" s="34"/>
      <c r="E61" s="8"/>
      <c r="F61" s="8"/>
      <c r="G61" s="8"/>
      <c r="H61" s="35"/>
      <c r="I61" s="35"/>
      <c r="J61" s="35"/>
      <c r="K61" s="35"/>
    </row>
    <row r="62" spans="1:11" ht="15">
      <c r="A62" s="34" t="s">
        <v>35</v>
      </c>
      <c r="E62" s="8"/>
      <c r="F62" s="8"/>
      <c r="G62" s="8"/>
      <c r="H62" s="35"/>
      <c r="I62" s="35"/>
      <c r="J62" s="35"/>
      <c r="K62" s="35"/>
    </row>
    <row r="63" spans="1:11" s="34" customFormat="1">
      <c r="A63" s="363">
        <v>41218.479166666664</v>
      </c>
      <c r="B63" s="363"/>
      <c r="C63" s="364"/>
      <c r="D63" s="364"/>
      <c r="E63" s="364"/>
      <c r="F63" s="364"/>
      <c r="G63" s="364"/>
      <c r="H63" s="364"/>
      <c r="I63" s="364"/>
      <c r="J63" s="364"/>
      <c r="K63" s="8"/>
    </row>
    <row r="73" s="1" customFormat="1"/>
    <row r="74" s="1" customFormat="1"/>
    <row r="75" s="1" customFormat="1"/>
    <row r="76" s="1" customFormat="1"/>
    <row r="77" s="1" customFormat="1"/>
    <row r="78" s="1" customFormat="1"/>
    <row r="79" s="1" customFormat="1"/>
    <row r="80" s="1" customFormat="1"/>
    <row r="81" s="1" customFormat="1"/>
    <row r="82" s="1" customFormat="1"/>
    <row r="83" s="1" customFormat="1"/>
    <row r="84" s="1" customFormat="1"/>
    <row r="85" s="1" customFormat="1"/>
    <row r="86" s="1" customFormat="1"/>
    <row r="91" s="1" customFormat="1"/>
    <row r="119" s="1" customFormat="1"/>
    <row r="120" s="1" customFormat="1"/>
    <row r="121" s="1" customFormat="1"/>
    <row r="122" s="1" customFormat="1"/>
  </sheetData>
  <mergeCells count="12">
    <mergeCell ref="I25:J25"/>
    <mergeCell ref="C1:H1"/>
    <mergeCell ref="C2:H2"/>
    <mergeCell ref="C3:H3"/>
    <mergeCell ref="H6:I6"/>
    <mergeCell ref="H7:I7"/>
    <mergeCell ref="I50:J50"/>
    <mergeCell ref="I52:J52"/>
    <mergeCell ref="I53:J53"/>
    <mergeCell ref="I58:J58"/>
    <mergeCell ref="A63:B63"/>
    <mergeCell ref="C63:J63"/>
  </mergeCells>
  <printOptions horizontalCentered="1"/>
  <pageMargins left="0.19685039370078741" right="0.19685039370078741" top="0.39370078740157483" bottom="0.39370078740157483" header="0" footer="0"/>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400-000000000000}">
          <x14:formula1>
            <xm:f>Accounts!$A$4:$A$60</xm:f>
          </x14:formula1>
          <xm:sqref>K7</xm:sqref>
        </x14:dataValidation>
        <x14:dataValidation type="list" allowBlank="1" showInputMessage="1" showErrorMessage="1" xr:uid="{00000000-0002-0000-0400-000001000000}">
          <x14:formula1>
            <xm:f>'Constr. Wage Rate Calculations'!$A$19:$A$288</xm:f>
          </x14:formula1>
          <xm:sqref>B11:B24</xm:sqref>
        </x14:dataValidation>
        <x14:dataValidation type="list" allowBlank="1" showInputMessage="1" showErrorMessage="1" xr:uid="{00000000-0002-0000-0400-000002000000}">
          <x14:formula1>
            <xm:f>Personnel!$A:$A</xm:f>
          </x14:formula1>
          <xm:sqref>C11:C24</xm:sqref>
        </x14:dataValidation>
        <x14:dataValidation type="list" allowBlank="1" showInputMessage="1" showErrorMessage="1" xr:uid="{00000000-0002-0000-0400-000003000000}">
          <x14:formula1>
            <xm:f>Equipment!$A:$A</xm:f>
          </x14:formula1>
          <xm:sqref>C28:C49</xm:sqref>
        </x14:dataValidation>
      </x14:dataValidations>
    </ex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O115"/>
  <sheetViews>
    <sheetView zoomScale="120" zoomScaleNormal="120" zoomScalePageLayoutView="120" workbookViewId="0">
      <selection activeCell="D12" sqref="D12"/>
    </sheetView>
  </sheetViews>
  <sheetFormatPr baseColWidth="10" defaultColWidth="8.83203125" defaultRowHeight="11"/>
  <cols>
    <col min="1" max="1" width="13" style="1" customWidth="1"/>
    <col min="2" max="2" width="30" style="1" customWidth="1"/>
    <col min="3" max="3" width="24.5" style="1" customWidth="1"/>
    <col min="4" max="4" width="8.6640625" style="2" customWidth="1"/>
    <col min="5" max="6" width="8.33203125" style="2" customWidth="1"/>
    <col min="7" max="8" width="8.6640625" style="2" customWidth="1"/>
    <col min="9" max="9" width="9.33203125" style="2" customWidth="1"/>
    <col min="10" max="10" width="8.6640625" style="2" customWidth="1"/>
    <col min="11" max="11" width="21.6640625" style="1" customWidth="1"/>
    <col min="12" max="12" width="3.5" style="1" hidden="1" customWidth="1"/>
    <col min="13" max="16384" width="8.83203125" style="1"/>
  </cols>
  <sheetData>
    <row r="1" spans="1:13" ht="15">
      <c r="C1" s="364"/>
      <c r="D1" s="365"/>
      <c r="E1" s="365"/>
      <c r="F1" s="365"/>
      <c r="G1" s="365"/>
      <c r="H1" s="366"/>
      <c r="J1" s="2" t="s">
        <v>0</v>
      </c>
      <c r="K1" s="197"/>
      <c r="M1" s="45"/>
    </row>
    <row r="2" spans="1:13" ht="15">
      <c r="C2" s="367"/>
      <c r="D2" s="367"/>
      <c r="E2" s="367"/>
      <c r="F2" s="367"/>
      <c r="G2" s="367"/>
      <c r="H2" s="366"/>
      <c r="K2" s="41"/>
    </row>
    <row r="3" spans="1:13" ht="15">
      <c r="C3" s="368"/>
      <c r="D3" s="369"/>
      <c r="E3" s="369"/>
      <c r="F3" s="369"/>
      <c r="G3" s="369"/>
      <c r="H3" s="366"/>
    </row>
    <row r="4" spans="1:13">
      <c r="C4" s="3"/>
      <c r="D4" s="4"/>
      <c r="E4" s="4"/>
      <c r="F4" s="4"/>
      <c r="G4" s="4"/>
    </row>
    <row r="5" spans="1:13">
      <c r="C5" s="3"/>
      <c r="D5" s="4"/>
      <c r="E5" s="4"/>
      <c r="F5" s="4"/>
      <c r="G5" s="4"/>
    </row>
    <row r="6" spans="1:13" ht="12">
      <c r="B6" s="5"/>
      <c r="C6" s="6"/>
      <c r="D6" s="7"/>
      <c r="E6" s="8"/>
      <c r="F6" s="8"/>
      <c r="G6" s="1" t="s">
        <v>1</v>
      </c>
      <c r="H6" s="370"/>
      <c r="I6" s="370"/>
      <c r="J6" s="1" t="s">
        <v>2</v>
      </c>
      <c r="K6" s="47"/>
    </row>
    <row r="7" spans="1:13" ht="12">
      <c r="A7" s="1" t="s">
        <v>3</v>
      </c>
      <c r="B7" s="9"/>
      <c r="C7" s="10"/>
      <c r="D7" s="11"/>
      <c r="E7" s="8"/>
      <c r="F7" s="8"/>
      <c r="G7" s="1" t="s">
        <v>4</v>
      </c>
      <c r="H7" s="371"/>
      <c r="I7" s="371"/>
      <c r="J7" s="1" t="s">
        <v>5</v>
      </c>
      <c r="K7" s="46"/>
    </row>
    <row r="8" spans="1:13" ht="12">
      <c r="B8" s="12"/>
      <c r="C8" s="13"/>
      <c r="D8" s="14"/>
      <c r="E8" s="8"/>
      <c r="F8" s="8"/>
      <c r="G8" s="1" t="s">
        <v>6</v>
      </c>
      <c r="H8" s="187"/>
      <c r="I8" s="188"/>
      <c r="J8" s="44"/>
    </row>
    <row r="9" spans="1:13" ht="16" thickBot="1">
      <c r="B9" s="15"/>
      <c r="C9" s="16"/>
      <c r="D9" s="16"/>
      <c r="E9" s="8"/>
      <c r="F9" s="8"/>
      <c r="G9" s="8"/>
    </row>
    <row r="10" spans="1:13" s="19" customFormat="1" ht="12" thickBot="1">
      <c r="A10" s="17" t="s">
        <v>7</v>
      </c>
      <c r="B10" s="17" t="s">
        <v>8</v>
      </c>
      <c r="C10" s="17" t="s">
        <v>9</v>
      </c>
      <c r="D10" s="18" t="s">
        <v>10</v>
      </c>
      <c r="E10" s="18" t="s">
        <v>11</v>
      </c>
      <c r="F10" s="18" t="s">
        <v>12</v>
      </c>
      <c r="G10" s="180" t="s">
        <v>13</v>
      </c>
      <c r="H10" s="18" t="s">
        <v>14</v>
      </c>
      <c r="I10" s="18" t="s">
        <v>15</v>
      </c>
      <c r="J10" s="18" t="s">
        <v>16</v>
      </c>
      <c r="K10" s="18" t="s">
        <v>17</v>
      </c>
      <c r="M10" s="19" t="s">
        <v>1797</v>
      </c>
    </row>
    <row r="11" spans="1:13" ht="15" customHeight="1">
      <c r="A11" s="48"/>
      <c r="B11" s="49">
        <f>VLOOKUP($C$11:$C$25,Personnel!$A$1:$B$1234,2,FALSE)</f>
        <v>0</v>
      </c>
      <c r="C11" s="36"/>
      <c r="D11" s="184"/>
      <c r="E11" s="179">
        <f>VLOOKUP($B$11:$B$25,'Constr. Wage Rate Calculations'!$A$19:$Z$288,22,FALSE)</f>
        <v>0</v>
      </c>
      <c r="F11" s="184"/>
      <c r="G11" s="179">
        <f>VLOOKUP($B$11:$B$25,'Constr. Wage Rate Calculations'!$A$19:$Z$288,23,FALSE)</f>
        <v>0</v>
      </c>
      <c r="H11" s="184"/>
      <c r="I11" s="179">
        <f>VLOOKUP($B$11:$B$25,'Constr. Wage Rate Calculations'!$A$19:$Z$288,24,FALSE)</f>
        <v>0</v>
      </c>
      <c r="J11" s="20">
        <f>VLOOKUP($B$11:$B$25,'Constr. Wage Rate Calculations'!$A$19:$Z$288,25,FALSE)</f>
        <v>0</v>
      </c>
      <c r="K11" s="179" t="str">
        <f t="shared" ref="K11:K25" si="0">IF($D11&gt;=1,$J11+(D11*E11)+(F11*G11)+(H11*I11),IF($F11&gt;=1,$J11+(D11*E11)+(F11*G11)+(H11*I11),IF($H11&gt;=1,$J11+(D11*E11)+(F11*G11)+(H11*I11),"")))</f>
        <v/>
      </c>
    </row>
    <row r="12" spans="1:13" ht="15" customHeight="1">
      <c r="A12" s="48"/>
      <c r="B12" s="49">
        <f>VLOOKUP($C$11:$C$25,Personnel!$A$1:$B$1234,2,FALSE)</f>
        <v>0</v>
      </c>
      <c r="C12" s="36"/>
      <c r="D12" s="184"/>
      <c r="E12" s="179">
        <f>VLOOKUP($B$11:$B$25,'Constr. Wage Rate Calculations'!$A$19:$Z$288,22,FALSE)</f>
        <v>0</v>
      </c>
      <c r="F12" s="184"/>
      <c r="G12" s="179">
        <f>VLOOKUP($B$11:$B$25,'Constr. Wage Rate Calculations'!$A$19:$Z$288,23,FALSE)</f>
        <v>0</v>
      </c>
      <c r="H12" s="184"/>
      <c r="I12" s="179">
        <f>VLOOKUP($B$11:$B$25,'Constr. Wage Rate Calculations'!$A$19:$Z$288,24,FALSE)</f>
        <v>0</v>
      </c>
      <c r="J12" s="20">
        <f>VLOOKUP($B$11:$B$25,'Constr. Wage Rate Calculations'!$A$19:$Z$288,25,FALSE)</f>
        <v>0</v>
      </c>
      <c r="K12" s="179" t="str">
        <f t="shared" si="0"/>
        <v/>
      </c>
    </row>
    <row r="13" spans="1:13" ht="15" customHeight="1">
      <c r="A13" s="48"/>
      <c r="B13" s="49">
        <f>VLOOKUP($C$11:$C$25,Personnel!$A$1:$B$1234,2,FALSE)</f>
        <v>0</v>
      </c>
      <c r="C13" s="36"/>
      <c r="D13" s="184"/>
      <c r="E13" s="179">
        <f>VLOOKUP($B$11:$B$25,'Constr. Wage Rate Calculations'!$A$19:$Z$288,22,FALSE)</f>
        <v>0</v>
      </c>
      <c r="F13" s="184"/>
      <c r="G13" s="179">
        <f>VLOOKUP($B$11:$B$25,'Constr. Wage Rate Calculations'!$A$19:$Z$288,23,FALSE)</f>
        <v>0</v>
      </c>
      <c r="H13" s="184"/>
      <c r="I13" s="179">
        <f>VLOOKUP($B$11:$B$25,'Constr. Wage Rate Calculations'!$A$19:$Z$288,24,FALSE)</f>
        <v>0</v>
      </c>
      <c r="J13" s="20">
        <f>VLOOKUP($B$11:$B$25,'Constr. Wage Rate Calculations'!$A$19:$Z$288,25,FALSE)</f>
        <v>0</v>
      </c>
      <c r="K13" s="179" t="str">
        <f t="shared" si="0"/>
        <v/>
      </c>
    </row>
    <row r="14" spans="1:13" ht="15" customHeight="1">
      <c r="A14" s="48"/>
      <c r="B14" s="49">
        <f>VLOOKUP($C$11:$C$25,Personnel!$A$1:$B$1234,2,FALSE)</f>
        <v>0</v>
      </c>
      <c r="C14" s="36"/>
      <c r="D14" s="184"/>
      <c r="E14" s="179">
        <f>VLOOKUP($B$11:$B$25,'Constr. Wage Rate Calculations'!$A$19:$Z$288,22,FALSE)</f>
        <v>0</v>
      </c>
      <c r="F14" s="184"/>
      <c r="G14" s="179">
        <f>VLOOKUP($B$11:$B$25,'Constr. Wage Rate Calculations'!$A$19:$Z$288,23,FALSE)</f>
        <v>0</v>
      </c>
      <c r="H14" s="184"/>
      <c r="I14" s="179">
        <f>VLOOKUP($B$11:$B$25,'Constr. Wage Rate Calculations'!$A$19:$Z$288,24,FALSE)</f>
        <v>0</v>
      </c>
      <c r="J14" s="20">
        <f>VLOOKUP($B$11:$B$25,'Constr. Wage Rate Calculations'!$A$19:$Z$288,25,FALSE)</f>
        <v>0</v>
      </c>
      <c r="K14" s="179" t="str">
        <f t="shared" si="0"/>
        <v/>
      </c>
    </row>
    <row r="15" spans="1:13" ht="15" customHeight="1">
      <c r="A15" s="48"/>
      <c r="B15" s="49">
        <f>VLOOKUP($C$11:$C$25,Personnel!$A$1:$B$1234,2,FALSE)</f>
        <v>0</v>
      </c>
      <c r="C15" s="36"/>
      <c r="D15" s="184"/>
      <c r="E15" s="179">
        <f>VLOOKUP($B$11:$B$25,'Constr. Wage Rate Calculations'!$A$19:$Z$288,22,FALSE)</f>
        <v>0</v>
      </c>
      <c r="F15" s="184"/>
      <c r="G15" s="179">
        <f>VLOOKUP($B$11:$B$25,'Constr. Wage Rate Calculations'!$A$19:$Z$288,23,FALSE)</f>
        <v>0</v>
      </c>
      <c r="H15" s="184"/>
      <c r="I15" s="179">
        <f>VLOOKUP($B$11:$B$25,'Constr. Wage Rate Calculations'!$A$19:$Z$288,24,FALSE)</f>
        <v>0</v>
      </c>
      <c r="J15" s="20">
        <f>VLOOKUP($B$11:$B$25,'Constr. Wage Rate Calculations'!$A$19:$Z$288,25,FALSE)</f>
        <v>0</v>
      </c>
      <c r="K15" s="179" t="str">
        <f t="shared" si="0"/>
        <v/>
      </c>
    </row>
    <row r="16" spans="1:13" ht="15" customHeight="1">
      <c r="A16" s="48"/>
      <c r="B16" s="49">
        <f>VLOOKUP($C$11:$C$25,Personnel!$A$1:$B$1234,2,FALSE)</f>
        <v>0</v>
      </c>
      <c r="C16" s="36"/>
      <c r="D16" s="184"/>
      <c r="E16" s="179">
        <f>VLOOKUP($B$11:$B$25,'Constr. Wage Rate Calculations'!$A$19:$Z$288,22,FALSE)</f>
        <v>0</v>
      </c>
      <c r="F16" s="184"/>
      <c r="G16" s="179">
        <f>VLOOKUP($B$11:$B$25,'Constr. Wage Rate Calculations'!$A$19:$Z$288,23,FALSE)</f>
        <v>0</v>
      </c>
      <c r="H16" s="184"/>
      <c r="I16" s="179">
        <f>VLOOKUP($B$11:$B$25,'Constr. Wage Rate Calculations'!$A$19:$Z$288,24,FALSE)</f>
        <v>0</v>
      </c>
      <c r="J16" s="20">
        <f>VLOOKUP($B$11:$B$25,'Constr. Wage Rate Calculations'!$A$19:$Z$288,25,FALSE)</f>
        <v>0</v>
      </c>
      <c r="K16" s="179" t="str">
        <f t="shared" si="0"/>
        <v/>
      </c>
    </row>
    <row r="17" spans="1:15" ht="15" customHeight="1">
      <c r="A17" s="48"/>
      <c r="B17" s="49">
        <f>VLOOKUP($C$11:$C$25,Personnel!$A$1:$B$1234,2,FALSE)</f>
        <v>0</v>
      </c>
      <c r="C17" s="36"/>
      <c r="D17" s="184"/>
      <c r="E17" s="179">
        <f>VLOOKUP($B$11:$B$25,'Constr. Wage Rate Calculations'!$A$19:$Z$288,22,FALSE)</f>
        <v>0</v>
      </c>
      <c r="F17" s="184"/>
      <c r="G17" s="179">
        <f>VLOOKUP($B$11:$B$25,'Constr. Wage Rate Calculations'!$A$19:$Z$288,23,FALSE)</f>
        <v>0</v>
      </c>
      <c r="H17" s="184"/>
      <c r="I17" s="179">
        <f>VLOOKUP($B$11:$B$25,'Constr. Wage Rate Calculations'!$A$19:$Z$288,24,FALSE)</f>
        <v>0</v>
      </c>
      <c r="J17" s="20">
        <f>VLOOKUP($B$11:$B$25,'Constr. Wage Rate Calculations'!$A$19:$Z$288,25,FALSE)</f>
        <v>0</v>
      </c>
      <c r="K17" s="179" t="str">
        <f t="shared" si="0"/>
        <v/>
      </c>
    </row>
    <row r="18" spans="1:15" ht="15" customHeight="1">
      <c r="A18" s="48"/>
      <c r="B18" s="49">
        <f>VLOOKUP($C$11:$C$25,Personnel!$A$1:$B$1234,2,FALSE)</f>
        <v>0</v>
      </c>
      <c r="C18" s="36"/>
      <c r="D18" s="184"/>
      <c r="E18" s="179">
        <f>VLOOKUP($B$11:$B$25,'Constr. Wage Rate Calculations'!$A$19:$Z$288,22,FALSE)</f>
        <v>0</v>
      </c>
      <c r="F18" s="184"/>
      <c r="G18" s="179">
        <f>VLOOKUP($B$11:$B$25,'Constr. Wage Rate Calculations'!$A$19:$Z$288,23,FALSE)</f>
        <v>0</v>
      </c>
      <c r="H18" s="184"/>
      <c r="I18" s="179">
        <f>VLOOKUP($B$11:$B$25,'Constr. Wage Rate Calculations'!$A$19:$Z$288,24,FALSE)</f>
        <v>0</v>
      </c>
      <c r="J18" s="20">
        <f>VLOOKUP($B$11:$B$25,'Constr. Wage Rate Calculations'!$A$19:$Z$288,25,FALSE)</f>
        <v>0</v>
      </c>
      <c r="K18" s="179" t="str">
        <f t="shared" si="0"/>
        <v/>
      </c>
    </row>
    <row r="19" spans="1:15" ht="15" customHeight="1">
      <c r="A19" s="48"/>
      <c r="B19" s="49">
        <f>VLOOKUP($C$11:$C$25,Personnel!$A$1:$B$1234,2,FALSE)</f>
        <v>0</v>
      </c>
      <c r="C19" s="36"/>
      <c r="D19" s="184"/>
      <c r="E19" s="179">
        <f>VLOOKUP($B$11:$B$25,'Constr. Wage Rate Calculations'!$A$19:$Z$288,22,FALSE)</f>
        <v>0</v>
      </c>
      <c r="F19" s="184"/>
      <c r="G19" s="179">
        <f>VLOOKUP($B$11:$B$25,'Constr. Wage Rate Calculations'!$A$19:$Z$288,23,FALSE)</f>
        <v>0</v>
      </c>
      <c r="H19" s="184"/>
      <c r="I19" s="179">
        <f>VLOOKUP($B$11:$B$25,'Constr. Wage Rate Calculations'!$A$19:$Z$288,24,FALSE)</f>
        <v>0</v>
      </c>
      <c r="J19" s="20">
        <f>VLOOKUP($B$11:$B$25,'Constr. Wage Rate Calculations'!$A$19:$Z$288,25,FALSE)</f>
        <v>0</v>
      </c>
      <c r="K19" s="179" t="str">
        <f t="shared" si="0"/>
        <v/>
      </c>
    </row>
    <row r="20" spans="1:15" ht="15" customHeight="1">
      <c r="A20" s="48"/>
      <c r="B20" s="49">
        <f>VLOOKUP($C$11:$C$25,Personnel!$A$1:$B$1234,2,FALSE)</f>
        <v>0</v>
      </c>
      <c r="C20" s="36"/>
      <c r="D20" s="184"/>
      <c r="E20" s="179">
        <f>VLOOKUP($B$11:$B$25,'Constr. Wage Rate Calculations'!$A$19:$Z$288,22,FALSE)</f>
        <v>0</v>
      </c>
      <c r="F20" s="184"/>
      <c r="G20" s="179">
        <f>VLOOKUP($B$11:$B$25,'Constr. Wage Rate Calculations'!$A$19:$Z$288,23,FALSE)</f>
        <v>0</v>
      </c>
      <c r="H20" s="184"/>
      <c r="I20" s="179">
        <f>VLOOKUP($B$11:$B$25,'Constr. Wage Rate Calculations'!$A$19:$Z$288,24,FALSE)</f>
        <v>0</v>
      </c>
      <c r="J20" s="20">
        <f>VLOOKUP($B$11:$B$25,'Constr. Wage Rate Calculations'!$A$19:$Z$288,25,FALSE)</f>
        <v>0</v>
      </c>
      <c r="K20" s="179" t="str">
        <f t="shared" si="0"/>
        <v/>
      </c>
    </row>
    <row r="21" spans="1:15" ht="15" customHeight="1">
      <c r="A21" s="48"/>
      <c r="B21" s="49">
        <f>VLOOKUP($C$11:$C$25,Personnel!$A$1:$B$1234,2,FALSE)</f>
        <v>0</v>
      </c>
      <c r="C21" s="36"/>
      <c r="D21" s="184"/>
      <c r="E21" s="179">
        <f>VLOOKUP($B$11:$B$25,'Constr. Wage Rate Calculations'!$A$19:$Z$288,22,FALSE)</f>
        <v>0</v>
      </c>
      <c r="F21" s="184"/>
      <c r="G21" s="179">
        <f>VLOOKUP($B$11:$B$25,'Constr. Wage Rate Calculations'!$A$19:$Z$288,23,FALSE)</f>
        <v>0</v>
      </c>
      <c r="H21" s="184"/>
      <c r="I21" s="179">
        <f>VLOOKUP($B$11:$B$25,'Constr. Wage Rate Calculations'!$A$19:$Z$288,24,FALSE)</f>
        <v>0</v>
      </c>
      <c r="J21" s="20">
        <f>VLOOKUP($B$11:$B$25,'Constr. Wage Rate Calculations'!$A$19:$Z$288,25,FALSE)</f>
        <v>0</v>
      </c>
      <c r="K21" s="179" t="str">
        <f t="shared" si="0"/>
        <v/>
      </c>
    </row>
    <row r="22" spans="1:15" ht="15" customHeight="1">
      <c r="A22" s="48"/>
      <c r="B22" s="49">
        <f>VLOOKUP($C$11:$C$25,Personnel!$A$1:$B$1234,2,FALSE)</f>
        <v>0</v>
      </c>
      <c r="C22" s="36"/>
      <c r="D22" s="184"/>
      <c r="E22" s="179">
        <f>VLOOKUP($B$11:$B$25,'Constr. Wage Rate Calculations'!$A$19:$Z$288,22,FALSE)</f>
        <v>0</v>
      </c>
      <c r="F22" s="184"/>
      <c r="G22" s="179">
        <f>VLOOKUP($B$11:$B$25,'Constr. Wage Rate Calculations'!$A$19:$Z$288,23,FALSE)</f>
        <v>0</v>
      </c>
      <c r="H22" s="184"/>
      <c r="I22" s="179">
        <f>VLOOKUP($B$11:$B$25,'Constr. Wage Rate Calculations'!$A$19:$Z$288,24,FALSE)</f>
        <v>0</v>
      </c>
      <c r="J22" s="20">
        <f>VLOOKUP($B$11:$B$25,'Constr. Wage Rate Calculations'!$A$19:$Z$288,25,FALSE)</f>
        <v>0</v>
      </c>
      <c r="K22" s="179" t="str">
        <f>IF($D22&gt;=1,$J22+(D22*E22)+(F22*G22)+(H22*I22),IF($F22&gt;=1,$J22+(D22*E22)+(F22*G22)+(H22*I22),IF($H22&gt;=1,$J22+(D22*E22)+(F22*G22)+(H22*I22),"")))</f>
        <v/>
      </c>
    </row>
    <row r="23" spans="1:15" ht="15" customHeight="1">
      <c r="A23" s="48"/>
      <c r="B23" s="49">
        <f>VLOOKUP($C$11:$C$25,Personnel!$A$1:$B$1234,2,FALSE)</f>
        <v>0</v>
      </c>
      <c r="C23" s="36"/>
      <c r="D23" s="184"/>
      <c r="E23" s="179">
        <f>VLOOKUP($B$11:$B$25,'Constr. Wage Rate Calculations'!$A$19:$Z$288,22,FALSE)</f>
        <v>0</v>
      </c>
      <c r="F23" s="184"/>
      <c r="G23" s="179">
        <f>VLOOKUP($B$11:$B$25,'Constr. Wage Rate Calculations'!$A$19:$Z$288,23,FALSE)</f>
        <v>0</v>
      </c>
      <c r="H23" s="184"/>
      <c r="I23" s="179">
        <f>VLOOKUP($B$11:$B$25,'Constr. Wage Rate Calculations'!$A$19:$Z$288,24,FALSE)</f>
        <v>0</v>
      </c>
      <c r="J23" s="20">
        <f>VLOOKUP($B$11:$B$25,'Constr. Wage Rate Calculations'!$A$19:$Z$288,25,FALSE)</f>
        <v>0</v>
      </c>
      <c r="K23" s="179" t="str">
        <f t="shared" si="0"/>
        <v/>
      </c>
    </row>
    <row r="24" spans="1:15" ht="15" customHeight="1">
      <c r="A24" s="48"/>
      <c r="B24" s="49">
        <f>VLOOKUP($C$11:$C$25,Personnel!$A$1:$B$1234,2,FALSE)</f>
        <v>0</v>
      </c>
      <c r="C24" s="36"/>
      <c r="D24" s="184"/>
      <c r="E24" s="179">
        <f>VLOOKUP($B$11:$B$25,'Constr. Wage Rate Calculations'!$A$19:$Z$288,22,FALSE)</f>
        <v>0</v>
      </c>
      <c r="F24" s="184"/>
      <c r="G24" s="179">
        <f>VLOOKUP($B$11:$B$25,'Constr. Wage Rate Calculations'!$A$19:$Z$288,23,FALSE)</f>
        <v>0</v>
      </c>
      <c r="H24" s="184"/>
      <c r="I24" s="179">
        <f>VLOOKUP($B$11:$B$25,'Constr. Wage Rate Calculations'!$A$19:$Z$288,24,FALSE)</f>
        <v>0</v>
      </c>
      <c r="J24" s="20">
        <f>VLOOKUP($B$11:$B$25,'Constr. Wage Rate Calculations'!$A$19:$Z$288,25,FALSE)</f>
        <v>0</v>
      </c>
      <c r="K24" s="179" t="str">
        <f t="shared" si="0"/>
        <v/>
      </c>
    </row>
    <row r="25" spans="1:15" ht="15" customHeight="1" thickBot="1">
      <c r="A25" s="48"/>
      <c r="B25" s="49">
        <f>VLOOKUP($C$11:$C$25,Personnel!$A$1:$B$1234,2,FALSE)</f>
        <v>0</v>
      </c>
      <c r="C25" s="36"/>
      <c r="D25" s="184"/>
      <c r="E25" s="179">
        <f>VLOOKUP($B$11:$B$25,'Constr. Wage Rate Calculations'!$A$19:$Z$288,22,FALSE)</f>
        <v>0</v>
      </c>
      <c r="F25" s="184"/>
      <c r="G25" s="179">
        <f>VLOOKUP($B$11:$B$25,'Constr. Wage Rate Calculations'!$A$19:$Z$288,23,FALSE)</f>
        <v>0</v>
      </c>
      <c r="H25" s="184"/>
      <c r="I25" s="179">
        <f>VLOOKUP($B$11:$B$25,'Constr. Wage Rate Calculations'!$A$19:$Z$288,24,FALSE)</f>
        <v>0</v>
      </c>
      <c r="J25" s="20">
        <f>VLOOKUP($B$11:$B$25,'Constr. Wage Rate Calculations'!$A$19:$Z$288,25,FALSE)</f>
        <v>0</v>
      </c>
      <c r="K25" s="179" t="str">
        <f t="shared" si="0"/>
        <v/>
      </c>
      <c r="M25" s="1">
        <f>SUM(M11:M24)</f>
        <v>0</v>
      </c>
    </row>
    <row r="26" spans="1:15" ht="15" customHeight="1" thickBot="1">
      <c r="A26"/>
      <c r="B26"/>
      <c r="C26"/>
      <c r="D26" s="21"/>
      <c r="E26" s="21"/>
      <c r="F26" s="21"/>
      <c r="G26" s="21"/>
      <c r="H26" s="21"/>
      <c r="I26" s="360" t="s">
        <v>18</v>
      </c>
      <c r="J26" s="361"/>
      <c r="K26" s="183">
        <f>SUM(K11:K25)</f>
        <v>0</v>
      </c>
      <c r="M26" s="1">
        <f>SUMIFS(D11:D25,D11:D25,"&lt;3",D11:D25,"&lt;5")</f>
        <v>0</v>
      </c>
      <c r="N26" s="1">
        <f>SUMIFS(D11:D25,D11:D25,"&gt;3",D11:D25,"&gt;5")</f>
        <v>0</v>
      </c>
      <c r="O26" s="1">
        <f>SUM(F11:F25,H11:H25,M26,N26)-M25</f>
        <v>0</v>
      </c>
    </row>
    <row r="27" spans="1:15" ht="10" customHeight="1" thickBot="1"/>
    <row r="28" spans="1:15" s="19" customFormat="1" ht="15" customHeight="1" thickBot="1">
      <c r="A28" s="22" t="s">
        <v>19</v>
      </c>
      <c r="B28" s="23" t="s">
        <v>20</v>
      </c>
      <c r="C28" s="23"/>
      <c r="D28" s="23"/>
      <c r="E28" s="23"/>
      <c r="F28" s="23"/>
      <c r="G28" s="23"/>
      <c r="H28" s="18" t="s">
        <v>21</v>
      </c>
      <c r="I28" s="18" t="s">
        <v>22</v>
      </c>
      <c r="J28" s="18" t="s">
        <v>23</v>
      </c>
      <c r="K28" s="18" t="s">
        <v>17</v>
      </c>
    </row>
    <row r="29" spans="1:15" ht="15" customHeight="1">
      <c r="A29" s="43"/>
      <c r="B29" s="49">
        <f>VLOOKUP($C$29:$C$42,Equipment!$A$1:$B$2322,2,FALSE)</f>
        <v>0</v>
      </c>
      <c r="C29" s="24"/>
      <c r="D29" s="24"/>
      <c r="E29" s="24"/>
      <c r="F29" s="24"/>
      <c r="G29" s="24"/>
      <c r="H29" s="185"/>
      <c r="I29" s="184"/>
      <c r="J29" s="42">
        <f>VLOOKUP($B$29:$B$42,'Alberta Equip. Rates Year 3'!$B$13:$K$314,10,FALSE)</f>
        <v>0</v>
      </c>
      <c r="K29" s="181">
        <f>(H29+I29)*J29</f>
        <v>0</v>
      </c>
    </row>
    <row r="30" spans="1:15" ht="15" customHeight="1">
      <c r="A30" s="43"/>
      <c r="B30" s="49">
        <f>VLOOKUP($C$29:$C$42,Equipment!$A$1:$B$2322,2,FALSE)</f>
        <v>0</v>
      </c>
      <c r="C30" s="24"/>
      <c r="D30" s="24"/>
      <c r="E30" s="24"/>
      <c r="F30" s="24"/>
      <c r="G30" s="24"/>
      <c r="H30" s="185"/>
      <c r="I30" s="184"/>
      <c r="J30" s="42">
        <f>VLOOKUP($B$29:$B$42,'Alberta Equip. Rates Year 3'!$B$13:$K$314,10,FALSE)</f>
        <v>0</v>
      </c>
      <c r="K30" s="181">
        <f t="shared" ref="K30:K42" si="1">(H30+I30)*J30</f>
        <v>0</v>
      </c>
    </row>
    <row r="31" spans="1:15" ht="15" customHeight="1">
      <c r="A31" s="43"/>
      <c r="B31" s="49">
        <f>VLOOKUP($C$29:$C$42,Equipment!$A$1:$B$2322,2,FALSE)</f>
        <v>0</v>
      </c>
      <c r="C31" s="24"/>
      <c r="D31" s="24"/>
      <c r="E31" s="24"/>
      <c r="F31" s="24"/>
      <c r="G31" s="24"/>
      <c r="H31" s="185"/>
      <c r="I31" s="184"/>
      <c r="J31" s="42">
        <f>VLOOKUP($B$29:$B$42,'Alberta Equip. Rates Year 3'!$B$13:$K$314,10,FALSE)</f>
        <v>0</v>
      </c>
      <c r="K31" s="181">
        <f t="shared" si="1"/>
        <v>0</v>
      </c>
    </row>
    <row r="32" spans="1:15" ht="15" customHeight="1">
      <c r="A32" s="43"/>
      <c r="B32" s="49">
        <f>VLOOKUP($C$29:$C$42,Equipment!$A$1:$B$2322,2,FALSE)</f>
        <v>0</v>
      </c>
      <c r="C32" s="24"/>
      <c r="D32" s="24"/>
      <c r="E32" s="24"/>
      <c r="F32" s="24"/>
      <c r="G32" s="24"/>
      <c r="H32" s="185"/>
      <c r="I32" s="184"/>
      <c r="J32" s="42">
        <f>VLOOKUP($B$29:$B$42,'Alberta Equip. Rates Year 3'!$B$13:$K$314,10,FALSE)</f>
        <v>0</v>
      </c>
      <c r="K32" s="181">
        <f t="shared" si="1"/>
        <v>0</v>
      </c>
    </row>
    <row r="33" spans="1:11" ht="15" customHeight="1">
      <c r="A33" s="43"/>
      <c r="B33" s="49">
        <f>VLOOKUP($C$29:$C$42,Equipment!$A$1:$B$2322,2,FALSE)</f>
        <v>0</v>
      </c>
      <c r="C33" s="24"/>
      <c r="D33" s="24"/>
      <c r="E33" s="24"/>
      <c r="F33" s="24"/>
      <c r="G33" s="24"/>
      <c r="H33" s="185"/>
      <c r="I33" s="184"/>
      <c r="J33" s="42">
        <f>VLOOKUP($B$29:$B$42,'Alberta Equip. Rates Year 3'!$B$13:$K$314,10,FALSE)</f>
        <v>0</v>
      </c>
      <c r="K33" s="181">
        <f t="shared" si="1"/>
        <v>0</v>
      </c>
    </row>
    <row r="34" spans="1:11" ht="15" customHeight="1">
      <c r="A34" s="43"/>
      <c r="B34" s="49">
        <f>VLOOKUP($C$29:$C$42,Equipment!$A$1:$B$2322,2,FALSE)</f>
        <v>0</v>
      </c>
      <c r="C34" s="24"/>
      <c r="D34" s="24"/>
      <c r="E34" s="24"/>
      <c r="F34" s="24"/>
      <c r="G34" s="24"/>
      <c r="H34" s="185"/>
      <c r="I34" s="184"/>
      <c r="J34" s="42">
        <f>VLOOKUP($B$29:$B$42,'Alberta Equip. Rates Year 3'!$B$13:$K$314,10,FALSE)</f>
        <v>0</v>
      </c>
      <c r="K34" s="181">
        <f t="shared" si="1"/>
        <v>0</v>
      </c>
    </row>
    <row r="35" spans="1:11" ht="15" customHeight="1">
      <c r="A35" s="43"/>
      <c r="B35" s="49">
        <f>VLOOKUP($C$29:$C$42,Equipment!$A$1:$B$2322,2,FALSE)</f>
        <v>0</v>
      </c>
      <c r="C35" s="24"/>
      <c r="D35" s="24"/>
      <c r="E35" s="24"/>
      <c r="F35" s="24"/>
      <c r="G35" s="24"/>
      <c r="H35" s="185"/>
      <c r="I35" s="184"/>
      <c r="J35" s="42">
        <f>VLOOKUP($B$29:$B$42,'Alberta Equip. Rates Year 3'!$B$13:$K$314,10,FALSE)</f>
        <v>0</v>
      </c>
      <c r="K35" s="181">
        <f t="shared" si="1"/>
        <v>0</v>
      </c>
    </row>
    <row r="36" spans="1:11" ht="15" customHeight="1">
      <c r="A36" s="43"/>
      <c r="B36" s="49">
        <f>VLOOKUP($C$29:$C$42,Equipment!$A$1:$B$2322,2,FALSE)</f>
        <v>0</v>
      </c>
      <c r="C36" s="24"/>
      <c r="D36" s="24"/>
      <c r="E36" s="24"/>
      <c r="F36" s="24"/>
      <c r="G36" s="24"/>
      <c r="H36" s="185"/>
      <c r="I36" s="184"/>
      <c r="J36" s="42">
        <f>VLOOKUP($B$29:$B$42,'Alberta Equip. Rates Year 3'!$B$13:$K$314,10,FALSE)</f>
        <v>0</v>
      </c>
      <c r="K36" s="181">
        <f t="shared" si="1"/>
        <v>0</v>
      </c>
    </row>
    <row r="37" spans="1:11" ht="15" customHeight="1">
      <c r="A37" s="43"/>
      <c r="B37" s="49">
        <f>VLOOKUP($C$29:$C$42,Equipment!$A$1:$B$2322,2,FALSE)</f>
        <v>0</v>
      </c>
      <c r="C37" s="24"/>
      <c r="D37" s="24"/>
      <c r="E37" s="24"/>
      <c r="F37" s="24"/>
      <c r="G37" s="24"/>
      <c r="H37" s="185"/>
      <c r="I37" s="184"/>
      <c r="J37" s="42">
        <f>VLOOKUP($B$29:$B$42,'Alberta Equip. Rates Year 3'!$B$13:$K$314,10,FALSE)</f>
        <v>0</v>
      </c>
      <c r="K37" s="181">
        <f t="shared" si="1"/>
        <v>0</v>
      </c>
    </row>
    <row r="38" spans="1:11" ht="15" customHeight="1">
      <c r="A38" s="43"/>
      <c r="B38" s="49">
        <f>VLOOKUP($C$29:$C$42,Equipment!$A$1:$B$2322,2,FALSE)</f>
        <v>0</v>
      </c>
      <c r="C38" s="24"/>
      <c r="D38" s="24"/>
      <c r="E38" s="24"/>
      <c r="F38" s="24"/>
      <c r="G38" s="24"/>
      <c r="H38" s="185"/>
      <c r="I38" s="184"/>
      <c r="J38" s="42">
        <f>VLOOKUP($B$29:$B$42,'Alberta Equip. Rates Year 3'!$B$13:$K$314,10,FALSE)</f>
        <v>0</v>
      </c>
      <c r="K38" s="181">
        <f t="shared" si="1"/>
        <v>0</v>
      </c>
    </row>
    <row r="39" spans="1:11" ht="15" customHeight="1">
      <c r="A39" s="43"/>
      <c r="B39" s="49">
        <f>VLOOKUP($C$29:$C$42,Equipment!$A$1:$B$2322,2,FALSE)</f>
        <v>0</v>
      </c>
      <c r="C39" s="24"/>
      <c r="D39" s="24"/>
      <c r="E39" s="24"/>
      <c r="F39" s="24"/>
      <c r="G39" s="24"/>
      <c r="H39" s="185"/>
      <c r="I39" s="184"/>
      <c r="J39" s="42">
        <f>VLOOKUP($B$29:$B$42,'Alberta Equip. Rates Year 3'!$B$13:$K$314,10,FALSE)</f>
        <v>0</v>
      </c>
      <c r="K39" s="181">
        <f>(H39+I39)*J39</f>
        <v>0</v>
      </c>
    </row>
    <row r="40" spans="1:11" ht="15" customHeight="1">
      <c r="A40" s="43"/>
      <c r="B40" s="49">
        <f>VLOOKUP($C$29:$C$42,Equipment!$A$1:$B$2322,2,FALSE)</f>
        <v>0</v>
      </c>
      <c r="C40" s="24"/>
      <c r="D40" s="24"/>
      <c r="E40" s="24"/>
      <c r="F40" s="24"/>
      <c r="G40" s="24"/>
      <c r="H40" s="185"/>
      <c r="I40" s="184"/>
      <c r="J40" s="42">
        <f>VLOOKUP($B$29:$B$42,'Alberta Equip. Rates Year 3'!$B$13:$K$314,10,FALSE)</f>
        <v>0</v>
      </c>
      <c r="K40" s="181">
        <f t="shared" si="1"/>
        <v>0</v>
      </c>
    </row>
    <row r="41" spans="1:11" ht="15" customHeight="1">
      <c r="A41" s="43"/>
      <c r="B41" s="49">
        <f>VLOOKUP($C$29:$C$42,Equipment!$A$1:$B$2322,2,FALSE)</f>
        <v>0</v>
      </c>
      <c r="C41" s="24"/>
      <c r="D41" s="24"/>
      <c r="E41" s="24"/>
      <c r="F41" s="24"/>
      <c r="G41" s="24"/>
      <c r="H41" s="185"/>
      <c r="I41" s="184"/>
      <c r="J41" s="42">
        <f>VLOOKUP($B$29:$B$42,'Alberta Equip. Rates Year 3'!$B$13:$K$314,10,FALSE)</f>
        <v>0</v>
      </c>
      <c r="K41" s="181">
        <f t="shared" si="1"/>
        <v>0</v>
      </c>
    </row>
    <row r="42" spans="1:11" ht="15" customHeight="1" thickBot="1">
      <c r="A42" s="43"/>
      <c r="B42" s="49">
        <f>VLOOKUP($C$29:$C$42,Equipment!$A$1:$B$2322,2,FALSE)</f>
        <v>0</v>
      </c>
      <c r="C42" s="24"/>
      <c r="D42" s="24"/>
      <c r="E42" s="24"/>
      <c r="F42" s="24"/>
      <c r="G42" s="24"/>
      <c r="H42" s="185"/>
      <c r="I42" s="184"/>
      <c r="J42" s="42">
        <f>VLOOKUP($B$29:$B$42,'Alberta Equip. Rates Year 3'!$B$13:$K$314,10,FALSE)</f>
        <v>0</v>
      </c>
      <c r="K42" s="181">
        <f t="shared" si="1"/>
        <v>0</v>
      </c>
    </row>
    <row r="43" spans="1:11" ht="12" thickBot="1">
      <c r="A43" s="25"/>
      <c r="B43" s="25"/>
      <c r="C43" s="25"/>
      <c r="D43" s="21"/>
      <c r="E43" s="21"/>
      <c r="F43" s="21"/>
      <c r="G43" s="21"/>
      <c r="H43" s="21"/>
      <c r="I43" s="360" t="s">
        <v>24</v>
      </c>
      <c r="J43" s="361"/>
      <c r="K43" s="182">
        <f>SUM(K29:K42)</f>
        <v>0</v>
      </c>
    </row>
    <row r="44" spans="1:11" ht="12" thickBot="1">
      <c r="A44" s="26"/>
      <c r="D44" s="26"/>
      <c r="I44" s="27"/>
      <c r="J44" s="27"/>
      <c r="K44" s="28"/>
    </row>
    <row r="45" spans="1:11">
      <c r="A45" s="1" t="s">
        <v>25</v>
      </c>
      <c r="B45" s="29"/>
      <c r="D45" s="1"/>
      <c r="E45" s="1"/>
      <c r="F45" s="1"/>
      <c r="G45" s="1"/>
      <c r="H45" s="1"/>
      <c r="I45" s="362" t="s">
        <v>26</v>
      </c>
      <c r="J45" s="362"/>
      <c r="K45" s="37">
        <f>K26</f>
        <v>0</v>
      </c>
    </row>
    <row r="46" spans="1:11">
      <c r="D46" s="1"/>
      <c r="E46" s="1"/>
      <c r="F46" s="1"/>
      <c r="G46" s="1"/>
      <c r="H46" s="1"/>
      <c r="I46" s="362" t="s">
        <v>27</v>
      </c>
      <c r="J46" s="362"/>
      <c r="K46" s="38">
        <f>K43</f>
        <v>0</v>
      </c>
    </row>
    <row r="47" spans="1:11">
      <c r="D47" s="1"/>
      <c r="E47" s="1"/>
      <c r="F47" s="1"/>
      <c r="G47" s="1"/>
      <c r="H47" s="1"/>
      <c r="I47" s="27" t="s">
        <v>28</v>
      </c>
      <c r="J47" s="27"/>
      <c r="K47" s="38">
        <f>(O26)*14.15</f>
        <v>0</v>
      </c>
    </row>
    <row r="48" spans="1:11">
      <c r="D48" s="1"/>
      <c r="E48" s="1"/>
      <c r="F48" s="1"/>
      <c r="G48" s="1"/>
      <c r="H48" s="1"/>
      <c r="I48" s="30" t="s">
        <v>29</v>
      </c>
      <c r="J48" s="30"/>
      <c r="K48" s="39"/>
    </row>
    <row r="49" spans="1:11">
      <c r="D49" s="1"/>
      <c r="E49" s="1"/>
      <c r="F49" s="1"/>
      <c r="G49" s="1"/>
      <c r="H49" s="1"/>
      <c r="I49" s="30" t="s">
        <v>30</v>
      </c>
      <c r="J49" s="30"/>
      <c r="K49" s="39"/>
    </row>
    <row r="50" spans="1:11">
      <c r="D50" s="1"/>
      <c r="E50" s="1"/>
      <c r="F50" s="1"/>
      <c r="G50" s="1"/>
      <c r="H50" s="1"/>
      <c r="I50" s="30" t="s">
        <v>31</v>
      </c>
      <c r="J50" s="30"/>
      <c r="K50" s="39"/>
    </row>
    <row r="51" spans="1:11" ht="12" thickBot="1">
      <c r="D51" s="1"/>
      <c r="E51" s="1"/>
      <c r="F51" s="1"/>
      <c r="G51" s="1"/>
      <c r="H51" s="1"/>
      <c r="I51" s="362" t="s">
        <v>32</v>
      </c>
      <c r="J51" s="362"/>
      <c r="K51" s="40">
        <f>SUM(K45:K50)</f>
        <v>0</v>
      </c>
    </row>
    <row r="52" spans="1:11">
      <c r="D52" s="1"/>
      <c r="E52" s="1"/>
      <c r="F52" s="1"/>
      <c r="G52" s="1"/>
      <c r="H52" s="1"/>
      <c r="I52" s="27"/>
      <c r="J52" s="27"/>
    </row>
    <row r="53" spans="1:11">
      <c r="A53" s="31" t="s">
        <v>33</v>
      </c>
      <c r="B53" s="32"/>
      <c r="C53" s="32"/>
      <c r="D53" s="1"/>
      <c r="H53" s="33" t="s">
        <v>34</v>
      </c>
      <c r="I53" s="32"/>
      <c r="J53" s="32"/>
      <c r="K53" s="32"/>
    </row>
    <row r="54" spans="1:11" ht="15">
      <c r="A54" s="34"/>
      <c r="E54" s="8"/>
      <c r="F54" s="8"/>
      <c r="G54" s="8"/>
      <c r="H54" s="35"/>
      <c r="I54" s="35"/>
      <c r="J54" s="35"/>
      <c r="K54" s="35"/>
    </row>
    <row r="55" spans="1:11" ht="15">
      <c r="A55" s="34" t="s">
        <v>35</v>
      </c>
      <c r="E55" s="8"/>
      <c r="F55" s="8"/>
      <c r="G55" s="8"/>
      <c r="H55" s="35"/>
      <c r="I55" s="35"/>
      <c r="J55" s="35"/>
      <c r="K55" s="35"/>
    </row>
    <row r="56" spans="1:11" s="34" customFormat="1">
      <c r="A56" s="363">
        <v>41218.479166666664</v>
      </c>
      <c r="B56" s="363"/>
      <c r="C56" s="364"/>
      <c r="D56" s="364"/>
      <c r="E56" s="364"/>
      <c r="F56" s="364"/>
      <c r="G56" s="364"/>
      <c r="H56" s="364"/>
      <c r="I56" s="364"/>
      <c r="J56" s="364"/>
      <c r="K56" s="8"/>
    </row>
    <row r="66" s="1" customFormat="1"/>
    <row r="67" s="1" customFormat="1"/>
    <row r="68" s="1" customFormat="1"/>
    <row r="69" s="1" customFormat="1"/>
    <row r="70" s="1" customFormat="1"/>
    <row r="71" s="1" customFormat="1"/>
    <row r="72" s="1" customFormat="1"/>
    <row r="73" s="1" customFormat="1"/>
    <row r="74" s="1" customFormat="1"/>
    <row r="75" s="1" customFormat="1"/>
    <row r="76" s="1" customFormat="1"/>
    <row r="77" s="1" customFormat="1"/>
    <row r="78" s="1" customFormat="1"/>
    <row r="79" s="1" customFormat="1"/>
    <row r="84" s="1" customFormat="1"/>
    <row r="112" s="1" customFormat="1"/>
    <row r="113" s="1" customFormat="1"/>
    <row r="114" s="1" customFormat="1"/>
    <row r="115" s="1" customFormat="1"/>
  </sheetData>
  <mergeCells count="12">
    <mergeCell ref="I26:J26"/>
    <mergeCell ref="C1:H1"/>
    <mergeCell ref="C2:H2"/>
    <mergeCell ref="C3:H3"/>
    <mergeCell ref="H6:I6"/>
    <mergeCell ref="H7:I7"/>
    <mergeCell ref="I43:J43"/>
    <mergeCell ref="I45:J45"/>
    <mergeCell ref="I46:J46"/>
    <mergeCell ref="I51:J51"/>
    <mergeCell ref="A56:B56"/>
    <mergeCell ref="C56:J56"/>
  </mergeCells>
  <printOptions horizontalCentered="1"/>
  <pageMargins left="0.19685039370078741" right="0.19685039370078741" top="0.39370078740157483" bottom="0.39370078740157483" header="0" footer="0"/>
  <pageSetup orientation="portrait" horizontalDpi="4294967292" verticalDpi="4294967292"/>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500-000000000000}">
          <x14:formula1>
            <xm:f>Accounts!$A$4:$A$60</xm:f>
          </x14:formula1>
          <xm:sqref>K7</xm:sqref>
        </x14:dataValidation>
        <x14:dataValidation type="list" allowBlank="1" showInputMessage="1" showErrorMessage="1" xr:uid="{00000000-0002-0000-0500-000001000000}">
          <x14:formula1>
            <xm:f>'Constr. Wage Rate Calculations'!$A$19:$A$288</xm:f>
          </x14:formula1>
          <xm:sqref>B11:B25</xm:sqref>
        </x14:dataValidation>
        <x14:dataValidation type="list" allowBlank="1" showInputMessage="1" showErrorMessage="1" xr:uid="{00000000-0002-0000-0500-000002000000}">
          <x14:formula1>
            <xm:f>Personnel!$A:$A</xm:f>
          </x14:formula1>
          <xm:sqref>C11:C25</xm:sqref>
        </x14:dataValidation>
        <x14:dataValidation type="list" allowBlank="1" showInputMessage="1" showErrorMessage="1" xr:uid="{00000000-0002-0000-0500-000003000000}">
          <x14:formula1>
            <xm:f>Equipment!$A:$A</xm:f>
          </x14:formula1>
          <xm:sqref>C29:C42</xm:sqref>
        </x14:dataValidation>
      </x14:dataValidations>
    </ex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O115"/>
  <sheetViews>
    <sheetView topLeftCell="B1" zoomScale="120" zoomScaleNormal="120" zoomScalePageLayoutView="120" workbookViewId="0">
      <selection activeCell="F13" sqref="F13"/>
    </sheetView>
  </sheetViews>
  <sheetFormatPr baseColWidth="10" defaultColWidth="8.83203125" defaultRowHeight="11"/>
  <cols>
    <col min="1" max="1" width="13" style="1" customWidth="1"/>
    <col min="2" max="2" width="30" style="1" customWidth="1"/>
    <col min="3" max="3" width="24.5" style="1" customWidth="1"/>
    <col min="4" max="4" width="8.6640625" style="2" customWidth="1"/>
    <col min="5" max="6" width="8.33203125" style="2" customWidth="1"/>
    <col min="7" max="8" width="8.6640625" style="2" customWidth="1"/>
    <col min="9" max="9" width="9.33203125" style="2" customWidth="1"/>
    <col min="10" max="10" width="8.6640625" style="2" customWidth="1"/>
    <col min="11" max="11" width="21.6640625" style="1" customWidth="1"/>
    <col min="12" max="12" width="3.5" style="1" hidden="1" customWidth="1"/>
    <col min="13" max="16384" width="8.83203125" style="1"/>
  </cols>
  <sheetData>
    <row r="1" spans="1:13" ht="15">
      <c r="C1" s="364"/>
      <c r="D1" s="365"/>
      <c r="E1" s="365"/>
      <c r="F1" s="365"/>
      <c r="G1" s="365"/>
      <c r="H1" s="366"/>
      <c r="J1" s="2" t="s">
        <v>0</v>
      </c>
      <c r="K1" s="197"/>
      <c r="M1" s="45"/>
    </row>
    <row r="2" spans="1:13" ht="15">
      <c r="C2" s="367"/>
      <c r="D2" s="367"/>
      <c r="E2" s="367"/>
      <c r="F2" s="367"/>
      <c r="G2" s="367"/>
      <c r="H2" s="366"/>
      <c r="K2" s="41"/>
    </row>
    <row r="3" spans="1:13" ht="15">
      <c r="C3" s="368"/>
      <c r="D3" s="369"/>
      <c r="E3" s="369"/>
      <c r="F3" s="369"/>
      <c r="G3" s="369"/>
      <c r="H3" s="366"/>
    </row>
    <row r="4" spans="1:13">
      <c r="C4" s="3"/>
      <c r="D4" s="4"/>
      <c r="E4" s="4"/>
      <c r="F4" s="4"/>
      <c r="G4" s="4"/>
    </row>
    <row r="5" spans="1:13">
      <c r="C5" s="3"/>
      <c r="D5" s="4"/>
      <c r="E5" s="4"/>
      <c r="F5" s="4"/>
      <c r="G5" s="4"/>
    </row>
    <row r="6" spans="1:13" ht="12">
      <c r="B6" s="5"/>
      <c r="C6" s="6"/>
      <c r="D6" s="7"/>
      <c r="E6" s="8"/>
      <c r="F6" s="8"/>
      <c r="G6" s="1" t="s">
        <v>1</v>
      </c>
      <c r="H6" s="370"/>
      <c r="I6" s="370"/>
      <c r="J6" s="1" t="s">
        <v>2</v>
      </c>
      <c r="K6" s="47"/>
    </row>
    <row r="7" spans="1:13" ht="12">
      <c r="A7" s="1" t="s">
        <v>3</v>
      </c>
      <c r="B7" s="9"/>
      <c r="C7" s="10"/>
      <c r="D7" s="11"/>
      <c r="E7" s="8"/>
      <c r="F7" s="8"/>
      <c r="G7" s="1" t="s">
        <v>4</v>
      </c>
      <c r="H7" s="371"/>
      <c r="I7" s="371"/>
      <c r="J7" s="1" t="s">
        <v>5</v>
      </c>
      <c r="K7" s="46"/>
    </row>
    <row r="8" spans="1:13" ht="12">
      <c r="B8" s="12"/>
      <c r="C8" s="13"/>
      <c r="D8" s="14"/>
      <c r="E8" s="8"/>
      <c r="F8" s="8"/>
      <c r="G8" s="1" t="s">
        <v>6</v>
      </c>
      <c r="H8" s="187"/>
      <c r="I8" s="188"/>
      <c r="J8" s="44"/>
    </row>
    <row r="9" spans="1:13" ht="16" thickBot="1">
      <c r="B9" s="15"/>
      <c r="C9" s="16"/>
      <c r="D9" s="16"/>
      <c r="E9" s="8"/>
      <c r="F9" s="8"/>
      <c r="G9" s="8"/>
    </row>
    <row r="10" spans="1:13" s="19" customFormat="1" ht="12" thickBot="1">
      <c r="A10" s="17" t="s">
        <v>7</v>
      </c>
      <c r="B10" s="17" t="s">
        <v>8</v>
      </c>
      <c r="C10" s="17" t="s">
        <v>9</v>
      </c>
      <c r="D10" s="18" t="s">
        <v>10</v>
      </c>
      <c r="E10" s="18" t="s">
        <v>11</v>
      </c>
      <c r="F10" s="18" t="s">
        <v>12</v>
      </c>
      <c r="G10" s="180" t="s">
        <v>13</v>
      </c>
      <c r="H10" s="18" t="s">
        <v>14</v>
      </c>
      <c r="I10" s="18" t="s">
        <v>15</v>
      </c>
      <c r="J10" s="18" t="s">
        <v>16</v>
      </c>
      <c r="K10" s="18" t="s">
        <v>17</v>
      </c>
      <c r="M10" s="19" t="s">
        <v>1797</v>
      </c>
    </row>
    <row r="11" spans="1:13" ht="15" customHeight="1">
      <c r="A11" s="48"/>
      <c r="B11" s="49">
        <f>VLOOKUP($C$11:$C$25,Personnel!$A$1:$B$1234,2,FALSE)</f>
        <v>0</v>
      </c>
      <c r="C11" s="36"/>
      <c r="D11" s="184"/>
      <c r="E11" s="179">
        <f>VLOOKUP($B$11:$B$25,'Constr. Wage Rate Calculations'!$A$19:$Z$288,22,FALSE)</f>
        <v>0</v>
      </c>
      <c r="F11" s="184"/>
      <c r="G11" s="179">
        <f>VLOOKUP($B$11:$B$25,'Constr. Wage Rate Calculations'!$A$19:$Z$288,23,FALSE)</f>
        <v>0</v>
      </c>
      <c r="H11" s="184"/>
      <c r="I11" s="179">
        <f>VLOOKUP($B$11:$B$25,'Constr. Wage Rate Calculations'!$A$19:$Z$288,24,FALSE)</f>
        <v>0</v>
      </c>
      <c r="J11" s="20">
        <f>VLOOKUP($B$11:$B$25,'Constr. Wage Rate Calculations'!$A$19:$Z$288,25,FALSE)</f>
        <v>0</v>
      </c>
      <c r="K11" s="179" t="str">
        <f t="shared" ref="K11:K25" si="0">IF($D11&gt;=1,$J11+(D11*E11)+(F11*G11)+(H11*I11),IF($F11&gt;=1,$J11+(D11*E11)+(F11*G11)+(H11*I11),IF($H11&gt;=1,$J11+(D11*E11)+(F11*G11)+(H11*I11),"")))</f>
        <v/>
      </c>
    </row>
    <row r="12" spans="1:13" ht="15" customHeight="1">
      <c r="A12" s="48"/>
      <c r="B12" s="49">
        <f>VLOOKUP($C$11:$C$25,Personnel!$A$1:$B$1234,2,FALSE)</f>
        <v>0</v>
      </c>
      <c r="C12" s="36"/>
      <c r="D12" s="184"/>
      <c r="E12" s="179">
        <f>VLOOKUP($B$11:$B$25,'Constr. Wage Rate Calculations'!$A$19:$Z$288,22,FALSE)</f>
        <v>0</v>
      </c>
      <c r="F12" s="184"/>
      <c r="G12" s="179">
        <f>VLOOKUP($B$11:$B$25,'Constr. Wage Rate Calculations'!$A$19:$Z$288,23,FALSE)</f>
        <v>0</v>
      </c>
      <c r="H12" s="184"/>
      <c r="I12" s="179">
        <f>VLOOKUP($B$11:$B$25,'Constr. Wage Rate Calculations'!$A$19:$Z$288,24,FALSE)</f>
        <v>0</v>
      </c>
      <c r="J12" s="20">
        <f>VLOOKUP($B$11:$B$25,'Constr. Wage Rate Calculations'!$A$19:$Z$288,25,FALSE)</f>
        <v>0</v>
      </c>
      <c r="K12" s="179" t="str">
        <f t="shared" si="0"/>
        <v/>
      </c>
    </row>
    <row r="13" spans="1:13" ht="15" customHeight="1">
      <c r="A13" s="48"/>
      <c r="B13" s="49">
        <f>VLOOKUP($C$11:$C$25,Personnel!$A$1:$B$1234,2,FALSE)</f>
        <v>0</v>
      </c>
      <c r="C13" s="36"/>
      <c r="D13" s="184"/>
      <c r="E13" s="179">
        <f>VLOOKUP($B$11:$B$25,'Constr. Wage Rate Calculations'!$A$19:$Z$288,22,FALSE)</f>
        <v>0</v>
      </c>
      <c r="F13" s="184"/>
      <c r="G13" s="179">
        <f>VLOOKUP($B$11:$B$25,'Constr. Wage Rate Calculations'!$A$19:$Z$288,23,FALSE)</f>
        <v>0</v>
      </c>
      <c r="H13" s="184"/>
      <c r="I13" s="179">
        <f>VLOOKUP($B$11:$B$25,'Constr. Wage Rate Calculations'!$A$19:$Z$288,24,FALSE)</f>
        <v>0</v>
      </c>
      <c r="J13" s="20">
        <f>VLOOKUP($B$11:$B$25,'Constr. Wage Rate Calculations'!$A$19:$Z$288,25,FALSE)</f>
        <v>0</v>
      </c>
      <c r="K13" s="179" t="str">
        <f t="shared" si="0"/>
        <v/>
      </c>
    </row>
    <row r="14" spans="1:13" ht="15" customHeight="1">
      <c r="A14" s="48"/>
      <c r="B14" s="49">
        <f>VLOOKUP($C$11:$C$25,Personnel!$A$1:$B$1234,2,FALSE)</f>
        <v>0</v>
      </c>
      <c r="C14" s="36"/>
      <c r="D14" s="184"/>
      <c r="E14" s="179">
        <f>VLOOKUP($B$11:$B$25,'Constr. Wage Rate Calculations'!$A$19:$Z$288,22,FALSE)</f>
        <v>0</v>
      </c>
      <c r="F14" s="184"/>
      <c r="G14" s="179">
        <f>VLOOKUP($B$11:$B$25,'Constr. Wage Rate Calculations'!$A$19:$Z$288,23,FALSE)</f>
        <v>0</v>
      </c>
      <c r="H14" s="184"/>
      <c r="I14" s="179">
        <f>VLOOKUP($B$11:$B$25,'Constr. Wage Rate Calculations'!$A$19:$Z$288,24,FALSE)</f>
        <v>0</v>
      </c>
      <c r="J14" s="20">
        <f>VLOOKUP($B$11:$B$25,'Constr. Wage Rate Calculations'!$A$19:$Z$288,25,FALSE)</f>
        <v>0</v>
      </c>
      <c r="K14" s="179" t="str">
        <f t="shared" si="0"/>
        <v/>
      </c>
    </row>
    <row r="15" spans="1:13" ht="15" customHeight="1">
      <c r="A15" s="48"/>
      <c r="B15" s="49">
        <f>VLOOKUP($C$11:$C$25,Personnel!$A$1:$B$1234,2,FALSE)</f>
        <v>0</v>
      </c>
      <c r="C15" s="36"/>
      <c r="D15" s="184"/>
      <c r="E15" s="179">
        <f>VLOOKUP($B$11:$B$25,'Constr. Wage Rate Calculations'!$A$19:$Z$288,22,FALSE)</f>
        <v>0</v>
      </c>
      <c r="F15" s="184"/>
      <c r="G15" s="179">
        <f>VLOOKUP($B$11:$B$25,'Constr. Wage Rate Calculations'!$A$19:$Z$288,23,FALSE)</f>
        <v>0</v>
      </c>
      <c r="H15" s="184"/>
      <c r="I15" s="179">
        <f>VLOOKUP($B$11:$B$25,'Constr. Wage Rate Calculations'!$A$19:$Z$288,24,FALSE)</f>
        <v>0</v>
      </c>
      <c r="J15" s="20">
        <f>VLOOKUP($B$11:$B$25,'Constr. Wage Rate Calculations'!$A$19:$Z$288,25,FALSE)</f>
        <v>0</v>
      </c>
      <c r="K15" s="179" t="str">
        <f t="shared" si="0"/>
        <v/>
      </c>
    </row>
    <row r="16" spans="1:13" ht="15" customHeight="1">
      <c r="A16" s="48"/>
      <c r="B16" s="49">
        <f>VLOOKUP($C$11:$C$25,Personnel!$A$1:$B$1234,2,FALSE)</f>
        <v>0</v>
      </c>
      <c r="C16" s="36"/>
      <c r="D16" s="184"/>
      <c r="E16" s="179">
        <f>VLOOKUP($B$11:$B$25,'Constr. Wage Rate Calculations'!$A$19:$Z$288,22,FALSE)</f>
        <v>0</v>
      </c>
      <c r="F16" s="184"/>
      <c r="G16" s="179">
        <f>VLOOKUP($B$11:$B$25,'Constr. Wage Rate Calculations'!$A$19:$Z$288,23,FALSE)</f>
        <v>0</v>
      </c>
      <c r="H16" s="184"/>
      <c r="I16" s="179">
        <f>VLOOKUP($B$11:$B$25,'Constr. Wage Rate Calculations'!$A$19:$Z$288,24,FALSE)</f>
        <v>0</v>
      </c>
      <c r="J16" s="20">
        <f>VLOOKUP($B$11:$B$25,'Constr. Wage Rate Calculations'!$A$19:$Z$288,25,FALSE)</f>
        <v>0</v>
      </c>
      <c r="K16" s="179" t="str">
        <f t="shared" si="0"/>
        <v/>
      </c>
    </row>
    <row r="17" spans="1:15" ht="15" customHeight="1">
      <c r="A17" s="48"/>
      <c r="B17" s="49">
        <f>VLOOKUP($C$11:$C$25,Personnel!$A$1:$B$1234,2,FALSE)</f>
        <v>0</v>
      </c>
      <c r="C17" s="36"/>
      <c r="D17" s="184"/>
      <c r="E17" s="179">
        <f>VLOOKUP($B$11:$B$25,'Constr. Wage Rate Calculations'!$A$19:$Z$288,22,FALSE)</f>
        <v>0</v>
      </c>
      <c r="F17" s="184"/>
      <c r="G17" s="179">
        <f>VLOOKUP($B$11:$B$25,'Constr. Wage Rate Calculations'!$A$19:$Z$288,23,FALSE)</f>
        <v>0</v>
      </c>
      <c r="H17" s="184"/>
      <c r="I17" s="179">
        <f>VLOOKUP($B$11:$B$25,'Constr. Wage Rate Calculations'!$A$19:$Z$288,24,FALSE)</f>
        <v>0</v>
      </c>
      <c r="J17" s="20">
        <f>VLOOKUP($B$11:$B$25,'Constr. Wage Rate Calculations'!$A$19:$Z$288,25,FALSE)</f>
        <v>0</v>
      </c>
      <c r="K17" s="179" t="str">
        <f t="shared" si="0"/>
        <v/>
      </c>
    </row>
    <row r="18" spans="1:15" ht="15" customHeight="1">
      <c r="A18" s="48"/>
      <c r="B18" s="49">
        <f>VLOOKUP($C$11:$C$25,Personnel!$A$1:$B$1234,2,FALSE)</f>
        <v>0</v>
      </c>
      <c r="C18" s="36"/>
      <c r="D18" s="184"/>
      <c r="E18" s="179">
        <f>VLOOKUP($B$11:$B$25,'Constr. Wage Rate Calculations'!$A$19:$Z$288,22,FALSE)</f>
        <v>0</v>
      </c>
      <c r="F18" s="184"/>
      <c r="G18" s="179">
        <f>VLOOKUP($B$11:$B$25,'Constr. Wage Rate Calculations'!$A$19:$Z$288,23,FALSE)</f>
        <v>0</v>
      </c>
      <c r="H18" s="184"/>
      <c r="I18" s="179">
        <f>VLOOKUP($B$11:$B$25,'Constr. Wage Rate Calculations'!$A$19:$Z$288,24,FALSE)</f>
        <v>0</v>
      </c>
      <c r="J18" s="20">
        <f>VLOOKUP($B$11:$B$25,'Constr. Wage Rate Calculations'!$A$19:$Z$288,25,FALSE)</f>
        <v>0</v>
      </c>
      <c r="K18" s="179" t="str">
        <f t="shared" si="0"/>
        <v/>
      </c>
    </row>
    <row r="19" spans="1:15" ht="15" customHeight="1">
      <c r="A19" s="48"/>
      <c r="B19" s="49">
        <f>VLOOKUP($C$11:$C$25,Personnel!$A$1:$B$1234,2,FALSE)</f>
        <v>0</v>
      </c>
      <c r="C19" s="36"/>
      <c r="D19" s="184"/>
      <c r="E19" s="179">
        <f>VLOOKUP($B$11:$B$25,'Constr. Wage Rate Calculations'!$A$19:$Z$288,22,FALSE)</f>
        <v>0</v>
      </c>
      <c r="F19" s="184"/>
      <c r="G19" s="179">
        <f>VLOOKUP($B$11:$B$25,'Constr. Wage Rate Calculations'!$A$19:$Z$288,23,FALSE)</f>
        <v>0</v>
      </c>
      <c r="H19" s="184"/>
      <c r="I19" s="179">
        <f>VLOOKUP($B$11:$B$25,'Constr. Wage Rate Calculations'!$A$19:$Z$288,24,FALSE)</f>
        <v>0</v>
      </c>
      <c r="J19" s="20">
        <f>VLOOKUP($B$11:$B$25,'Constr. Wage Rate Calculations'!$A$19:$Z$288,25,FALSE)</f>
        <v>0</v>
      </c>
      <c r="K19" s="179" t="str">
        <f t="shared" si="0"/>
        <v/>
      </c>
    </row>
    <row r="20" spans="1:15" ht="15" customHeight="1">
      <c r="A20" s="48"/>
      <c r="B20" s="49">
        <f>VLOOKUP($C$11:$C$25,Personnel!$A$1:$B$1234,2,FALSE)</f>
        <v>0</v>
      </c>
      <c r="C20" s="36"/>
      <c r="D20" s="184"/>
      <c r="E20" s="179">
        <f>VLOOKUP($B$11:$B$25,'Constr. Wage Rate Calculations'!$A$19:$Z$288,22,FALSE)</f>
        <v>0</v>
      </c>
      <c r="F20" s="184"/>
      <c r="G20" s="179">
        <f>VLOOKUP($B$11:$B$25,'Constr. Wage Rate Calculations'!$A$19:$Z$288,23,FALSE)</f>
        <v>0</v>
      </c>
      <c r="H20" s="184"/>
      <c r="I20" s="179">
        <f>VLOOKUP($B$11:$B$25,'Constr. Wage Rate Calculations'!$A$19:$Z$288,24,FALSE)</f>
        <v>0</v>
      </c>
      <c r="J20" s="20">
        <f>VLOOKUP($B$11:$B$25,'Constr. Wage Rate Calculations'!$A$19:$Z$288,25,FALSE)</f>
        <v>0</v>
      </c>
      <c r="K20" s="179" t="str">
        <f t="shared" si="0"/>
        <v/>
      </c>
    </row>
    <row r="21" spans="1:15" ht="15" customHeight="1">
      <c r="A21" s="48"/>
      <c r="B21" s="49">
        <f>VLOOKUP($C$11:$C$25,Personnel!$A$1:$B$1234,2,FALSE)</f>
        <v>0</v>
      </c>
      <c r="C21" s="36"/>
      <c r="D21" s="184"/>
      <c r="E21" s="179">
        <f>VLOOKUP($B$11:$B$25,'Constr. Wage Rate Calculations'!$A$19:$Z$288,22,FALSE)</f>
        <v>0</v>
      </c>
      <c r="F21" s="184"/>
      <c r="G21" s="179">
        <f>VLOOKUP($B$11:$B$25,'Constr. Wage Rate Calculations'!$A$19:$Z$288,23,FALSE)</f>
        <v>0</v>
      </c>
      <c r="H21" s="184"/>
      <c r="I21" s="179">
        <f>VLOOKUP($B$11:$B$25,'Constr. Wage Rate Calculations'!$A$19:$Z$288,24,FALSE)</f>
        <v>0</v>
      </c>
      <c r="J21" s="20">
        <f>VLOOKUP($B$11:$B$25,'Constr. Wage Rate Calculations'!$A$19:$Z$288,25,FALSE)</f>
        <v>0</v>
      </c>
      <c r="K21" s="179" t="str">
        <f t="shared" si="0"/>
        <v/>
      </c>
    </row>
    <row r="22" spans="1:15" ht="15" customHeight="1">
      <c r="A22" s="48"/>
      <c r="B22" s="49">
        <f>VLOOKUP($C$11:$C$25,Personnel!$A$1:$B$1234,2,FALSE)</f>
        <v>0</v>
      </c>
      <c r="C22" s="36"/>
      <c r="D22" s="184"/>
      <c r="E22" s="179">
        <f>VLOOKUP($B$11:$B$25,'Constr. Wage Rate Calculations'!$A$19:$Z$288,22,FALSE)</f>
        <v>0</v>
      </c>
      <c r="F22" s="184"/>
      <c r="G22" s="179">
        <f>VLOOKUP($B$11:$B$25,'Constr. Wage Rate Calculations'!$A$19:$Z$288,23,FALSE)</f>
        <v>0</v>
      </c>
      <c r="H22" s="184"/>
      <c r="I22" s="179">
        <f>VLOOKUP($B$11:$B$25,'Constr. Wage Rate Calculations'!$A$19:$Z$288,24,FALSE)</f>
        <v>0</v>
      </c>
      <c r="J22" s="20">
        <f>VLOOKUP($B$11:$B$25,'Constr. Wage Rate Calculations'!$A$19:$Z$288,25,FALSE)</f>
        <v>0</v>
      </c>
      <c r="K22" s="179" t="str">
        <f>IF($D22&gt;=1,$J22+(D22*E22)+(F22*G22)+(H22*I22),IF($F22&gt;=1,$J22+(D22*E22)+(F22*G22)+(H22*I22),IF($H22&gt;=1,$J22+(D22*E22)+(F22*G22)+(H22*I22),"")))</f>
        <v/>
      </c>
    </row>
    <row r="23" spans="1:15" ht="15" customHeight="1">
      <c r="A23" s="48"/>
      <c r="B23" s="49">
        <f>VLOOKUP($C$11:$C$25,Personnel!$A$1:$B$1234,2,FALSE)</f>
        <v>0</v>
      </c>
      <c r="C23" s="36"/>
      <c r="D23" s="184"/>
      <c r="E23" s="179">
        <f>VLOOKUP($B$11:$B$25,'Constr. Wage Rate Calculations'!$A$19:$Z$288,22,FALSE)</f>
        <v>0</v>
      </c>
      <c r="F23" s="184"/>
      <c r="G23" s="179">
        <f>VLOOKUP($B$11:$B$25,'Constr. Wage Rate Calculations'!$A$19:$Z$288,23,FALSE)</f>
        <v>0</v>
      </c>
      <c r="H23" s="184"/>
      <c r="I23" s="179">
        <f>VLOOKUP($B$11:$B$25,'Constr. Wage Rate Calculations'!$A$19:$Z$288,24,FALSE)</f>
        <v>0</v>
      </c>
      <c r="J23" s="20">
        <f>VLOOKUP($B$11:$B$25,'Constr. Wage Rate Calculations'!$A$19:$Z$288,25,FALSE)</f>
        <v>0</v>
      </c>
      <c r="K23" s="179" t="str">
        <f t="shared" si="0"/>
        <v/>
      </c>
    </row>
    <row r="24" spans="1:15" ht="15" customHeight="1">
      <c r="A24" s="48"/>
      <c r="B24" s="49">
        <f>VLOOKUP($C$11:$C$25,Personnel!$A$1:$B$1234,2,FALSE)</f>
        <v>0</v>
      </c>
      <c r="C24" s="36"/>
      <c r="D24" s="184"/>
      <c r="E24" s="179">
        <f>VLOOKUP($B$11:$B$25,'Constr. Wage Rate Calculations'!$A$19:$Z$288,22,FALSE)</f>
        <v>0</v>
      </c>
      <c r="F24" s="184"/>
      <c r="G24" s="179">
        <f>VLOOKUP($B$11:$B$25,'Constr. Wage Rate Calculations'!$A$19:$Z$288,23,FALSE)</f>
        <v>0</v>
      </c>
      <c r="H24" s="184"/>
      <c r="I24" s="179">
        <f>VLOOKUP($B$11:$B$25,'Constr. Wage Rate Calculations'!$A$19:$Z$288,24,FALSE)</f>
        <v>0</v>
      </c>
      <c r="J24" s="20">
        <f>VLOOKUP($B$11:$B$25,'Constr. Wage Rate Calculations'!$A$19:$Z$288,25,FALSE)</f>
        <v>0</v>
      </c>
      <c r="K24" s="179" t="str">
        <f t="shared" si="0"/>
        <v/>
      </c>
    </row>
    <row r="25" spans="1:15" ht="15" customHeight="1" thickBot="1">
      <c r="A25" s="48"/>
      <c r="B25" s="49">
        <f>VLOOKUP($C$11:$C$25,Personnel!$A$1:$B$1234,2,FALSE)</f>
        <v>0</v>
      </c>
      <c r="C25" s="36"/>
      <c r="D25" s="184"/>
      <c r="E25" s="179">
        <f>VLOOKUP($B$11:$B$25,'Constr. Wage Rate Calculations'!$A$19:$Z$288,22,FALSE)</f>
        <v>0</v>
      </c>
      <c r="F25" s="184"/>
      <c r="G25" s="179">
        <f>VLOOKUP($B$11:$B$25,'Constr. Wage Rate Calculations'!$A$19:$Z$288,23,FALSE)</f>
        <v>0</v>
      </c>
      <c r="H25" s="184"/>
      <c r="I25" s="179">
        <f>VLOOKUP($B$11:$B$25,'Constr. Wage Rate Calculations'!$A$19:$Z$288,24,FALSE)</f>
        <v>0</v>
      </c>
      <c r="J25" s="20">
        <f>VLOOKUP($B$11:$B$25,'Constr. Wage Rate Calculations'!$A$19:$Z$288,25,FALSE)</f>
        <v>0</v>
      </c>
      <c r="K25" s="179" t="str">
        <f t="shared" si="0"/>
        <v/>
      </c>
      <c r="M25" s="1">
        <f>SUM(M11:M24)</f>
        <v>0</v>
      </c>
    </row>
    <row r="26" spans="1:15" ht="15" customHeight="1" thickBot="1">
      <c r="A26"/>
      <c r="B26"/>
      <c r="C26"/>
      <c r="D26" s="21"/>
      <c r="E26" s="21"/>
      <c r="F26" s="21"/>
      <c r="G26" s="21"/>
      <c r="H26" s="21"/>
      <c r="I26" s="360" t="s">
        <v>18</v>
      </c>
      <c r="J26" s="361"/>
      <c r="K26" s="183">
        <f>SUM(K11:K25)</f>
        <v>0</v>
      </c>
      <c r="M26" s="1">
        <f>SUMIFS(D11:D25,D11:D25,"&lt;3",D11:D25,"&lt;5")</f>
        <v>0</v>
      </c>
      <c r="N26" s="1">
        <f>SUMIFS(D11:D25,D11:D25,"&gt;3",D11:D25,"&gt;5")</f>
        <v>0</v>
      </c>
      <c r="O26" s="1">
        <f>SUM(F11:F25,H11:H25,M26,N26)-M25</f>
        <v>0</v>
      </c>
    </row>
    <row r="27" spans="1:15" ht="10" customHeight="1" thickBot="1"/>
    <row r="28" spans="1:15" s="19" customFormat="1" ht="15" customHeight="1" thickBot="1">
      <c r="A28" s="22" t="s">
        <v>19</v>
      </c>
      <c r="B28" s="23" t="s">
        <v>20</v>
      </c>
      <c r="C28" s="23"/>
      <c r="D28" s="23"/>
      <c r="E28" s="23"/>
      <c r="F28" s="23"/>
      <c r="G28" s="23"/>
      <c r="H28" s="18" t="s">
        <v>21</v>
      </c>
      <c r="I28" s="18" t="s">
        <v>22</v>
      </c>
      <c r="J28" s="18" t="s">
        <v>23</v>
      </c>
      <c r="K28" s="18" t="s">
        <v>17</v>
      </c>
    </row>
    <row r="29" spans="1:15" ht="15" customHeight="1">
      <c r="A29" s="43"/>
      <c r="B29" s="49">
        <f>VLOOKUP($C$29:$C$42,Equipment!$A$1:$B$2322,2,FALSE)</f>
        <v>0</v>
      </c>
      <c r="C29" s="24"/>
      <c r="D29" s="24"/>
      <c r="E29" s="24"/>
      <c r="F29" s="24"/>
      <c r="G29" s="24"/>
      <c r="H29" s="185"/>
      <c r="I29" s="184"/>
      <c r="J29" s="42">
        <f>VLOOKUP($B$29:$B$42,'Alberta Equip. Rates Year 3'!$B$13:$K$314,10,FALSE)</f>
        <v>0</v>
      </c>
      <c r="K29" s="181">
        <f>(H29+I29)*J29</f>
        <v>0</v>
      </c>
    </row>
    <row r="30" spans="1:15" ht="15" customHeight="1">
      <c r="A30" s="43"/>
      <c r="B30" s="49">
        <f>VLOOKUP($C$29:$C$42,Equipment!$A$1:$B$2322,2,FALSE)</f>
        <v>0</v>
      </c>
      <c r="C30" s="24"/>
      <c r="D30" s="24"/>
      <c r="E30" s="24"/>
      <c r="F30" s="24"/>
      <c r="G30" s="24"/>
      <c r="H30" s="185"/>
      <c r="I30" s="184"/>
      <c r="J30" s="42">
        <f>VLOOKUP($B$29:$B$42,'Alberta Equip. Rates Year 3'!$B$13:$K$314,10,FALSE)</f>
        <v>0</v>
      </c>
      <c r="K30" s="181">
        <f t="shared" ref="K30:K42" si="1">(H30+I30)*J30</f>
        <v>0</v>
      </c>
    </row>
    <row r="31" spans="1:15" ht="15" customHeight="1">
      <c r="A31" s="43"/>
      <c r="B31" s="49">
        <f>VLOOKUP($C$29:$C$42,Equipment!$A$1:$B$2322,2,FALSE)</f>
        <v>0</v>
      </c>
      <c r="C31" s="24"/>
      <c r="D31" s="24"/>
      <c r="E31" s="24"/>
      <c r="F31" s="24"/>
      <c r="G31" s="24"/>
      <c r="H31" s="185"/>
      <c r="I31" s="184"/>
      <c r="J31" s="42">
        <f>VLOOKUP($B$29:$B$42,'Alberta Equip. Rates Year 3'!$B$13:$K$314,10,FALSE)</f>
        <v>0</v>
      </c>
      <c r="K31" s="181">
        <f t="shared" si="1"/>
        <v>0</v>
      </c>
    </row>
    <row r="32" spans="1:15" ht="15" customHeight="1">
      <c r="A32" s="43"/>
      <c r="B32" s="49">
        <f>VLOOKUP($C$29:$C$42,Equipment!$A$1:$B$2322,2,FALSE)</f>
        <v>0</v>
      </c>
      <c r="C32" s="24"/>
      <c r="D32" s="24"/>
      <c r="E32" s="24"/>
      <c r="F32" s="24"/>
      <c r="G32" s="24"/>
      <c r="H32" s="185"/>
      <c r="I32" s="184"/>
      <c r="J32" s="42">
        <f>VLOOKUP($B$29:$B$42,'Alberta Equip. Rates Year 3'!$B$13:$K$314,10,FALSE)</f>
        <v>0</v>
      </c>
      <c r="K32" s="181">
        <f t="shared" si="1"/>
        <v>0</v>
      </c>
    </row>
    <row r="33" spans="1:11" ht="15" customHeight="1">
      <c r="A33" s="43"/>
      <c r="B33" s="49">
        <f>VLOOKUP($C$29:$C$42,Equipment!$A$1:$B$2322,2,FALSE)</f>
        <v>0</v>
      </c>
      <c r="C33" s="24"/>
      <c r="D33" s="24"/>
      <c r="E33" s="24"/>
      <c r="F33" s="24"/>
      <c r="G33" s="24"/>
      <c r="H33" s="185"/>
      <c r="I33" s="184"/>
      <c r="J33" s="42">
        <f>VLOOKUP($B$29:$B$42,'Alberta Equip. Rates Year 3'!$B$13:$K$314,10,FALSE)</f>
        <v>0</v>
      </c>
      <c r="K33" s="181">
        <f t="shared" si="1"/>
        <v>0</v>
      </c>
    </row>
    <row r="34" spans="1:11" ht="15" customHeight="1">
      <c r="A34" s="43"/>
      <c r="B34" s="49">
        <f>VLOOKUP($C$29:$C$42,Equipment!$A$1:$B$2322,2,FALSE)</f>
        <v>0</v>
      </c>
      <c r="C34" s="24"/>
      <c r="D34" s="24"/>
      <c r="E34" s="24"/>
      <c r="F34" s="24"/>
      <c r="G34" s="24"/>
      <c r="H34" s="185"/>
      <c r="I34" s="184"/>
      <c r="J34" s="42">
        <f>VLOOKUP($B$29:$B$42,'Alberta Equip. Rates Year 3'!$B$13:$K$314,10,FALSE)</f>
        <v>0</v>
      </c>
      <c r="K34" s="181">
        <f t="shared" si="1"/>
        <v>0</v>
      </c>
    </row>
    <row r="35" spans="1:11" ht="15" customHeight="1">
      <c r="A35" s="43"/>
      <c r="B35" s="49">
        <f>VLOOKUP($C$29:$C$42,Equipment!$A$1:$B$2322,2,FALSE)</f>
        <v>0</v>
      </c>
      <c r="C35" s="24"/>
      <c r="D35" s="24"/>
      <c r="E35" s="24"/>
      <c r="F35" s="24"/>
      <c r="G35" s="24"/>
      <c r="H35" s="185"/>
      <c r="I35" s="184"/>
      <c r="J35" s="42">
        <f>VLOOKUP($B$29:$B$42,'Alberta Equip. Rates Year 3'!$B$13:$K$314,10,FALSE)</f>
        <v>0</v>
      </c>
      <c r="K35" s="181">
        <f t="shared" si="1"/>
        <v>0</v>
      </c>
    </row>
    <row r="36" spans="1:11" ht="15" customHeight="1">
      <c r="A36" s="43"/>
      <c r="B36" s="49">
        <f>VLOOKUP($C$29:$C$42,Equipment!$A$1:$B$2322,2,FALSE)</f>
        <v>0</v>
      </c>
      <c r="C36" s="24"/>
      <c r="D36" s="24"/>
      <c r="E36" s="24"/>
      <c r="F36" s="24"/>
      <c r="G36" s="24"/>
      <c r="H36" s="185"/>
      <c r="I36" s="184"/>
      <c r="J36" s="42">
        <f>VLOOKUP($B$29:$B$42,'Alberta Equip. Rates Year 3'!$B$13:$K$314,10,FALSE)</f>
        <v>0</v>
      </c>
      <c r="K36" s="181">
        <f t="shared" si="1"/>
        <v>0</v>
      </c>
    </row>
    <row r="37" spans="1:11" ht="15" customHeight="1">
      <c r="A37" s="43"/>
      <c r="B37" s="49">
        <f>VLOOKUP($C$29:$C$42,Equipment!$A$1:$B$2322,2,FALSE)</f>
        <v>0</v>
      </c>
      <c r="C37" s="24"/>
      <c r="D37" s="24"/>
      <c r="E37" s="24"/>
      <c r="F37" s="24"/>
      <c r="G37" s="24"/>
      <c r="H37" s="185"/>
      <c r="I37" s="184"/>
      <c r="J37" s="42">
        <f>VLOOKUP($B$29:$B$42,'Alberta Equip. Rates Year 3'!$B$13:$K$314,10,FALSE)</f>
        <v>0</v>
      </c>
      <c r="K37" s="181">
        <f t="shared" si="1"/>
        <v>0</v>
      </c>
    </row>
    <row r="38" spans="1:11" ht="15" customHeight="1">
      <c r="A38" s="43"/>
      <c r="B38" s="49">
        <f>VLOOKUP($C$29:$C$42,Equipment!$A$1:$B$2322,2,FALSE)</f>
        <v>0</v>
      </c>
      <c r="C38" s="24"/>
      <c r="D38" s="24"/>
      <c r="E38" s="24"/>
      <c r="F38" s="24"/>
      <c r="G38" s="24"/>
      <c r="H38" s="185"/>
      <c r="I38" s="184"/>
      <c r="J38" s="42">
        <f>VLOOKUP($B$29:$B$42,'Alberta Equip. Rates Year 3'!$B$13:$K$314,10,FALSE)</f>
        <v>0</v>
      </c>
      <c r="K38" s="181">
        <f t="shared" si="1"/>
        <v>0</v>
      </c>
    </row>
    <row r="39" spans="1:11" ht="15" customHeight="1">
      <c r="A39" s="43"/>
      <c r="B39" s="49">
        <f>VLOOKUP($C$29:$C$42,Equipment!$A$1:$B$2322,2,FALSE)</f>
        <v>0</v>
      </c>
      <c r="C39" s="24"/>
      <c r="D39" s="24"/>
      <c r="E39" s="24"/>
      <c r="F39" s="24"/>
      <c r="G39" s="24"/>
      <c r="H39" s="185"/>
      <c r="I39" s="184"/>
      <c r="J39" s="42">
        <f>VLOOKUP($B$29:$B$42,'Alberta Equip. Rates Year 3'!$B$13:$K$314,10,FALSE)</f>
        <v>0</v>
      </c>
      <c r="K39" s="181">
        <f>(H39+I39)*J39</f>
        <v>0</v>
      </c>
    </row>
    <row r="40" spans="1:11" ht="15" customHeight="1">
      <c r="A40" s="43"/>
      <c r="B40" s="49">
        <f>VLOOKUP($C$29:$C$42,Equipment!$A$1:$B$2322,2,FALSE)</f>
        <v>0</v>
      </c>
      <c r="C40" s="24"/>
      <c r="D40" s="24"/>
      <c r="E40" s="24"/>
      <c r="F40" s="24"/>
      <c r="G40" s="24"/>
      <c r="H40" s="185"/>
      <c r="I40" s="184"/>
      <c r="J40" s="42">
        <f>VLOOKUP($B$29:$B$42,'Alberta Equip. Rates Year 3'!$B$13:$K$314,10,FALSE)</f>
        <v>0</v>
      </c>
      <c r="K40" s="181">
        <f t="shared" si="1"/>
        <v>0</v>
      </c>
    </row>
    <row r="41" spans="1:11" ht="15" customHeight="1">
      <c r="A41" s="43"/>
      <c r="B41" s="49">
        <f>VLOOKUP($C$29:$C$42,Equipment!$A$1:$B$2322,2,FALSE)</f>
        <v>0</v>
      </c>
      <c r="C41" s="24"/>
      <c r="D41" s="24"/>
      <c r="E41" s="24"/>
      <c r="F41" s="24"/>
      <c r="G41" s="24"/>
      <c r="H41" s="185"/>
      <c r="I41" s="184"/>
      <c r="J41" s="42">
        <f>VLOOKUP($B$29:$B$42,'Alberta Equip. Rates Year 3'!$B$13:$K$314,10,FALSE)</f>
        <v>0</v>
      </c>
      <c r="K41" s="181">
        <f t="shared" si="1"/>
        <v>0</v>
      </c>
    </row>
    <row r="42" spans="1:11" ht="15" customHeight="1" thickBot="1">
      <c r="A42" s="43"/>
      <c r="B42" s="49">
        <f>VLOOKUP($C$29:$C$42,Equipment!$A$1:$B$2322,2,FALSE)</f>
        <v>0</v>
      </c>
      <c r="C42" s="24"/>
      <c r="D42" s="24"/>
      <c r="E42" s="24"/>
      <c r="F42" s="24"/>
      <c r="G42" s="24"/>
      <c r="H42" s="185"/>
      <c r="I42" s="184"/>
      <c r="J42" s="42">
        <f>VLOOKUP($B$29:$B$42,'Alberta Equip. Rates Year 3'!$B$13:$K$314,10,FALSE)</f>
        <v>0</v>
      </c>
      <c r="K42" s="181">
        <f t="shared" si="1"/>
        <v>0</v>
      </c>
    </row>
    <row r="43" spans="1:11" ht="12" thickBot="1">
      <c r="A43" s="25"/>
      <c r="B43" s="25"/>
      <c r="C43" s="25"/>
      <c r="D43" s="21"/>
      <c r="E43" s="21"/>
      <c r="F43" s="21"/>
      <c r="G43" s="21"/>
      <c r="H43" s="21"/>
      <c r="I43" s="360" t="s">
        <v>24</v>
      </c>
      <c r="J43" s="361"/>
      <c r="K43" s="182">
        <f>SUM(K29:K42)</f>
        <v>0</v>
      </c>
    </row>
    <row r="44" spans="1:11" ht="12" thickBot="1">
      <c r="A44" s="26"/>
      <c r="D44" s="26"/>
      <c r="I44" s="27"/>
      <c r="J44" s="27"/>
      <c r="K44" s="28"/>
    </row>
    <row r="45" spans="1:11">
      <c r="A45" s="1" t="s">
        <v>25</v>
      </c>
      <c r="B45" s="29"/>
      <c r="D45" s="1"/>
      <c r="E45" s="1"/>
      <c r="F45" s="1"/>
      <c r="G45" s="1"/>
      <c r="H45" s="1"/>
      <c r="I45" s="362" t="s">
        <v>26</v>
      </c>
      <c r="J45" s="362"/>
      <c r="K45" s="37">
        <f>K26</f>
        <v>0</v>
      </c>
    </row>
    <row r="46" spans="1:11">
      <c r="D46" s="1"/>
      <c r="E46" s="1"/>
      <c r="F46" s="1"/>
      <c r="G46" s="1"/>
      <c r="H46" s="1"/>
      <c r="I46" s="362" t="s">
        <v>27</v>
      </c>
      <c r="J46" s="362"/>
      <c r="K46" s="38">
        <f>K43</f>
        <v>0</v>
      </c>
    </row>
    <row r="47" spans="1:11">
      <c r="D47" s="1"/>
      <c r="E47" s="1"/>
      <c r="F47" s="1"/>
      <c r="G47" s="1"/>
      <c r="H47" s="1"/>
      <c r="I47" s="27" t="s">
        <v>28</v>
      </c>
      <c r="J47" s="27"/>
      <c r="K47" s="38">
        <f>(O26)*14.15</f>
        <v>0</v>
      </c>
    </row>
    <row r="48" spans="1:11">
      <c r="D48" s="1"/>
      <c r="E48" s="1"/>
      <c r="F48" s="1"/>
      <c r="G48" s="1"/>
      <c r="H48" s="1"/>
      <c r="I48" s="30" t="s">
        <v>29</v>
      </c>
      <c r="J48" s="30"/>
      <c r="K48" s="39"/>
    </row>
    <row r="49" spans="1:11">
      <c r="D49" s="1"/>
      <c r="E49" s="1"/>
      <c r="F49" s="1"/>
      <c r="G49" s="1"/>
      <c r="H49" s="1"/>
      <c r="I49" s="30" t="s">
        <v>30</v>
      </c>
      <c r="J49" s="30"/>
      <c r="K49" s="39"/>
    </row>
    <row r="50" spans="1:11">
      <c r="D50" s="1"/>
      <c r="E50" s="1"/>
      <c r="F50" s="1"/>
      <c r="G50" s="1"/>
      <c r="H50" s="1"/>
      <c r="I50" s="30" t="s">
        <v>31</v>
      </c>
      <c r="J50" s="30"/>
      <c r="K50" s="39"/>
    </row>
    <row r="51" spans="1:11" ht="12" thickBot="1">
      <c r="D51" s="1"/>
      <c r="E51" s="1"/>
      <c r="F51" s="1"/>
      <c r="G51" s="1"/>
      <c r="H51" s="1"/>
      <c r="I51" s="362" t="s">
        <v>32</v>
      </c>
      <c r="J51" s="362"/>
      <c r="K51" s="40">
        <f>SUM(K45:K50)</f>
        <v>0</v>
      </c>
    </row>
    <row r="52" spans="1:11">
      <c r="D52" s="1"/>
      <c r="E52" s="1"/>
      <c r="F52" s="1"/>
      <c r="G52" s="1"/>
      <c r="H52" s="1"/>
      <c r="I52" s="27"/>
      <c r="J52" s="27"/>
    </row>
    <row r="53" spans="1:11">
      <c r="A53" s="31" t="s">
        <v>33</v>
      </c>
      <c r="B53" s="32"/>
      <c r="C53" s="32"/>
      <c r="D53" s="1"/>
      <c r="H53" s="33" t="s">
        <v>34</v>
      </c>
      <c r="I53" s="32"/>
      <c r="J53" s="32"/>
      <c r="K53" s="32"/>
    </row>
    <row r="54" spans="1:11" ht="15">
      <c r="A54" s="34"/>
      <c r="E54" s="8"/>
      <c r="F54" s="8"/>
      <c r="G54" s="8"/>
      <c r="H54" s="35"/>
      <c r="I54" s="35"/>
      <c r="J54" s="35"/>
      <c r="K54" s="35"/>
    </row>
    <row r="55" spans="1:11" ht="15">
      <c r="A55" s="34" t="s">
        <v>35</v>
      </c>
      <c r="E55" s="8"/>
      <c r="F55" s="8"/>
      <c r="G55" s="8"/>
      <c r="H55" s="35"/>
      <c r="I55" s="35"/>
      <c r="J55" s="35"/>
      <c r="K55" s="35"/>
    </row>
    <row r="56" spans="1:11" s="34" customFormat="1">
      <c r="A56" s="363">
        <v>41218.479166666664</v>
      </c>
      <c r="B56" s="363"/>
      <c r="C56" s="364"/>
      <c r="D56" s="364"/>
      <c r="E56" s="364"/>
      <c r="F56" s="364"/>
      <c r="G56" s="364"/>
      <c r="H56" s="364"/>
      <c r="I56" s="364"/>
      <c r="J56" s="364"/>
      <c r="K56" s="8"/>
    </row>
    <row r="66" s="1" customFormat="1"/>
    <row r="67" s="1" customFormat="1"/>
    <row r="68" s="1" customFormat="1"/>
    <row r="69" s="1" customFormat="1"/>
    <row r="70" s="1" customFormat="1"/>
    <row r="71" s="1" customFormat="1"/>
    <row r="72" s="1" customFormat="1"/>
    <row r="73" s="1" customFormat="1"/>
    <row r="74" s="1" customFormat="1"/>
    <row r="75" s="1" customFormat="1"/>
    <row r="76" s="1" customFormat="1"/>
    <row r="77" s="1" customFormat="1"/>
    <row r="78" s="1" customFormat="1"/>
    <row r="79" s="1" customFormat="1"/>
    <row r="84" s="1" customFormat="1"/>
    <row r="112" s="1" customFormat="1"/>
    <row r="113" s="1" customFormat="1"/>
    <row r="114" s="1" customFormat="1"/>
    <row r="115" s="1" customFormat="1"/>
  </sheetData>
  <mergeCells count="12">
    <mergeCell ref="I26:J26"/>
    <mergeCell ref="C1:H1"/>
    <mergeCell ref="C2:H2"/>
    <mergeCell ref="C3:H3"/>
    <mergeCell ref="H6:I6"/>
    <mergeCell ref="H7:I7"/>
    <mergeCell ref="I43:J43"/>
    <mergeCell ref="I45:J45"/>
    <mergeCell ref="I46:J46"/>
    <mergeCell ref="I51:J51"/>
    <mergeCell ref="A56:B56"/>
    <mergeCell ref="C56:J56"/>
  </mergeCells>
  <printOptions horizontalCentered="1"/>
  <pageMargins left="0.19685039370078741" right="0.19685039370078741" top="0.39370078740157483" bottom="0.39370078740157483" header="0" footer="0"/>
  <pageSetup orientation="portrait" horizontalDpi="4294967292" verticalDpi="4294967292"/>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600-000000000000}">
          <x14:formula1>
            <xm:f>Accounts!$A$4:$A$60</xm:f>
          </x14:formula1>
          <xm:sqref>K7</xm:sqref>
        </x14:dataValidation>
        <x14:dataValidation type="list" allowBlank="1" showInputMessage="1" showErrorMessage="1" xr:uid="{00000000-0002-0000-0600-000001000000}">
          <x14:formula1>
            <xm:f>'Constr. Wage Rate Calculations'!$A$19:$A$288</xm:f>
          </x14:formula1>
          <xm:sqref>B11:B25</xm:sqref>
        </x14:dataValidation>
        <x14:dataValidation type="list" allowBlank="1" showInputMessage="1" showErrorMessage="1" xr:uid="{00000000-0002-0000-0600-000002000000}">
          <x14:formula1>
            <xm:f>Personnel!$A:$A</xm:f>
          </x14:formula1>
          <xm:sqref>C11:C25</xm:sqref>
        </x14:dataValidation>
        <x14:dataValidation type="list" allowBlank="1" showInputMessage="1" showErrorMessage="1" xr:uid="{00000000-0002-0000-0600-000003000000}">
          <x14:formula1>
            <xm:f>Equipment!$A:$A</xm:f>
          </x14:formula1>
          <xm:sqref>C29:C42</xm:sqref>
        </x14:dataValidation>
      </x14:dataValidations>
    </ex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O115"/>
  <sheetViews>
    <sheetView zoomScale="120" zoomScaleNormal="120" zoomScalePageLayoutView="120" workbookViewId="0">
      <selection activeCell="I39" sqref="I39"/>
    </sheetView>
  </sheetViews>
  <sheetFormatPr baseColWidth="10" defaultColWidth="8.83203125" defaultRowHeight="11"/>
  <cols>
    <col min="1" max="1" width="13" style="1" customWidth="1"/>
    <col min="2" max="2" width="30" style="1" customWidth="1"/>
    <col min="3" max="3" width="24.5" style="1" customWidth="1"/>
    <col min="4" max="4" width="8.6640625" style="2" customWidth="1"/>
    <col min="5" max="6" width="8.33203125" style="2" customWidth="1"/>
    <col min="7" max="8" width="8.6640625" style="2" customWidth="1"/>
    <col min="9" max="9" width="9.33203125" style="2" customWidth="1"/>
    <col min="10" max="10" width="8.6640625" style="2" customWidth="1"/>
    <col min="11" max="11" width="21.6640625" style="1" customWidth="1"/>
    <col min="12" max="12" width="3.5" style="1" hidden="1" customWidth="1"/>
    <col min="13" max="16384" width="8.83203125" style="1"/>
  </cols>
  <sheetData>
    <row r="1" spans="1:13" ht="15">
      <c r="C1" s="364"/>
      <c r="D1" s="365"/>
      <c r="E1" s="365"/>
      <c r="F1" s="365"/>
      <c r="G1" s="365"/>
      <c r="H1" s="366"/>
      <c r="J1" s="2" t="s">
        <v>0</v>
      </c>
      <c r="K1" s="197"/>
      <c r="M1" s="45"/>
    </row>
    <row r="2" spans="1:13" ht="15">
      <c r="C2" s="367"/>
      <c r="D2" s="367"/>
      <c r="E2" s="367"/>
      <c r="F2" s="367"/>
      <c r="G2" s="367"/>
      <c r="H2" s="366"/>
      <c r="K2" s="41"/>
    </row>
    <row r="3" spans="1:13" ht="15">
      <c r="C3" s="368"/>
      <c r="D3" s="369"/>
      <c r="E3" s="369"/>
      <c r="F3" s="369"/>
      <c r="G3" s="369"/>
      <c r="H3" s="366"/>
    </row>
    <row r="4" spans="1:13">
      <c r="C4" s="3"/>
      <c r="D4" s="4"/>
      <c r="E4" s="4"/>
      <c r="F4" s="4"/>
      <c r="G4" s="4"/>
    </row>
    <row r="5" spans="1:13">
      <c r="C5" s="3"/>
      <c r="D5" s="4"/>
      <c r="E5" s="4"/>
      <c r="F5" s="4"/>
      <c r="G5" s="4"/>
    </row>
    <row r="6" spans="1:13" ht="12">
      <c r="B6" s="5"/>
      <c r="C6" s="6"/>
      <c r="D6" s="7"/>
      <c r="E6" s="8"/>
      <c r="F6" s="8"/>
      <c r="G6" s="1" t="s">
        <v>1</v>
      </c>
      <c r="H6" s="370"/>
      <c r="I6" s="370"/>
      <c r="J6" s="1" t="s">
        <v>2</v>
      </c>
      <c r="K6" s="47"/>
    </row>
    <row r="7" spans="1:13" ht="12">
      <c r="A7" s="1" t="s">
        <v>3</v>
      </c>
      <c r="B7" s="9"/>
      <c r="C7" s="10"/>
      <c r="D7" s="11"/>
      <c r="E7" s="8"/>
      <c r="F7" s="8"/>
      <c r="G7" s="1" t="s">
        <v>4</v>
      </c>
      <c r="H7" s="371"/>
      <c r="I7" s="371"/>
      <c r="J7" s="1" t="s">
        <v>5</v>
      </c>
      <c r="K7" s="46"/>
    </row>
    <row r="8" spans="1:13" ht="12">
      <c r="B8" s="12"/>
      <c r="C8" s="13"/>
      <c r="D8" s="14"/>
      <c r="E8" s="8"/>
      <c r="F8" s="8"/>
      <c r="G8" s="1" t="s">
        <v>6</v>
      </c>
      <c r="H8" s="187"/>
      <c r="I8" s="188"/>
      <c r="J8" s="44"/>
    </row>
    <row r="9" spans="1:13" ht="16" thickBot="1">
      <c r="B9" s="15"/>
      <c r="C9" s="16"/>
      <c r="D9" s="16"/>
      <c r="E9" s="8"/>
      <c r="F9" s="8"/>
      <c r="G9" s="8"/>
    </row>
    <row r="10" spans="1:13" s="19" customFormat="1" ht="12" thickBot="1">
      <c r="A10" s="17" t="s">
        <v>7</v>
      </c>
      <c r="B10" s="17" t="s">
        <v>8</v>
      </c>
      <c r="C10" s="17" t="s">
        <v>9</v>
      </c>
      <c r="D10" s="18" t="s">
        <v>10</v>
      </c>
      <c r="E10" s="18" t="s">
        <v>11</v>
      </c>
      <c r="F10" s="18" t="s">
        <v>12</v>
      </c>
      <c r="G10" s="180" t="s">
        <v>13</v>
      </c>
      <c r="H10" s="18" t="s">
        <v>14</v>
      </c>
      <c r="I10" s="18" t="s">
        <v>15</v>
      </c>
      <c r="J10" s="18" t="s">
        <v>16</v>
      </c>
      <c r="K10" s="18" t="s">
        <v>17</v>
      </c>
      <c r="M10" s="19" t="s">
        <v>1797</v>
      </c>
    </row>
    <row r="11" spans="1:13" ht="15" customHeight="1">
      <c r="A11" s="48"/>
      <c r="B11" s="49">
        <f>VLOOKUP($C$11:$C$25,Personnel!$A$1:$B$1234,2,FALSE)</f>
        <v>0</v>
      </c>
      <c r="C11" s="36"/>
      <c r="D11" s="184"/>
      <c r="E11" s="179">
        <f>VLOOKUP($B$11:$B$25,'Constr. Wage Rate Calculations'!$A$19:$Z$288,22,FALSE)</f>
        <v>0</v>
      </c>
      <c r="F11" s="184"/>
      <c r="G11" s="179">
        <f>VLOOKUP($B$11:$B$25,'Constr. Wage Rate Calculations'!$A$19:$Z$288,23,FALSE)</f>
        <v>0</v>
      </c>
      <c r="H11" s="184"/>
      <c r="I11" s="179">
        <f>VLOOKUP($B$11:$B$25,'Constr. Wage Rate Calculations'!$A$19:$Z$288,24,FALSE)</f>
        <v>0</v>
      </c>
      <c r="J11" s="20">
        <f>VLOOKUP($B$11:$B$25,'Constr. Wage Rate Calculations'!$A$19:$Z$288,25,FALSE)</f>
        <v>0</v>
      </c>
      <c r="K11" s="179" t="str">
        <f t="shared" ref="K11:K25" si="0">IF($D11&gt;=1,$J11+(D11*E11)+(F11*G11)+(H11*I11),IF($F11&gt;=1,$J11+(D11*E11)+(F11*G11)+(H11*I11),IF($H11&gt;=1,$J11+(D11*E11)+(F11*G11)+(H11*I11),"")))</f>
        <v/>
      </c>
    </row>
    <row r="12" spans="1:13" ht="15" customHeight="1">
      <c r="A12" s="48"/>
      <c r="B12" s="49">
        <f>VLOOKUP($C$11:$C$25,Personnel!$A$1:$B$1234,2,FALSE)</f>
        <v>0</v>
      </c>
      <c r="C12" s="36"/>
      <c r="D12" s="184"/>
      <c r="E12" s="179">
        <f>VLOOKUP($B$11:$B$25,'Constr. Wage Rate Calculations'!$A$19:$Z$288,22,FALSE)</f>
        <v>0</v>
      </c>
      <c r="F12" s="184"/>
      <c r="G12" s="179">
        <f>VLOOKUP($B$11:$B$25,'Constr. Wage Rate Calculations'!$A$19:$Z$288,23,FALSE)</f>
        <v>0</v>
      </c>
      <c r="H12" s="184"/>
      <c r="I12" s="179">
        <f>VLOOKUP($B$11:$B$25,'Constr. Wage Rate Calculations'!$A$19:$Z$288,24,FALSE)</f>
        <v>0</v>
      </c>
      <c r="J12" s="20"/>
      <c r="K12" s="179" t="str">
        <f t="shared" si="0"/>
        <v/>
      </c>
    </row>
    <row r="13" spans="1:13" ht="15" customHeight="1">
      <c r="A13" s="48"/>
      <c r="B13" s="49">
        <f>VLOOKUP($C$11:$C$25,Personnel!$A$1:$B$1234,2,FALSE)</f>
        <v>0</v>
      </c>
      <c r="C13" s="36"/>
      <c r="D13" s="184"/>
      <c r="E13" s="179">
        <f>VLOOKUP($B$11:$B$25,'Constr. Wage Rate Calculations'!$A$19:$Z$288,22,FALSE)</f>
        <v>0</v>
      </c>
      <c r="F13" s="184"/>
      <c r="G13" s="179">
        <f>VLOOKUP($B$11:$B$25,'Constr. Wage Rate Calculations'!$A$19:$Z$288,23,FALSE)</f>
        <v>0</v>
      </c>
      <c r="H13" s="184"/>
      <c r="I13" s="179">
        <f>VLOOKUP($B$11:$B$25,'Constr. Wage Rate Calculations'!$A$19:$Z$288,24,FALSE)</f>
        <v>0</v>
      </c>
      <c r="J13" s="20">
        <f>VLOOKUP($B$11:$B$25,'Constr. Wage Rate Calculations'!$A$19:$Z$288,25,FALSE)</f>
        <v>0</v>
      </c>
      <c r="K13" s="179" t="str">
        <f t="shared" si="0"/>
        <v/>
      </c>
    </row>
    <row r="14" spans="1:13" ht="15" customHeight="1">
      <c r="A14" s="48"/>
      <c r="B14" s="49">
        <f>VLOOKUP($C$11:$C$25,Personnel!$A$1:$B$1234,2,FALSE)</f>
        <v>0</v>
      </c>
      <c r="C14" s="36"/>
      <c r="D14" s="184"/>
      <c r="E14" s="179">
        <f>VLOOKUP($B$11:$B$25,'Constr. Wage Rate Calculations'!$A$19:$Z$288,22,FALSE)</f>
        <v>0</v>
      </c>
      <c r="F14" s="184"/>
      <c r="G14" s="179">
        <f>VLOOKUP($B$11:$B$25,'Constr. Wage Rate Calculations'!$A$19:$Z$288,23,FALSE)</f>
        <v>0</v>
      </c>
      <c r="H14" s="184"/>
      <c r="I14" s="179">
        <f>VLOOKUP($B$11:$B$25,'Constr. Wage Rate Calculations'!$A$19:$Z$288,24,FALSE)</f>
        <v>0</v>
      </c>
      <c r="J14" s="20">
        <f>VLOOKUP($B$11:$B$25,'Constr. Wage Rate Calculations'!$A$19:$Z$288,25,FALSE)</f>
        <v>0</v>
      </c>
      <c r="K14" s="179" t="str">
        <f t="shared" si="0"/>
        <v/>
      </c>
    </row>
    <row r="15" spans="1:13" ht="15" customHeight="1">
      <c r="A15" s="48"/>
      <c r="B15" s="49">
        <f>VLOOKUP($C$11:$C$25,Personnel!$A$1:$B$1234,2,FALSE)</f>
        <v>0</v>
      </c>
      <c r="C15" s="36"/>
      <c r="D15" s="184"/>
      <c r="E15" s="179">
        <f>VLOOKUP($B$11:$B$25,'Constr. Wage Rate Calculations'!$A$19:$Z$288,22,FALSE)</f>
        <v>0</v>
      </c>
      <c r="F15" s="184"/>
      <c r="G15" s="179">
        <f>VLOOKUP($B$11:$B$25,'Constr. Wage Rate Calculations'!$A$19:$Z$288,23,FALSE)</f>
        <v>0</v>
      </c>
      <c r="H15" s="184"/>
      <c r="I15" s="179">
        <f>VLOOKUP($B$11:$B$25,'Constr. Wage Rate Calculations'!$A$19:$Z$288,24,FALSE)</f>
        <v>0</v>
      </c>
      <c r="J15" s="20">
        <f>VLOOKUP($B$11:$B$25,'Constr. Wage Rate Calculations'!$A$19:$Z$288,25,FALSE)</f>
        <v>0</v>
      </c>
      <c r="K15" s="179" t="str">
        <f t="shared" si="0"/>
        <v/>
      </c>
    </row>
    <row r="16" spans="1:13" ht="15" customHeight="1">
      <c r="A16" s="48"/>
      <c r="B16" s="49">
        <f>VLOOKUP($C$11:$C$25,Personnel!$A$1:$B$1234,2,FALSE)</f>
        <v>0</v>
      </c>
      <c r="C16" s="36"/>
      <c r="D16" s="184"/>
      <c r="E16" s="179">
        <f>VLOOKUP($B$11:$B$25,'Constr. Wage Rate Calculations'!$A$19:$Z$288,22,FALSE)</f>
        <v>0</v>
      </c>
      <c r="F16" s="184"/>
      <c r="G16" s="179">
        <f>VLOOKUP($B$11:$B$25,'Constr. Wage Rate Calculations'!$A$19:$Z$288,23,FALSE)</f>
        <v>0</v>
      </c>
      <c r="H16" s="184"/>
      <c r="I16" s="179">
        <f>VLOOKUP($B$11:$B$25,'Constr. Wage Rate Calculations'!$A$19:$Z$288,24,FALSE)</f>
        <v>0</v>
      </c>
      <c r="J16" s="20">
        <f>VLOOKUP($B$11:$B$25,'Constr. Wage Rate Calculations'!$A$19:$Z$288,25,FALSE)</f>
        <v>0</v>
      </c>
      <c r="K16" s="179" t="str">
        <f t="shared" si="0"/>
        <v/>
      </c>
    </row>
    <row r="17" spans="1:15" ht="15" customHeight="1">
      <c r="A17" s="48"/>
      <c r="B17" s="49">
        <f>VLOOKUP($C$11:$C$25,Personnel!$A$1:$B$1234,2,FALSE)</f>
        <v>0</v>
      </c>
      <c r="C17" s="36"/>
      <c r="D17" s="184"/>
      <c r="E17" s="179">
        <f>VLOOKUP($B$11:$B$25,'Constr. Wage Rate Calculations'!$A$19:$Z$288,22,FALSE)</f>
        <v>0</v>
      </c>
      <c r="F17" s="184"/>
      <c r="G17" s="179">
        <f>VLOOKUP($B$11:$B$25,'Constr. Wage Rate Calculations'!$A$19:$Z$288,23,FALSE)</f>
        <v>0</v>
      </c>
      <c r="H17" s="184"/>
      <c r="I17" s="179">
        <f>VLOOKUP($B$11:$B$25,'Constr. Wage Rate Calculations'!$A$19:$Z$288,24,FALSE)</f>
        <v>0</v>
      </c>
      <c r="J17" s="20">
        <f>VLOOKUP($B$11:$B$25,'Constr. Wage Rate Calculations'!$A$19:$Z$288,25,FALSE)</f>
        <v>0</v>
      </c>
      <c r="K17" s="179" t="str">
        <f t="shared" si="0"/>
        <v/>
      </c>
    </row>
    <row r="18" spans="1:15" ht="15" customHeight="1">
      <c r="A18" s="48"/>
      <c r="B18" s="49">
        <f>VLOOKUP($C$11:$C$25,Personnel!$A$1:$B$1234,2,FALSE)</f>
        <v>0</v>
      </c>
      <c r="C18" s="36"/>
      <c r="D18" s="184"/>
      <c r="E18" s="179">
        <f>VLOOKUP($B$11:$B$25,'Constr. Wage Rate Calculations'!$A$19:$Z$288,22,FALSE)</f>
        <v>0</v>
      </c>
      <c r="F18" s="184"/>
      <c r="G18" s="179">
        <f>VLOOKUP($B$11:$B$25,'Constr. Wage Rate Calculations'!$A$19:$Z$288,23,FALSE)</f>
        <v>0</v>
      </c>
      <c r="H18" s="184"/>
      <c r="I18" s="179">
        <f>VLOOKUP($B$11:$B$25,'Constr. Wage Rate Calculations'!$A$19:$Z$288,24,FALSE)</f>
        <v>0</v>
      </c>
      <c r="J18" s="20">
        <f>VLOOKUP($B$11:$B$25,'Constr. Wage Rate Calculations'!$A$19:$Z$288,25,FALSE)</f>
        <v>0</v>
      </c>
      <c r="K18" s="179" t="str">
        <f t="shared" si="0"/>
        <v/>
      </c>
    </row>
    <row r="19" spans="1:15" ht="15" customHeight="1">
      <c r="A19" s="48"/>
      <c r="B19" s="49">
        <f>VLOOKUP($C$11:$C$25,Personnel!$A$1:$B$1234,2,FALSE)</f>
        <v>0</v>
      </c>
      <c r="C19" s="36"/>
      <c r="D19" s="184"/>
      <c r="E19" s="179">
        <f>VLOOKUP($B$11:$B$25,'Constr. Wage Rate Calculations'!$A$19:$Z$288,22,FALSE)</f>
        <v>0</v>
      </c>
      <c r="F19" s="184"/>
      <c r="G19" s="179">
        <f>VLOOKUP($B$11:$B$25,'Constr. Wage Rate Calculations'!$A$19:$Z$288,23,FALSE)</f>
        <v>0</v>
      </c>
      <c r="H19" s="184"/>
      <c r="I19" s="179">
        <f>VLOOKUP($B$11:$B$25,'Constr. Wage Rate Calculations'!$A$19:$Z$288,24,FALSE)</f>
        <v>0</v>
      </c>
      <c r="J19" s="20">
        <f>VLOOKUP($B$11:$B$25,'Constr. Wage Rate Calculations'!$A$19:$Z$288,25,FALSE)</f>
        <v>0</v>
      </c>
      <c r="K19" s="179" t="str">
        <f t="shared" si="0"/>
        <v/>
      </c>
    </row>
    <row r="20" spans="1:15" ht="15" customHeight="1">
      <c r="A20" s="48"/>
      <c r="B20" s="49">
        <f>VLOOKUP($C$11:$C$25,Personnel!$A$1:$B$1234,2,FALSE)</f>
        <v>0</v>
      </c>
      <c r="C20" s="36"/>
      <c r="D20" s="184"/>
      <c r="E20" s="179">
        <f>VLOOKUP($B$11:$B$25,'Constr. Wage Rate Calculations'!$A$19:$Z$288,22,FALSE)</f>
        <v>0</v>
      </c>
      <c r="F20" s="184"/>
      <c r="G20" s="179">
        <f>VLOOKUP($B$11:$B$25,'Constr. Wage Rate Calculations'!$A$19:$Z$288,23,FALSE)</f>
        <v>0</v>
      </c>
      <c r="H20" s="184"/>
      <c r="I20" s="179">
        <f>VLOOKUP($B$11:$B$25,'Constr. Wage Rate Calculations'!$A$19:$Z$288,24,FALSE)</f>
        <v>0</v>
      </c>
      <c r="J20" s="20">
        <f>VLOOKUP($B$11:$B$25,'Constr. Wage Rate Calculations'!$A$19:$Z$288,25,FALSE)</f>
        <v>0</v>
      </c>
      <c r="K20" s="179" t="str">
        <f t="shared" si="0"/>
        <v/>
      </c>
    </row>
    <row r="21" spans="1:15" ht="15" customHeight="1">
      <c r="A21" s="48"/>
      <c r="B21" s="49">
        <f>VLOOKUP($C$11:$C$25,Personnel!$A$1:$B$1234,2,FALSE)</f>
        <v>0</v>
      </c>
      <c r="C21" s="36"/>
      <c r="D21" s="184"/>
      <c r="E21" s="179">
        <f>VLOOKUP($B$11:$B$25,'Constr. Wage Rate Calculations'!$A$19:$Z$288,22,FALSE)</f>
        <v>0</v>
      </c>
      <c r="F21" s="184"/>
      <c r="G21" s="179">
        <f>VLOOKUP($B$11:$B$25,'Constr. Wage Rate Calculations'!$A$19:$Z$288,23,FALSE)</f>
        <v>0</v>
      </c>
      <c r="H21" s="184"/>
      <c r="I21" s="179">
        <f>VLOOKUP($B$11:$B$25,'Constr. Wage Rate Calculations'!$A$19:$Z$288,24,FALSE)</f>
        <v>0</v>
      </c>
      <c r="J21" s="20">
        <f>VLOOKUP($B$11:$B$25,'Constr. Wage Rate Calculations'!$A$19:$Z$288,25,FALSE)</f>
        <v>0</v>
      </c>
      <c r="K21" s="179" t="str">
        <f t="shared" si="0"/>
        <v/>
      </c>
    </row>
    <row r="22" spans="1:15" ht="15" customHeight="1">
      <c r="A22" s="48"/>
      <c r="B22" s="49">
        <f>VLOOKUP($C$11:$C$25,Personnel!$A$1:$B$1234,2,FALSE)</f>
        <v>0</v>
      </c>
      <c r="C22" s="36"/>
      <c r="D22" s="184"/>
      <c r="E22" s="179">
        <f>VLOOKUP($B$11:$B$25,'Constr. Wage Rate Calculations'!$A$19:$Z$288,22,FALSE)</f>
        <v>0</v>
      </c>
      <c r="F22" s="184"/>
      <c r="G22" s="179">
        <f>VLOOKUP($B$11:$B$25,'Constr. Wage Rate Calculations'!$A$19:$Z$288,23,FALSE)</f>
        <v>0</v>
      </c>
      <c r="H22" s="184"/>
      <c r="I22" s="179">
        <f>VLOOKUP($B$11:$B$25,'Constr. Wage Rate Calculations'!$A$19:$Z$288,24,FALSE)</f>
        <v>0</v>
      </c>
      <c r="J22" s="20">
        <f>VLOOKUP($B$11:$B$25,'Constr. Wage Rate Calculations'!$A$19:$Z$288,25,FALSE)</f>
        <v>0</v>
      </c>
      <c r="K22" s="179" t="str">
        <f>IF($D22&gt;=1,$J22+(D22*E22)+(F22*G22)+(H22*I22),IF($F22&gt;=1,$J22+(D22*E22)+(F22*G22)+(H22*I22),IF($H22&gt;=1,$J22+(D22*E22)+(F22*G22)+(H22*I22),"")))</f>
        <v/>
      </c>
    </row>
    <row r="23" spans="1:15" ht="15" customHeight="1">
      <c r="A23" s="48"/>
      <c r="B23" s="49">
        <f>VLOOKUP($C$11:$C$25,Personnel!$A$1:$B$1234,2,FALSE)</f>
        <v>0</v>
      </c>
      <c r="C23" s="36"/>
      <c r="D23" s="184"/>
      <c r="E23" s="179">
        <f>VLOOKUP($B$11:$B$25,'Constr. Wage Rate Calculations'!$A$19:$Z$288,22,FALSE)</f>
        <v>0</v>
      </c>
      <c r="F23" s="184"/>
      <c r="G23" s="179">
        <f>VLOOKUP($B$11:$B$25,'Constr. Wage Rate Calculations'!$A$19:$Z$288,23,FALSE)</f>
        <v>0</v>
      </c>
      <c r="H23" s="184"/>
      <c r="I23" s="179">
        <f>VLOOKUP($B$11:$B$25,'Constr. Wage Rate Calculations'!$A$19:$Z$288,24,FALSE)</f>
        <v>0</v>
      </c>
      <c r="J23" s="20">
        <f>VLOOKUP($B$11:$B$25,'Constr. Wage Rate Calculations'!$A$19:$Z$288,25,FALSE)</f>
        <v>0</v>
      </c>
      <c r="K23" s="179" t="str">
        <f t="shared" si="0"/>
        <v/>
      </c>
    </row>
    <row r="24" spans="1:15" ht="15" customHeight="1">
      <c r="A24" s="48"/>
      <c r="B24" s="49">
        <f>VLOOKUP($C$11:$C$25,Personnel!$A$1:$B$1234,2,FALSE)</f>
        <v>0</v>
      </c>
      <c r="C24" s="36"/>
      <c r="D24" s="184"/>
      <c r="E24" s="179">
        <f>VLOOKUP($B$11:$B$25,'Constr. Wage Rate Calculations'!$A$19:$Z$288,22,FALSE)</f>
        <v>0</v>
      </c>
      <c r="F24" s="184"/>
      <c r="G24" s="179">
        <f>VLOOKUP($B$11:$B$25,'Constr. Wage Rate Calculations'!$A$19:$Z$288,23,FALSE)</f>
        <v>0</v>
      </c>
      <c r="H24" s="184"/>
      <c r="I24" s="179">
        <f>VLOOKUP($B$11:$B$25,'Constr. Wage Rate Calculations'!$A$19:$Z$288,24,FALSE)</f>
        <v>0</v>
      </c>
      <c r="J24" s="20">
        <f>VLOOKUP($B$11:$B$25,'Constr. Wage Rate Calculations'!$A$19:$Z$288,25,FALSE)</f>
        <v>0</v>
      </c>
      <c r="K24" s="179" t="str">
        <f t="shared" si="0"/>
        <v/>
      </c>
    </row>
    <row r="25" spans="1:15" ht="15" customHeight="1" thickBot="1">
      <c r="A25" s="48"/>
      <c r="B25" s="49">
        <f>VLOOKUP($C$11:$C$25,Personnel!$A$1:$B$1234,2,FALSE)</f>
        <v>0</v>
      </c>
      <c r="C25" s="36"/>
      <c r="D25" s="184"/>
      <c r="E25" s="179">
        <f>VLOOKUP($B$11:$B$25,'Constr. Wage Rate Calculations'!$A$19:$Z$288,22,FALSE)</f>
        <v>0</v>
      </c>
      <c r="F25" s="184"/>
      <c r="G25" s="179">
        <f>VLOOKUP($B$11:$B$25,'Constr. Wage Rate Calculations'!$A$19:$Z$288,23,FALSE)</f>
        <v>0</v>
      </c>
      <c r="H25" s="184"/>
      <c r="I25" s="179">
        <f>VLOOKUP($B$11:$B$25,'Constr. Wage Rate Calculations'!$A$19:$Z$288,24,FALSE)</f>
        <v>0</v>
      </c>
      <c r="J25" s="20">
        <f>VLOOKUP($B$11:$B$25,'Constr. Wage Rate Calculations'!$A$19:$Z$288,25,FALSE)</f>
        <v>0</v>
      </c>
      <c r="K25" s="179" t="str">
        <f t="shared" si="0"/>
        <v/>
      </c>
      <c r="M25" s="1">
        <f>SUM(M11:M24)</f>
        <v>0</v>
      </c>
    </row>
    <row r="26" spans="1:15" ht="15" customHeight="1" thickBot="1">
      <c r="A26"/>
      <c r="B26"/>
      <c r="C26"/>
      <c r="D26" s="21"/>
      <c r="E26" s="21"/>
      <c r="F26" s="21"/>
      <c r="G26" s="21"/>
      <c r="H26" s="21"/>
      <c r="I26" s="360" t="s">
        <v>18</v>
      </c>
      <c r="J26" s="361"/>
      <c r="K26" s="183">
        <f>SUM(K11:K25)</f>
        <v>0</v>
      </c>
      <c r="M26" s="1">
        <f>SUMIFS(D11:D25,D11:D25,"&lt;3",D11:D25,"&lt;5")</f>
        <v>0</v>
      </c>
      <c r="N26" s="1">
        <f>SUMIFS(D11:D25,D11:D25,"&gt;3",D11:D25,"&gt;5")</f>
        <v>0</v>
      </c>
      <c r="O26" s="1">
        <f>SUM(F11:F25,H11:H25,M26,N26)-M25</f>
        <v>0</v>
      </c>
    </row>
    <row r="27" spans="1:15" ht="10" customHeight="1" thickBot="1"/>
    <row r="28" spans="1:15" s="19" customFormat="1" ht="15" customHeight="1" thickBot="1">
      <c r="A28" s="22" t="s">
        <v>19</v>
      </c>
      <c r="B28" s="23" t="s">
        <v>20</v>
      </c>
      <c r="C28" s="23"/>
      <c r="D28" s="23"/>
      <c r="E28" s="23"/>
      <c r="F28" s="23"/>
      <c r="G28" s="23"/>
      <c r="H28" s="18" t="s">
        <v>21</v>
      </c>
      <c r="I28" s="18" t="s">
        <v>22</v>
      </c>
      <c r="J28" s="18" t="s">
        <v>23</v>
      </c>
      <c r="K28" s="18" t="s">
        <v>17</v>
      </c>
    </row>
    <row r="29" spans="1:15" ht="15" customHeight="1">
      <c r="A29" s="43"/>
      <c r="B29" s="49">
        <f>VLOOKUP($C$29:$C$42,Equipment!$A$1:$B$2322,2,FALSE)</f>
        <v>0</v>
      </c>
      <c r="C29" s="24"/>
      <c r="D29" s="24"/>
      <c r="E29" s="24"/>
      <c r="F29" s="24"/>
      <c r="G29" s="24"/>
      <c r="H29" s="185"/>
      <c r="I29" s="184"/>
      <c r="J29" s="42">
        <f>VLOOKUP($B$29:$B$42,'Alberta Equip. Rates Year 3'!$B$13:$K$314,10,FALSE)</f>
        <v>0</v>
      </c>
      <c r="K29" s="181">
        <f>(H29+I29)*J29</f>
        <v>0</v>
      </c>
    </row>
    <row r="30" spans="1:15" ht="15" customHeight="1">
      <c r="A30" s="43"/>
      <c r="B30" s="49">
        <f>VLOOKUP($C$29:$C$42,Equipment!$A$1:$B$2322,2,FALSE)</f>
        <v>0</v>
      </c>
      <c r="C30" s="24"/>
      <c r="D30" s="24"/>
      <c r="E30" s="24"/>
      <c r="F30" s="24"/>
      <c r="G30" s="24"/>
      <c r="H30" s="185"/>
      <c r="I30" s="184"/>
      <c r="J30" s="42">
        <f>VLOOKUP($B$29:$B$42,'Alberta Equip. Rates Year 3'!$B$13:$K$314,10,FALSE)</f>
        <v>0</v>
      </c>
      <c r="K30" s="181">
        <f t="shared" ref="K30:K42" si="1">(H30+I30)*J30</f>
        <v>0</v>
      </c>
    </row>
    <row r="31" spans="1:15" ht="15" customHeight="1">
      <c r="A31" s="43"/>
      <c r="B31" s="49">
        <f>VLOOKUP($C$29:$C$42,Equipment!$A$1:$B$2322,2,FALSE)</f>
        <v>0</v>
      </c>
      <c r="C31" s="24"/>
      <c r="D31" s="24"/>
      <c r="E31" s="24"/>
      <c r="F31" s="24"/>
      <c r="G31" s="24"/>
      <c r="H31" s="185"/>
      <c r="I31" s="184"/>
      <c r="J31" s="42">
        <f>VLOOKUP($B$29:$B$42,'Alberta Equip. Rates Year 3'!$B$13:$K$314,10,FALSE)</f>
        <v>0</v>
      </c>
      <c r="K31" s="181">
        <f t="shared" si="1"/>
        <v>0</v>
      </c>
    </row>
    <row r="32" spans="1:15" ht="15" customHeight="1">
      <c r="A32" s="43"/>
      <c r="B32" s="49">
        <f>VLOOKUP($C$29:$C$42,Equipment!$A$1:$B$2322,2,FALSE)</f>
        <v>0</v>
      </c>
      <c r="C32" s="24"/>
      <c r="D32" s="24"/>
      <c r="E32" s="24"/>
      <c r="F32" s="24"/>
      <c r="G32" s="24"/>
      <c r="H32" s="185"/>
      <c r="I32" s="184"/>
      <c r="J32" s="42">
        <f>VLOOKUP($B$29:$B$42,'Alberta Equip. Rates Year 3'!$B$13:$K$314,10,FALSE)</f>
        <v>0</v>
      </c>
      <c r="K32" s="181">
        <f t="shared" si="1"/>
        <v>0</v>
      </c>
    </row>
    <row r="33" spans="1:11" ht="15" customHeight="1">
      <c r="A33" s="43"/>
      <c r="B33" s="49">
        <f>VLOOKUP($C$29:$C$42,Equipment!$A$1:$B$2322,2,FALSE)</f>
        <v>0</v>
      </c>
      <c r="C33" s="24"/>
      <c r="D33" s="24"/>
      <c r="E33" s="24"/>
      <c r="F33" s="24"/>
      <c r="G33" s="24"/>
      <c r="H33" s="185"/>
      <c r="I33" s="184"/>
      <c r="J33" s="42">
        <f>VLOOKUP($B$29:$B$42,'Alberta Equip. Rates Year 3'!$B$13:$K$314,10,FALSE)</f>
        <v>0</v>
      </c>
      <c r="K33" s="181">
        <f t="shared" si="1"/>
        <v>0</v>
      </c>
    </row>
    <row r="34" spans="1:11" ht="15" customHeight="1">
      <c r="A34" s="43"/>
      <c r="B34" s="49">
        <f>VLOOKUP($C$29:$C$42,Equipment!$A$1:$B$2322,2,FALSE)</f>
        <v>0</v>
      </c>
      <c r="C34" s="24"/>
      <c r="D34" s="24"/>
      <c r="E34" s="24"/>
      <c r="F34" s="24"/>
      <c r="G34" s="24"/>
      <c r="H34" s="185"/>
      <c r="I34" s="184"/>
      <c r="J34" s="42">
        <f>VLOOKUP($B$29:$B$42,'Alberta Equip. Rates Year 3'!$B$13:$K$314,10,FALSE)</f>
        <v>0</v>
      </c>
      <c r="K34" s="181">
        <f t="shared" si="1"/>
        <v>0</v>
      </c>
    </row>
    <row r="35" spans="1:11" ht="15" customHeight="1">
      <c r="A35" s="43"/>
      <c r="B35" s="49">
        <f>VLOOKUP($C$29:$C$42,Equipment!$A$1:$B$2322,2,FALSE)</f>
        <v>0</v>
      </c>
      <c r="C35" s="24"/>
      <c r="D35" s="24"/>
      <c r="E35" s="24"/>
      <c r="F35" s="24"/>
      <c r="G35" s="24"/>
      <c r="H35" s="185"/>
      <c r="I35" s="184"/>
      <c r="J35" s="42">
        <f>VLOOKUP($B$29:$B$42,'Alberta Equip. Rates Year 3'!$B$13:$K$314,10,FALSE)</f>
        <v>0</v>
      </c>
      <c r="K35" s="181">
        <f t="shared" si="1"/>
        <v>0</v>
      </c>
    </row>
    <row r="36" spans="1:11" ht="15" customHeight="1">
      <c r="A36" s="43"/>
      <c r="B36" s="49">
        <f>VLOOKUP($C$29:$C$42,Equipment!$A$1:$B$2322,2,FALSE)</f>
        <v>0</v>
      </c>
      <c r="C36" s="24"/>
      <c r="D36" s="24"/>
      <c r="E36" s="24"/>
      <c r="F36" s="24"/>
      <c r="G36" s="24"/>
      <c r="H36" s="185"/>
      <c r="I36" s="184"/>
      <c r="J36" s="42">
        <f>VLOOKUP($B$29:$B$42,'Alberta Equip. Rates Year 3'!$B$13:$K$314,10,FALSE)</f>
        <v>0</v>
      </c>
      <c r="K36" s="181">
        <f t="shared" si="1"/>
        <v>0</v>
      </c>
    </row>
    <row r="37" spans="1:11" ht="15" customHeight="1">
      <c r="A37" s="43"/>
      <c r="B37" s="49">
        <f>VLOOKUP($C$29:$C$42,Equipment!$A$1:$B$2322,2,FALSE)</f>
        <v>0</v>
      </c>
      <c r="C37" s="24"/>
      <c r="D37" s="24"/>
      <c r="E37" s="24"/>
      <c r="F37" s="24"/>
      <c r="G37" s="24"/>
      <c r="H37" s="185"/>
      <c r="I37" s="184"/>
      <c r="J37" s="42">
        <f>VLOOKUP($B$29:$B$42,'Alberta Equip. Rates Year 3'!$B$13:$K$314,10,FALSE)</f>
        <v>0</v>
      </c>
      <c r="K37" s="181">
        <f t="shared" si="1"/>
        <v>0</v>
      </c>
    </row>
    <row r="38" spans="1:11" ht="15" customHeight="1">
      <c r="A38" s="43"/>
      <c r="B38" s="49">
        <f>VLOOKUP($C$29:$C$42,Equipment!$A$1:$B$2322,2,FALSE)</f>
        <v>0</v>
      </c>
      <c r="C38" s="24"/>
      <c r="D38" s="24"/>
      <c r="E38" s="24"/>
      <c r="F38" s="24"/>
      <c r="G38" s="24"/>
      <c r="H38" s="185"/>
      <c r="I38" s="184"/>
      <c r="J38" s="42">
        <f>VLOOKUP($B$29:$B$42,'Alberta Equip. Rates Year 3'!$B$13:$K$314,10,FALSE)</f>
        <v>0</v>
      </c>
      <c r="K38" s="181">
        <f t="shared" si="1"/>
        <v>0</v>
      </c>
    </row>
    <row r="39" spans="1:11" ht="15" customHeight="1">
      <c r="A39" s="43"/>
      <c r="B39" s="49">
        <f>VLOOKUP($C$29:$C$42,Equipment!$A$1:$B$2322,2,FALSE)</f>
        <v>0</v>
      </c>
      <c r="C39" s="24"/>
      <c r="D39" s="24"/>
      <c r="E39" s="24"/>
      <c r="F39" s="24"/>
      <c r="G39" s="24"/>
      <c r="H39" s="185"/>
      <c r="I39" s="184"/>
      <c r="J39" s="42">
        <f>VLOOKUP($B$29:$B$42,'Alberta Equip. Rates Year 3'!$B$13:$K$314,10,FALSE)</f>
        <v>0</v>
      </c>
      <c r="K39" s="181">
        <f>(H39+I39)*J39</f>
        <v>0</v>
      </c>
    </row>
    <row r="40" spans="1:11" ht="15" customHeight="1">
      <c r="A40" s="43"/>
      <c r="B40" s="49">
        <f>VLOOKUP($C$29:$C$42,Equipment!$A$1:$B$2322,2,FALSE)</f>
        <v>0</v>
      </c>
      <c r="C40" s="24"/>
      <c r="D40" s="24"/>
      <c r="E40" s="24"/>
      <c r="F40" s="24"/>
      <c r="G40" s="24"/>
      <c r="H40" s="185"/>
      <c r="I40" s="184"/>
      <c r="J40" s="42">
        <f>VLOOKUP($B$29:$B$42,'Alberta Equip. Rates Year 3'!$B$13:$K$314,10,FALSE)</f>
        <v>0</v>
      </c>
      <c r="K40" s="181">
        <f t="shared" si="1"/>
        <v>0</v>
      </c>
    </row>
    <row r="41" spans="1:11" ht="15" customHeight="1">
      <c r="A41" s="43"/>
      <c r="B41" s="49">
        <f>VLOOKUP($C$29:$C$42,Equipment!$A$1:$B$2322,2,FALSE)</f>
        <v>0</v>
      </c>
      <c r="C41" s="24"/>
      <c r="D41" s="24"/>
      <c r="E41" s="24"/>
      <c r="F41" s="24"/>
      <c r="G41" s="24"/>
      <c r="H41" s="185"/>
      <c r="I41" s="184"/>
      <c r="J41" s="42">
        <f>VLOOKUP($B$29:$B$42,'Alberta Equip. Rates Year 3'!$B$13:$K$314,10,FALSE)</f>
        <v>0</v>
      </c>
      <c r="K41" s="181">
        <f t="shared" si="1"/>
        <v>0</v>
      </c>
    </row>
    <row r="42" spans="1:11" ht="15" customHeight="1" thickBot="1">
      <c r="A42" s="43"/>
      <c r="B42" s="49">
        <f>VLOOKUP($C$29:$C$42,Equipment!$A$1:$B$2322,2,FALSE)</f>
        <v>0</v>
      </c>
      <c r="C42" s="24"/>
      <c r="D42" s="24"/>
      <c r="E42" s="24"/>
      <c r="F42" s="24"/>
      <c r="G42" s="24"/>
      <c r="H42" s="185"/>
      <c r="I42" s="184"/>
      <c r="J42" s="42">
        <f>VLOOKUP($B$29:$B$42,'Alberta Equip. Rates Year 3'!$B$13:$K$314,10,FALSE)</f>
        <v>0</v>
      </c>
      <c r="K42" s="181">
        <f t="shared" si="1"/>
        <v>0</v>
      </c>
    </row>
    <row r="43" spans="1:11" ht="12" thickBot="1">
      <c r="A43" s="25"/>
      <c r="B43" s="25"/>
      <c r="C43" s="25"/>
      <c r="D43" s="21"/>
      <c r="E43" s="21"/>
      <c r="F43" s="21"/>
      <c r="G43" s="21"/>
      <c r="H43" s="21"/>
      <c r="I43" s="360" t="s">
        <v>24</v>
      </c>
      <c r="J43" s="361"/>
      <c r="K43" s="182">
        <f>SUM(K29:K42)</f>
        <v>0</v>
      </c>
    </row>
    <row r="44" spans="1:11" ht="12" thickBot="1">
      <c r="A44" s="26"/>
      <c r="D44" s="26"/>
      <c r="I44" s="27"/>
      <c r="J44" s="27"/>
      <c r="K44" s="28"/>
    </row>
    <row r="45" spans="1:11">
      <c r="A45" s="1" t="s">
        <v>25</v>
      </c>
      <c r="B45" s="29"/>
      <c r="D45" s="1"/>
      <c r="E45" s="1"/>
      <c r="F45" s="1"/>
      <c r="G45" s="1"/>
      <c r="H45" s="1"/>
      <c r="I45" s="362" t="s">
        <v>26</v>
      </c>
      <c r="J45" s="362"/>
      <c r="K45" s="37">
        <f>K26</f>
        <v>0</v>
      </c>
    </row>
    <row r="46" spans="1:11">
      <c r="D46" s="1"/>
      <c r="E46" s="1"/>
      <c r="F46" s="1"/>
      <c r="G46" s="1"/>
      <c r="H46" s="1"/>
      <c r="I46" s="362" t="s">
        <v>27</v>
      </c>
      <c r="J46" s="362"/>
      <c r="K46" s="38">
        <f>K43</f>
        <v>0</v>
      </c>
    </row>
    <row r="47" spans="1:11">
      <c r="D47" s="1"/>
      <c r="E47" s="1"/>
      <c r="F47" s="1"/>
      <c r="G47" s="1"/>
      <c r="H47" s="1"/>
      <c r="I47" s="27" t="s">
        <v>28</v>
      </c>
      <c r="J47" s="27"/>
      <c r="K47" s="38">
        <f>(O26)*14.15</f>
        <v>0</v>
      </c>
    </row>
    <row r="48" spans="1:11">
      <c r="D48" s="1"/>
      <c r="E48" s="1"/>
      <c r="F48" s="1"/>
      <c r="G48" s="1"/>
      <c r="H48" s="1"/>
      <c r="I48" s="30" t="s">
        <v>29</v>
      </c>
      <c r="J48" s="30"/>
      <c r="K48" s="39"/>
    </row>
    <row r="49" spans="1:11">
      <c r="D49" s="1"/>
      <c r="E49" s="1"/>
      <c r="F49" s="1"/>
      <c r="G49" s="1"/>
      <c r="H49" s="1"/>
      <c r="I49" s="30" t="s">
        <v>30</v>
      </c>
      <c r="J49" s="30"/>
      <c r="K49" s="39"/>
    </row>
    <row r="50" spans="1:11">
      <c r="D50" s="1"/>
      <c r="E50" s="1"/>
      <c r="F50" s="1"/>
      <c r="G50" s="1"/>
      <c r="H50" s="1"/>
      <c r="I50" s="30" t="s">
        <v>31</v>
      </c>
      <c r="J50" s="30"/>
      <c r="K50" s="39"/>
    </row>
    <row r="51" spans="1:11" ht="12" thickBot="1">
      <c r="D51" s="1"/>
      <c r="E51" s="1"/>
      <c r="F51" s="1"/>
      <c r="G51" s="1"/>
      <c r="H51" s="1"/>
      <c r="I51" s="362" t="s">
        <v>32</v>
      </c>
      <c r="J51" s="362"/>
      <c r="K51" s="40">
        <f>SUM(K45:K50)</f>
        <v>0</v>
      </c>
    </row>
    <row r="52" spans="1:11">
      <c r="D52" s="1"/>
      <c r="E52" s="1"/>
      <c r="F52" s="1"/>
      <c r="G52" s="1"/>
      <c r="H52" s="1"/>
      <c r="I52" s="27"/>
      <c r="J52" s="27"/>
    </row>
    <row r="53" spans="1:11">
      <c r="A53" s="31" t="s">
        <v>33</v>
      </c>
      <c r="B53" s="32"/>
      <c r="C53" s="32"/>
      <c r="D53" s="1"/>
      <c r="H53" s="33" t="s">
        <v>34</v>
      </c>
      <c r="I53" s="32"/>
      <c r="J53" s="32"/>
      <c r="K53" s="32"/>
    </row>
    <row r="54" spans="1:11" ht="15">
      <c r="A54" s="34"/>
      <c r="E54" s="8"/>
      <c r="F54" s="8"/>
      <c r="G54" s="8"/>
      <c r="H54" s="35"/>
      <c r="I54" s="35"/>
      <c r="J54" s="35"/>
      <c r="K54" s="35"/>
    </row>
    <row r="55" spans="1:11" ht="15">
      <c r="A55" s="34" t="s">
        <v>35</v>
      </c>
      <c r="E55" s="8"/>
      <c r="F55" s="8"/>
      <c r="G55" s="8"/>
      <c r="H55" s="35"/>
      <c r="I55" s="35"/>
      <c r="J55" s="35"/>
      <c r="K55" s="35"/>
    </row>
    <row r="56" spans="1:11" s="34" customFormat="1">
      <c r="A56" s="363">
        <v>41218.479166666664</v>
      </c>
      <c r="B56" s="363"/>
      <c r="C56" s="364"/>
      <c r="D56" s="364"/>
      <c r="E56" s="364"/>
      <c r="F56" s="364"/>
      <c r="G56" s="364"/>
      <c r="H56" s="364"/>
      <c r="I56" s="364"/>
      <c r="J56" s="364"/>
      <c r="K56" s="8"/>
    </row>
    <row r="66" s="1" customFormat="1"/>
    <row r="67" s="1" customFormat="1"/>
    <row r="68" s="1" customFormat="1"/>
    <row r="69" s="1" customFormat="1"/>
    <row r="70" s="1" customFormat="1"/>
    <row r="71" s="1" customFormat="1"/>
    <row r="72" s="1" customFormat="1"/>
    <row r="73" s="1" customFormat="1"/>
    <row r="74" s="1" customFormat="1"/>
    <row r="75" s="1" customFormat="1"/>
    <row r="76" s="1" customFormat="1"/>
    <row r="77" s="1" customFormat="1"/>
    <row r="78" s="1" customFormat="1"/>
    <row r="79" s="1" customFormat="1"/>
    <row r="84" s="1" customFormat="1"/>
    <row r="112" s="1" customFormat="1"/>
    <row r="113" s="1" customFormat="1"/>
    <row r="114" s="1" customFormat="1"/>
    <row r="115" s="1" customFormat="1"/>
  </sheetData>
  <mergeCells count="12">
    <mergeCell ref="I26:J26"/>
    <mergeCell ref="C1:H1"/>
    <mergeCell ref="C2:H2"/>
    <mergeCell ref="C3:H3"/>
    <mergeCell ref="H6:I6"/>
    <mergeCell ref="H7:I7"/>
    <mergeCell ref="I43:J43"/>
    <mergeCell ref="I45:J45"/>
    <mergeCell ref="I46:J46"/>
    <mergeCell ref="I51:J51"/>
    <mergeCell ref="A56:B56"/>
    <mergeCell ref="C56:J56"/>
  </mergeCells>
  <printOptions horizontalCentered="1"/>
  <pageMargins left="0.19685039370078741" right="0.19685039370078741" top="0.39370078740157483" bottom="0.39370078740157483" header="0" footer="0"/>
  <pageSetup orientation="portrait" horizontalDpi="4294967292" verticalDpi="4294967292"/>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700-000000000000}">
          <x14:formula1>
            <xm:f>Accounts!$A$4:$A$60</xm:f>
          </x14:formula1>
          <xm:sqref>K7</xm:sqref>
        </x14:dataValidation>
        <x14:dataValidation type="list" allowBlank="1" showInputMessage="1" showErrorMessage="1" xr:uid="{00000000-0002-0000-0700-000001000000}">
          <x14:formula1>
            <xm:f>'Constr. Wage Rate Calculations'!$A$19:$A$288</xm:f>
          </x14:formula1>
          <xm:sqref>B11:B25</xm:sqref>
        </x14:dataValidation>
        <x14:dataValidation type="list" allowBlank="1" showInputMessage="1" showErrorMessage="1" xr:uid="{00000000-0002-0000-0700-000002000000}">
          <x14:formula1>
            <xm:f>Personnel!$A:$A</xm:f>
          </x14:formula1>
          <xm:sqref>C11:C25</xm:sqref>
        </x14:dataValidation>
        <x14:dataValidation type="list" allowBlank="1" showInputMessage="1" showErrorMessage="1" xr:uid="{00000000-0002-0000-0700-000003000000}">
          <x14:formula1>
            <xm:f>Equipment!$A:$A</xm:f>
          </x14:formula1>
          <xm:sqref>C29:C42</xm:sqref>
        </x14:dataValidation>
      </x14:dataValidations>
    </ex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O115"/>
  <sheetViews>
    <sheetView topLeftCell="B1" zoomScale="120" zoomScaleNormal="120" zoomScalePageLayoutView="120" workbookViewId="0">
      <selection activeCell="J21" sqref="J21"/>
    </sheetView>
  </sheetViews>
  <sheetFormatPr baseColWidth="10" defaultColWidth="8.83203125" defaultRowHeight="11"/>
  <cols>
    <col min="1" max="1" width="13" style="1" customWidth="1"/>
    <col min="2" max="2" width="30" style="1" customWidth="1"/>
    <col min="3" max="3" width="24.5" style="1" customWidth="1"/>
    <col min="4" max="4" width="8.6640625" style="2" customWidth="1"/>
    <col min="5" max="6" width="8.33203125" style="2" customWidth="1"/>
    <col min="7" max="8" width="8.6640625" style="2" customWidth="1"/>
    <col min="9" max="9" width="9.33203125" style="2" customWidth="1"/>
    <col min="10" max="10" width="8.6640625" style="2" customWidth="1"/>
    <col min="11" max="11" width="21.6640625" style="1" customWidth="1"/>
    <col min="12" max="12" width="3.5" style="1" hidden="1" customWidth="1"/>
    <col min="13" max="16384" width="8.83203125" style="1"/>
  </cols>
  <sheetData>
    <row r="1" spans="1:13" ht="15">
      <c r="C1" s="364"/>
      <c r="D1" s="365"/>
      <c r="E1" s="365"/>
      <c r="F1" s="365"/>
      <c r="G1" s="365"/>
      <c r="H1" s="366"/>
      <c r="J1" s="2" t="s">
        <v>0</v>
      </c>
      <c r="K1" s="197"/>
      <c r="M1" s="45"/>
    </row>
    <row r="2" spans="1:13" ht="15">
      <c r="C2" s="367"/>
      <c r="D2" s="367"/>
      <c r="E2" s="367"/>
      <c r="F2" s="367"/>
      <c r="G2" s="367"/>
      <c r="H2" s="366"/>
      <c r="K2" s="41"/>
    </row>
    <row r="3" spans="1:13" ht="15">
      <c r="C3" s="368"/>
      <c r="D3" s="369"/>
      <c r="E3" s="369"/>
      <c r="F3" s="369"/>
      <c r="G3" s="369"/>
      <c r="H3" s="366"/>
    </row>
    <row r="4" spans="1:13">
      <c r="C4" s="3"/>
      <c r="D4" s="4"/>
      <c r="E4" s="4"/>
      <c r="F4" s="4"/>
      <c r="G4" s="4"/>
    </row>
    <row r="5" spans="1:13">
      <c r="C5" s="3"/>
      <c r="D5" s="4"/>
      <c r="E5" s="4"/>
      <c r="F5" s="4"/>
      <c r="G5" s="4"/>
    </row>
    <row r="6" spans="1:13" ht="12">
      <c r="B6" s="5"/>
      <c r="C6" s="6"/>
      <c r="D6" s="7"/>
      <c r="E6" s="8"/>
      <c r="F6" s="8"/>
      <c r="G6" s="1" t="s">
        <v>1</v>
      </c>
      <c r="H6" s="370"/>
      <c r="I6" s="370"/>
      <c r="J6" s="1" t="s">
        <v>2</v>
      </c>
      <c r="K6" s="47"/>
    </row>
    <row r="7" spans="1:13" ht="12">
      <c r="A7" s="1" t="s">
        <v>3</v>
      </c>
      <c r="B7" s="9"/>
      <c r="C7" s="10"/>
      <c r="D7" s="11"/>
      <c r="E7" s="8"/>
      <c r="F7" s="8"/>
      <c r="G7" s="1" t="s">
        <v>4</v>
      </c>
      <c r="H7" s="371"/>
      <c r="I7" s="371"/>
      <c r="J7" s="1" t="s">
        <v>5</v>
      </c>
      <c r="K7" s="46"/>
    </row>
    <row r="8" spans="1:13" ht="12">
      <c r="B8" s="12"/>
      <c r="C8" s="13"/>
      <c r="D8" s="14"/>
      <c r="E8" s="8"/>
      <c r="F8" s="8"/>
      <c r="G8" s="1" t="s">
        <v>6</v>
      </c>
      <c r="H8" s="187"/>
      <c r="I8" s="188"/>
      <c r="J8" s="44"/>
    </row>
    <row r="9" spans="1:13" ht="16" thickBot="1">
      <c r="B9" s="15"/>
      <c r="C9" s="16"/>
      <c r="D9" s="16"/>
      <c r="E9" s="8"/>
      <c r="F9" s="8"/>
      <c r="G9" s="8"/>
    </row>
    <row r="10" spans="1:13" s="19" customFormat="1" ht="12" thickBot="1">
      <c r="A10" s="17" t="s">
        <v>7</v>
      </c>
      <c r="B10" s="17" t="s">
        <v>8</v>
      </c>
      <c r="C10" s="17" t="s">
        <v>9</v>
      </c>
      <c r="D10" s="18" t="s">
        <v>10</v>
      </c>
      <c r="E10" s="18" t="s">
        <v>11</v>
      </c>
      <c r="F10" s="18" t="s">
        <v>12</v>
      </c>
      <c r="G10" s="180" t="s">
        <v>13</v>
      </c>
      <c r="H10" s="18" t="s">
        <v>14</v>
      </c>
      <c r="I10" s="18" t="s">
        <v>15</v>
      </c>
      <c r="J10" s="18" t="s">
        <v>16</v>
      </c>
      <c r="K10" s="18" t="s">
        <v>17</v>
      </c>
      <c r="M10" s="19" t="s">
        <v>1797</v>
      </c>
    </row>
    <row r="11" spans="1:13" ht="15" customHeight="1">
      <c r="A11" s="48"/>
      <c r="B11" s="49">
        <f>VLOOKUP($C$11:$C$25,Personnel!$A$1:$B$1234,2,FALSE)</f>
        <v>0</v>
      </c>
      <c r="C11" s="36"/>
      <c r="D11" s="184"/>
      <c r="E11" s="179">
        <f>VLOOKUP($B$11:$B$25,'Constr. Wage Rate Calculations'!$A$19:$Z$288,22,FALSE)</f>
        <v>0</v>
      </c>
      <c r="F11" s="184"/>
      <c r="G11" s="179">
        <f>VLOOKUP($B$11:$B$25,'Constr. Wage Rate Calculations'!$A$19:$Z$288,23,FALSE)</f>
        <v>0</v>
      </c>
      <c r="H11" s="184"/>
      <c r="I11" s="179">
        <f>VLOOKUP($B$11:$B$25,'Constr. Wage Rate Calculations'!$A$19:$Z$288,24,FALSE)</f>
        <v>0</v>
      </c>
      <c r="J11" s="20">
        <f>VLOOKUP($B$11:$B$25,'Constr. Wage Rate Calculations'!$A$19:$Z$288,25,FALSE)</f>
        <v>0</v>
      </c>
      <c r="K11" s="179" t="str">
        <f>IF($D11&gt;=1,$J11+(D11*E11)+(F11*G11)+(H11*I11),IF($F11&gt;=1,$J11+(D11*E11)+(F11*G11)+(H11*I11),IF($H11&gt;=1,$J11+(D11*E11)+(F11*G11)+(H11*I11),"")))</f>
        <v/>
      </c>
    </row>
    <row r="12" spans="1:13" ht="15" customHeight="1">
      <c r="A12" s="48"/>
      <c r="B12" s="49">
        <f>VLOOKUP($C$11:$C$25,Personnel!$A$1:$B$1234,2,FALSE)</f>
        <v>0</v>
      </c>
      <c r="C12" s="36"/>
      <c r="D12" s="184"/>
      <c r="E12" s="179">
        <f>VLOOKUP($B$11:$B$25,'Constr. Wage Rate Calculations'!$A$19:$Z$288,22,FALSE)</f>
        <v>0</v>
      </c>
      <c r="F12" s="184"/>
      <c r="G12" s="179">
        <f>VLOOKUP($B$11:$B$25,'Constr. Wage Rate Calculations'!$A$19:$Z$288,23,FALSE)</f>
        <v>0</v>
      </c>
      <c r="H12" s="184"/>
      <c r="I12" s="179">
        <f>VLOOKUP($B$11:$B$25,'Constr. Wage Rate Calculations'!$A$19:$Z$288,24,FALSE)</f>
        <v>0</v>
      </c>
      <c r="J12" s="20">
        <f>VLOOKUP($B$11:$B$25,'Constr. Wage Rate Calculations'!$A$19:$Z$288,25,FALSE)</f>
        <v>0</v>
      </c>
      <c r="K12" s="179" t="str">
        <f>IF($D12&gt;=1,$J12+(D12*E12)+(F12*G12)+(H12*I12),IF($F12&gt;=1,$J12+(D12*E12)+(F12*G12)+(H12*I12),IF($H12&gt;=1,$J12+(D12*E12)+(F12*G12)+(H12*I12),"")))</f>
        <v/>
      </c>
    </row>
    <row r="13" spans="1:13" ht="15" customHeight="1">
      <c r="A13" s="48"/>
      <c r="B13" s="49">
        <f>VLOOKUP($C$11:$C$25,Personnel!$A$1:$B$1234,2,FALSE)</f>
        <v>0</v>
      </c>
      <c r="C13" s="36"/>
      <c r="D13" s="184"/>
      <c r="E13" s="179">
        <f>VLOOKUP($B$11:$B$25,'Constr. Wage Rate Calculations'!$A$19:$Z$288,22,FALSE)</f>
        <v>0</v>
      </c>
      <c r="F13" s="184"/>
      <c r="G13" s="179">
        <f>VLOOKUP($B$11:$B$25,'Constr. Wage Rate Calculations'!$A$19:$Z$288,23,FALSE)</f>
        <v>0</v>
      </c>
      <c r="H13" s="184"/>
      <c r="I13" s="179">
        <f>VLOOKUP($B$11:$B$25,'Constr. Wage Rate Calculations'!$A$19:$Z$288,24,FALSE)</f>
        <v>0</v>
      </c>
      <c r="J13" s="20">
        <f>VLOOKUP($B$11:$B$25,'Constr. Wage Rate Calculations'!$A$19:$Z$288,25,FALSE)</f>
        <v>0</v>
      </c>
      <c r="K13" s="179" t="str">
        <f>IF($D13&gt;=1,$J13+(D13*E13)+(F13*G13)+(H13*I13),IF($F13&gt;=1,$J13+(D13*E13)+(F13*G13)+(H13*I13),IF($H13&gt;=1,$J13+(D13*E13)+(F13*G13)+(H13*I13),"")))</f>
        <v/>
      </c>
    </row>
    <row r="14" spans="1:13" ht="15" customHeight="1">
      <c r="A14" s="48"/>
      <c r="B14" s="49">
        <f>VLOOKUP($C$11:$C$25,Personnel!$A$1:$B$1234,2,FALSE)</f>
        <v>0</v>
      </c>
      <c r="C14" s="36"/>
      <c r="D14" s="184"/>
      <c r="E14" s="179">
        <f>VLOOKUP($B$11:$B$25,'Constr. Wage Rate Calculations'!$A$19:$Z$288,22,FALSE)</f>
        <v>0</v>
      </c>
      <c r="F14" s="184"/>
      <c r="G14" s="179">
        <f>VLOOKUP($B$11:$B$25,'Constr. Wage Rate Calculations'!$A$19:$Z$288,23,FALSE)</f>
        <v>0</v>
      </c>
      <c r="H14" s="184"/>
      <c r="I14" s="179">
        <f>VLOOKUP($B$11:$B$25,'Constr. Wage Rate Calculations'!$A$19:$Z$288,24,FALSE)</f>
        <v>0</v>
      </c>
      <c r="J14" s="20">
        <f>VLOOKUP($B$11:$B$25,'Constr. Wage Rate Calculations'!$A$19:$Z$288,25,FALSE)</f>
        <v>0</v>
      </c>
      <c r="K14" s="179" t="str">
        <f t="shared" ref="K14:K25" si="0">IF($D14&gt;=1,$J14+(D14*E14)+(F14*G14)+(H14*I14),IF($F14&gt;=1,$J14+(D14*E14)+(F14*G14)+(H14*I14),IF($H14&gt;=1,$J14+(D14*E14)+(F14*G14)+(H14*I14),"")))</f>
        <v/>
      </c>
    </row>
    <row r="15" spans="1:13" ht="15" customHeight="1">
      <c r="A15" s="48"/>
      <c r="B15" s="49">
        <f>VLOOKUP($C$11:$C$25,Personnel!$A$1:$B$1234,2,FALSE)</f>
        <v>0</v>
      </c>
      <c r="C15" s="36"/>
      <c r="D15" s="184"/>
      <c r="E15" s="179">
        <f>VLOOKUP($B$11:$B$25,'Constr. Wage Rate Calculations'!$A$19:$Z$288,22,FALSE)</f>
        <v>0</v>
      </c>
      <c r="F15" s="184"/>
      <c r="G15" s="179">
        <f>VLOOKUP($B$11:$B$25,'Constr. Wage Rate Calculations'!$A$19:$Z$288,23,FALSE)</f>
        <v>0</v>
      </c>
      <c r="H15" s="184"/>
      <c r="I15" s="179">
        <f>VLOOKUP($B$11:$B$25,'Constr. Wage Rate Calculations'!$A$19:$Z$288,24,FALSE)</f>
        <v>0</v>
      </c>
      <c r="J15" s="20">
        <f>VLOOKUP($B$11:$B$25,'Constr. Wage Rate Calculations'!$A$19:$Z$288,25,FALSE)</f>
        <v>0</v>
      </c>
      <c r="K15" s="179" t="str">
        <f t="shared" si="0"/>
        <v/>
      </c>
    </row>
    <row r="16" spans="1:13" ht="15" customHeight="1">
      <c r="A16" s="48"/>
      <c r="B16" s="49">
        <f>VLOOKUP($C$11:$C$25,Personnel!$A$1:$B$1234,2,FALSE)</f>
        <v>0</v>
      </c>
      <c r="C16" s="36"/>
      <c r="D16" s="184"/>
      <c r="E16" s="179">
        <f>VLOOKUP($B$11:$B$25,'Constr. Wage Rate Calculations'!$A$19:$Z$288,22,FALSE)</f>
        <v>0</v>
      </c>
      <c r="F16" s="184"/>
      <c r="G16" s="179">
        <f>VLOOKUP($B$11:$B$25,'Constr. Wage Rate Calculations'!$A$19:$Z$288,23,FALSE)</f>
        <v>0</v>
      </c>
      <c r="H16" s="184"/>
      <c r="I16" s="179">
        <f>VLOOKUP($B$11:$B$25,'Constr. Wage Rate Calculations'!$A$19:$Z$288,24,FALSE)</f>
        <v>0</v>
      </c>
      <c r="J16" s="20">
        <f>VLOOKUP($B$11:$B$25,'Constr. Wage Rate Calculations'!$A$19:$Z$288,25,FALSE)</f>
        <v>0</v>
      </c>
      <c r="K16" s="179" t="str">
        <f t="shared" si="0"/>
        <v/>
      </c>
    </row>
    <row r="17" spans="1:15" ht="15" customHeight="1">
      <c r="A17" s="48"/>
      <c r="B17" s="49">
        <f>VLOOKUP($C$11:$C$25,Personnel!$A$1:$B$1234,2,FALSE)</f>
        <v>0</v>
      </c>
      <c r="C17" s="36"/>
      <c r="D17" s="184"/>
      <c r="E17" s="179">
        <f>VLOOKUP($B$11:$B$25,'Constr. Wage Rate Calculations'!$A$19:$Z$288,22,FALSE)</f>
        <v>0</v>
      </c>
      <c r="F17" s="184"/>
      <c r="G17" s="179">
        <f>VLOOKUP($B$11:$B$25,'Constr. Wage Rate Calculations'!$A$19:$Z$288,23,FALSE)</f>
        <v>0</v>
      </c>
      <c r="H17" s="184"/>
      <c r="I17" s="179">
        <f>VLOOKUP($B$11:$B$25,'Constr. Wage Rate Calculations'!$A$19:$Z$288,24,FALSE)</f>
        <v>0</v>
      </c>
      <c r="J17" s="20">
        <f>VLOOKUP($B$11:$B$25,'Constr. Wage Rate Calculations'!$A$19:$Z$288,25,FALSE)</f>
        <v>0</v>
      </c>
      <c r="K17" s="179" t="str">
        <f t="shared" si="0"/>
        <v/>
      </c>
    </row>
    <row r="18" spans="1:15" ht="15" customHeight="1">
      <c r="A18" s="48"/>
      <c r="B18" s="49">
        <f>VLOOKUP($C$11:$C$25,Personnel!$A$1:$B$1234,2,FALSE)</f>
        <v>0</v>
      </c>
      <c r="C18" s="36"/>
      <c r="D18" s="184"/>
      <c r="E18" s="179">
        <f>VLOOKUP($B$11:$B$25,'Constr. Wage Rate Calculations'!$A$19:$Z$288,22,FALSE)</f>
        <v>0</v>
      </c>
      <c r="F18" s="184"/>
      <c r="G18" s="179">
        <f>VLOOKUP($B$11:$B$25,'Constr. Wage Rate Calculations'!$A$19:$Z$288,23,FALSE)</f>
        <v>0</v>
      </c>
      <c r="H18" s="184"/>
      <c r="I18" s="179">
        <f>VLOOKUP($B$11:$B$25,'Constr. Wage Rate Calculations'!$A$19:$Z$288,24,FALSE)</f>
        <v>0</v>
      </c>
      <c r="J18" s="20">
        <f>VLOOKUP($B$11:$B$25,'Constr. Wage Rate Calculations'!$A$19:$Z$288,25,FALSE)</f>
        <v>0</v>
      </c>
      <c r="K18" s="179" t="str">
        <f t="shared" si="0"/>
        <v/>
      </c>
    </row>
    <row r="19" spans="1:15" ht="15" customHeight="1">
      <c r="A19" s="48"/>
      <c r="B19" s="49">
        <f>VLOOKUP($C$11:$C$25,Personnel!$A$1:$B$1234,2,FALSE)</f>
        <v>0</v>
      </c>
      <c r="C19" s="36"/>
      <c r="D19" s="184"/>
      <c r="E19" s="179">
        <f>VLOOKUP($B$11:$B$25,'Constr. Wage Rate Calculations'!$A$19:$Z$288,22,FALSE)</f>
        <v>0</v>
      </c>
      <c r="F19" s="184"/>
      <c r="G19" s="179">
        <f>VLOOKUP($B$11:$B$25,'Constr. Wage Rate Calculations'!$A$19:$Z$288,23,FALSE)</f>
        <v>0</v>
      </c>
      <c r="H19" s="184"/>
      <c r="I19" s="179">
        <f>VLOOKUP($B$11:$B$25,'Constr. Wage Rate Calculations'!$A$19:$Z$288,24,FALSE)</f>
        <v>0</v>
      </c>
      <c r="J19" s="20">
        <f>VLOOKUP($B$11:$B$25,'Constr. Wage Rate Calculations'!$A$19:$Z$288,25,FALSE)</f>
        <v>0</v>
      </c>
      <c r="K19" s="179" t="str">
        <f t="shared" si="0"/>
        <v/>
      </c>
    </row>
    <row r="20" spans="1:15" ht="15" customHeight="1">
      <c r="A20" s="48"/>
      <c r="B20" s="49">
        <f>VLOOKUP($C$11:$C$25,Personnel!$A$1:$B$1234,2,FALSE)</f>
        <v>0</v>
      </c>
      <c r="C20" s="36"/>
      <c r="D20" s="184"/>
      <c r="E20" s="179">
        <f>VLOOKUP($B$11:$B$25,'Constr. Wage Rate Calculations'!$A$19:$Z$288,22,FALSE)</f>
        <v>0</v>
      </c>
      <c r="F20" s="184"/>
      <c r="G20" s="179">
        <f>VLOOKUP($B$11:$B$25,'Constr. Wage Rate Calculations'!$A$19:$Z$288,23,FALSE)</f>
        <v>0</v>
      </c>
      <c r="H20" s="184"/>
      <c r="I20" s="179">
        <f>VLOOKUP($B$11:$B$25,'Constr. Wage Rate Calculations'!$A$19:$Z$288,24,FALSE)</f>
        <v>0</v>
      </c>
      <c r="J20" s="20">
        <f>VLOOKUP($B$11:$B$25,'Constr. Wage Rate Calculations'!$A$19:$Z$288,25,FALSE)</f>
        <v>0</v>
      </c>
      <c r="K20" s="179" t="str">
        <f t="shared" si="0"/>
        <v/>
      </c>
    </row>
    <row r="21" spans="1:15" ht="15" customHeight="1">
      <c r="A21" s="48"/>
      <c r="B21" s="49">
        <f>VLOOKUP($C$11:$C$25,Personnel!$A$1:$B$1234,2,FALSE)</f>
        <v>0</v>
      </c>
      <c r="C21" s="36"/>
      <c r="D21" s="184"/>
      <c r="E21" s="179">
        <f>VLOOKUP($B$11:$B$25,'Constr. Wage Rate Calculations'!$A$19:$Z$288,22,FALSE)</f>
        <v>0</v>
      </c>
      <c r="F21" s="184"/>
      <c r="G21" s="179">
        <f>VLOOKUP($B$11:$B$25,'Constr. Wage Rate Calculations'!$A$19:$Z$288,23,FALSE)</f>
        <v>0</v>
      </c>
      <c r="H21" s="184"/>
      <c r="I21" s="179">
        <f>VLOOKUP($B$11:$B$25,'Constr. Wage Rate Calculations'!$A$19:$Z$288,24,FALSE)</f>
        <v>0</v>
      </c>
      <c r="J21" s="20">
        <f>VLOOKUP($B$11:$B$25,'Constr. Wage Rate Calculations'!$A$19:$Z$288,25,FALSE)</f>
        <v>0</v>
      </c>
      <c r="K21" s="179" t="str">
        <f t="shared" si="0"/>
        <v/>
      </c>
    </row>
    <row r="22" spans="1:15" ht="15" customHeight="1">
      <c r="A22" s="48"/>
      <c r="B22" s="49">
        <f>VLOOKUP($C$11:$C$25,Personnel!$A$1:$B$1234,2,FALSE)</f>
        <v>0</v>
      </c>
      <c r="C22" s="36"/>
      <c r="D22" s="184"/>
      <c r="E22" s="179">
        <f>VLOOKUP($B$11:$B$25,'Constr. Wage Rate Calculations'!$A$19:$Z$288,22,FALSE)</f>
        <v>0</v>
      </c>
      <c r="F22" s="184"/>
      <c r="G22" s="179">
        <f>VLOOKUP($B$11:$B$25,'Constr. Wage Rate Calculations'!$A$19:$Z$288,23,FALSE)</f>
        <v>0</v>
      </c>
      <c r="H22" s="184"/>
      <c r="I22" s="179">
        <f>VLOOKUP($B$11:$B$25,'Constr. Wage Rate Calculations'!$A$19:$Z$288,24,FALSE)</f>
        <v>0</v>
      </c>
      <c r="J22" s="20">
        <f>VLOOKUP($B$11:$B$25,'Constr. Wage Rate Calculations'!$A$19:$Z$288,25,FALSE)</f>
        <v>0</v>
      </c>
      <c r="K22" s="179" t="str">
        <f>IF($D22&gt;=1,$J22+(D22*E22)+(F22*G22)+(H22*I22),IF($F22&gt;=1,$J22+(D22*E22)+(F22*G22)+(H22*I22),IF($H22&gt;=1,$J22+(D22*E22)+(F22*G22)+(H22*I22),"")))</f>
        <v/>
      </c>
    </row>
    <row r="23" spans="1:15" ht="15" customHeight="1">
      <c r="A23" s="48"/>
      <c r="B23" s="49">
        <f>VLOOKUP($C$11:$C$25,Personnel!$A$1:$B$1234,2,FALSE)</f>
        <v>0</v>
      </c>
      <c r="C23" s="36"/>
      <c r="D23" s="184"/>
      <c r="E23" s="179">
        <f>VLOOKUP($B$11:$B$25,'Constr. Wage Rate Calculations'!$A$19:$Z$288,22,FALSE)</f>
        <v>0</v>
      </c>
      <c r="F23" s="184"/>
      <c r="G23" s="179">
        <f>VLOOKUP($B$11:$B$25,'Constr. Wage Rate Calculations'!$A$19:$Z$288,23,FALSE)</f>
        <v>0</v>
      </c>
      <c r="H23" s="184"/>
      <c r="I23" s="179">
        <f>VLOOKUP($B$11:$B$25,'Constr. Wage Rate Calculations'!$A$19:$Z$288,24,FALSE)</f>
        <v>0</v>
      </c>
      <c r="J23" s="20">
        <f>VLOOKUP($B$11:$B$25,'Constr. Wage Rate Calculations'!$A$19:$Z$288,25,FALSE)</f>
        <v>0</v>
      </c>
      <c r="K23" s="179" t="str">
        <f t="shared" si="0"/>
        <v/>
      </c>
    </row>
    <row r="24" spans="1:15" ht="15" customHeight="1">
      <c r="A24" s="48"/>
      <c r="B24" s="49">
        <f>VLOOKUP($C$11:$C$25,Personnel!$A$1:$B$1234,2,FALSE)</f>
        <v>0</v>
      </c>
      <c r="C24" s="36"/>
      <c r="D24" s="184"/>
      <c r="E24" s="179">
        <f>VLOOKUP($B$11:$B$25,'Constr. Wage Rate Calculations'!$A$19:$Z$288,22,FALSE)</f>
        <v>0</v>
      </c>
      <c r="F24" s="184"/>
      <c r="G24" s="179">
        <f>VLOOKUP($B$11:$B$25,'Constr. Wage Rate Calculations'!$A$19:$Z$288,23,FALSE)</f>
        <v>0</v>
      </c>
      <c r="H24" s="184"/>
      <c r="I24" s="179">
        <f>VLOOKUP($B$11:$B$25,'Constr. Wage Rate Calculations'!$A$19:$Z$288,24,FALSE)</f>
        <v>0</v>
      </c>
      <c r="J24" s="20">
        <f>VLOOKUP($B$11:$B$25,'Constr. Wage Rate Calculations'!$A$19:$Z$288,25,FALSE)</f>
        <v>0</v>
      </c>
      <c r="K24" s="179" t="str">
        <f t="shared" si="0"/>
        <v/>
      </c>
    </row>
    <row r="25" spans="1:15" ht="15" customHeight="1" thickBot="1">
      <c r="A25" s="48"/>
      <c r="B25" s="49">
        <f>VLOOKUP($C$11:$C$25,Personnel!$A$1:$B$1234,2,FALSE)</f>
        <v>0</v>
      </c>
      <c r="C25" s="36"/>
      <c r="D25" s="184"/>
      <c r="E25" s="179">
        <f>VLOOKUP($B$11:$B$25,'Constr. Wage Rate Calculations'!$A$19:$Z$288,22,FALSE)</f>
        <v>0</v>
      </c>
      <c r="F25" s="184"/>
      <c r="G25" s="179">
        <f>VLOOKUP($B$11:$B$25,'Constr. Wage Rate Calculations'!$A$19:$Z$288,23,FALSE)</f>
        <v>0</v>
      </c>
      <c r="H25" s="184"/>
      <c r="I25" s="179">
        <f>VLOOKUP($B$11:$B$25,'Constr. Wage Rate Calculations'!$A$19:$Z$288,24,FALSE)</f>
        <v>0</v>
      </c>
      <c r="J25" s="20">
        <f>VLOOKUP($B$11:$B$25,'Constr. Wage Rate Calculations'!$A$19:$Z$288,25,FALSE)</f>
        <v>0</v>
      </c>
      <c r="K25" s="179" t="str">
        <f t="shared" si="0"/>
        <v/>
      </c>
      <c r="M25" s="1">
        <f>SUM(M11:M24)</f>
        <v>0</v>
      </c>
    </row>
    <row r="26" spans="1:15" ht="15" customHeight="1" thickBot="1">
      <c r="A26"/>
      <c r="B26"/>
      <c r="C26"/>
      <c r="D26" s="21"/>
      <c r="E26" s="21"/>
      <c r="F26" s="21"/>
      <c r="G26" s="21"/>
      <c r="H26" s="21"/>
      <c r="I26" s="360" t="s">
        <v>18</v>
      </c>
      <c r="J26" s="361"/>
      <c r="K26" s="183">
        <f>SUM(K11:K25)</f>
        <v>0</v>
      </c>
      <c r="M26" s="1">
        <f>SUMIFS(D11:D25,D11:D25,"&lt;3",D11:D25,"&lt;5")</f>
        <v>0</v>
      </c>
      <c r="N26" s="1">
        <f>SUMIFS(D11:D25,D11:D25,"&gt;3",D11:D25,"&gt;5")</f>
        <v>0</v>
      </c>
      <c r="O26" s="1">
        <f>SUM(F11:F25,H11:H25,M26,N26)-M25</f>
        <v>0</v>
      </c>
    </row>
    <row r="27" spans="1:15" ht="10" customHeight="1" thickBot="1"/>
    <row r="28" spans="1:15" s="19" customFormat="1" ht="15" customHeight="1" thickBot="1">
      <c r="A28" s="22" t="s">
        <v>19</v>
      </c>
      <c r="B28" s="23" t="s">
        <v>20</v>
      </c>
      <c r="C28" s="23"/>
      <c r="D28" s="23"/>
      <c r="E28" s="23"/>
      <c r="F28" s="23"/>
      <c r="G28" s="23"/>
      <c r="H28" s="18" t="s">
        <v>21</v>
      </c>
      <c r="I28" s="18" t="s">
        <v>22</v>
      </c>
      <c r="J28" s="18" t="s">
        <v>23</v>
      </c>
      <c r="K28" s="18" t="s">
        <v>17</v>
      </c>
    </row>
    <row r="29" spans="1:15" ht="15" customHeight="1">
      <c r="A29" s="43"/>
      <c r="B29" s="49">
        <f>VLOOKUP($C$29:$C$42,Equipment!$A$1:$B$2322,2,FALSE)</f>
        <v>0</v>
      </c>
      <c r="C29" s="24"/>
      <c r="D29" s="24"/>
      <c r="E29" s="24"/>
      <c r="F29" s="24"/>
      <c r="G29" s="24"/>
      <c r="H29" s="185"/>
      <c r="I29" s="184"/>
      <c r="J29" s="42">
        <f>VLOOKUP($B$29:$B$42,'Alberta Equip. Rates Year 3'!$B$13:$K$314,10,FALSE)</f>
        <v>0</v>
      </c>
      <c r="K29" s="181">
        <f>(H29+I29)*J29</f>
        <v>0</v>
      </c>
    </row>
    <row r="30" spans="1:15" ht="15" customHeight="1">
      <c r="A30" s="43"/>
      <c r="B30" s="49">
        <f>VLOOKUP($C$29:$C$42,Equipment!$A$1:$B$2322,2,FALSE)</f>
        <v>0</v>
      </c>
      <c r="C30" s="24"/>
      <c r="D30" s="24"/>
      <c r="E30" s="24"/>
      <c r="F30" s="24"/>
      <c r="G30" s="24"/>
      <c r="H30" s="185"/>
      <c r="I30" s="184"/>
      <c r="J30" s="42">
        <f>VLOOKUP($B$29:$B$42,'Alberta Equip. Rates Year 3'!$B$13:$K$314,10,FALSE)</f>
        <v>0</v>
      </c>
      <c r="K30" s="181">
        <f t="shared" ref="K30:K42" si="1">(H30+I30)*J30</f>
        <v>0</v>
      </c>
    </row>
    <row r="31" spans="1:15" ht="15" customHeight="1">
      <c r="A31" s="43"/>
      <c r="B31" s="49">
        <f>VLOOKUP($C$29:$C$42,Equipment!$A$1:$B$2322,2,FALSE)</f>
        <v>0</v>
      </c>
      <c r="C31" s="24"/>
      <c r="D31" s="24"/>
      <c r="E31" s="24"/>
      <c r="F31" s="24"/>
      <c r="G31" s="24"/>
      <c r="H31" s="185"/>
      <c r="I31" s="184"/>
      <c r="J31" s="42">
        <f>VLOOKUP($B$29:$B$42,'Alberta Equip. Rates Year 3'!$B$13:$K$314,10,FALSE)</f>
        <v>0</v>
      </c>
      <c r="K31" s="181">
        <f t="shared" si="1"/>
        <v>0</v>
      </c>
    </row>
    <row r="32" spans="1:15" ht="15" customHeight="1">
      <c r="A32" s="43"/>
      <c r="B32" s="49">
        <f>VLOOKUP($C$29:$C$42,Equipment!$A$1:$B$2322,2,FALSE)</f>
        <v>0</v>
      </c>
      <c r="C32" s="24"/>
      <c r="D32" s="24"/>
      <c r="E32" s="24"/>
      <c r="F32" s="24"/>
      <c r="G32" s="24"/>
      <c r="H32" s="185"/>
      <c r="I32" s="184"/>
      <c r="J32" s="42">
        <f>VLOOKUP($B$29:$B$42,'Alberta Equip. Rates Year 3'!$B$13:$K$314,10,FALSE)</f>
        <v>0</v>
      </c>
      <c r="K32" s="181">
        <f t="shared" si="1"/>
        <v>0</v>
      </c>
    </row>
    <row r="33" spans="1:11" ht="15" customHeight="1">
      <c r="A33" s="43"/>
      <c r="B33" s="49">
        <f>VLOOKUP($C$29:$C$42,Equipment!$A$1:$B$2322,2,FALSE)</f>
        <v>0</v>
      </c>
      <c r="C33" s="24"/>
      <c r="D33" s="24"/>
      <c r="E33" s="24"/>
      <c r="F33" s="24"/>
      <c r="G33" s="24"/>
      <c r="H33" s="185"/>
      <c r="I33" s="184"/>
      <c r="J33" s="42">
        <f>VLOOKUP($B$29:$B$42,'Alberta Equip. Rates Year 3'!$B$13:$K$314,10,FALSE)</f>
        <v>0</v>
      </c>
      <c r="K33" s="181">
        <f t="shared" si="1"/>
        <v>0</v>
      </c>
    </row>
    <row r="34" spans="1:11" ht="15" customHeight="1">
      <c r="A34" s="43"/>
      <c r="B34" s="49">
        <f>VLOOKUP($C$29:$C$42,Equipment!$A$1:$B$2322,2,FALSE)</f>
        <v>0</v>
      </c>
      <c r="C34" s="24"/>
      <c r="D34" s="24"/>
      <c r="E34" s="24"/>
      <c r="F34" s="24"/>
      <c r="G34" s="24"/>
      <c r="H34" s="185"/>
      <c r="I34" s="184"/>
      <c r="J34" s="42">
        <f>VLOOKUP($B$29:$B$42,'Alberta Equip. Rates Year 3'!$B$13:$K$314,10,FALSE)</f>
        <v>0</v>
      </c>
      <c r="K34" s="181">
        <f t="shared" si="1"/>
        <v>0</v>
      </c>
    </row>
    <row r="35" spans="1:11" ht="15" customHeight="1">
      <c r="A35" s="43"/>
      <c r="B35" s="49">
        <f>VLOOKUP($C$29:$C$42,Equipment!$A$1:$B$2322,2,FALSE)</f>
        <v>0</v>
      </c>
      <c r="C35" s="24"/>
      <c r="D35" s="24"/>
      <c r="E35" s="24"/>
      <c r="F35" s="24"/>
      <c r="G35" s="24"/>
      <c r="H35" s="185"/>
      <c r="I35" s="184"/>
      <c r="J35" s="42">
        <f>VLOOKUP($B$29:$B$42,'Alberta Equip. Rates Year 3'!$B$13:$K$314,10,FALSE)</f>
        <v>0</v>
      </c>
      <c r="K35" s="181">
        <f t="shared" si="1"/>
        <v>0</v>
      </c>
    </row>
    <row r="36" spans="1:11" ht="15" customHeight="1">
      <c r="A36" s="43"/>
      <c r="B36" s="49">
        <f>VLOOKUP($C$29:$C$42,Equipment!$A$1:$B$2322,2,FALSE)</f>
        <v>0</v>
      </c>
      <c r="C36" s="24"/>
      <c r="D36" s="24"/>
      <c r="E36" s="24"/>
      <c r="F36" s="24"/>
      <c r="G36" s="24"/>
      <c r="H36" s="185"/>
      <c r="I36" s="184"/>
      <c r="J36" s="42">
        <f>VLOOKUP($B$29:$B$42,'Alberta Equip. Rates Year 3'!$B$13:$K$314,10,FALSE)</f>
        <v>0</v>
      </c>
      <c r="K36" s="181">
        <f t="shared" si="1"/>
        <v>0</v>
      </c>
    </row>
    <row r="37" spans="1:11" ht="15" customHeight="1">
      <c r="A37" s="43"/>
      <c r="B37" s="49">
        <f>VLOOKUP($C$29:$C$42,Equipment!$A$1:$B$2322,2,FALSE)</f>
        <v>0</v>
      </c>
      <c r="C37" s="24"/>
      <c r="D37" s="24"/>
      <c r="E37" s="24"/>
      <c r="F37" s="24"/>
      <c r="G37" s="24"/>
      <c r="H37" s="185"/>
      <c r="I37" s="184"/>
      <c r="J37" s="42">
        <f>VLOOKUP($B$29:$B$42,'Alberta Equip. Rates Year 3'!$B$13:$K$314,10,FALSE)</f>
        <v>0</v>
      </c>
      <c r="K37" s="181">
        <f t="shared" si="1"/>
        <v>0</v>
      </c>
    </row>
    <row r="38" spans="1:11" ht="15" customHeight="1">
      <c r="A38" s="43"/>
      <c r="B38" s="49">
        <f>VLOOKUP($C$29:$C$42,Equipment!$A$1:$B$2322,2,FALSE)</f>
        <v>0</v>
      </c>
      <c r="C38" s="24"/>
      <c r="D38" s="24"/>
      <c r="E38" s="24"/>
      <c r="F38" s="24"/>
      <c r="G38" s="24"/>
      <c r="H38" s="185"/>
      <c r="I38" s="184"/>
      <c r="J38" s="42">
        <f>VLOOKUP($B$29:$B$42,'Alberta Equip. Rates Year 3'!$B$13:$K$314,10,FALSE)</f>
        <v>0</v>
      </c>
      <c r="K38" s="181">
        <f t="shared" si="1"/>
        <v>0</v>
      </c>
    </row>
    <row r="39" spans="1:11" ht="15" customHeight="1">
      <c r="A39" s="43"/>
      <c r="B39" s="49">
        <f>VLOOKUP($C$29:$C$42,Equipment!$A$1:$B$2322,2,FALSE)</f>
        <v>0</v>
      </c>
      <c r="C39" s="24"/>
      <c r="D39" s="24"/>
      <c r="E39" s="24"/>
      <c r="F39" s="24"/>
      <c r="G39" s="24"/>
      <c r="H39" s="185"/>
      <c r="I39" s="184"/>
      <c r="J39" s="42">
        <f>VLOOKUP($B$29:$B$42,'Alberta Equip. Rates Year 3'!$B$13:$K$314,10,FALSE)</f>
        <v>0</v>
      </c>
      <c r="K39" s="181">
        <f>(H39+I39)*J39</f>
        <v>0</v>
      </c>
    </row>
    <row r="40" spans="1:11" ht="15" customHeight="1">
      <c r="A40" s="43"/>
      <c r="B40" s="49">
        <f>VLOOKUP($C$29:$C$42,Equipment!$A$1:$B$2322,2,FALSE)</f>
        <v>0</v>
      </c>
      <c r="C40" s="24"/>
      <c r="D40" s="24"/>
      <c r="E40" s="24"/>
      <c r="F40" s="24"/>
      <c r="G40" s="24"/>
      <c r="H40" s="185"/>
      <c r="I40" s="184"/>
      <c r="J40" s="42">
        <f>VLOOKUP($B$29:$B$42,'Alberta Equip. Rates Year 3'!$B$13:$K$314,10,FALSE)</f>
        <v>0</v>
      </c>
      <c r="K40" s="181">
        <f t="shared" si="1"/>
        <v>0</v>
      </c>
    </row>
    <row r="41" spans="1:11" ht="15" customHeight="1">
      <c r="A41" s="43"/>
      <c r="B41" s="49">
        <f>VLOOKUP($C$29:$C$42,Equipment!$A$1:$B$2322,2,FALSE)</f>
        <v>0</v>
      </c>
      <c r="C41" s="24"/>
      <c r="D41" s="24"/>
      <c r="E41" s="24"/>
      <c r="F41" s="24"/>
      <c r="G41" s="24"/>
      <c r="H41" s="185"/>
      <c r="I41" s="184"/>
      <c r="J41" s="42">
        <f>VLOOKUP($B$29:$B$42,'Alberta Equip. Rates Year 3'!$B$13:$K$314,10,FALSE)</f>
        <v>0</v>
      </c>
      <c r="K41" s="181">
        <f t="shared" si="1"/>
        <v>0</v>
      </c>
    </row>
    <row r="42" spans="1:11" ht="15" customHeight="1" thickBot="1">
      <c r="A42" s="43"/>
      <c r="B42" s="49">
        <f>VLOOKUP($C$29:$C$42,Equipment!$A$1:$B$2322,2,FALSE)</f>
        <v>0</v>
      </c>
      <c r="C42" s="24"/>
      <c r="D42" s="24"/>
      <c r="E42" s="24"/>
      <c r="F42" s="24"/>
      <c r="G42" s="24"/>
      <c r="H42" s="185"/>
      <c r="I42" s="184"/>
      <c r="J42" s="42">
        <f>VLOOKUP($B$29:$B$42,'Alberta Equip. Rates Year 3'!$B$13:$K$314,10,FALSE)</f>
        <v>0</v>
      </c>
      <c r="K42" s="181">
        <f t="shared" si="1"/>
        <v>0</v>
      </c>
    </row>
    <row r="43" spans="1:11" ht="12" thickBot="1">
      <c r="A43" s="25"/>
      <c r="B43" s="25"/>
      <c r="C43" s="25"/>
      <c r="D43" s="21"/>
      <c r="E43" s="21"/>
      <c r="F43" s="21"/>
      <c r="G43" s="21"/>
      <c r="H43" s="21"/>
      <c r="I43" s="360" t="s">
        <v>24</v>
      </c>
      <c r="J43" s="361"/>
      <c r="K43" s="182">
        <f>SUM(K29:K42)</f>
        <v>0</v>
      </c>
    </row>
    <row r="44" spans="1:11" ht="12" thickBot="1">
      <c r="A44" s="26"/>
      <c r="D44" s="26"/>
      <c r="I44" s="27"/>
      <c r="J44" s="27"/>
      <c r="K44" s="28"/>
    </row>
    <row r="45" spans="1:11">
      <c r="A45" s="1" t="s">
        <v>25</v>
      </c>
      <c r="B45" s="29"/>
      <c r="D45" s="1"/>
      <c r="E45" s="1"/>
      <c r="F45" s="1"/>
      <c r="G45" s="1"/>
      <c r="H45" s="1"/>
      <c r="I45" s="362" t="s">
        <v>26</v>
      </c>
      <c r="J45" s="362"/>
      <c r="K45" s="37">
        <f>K26</f>
        <v>0</v>
      </c>
    </row>
    <row r="46" spans="1:11">
      <c r="D46" s="1"/>
      <c r="E46" s="1"/>
      <c r="F46" s="1"/>
      <c r="G46" s="1"/>
      <c r="H46" s="1"/>
      <c r="I46" s="362" t="s">
        <v>27</v>
      </c>
      <c r="J46" s="362"/>
      <c r="K46" s="38">
        <f>K43</f>
        <v>0</v>
      </c>
    </row>
    <row r="47" spans="1:11">
      <c r="D47" s="1"/>
      <c r="E47" s="1"/>
      <c r="F47" s="1"/>
      <c r="G47" s="1"/>
      <c r="H47" s="1"/>
      <c r="I47" s="27" t="s">
        <v>28</v>
      </c>
      <c r="J47" s="27"/>
      <c r="K47" s="38">
        <f>(O26)*14.15</f>
        <v>0</v>
      </c>
    </row>
    <row r="48" spans="1:11">
      <c r="D48" s="1"/>
      <c r="E48" s="1"/>
      <c r="F48" s="1"/>
      <c r="G48" s="1"/>
      <c r="H48" s="1"/>
      <c r="I48" s="30" t="s">
        <v>29</v>
      </c>
      <c r="J48" s="30"/>
      <c r="K48" s="39"/>
    </row>
    <row r="49" spans="1:11">
      <c r="D49" s="1"/>
      <c r="E49" s="1"/>
      <c r="F49" s="1"/>
      <c r="G49" s="1"/>
      <c r="H49" s="1"/>
      <c r="I49" s="30" t="s">
        <v>30</v>
      </c>
      <c r="J49" s="30"/>
      <c r="K49" s="39"/>
    </row>
    <row r="50" spans="1:11">
      <c r="D50" s="1"/>
      <c r="E50" s="1"/>
      <c r="F50" s="1"/>
      <c r="G50" s="1"/>
      <c r="H50" s="1"/>
      <c r="I50" s="30" t="s">
        <v>31</v>
      </c>
      <c r="J50" s="30"/>
      <c r="K50" s="39"/>
    </row>
    <row r="51" spans="1:11" ht="12" thickBot="1">
      <c r="D51" s="1"/>
      <c r="E51" s="1"/>
      <c r="F51" s="1"/>
      <c r="G51" s="1"/>
      <c r="H51" s="1"/>
      <c r="I51" s="362" t="s">
        <v>32</v>
      </c>
      <c r="J51" s="362"/>
      <c r="K51" s="40">
        <f>SUM(K45:K50)</f>
        <v>0</v>
      </c>
    </row>
    <row r="52" spans="1:11">
      <c r="D52" s="1"/>
      <c r="E52" s="1"/>
      <c r="F52" s="1"/>
      <c r="G52" s="1"/>
      <c r="H52" s="1"/>
      <c r="I52" s="27"/>
      <c r="J52" s="27"/>
    </row>
    <row r="53" spans="1:11">
      <c r="A53" s="31" t="s">
        <v>33</v>
      </c>
      <c r="B53" s="32"/>
      <c r="C53" s="32"/>
      <c r="D53" s="1"/>
      <c r="H53" s="33" t="s">
        <v>34</v>
      </c>
      <c r="I53" s="32"/>
      <c r="J53" s="32"/>
      <c r="K53" s="32"/>
    </row>
    <row r="54" spans="1:11" ht="15">
      <c r="A54" s="34"/>
      <c r="E54" s="8"/>
      <c r="F54" s="8"/>
      <c r="G54" s="8"/>
      <c r="H54" s="35"/>
      <c r="I54" s="35"/>
      <c r="J54" s="35"/>
      <c r="K54" s="35"/>
    </row>
    <row r="55" spans="1:11" ht="15">
      <c r="A55" s="34" t="s">
        <v>35</v>
      </c>
      <c r="E55" s="8"/>
      <c r="F55" s="8"/>
      <c r="G55" s="8"/>
      <c r="H55" s="35"/>
      <c r="I55" s="35"/>
      <c r="J55" s="35"/>
      <c r="K55" s="35"/>
    </row>
    <row r="56" spans="1:11" s="34" customFormat="1">
      <c r="A56" s="363">
        <v>41218.479166666664</v>
      </c>
      <c r="B56" s="363"/>
      <c r="C56" s="364"/>
      <c r="D56" s="364"/>
      <c r="E56" s="364"/>
      <c r="F56" s="364"/>
      <c r="G56" s="364"/>
      <c r="H56" s="364"/>
      <c r="I56" s="364"/>
      <c r="J56" s="364"/>
      <c r="K56" s="8"/>
    </row>
    <row r="66" s="1" customFormat="1"/>
    <row r="67" s="1" customFormat="1"/>
    <row r="68" s="1" customFormat="1"/>
    <row r="69" s="1" customFormat="1"/>
    <row r="70" s="1" customFormat="1"/>
    <row r="71" s="1" customFormat="1"/>
    <row r="72" s="1" customFormat="1"/>
    <row r="73" s="1" customFormat="1"/>
    <row r="74" s="1" customFormat="1"/>
    <row r="75" s="1" customFormat="1"/>
    <row r="76" s="1" customFormat="1"/>
    <row r="77" s="1" customFormat="1"/>
    <row r="78" s="1" customFormat="1"/>
    <row r="79" s="1" customFormat="1"/>
    <row r="84" s="1" customFormat="1"/>
    <row r="112" s="1" customFormat="1"/>
    <row r="113" s="1" customFormat="1"/>
    <row r="114" s="1" customFormat="1"/>
    <row r="115" s="1" customFormat="1"/>
  </sheetData>
  <mergeCells count="12">
    <mergeCell ref="I26:J26"/>
    <mergeCell ref="C1:H1"/>
    <mergeCell ref="C2:H2"/>
    <mergeCell ref="C3:H3"/>
    <mergeCell ref="H6:I6"/>
    <mergeCell ref="H7:I7"/>
    <mergeCell ref="I43:J43"/>
    <mergeCell ref="I45:J45"/>
    <mergeCell ref="I46:J46"/>
    <mergeCell ref="I51:J51"/>
    <mergeCell ref="A56:B56"/>
    <mergeCell ref="C56:J56"/>
  </mergeCells>
  <printOptions horizontalCentered="1"/>
  <pageMargins left="0.19685039370078741" right="0.19685039370078741" top="0.39370078740157483" bottom="0.39370078740157483" header="0" footer="0"/>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800-000000000000}">
          <x14:formula1>
            <xm:f>Accounts!$A$4:$A$60</xm:f>
          </x14:formula1>
          <xm:sqref>K7</xm:sqref>
        </x14:dataValidation>
        <x14:dataValidation type="list" allowBlank="1" showInputMessage="1" showErrorMessage="1" xr:uid="{00000000-0002-0000-0800-000001000000}">
          <x14:formula1>
            <xm:f>'Constr. Wage Rate Calculations'!$A$19:$A$288</xm:f>
          </x14:formula1>
          <xm:sqref>B11:B25</xm:sqref>
        </x14:dataValidation>
        <x14:dataValidation type="list" allowBlank="1" showInputMessage="1" showErrorMessage="1" xr:uid="{00000000-0002-0000-0800-000002000000}">
          <x14:formula1>
            <xm:f>Personnel!$A:$A</xm:f>
          </x14:formula1>
          <xm:sqref>C11:C25</xm:sqref>
        </x14:dataValidation>
        <x14:dataValidation type="list" allowBlank="1" showInputMessage="1" showErrorMessage="1" xr:uid="{00000000-0002-0000-0800-000003000000}">
          <x14:formula1>
            <xm:f>Equipment!$A:$A</xm:f>
          </x14:formula1>
          <xm:sqref>C29:C42</xm:sqref>
        </x14:dataValidation>
      </x14:dataValidations>
    </ex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O115"/>
  <sheetViews>
    <sheetView zoomScale="120" zoomScaleNormal="120" zoomScalePageLayoutView="120" workbookViewId="0">
      <selection activeCell="D9" sqref="D9"/>
    </sheetView>
  </sheetViews>
  <sheetFormatPr baseColWidth="10" defaultColWidth="8.83203125" defaultRowHeight="11"/>
  <cols>
    <col min="1" max="1" width="13" style="1" customWidth="1"/>
    <col min="2" max="2" width="30" style="1" customWidth="1"/>
    <col min="3" max="3" width="24.5" style="1" customWidth="1"/>
    <col min="4" max="4" width="8.6640625" style="2" customWidth="1"/>
    <col min="5" max="6" width="8.33203125" style="2" customWidth="1"/>
    <col min="7" max="8" width="8.6640625" style="2" customWidth="1"/>
    <col min="9" max="9" width="9.33203125" style="2" customWidth="1"/>
    <col min="10" max="10" width="8.6640625" style="2" customWidth="1"/>
    <col min="11" max="11" width="21.6640625" style="1" customWidth="1"/>
    <col min="12" max="12" width="3.5" style="1" hidden="1" customWidth="1"/>
    <col min="13" max="16384" width="8.83203125" style="1"/>
  </cols>
  <sheetData>
    <row r="1" spans="1:13" ht="15">
      <c r="C1" s="364"/>
      <c r="D1" s="365"/>
      <c r="E1" s="365"/>
      <c r="F1" s="365"/>
      <c r="G1" s="365"/>
      <c r="H1" s="366"/>
      <c r="J1" s="2" t="s">
        <v>0</v>
      </c>
      <c r="K1" s="197"/>
      <c r="M1" s="45"/>
    </row>
    <row r="2" spans="1:13" ht="15">
      <c r="C2" s="367"/>
      <c r="D2" s="367"/>
      <c r="E2" s="367"/>
      <c r="F2" s="367"/>
      <c r="G2" s="367"/>
      <c r="H2" s="366"/>
      <c r="K2" s="41"/>
    </row>
    <row r="3" spans="1:13" ht="15">
      <c r="C3" s="368"/>
      <c r="D3" s="369"/>
      <c r="E3" s="369"/>
      <c r="F3" s="369"/>
      <c r="G3" s="369"/>
      <c r="H3" s="366"/>
    </row>
    <row r="4" spans="1:13">
      <c r="C4" s="3"/>
      <c r="D4" s="4"/>
      <c r="E4" s="4"/>
      <c r="F4" s="4"/>
      <c r="G4" s="4"/>
    </row>
    <row r="5" spans="1:13">
      <c r="C5" s="3"/>
      <c r="D5" s="4"/>
      <c r="E5" s="4"/>
      <c r="F5" s="4"/>
      <c r="G5" s="4"/>
    </row>
    <row r="6" spans="1:13" ht="12">
      <c r="B6" s="5"/>
      <c r="C6" s="6"/>
      <c r="D6" s="7"/>
      <c r="E6" s="8"/>
      <c r="F6" s="8"/>
      <c r="G6" s="1" t="s">
        <v>1</v>
      </c>
      <c r="H6" s="370"/>
      <c r="I6" s="370"/>
      <c r="J6" s="1" t="s">
        <v>2</v>
      </c>
      <c r="K6" s="47"/>
    </row>
    <row r="7" spans="1:13" ht="12">
      <c r="A7" s="1" t="s">
        <v>3</v>
      </c>
      <c r="B7" s="9"/>
      <c r="C7" s="10"/>
      <c r="D7" s="11"/>
      <c r="E7" s="8"/>
      <c r="F7" s="8"/>
      <c r="G7" s="1" t="s">
        <v>4</v>
      </c>
      <c r="H7" s="371"/>
      <c r="I7" s="371"/>
      <c r="J7" s="1" t="s">
        <v>5</v>
      </c>
      <c r="K7" s="46"/>
    </row>
    <row r="8" spans="1:13" ht="12">
      <c r="B8" s="12"/>
      <c r="C8" s="13"/>
      <c r="D8" s="14"/>
      <c r="E8" s="8"/>
      <c r="F8" s="8"/>
      <c r="G8" s="1" t="s">
        <v>6</v>
      </c>
      <c r="H8" s="187"/>
      <c r="I8" s="188"/>
      <c r="J8" s="44"/>
    </row>
    <row r="9" spans="1:13" ht="16" thickBot="1">
      <c r="B9" s="15"/>
      <c r="C9" s="16"/>
      <c r="D9" s="16"/>
      <c r="E9" s="8"/>
      <c r="F9" s="8"/>
      <c r="G9" s="8"/>
    </row>
    <row r="10" spans="1:13" s="19" customFormat="1" ht="12" thickBot="1">
      <c r="A10" s="17" t="s">
        <v>7</v>
      </c>
      <c r="B10" s="17" t="s">
        <v>8</v>
      </c>
      <c r="C10" s="17" t="s">
        <v>9</v>
      </c>
      <c r="D10" s="18" t="s">
        <v>10</v>
      </c>
      <c r="E10" s="18" t="s">
        <v>11</v>
      </c>
      <c r="F10" s="18" t="s">
        <v>12</v>
      </c>
      <c r="G10" s="180" t="s">
        <v>13</v>
      </c>
      <c r="H10" s="18" t="s">
        <v>14</v>
      </c>
      <c r="I10" s="18" t="s">
        <v>15</v>
      </c>
      <c r="J10" s="18" t="s">
        <v>16</v>
      </c>
      <c r="K10" s="18" t="s">
        <v>17</v>
      </c>
      <c r="M10" s="19" t="s">
        <v>1797</v>
      </c>
    </row>
    <row r="11" spans="1:13" ht="15" customHeight="1">
      <c r="A11" s="48"/>
      <c r="B11" s="49">
        <f>VLOOKUP($C$11:$C$25,Personnel!$A$1:$B$1234,2,FALSE)</f>
        <v>0</v>
      </c>
      <c r="C11" s="36"/>
      <c r="D11" s="184"/>
      <c r="E11" s="179">
        <f>VLOOKUP($B$11:$B$25,'Constr. Wage Rate Calculations'!$A$19:$Z$288,22,FALSE)</f>
        <v>0</v>
      </c>
      <c r="F11" s="184"/>
      <c r="G11" s="179">
        <f>VLOOKUP($B$11:$B$25,'Constr. Wage Rate Calculations'!$A$19:$Z$288,23,FALSE)</f>
        <v>0</v>
      </c>
      <c r="H11" s="184"/>
      <c r="I11" s="179">
        <f>VLOOKUP($B$11:$B$25,'Constr. Wage Rate Calculations'!$A$19:$Z$288,24,FALSE)</f>
        <v>0</v>
      </c>
      <c r="J11" s="20">
        <f>VLOOKUP($B$11:$B$25,'Constr. Wage Rate Calculations'!$A$19:$Z$288,25,FALSE)</f>
        <v>0</v>
      </c>
      <c r="K11" s="179" t="str">
        <f t="shared" ref="K11:K25" si="0">IF($D11&gt;=1,$J11+(D11*E11)+(F11*G11)+(H11*I11),IF($F11&gt;=1,$J11+(D11*E11)+(F11*G11)+(H11*I11),IF($H11&gt;=1,$J11+(D11*E11)+(F11*G11)+(H11*I11),"")))</f>
        <v/>
      </c>
    </row>
    <row r="12" spans="1:13" ht="15" customHeight="1">
      <c r="A12" s="48"/>
      <c r="B12" s="49">
        <f>VLOOKUP($C$11:$C$25,Personnel!$A$1:$B$1234,2,FALSE)</f>
        <v>0</v>
      </c>
      <c r="C12" s="36"/>
      <c r="D12" s="184"/>
      <c r="E12" s="179">
        <f>VLOOKUP($B$11:$B$25,'Constr. Wage Rate Calculations'!$A$19:$Z$288,22,FALSE)</f>
        <v>0</v>
      </c>
      <c r="F12" s="184"/>
      <c r="G12" s="179">
        <f>VLOOKUP($B$11:$B$25,'Constr. Wage Rate Calculations'!$A$19:$Z$288,23,FALSE)</f>
        <v>0</v>
      </c>
      <c r="H12" s="184"/>
      <c r="I12" s="179">
        <f>VLOOKUP($B$11:$B$25,'Constr. Wage Rate Calculations'!$A$19:$Z$288,24,FALSE)</f>
        <v>0</v>
      </c>
      <c r="J12" s="20">
        <f>VLOOKUP($B$11:$B$25,'Constr. Wage Rate Calculations'!$A$19:$Z$288,25,FALSE)</f>
        <v>0</v>
      </c>
      <c r="K12" s="179" t="str">
        <f t="shared" si="0"/>
        <v/>
      </c>
    </row>
    <row r="13" spans="1:13" ht="15" customHeight="1">
      <c r="A13" s="48"/>
      <c r="B13" s="49">
        <f>VLOOKUP($C$11:$C$25,Personnel!$A$1:$B$1234,2,FALSE)</f>
        <v>0</v>
      </c>
      <c r="C13" s="36"/>
      <c r="D13" s="184"/>
      <c r="E13" s="179">
        <f>VLOOKUP($B$11:$B$25,'Constr. Wage Rate Calculations'!$A$19:$Z$288,22,FALSE)</f>
        <v>0</v>
      </c>
      <c r="F13" s="184"/>
      <c r="G13" s="179">
        <f>VLOOKUP($B$11:$B$25,'Constr. Wage Rate Calculations'!$A$19:$Z$288,23,FALSE)</f>
        <v>0</v>
      </c>
      <c r="H13" s="184"/>
      <c r="I13" s="179">
        <f>VLOOKUP($B$11:$B$25,'Constr. Wage Rate Calculations'!$A$19:$Z$288,24,FALSE)</f>
        <v>0</v>
      </c>
      <c r="J13" s="20">
        <f>VLOOKUP($B$11:$B$25,'Constr. Wage Rate Calculations'!$A$19:$Z$288,25,FALSE)</f>
        <v>0</v>
      </c>
      <c r="K13" s="179" t="str">
        <f t="shared" si="0"/>
        <v/>
      </c>
    </row>
    <row r="14" spans="1:13" ht="15" customHeight="1">
      <c r="A14" s="48"/>
      <c r="B14" s="49">
        <f>VLOOKUP($C$11:$C$25,Personnel!$A$1:$B$1234,2,FALSE)</f>
        <v>0</v>
      </c>
      <c r="C14" s="36"/>
      <c r="D14" s="184"/>
      <c r="E14" s="179">
        <f>VLOOKUP($B$11:$B$25,'Constr. Wage Rate Calculations'!$A$19:$Z$288,22,FALSE)</f>
        <v>0</v>
      </c>
      <c r="F14" s="184"/>
      <c r="G14" s="179">
        <f>VLOOKUP($B$11:$B$25,'Constr. Wage Rate Calculations'!$A$19:$Z$288,23,FALSE)</f>
        <v>0</v>
      </c>
      <c r="H14" s="184"/>
      <c r="I14" s="179">
        <f>VLOOKUP($B$11:$B$25,'Constr. Wage Rate Calculations'!$A$19:$Z$288,24,FALSE)</f>
        <v>0</v>
      </c>
      <c r="J14" s="20">
        <f>VLOOKUP($B$11:$B$25,'Constr. Wage Rate Calculations'!$A$19:$Z$288,25,FALSE)</f>
        <v>0</v>
      </c>
      <c r="K14" s="179" t="str">
        <f t="shared" si="0"/>
        <v/>
      </c>
    </row>
    <row r="15" spans="1:13" ht="15" customHeight="1">
      <c r="A15" s="48"/>
      <c r="B15" s="49">
        <f>VLOOKUP($C$11:$C$25,Personnel!$A$1:$B$1234,2,FALSE)</f>
        <v>0</v>
      </c>
      <c r="C15" s="36"/>
      <c r="D15" s="184"/>
      <c r="E15" s="179">
        <f>VLOOKUP($B$11:$B$25,'Constr. Wage Rate Calculations'!$A$19:$Z$288,22,FALSE)</f>
        <v>0</v>
      </c>
      <c r="F15" s="184"/>
      <c r="G15" s="179">
        <f>VLOOKUP($B$11:$B$25,'Constr. Wage Rate Calculations'!$A$19:$Z$288,23,FALSE)</f>
        <v>0</v>
      </c>
      <c r="H15" s="184"/>
      <c r="I15" s="179">
        <f>VLOOKUP($B$11:$B$25,'Constr. Wage Rate Calculations'!$A$19:$Z$288,24,FALSE)</f>
        <v>0</v>
      </c>
      <c r="J15" s="20">
        <f>VLOOKUP($B$11:$B$25,'Constr. Wage Rate Calculations'!$A$19:$Z$288,25,FALSE)</f>
        <v>0</v>
      </c>
      <c r="K15" s="179" t="str">
        <f t="shared" si="0"/>
        <v/>
      </c>
    </row>
    <row r="16" spans="1:13" ht="15" customHeight="1">
      <c r="A16" s="48"/>
      <c r="B16" s="49">
        <f>VLOOKUP($C$11:$C$25,Personnel!$A$1:$B$1234,2,FALSE)</f>
        <v>0</v>
      </c>
      <c r="C16" s="36"/>
      <c r="D16" s="184"/>
      <c r="E16" s="179">
        <f>VLOOKUP($B$11:$B$25,'Constr. Wage Rate Calculations'!$A$19:$Z$288,22,FALSE)</f>
        <v>0</v>
      </c>
      <c r="F16" s="184"/>
      <c r="G16" s="179">
        <f>VLOOKUP($B$11:$B$25,'Constr. Wage Rate Calculations'!$A$19:$Z$288,23,FALSE)</f>
        <v>0</v>
      </c>
      <c r="H16" s="184"/>
      <c r="I16" s="179">
        <f>VLOOKUP($B$11:$B$25,'Constr. Wage Rate Calculations'!$A$19:$Z$288,24,FALSE)</f>
        <v>0</v>
      </c>
      <c r="J16" s="20">
        <f>VLOOKUP($B$11:$B$25,'Constr. Wage Rate Calculations'!$A$19:$Z$288,25,FALSE)</f>
        <v>0</v>
      </c>
      <c r="K16" s="179" t="str">
        <f t="shared" si="0"/>
        <v/>
      </c>
    </row>
    <row r="17" spans="1:15" ht="15" customHeight="1">
      <c r="A17" s="48"/>
      <c r="B17" s="49">
        <f>VLOOKUP($C$11:$C$25,Personnel!$A$1:$B$1234,2,FALSE)</f>
        <v>0</v>
      </c>
      <c r="C17" s="36"/>
      <c r="D17" s="184"/>
      <c r="E17" s="179">
        <f>VLOOKUP($B$11:$B$25,'Constr. Wage Rate Calculations'!$A$19:$Z$288,22,FALSE)</f>
        <v>0</v>
      </c>
      <c r="F17" s="184"/>
      <c r="G17" s="179">
        <f>VLOOKUP($B$11:$B$25,'Constr. Wage Rate Calculations'!$A$19:$Z$288,23,FALSE)</f>
        <v>0</v>
      </c>
      <c r="H17" s="184"/>
      <c r="I17" s="179">
        <f>VLOOKUP($B$11:$B$25,'Constr. Wage Rate Calculations'!$A$19:$Z$288,24,FALSE)</f>
        <v>0</v>
      </c>
      <c r="J17" s="20">
        <f>VLOOKUP($B$11:$B$25,'Constr. Wage Rate Calculations'!$A$19:$Z$288,25,FALSE)</f>
        <v>0</v>
      </c>
      <c r="K17" s="179" t="str">
        <f t="shared" si="0"/>
        <v/>
      </c>
    </row>
    <row r="18" spans="1:15" ht="15" customHeight="1">
      <c r="A18" s="48"/>
      <c r="B18" s="49">
        <f>VLOOKUP($C$11:$C$25,Personnel!$A$1:$B$1234,2,FALSE)</f>
        <v>0</v>
      </c>
      <c r="C18" s="36"/>
      <c r="D18" s="184"/>
      <c r="E18" s="179">
        <f>VLOOKUP($B$11:$B$25,'Constr. Wage Rate Calculations'!$A$19:$Z$288,22,FALSE)</f>
        <v>0</v>
      </c>
      <c r="F18" s="184"/>
      <c r="G18" s="179">
        <f>VLOOKUP($B$11:$B$25,'Constr. Wage Rate Calculations'!$A$19:$Z$288,23,FALSE)</f>
        <v>0</v>
      </c>
      <c r="H18" s="184"/>
      <c r="I18" s="179">
        <f>VLOOKUP($B$11:$B$25,'Constr. Wage Rate Calculations'!$A$19:$Z$288,24,FALSE)</f>
        <v>0</v>
      </c>
      <c r="J18" s="20">
        <f>VLOOKUP($B$11:$B$25,'Constr. Wage Rate Calculations'!$A$19:$Z$288,25,FALSE)</f>
        <v>0</v>
      </c>
      <c r="K18" s="179" t="str">
        <f t="shared" si="0"/>
        <v/>
      </c>
    </row>
    <row r="19" spans="1:15" ht="15" customHeight="1">
      <c r="A19" s="48"/>
      <c r="B19" s="49">
        <f>VLOOKUP($C$11:$C$25,Personnel!$A$1:$B$1234,2,FALSE)</f>
        <v>0</v>
      </c>
      <c r="C19" s="36"/>
      <c r="D19" s="184"/>
      <c r="E19" s="179">
        <f>VLOOKUP($B$11:$B$25,'Constr. Wage Rate Calculations'!$A$19:$Z$288,22,FALSE)</f>
        <v>0</v>
      </c>
      <c r="F19" s="184"/>
      <c r="G19" s="179">
        <f>VLOOKUP($B$11:$B$25,'Constr. Wage Rate Calculations'!$A$19:$Z$288,23,FALSE)</f>
        <v>0</v>
      </c>
      <c r="H19" s="184"/>
      <c r="I19" s="179">
        <f>VLOOKUP($B$11:$B$25,'Constr. Wage Rate Calculations'!$A$19:$Z$288,24,FALSE)</f>
        <v>0</v>
      </c>
      <c r="J19" s="20">
        <f>VLOOKUP($B$11:$B$25,'Constr. Wage Rate Calculations'!$A$19:$Z$288,25,FALSE)</f>
        <v>0</v>
      </c>
      <c r="K19" s="179" t="str">
        <f t="shared" si="0"/>
        <v/>
      </c>
    </row>
    <row r="20" spans="1:15" ht="15" customHeight="1">
      <c r="A20" s="48"/>
      <c r="B20" s="49">
        <f>VLOOKUP($C$11:$C$25,Personnel!$A$1:$B$1234,2,FALSE)</f>
        <v>0</v>
      </c>
      <c r="C20" s="36"/>
      <c r="D20" s="184"/>
      <c r="E20" s="179">
        <f>VLOOKUP($B$11:$B$25,'Constr. Wage Rate Calculations'!$A$19:$Z$288,22,FALSE)</f>
        <v>0</v>
      </c>
      <c r="F20" s="184"/>
      <c r="G20" s="179">
        <f>VLOOKUP($B$11:$B$25,'Constr. Wage Rate Calculations'!$A$19:$Z$288,23,FALSE)</f>
        <v>0</v>
      </c>
      <c r="H20" s="184"/>
      <c r="I20" s="179">
        <f>VLOOKUP($B$11:$B$25,'Constr. Wage Rate Calculations'!$A$19:$Z$288,24,FALSE)</f>
        <v>0</v>
      </c>
      <c r="J20" s="20">
        <f>VLOOKUP($B$11:$B$25,'Constr. Wage Rate Calculations'!$A$19:$Z$288,25,FALSE)</f>
        <v>0</v>
      </c>
      <c r="K20" s="179" t="str">
        <f t="shared" si="0"/>
        <v/>
      </c>
    </row>
    <row r="21" spans="1:15" ht="15" customHeight="1">
      <c r="A21" s="48"/>
      <c r="B21" s="49">
        <f>VLOOKUP($C$11:$C$25,Personnel!$A$1:$B$1234,2,FALSE)</f>
        <v>0</v>
      </c>
      <c r="C21" s="36"/>
      <c r="D21" s="184"/>
      <c r="E21" s="179">
        <f>VLOOKUP($B$11:$B$25,'Constr. Wage Rate Calculations'!$A$19:$Z$288,22,FALSE)</f>
        <v>0</v>
      </c>
      <c r="F21" s="184"/>
      <c r="G21" s="179">
        <f>VLOOKUP($B$11:$B$25,'Constr. Wage Rate Calculations'!$A$19:$Z$288,23,FALSE)</f>
        <v>0</v>
      </c>
      <c r="H21" s="184"/>
      <c r="I21" s="179">
        <f>VLOOKUP($B$11:$B$25,'Constr. Wage Rate Calculations'!$A$19:$Z$288,24,FALSE)</f>
        <v>0</v>
      </c>
      <c r="J21" s="20">
        <f>VLOOKUP($B$11:$B$25,'Constr. Wage Rate Calculations'!$A$19:$Z$288,25,FALSE)</f>
        <v>0</v>
      </c>
      <c r="K21" s="179" t="str">
        <f t="shared" si="0"/>
        <v/>
      </c>
    </row>
    <row r="22" spans="1:15" ht="15" customHeight="1">
      <c r="A22" s="48"/>
      <c r="B22" s="49">
        <f>VLOOKUP($C$11:$C$25,Personnel!$A$1:$B$1234,2,FALSE)</f>
        <v>0</v>
      </c>
      <c r="C22" s="36"/>
      <c r="D22" s="184"/>
      <c r="E22" s="179">
        <f>VLOOKUP($B$11:$B$25,'Constr. Wage Rate Calculations'!$A$19:$Z$288,22,FALSE)</f>
        <v>0</v>
      </c>
      <c r="F22" s="184"/>
      <c r="G22" s="179">
        <f>VLOOKUP($B$11:$B$25,'Constr. Wage Rate Calculations'!$A$19:$Z$288,23,FALSE)</f>
        <v>0</v>
      </c>
      <c r="H22" s="184"/>
      <c r="I22" s="179">
        <f>VLOOKUP($B$11:$B$25,'Constr. Wage Rate Calculations'!$A$19:$Z$288,24,FALSE)</f>
        <v>0</v>
      </c>
      <c r="J22" s="20">
        <f>VLOOKUP($B$11:$B$25,'Constr. Wage Rate Calculations'!$A$19:$Z$288,25,FALSE)</f>
        <v>0</v>
      </c>
      <c r="K22" s="179" t="str">
        <f>IF($D22&gt;=1,$J22+(D22*E22)+(F22*G22)+(H22*I22),IF($F22&gt;=1,$J22+(D22*E22)+(F22*G22)+(H22*I22),IF($H22&gt;=1,$J22+(D22*E22)+(F22*G22)+(H22*I22),"")))</f>
        <v/>
      </c>
    </row>
    <row r="23" spans="1:15" ht="15" customHeight="1">
      <c r="A23" s="48"/>
      <c r="B23" s="49">
        <f>VLOOKUP($C$11:$C$25,Personnel!$A$1:$B$1234,2,FALSE)</f>
        <v>0</v>
      </c>
      <c r="C23" s="36"/>
      <c r="D23" s="184"/>
      <c r="E23" s="179">
        <f>VLOOKUP($B$11:$B$25,'Constr. Wage Rate Calculations'!$A$19:$Z$288,22,FALSE)</f>
        <v>0</v>
      </c>
      <c r="F23" s="184"/>
      <c r="G23" s="179">
        <f>VLOOKUP($B$11:$B$25,'Constr. Wage Rate Calculations'!$A$19:$Z$288,23,FALSE)</f>
        <v>0</v>
      </c>
      <c r="H23" s="184"/>
      <c r="I23" s="179">
        <f>VLOOKUP($B$11:$B$25,'Constr. Wage Rate Calculations'!$A$19:$Z$288,24,FALSE)</f>
        <v>0</v>
      </c>
      <c r="J23" s="20">
        <f>VLOOKUP($B$11:$B$25,'Constr. Wage Rate Calculations'!$A$19:$Z$288,25,FALSE)</f>
        <v>0</v>
      </c>
      <c r="K23" s="179" t="str">
        <f t="shared" si="0"/>
        <v/>
      </c>
    </row>
    <row r="24" spans="1:15" ht="15" customHeight="1">
      <c r="A24" s="48"/>
      <c r="B24" s="49">
        <f>VLOOKUP($C$11:$C$25,Personnel!$A$1:$B$1234,2,FALSE)</f>
        <v>0</v>
      </c>
      <c r="C24" s="36"/>
      <c r="D24" s="184"/>
      <c r="E24" s="179">
        <f>VLOOKUP($B$11:$B$25,'Constr. Wage Rate Calculations'!$A$19:$Z$288,22,FALSE)</f>
        <v>0</v>
      </c>
      <c r="F24" s="184"/>
      <c r="G24" s="179">
        <f>VLOOKUP($B$11:$B$25,'Constr. Wage Rate Calculations'!$A$19:$Z$288,23,FALSE)</f>
        <v>0</v>
      </c>
      <c r="H24" s="184"/>
      <c r="I24" s="179">
        <f>VLOOKUP($B$11:$B$25,'Constr. Wage Rate Calculations'!$A$19:$Z$288,24,FALSE)</f>
        <v>0</v>
      </c>
      <c r="J24" s="20">
        <f>VLOOKUP($B$11:$B$25,'Constr. Wage Rate Calculations'!$A$19:$Z$288,25,FALSE)</f>
        <v>0</v>
      </c>
      <c r="K24" s="179" t="str">
        <f t="shared" si="0"/>
        <v/>
      </c>
    </row>
    <row r="25" spans="1:15" ht="15" customHeight="1" thickBot="1">
      <c r="A25" s="48"/>
      <c r="B25" s="49">
        <f>VLOOKUP($C$11:$C$25,Personnel!$A$1:$B$1234,2,FALSE)</f>
        <v>0</v>
      </c>
      <c r="C25" s="36"/>
      <c r="D25" s="184"/>
      <c r="E25" s="179">
        <f>VLOOKUP($B$11:$B$25,'Constr. Wage Rate Calculations'!$A$19:$Z$288,22,FALSE)</f>
        <v>0</v>
      </c>
      <c r="F25" s="184"/>
      <c r="G25" s="179">
        <f>VLOOKUP($B$11:$B$25,'Constr. Wage Rate Calculations'!$A$19:$Z$288,23,FALSE)</f>
        <v>0</v>
      </c>
      <c r="H25" s="184"/>
      <c r="I25" s="179">
        <f>VLOOKUP($B$11:$B$25,'Constr. Wage Rate Calculations'!$A$19:$Z$288,24,FALSE)</f>
        <v>0</v>
      </c>
      <c r="J25" s="20">
        <f>VLOOKUP($B$11:$B$25,'Constr. Wage Rate Calculations'!$A$19:$Z$288,25,FALSE)</f>
        <v>0</v>
      </c>
      <c r="K25" s="179" t="str">
        <f t="shared" si="0"/>
        <v/>
      </c>
      <c r="M25" s="1">
        <f>SUM(M11:M24)</f>
        <v>0</v>
      </c>
    </row>
    <row r="26" spans="1:15" ht="15" customHeight="1" thickBot="1">
      <c r="A26"/>
      <c r="B26"/>
      <c r="C26"/>
      <c r="D26" s="21"/>
      <c r="E26" s="21"/>
      <c r="F26" s="21"/>
      <c r="G26" s="21"/>
      <c r="H26" s="21"/>
      <c r="I26" s="360" t="s">
        <v>18</v>
      </c>
      <c r="J26" s="361"/>
      <c r="K26" s="183">
        <f>SUM(K11:K25)</f>
        <v>0</v>
      </c>
      <c r="M26" s="1">
        <f>SUMIFS(D11:D25,D11:D25,"&lt;3",D11:D25,"&lt;5")</f>
        <v>0</v>
      </c>
      <c r="N26" s="1">
        <f>SUMIFS(D11:D25,D11:D25,"&gt;3",D11:D25,"&gt;5")</f>
        <v>0</v>
      </c>
      <c r="O26" s="1">
        <f>SUM(F11:F25,H11:H25,M26,N26)-M25</f>
        <v>0</v>
      </c>
    </row>
    <row r="27" spans="1:15" ht="10" customHeight="1" thickBot="1"/>
    <row r="28" spans="1:15" s="19" customFormat="1" ht="15" customHeight="1" thickBot="1">
      <c r="A28" s="22" t="s">
        <v>19</v>
      </c>
      <c r="B28" s="23" t="s">
        <v>20</v>
      </c>
      <c r="C28" s="23"/>
      <c r="D28" s="23"/>
      <c r="E28" s="23"/>
      <c r="F28" s="23"/>
      <c r="G28" s="23"/>
      <c r="H28" s="18" t="s">
        <v>21</v>
      </c>
      <c r="I28" s="18" t="s">
        <v>22</v>
      </c>
      <c r="J28" s="18" t="s">
        <v>23</v>
      </c>
      <c r="K28" s="18" t="s">
        <v>17</v>
      </c>
    </row>
    <row r="29" spans="1:15" ht="15" customHeight="1">
      <c r="A29" s="43"/>
      <c r="B29" s="49">
        <f>VLOOKUP($C$29:$C$42,Equipment!$A$1:$B$2322,2,FALSE)</f>
        <v>0</v>
      </c>
      <c r="C29" s="24"/>
      <c r="D29" s="24"/>
      <c r="E29" s="24"/>
      <c r="F29" s="24"/>
      <c r="G29" s="24"/>
      <c r="H29" s="185"/>
      <c r="I29" s="184"/>
      <c r="J29" s="42">
        <f>VLOOKUP($B$29:$B$42,'Alberta Equip. Rates Year 3'!$B$13:$K$314,10,FALSE)</f>
        <v>0</v>
      </c>
      <c r="K29" s="181">
        <f>(H29+I29)*J29</f>
        <v>0</v>
      </c>
    </row>
    <row r="30" spans="1:15" ht="15" customHeight="1">
      <c r="A30" s="43"/>
      <c r="B30" s="49">
        <f>VLOOKUP($C$29:$C$42,Equipment!$A$1:$B$2322,2,FALSE)</f>
        <v>0</v>
      </c>
      <c r="C30" s="24"/>
      <c r="D30" s="24"/>
      <c r="E30" s="24"/>
      <c r="F30" s="24"/>
      <c r="G30" s="24"/>
      <c r="H30" s="185"/>
      <c r="I30" s="184"/>
      <c r="J30" s="42">
        <f>VLOOKUP($B$29:$B$42,'Alberta Equip. Rates Year 3'!$B$13:$K$314,10,FALSE)</f>
        <v>0</v>
      </c>
      <c r="K30" s="181">
        <f t="shared" ref="K30:K42" si="1">(H30+I30)*J30</f>
        <v>0</v>
      </c>
    </row>
    <row r="31" spans="1:15" ht="15" customHeight="1">
      <c r="A31" s="43"/>
      <c r="B31" s="49">
        <f>VLOOKUP($C$29:$C$42,Equipment!$A$1:$B$2322,2,FALSE)</f>
        <v>0</v>
      </c>
      <c r="C31" s="24"/>
      <c r="D31" s="24"/>
      <c r="E31" s="24"/>
      <c r="F31" s="24"/>
      <c r="G31" s="24"/>
      <c r="H31" s="185"/>
      <c r="I31" s="184"/>
      <c r="J31" s="42">
        <f>VLOOKUP($B$29:$B$42,'Alberta Equip. Rates Year 3'!$B$13:$K$314,10,FALSE)</f>
        <v>0</v>
      </c>
      <c r="K31" s="181">
        <f t="shared" si="1"/>
        <v>0</v>
      </c>
    </row>
    <row r="32" spans="1:15" ht="15" customHeight="1">
      <c r="A32" s="43"/>
      <c r="B32" s="49">
        <f>VLOOKUP($C$29:$C$42,Equipment!$A$1:$B$2322,2,FALSE)</f>
        <v>0</v>
      </c>
      <c r="C32" s="24"/>
      <c r="D32" s="24"/>
      <c r="E32" s="24"/>
      <c r="F32" s="24"/>
      <c r="G32" s="24"/>
      <c r="H32" s="185"/>
      <c r="I32" s="184"/>
      <c r="J32" s="42">
        <f>VLOOKUP($B$29:$B$42,'Alberta Equip. Rates Year 3'!$B$13:$K$314,10,FALSE)</f>
        <v>0</v>
      </c>
      <c r="K32" s="181">
        <f t="shared" si="1"/>
        <v>0</v>
      </c>
    </row>
    <row r="33" spans="1:11" ht="15" customHeight="1">
      <c r="A33" s="43"/>
      <c r="B33" s="49">
        <f>VLOOKUP($C$29:$C$42,Equipment!$A$1:$B$2322,2,FALSE)</f>
        <v>0</v>
      </c>
      <c r="C33" s="24"/>
      <c r="D33" s="24"/>
      <c r="E33" s="24"/>
      <c r="F33" s="24"/>
      <c r="G33" s="24"/>
      <c r="H33" s="185"/>
      <c r="I33" s="184"/>
      <c r="J33" s="42">
        <f>VLOOKUP($B$29:$B$42,'Alberta Equip. Rates Year 3'!$B$13:$K$314,10,FALSE)</f>
        <v>0</v>
      </c>
      <c r="K33" s="181">
        <f t="shared" si="1"/>
        <v>0</v>
      </c>
    </row>
    <row r="34" spans="1:11" ht="15" customHeight="1">
      <c r="A34" s="43"/>
      <c r="B34" s="49">
        <f>VLOOKUP($C$29:$C$42,Equipment!$A$1:$B$2322,2,FALSE)</f>
        <v>0</v>
      </c>
      <c r="C34" s="24"/>
      <c r="D34" s="24"/>
      <c r="E34" s="24"/>
      <c r="F34" s="24"/>
      <c r="G34" s="24"/>
      <c r="H34" s="185"/>
      <c r="I34" s="184"/>
      <c r="J34" s="42">
        <f>VLOOKUP($B$29:$B$42,'Alberta Equip. Rates Year 3'!$B$13:$K$314,10,FALSE)</f>
        <v>0</v>
      </c>
      <c r="K34" s="181">
        <f t="shared" si="1"/>
        <v>0</v>
      </c>
    </row>
    <row r="35" spans="1:11" ht="15" customHeight="1">
      <c r="A35" s="43"/>
      <c r="B35" s="49">
        <f>VLOOKUP($C$29:$C$42,Equipment!$A$1:$B$2322,2,FALSE)</f>
        <v>0</v>
      </c>
      <c r="C35" s="24"/>
      <c r="D35" s="24"/>
      <c r="E35" s="24"/>
      <c r="F35" s="24"/>
      <c r="G35" s="24"/>
      <c r="H35" s="185"/>
      <c r="I35" s="184"/>
      <c r="J35" s="42">
        <f>VLOOKUP($B$29:$B$42,'Alberta Equip. Rates Year 3'!$B$13:$K$314,10,FALSE)</f>
        <v>0</v>
      </c>
      <c r="K35" s="181">
        <f t="shared" si="1"/>
        <v>0</v>
      </c>
    </row>
    <row r="36" spans="1:11" ht="15" customHeight="1">
      <c r="A36" s="43"/>
      <c r="B36" s="49">
        <f>VLOOKUP($C$29:$C$42,Equipment!$A$1:$B$2322,2,FALSE)</f>
        <v>0</v>
      </c>
      <c r="C36" s="24"/>
      <c r="D36" s="24"/>
      <c r="E36" s="24"/>
      <c r="F36" s="24"/>
      <c r="G36" s="24"/>
      <c r="H36" s="185"/>
      <c r="I36" s="184"/>
      <c r="J36" s="42">
        <f>VLOOKUP($B$29:$B$42,'Alberta Equip. Rates Year 3'!$B$13:$K$314,10,FALSE)</f>
        <v>0</v>
      </c>
      <c r="K36" s="181">
        <f t="shared" si="1"/>
        <v>0</v>
      </c>
    </row>
    <row r="37" spans="1:11" ht="15" customHeight="1">
      <c r="A37" s="43"/>
      <c r="B37" s="49">
        <f>VLOOKUP($C$29:$C$42,Equipment!$A$1:$B$2322,2,FALSE)</f>
        <v>0</v>
      </c>
      <c r="C37" s="24"/>
      <c r="D37" s="24"/>
      <c r="E37" s="24"/>
      <c r="F37" s="24"/>
      <c r="G37" s="24"/>
      <c r="H37" s="185"/>
      <c r="I37" s="184"/>
      <c r="J37" s="42">
        <f>VLOOKUP($B$29:$B$42,'Alberta Equip. Rates Year 3'!$B$13:$K$314,10,FALSE)</f>
        <v>0</v>
      </c>
      <c r="K37" s="181">
        <f t="shared" si="1"/>
        <v>0</v>
      </c>
    </row>
    <row r="38" spans="1:11" ht="15" customHeight="1">
      <c r="A38" s="43"/>
      <c r="B38" s="49">
        <f>VLOOKUP($C$29:$C$42,Equipment!$A$1:$B$2322,2,FALSE)</f>
        <v>0</v>
      </c>
      <c r="C38" s="24"/>
      <c r="D38" s="24"/>
      <c r="E38" s="24"/>
      <c r="F38" s="24"/>
      <c r="G38" s="24"/>
      <c r="H38" s="185"/>
      <c r="I38" s="184"/>
      <c r="J38" s="42">
        <f>VLOOKUP($B$29:$B$42,'Alberta Equip. Rates Year 3'!$B$13:$K$314,10,FALSE)</f>
        <v>0</v>
      </c>
      <c r="K38" s="181">
        <f t="shared" si="1"/>
        <v>0</v>
      </c>
    </row>
    <row r="39" spans="1:11" ht="15" customHeight="1">
      <c r="A39" s="43"/>
      <c r="B39" s="49">
        <f>VLOOKUP($C$29:$C$42,Equipment!$A$1:$B$2322,2,FALSE)</f>
        <v>0</v>
      </c>
      <c r="C39" s="24"/>
      <c r="D39" s="24"/>
      <c r="E39" s="24"/>
      <c r="F39" s="24"/>
      <c r="G39" s="24"/>
      <c r="H39" s="185"/>
      <c r="I39" s="184"/>
      <c r="J39" s="42">
        <f>VLOOKUP($B$29:$B$42,'Alberta Equip. Rates Year 3'!$B$13:$K$314,10,FALSE)</f>
        <v>0</v>
      </c>
      <c r="K39" s="181">
        <f>(H39+I39)*J39</f>
        <v>0</v>
      </c>
    </row>
    <row r="40" spans="1:11" ht="15" customHeight="1">
      <c r="A40" s="43"/>
      <c r="B40" s="49">
        <f>VLOOKUP($C$29:$C$42,Equipment!$A$1:$B$2322,2,FALSE)</f>
        <v>0</v>
      </c>
      <c r="C40" s="24"/>
      <c r="D40" s="24"/>
      <c r="E40" s="24"/>
      <c r="F40" s="24"/>
      <c r="G40" s="24"/>
      <c r="H40" s="185"/>
      <c r="I40" s="184"/>
      <c r="J40" s="42">
        <f>VLOOKUP($B$29:$B$42,'Alberta Equip. Rates Year 3'!$B$13:$K$314,10,FALSE)</f>
        <v>0</v>
      </c>
      <c r="K40" s="181">
        <f t="shared" si="1"/>
        <v>0</v>
      </c>
    </row>
    <row r="41" spans="1:11" ht="15" customHeight="1">
      <c r="A41" s="43"/>
      <c r="B41" s="49">
        <f>VLOOKUP($C$29:$C$42,Equipment!$A$1:$B$2322,2,FALSE)</f>
        <v>0</v>
      </c>
      <c r="C41" s="24"/>
      <c r="D41" s="24"/>
      <c r="E41" s="24"/>
      <c r="F41" s="24"/>
      <c r="G41" s="24"/>
      <c r="H41" s="185"/>
      <c r="I41" s="184"/>
      <c r="J41" s="42">
        <f>VLOOKUP($B$29:$B$42,'Alberta Equip. Rates Year 3'!$B$13:$K$314,10,FALSE)</f>
        <v>0</v>
      </c>
      <c r="K41" s="181">
        <f t="shared" si="1"/>
        <v>0</v>
      </c>
    </row>
    <row r="42" spans="1:11" ht="15" customHeight="1" thickBot="1">
      <c r="A42" s="43"/>
      <c r="B42" s="49">
        <f>VLOOKUP($C$29:$C$42,Equipment!$A$1:$B$2322,2,FALSE)</f>
        <v>0</v>
      </c>
      <c r="C42" s="24"/>
      <c r="D42" s="24"/>
      <c r="E42" s="24"/>
      <c r="F42" s="24"/>
      <c r="G42" s="24"/>
      <c r="H42" s="185"/>
      <c r="I42" s="184"/>
      <c r="J42" s="42">
        <f>VLOOKUP($B$29:$B$42,'Alberta Equip. Rates Year 3'!$B$13:$K$314,10,FALSE)</f>
        <v>0</v>
      </c>
      <c r="K42" s="181">
        <f t="shared" si="1"/>
        <v>0</v>
      </c>
    </row>
    <row r="43" spans="1:11" ht="12" thickBot="1">
      <c r="A43" s="25"/>
      <c r="B43" s="25"/>
      <c r="C43" s="25"/>
      <c r="D43" s="21"/>
      <c r="E43" s="21"/>
      <c r="F43" s="21"/>
      <c r="G43" s="21"/>
      <c r="H43" s="21"/>
      <c r="I43" s="360" t="s">
        <v>24</v>
      </c>
      <c r="J43" s="361"/>
      <c r="K43" s="182">
        <f>SUM(K29:K42)</f>
        <v>0</v>
      </c>
    </row>
    <row r="44" spans="1:11" ht="12" thickBot="1">
      <c r="A44" s="26"/>
      <c r="D44" s="26"/>
      <c r="I44" s="27"/>
      <c r="J44" s="27"/>
      <c r="K44" s="28"/>
    </row>
    <row r="45" spans="1:11">
      <c r="A45" s="1" t="s">
        <v>25</v>
      </c>
      <c r="B45" s="29"/>
      <c r="D45" s="1"/>
      <c r="E45" s="1"/>
      <c r="F45" s="1"/>
      <c r="G45" s="1"/>
      <c r="H45" s="1"/>
      <c r="I45" s="362" t="s">
        <v>26</v>
      </c>
      <c r="J45" s="362"/>
      <c r="K45" s="37">
        <f>K26</f>
        <v>0</v>
      </c>
    </row>
    <row r="46" spans="1:11">
      <c r="D46" s="1"/>
      <c r="E46" s="1"/>
      <c r="F46" s="1"/>
      <c r="G46" s="1"/>
      <c r="H46" s="1"/>
      <c r="I46" s="362" t="s">
        <v>27</v>
      </c>
      <c r="J46" s="362"/>
      <c r="K46" s="38">
        <f>K43</f>
        <v>0</v>
      </c>
    </row>
    <row r="47" spans="1:11">
      <c r="D47" s="1"/>
      <c r="E47" s="1"/>
      <c r="F47" s="1"/>
      <c r="G47" s="1"/>
      <c r="H47" s="1"/>
      <c r="I47" s="27" t="s">
        <v>28</v>
      </c>
      <c r="J47" s="27"/>
      <c r="K47" s="38">
        <f>(O26)*14.15</f>
        <v>0</v>
      </c>
    </row>
    <row r="48" spans="1:11">
      <c r="D48" s="1"/>
      <c r="E48" s="1"/>
      <c r="F48" s="1"/>
      <c r="G48" s="1"/>
      <c r="H48" s="1"/>
      <c r="I48" s="30" t="s">
        <v>29</v>
      </c>
      <c r="J48" s="30"/>
      <c r="K48" s="39"/>
    </row>
    <row r="49" spans="1:11">
      <c r="D49" s="1"/>
      <c r="E49" s="1"/>
      <c r="F49" s="1"/>
      <c r="G49" s="1"/>
      <c r="H49" s="1"/>
      <c r="I49" s="30" t="s">
        <v>30</v>
      </c>
      <c r="J49" s="30"/>
      <c r="K49" s="39"/>
    </row>
    <row r="50" spans="1:11">
      <c r="D50" s="1"/>
      <c r="E50" s="1"/>
      <c r="F50" s="1"/>
      <c r="G50" s="1"/>
      <c r="H50" s="1"/>
      <c r="I50" s="30" t="s">
        <v>31</v>
      </c>
      <c r="J50" s="30"/>
      <c r="K50" s="39"/>
    </row>
    <row r="51" spans="1:11" ht="12" thickBot="1">
      <c r="D51" s="1"/>
      <c r="E51" s="1"/>
      <c r="F51" s="1"/>
      <c r="G51" s="1"/>
      <c r="H51" s="1"/>
      <c r="I51" s="362" t="s">
        <v>32</v>
      </c>
      <c r="J51" s="362"/>
      <c r="K51" s="40">
        <f>SUM(K45:K50)</f>
        <v>0</v>
      </c>
    </row>
    <row r="52" spans="1:11">
      <c r="D52" s="1"/>
      <c r="E52" s="1"/>
      <c r="F52" s="1"/>
      <c r="G52" s="1"/>
      <c r="H52" s="1"/>
      <c r="I52" s="27"/>
      <c r="J52" s="27"/>
    </row>
    <row r="53" spans="1:11">
      <c r="A53" s="31" t="s">
        <v>33</v>
      </c>
      <c r="B53" s="32"/>
      <c r="C53" s="32"/>
      <c r="D53" s="1"/>
      <c r="H53" s="33" t="s">
        <v>34</v>
      </c>
      <c r="I53" s="32"/>
      <c r="J53" s="32"/>
      <c r="K53" s="32"/>
    </row>
    <row r="54" spans="1:11" ht="15">
      <c r="A54" s="34"/>
      <c r="E54" s="8"/>
      <c r="F54" s="8"/>
      <c r="G54" s="8"/>
      <c r="H54" s="35"/>
      <c r="I54" s="35"/>
      <c r="J54" s="35"/>
      <c r="K54" s="35"/>
    </row>
    <row r="55" spans="1:11" ht="15">
      <c r="A55" s="34" t="s">
        <v>35</v>
      </c>
      <c r="E55" s="8"/>
      <c r="F55" s="8"/>
      <c r="G55" s="8"/>
      <c r="H55" s="35"/>
      <c r="I55" s="35"/>
      <c r="J55" s="35"/>
      <c r="K55" s="35"/>
    </row>
    <row r="56" spans="1:11" s="34" customFormat="1">
      <c r="A56" s="363">
        <v>41218.479166666664</v>
      </c>
      <c r="B56" s="363"/>
      <c r="C56" s="364"/>
      <c r="D56" s="364"/>
      <c r="E56" s="364"/>
      <c r="F56" s="364"/>
      <c r="G56" s="364"/>
      <c r="H56" s="364"/>
      <c r="I56" s="364"/>
      <c r="J56" s="364"/>
      <c r="K56" s="8"/>
    </row>
    <row r="66" s="1" customFormat="1"/>
    <row r="67" s="1" customFormat="1"/>
    <row r="68" s="1" customFormat="1"/>
    <row r="69" s="1" customFormat="1"/>
    <row r="70" s="1" customFormat="1"/>
    <row r="71" s="1" customFormat="1"/>
    <row r="72" s="1" customFormat="1"/>
    <row r="73" s="1" customFormat="1"/>
    <row r="74" s="1" customFormat="1"/>
    <row r="75" s="1" customFormat="1"/>
    <row r="76" s="1" customFormat="1"/>
    <row r="77" s="1" customFormat="1"/>
    <row r="78" s="1" customFormat="1"/>
    <row r="79" s="1" customFormat="1"/>
    <row r="84" s="1" customFormat="1"/>
    <row r="112" s="1" customFormat="1"/>
    <row r="113" s="1" customFormat="1"/>
    <row r="114" s="1" customFormat="1"/>
    <row r="115" s="1" customFormat="1"/>
  </sheetData>
  <mergeCells count="12">
    <mergeCell ref="I26:J26"/>
    <mergeCell ref="C1:H1"/>
    <mergeCell ref="C2:H2"/>
    <mergeCell ref="C3:H3"/>
    <mergeCell ref="H6:I6"/>
    <mergeCell ref="H7:I7"/>
    <mergeCell ref="I43:J43"/>
    <mergeCell ref="I45:J45"/>
    <mergeCell ref="I46:J46"/>
    <mergeCell ref="I51:J51"/>
    <mergeCell ref="A56:B56"/>
    <mergeCell ref="C56:J56"/>
  </mergeCells>
  <printOptions horizontalCentered="1"/>
  <pageMargins left="0.19685039370078741" right="0.19685039370078741" top="0.39370078740157483" bottom="0.39370078740157483" header="0" footer="0"/>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900-000000000000}">
          <x14:formula1>
            <xm:f>Accounts!$A$4:$A$60</xm:f>
          </x14:formula1>
          <xm:sqref>K7</xm:sqref>
        </x14:dataValidation>
        <x14:dataValidation type="list" allowBlank="1" showInputMessage="1" showErrorMessage="1" xr:uid="{00000000-0002-0000-0900-000001000000}">
          <x14:formula1>
            <xm:f>'Constr. Wage Rate Calculations'!$A$19:$A$288</xm:f>
          </x14:formula1>
          <xm:sqref>B11:B25</xm:sqref>
        </x14:dataValidation>
        <x14:dataValidation type="list" allowBlank="1" showInputMessage="1" showErrorMessage="1" xr:uid="{00000000-0002-0000-0900-000002000000}">
          <x14:formula1>
            <xm:f>Personnel!$A:$A</xm:f>
          </x14:formula1>
          <xm:sqref>C11:C25</xm:sqref>
        </x14:dataValidation>
        <x14:dataValidation type="list" allowBlank="1" showInputMessage="1" showErrorMessage="1" xr:uid="{00000000-0002-0000-0900-000003000000}">
          <x14:formula1>
            <xm:f>Equipment!$A:$A</xm:f>
          </x14:formula1>
          <xm:sqref>C29:C42</xm:sqref>
        </x14:dataValidation>
      </x14:dataValidations>
    </ex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O115"/>
  <sheetViews>
    <sheetView zoomScale="120" zoomScaleNormal="120" zoomScalePageLayoutView="120" workbookViewId="0">
      <selection activeCell="F16" sqref="F16"/>
    </sheetView>
  </sheetViews>
  <sheetFormatPr baseColWidth="10" defaultColWidth="8.83203125" defaultRowHeight="11"/>
  <cols>
    <col min="1" max="1" width="13" style="1" customWidth="1"/>
    <col min="2" max="2" width="30" style="1" customWidth="1"/>
    <col min="3" max="3" width="24.5" style="1" customWidth="1"/>
    <col min="4" max="4" width="8.6640625" style="2" customWidth="1"/>
    <col min="5" max="6" width="8.33203125" style="2" customWidth="1"/>
    <col min="7" max="8" width="8.6640625" style="2" customWidth="1"/>
    <col min="9" max="9" width="9.33203125" style="2" customWidth="1"/>
    <col min="10" max="10" width="8.6640625" style="2" customWidth="1"/>
    <col min="11" max="11" width="21.6640625" style="1" customWidth="1"/>
    <col min="12" max="12" width="3.5" style="1" hidden="1" customWidth="1"/>
    <col min="13" max="16384" width="8.83203125" style="1"/>
  </cols>
  <sheetData>
    <row r="1" spans="1:13" ht="15">
      <c r="C1" s="364"/>
      <c r="D1" s="365"/>
      <c r="E1" s="365"/>
      <c r="F1" s="365"/>
      <c r="G1" s="365"/>
      <c r="H1" s="366"/>
      <c r="J1" s="2" t="s">
        <v>0</v>
      </c>
      <c r="K1" s="197"/>
      <c r="M1" s="45"/>
    </row>
    <row r="2" spans="1:13" ht="15">
      <c r="C2" s="367"/>
      <c r="D2" s="367"/>
      <c r="E2" s="367"/>
      <c r="F2" s="367"/>
      <c r="G2" s="367"/>
      <c r="H2" s="366"/>
      <c r="K2" s="41"/>
    </row>
    <row r="3" spans="1:13" ht="15">
      <c r="C3" s="368"/>
      <c r="D3" s="369"/>
      <c r="E3" s="369"/>
      <c r="F3" s="369"/>
      <c r="G3" s="369"/>
      <c r="H3" s="366"/>
    </row>
    <row r="4" spans="1:13">
      <c r="C4" s="3"/>
      <c r="D4" s="4"/>
      <c r="E4" s="4"/>
      <c r="F4" s="4"/>
      <c r="G4" s="4"/>
    </row>
    <row r="5" spans="1:13">
      <c r="C5" s="3"/>
      <c r="D5" s="4"/>
      <c r="E5" s="4"/>
      <c r="F5" s="4"/>
      <c r="G5" s="4"/>
    </row>
    <row r="6" spans="1:13" ht="12">
      <c r="B6" s="5"/>
      <c r="C6" s="6"/>
      <c r="D6" s="7"/>
      <c r="E6" s="8"/>
      <c r="F6" s="8"/>
      <c r="G6" s="1" t="s">
        <v>1</v>
      </c>
      <c r="H6" s="370"/>
      <c r="I6" s="370"/>
      <c r="J6" s="1" t="s">
        <v>2</v>
      </c>
      <c r="K6" s="47"/>
    </row>
    <row r="7" spans="1:13" ht="12">
      <c r="A7" s="1" t="s">
        <v>3</v>
      </c>
      <c r="B7" s="9"/>
      <c r="C7" s="10"/>
      <c r="D7" s="11"/>
      <c r="E7" s="8"/>
      <c r="F7" s="8"/>
      <c r="G7" s="1" t="s">
        <v>4</v>
      </c>
      <c r="H7" s="371"/>
      <c r="I7" s="371"/>
      <c r="J7" s="1" t="s">
        <v>5</v>
      </c>
      <c r="K7" s="46"/>
    </row>
    <row r="8" spans="1:13" ht="12">
      <c r="B8" s="12"/>
      <c r="C8" s="13"/>
      <c r="D8" s="14"/>
      <c r="E8" s="8"/>
      <c r="F8" s="8"/>
      <c r="G8" s="1" t="s">
        <v>6</v>
      </c>
      <c r="H8" s="187"/>
      <c r="I8" s="188"/>
      <c r="J8" s="44"/>
    </row>
    <row r="9" spans="1:13" ht="16" thickBot="1">
      <c r="B9" s="15"/>
      <c r="C9" s="16"/>
      <c r="D9" s="16"/>
      <c r="E9" s="8"/>
      <c r="F9" s="8"/>
      <c r="G9" s="8"/>
    </row>
    <row r="10" spans="1:13" s="19" customFormat="1" ht="12" thickBot="1">
      <c r="A10" s="17" t="s">
        <v>7</v>
      </c>
      <c r="B10" s="17" t="s">
        <v>8</v>
      </c>
      <c r="C10" s="17" t="s">
        <v>9</v>
      </c>
      <c r="D10" s="18" t="s">
        <v>10</v>
      </c>
      <c r="E10" s="18" t="s">
        <v>11</v>
      </c>
      <c r="F10" s="18" t="s">
        <v>12</v>
      </c>
      <c r="G10" s="180" t="s">
        <v>13</v>
      </c>
      <c r="H10" s="18" t="s">
        <v>14</v>
      </c>
      <c r="I10" s="18" t="s">
        <v>15</v>
      </c>
      <c r="J10" s="18" t="s">
        <v>16</v>
      </c>
      <c r="K10" s="18" t="s">
        <v>17</v>
      </c>
      <c r="M10" s="19" t="s">
        <v>1797</v>
      </c>
    </row>
    <row r="11" spans="1:13" ht="15" customHeight="1">
      <c r="A11" s="48"/>
      <c r="B11" s="49">
        <f>VLOOKUP($C$11:$C$25,Personnel!$A$1:$B$1234,2,FALSE)</f>
        <v>0</v>
      </c>
      <c r="C11" s="36"/>
      <c r="D11" s="184"/>
      <c r="E11" s="179">
        <f>VLOOKUP($B$11:$B$25,'Constr. Wage Rate Calculations'!$A$19:$Z$288,22,FALSE)</f>
        <v>0</v>
      </c>
      <c r="F11" s="184"/>
      <c r="G11" s="179">
        <f>VLOOKUP($B$11:$B$25,'Constr. Wage Rate Calculations'!$A$19:$Z$288,23,FALSE)</f>
        <v>0</v>
      </c>
      <c r="H11" s="184"/>
      <c r="I11" s="179">
        <f>VLOOKUP($B$11:$B$25,'Constr. Wage Rate Calculations'!$A$19:$Z$288,24,FALSE)</f>
        <v>0</v>
      </c>
      <c r="J11" s="20">
        <f>VLOOKUP($B$11:$B$25,'Constr. Wage Rate Calculations'!$A$19:$Z$288,25,FALSE)</f>
        <v>0</v>
      </c>
      <c r="K11" s="179" t="str">
        <f t="shared" ref="K11:K25" si="0">IF($D11&gt;=1,$J11+(D11*E11)+(F11*G11)+(H11*I11),IF($F11&gt;=1,$J11+(D11*E11)+(F11*G11)+(H11*I11),IF($H11&gt;=1,$J11+(D11*E11)+(F11*G11)+(H11*I11),"")))</f>
        <v/>
      </c>
    </row>
    <row r="12" spans="1:13" ht="15" customHeight="1">
      <c r="A12" s="48"/>
      <c r="B12" s="49">
        <f>VLOOKUP($C$11:$C$25,Personnel!$A$1:$B$1234,2,FALSE)</f>
        <v>0</v>
      </c>
      <c r="C12" s="36"/>
      <c r="D12" s="184"/>
      <c r="E12" s="179">
        <f>VLOOKUP($B$11:$B$25,'Constr. Wage Rate Calculations'!$A$19:$Z$288,22,FALSE)</f>
        <v>0</v>
      </c>
      <c r="F12" s="184"/>
      <c r="G12" s="179">
        <f>VLOOKUP($B$11:$B$25,'Constr. Wage Rate Calculations'!$A$19:$Z$288,23,FALSE)</f>
        <v>0</v>
      </c>
      <c r="H12" s="184"/>
      <c r="I12" s="179">
        <f>VLOOKUP($B$11:$B$25,'Constr. Wage Rate Calculations'!$A$19:$Z$288,24,FALSE)</f>
        <v>0</v>
      </c>
      <c r="J12" s="20">
        <f>VLOOKUP($B$11:$B$25,'Constr. Wage Rate Calculations'!$A$19:$Z$288,25,FALSE)</f>
        <v>0</v>
      </c>
      <c r="K12" s="179" t="str">
        <f t="shared" si="0"/>
        <v/>
      </c>
    </row>
    <row r="13" spans="1:13" ht="15" customHeight="1">
      <c r="A13" s="48"/>
      <c r="B13" s="49">
        <f>VLOOKUP($C$11:$C$25,Personnel!$A$1:$B$1234,2,FALSE)</f>
        <v>0</v>
      </c>
      <c r="C13" s="36"/>
      <c r="D13" s="184"/>
      <c r="E13" s="179">
        <f>VLOOKUP($B$11:$B$25,'Constr. Wage Rate Calculations'!$A$19:$Z$288,22,FALSE)</f>
        <v>0</v>
      </c>
      <c r="F13" s="184"/>
      <c r="G13" s="179">
        <f>VLOOKUP($B$11:$B$25,'Constr. Wage Rate Calculations'!$A$19:$Z$288,23,FALSE)</f>
        <v>0</v>
      </c>
      <c r="H13" s="184"/>
      <c r="I13" s="179">
        <f>VLOOKUP($B$11:$B$25,'Constr. Wage Rate Calculations'!$A$19:$Z$288,24,FALSE)</f>
        <v>0</v>
      </c>
      <c r="J13" s="20">
        <f>VLOOKUP($B$11:$B$25,'Constr. Wage Rate Calculations'!$A$19:$Z$288,25,FALSE)</f>
        <v>0</v>
      </c>
      <c r="K13" s="179" t="str">
        <f t="shared" si="0"/>
        <v/>
      </c>
    </row>
    <row r="14" spans="1:13" ht="15" customHeight="1">
      <c r="A14" s="48"/>
      <c r="B14" s="49">
        <f>VLOOKUP($C$11:$C$25,Personnel!$A$1:$B$1234,2,FALSE)</f>
        <v>0</v>
      </c>
      <c r="C14" s="36"/>
      <c r="D14" s="184"/>
      <c r="E14" s="179">
        <f>VLOOKUP($B$11:$B$25,'Constr. Wage Rate Calculations'!$A$19:$Z$288,22,FALSE)</f>
        <v>0</v>
      </c>
      <c r="F14" s="184"/>
      <c r="G14" s="179">
        <f>VLOOKUP($B$11:$B$25,'Constr. Wage Rate Calculations'!$A$19:$Z$288,23,FALSE)</f>
        <v>0</v>
      </c>
      <c r="H14" s="184"/>
      <c r="I14" s="179">
        <f>VLOOKUP($B$11:$B$25,'Constr. Wage Rate Calculations'!$A$19:$Z$288,24,FALSE)</f>
        <v>0</v>
      </c>
      <c r="J14" s="20">
        <f>VLOOKUP($B$11:$B$25,'Constr. Wage Rate Calculations'!$A$19:$Z$288,25,FALSE)</f>
        <v>0</v>
      </c>
      <c r="K14" s="179" t="str">
        <f t="shared" si="0"/>
        <v/>
      </c>
    </row>
    <row r="15" spans="1:13" ht="15" customHeight="1">
      <c r="A15" s="48"/>
      <c r="B15" s="49">
        <f>VLOOKUP($C$11:$C$25,Personnel!$A$1:$B$1234,2,FALSE)</f>
        <v>0</v>
      </c>
      <c r="C15" s="36"/>
      <c r="D15" s="184"/>
      <c r="E15" s="179">
        <f>VLOOKUP($B$11:$B$25,'Constr. Wage Rate Calculations'!$A$19:$Z$288,22,FALSE)</f>
        <v>0</v>
      </c>
      <c r="F15" s="184"/>
      <c r="G15" s="179">
        <f>VLOOKUP($B$11:$B$25,'Constr. Wage Rate Calculations'!$A$19:$Z$288,23,FALSE)</f>
        <v>0</v>
      </c>
      <c r="H15" s="184"/>
      <c r="I15" s="179">
        <f>VLOOKUP($B$11:$B$25,'Constr. Wage Rate Calculations'!$A$19:$Z$288,24,FALSE)</f>
        <v>0</v>
      </c>
      <c r="J15" s="20">
        <f>VLOOKUP($B$11:$B$25,'Constr. Wage Rate Calculations'!$A$19:$Z$288,25,FALSE)</f>
        <v>0</v>
      </c>
      <c r="K15" s="179" t="str">
        <f t="shared" si="0"/>
        <v/>
      </c>
    </row>
    <row r="16" spans="1:13" ht="15" customHeight="1">
      <c r="A16" s="48"/>
      <c r="B16" s="49">
        <f>VLOOKUP($C$11:$C$25,Personnel!$A$1:$B$1234,2,FALSE)</f>
        <v>0</v>
      </c>
      <c r="C16" s="36"/>
      <c r="D16" s="184"/>
      <c r="E16" s="179">
        <f>VLOOKUP($B$11:$B$25,'Constr. Wage Rate Calculations'!$A$19:$Z$288,22,FALSE)</f>
        <v>0</v>
      </c>
      <c r="F16" s="184"/>
      <c r="G16" s="179">
        <f>VLOOKUP($B$11:$B$25,'Constr. Wage Rate Calculations'!$A$19:$Z$288,23,FALSE)</f>
        <v>0</v>
      </c>
      <c r="H16" s="184"/>
      <c r="I16" s="179">
        <f>VLOOKUP($B$11:$B$25,'Constr. Wage Rate Calculations'!$A$19:$Z$288,24,FALSE)</f>
        <v>0</v>
      </c>
      <c r="J16" s="20">
        <f>VLOOKUP($B$11:$B$25,'Constr. Wage Rate Calculations'!$A$19:$Z$288,25,FALSE)</f>
        <v>0</v>
      </c>
      <c r="K16" s="179" t="str">
        <f t="shared" si="0"/>
        <v/>
      </c>
    </row>
    <row r="17" spans="1:15" ht="15" customHeight="1">
      <c r="A17" s="48"/>
      <c r="B17" s="49">
        <f>VLOOKUP($C$11:$C$25,Personnel!$A$1:$B$1234,2,FALSE)</f>
        <v>0</v>
      </c>
      <c r="C17" s="36"/>
      <c r="D17" s="184"/>
      <c r="E17" s="179">
        <f>VLOOKUP($B$11:$B$25,'Constr. Wage Rate Calculations'!$A$19:$Z$288,22,FALSE)</f>
        <v>0</v>
      </c>
      <c r="F17" s="184"/>
      <c r="G17" s="179">
        <f>VLOOKUP($B$11:$B$25,'Constr. Wage Rate Calculations'!$A$19:$Z$288,23,FALSE)</f>
        <v>0</v>
      </c>
      <c r="H17" s="184"/>
      <c r="I17" s="179">
        <f>VLOOKUP($B$11:$B$25,'Constr. Wage Rate Calculations'!$A$19:$Z$288,24,FALSE)</f>
        <v>0</v>
      </c>
      <c r="J17" s="20">
        <f>VLOOKUP($B$11:$B$25,'Constr. Wage Rate Calculations'!$A$19:$Z$288,25,FALSE)</f>
        <v>0</v>
      </c>
      <c r="K17" s="179" t="str">
        <f t="shared" si="0"/>
        <v/>
      </c>
    </row>
    <row r="18" spans="1:15" ht="15" customHeight="1">
      <c r="A18" s="48"/>
      <c r="B18" s="49">
        <f>VLOOKUP($C$11:$C$25,Personnel!$A$1:$B$1234,2,FALSE)</f>
        <v>0</v>
      </c>
      <c r="C18" s="36"/>
      <c r="D18" s="184"/>
      <c r="E18" s="179">
        <f>VLOOKUP($B$11:$B$25,'Constr. Wage Rate Calculations'!$A$19:$Z$288,22,FALSE)</f>
        <v>0</v>
      </c>
      <c r="F18" s="184"/>
      <c r="G18" s="179">
        <f>VLOOKUP($B$11:$B$25,'Constr. Wage Rate Calculations'!$A$19:$Z$288,23,FALSE)</f>
        <v>0</v>
      </c>
      <c r="H18" s="184"/>
      <c r="I18" s="179">
        <f>VLOOKUP($B$11:$B$25,'Constr. Wage Rate Calculations'!$A$19:$Z$288,24,FALSE)</f>
        <v>0</v>
      </c>
      <c r="J18" s="20">
        <f>VLOOKUP($B$11:$B$25,'Constr. Wage Rate Calculations'!$A$19:$Z$288,25,FALSE)</f>
        <v>0</v>
      </c>
      <c r="K18" s="179" t="str">
        <f t="shared" si="0"/>
        <v/>
      </c>
    </row>
    <row r="19" spans="1:15" ht="15" customHeight="1">
      <c r="A19" s="48"/>
      <c r="B19" s="49">
        <f>VLOOKUP($C$11:$C$25,Personnel!$A$1:$B$1234,2,FALSE)</f>
        <v>0</v>
      </c>
      <c r="C19" s="36"/>
      <c r="D19" s="184"/>
      <c r="E19" s="179">
        <f>VLOOKUP($B$11:$B$25,'Constr. Wage Rate Calculations'!$A$19:$Z$288,22,FALSE)</f>
        <v>0</v>
      </c>
      <c r="F19" s="184"/>
      <c r="G19" s="179">
        <f>VLOOKUP($B$11:$B$25,'Constr. Wage Rate Calculations'!$A$19:$Z$288,23,FALSE)</f>
        <v>0</v>
      </c>
      <c r="H19" s="184"/>
      <c r="I19" s="179">
        <f>VLOOKUP($B$11:$B$25,'Constr. Wage Rate Calculations'!$A$19:$Z$288,24,FALSE)</f>
        <v>0</v>
      </c>
      <c r="J19" s="20">
        <f>VLOOKUP($B$11:$B$25,'Constr. Wage Rate Calculations'!$A$19:$Z$288,25,FALSE)</f>
        <v>0</v>
      </c>
      <c r="K19" s="179" t="str">
        <f t="shared" si="0"/>
        <v/>
      </c>
    </row>
    <row r="20" spans="1:15" ht="15" customHeight="1">
      <c r="A20" s="48"/>
      <c r="B20" s="49">
        <f>VLOOKUP($C$11:$C$25,Personnel!$A$1:$B$1234,2,FALSE)</f>
        <v>0</v>
      </c>
      <c r="C20" s="36"/>
      <c r="D20" s="184"/>
      <c r="E20" s="179">
        <f>VLOOKUP($B$11:$B$25,'Constr. Wage Rate Calculations'!$A$19:$Z$288,22,FALSE)</f>
        <v>0</v>
      </c>
      <c r="F20" s="184"/>
      <c r="G20" s="179">
        <f>VLOOKUP($B$11:$B$25,'Constr. Wage Rate Calculations'!$A$19:$Z$288,23,FALSE)</f>
        <v>0</v>
      </c>
      <c r="H20" s="184"/>
      <c r="I20" s="179">
        <f>VLOOKUP($B$11:$B$25,'Constr. Wage Rate Calculations'!$A$19:$Z$288,24,FALSE)</f>
        <v>0</v>
      </c>
      <c r="J20" s="20">
        <f>VLOOKUP($B$11:$B$25,'Constr. Wage Rate Calculations'!$A$19:$Z$288,25,FALSE)</f>
        <v>0</v>
      </c>
      <c r="K20" s="179" t="str">
        <f t="shared" si="0"/>
        <v/>
      </c>
    </row>
    <row r="21" spans="1:15" ht="15" customHeight="1">
      <c r="A21" s="48"/>
      <c r="B21" s="49">
        <f>VLOOKUP($C$11:$C$25,Personnel!$A$1:$B$1234,2,FALSE)</f>
        <v>0</v>
      </c>
      <c r="C21" s="36"/>
      <c r="D21" s="184"/>
      <c r="E21" s="179">
        <f>VLOOKUP($B$11:$B$25,'Constr. Wage Rate Calculations'!$A$19:$Z$288,22,FALSE)</f>
        <v>0</v>
      </c>
      <c r="F21" s="184"/>
      <c r="G21" s="179">
        <f>VLOOKUP($B$11:$B$25,'Constr. Wage Rate Calculations'!$A$19:$Z$288,23,FALSE)</f>
        <v>0</v>
      </c>
      <c r="H21" s="184"/>
      <c r="I21" s="179">
        <f>VLOOKUP($B$11:$B$25,'Constr. Wage Rate Calculations'!$A$19:$Z$288,24,FALSE)</f>
        <v>0</v>
      </c>
      <c r="J21" s="20">
        <f>VLOOKUP($B$11:$B$25,'Constr. Wage Rate Calculations'!$A$19:$Z$288,25,FALSE)</f>
        <v>0</v>
      </c>
      <c r="K21" s="179" t="str">
        <f t="shared" si="0"/>
        <v/>
      </c>
    </row>
    <row r="22" spans="1:15" ht="15" customHeight="1">
      <c r="A22" s="48"/>
      <c r="B22" s="49">
        <f>VLOOKUP($C$11:$C$25,Personnel!$A$1:$B$1234,2,FALSE)</f>
        <v>0</v>
      </c>
      <c r="C22" s="36"/>
      <c r="D22" s="184"/>
      <c r="E22" s="179">
        <f>VLOOKUP($B$11:$B$25,'Constr. Wage Rate Calculations'!$A$19:$Z$288,22,FALSE)</f>
        <v>0</v>
      </c>
      <c r="F22" s="184"/>
      <c r="G22" s="179">
        <f>VLOOKUP($B$11:$B$25,'Constr. Wage Rate Calculations'!$A$19:$Z$288,23,FALSE)</f>
        <v>0</v>
      </c>
      <c r="H22" s="184"/>
      <c r="I22" s="179">
        <f>VLOOKUP($B$11:$B$25,'Constr. Wage Rate Calculations'!$A$19:$Z$288,24,FALSE)</f>
        <v>0</v>
      </c>
      <c r="J22" s="20">
        <f>VLOOKUP($B$11:$B$25,'Constr. Wage Rate Calculations'!$A$19:$Z$288,25,FALSE)</f>
        <v>0</v>
      </c>
      <c r="K22" s="179" t="str">
        <f>IF($D22&gt;=1,$J22+(D22*E22)+(F22*G22)+(H22*I22),IF($F22&gt;=1,$J22+(D22*E22)+(F22*G22)+(H22*I22),IF($H22&gt;=1,$J22+(D22*E22)+(F22*G22)+(H22*I22),"")))</f>
        <v/>
      </c>
    </row>
    <row r="23" spans="1:15" ht="15" customHeight="1">
      <c r="A23" s="48"/>
      <c r="B23" s="49">
        <f>VLOOKUP($C$11:$C$25,Personnel!$A$1:$B$1234,2,FALSE)</f>
        <v>0</v>
      </c>
      <c r="C23" s="36"/>
      <c r="D23" s="184"/>
      <c r="E23" s="179">
        <f>VLOOKUP($B$11:$B$25,'Constr. Wage Rate Calculations'!$A$19:$Z$288,22,FALSE)</f>
        <v>0</v>
      </c>
      <c r="F23" s="184"/>
      <c r="G23" s="179">
        <f>VLOOKUP($B$11:$B$25,'Constr. Wage Rate Calculations'!$A$19:$Z$288,23,FALSE)</f>
        <v>0</v>
      </c>
      <c r="H23" s="184"/>
      <c r="I23" s="179">
        <f>VLOOKUP($B$11:$B$25,'Constr. Wage Rate Calculations'!$A$19:$Z$288,24,FALSE)</f>
        <v>0</v>
      </c>
      <c r="J23" s="20">
        <f>VLOOKUP($B$11:$B$25,'Constr. Wage Rate Calculations'!$A$19:$Z$288,25,FALSE)</f>
        <v>0</v>
      </c>
      <c r="K23" s="179" t="str">
        <f t="shared" si="0"/>
        <v/>
      </c>
    </row>
    <row r="24" spans="1:15" ht="15" customHeight="1">
      <c r="A24" s="48"/>
      <c r="B24" s="49">
        <f>VLOOKUP($C$11:$C$25,Personnel!$A$1:$B$1234,2,FALSE)</f>
        <v>0</v>
      </c>
      <c r="C24" s="36"/>
      <c r="D24" s="184"/>
      <c r="E24" s="179">
        <f>VLOOKUP($B$11:$B$25,'Constr. Wage Rate Calculations'!$A$19:$Z$288,22,FALSE)</f>
        <v>0</v>
      </c>
      <c r="F24" s="184"/>
      <c r="G24" s="179">
        <f>VLOOKUP($B$11:$B$25,'Constr. Wage Rate Calculations'!$A$19:$Z$288,23,FALSE)</f>
        <v>0</v>
      </c>
      <c r="H24" s="184"/>
      <c r="I24" s="179">
        <f>VLOOKUP($B$11:$B$25,'Constr. Wage Rate Calculations'!$A$19:$Z$288,24,FALSE)</f>
        <v>0</v>
      </c>
      <c r="J24" s="20">
        <f>VLOOKUP($B$11:$B$25,'Constr. Wage Rate Calculations'!$A$19:$Z$288,25,FALSE)</f>
        <v>0</v>
      </c>
      <c r="K24" s="179" t="str">
        <f t="shared" si="0"/>
        <v/>
      </c>
    </row>
    <row r="25" spans="1:15" ht="15" customHeight="1" thickBot="1">
      <c r="A25" s="48"/>
      <c r="B25" s="49">
        <f>VLOOKUP($C$11:$C$25,Personnel!$A$1:$B$1234,2,FALSE)</f>
        <v>0</v>
      </c>
      <c r="C25" s="36"/>
      <c r="D25" s="184"/>
      <c r="E25" s="179">
        <f>VLOOKUP($B$11:$B$25,'Constr. Wage Rate Calculations'!$A$19:$Z$288,22,FALSE)</f>
        <v>0</v>
      </c>
      <c r="F25" s="184"/>
      <c r="G25" s="179">
        <f>VLOOKUP($B$11:$B$25,'Constr. Wage Rate Calculations'!$A$19:$Z$288,23,FALSE)</f>
        <v>0</v>
      </c>
      <c r="H25" s="184"/>
      <c r="I25" s="179">
        <f>VLOOKUP($B$11:$B$25,'Constr. Wage Rate Calculations'!$A$19:$Z$288,24,FALSE)</f>
        <v>0</v>
      </c>
      <c r="J25" s="20">
        <f>VLOOKUP($B$11:$B$25,'Constr. Wage Rate Calculations'!$A$19:$Z$288,25,FALSE)</f>
        <v>0</v>
      </c>
      <c r="K25" s="179" t="str">
        <f t="shared" si="0"/>
        <v/>
      </c>
      <c r="M25" s="1">
        <f>SUM(M11:M24)</f>
        <v>0</v>
      </c>
    </row>
    <row r="26" spans="1:15" ht="15" customHeight="1" thickBot="1">
      <c r="A26"/>
      <c r="B26"/>
      <c r="C26"/>
      <c r="D26" s="21"/>
      <c r="E26" s="21"/>
      <c r="F26" s="21"/>
      <c r="G26" s="21"/>
      <c r="H26" s="21"/>
      <c r="I26" s="360" t="s">
        <v>18</v>
      </c>
      <c r="J26" s="361"/>
      <c r="K26" s="183">
        <f>SUM(K11:K25)</f>
        <v>0</v>
      </c>
      <c r="M26" s="1">
        <f>SUMIFS(D11:D25,D11:D25,"&lt;3",D11:D25,"&lt;5")</f>
        <v>0</v>
      </c>
      <c r="N26" s="1">
        <f>SUMIFS(D11:D25,D11:D25,"&gt;3",D11:D25,"&gt;5")</f>
        <v>0</v>
      </c>
      <c r="O26" s="1">
        <f>SUM(F11:F25,H11:H25,M26,N26)-M25</f>
        <v>0</v>
      </c>
    </row>
    <row r="27" spans="1:15" ht="10" customHeight="1" thickBot="1"/>
    <row r="28" spans="1:15" s="19" customFormat="1" ht="15" customHeight="1" thickBot="1">
      <c r="A28" s="22" t="s">
        <v>19</v>
      </c>
      <c r="B28" s="23" t="s">
        <v>20</v>
      </c>
      <c r="C28" s="23"/>
      <c r="D28" s="23"/>
      <c r="E28" s="23"/>
      <c r="F28" s="23"/>
      <c r="G28" s="23"/>
      <c r="H28" s="18" t="s">
        <v>21</v>
      </c>
      <c r="I28" s="18" t="s">
        <v>22</v>
      </c>
      <c r="J28" s="18" t="s">
        <v>23</v>
      </c>
      <c r="K28" s="18" t="s">
        <v>17</v>
      </c>
    </row>
    <row r="29" spans="1:15" ht="15" customHeight="1">
      <c r="A29" s="43"/>
      <c r="B29" s="49">
        <f>VLOOKUP($C$29:$C$42,Equipment!$A$1:$B$2322,2,FALSE)</f>
        <v>0</v>
      </c>
      <c r="C29" s="24"/>
      <c r="D29" s="24"/>
      <c r="E29" s="24"/>
      <c r="F29" s="24"/>
      <c r="G29" s="24"/>
      <c r="H29" s="185"/>
      <c r="I29" s="184"/>
      <c r="J29" s="42">
        <f>VLOOKUP($B$29:$B$42,'Alberta Equip. Rates Year 3'!$B$13:$K$314,10,FALSE)</f>
        <v>0</v>
      </c>
      <c r="K29" s="181">
        <f>(H29+I29)*J29</f>
        <v>0</v>
      </c>
    </row>
    <row r="30" spans="1:15" ht="15" customHeight="1">
      <c r="A30" s="43"/>
      <c r="B30" s="49">
        <f>VLOOKUP($C$29:$C$42,Equipment!$A$1:$B$2322,2,FALSE)</f>
        <v>0</v>
      </c>
      <c r="C30" s="24"/>
      <c r="D30" s="24"/>
      <c r="E30" s="24"/>
      <c r="F30" s="24"/>
      <c r="G30" s="24"/>
      <c r="H30" s="185"/>
      <c r="I30" s="184"/>
      <c r="J30" s="42">
        <f>VLOOKUP($B$29:$B$42,'Alberta Equip. Rates Year 3'!$B$13:$K$314,10,FALSE)</f>
        <v>0</v>
      </c>
      <c r="K30" s="181">
        <f t="shared" ref="K30:K42" si="1">(H30+I30)*J30</f>
        <v>0</v>
      </c>
    </row>
    <row r="31" spans="1:15" ht="15" customHeight="1">
      <c r="A31" s="43"/>
      <c r="B31" s="49">
        <f>VLOOKUP($C$29:$C$42,Equipment!$A$1:$B$2322,2,FALSE)</f>
        <v>0</v>
      </c>
      <c r="C31" s="24"/>
      <c r="D31" s="24"/>
      <c r="E31" s="24"/>
      <c r="F31" s="24"/>
      <c r="G31" s="24"/>
      <c r="H31" s="185"/>
      <c r="I31" s="184"/>
      <c r="J31" s="42">
        <f>VLOOKUP($B$29:$B$42,'Alberta Equip. Rates Year 3'!$B$13:$K$314,10,FALSE)</f>
        <v>0</v>
      </c>
      <c r="K31" s="181">
        <f t="shared" si="1"/>
        <v>0</v>
      </c>
    </row>
    <row r="32" spans="1:15" ht="15" customHeight="1">
      <c r="A32" s="43"/>
      <c r="B32" s="49">
        <f>VLOOKUP($C$29:$C$42,Equipment!$A$1:$B$2322,2,FALSE)</f>
        <v>0</v>
      </c>
      <c r="C32" s="24"/>
      <c r="D32" s="24"/>
      <c r="E32" s="24"/>
      <c r="F32" s="24"/>
      <c r="G32" s="24"/>
      <c r="H32" s="185"/>
      <c r="I32" s="184"/>
      <c r="J32" s="42">
        <f>VLOOKUP($B$29:$B$42,'Alberta Equip. Rates Year 3'!$B$13:$K$314,10,FALSE)</f>
        <v>0</v>
      </c>
      <c r="K32" s="181">
        <f t="shared" si="1"/>
        <v>0</v>
      </c>
    </row>
    <row r="33" spans="1:11" ht="15" customHeight="1">
      <c r="A33" s="43"/>
      <c r="B33" s="49">
        <f>VLOOKUP($C$29:$C$42,Equipment!$A$1:$B$2322,2,FALSE)</f>
        <v>0</v>
      </c>
      <c r="C33" s="24"/>
      <c r="D33" s="24"/>
      <c r="E33" s="24"/>
      <c r="F33" s="24"/>
      <c r="G33" s="24"/>
      <c r="H33" s="185"/>
      <c r="I33" s="184"/>
      <c r="J33" s="42">
        <f>VLOOKUP($B$29:$B$42,'Alberta Equip. Rates Year 3'!$B$13:$K$314,10,FALSE)</f>
        <v>0</v>
      </c>
      <c r="K33" s="181">
        <f t="shared" si="1"/>
        <v>0</v>
      </c>
    </row>
    <row r="34" spans="1:11" ht="15" customHeight="1">
      <c r="A34" s="43"/>
      <c r="B34" s="49">
        <f>VLOOKUP($C$29:$C$42,Equipment!$A$1:$B$2322,2,FALSE)</f>
        <v>0</v>
      </c>
      <c r="C34" s="24"/>
      <c r="D34" s="24"/>
      <c r="E34" s="24"/>
      <c r="F34" s="24"/>
      <c r="G34" s="24"/>
      <c r="H34" s="185"/>
      <c r="I34" s="184"/>
      <c r="J34" s="42">
        <f>VLOOKUP($B$29:$B$42,'Alberta Equip. Rates Year 3'!$B$13:$K$314,10,FALSE)</f>
        <v>0</v>
      </c>
      <c r="K34" s="181">
        <f t="shared" si="1"/>
        <v>0</v>
      </c>
    </row>
    <row r="35" spans="1:11" ht="15" customHeight="1">
      <c r="A35" s="43"/>
      <c r="B35" s="49">
        <f>VLOOKUP($C$29:$C$42,Equipment!$A$1:$B$2322,2,FALSE)</f>
        <v>0</v>
      </c>
      <c r="C35" s="24"/>
      <c r="D35" s="24"/>
      <c r="E35" s="24"/>
      <c r="F35" s="24"/>
      <c r="G35" s="24"/>
      <c r="H35" s="185"/>
      <c r="I35" s="184"/>
      <c r="J35" s="42">
        <f>VLOOKUP($B$29:$B$42,'Alberta Equip. Rates Year 3'!$B$13:$K$314,10,FALSE)</f>
        <v>0</v>
      </c>
      <c r="K35" s="181">
        <f t="shared" si="1"/>
        <v>0</v>
      </c>
    </row>
    <row r="36" spans="1:11" ht="15" customHeight="1">
      <c r="A36" s="43"/>
      <c r="B36" s="49">
        <f>VLOOKUP($C$29:$C$42,Equipment!$A$1:$B$2322,2,FALSE)</f>
        <v>0</v>
      </c>
      <c r="C36" s="24"/>
      <c r="D36" s="24"/>
      <c r="E36" s="24"/>
      <c r="F36" s="24"/>
      <c r="G36" s="24"/>
      <c r="H36" s="185"/>
      <c r="I36" s="184"/>
      <c r="J36" s="42">
        <f>VLOOKUP($B$29:$B$42,'Alberta Equip. Rates Year 3'!$B$13:$K$314,10,FALSE)</f>
        <v>0</v>
      </c>
      <c r="K36" s="181">
        <f t="shared" si="1"/>
        <v>0</v>
      </c>
    </row>
    <row r="37" spans="1:11" ht="15" customHeight="1">
      <c r="A37" s="43"/>
      <c r="B37" s="49">
        <f>VLOOKUP($C$29:$C$42,Equipment!$A$1:$B$2322,2,FALSE)</f>
        <v>0</v>
      </c>
      <c r="C37" s="24"/>
      <c r="D37" s="24"/>
      <c r="E37" s="24"/>
      <c r="F37" s="24"/>
      <c r="G37" s="24"/>
      <c r="H37" s="185"/>
      <c r="I37" s="184"/>
      <c r="J37" s="42">
        <f>VLOOKUP($B$29:$B$42,'Alberta Equip. Rates Year 3'!$B$13:$K$314,10,FALSE)</f>
        <v>0</v>
      </c>
      <c r="K37" s="181">
        <f t="shared" si="1"/>
        <v>0</v>
      </c>
    </row>
    <row r="38" spans="1:11" ht="15" customHeight="1">
      <c r="A38" s="43"/>
      <c r="B38" s="49">
        <f>VLOOKUP($C$29:$C$42,Equipment!$A$1:$B$2322,2,FALSE)</f>
        <v>0</v>
      </c>
      <c r="C38" s="24"/>
      <c r="D38" s="24"/>
      <c r="E38" s="24"/>
      <c r="F38" s="24"/>
      <c r="G38" s="24"/>
      <c r="H38" s="185"/>
      <c r="I38" s="184"/>
      <c r="J38" s="42">
        <f>VLOOKUP($B$29:$B$42,'Alberta Equip. Rates Year 3'!$B$13:$K$314,10,FALSE)</f>
        <v>0</v>
      </c>
      <c r="K38" s="181">
        <f t="shared" si="1"/>
        <v>0</v>
      </c>
    </row>
    <row r="39" spans="1:11" ht="15" customHeight="1">
      <c r="A39" s="43"/>
      <c r="B39" s="49">
        <f>VLOOKUP($C$29:$C$42,Equipment!$A$1:$B$2322,2,FALSE)</f>
        <v>0</v>
      </c>
      <c r="C39" s="24"/>
      <c r="D39" s="24"/>
      <c r="E39" s="24"/>
      <c r="F39" s="24"/>
      <c r="G39" s="24"/>
      <c r="H39" s="185"/>
      <c r="I39" s="184"/>
      <c r="J39" s="42">
        <f>VLOOKUP($B$29:$B$42,'Alberta Equip. Rates Year 3'!$B$13:$K$314,10,FALSE)</f>
        <v>0</v>
      </c>
      <c r="K39" s="181">
        <f>(H39+I39)*J39</f>
        <v>0</v>
      </c>
    </row>
    <row r="40" spans="1:11" ht="15" customHeight="1">
      <c r="A40" s="43"/>
      <c r="B40" s="49">
        <f>VLOOKUP($C$29:$C$42,Equipment!$A$1:$B$2322,2,FALSE)</f>
        <v>0</v>
      </c>
      <c r="C40" s="24"/>
      <c r="D40" s="24"/>
      <c r="E40" s="24"/>
      <c r="F40" s="24"/>
      <c r="G40" s="24"/>
      <c r="H40" s="185"/>
      <c r="I40" s="184"/>
      <c r="J40" s="42">
        <f>VLOOKUP($B$29:$B$42,'Alberta Equip. Rates Year 3'!$B$13:$K$314,10,FALSE)</f>
        <v>0</v>
      </c>
      <c r="K40" s="181">
        <f t="shared" si="1"/>
        <v>0</v>
      </c>
    </row>
    <row r="41" spans="1:11" ht="15" customHeight="1">
      <c r="A41" s="43"/>
      <c r="B41" s="49">
        <f>VLOOKUP($C$29:$C$42,Equipment!$A$1:$B$2322,2,FALSE)</f>
        <v>0</v>
      </c>
      <c r="C41" s="24"/>
      <c r="D41" s="24"/>
      <c r="E41" s="24"/>
      <c r="F41" s="24"/>
      <c r="G41" s="24"/>
      <c r="H41" s="185"/>
      <c r="I41" s="184"/>
      <c r="J41" s="42">
        <f>VLOOKUP($B$29:$B$42,'Alberta Equip. Rates Year 3'!$B$13:$K$314,10,FALSE)</f>
        <v>0</v>
      </c>
      <c r="K41" s="181">
        <f t="shared" si="1"/>
        <v>0</v>
      </c>
    </row>
    <row r="42" spans="1:11" ht="15" customHeight="1" thickBot="1">
      <c r="A42" s="43"/>
      <c r="B42" s="49">
        <f>VLOOKUP($C$29:$C$42,Equipment!$A$1:$B$2322,2,FALSE)</f>
        <v>0</v>
      </c>
      <c r="C42" s="24"/>
      <c r="D42" s="24"/>
      <c r="E42" s="24"/>
      <c r="F42" s="24"/>
      <c r="G42" s="24"/>
      <c r="H42" s="185"/>
      <c r="I42" s="184"/>
      <c r="J42" s="42">
        <f>VLOOKUP($B$29:$B$42,'Alberta Equip. Rates Year 3'!$B$13:$K$314,10,FALSE)</f>
        <v>0</v>
      </c>
      <c r="K42" s="181">
        <f t="shared" si="1"/>
        <v>0</v>
      </c>
    </row>
    <row r="43" spans="1:11" ht="12" thickBot="1">
      <c r="A43" s="25"/>
      <c r="B43" s="25"/>
      <c r="C43" s="25"/>
      <c r="D43" s="21"/>
      <c r="E43" s="21"/>
      <c r="F43" s="21"/>
      <c r="G43" s="21"/>
      <c r="H43" s="21"/>
      <c r="I43" s="360" t="s">
        <v>24</v>
      </c>
      <c r="J43" s="361"/>
      <c r="K43" s="182">
        <f>SUM(K29:K42)</f>
        <v>0</v>
      </c>
    </row>
    <row r="44" spans="1:11" ht="12" thickBot="1">
      <c r="A44" s="26"/>
      <c r="D44" s="26"/>
      <c r="I44" s="27"/>
      <c r="J44" s="27"/>
      <c r="K44" s="28"/>
    </row>
    <row r="45" spans="1:11">
      <c r="A45" s="1" t="s">
        <v>25</v>
      </c>
      <c r="B45" s="29"/>
      <c r="D45" s="1"/>
      <c r="E45" s="1"/>
      <c r="F45" s="1"/>
      <c r="G45" s="1"/>
      <c r="H45" s="1"/>
      <c r="I45" s="362" t="s">
        <v>26</v>
      </c>
      <c r="J45" s="362"/>
      <c r="K45" s="37">
        <f>K26</f>
        <v>0</v>
      </c>
    </row>
    <row r="46" spans="1:11">
      <c r="D46" s="1"/>
      <c r="E46" s="1"/>
      <c r="F46" s="1"/>
      <c r="G46" s="1"/>
      <c r="H46" s="1"/>
      <c r="I46" s="362" t="s">
        <v>27</v>
      </c>
      <c r="J46" s="362"/>
      <c r="K46" s="38">
        <f>K43</f>
        <v>0</v>
      </c>
    </row>
    <row r="47" spans="1:11">
      <c r="D47" s="1"/>
      <c r="E47" s="1"/>
      <c r="F47" s="1"/>
      <c r="G47" s="1"/>
      <c r="H47" s="1"/>
      <c r="I47" s="27" t="s">
        <v>28</v>
      </c>
      <c r="J47" s="27"/>
      <c r="K47" s="38">
        <f>(O26)*14.15</f>
        <v>0</v>
      </c>
    </row>
    <row r="48" spans="1:11">
      <c r="D48" s="1"/>
      <c r="E48" s="1"/>
      <c r="F48" s="1"/>
      <c r="G48" s="1"/>
      <c r="H48" s="1"/>
      <c r="I48" s="30" t="s">
        <v>29</v>
      </c>
      <c r="J48" s="30"/>
      <c r="K48" s="39"/>
    </row>
    <row r="49" spans="1:11">
      <c r="D49" s="1"/>
      <c r="E49" s="1"/>
      <c r="F49" s="1"/>
      <c r="G49" s="1"/>
      <c r="H49" s="1"/>
      <c r="I49" s="30" t="s">
        <v>30</v>
      </c>
      <c r="J49" s="30"/>
      <c r="K49" s="39"/>
    </row>
    <row r="50" spans="1:11">
      <c r="D50" s="1"/>
      <c r="E50" s="1"/>
      <c r="F50" s="1"/>
      <c r="G50" s="1"/>
      <c r="H50" s="1"/>
      <c r="I50" s="30" t="s">
        <v>31</v>
      </c>
      <c r="J50" s="30"/>
      <c r="K50" s="39"/>
    </row>
    <row r="51" spans="1:11" ht="12" thickBot="1">
      <c r="D51" s="1"/>
      <c r="E51" s="1"/>
      <c r="F51" s="1"/>
      <c r="G51" s="1"/>
      <c r="H51" s="1"/>
      <c r="I51" s="362" t="s">
        <v>32</v>
      </c>
      <c r="J51" s="362"/>
      <c r="K51" s="40">
        <f>SUM(K45:K50)</f>
        <v>0</v>
      </c>
    </row>
    <row r="52" spans="1:11">
      <c r="D52" s="1"/>
      <c r="E52" s="1"/>
      <c r="F52" s="1"/>
      <c r="G52" s="1"/>
      <c r="H52" s="1"/>
      <c r="I52" s="27"/>
      <c r="J52" s="27"/>
    </row>
    <row r="53" spans="1:11">
      <c r="A53" s="31" t="s">
        <v>33</v>
      </c>
      <c r="B53" s="32"/>
      <c r="C53" s="32"/>
      <c r="D53" s="1"/>
      <c r="H53" s="33" t="s">
        <v>34</v>
      </c>
      <c r="I53" s="32"/>
      <c r="J53" s="32"/>
      <c r="K53" s="32"/>
    </row>
    <row r="54" spans="1:11" ht="15">
      <c r="A54" s="34"/>
      <c r="E54" s="8"/>
      <c r="F54" s="8"/>
      <c r="G54" s="8"/>
      <c r="H54" s="35"/>
      <c r="I54" s="35"/>
      <c r="J54" s="35"/>
      <c r="K54" s="35"/>
    </row>
    <row r="55" spans="1:11" ht="15">
      <c r="A55" s="34" t="s">
        <v>35</v>
      </c>
      <c r="E55" s="8"/>
      <c r="F55" s="8"/>
      <c r="G55" s="8"/>
      <c r="H55" s="35"/>
      <c r="I55" s="35"/>
      <c r="J55" s="35"/>
      <c r="K55" s="35"/>
    </row>
    <row r="56" spans="1:11" s="34" customFormat="1">
      <c r="A56" s="363">
        <v>41218.479166666664</v>
      </c>
      <c r="B56" s="363"/>
      <c r="C56" s="364"/>
      <c r="D56" s="364"/>
      <c r="E56" s="364"/>
      <c r="F56" s="364"/>
      <c r="G56" s="364"/>
      <c r="H56" s="364"/>
      <c r="I56" s="364"/>
      <c r="J56" s="364"/>
      <c r="K56" s="8"/>
    </row>
    <row r="66" s="1" customFormat="1"/>
    <row r="67" s="1" customFormat="1"/>
    <row r="68" s="1" customFormat="1"/>
    <row r="69" s="1" customFormat="1"/>
    <row r="70" s="1" customFormat="1"/>
    <row r="71" s="1" customFormat="1"/>
    <row r="72" s="1" customFormat="1"/>
    <row r="73" s="1" customFormat="1"/>
    <row r="74" s="1" customFormat="1"/>
    <row r="75" s="1" customFormat="1"/>
    <row r="76" s="1" customFormat="1"/>
    <row r="77" s="1" customFormat="1"/>
    <row r="78" s="1" customFormat="1"/>
    <row r="79" s="1" customFormat="1"/>
    <row r="84" s="1" customFormat="1"/>
    <row r="112" s="1" customFormat="1"/>
    <row r="113" s="1" customFormat="1"/>
    <row r="114" s="1" customFormat="1"/>
    <row r="115" s="1" customFormat="1"/>
  </sheetData>
  <mergeCells count="12">
    <mergeCell ref="I26:J26"/>
    <mergeCell ref="C1:H1"/>
    <mergeCell ref="C2:H2"/>
    <mergeCell ref="C3:H3"/>
    <mergeCell ref="H6:I6"/>
    <mergeCell ref="H7:I7"/>
    <mergeCell ref="I43:J43"/>
    <mergeCell ref="I45:J45"/>
    <mergeCell ref="I46:J46"/>
    <mergeCell ref="I51:J51"/>
    <mergeCell ref="A56:B56"/>
    <mergeCell ref="C56:J56"/>
  </mergeCells>
  <printOptions horizontalCentered="1"/>
  <pageMargins left="0.19685039370078741" right="0.19685039370078741" top="0.39370078740157483" bottom="0.39370078740157483" header="0" footer="0"/>
  <pageSetup orientation="portrait" horizontalDpi="4294967292" verticalDpi="4294967292"/>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A00-000000000000}">
          <x14:formula1>
            <xm:f>Accounts!$A$4:$A$60</xm:f>
          </x14:formula1>
          <xm:sqref>K7</xm:sqref>
        </x14:dataValidation>
        <x14:dataValidation type="list" allowBlank="1" showInputMessage="1" showErrorMessage="1" xr:uid="{00000000-0002-0000-0A00-000001000000}">
          <x14:formula1>
            <xm:f>'Constr. Wage Rate Calculations'!$A$19:$A$288</xm:f>
          </x14:formula1>
          <xm:sqref>B11:B25</xm:sqref>
        </x14:dataValidation>
        <x14:dataValidation type="list" allowBlank="1" showInputMessage="1" showErrorMessage="1" xr:uid="{00000000-0002-0000-0A00-000002000000}">
          <x14:formula1>
            <xm:f>Personnel!$A:$A</xm:f>
          </x14:formula1>
          <xm:sqref>C11:C25</xm:sqref>
        </x14:dataValidation>
        <x14:dataValidation type="list" allowBlank="1" showInputMessage="1" showErrorMessage="1" xr:uid="{00000000-0002-0000-0A00-000003000000}">
          <x14:formula1>
            <xm:f>Equipment!$A:$A</xm:f>
          </x14:formula1>
          <xm:sqref>C29:C42</xm:sqref>
        </x14:dataValidation>
      </x14:dataValidations>
    </ex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115"/>
  <sheetViews>
    <sheetView zoomScale="120" zoomScaleNormal="120" zoomScalePageLayoutView="120" workbookViewId="0">
      <selection activeCell="E18" sqref="E18"/>
    </sheetView>
  </sheetViews>
  <sheetFormatPr baseColWidth="10" defaultColWidth="8.83203125" defaultRowHeight="11"/>
  <cols>
    <col min="1" max="1" width="13" style="1" customWidth="1"/>
    <col min="2" max="2" width="30" style="1" customWidth="1"/>
    <col min="3" max="3" width="24.5" style="1" customWidth="1"/>
    <col min="4" max="4" width="8.6640625" style="2" customWidth="1"/>
    <col min="5" max="6" width="8.33203125" style="2" customWidth="1"/>
    <col min="7" max="8" width="8.6640625" style="2" customWidth="1"/>
    <col min="9" max="9" width="9.33203125" style="2" customWidth="1"/>
    <col min="10" max="10" width="8.6640625" style="2" customWidth="1"/>
    <col min="11" max="11" width="21.6640625" style="1" customWidth="1"/>
    <col min="12" max="12" width="3.5" style="1" hidden="1" customWidth="1"/>
    <col min="13" max="16384" width="8.83203125" style="1"/>
  </cols>
  <sheetData>
    <row r="1" spans="1:13" ht="15">
      <c r="C1" s="364"/>
      <c r="D1" s="365"/>
      <c r="E1" s="365"/>
      <c r="F1" s="365"/>
      <c r="G1" s="365"/>
      <c r="H1" s="366"/>
      <c r="J1" s="2" t="s">
        <v>0</v>
      </c>
      <c r="K1" s="197"/>
      <c r="M1" s="45"/>
    </row>
    <row r="2" spans="1:13" ht="15">
      <c r="C2" s="367"/>
      <c r="D2" s="367"/>
      <c r="E2" s="367"/>
      <c r="F2" s="367"/>
      <c r="G2" s="367"/>
      <c r="H2" s="366"/>
      <c r="K2" s="41"/>
    </row>
    <row r="3" spans="1:13" ht="15">
      <c r="C3" s="368"/>
      <c r="D3" s="369"/>
      <c r="E3" s="369"/>
      <c r="F3" s="369"/>
      <c r="G3" s="369"/>
      <c r="H3" s="366"/>
    </row>
    <row r="4" spans="1:13">
      <c r="C4" s="3"/>
      <c r="D4" s="4"/>
      <c r="E4" s="4"/>
      <c r="F4" s="4"/>
      <c r="G4" s="4"/>
    </row>
    <row r="5" spans="1:13">
      <c r="C5" s="3"/>
      <c r="D5" s="4"/>
      <c r="E5" s="4"/>
      <c r="F5" s="4"/>
      <c r="G5" s="4"/>
    </row>
    <row r="6" spans="1:13" ht="12">
      <c r="B6" s="5"/>
      <c r="C6" s="6"/>
      <c r="D6" s="7"/>
      <c r="E6" s="8"/>
      <c r="F6" s="8"/>
      <c r="G6" s="1" t="s">
        <v>1</v>
      </c>
      <c r="H6" s="370"/>
      <c r="I6" s="370"/>
      <c r="J6" s="1" t="s">
        <v>2</v>
      </c>
      <c r="K6" s="47"/>
    </row>
    <row r="7" spans="1:13" ht="12">
      <c r="A7" s="1" t="s">
        <v>3</v>
      </c>
      <c r="B7" s="9"/>
      <c r="C7" s="10"/>
      <c r="D7" s="11"/>
      <c r="E7" s="8"/>
      <c r="F7" s="8"/>
      <c r="G7" s="1" t="s">
        <v>4</v>
      </c>
      <c r="H7" s="371"/>
      <c r="I7" s="371"/>
      <c r="J7" s="1" t="s">
        <v>5</v>
      </c>
      <c r="K7" s="46"/>
    </row>
    <row r="8" spans="1:13" ht="12">
      <c r="B8" s="12"/>
      <c r="C8" s="13"/>
      <c r="D8" s="14"/>
      <c r="E8" s="8"/>
      <c r="F8" s="8"/>
      <c r="G8" s="1" t="s">
        <v>6</v>
      </c>
      <c r="H8" s="187"/>
      <c r="I8" s="188"/>
      <c r="J8" s="44"/>
    </row>
    <row r="9" spans="1:13" ht="16" thickBot="1">
      <c r="B9" s="15"/>
      <c r="C9" s="16"/>
      <c r="D9" s="16"/>
      <c r="E9" s="8"/>
      <c r="F9" s="8"/>
      <c r="G9" s="8"/>
    </row>
    <row r="10" spans="1:13" s="19" customFormat="1" ht="12" thickBot="1">
      <c r="A10" s="17" t="s">
        <v>7</v>
      </c>
      <c r="B10" s="17" t="s">
        <v>8</v>
      </c>
      <c r="C10" s="17" t="s">
        <v>9</v>
      </c>
      <c r="D10" s="18" t="s">
        <v>10</v>
      </c>
      <c r="E10" s="18" t="s">
        <v>11</v>
      </c>
      <c r="F10" s="18" t="s">
        <v>12</v>
      </c>
      <c r="G10" s="180" t="s">
        <v>13</v>
      </c>
      <c r="H10" s="18" t="s">
        <v>14</v>
      </c>
      <c r="I10" s="18" t="s">
        <v>15</v>
      </c>
      <c r="J10" s="18" t="s">
        <v>16</v>
      </c>
      <c r="K10" s="18" t="s">
        <v>17</v>
      </c>
      <c r="M10" s="19" t="s">
        <v>1797</v>
      </c>
    </row>
    <row r="11" spans="1:13" ht="15" customHeight="1">
      <c r="A11" s="48"/>
      <c r="B11" s="49">
        <f>VLOOKUP($C$11:$C$25,Personnel!$A$1:$B$1234,2,FALSE)</f>
        <v>0</v>
      </c>
      <c r="C11" s="36"/>
      <c r="D11" s="184"/>
      <c r="E11" s="179">
        <f>VLOOKUP($B$11:$B$25,'Constr. Wage Rate Calculations'!$A$19:$Z$288,22,FALSE)</f>
        <v>0</v>
      </c>
      <c r="F11" s="184"/>
      <c r="G11" s="179">
        <f>VLOOKUP($B$11:$B$25,'Constr. Wage Rate Calculations'!$A$19:$Z$288,23,FALSE)</f>
        <v>0</v>
      </c>
      <c r="H11" s="184"/>
      <c r="I11" s="179">
        <f>VLOOKUP($B$11:$B$25,'Constr. Wage Rate Calculations'!$A$19:$Z$288,24,FALSE)</f>
        <v>0</v>
      </c>
      <c r="J11" s="20">
        <f>VLOOKUP($B$11:$B$25,'Constr. Wage Rate Calculations'!$A$19:$Z$288,25,FALSE)</f>
        <v>0</v>
      </c>
      <c r="K11" s="179" t="str">
        <f t="shared" ref="K11:K25" si="0">IF($D11&gt;=1,$J11+(D11*E11)+(F11*G11)+(H11*I11),IF($F11&gt;=1,$J11+(D11*E11)+(F11*G11)+(H11*I11),IF($H11&gt;=1,$J11+(D11*E11)+(F11*G11)+(H11*I11),"")))</f>
        <v/>
      </c>
    </row>
    <row r="12" spans="1:13" ht="15" customHeight="1">
      <c r="A12" s="48"/>
      <c r="B12" s="49">
        <f>VLOOKUP($C$11:$C$25,Personnel!$A$1:$B$1234,2,FALSE)</f>
        <v>0</v>
      </c>
      <c r="C12" s="36"/>
      <c r="D12" s="184"/>
      <c r="E12" s="179">
        <f>VLOOKUP($B$11:$B$25,'Constr. Wage Rate Calculations'!$A$19:$Z$288,22,FALSE)</f>
        <v>0</v>
      </c>
      <c r="F12" s="184"/>
      <c r="G12" s="179">
        <f>VLOOKUP($B$11:$B$25,'Constr. Wage Rate Calculations'!$A$19:$Z$288,23,FALSE)</f>
        <v>0</v>
      </c>
      <c r="H12" s="184"/>
      <c r="I12" s="179">
        <f>VLOOKUP($B$11:$B$25,'Constr. Wage Rate Calculations'!$A$19:$Z$288,24,FALSE)</f>
        <v>0</v>
      </c>
      <c r="J12" s="20">
        <f>VLOOKUP($B$11:$B$25,'Constr. Wage Rate Calculations'!$A$19:$Z$288,25,FALSE)</f>
        <v>0</v>
      </c>
      <c r="K12" s="179" t="str">
        <f t="shared" si="0"/>
        <v/>
      </c>
    </row>
    <row r="13" spans="1:13" ht="15" customHeight="1">
      <c r="A13" s="48"/>
      <c r="B13" s="49">
        <f>VLOOKUP($C$11:$C$25,Personnel!$A$1:$B$1234,2,FALSE)</f>
        <v>0</v>
      </c>
      <c r="C13" s="36"/>
      <c r="D13" s="184"/>
      <c r="E13" s="179">
        <f>VLOOKUP($B$11:$B$25,'Constr. Wage Rate Calculations'!$A$19:$Z$288,22,FALSE)</f>
        <v>0</v>
      </c>
      <c r="F13" s="184"/>
      <c r="G13" s="179">
        <f>VLOOKUP($B$11:$B$25,'Constr. Wage Rate Calculations'!$A$19:$Z$288,23,FALSE)</f>
        <v>0</v>
      </c>
      <c r="H13" s="184"/>
      <c r="I13" s="179">
        <f>VLOOKUP($B$11:$B$25,'Constr. Wage Rate Calculations'!$A$19:$Z$288,24,FALSE)</f>
        <v>0</v>
      </c>
      <c r="J13" s="20">
        <f>VLOOKUP($B$11:$B$25,'Constr. Wage Rate Calculations'!$A$19:$Z$288,25,FALSE)</f>
        <v>0</v>
      </c>
      <c r="K13" s="179" t="str">
        <f t="shared" si="0"/>
        <v/>
      </c>
    </row>
    <row r="14" spans="1:13" ht="15" customHeight="1">
      <c r="A14" s="48"/>
      <c r="B14" s="49">
        <f>VLOOKUP($C$11:$C$25,Personnel!$A$1:$B$1234,2,FALSE)</f>
        <v>0</v>
      </c>
      <c r="C14" s="36"/>
      <c r="D14" s="184"/>
      <c r="E14" s="179">
        <f>VLOOKUP($B$11:$B$25,'Constr. Wage Rate Calculations'!$A$19:$Z$288,22,FALSE)</f>
        <v>0</v>
      </c>
      <c r="F14" s="184"/>
      <c r="G14" s="179">
        <f>VLOOKUP($B$11:$B$25,'Constr. Wage Rate Calculations'!$A$19:$Z$288,23,FALSE)</f>
        <v>0</v>
      </c>
      <c r="H14" s="184"/>
      <c r="I14" s="179">
        <f>VLOOKUP($B$11:$B$25,'Constr. Wage Rate Calculations'!$A$19:$Z$288,24,FALSE)</f>
        <v>0</v>
      </c>
      <c r="J14" s="20">
        <f>VLOOKUP($B$11:$B$25,'Constr. Wage Rate Calculations'!$A$19:$Z$288,25,FALSE)</f>
        <v>0</v>
      </c>
      <c r="K14" s="179" t="str">
        <f t="shared" si="0"/>
        <v/>
      </c>
    </row>
    <row r="15" spans="1:13" ht="15" customHeight="1">
      <c r="A15" s="48"/>
      <c r="B15" s="49">
        <f>VLOOKUP($C$11:$C$25,Personnel!$A$1:$B$1234,2,FALSE)</f>
        <v>0</v>
      </c>
      <c r="C15" s="36"/>
      <c r="D15" s="184"/>
      <c r="E15" s="179">
        <f>VLOOKUP($B$11:$B$25,'Constr. Wage Rate Calculations'!$A$19:$Z$288,22,FALSE)</f>
        <v>0</v>
      </c>
      <c r="F15" s="184"/>
      <c r="G15" s="179">
        <f>VLOOKUP($B$11:$B$25,'Constr. Wage Rate Calculations'!$A$19:$Z$288,23,FALSE)</f>
        <v>0</v>
      </c>
      <c r="H15" s="184"/>
      <c r="I15" s="179">
        <f>VLOOKUP($B$11:$B$25,'Constr. Wage Rate Calculations'!$A$19:$Z$288,24,FALSE)</f>
        <v>0</v>
      </c>
      <c r="J15" s="20">
        <f>VLOOKUP($B$11:$B$25,'Constr. Wage Rate Calculations'!$A$19:$Z$288,25,FALSE)</f>
        <v>0</v>
      </c>
      <c r="K15" s="179" t="str">
        <f t="shared" si="0"/>
        <v/>
      </c>
    </row>
    <row r="16" spans="1:13" ht="15" customHeight="1">
      <c r="A16" s="48"/>
      <c r="B16" s="49">
        <f>VLOOKUP($C$11:$C$25,Personnel!$A$1:$B$1234,2,FALSE)</f>
        <v>0</v>
      </c>
      <c r="C16" s="36"/>
      <c r="D16" s="184"/>
      <c r="E16" s="179">
        <f>VLOOKUP($B$11:$B$25,'Constr. Wage Rate Calculations'!$A$19:$Z$288,22,FALSE)</f>
        <v>0</v>
      </c>
      <c r="F16" s="184"/>
      <c r="G16" s="179">
        <f>VLOOKUP($B$11:$B$25,'Constr. Wage Rate Calculations'!$A$19:$Z$288,23,FALSE)</f>
        <v>0</v>
      </c>
      <c r="H16" s="184"/>
      <c r="I16" s="179">
        <f>VLOOKUP($B$11:$B$25,'Constr. Wage Rate Calculations'!$A$19:$Z$288,24,FALSE)</f>
        <v>0</v>
      </c>
      <c r="J16" s="20">
        <f>VLOOKUP($B$11:$B$25,'Constr. Wage Rate Calculations'!$A$19:$Z$288,25,FALSE)</f>
        <v>0</v>
      </c>
      <c r="K16" s="179" t="str">
        <f>IF($D16&gt;=1,$J16+(D16*E16)+(F16*G16)+(H16*I16),IF($F16&gt;=1,$J16+(D16*E16)+(F16*G16)+(H16*I16),IF($H16&gt;=1,$J16+(D16*E16)+(F16*G16)+(H16*I16),"")))</f>
        <v/>
      </c>
    </row>
    <row r="17" spans="1:15" ht="15" customHeight="1">
      <c r="A17" s="48"/>
      <c r="B17" s="49">
        <f>VLOOKUP($C$11:$C$25,Personnel!$A$1:$B$1234,2,FALSE)</f>
        <v>0</v>
      </c>
      <c r="C17" s="36"/>
      <c r="D17" s="184"/>
      <c r="E17" s="179">
        <f>VLOOKUP($B$11:$B$25,'Constr. Wage Rate Calculations'!$A$19:$Z$288,22,FALSE)</f>
        <v>0</v>
      </c>
      <c r="F17" s="184"/>
      <c r="G17" s="179">
        <f>VLOOKUP($B$11:$B$25,'Constr. Wage Rate Calculations'!$A$19:$Z$288,23,FALSE)</f>
        <v>0</v>
      </c>
      <c r="H17" s="184"/>
      <c r="I17" s="179">
        <f>VLOOKUP($B$11:$B$25,'Constr. Wage Rate Calculations'!$A$19:$Z$288,24,FALSE)</f>
        <v>0</v>
      </c>
      <c r="J17" s="20">
        <f>VLOOKUP($B$11:$B$25,'Constr. Wage Rate Calculations'!$A$19:$Z$288,25,FALSE)</f>
        <v>0</v>
      </c>
      <c r="K17" s="179" t="str">
        <f t="shared" si="0"/>
        <v/>
      </c>
    </row>
    <row r="18" spans="1:15" ht="15" customHeight="1">
      <c r="A18" s="48"/>
      <c r="B18" s="49">
        <f>VLOOKUP($C$11:$C$25,Personnel!$A$1:$B$1234,2,FALSE)</f>
        <v>0</v>
      </c>
      <c r="C18" s="36"/>
      <c r="D18" s="184"/>
      <c r="E18" s="179">
        <f>VLOOKUP($B$11:$B$25,'Constr. Wage Rate Calculations'!$A$19:$Z$288,22,FALSE)</f>
        <v>0</v>
      </c>
      <c r="F18" s="184"/>
      <c r="G18" s="179">
        <f>VLOOKUP($B$11:$B$25,'Constr. Wage Rate Calculations'!$A$19:$Z$288,23,FALSE)</f>
        <v>0</v>
      </c>
      <c r="H18" s="184"/>
      <c r="I18" s="179">
        <f>VLOOKUP($B$11:$B$25,'Constr. Wage Rate Calculations'!$A$19:$Z$288,24,FALSE)</f>
        <v>0</v>
      </c>
      <c r="J18" s="20">
        <f>VLOOKUP($B$11:$B$25,'Constr. Wage Rate Calculations'!$A$19:$Z$288,25,FALSE)</f>
        <v>0</v>
      </c>
      <c r="K18" s="179" t="str">
        <f t="shared" si="0"/>
        <v/>
      </c>
    </row>
    <row r="19" spans="1:15" ht="15" customHeight="1">
      <c r="A19" s="48"/>
      <c r="B19" s="49">
        <f>VLOOKUP($C$11:$C$25,Personnel!$A$1:$B$1234,2,FALSE)</f>
        <v>0</v>
      </c>
      <c r="C19" s="36"/>
      <c r="D19" s="184"/>
      <c r="E19" s="179">
        <f>VLOOKUP($B$11:$B$25,'Constr. Wage Rate Calculations'!$A$19:$Z$288,22,FALSE)</f>
        <v>0</v>
      </c>
      <c r="F19" s="184"/>
      <c r="G19" s="179">
        <f>VLOOKUP($B$11:$B$25,'Constr. Wage Rate Calculations'!$A$19:$Z$288,23,FALSE)</f>
        <v>0</v>
      </c>
      <c r="H19" s="184"/>
      <c r="I19" s="179">
        <f>VLOOKUP($B$11:$B$25,'Constr. Wage Rate Calculations'!$A$19:$Z$288,24,FALSE)</f>
        <v>0</v>
      </c>
      <c r="J19" s="20">
        <f>VLOOKUP($B$11:$B$25,'Constr. Wage Rate Calculations'!$A$19:$Z$288,25,FALSE)</f>
        <v>0</v>
      </c>
      <c r="K19" s="179" t="str">
        <f t="shared" si="0"/>
        <v/>
      </c>
    </row>
    <row r="20" spans="1:15" ht="15" customHeight="1">
      <c r="A20" s="48"/>
      <c r="B20" s="49">
        <f>VLOOKUP($C$11:$C$25,Personnel!$A$1:$B$1234,2,FALSE)</f>
        <v>0</v>
      </c>
      <c r="C20" s="36"/>
      <c r="D20" s="184"/>
      <c r="E20" s="179">
        <f>VLOOKUP($B$11:$B$25,'Constr. Wage Rate Calculations'!$A$19:$Z$288,22,FALSE)</f>
        <v>0</v>
      </c>
      <c r="F20" s="184"/>
      <c r="G20" s="179">
        <f>VLOOKUP($B$11:$B$25,'Constr. Wage Rate Calculations'!$A$19:$Z$288,23,FALSE)</f>
        <v>0</v>
      </c>
      <c r="H20" s="184"/>
      <c r="I20" s="179">
        <f>VLOOKUP($B$11:$B$25,'Constr. Wage Rate Calculations'!$A$19:$Z$288,24,FALSE)</f>
        <v>0</v>
      </c>
      <c r="J20" s="20">
        <f>VLOOKUP($B$11:$B$25,'Constr. Wage Rate Calculations'!$A$19:$Z$288,25,FALSE)</f>
        <v>0</v>
      </c>
      <c r="K20" s="179" t="str">
        <f t="shared" si="0"/>
        <v/>
      </c>
    </row>
    <row r="21" spans="1:15" ht="15" customHeight="1">
      <c r="A21" s="48"/>
      <c r="B21" s="49">
        <f>VLOOKUP($C$11:$C$25,Personnel!$A$1:$B$1234,2,FALSE)</f>
        <v>0</v>
      </c>
      <c r="C21" s="36"/>
      <c r="D21" s="184"/>
      <c r="E21" s="179">
        <f>VLOOKUP($B$11:$B$25,'Constr. Wage Rate Calculations'!$A$19:$Z$288,22,FALSE)</f>
        <v>0</v>
      </c>
      <c r="F21" s="184"/>
      <c r="G21" s="179">
        <f>VLOOKUP($B$11:$B$25,'Constr. Wage Rate Calculations'!$A$19:$Z$288,23,FALSE)</f>
        <v>0</v>
      </c>
      <c r="H21" s="184"/>
      <c r="I21" s="179">
        <f>VLOOKUP($B$11:$B$25,'Constr. Wage Rate Calculations'!$A$19:$Z$288,24,FALSE)</f>
        <v>0</v>
      </c>
      <c r="J21" s="20">
        <f>VLOOKUP($B$11:$B$25,'Constr. Wage Rate Calculations'!$A$19:$Z$288,25,FALSE)</f>
        <v>0</v>
      </c>
      <c r="K21" s="179" t="str">
        <f t="shared" si="0"/>
        <v/>
      </c>
    </row>
    <row r="22" spans="1:15" ht="15" customHeight="1">
      <c r="A22" s="48"/>
      <c r="B22" s="49">
        <f>VLOOKUP($C$11:$C$25,Personnel!$A$1:$B$1234,2,FALSE)</f>
        <v>0</v>
      </c>
      <c r="C22" s="36"/>
      <c r="D22" s="184"/>
      <c r="E22" s="179">
        <f>VLOOKUP($B$11:$B$25,'Constr. Wage Rate Calculations'!$A$19:$Z$288,22,FALSE)</f>
        <v>0</v>
      </c>
      <c r="F22" s="184"/>
      <c r="G22" s="179">
        <f>VLOOKUP($B$11:$B$25,'Constr. Wage Rate Calculations'!$A$19:$Z$288,23,FALSE)</f>
        <v>0</v>
      </c>
      <c r="H22" s="184"/>
      <c r="I22" s="179">
        <f>VLOOKUP($B$11:$B$25,'Constr. Wage Rate Calculations'!$A$19:$Z$288,24,FALSE)</f>
        <v>0</v>
      </c>
      <c r="J22" s="20">
        <f>VLOOKUP($B$11:$B$25,'Constr. Wage Rate Calculations'!$A$19:$Z$288,25,FALSE)</f>
        <v>0</v>
      </c>
      <c r="K22" s="179" t="str">
        <f>IF($D22&gt;=1,$J22+(D22*E22)+(F22*G22)+(H22*I22),IF($F22&gt;=1,$J22+(D22*E22)+(F22*G22)+(H22*I22),IF($H22&gt;=1,$J22+(D22*E22)+(F22*G22)+(H22*I22),"")))</f>
        <v/>
      </c>
    </row>
    <row r="23" spans="1:15" ht="15" customHeight="1">
      <c r="A23" s="48"/>
      <c r="B23" s="49">
        <f>VLOOKUP($C$11:$C$25,Personnel!$A$1:$B$1234,2,FALSE)</f>
        <v>0</v>
      </c>
      <c r="C23" s="36"/>
      <c r="D23" s="184"/>
      <c r="E23" s="179">
        <f>VLOOKUP($B$11:$B$25,'Constr. Wage Rate Calculations'!$A$19:$Z$288,22,FALSE)</f>
        <v>0</v>
      </c>
      <c r="F23" s="184"/>
      <c r="G23" s="179">
        <f>VLOOKUP($B$11:$B$25,'Constr. Wage Rate Calculations'!$A$19:$Z$288,23,FALSE)</f>
        <v>0</v>
      </c>
      <c r="H23" s="184"/>
      <c r="I23" s="179">
        <f>VLOOKUP($B$11:$B$25,'Constr. Wage Rate Calculations'!$A$19:$Z$288,24,FALSE)</f>
        <v>0</v>
      </c>
      <c r="J23" s="20">
        <f>VLOOKUP($B$11:$B$25,'Constr. Wage Rate Calculations'!$A$19:$Z$288,25,FALSE)</f>
        <v>0</v>
      </c>
      <c r="K23" s="179" t="str">
        <f t="shared" si="0"/>
        <v/>
      </c>
    </row>
    <row r="24" spans="1:15" ht="15" customHeight="1">
      <c r="A24" s="48"/>
      <c r="B24" s="49">
        <f>VLOOKUP($C$11:$C$25,Personnel!$A$1:$B$1234,2,FALSE)</f>
        <v>0</v>
      </c>
      <c r="C24" s="36"/>
      <c r="D24" s="184"/>
      <c r="E24" s="179">
        <f>VLOOKUP($B$11:$B$25,'Constr. Wage Rate Calculations'!$A$19:$Z$288,22,FALSE)</f>
        <v>0</v>
      </c>
      <c r="F24" s="184"/>
      <c r="G24" s="179">
        <f>VLOOKUP($B$11:$B$25,'Constr. Wage Rate Calculations'!$A$19:$Z$288,23,FALSE)</f>
        <v>0</v>
      </c>
      <c r="H24" s="184"/>
      <c r="I24" s="179">
        <f>VLOOKUP($B$11:$B$25,'Constr. Wage Rate Calculations'!$A$19:$Z$288,24,FALSE)</f>
        <v>0</v>
      </c>
      <c r="J24" s="20">
        <f>VLOOKUP($B$11:$B$25,'Constr. Wage Rate Calculations'!$A$19:$Z$288,25,FALSE)</f>
        <v>0</v>
      </c>
      <c r="K24" s="179" t="str">
        <f t="shared" si="0"/>
        <v/>
      </c>
    </row>
    <row r="25" spans="1:15" ht="15" customHeight="1" thickBot="1">
      <c r="A25" s="48"/>
      <c r="B25" s="49">
        <f>VLOOKUP($C$11:$C$25,Personnel!$A$1:$B$1234,2,FALSE)</f>
        <v>0</v>
      </c>
      <c r="C25" s="36"/>
      <c r="D25" s="184"/>
      <c r="E25" s="179">
        <f>VLOOKUP($B$11:$B$25,'Constr. Wage Rate Calculations'!$A$19:$Z$288,22,FALSE)</f>
        <v>0</v>
      </c>
      <c r="F25" s="184"/>
      <c r="G25" s="179">
        <f>VLOOKUP($B$11:$B$25,'Constr. Wage Rate Calculations'!$A$19:$Z$288,23,FALSE)</f>
        <v>0</v>
      </c>
      <c r="H25" s="184"/>
      <c r="I25" s="179">
        <f>VLOOKUP($B$11:$B$25,'Constr. Wage Rate Calculations'!$A$19:$Z$288,24,FALSE)</f>
        <v>0</v>
      </c>
      <c r="J25" s="20">
        <f>VLOOKUP($B$11:$B$25,'Constr. Wage Rate Calculations'!$A$19:$Z$288,25,FALSE)</f>
        <v>0</v>
      </c>
      <c r="K25" s="179" t="str">
        <f t="shared" si="0"/>
        <v/>
      </c>
      <c r="M25" s="1">
        <f>SUM(M11:M24)</f>
        <v>0</v>
      </c>
    </row>
    <row r="26" spans="1:15" ht="15" customHeight="1" thickBot="1">
      <c r="A26"/>
      <c r="B26"/>
      <c r="C26"/>
      <c r="D26" s="21"/>
      <c r="E26" s="21"/>
      <c r="F26" s="21"/>
      <c r="G26" s="21"/>
      <c r="H26" s="21"/>
      <c r="I26" s="360" t="s">
        <v>18</v>
      </c>
      <c r="J26" s="361"/>
      <c r="K26" s="183">
        <f>SUM(K11:K25)</f>
        <v>0</v>
      </c>
      <c r="M26" s="1">
        <f>SUMIFS(D11:D25,D11:D25,"&lt;3",D11:D25,"&lt;5")</f>
        <v>0</v>
      </c>
      <c r="N26" s="1">
        <f>SUMIFS(D11:D25,D11:D25,"&gt;3",D11:D25,"&gt;5")</f>
        <v>0</v>
      </c>
      <c r="O26" s="1">
        <f>SUM(F11:F25,H11:H25,M26,N26)-M25</f>
        <v>0</v>
      </c>
    </row>
    <row r="27" spans="1:15" ht="10" customHeight="1" thickBot="1"/>
    <row r="28" spans="1:15" s="19" customFormat="1" ht="15" customHeight="1" thickBot="1">
      <c r="A28" s="22" t="s">
        <v>19</v>
      </c>
      <c r="B28" s="23" t="s">
        <v>20</v>
      </c>
      <c r="C28" s="23"/>
      <c r="D28" s="23"/>
      <c r="E28" s="23"/>
      <c r="F28" s="23"/>
      <c r="G28" s="23"/>
      <c r="H28" s="18" t="s">
        <v>21</v>
      </c>
      <c r="I28" s="18" t="s">
        <v>22</v>
      </c>
      <c r="J28" s="18" t="s">
        <v>23</v>
      </c>
      <c r="K28" s="18" t="s">
        <v>17</v>
      </c>
    </row>
    <row r="29" spans="1:15" ht="15" customHeight="1">
      <c r="A29" s="43"/>
      <c r="B29" s="49">
        <f>VLOOKUP($C$29:$C$42,Equipment!$A$1:$B$2322,2,FALSE)</f>
        <v>0</v>
      </c>
      <c r="C29" s="24"/>
      <c r="D29" s="24"/>
      <c r="E29" s="24"/>
      <c r="F29" s="24"/>
      <c r="G29" s="24"/>
      <c r="H29" s="185"/>
      <c r="I29" s="184"/>
      <c r="J29" s="42">
        <f>VLOOKUP($B$29:$B$42,'Alberta Equip. Rates Year 3'!$B$13:$K$314,10,FALSE)</f>
        <v>0</v>
      </c>
      <c r="K29" s="181">
        <f>(H29+I29)*J29</f>
        <v>0</v>
      </c>
    </row>
    <row r="30" spans="1:15" ht="15" customHeight="1">
      <c r="A30" s="43"/>
      <c r="B30" s="49">
        <f>VLOOKUP($C$29:$C$42,Equipment!$A$1:$B$2322,2,FALSE)</f>
        <v>0</v>
      </c>
      <c r="C30" s="24"/>
      <c r="D30" s="24"/>
      <c r="E30" s="24"/>
      <c r="F30" s="24"/>
      <c r="G30" s="24"/>
      <c r="H30" s="185"/>
      <c r="I30" s="184"/>
      <c r="J30" s="42">
        <f>VLOOKUP($B$29:$B$42,'Alberta Equip. Rates Year 3'!$B$13:$K$314,10,FALSE)</f>
        <v>0</v>
      </c>
      <c r="K30" s="181">
        <f t="shared" ref="K30:K42" si="1">(H30+I30)*J30</f>
        <v>0</v>
      </c>
    </row>
    <row r="31" spans="1:15" ht="15" customHeight="1">
      <c r="A31" s="43"/>
      <c r="B31" s="49">
        <f>VLOOKUP($C$29:$C$42,Equipment!$A$1:$B$2322,2,FALSE)</f>
        <v>0</v>
      </c>
      <c r="C31" s="24"/>
      <c r="D31" s="24"/>
      <c r="E31" s="24"/>
      <c r="F31" s="24"/>
      <c r="G31" s="24"/>
      <c r="H31" s="185"/>
      <c r="I31" s="184"/>
      <c r="J31" s="42">
        <f>VLOOKUP($B$29:$B$42,'Alberta Equip. Rates Year 3'!$B$13:$K$314,10,FALSE)</f>
        <v>0</v>
      </c>
      <c r="K31" s="181">
        <f t="shared" si="1"/>
        <v>0</v>
      </c>
    </row>
    <row r="32" spans="1:15" ht="15" customHeight="1">
      <c r="A32" s="43"/>
      <c r="B32" s="49">
        <f>VLOOKUP($C$29:$C$42,Equipment!$A$1:$B$2322,2,FALSE)</f>
        <v>0</v>
      </c>
      <c r="C32" s="24"/>
      <c r="D32" s="24"/>
      <c r="E32" s="24"/>
      <c r="F32" s="24"/>
      <c r="G32" s="24"/>
      <c r="H32" s="185"/>
      <c r="I32" s="184"/>
      <c r="J32" s="42">
        <f>VLOOKUP($B$29:$B$42,'Alberta Equip. Rates Year 3'!$B$13:$K$314,10,FALSE)</f>
        <v>0</v>
      </c>
      <c r="K32" s="181">
        <f t="shared" si="1"/>
        <v>0</v>
      </c>
    </row>
    <row r="33" spans="1:11" ht="15" customHeight="1">
      <c r="A33" s="43"/>
      <c r="B33" s="49">
        <f>VLOOKUP($C$29:$C$42,Equipment!$A$1:$B$2322,2,FALSE)</f>
        <v>0</v>
      </c>
      <c r="C33" s="24"/>
      <c r="D33" s="24"/>
      <c r="E33" s="24"/>
      <c r="F33" s="24"/>
      <c r="G33" s="24"/>
      <c r="H33" s="185"/>
      <c r="I33" s="184"/>
      <c r="J33" s="42">
        <f>VLOOKUP($B$29:$B$42,'Alberta Equip. Rates Year 3'!$B$13:$K$314,10,FALSE)</f>
        <v>0</v>
      </c>
      <c r="K33" s="181">
        <f t="shared" si="1"/>
        <v>0</v>
      </c>
    </row>
    <row r="34" spans="1:11" ht="15" customHeight="1">
      <c r="A34" s="43"/>
      <c r="B34" s="49">
        <f>VLOOKUP($C$29:$C$42,Equipment!$A$1:$B$2322,2,FALSE)</f>
        <v>0</v>
      </c>
      <c r="C34" s="24"/>
      <c r="D34" s="24"/>
      <c r="E34" s="24"/>
      <c r="F34" s="24"/>
      <c r="G34" s="24"/>
      <c r="H34" s="185"/>
      <c r="I34" s="184"/>
      <c r="J34" s="42">
        <f>VLOOKUP($B$29:$B$42,'Alberta Equip. Rates Year 3'!$B$13:$K$314,10,FALSE)</f>
        <v>0</v>
      </c>
      <c r="K34" s="181">
        <f t="shared" si="1"/>
        <v>0</v>
      </c>
    </row>
    <row r="35" spans="1:11" ht="15" customHeight="1">
      <c r="A35" s="43"/>
      <c r="B35" s="49">
        <f>VLOOKUP($C$29:$C$42,Equipment!$A$1:$B$2322,2,FALSE)</f>
        <v>0</v>
      </c>
      <c r="C35" s="24"/>
      <c r="D35" s="24"/>
      <c r="E35" s="24"/>
      <c r="F35" s="24"/>
      <c r="G35" s="24"/>
      <c r="H35" s="185"/>
      <c r="I35" s="184"/>
      <c r="J35" s="42">
        <f>VLOOKUP($B$29:$B$42,'Alberta Equip. Rates Year 3'!$B$13:$K$314,10,FALSE)</f>
        <v>0</v>
      </c>
      <c r="K35" s="181">
        <f t="shared" si="1"/>
        <v>0</v>
      </c>
    </row>
    <row r="36" spans="1:11" ht="15" customHeight="1">
      <c r="A36" s="43"/>
      <c r="B36" s="49">
        <f>VLOOKUP($C$29:$C$42,Equipment!$A$1:$B$2322,2,FALSE)</f>
        <v>0</v>
      </c>
      <c r="C36" s="24"/>
      <c r="D36" s="24"/>
      <c r="E36" s="24"/>
      <c r="F36" s="24"/>
      <c r="G36" s="24"/>
      <c r="H36" s="185"/>
      <c r="I36" s="184"/>
      <c r="J36" s="42">
        <f>VLOOKUP($B$29:$B$42,'Alberta Equip. Rates Year 3'!$B$13:$K$314,10,FALSE)</f>
        <v>0</v>
      </c>
      <c r="K36" s="181">
        <f t="shared" si="1"/>
        <v>0</v>
      </c>
    </row>
    <row r="37" spans="1:11" ht="15" customHeight="1">
      <c r="A37" s="43"/>
      <c r="B37" s="49">
        <f>VLOOKUP($C$29:$C$42,Equipment!$A$1:$B$2322,2,FALSE)</f>
        <v>0</v>
      </c>
      <c r="C37" s="24"/>
      <c r="D37" s="24"/>
      <c r="E37" s="24"/>
      <c r="F37" s="24"/>
      <c r="G37" s="24"/>
      <c r="H37" s="185"/>
      <c r="I37" s="184"/>
      <c r="J37" s="42">
        <f>VLOOKUP($B$29:$B$42,'Alberta Equip. Rates Year 3'!$B$13:$K$314,10,FALSE)</f>
        <v>0</v>
      </c>
      <c r="K37" s="181">
        <f t="shared" si="1"/>
        <v>0</v>
      </c>
    </row>
    <row r="38" spans="1:11" ht="15" customHeight="1">
      <c r="A38" s="43"/>
      <c r="B38" s="49">
        <f>VLOOKUP($C$29:$C$42,Equipment!$A$1:$B$2322,2,FALSE)</f>
        <v>0</v>
      </c>
      <c r="C38" s="24"/>
      <c r="D38" s="24"/>
      <c r="E38" s="24"/>
      <c r="F38" s="24"/>
      <c r="G38" s="24"/>
      <c r="H38" s="185"/>
      <c r="I38" s="184"/>
      <c r="J38" s="42">
        <f>VLOOKUP($B$29:$B$42,'Alberta Equip. Rates Year 3'!$B$13:$K$314,10,FALSE)</f>
        <v>0</v>
      </c>
      <c r="K38" s="181">
        <f t="shared" si="1"/>
        <v>0</v>
      </c>
    </row>
    <row r="39" spans="1:11" ht="15" customHeight="1">
      <c r="A39" s="43"/>
      <c r="B39" s="49">
        <f>VLOOKUP($C$29:$C$42,Equipment!$A$1:$B$2322,2,FALSE)</f>
        <v>0</v>
      </c>
      <c r="C39" s="24"/>
      <c r="D39" s="24"/>
      <c r="E39" s="24"/>
      <c r="F39" s="24"/>
      <c r="G39" s="24"/>
      <c r="H39" s="185"/>
      <c r="I39" s="184"/>
      <c r="J39" s="42">
        <f>VLOOKUP($B$29:$B$42,'Alberta Equip. Rates Year 3'!$B$13:$K$314,10,FALSE)</f>
        <v>0</v>
      </c>
      <c r="K39" s="181">
        <f>(H39+I39)*J39</f>
        <v>0</v>
      </c>
    </row>
    <row r="40" spans="1:11" ht="15" customHeight="1">
      <c r="A40" s="43"/>
      <c r="B40" s="49">
        <f>VLOOKUP($C$29:$C$42,Equipment!$A$1:$B$2322,2,FALSE)</f>
        <v>0</v>
      </c>
      <c r="C40" s="24"/>
      <c r="D40" s="24"/>
      <c r="E40" s="24"/>
      <c r="F40" s="24"/>
      <c r="G40" s="24"/>
      <c r="H40" s="185"/>
      <c r="I40" s="184"/>
      <c r="J40" s="42">
        <f>VLOOKUP($B$29:$B$42,'Alberta Equip. Rates Year 3'!$B$13:$K$314,10,FALSE)</f>
        <v>0</v>
      </c>
      <c r="K40" s="181">
        <f t="shared" si="1"/>
        <v>0</v>
      </c>
    </row>
    <row r="41" spans="1:11" ht="15" customHeight="1">
      <c r="A41" s="43"/>
      <c r="B41" s="49">
        <f>VLOOKUP($C$29:$C$42,Equipment!$A$1:$B$2322,2,FALSE)</f>
        <v>0</v>
      </c>
      <c r="C41" s="24"/>
      <c r="D41" s="24"/>
      <c r="E41" s="24"/>
      <c r="F41" s="24"/>
      <c r="G41" s="24"/>
      <c r="H41" s="185"/>
      <c r="I41" s="184"/>
      <c r="J41" s="42">
        <f>VLOOKUP($B$29:$B$42,'Alberta Equip. Rates Year 3'!$B$13:$K$314,10,FALSE)</f>
        <v>0</v>
      </c>
      <c r="K41" s="181">
        <f t="shared" si="1"/>
        <v>0</v>
      </c>
    </row>
    <row r="42" spans="1:11" ht="15" customHeight="1" thickBot="1">
      <c r="A42" s="43"/>
      <c r="B42" s="49">
        <f>VLOOKUP($C$29:$C$42,Equipment!$A$1:$B$2322,2,FALSE)</f>
        <v>0</v>
      </c>
      <c r="C42" s="24"/>
      <c r="D42" s="24"/>
      <c r="E42" s="24"/>
      <c r="F42" s="24"/>
      <c r="G42" s="24"/>
      <c r="H42" s="185"/>
      <c r="I42" s="184"/>
      <c r="J42" s="42">
        <f>VLOOKUP($B$29:$B$42,'Alberta Equip. Rates Year 3'!$B$13:$K$314,10,FALSE)</f>
        <v>0</v>
      </c>
      <c r="K42" s="181">
        <f t="shared" si="1"/>
        <v>0</v>
      </c>
    </row>
    <row r="43" spans="1:11" ht="12" thickBot="1">
      <c r="A43" s="25"/>
      <c r="B43" s="25"/>
      <c r="C43" s="25"/>
      <c r="D43" s="21"/>
      <c r="E43" s="21"/>
      <c r="F43" s="21"/>
      <c r="G43" s="21"/>
      <c r="H43" s="21"/>
      <c r="I43" s="360" t="s">
        <v>24</v>
      </c>
      <c r="J43" s="361"/>
      <c r="K43" s="182">
        <f>SUM(K29:K42)</f>
        <v>0</v>
      </c>
    </row>
    <row r="44" spans="1:11" ht="12" thickBot="1">
      <c r="A44" s="26"/>
      <c r="D44" s="26"/>
      <c r="I44" s="27"/>
      <c r="J44" s="27"/>
      <c r="K44" s="28"/>
    </row>
    <row r="45" spans="1:11">
      <c r="A45" s="1" t="s">
        <v>25</v>
      </c>
      <c r="B45" s="29"/>
      <c r="D45" s="1"/>
      <c r="E45" s="1"/>
      <c r="F45" s="1"/>
      <c r="G45" s="1"/>
      <c r="H45" s="1"/>
      <c r="I45" s="362" t="s">
        <v>26</v>
      </c>
      <c r="J45" s="362"/>
      <c r="K45" s="37">
        <f>K26</f>
        <v>0</v>
      </c>
    </row>
    <row r="46" spans="1:11">
      <c r="D46" s="1"/>
      <c r="E46" s="1"/>
      <c r="F46" s="1"/>
      <c r="G46" s="1"/>
      <c r="H46" s="1"/>
      <c r="I46" s="362" t="s">
        <v>27</v>
      </c>
      <c r="J46" s="362"/>
      <c r="K46" s="38">
        <f>K43</f>
        <v>0</v>
      </c>
    </row>
    <row r="47" spans="1:11">
      <c r="D47" s="1"/>
      <c r="E47" s="1"/>
      <c r="F47" s="1"/>
      <c r="G47" s="1"/>
      <c r="H47" s="1"/>
      <c r="I47" s="27" t="s">
        <v>28</v>
      </c>
      <c r="J47" s="27"/>
      <c r="K47" s="38">
        <f>(O26)*14.15</f>
        <v>0</v>
      </c>
    </row>
    <row r="48" spans="1:11">
      <c r="D48" s="1"/>
      <c r="E48" s="1"/>
      <c r="F48" s="1"/>
      <c r="G48" s="1"/>
      <c r="H48" s="1"/>
      <c r="I48" s="30" t="s">
        <v>29</v>
      </c>
      <c r="J48" s="30"/>
      <c r="K48" s="39"/>
    </row>
    <row r="49" spans="1:11">
      <c r="D49" s="1"/>
      <c r="E49" s="1"/>
      <c r="F49" s="1"/>
      <c r="G49" s="1"/>
      <c r="H49" s="1"/>
      <c r="I49" s="30" t="s">
        <v>30</v>
      </c>
      <c r="J49" s="30"/>
      <c r="K49" s="39"/>
    </row>
    <row r="50" spans="1:11">
      <c r="D50" s="1"/>
      <c r="E50" s="1"/>
      <c r="F50" s="1"/>
      <c r="G50" s="1"/>
      <c r="H50" s="1"/>
      <c r="I50" s="30" t="s">
        <v>31</v>
      </c>
      <c r="J50" s="30"/>
      <c r="K50" s="39"/>
    </row>
    <row r="51" spans="1:11" ht="12" thickBot="1">
      <c r="D51" s="1"/>
      <c r="E51" s="1"/>
      <c r="F51" s="1"/>
      <c r="G51" s="1"/>
      <c r="H51" s="1"/>
      <c r="I51" s="362" t="s">
        <v>32</v>
      </c>
      <c r="J51" s="362"/>
      <c r="K51" s="40">
        <f>SUM(K45:K50)</f>
        <v>0</v>
      </c>
    </row>
    <row r="52" spans="1:11">
      <c r="D52" s="1"/>
      <c r="E52" s="1"/>
      <c r="F52" s="1"/>
      <c r="G52" s="1"/>
      <c r="H52" s="1"/>
      <c r="I52" s="27"/>
      <c r="J52" s="27"/>
    </row>
    <row r="53" spans="1:11">
      <c r="A53" s="31" t="s">
        <v>33</v>
      </c>
      <c r="B53" s="32"/>
      <c r="C53" s="32"/>
      <c r="D53" s="1"/>
      <c r="H53" s="33" t="s">
        <v>34</v>
      </c>
      <c r="I53" s="32"/>
      <c r="J53" s="32"/>
      <c r="K53" s="32"/>
    </row>
    <row r="54" spans="1:11" ht="15">
      <c r="A54" s="34"/>
      <c r="E54" s="8"/>
      <c r="F54" s="8"/>
      <c r="G54" s="8"/>
      <c r="H54" s="35"/>
      <c r="I54" s="35"/>
      <c r="J54" s="35"/>
      <c r="K54" s="35"/>
    </row>
    <row r="55" spans="1:11" ht="15">
      <c r="A55" s="34" t="s">
        <v>35</v>
      </c>
      <c r="E55" s="8"/>
      <c r="F55" s="8"/>
      <c r="G55" s="8"/>
      <c r="H55" s="35"/>
      <c r="I55" s="35"/>
      <c r="J55" s="35"/>
      <c r="K55" s="35"/>
    </row>
    <row r="56" spans="1:11" s="34" customFormat="1">
      <c r="A56" s="363">
        <v>41218.479166666664</v>
      </c>
      <c r="B56" s="363"/>
      <c r="C56" s="364"/>
      <c r="D56" s="364"/>
      <c r="E56" s="364"/>
      <c r="F56" s="364"/>
      <c r="G56" s="364"/>
      <c r="H56" s="364"/>
      <c r="I56" s="364"/>
      <c r="J56" s="364"/>
      <c r="K56" s="8"/>
    </row>
    <row r="66" s="1" customFormat="1"/>
    <row r="67" s="1" customFormat="1"/>
    <row r="68" s="1" customFormat="1"/>
    <row r="69" s="1" customFormat="1"/>
    <row r="70" s="1" customFormat="1"/>
    <row r="71" s="1" customFormat="1"/>
    <row r="72" s="1" customFormat="1"/>
    <row r="73" s="1" customFormat="1"/>
    <row r="74" s="1" customFormat="1"/>
    <row r="75" s="1" customFormat="1"/>
    <row r="76" s="1" customFormat="1"/>
    <row r="77" s="1" customFormat="1"/>
    <row r="78" s="1" customFormat="1"/>
    <row r="79" s="1" customFormat="1"/>
    <row r="84" s="1" customFormat="1"/>
    <row r="112" s="1" customFormat="1"/>
    <row r="113" s="1" customFormat="1"/>
    <row r="114" s="1" customFormat="1"/>
    <row r="115" s="1" customFormat="1"/>
  </sheetData>
  <mergeCells count="12">
    <mergeCell ref="I43:J43"/>
    <mergeCell ref="I45:J45"/>
    <mergeCell ref="I46:J46"/>
    <mergeCell ref="I51:J51"/>
    <mergeCell ref="A56:B56"/>
    <mergeCell ref="C56:J56"/>
    <mergeCell ref="I26:J26"/>
    <mergeCell ref="C1:H1"/>
    <mergeCell ref="C2:H2"/>
    <mergeCell ref="C3:H3"/>
    <mergeCell ref="H6:I6"/>
    <mergeCell ref="H7:I7"/>
  </mergeCells>
  <printOptions horizontalCentered="1"/>
  <pageMargins left="0.19685039370078741" right="0.19685039370078741" top="0.39370078740157483" bottom="0.39370078740157483" header="0" footer="0"/>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B00-000000000000}">
          <x14:formula1>
            <xm:f>Accounts!$A$4:$A$60</xm:f>
          </x14:formula1>
          <xm:sqref>K7</xm:sqref>
        </x14:dataValidation>
        <x14:dataValidation type="list" allowBlank="1" showInputMessage="1" showErrorMessage="1" xr:uid="{00000000-0002-0000-0B00-000001000000}">
          <x14:formula1>
            <xm:f>'Constr. Wage Rate Calculations'!$A$19:$A$288</xm:f>
          </x14:formula1>
          <xm:sqref>B11:B25</xm:sqref>
        </x14:dataValidation>
        <x14:dataValidation type="list" allowBlank="1" showInputMessage="1" showErrorMessage="1" xr:uid="{00000000-0002-0000-0B00-000002000000}">
          <x14:formula1>
            <xm:f>Personnel!$A:$A</xm:f>
          </x14:formula1>
          <xm:sqref>C11:C25</xm:sqref>
        </x14:dataValidation>
        <x14:dataValidation type="list" allowBlank="1" showInputMessage="1" showErrorMessage="1" xr:uid="{00000000-0002-0000-0B00-000003000000}">
          <x14:formula1>
            <xm:f>Equipment!$A:$A</xm:f>
          </x14:formula1>
          <xm:sqref>C29:C42</xm:sqref>
        </x14:dataValidation>
      </x14:dataValidations>
    </ex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O134"/>
  <sheetViews>
    <sheetView zoomScale="120" zoomScaleNormal="120" zoomScalePageLayoutView="120" workbookViewId="0">
      <selection activeCell="K27" sqref="K27"/>
    </sheetView>
  </sheetViews>
  <sheetFormatPr baseColWidth="10" defaultColWidth="8.83203125" defaultRowHeight="11"/>
  <cols>
    <col min="1" max="1" width="13" style="1" customWidth="1"/>
    <col min="2" max="2" width="30" style="1" customWidth="1"/>
    <col min="3" max="3" width="24.5" style="1" customWidth="1"/>
    <col min="4" max="4" width="8.6640625" style="2" customWidth="1"/>
    <col min="5" max="6" width="8.33203125" style="2" customWidth="1"/>
    <col min="7" max="8" width="8.6640625" style="2" customWidth="1"/>
    <col min="9" max="9" width="9.33203125" style="2" customWidth="1"/>
    <col min="10" max="10" width="8.6640625" style="2" customWidth="1"/>
    <col min="11" max="11" width="24.1640625" style="1" customWidth="1"/>
    <col min="12" max="12" width="3.5" style="1" hidden="1" customWidth="1"/>
    <col min="13" max="16384" width="8.83203125" style="1"/>
  </cols>
  <sheetData>
    <row r="1" spans="1:13" ht="15">
      <c r="C1" s="364"/>
      <c r="D1" s="365"/>
      <c r="E1" s="365"/>
      <c r="F1" s="365"/>
      <c r="G1" s="365"/>
      <c r="H1" s="366"/>
      <c r="J1" s="2" t="s">
        <v>0</v>
      </c>
      <c r="K1" s="197"/>
      <c r="M1" s="45"/>
    </row>
    <row r="2" spans="1:13" ht="15">
      <c r="C2" s="367"/>
      <c r="D2" s="367"/>
      <c r="E2" s="367"/>
      <c r="F2" s="367"/>
      <c r="G2" s="367"/>
      <c r="H2" s="366"/>
      <c r="K2" s="41"/>
    </row>
    <row r="3" spans="1:13" ht="15">
      <c r="C3" s="368"/>
      <c r="D3" s="369"/>
      <c r="E3" s="369"/>
      <c r="F3" s="369"/>
      <c r="G3" s="369"/>
      <c r="H3" s="366"/>
    </row>
    <row r="4" spans="1:13">
      <c r="C4" s="3"/>
      <c r="D4" s="4"/>
      <c r="E4" s="4"/>
      <c r="F4" s="4"/>
      <c r="G4" s="4"/>
    </row>
    <row r="5" spans="1:13">
      <c r="C5" s="3"/>
      <c r="D5" s="4"/>
      <c r="E5" s="4"/>
      <c r="F5" s="4"/>
      <c r="G5" s="4"/>
    </row>
    <row r="6" spans="1:13" ht="12">
      <c r="B6" s="5"/>
      <c r="C6" s="6"/>
      <c r="D6" s="7"/>
      <c r="E6" s="8"/>
      <c r="F6" s="8"/>
      <c r="G6" s="1" t="s">
        <v>1</v>
      </c>
      <c r="H6" s="370"/>
      <c r="I6" s="370"/>
      <c r="J6" s="1" t="s">
        <v>2</v>
      </c>
      <c r="K6" s="47"/>
    </row>
    <row r="7" spans="1:13" ht="12">
      <c r="A7" s="1" t="s">
        <v>3</v>
      </c>
      <c r="B7" s="9"/>
      <c r="C7" s="10"/>
      <c r="D7" s="11"/>
      <c r="E7" s="8"/>
      <c r="F7" s="8"/>
      <c r="G7" s="1" t="s">
        <v>4</v>
      </c>
      <c r="H7" s="371"/>
      <c r="I7" s="371"/>
      <c r="J7" s="1" t="s">
        <v>5</v>
      </c>
      <c r="K7" s="46"/>
    </row>
    <row r="8" spans="1:13" ht="12">
      <c r="B8" s="12"/>
      <c r="C8" s="13"/>
      <c r="D8" s="14"/>
      <c r="E8" s="8"/>
      <c r="F8" s="8"/>
      <c r="G8" s="1" t="s">
        <v>6</v>
      </c>
      <c r="H8" s="187"/>
      <c r="I8" s="188"/>
      <c r="J8" s="44"/>
    </row>
    <row r="9" spans="1:13" ht="16" thickBot="1">
      <c r="B9" s="15"/>
      <c r="C9" s="16"/>
      <c r="D9" s="16"/>
      <c r="E9" s="8"/>
      <c r="F9" s="8"/>
      <c r="G9" s="8"/>
    </row>
    <row r="10" spans="1:13" s="19" customFormat="1" ht="12" thickBot="1">
      <c r="A10" s="17" t="s">
        <v>7</v>
      </c>
      <c r="B10" s="17" t="s">
        <v>8</v>
      </c>
      <c r="C10" s="17" t="s">
        <v>9</v>
      </c>
      <c r="D10" s="18" t="s">
        <v>10</v>
      </c>
      <c r="E10" s="18" t="s">
        <v>11</v>
      </c>
      <c r="F10" s="18" t="s">
        <v>12</v>
      </c>
      <c r="G10" s="180" t="s">
        <v>13</v>
      </c>
      <c r="H10" s="18" t="s">
        <v>14</v>
      </c>
      <c r="I10" s="18" t="s">
        <v>15</v>
      </c>
      <c r="J10" s="18" t="s">
        <v>16</v>
      </c>
      <c r="K10" s="18" t="s">
        <v>17</v>
      </c>
      <c r="M10" s="19" t="s">
        <v>1797</v>
      </c>
    </row>
    <row r="11" spans="1:13" ht="15" customHeight="1">
      <c r="A11" s="48"/>
      <c r="B11" s="49">
        <f>VLOOKUP($C$11:$C$36,Personnel!$A$1:$B$1234,2,FALSE)</f>
        <v>0</v>
      </c>
      <c r="C11" s="36"/>
      <c r="D11" s="184"/>
      <c r="E11" s="179">
        <f>VLOOKUP($B$11:$B$36,'Constr. Wage Rate Calculations'!$A$19:$Z$288,22,FALSE)</f>
        <v>0</v>
      </c>
      <c r="F11" s="184"/>
      <c r="G11" s="179">
        <f>VLOOKUP($B$11:$B$36,'Constr. Wage Rate Calculations'!$A$19:$Z$288,23,FALSE)</f>
        <v>0</v>
      </c>
      <c r="H11" s="184"/>
      <c r="I11" s="179">
        <f>VLOOKUP($B$11:$B$36,'Constr. Wage Rate Calculations'!$A$19:$Z$288,24,FALSE)</f>
        <v>0</v>
      </c>
      <c r="J11" s="20">
        <f>VLOOKUP($B$11:$B$36,'Constr. Wage Rate Calculations'!$A$19:$Z$288,25,FALSE)</f>
        <v>0</v>
      </c>
      <c r="K11" s="179" t="str">
        <f t="shared" ref="K11:K27" si="0">IF($D11&gt;=1,$J11+(D11*E11)+(F11*G11)+(H11*I11),IF($F11&gt;=1,$J11+(D11*E11)+(F11*G11)+(H11*I11),IF($H11&gt;=1,$J11+(D11*E11)+(F11*G11)+(H11*I11),"")))</f>
        <v/>
      </c>
    </row>
    <row r="12" spans="1:13" ht="15" customHeight="1">
      <c r="A12" s="48"/>
      <c r="B12" s="49">
        <f>VLOOKUP($C$11:$C$36,Personnel!$A$1:$B$1234,2,FALSE)</f>
        <v>0</v>
      </c>
      <c r="C12" s="36"/>
      <c r="D12" s="184"/>
      <c r="E12" s="179">
        <f>VLOOKUP($B$11:$B$36,'Constr. Wage Rate Calculations'!$A$19:$Z$288,22,FALSE)</f>
        <v>0</v>
      </c>
      <c r="F12" s="184"/>
      <c r="G12" s="179">
        <f>VLOOKUP($B$11:$B$36,'Constr. Wage Rate Calculations'!$A$19:$Z$288,23,FALSE)</f>
        <v>0</v>
      </c>
      <c r="H12" s="184"/>
      <c r="I12" s="179">
        <f>VLOOKUP($B$11:$B$36,'Constr. Wage Rate Calculations'!$A$19:$Z$288,24,FALSE)</f>
        <v>0</v>
      </c>
      <c r="J12" s="20">
        <f>VLOOKUP($B$11:$B$36,'Constr. Wage Rate Calculations'!$A$19:$Z$288,25,FALSE)</f>
        <v>0</v>
      </c>
      <c r="K12" s="179" t="str">
        <f t="shared" si="0"/>
        <v/>
      </c>
    </row>
    <row r="13" spans="1:13" ht="15" customHeight="1">
      <c r="A13" s="48"/>
      <c r="B13" s="49">
        <f>VLOOKUP($C$11:$C$36,Personnel!$A$1:$B$1234,2,FALSE)</f>
        <v>0</v>
      </c>
      <c r="C13" s="36"/>
      <c r="D13" s="184"/>
      <c r="E13" s="179">
        <f>VLOOKUP($B$11:$B$36,'Constr. Wage Rate Calculations'!$A$19:$Z$288,22,FALSE)</f>
        <v>0</v>
      </c>
      <c r="F13" s="184"/>
      <c r="G13" s="179">
        <f>VLOOKUP($B$11:$B$36,'Constr. Wage Rate Calculations'!$A$19:$Z$288,23,FALSE)</f>
        <v>0</v>
      </c>
      <c r="H13" s="184"/>
      <c r="I13" s="179">
        <f>VLOOKUP($B$11:$B$36,'Constr. Wage Rate Calculations'!$A$19:$Z$288,24,FALSE)</f>
        <v>0</v>
      </c>
      <c r="J13" s="20">
        <f>VLOOKUP($B$11:$B$36,'Constr. Wage Rate Calculations'!$A$19:$Z$288,25,FALSE)</f>
        <v>0</v>
      </c>
      <c r="K13" s="179" t="str">
        <f t="shared" si="0"/>
        <v/>
      </c>
    </row>
    <row r="14" spans="1:13" ht="15" customHeight="1">
      <c r="A14" s="48"/>
      <c r="B14" s="49">
        <f>VLOOKUP($C$11:$C$36,Personnel!$A$1:$B$1234,2,FALSE)</f>
        <v>0</v>
      </c>
      <c r="C14" s="36"/>
      <c r="D14" s="184"/>
      <c r="E14" s="179">
        <f>VLOOKUP($B$11:$B$36,'Constr. Wage Rate Calculations'!$A$19:$Z$288,22,FALSE)</f>
        <v>0</v>
      </c>
      <c r="F14" s="184"/>
      <c r="G14" s="179">
        <f>VLOOKUP($B$11:$B$36,'Constr. Wage Rate Calculations'!$A$19:$Z$288,23,FALSE)</f>
        <v>0</v>
      </c>
      <c r="H14" s="184"/>
      <c r="I14" s="179">
        <f>VLOOKUP($B$11:$B$36,'Constr. Wage Rate Calculations'!$A$19:$Z$288,24,FALSE)</f>
        <v>0</v>
      </c>
      <c r="J14" s="20">
        <f>VLOOKUP($B$11:$B$36,'Constr. Wage Rate Calculations'!$A$19:$Z$288,25,FALSE)</f>
        <v>0</v>
      </c>
      <c r="K14" s="179" t="str">
        <f t="shared" si="0"/>
        <v/>
      </c>
    </row>
    <row r="15" spans="1:13" ht="15" customHeight="1">
      <c r="A15" s="48"/>
      <c r="B15" s="49">
        <f>VLOOKUP($C$11:$C$36,Personnel!$A$1:$B$1234,2,FALSE)</f>
        <v>0</v>
      </c>
      <c r="C15" s="36"/>
      <c r="D15" s="184"/>
      <c r="E15" s="179">
        <f>VLOOKUP($B$11:$B$36,'Constr. Wage Rate Calculations'!$A$19:$Z$288,22,FALSE)</f>
        <v>0</v>
      </c>
      <c r="F15" s="184"/>
      <c r="G15" s="179">
        <f>VLOOKUP($B$11:$B$36,'Constr. Wage Rate Calculations'!$A$19:$Z$288,23,FALSE)</f>
        <v>0</v>
      </c>
      <c r="H15" s="184"/>
      <c r="I15" s="179">
        <f>VLOOKUP($B$11:$B$36,'Constr. Wage Rate Calculations'!$A$19:$Z$288,24,FALSE)</f>
        <v>0</v>
      </c>
      <c r="J15" s="20">
        <f>VLOOKUP($B$11:$B$36,'Constr. Wage Rate Calculations'!$A$19:$Z$288,25,FALSE)</f>
        <v>0</v>
      </c>
      <c r="K15" s="179" t="str">
        <f t="shared" si="0"/>
        <v/>
      </c>
    </row>
    <row r="16" spans="1:13" ht="15" customHeight="1">
      <c r="A16" s="48"/>
      <c r="B16" s="49">
        <f>VLOOKUP($C$11:$C$36,Personnel!$A$1:$B$1234,2,FALSE)</f>
        <v>0</v>
      </c>
      <c r="C16" s="36"/>
      <c r="D16" s="184"/>
      <c r="E16" s="179">
        <f>VLOOKUP($B$11:$B$36,'Constr. Wage Rate Calculations'!$A$19:$Z$288,22,FALSE)</f>
        <v>0</v>
      </c>
      <c r="F16" s="184"/>
      <c r="G16" s="179">
        <f>VLOOKUP($B$11:$B$36,'Constr. Wage Rate Calculations'!$A$19:$Z$288,23,FALSE)</f>
        <v>0</v>
      </c>
      <c r="H16" s="184"/>
      <c r="I16" s="179">
        <f>VLOOKUP($B$11:$B$36,'Constr. Wage Rate Calculations'!$A$19:$Z$288,24,FALSE)</f>
        <v>0</v>
      </c>
      <c r="J16" s="20">
        <f>VLOOKUP($B$11:$B$36,'Constr. Wage Rate Calculations'!$A$19:$Z$288,25,FALSE)</f>
        <v>0</v>
      </c>
      <c r="K16" s="179" t="str">
        <f t="shared" si="0"/>
        <v/>
      </c>
    </row>
    <row r="17" spans="1:11" ht="15" customHeight="1">
      <c r="A17" s="48"/>
      <c r="B17" s="49">
        <f>VLOOKUP($C$11:$C$36,Personnel!$A$1:$B$1234,2,FALSE)</f>
        <v>0</v>
      </c>
      <c r="C17" s="36"/>
      <c r="D17" s="184"/>
      <c r="E17" s="179">
        <f>VLOOKUP($B$11:$B$36,'Constr. Wage Rate Calculations'!$A$19:$Z$288,22,FALSE)</f>
        <v>0</v>
      </c>
      <c r="F17" s="184"/>
      <c r="G17" s="179">
        <f>VLOOKUP($B$11:$B$36,'Constr. Wage Rate Calculations'!$A$19:$Z$288,23,FALSE)</f>
        <v>0</v>
      </c>
      <c r="H17" s="184"/>
      <c r="I17" s="179">
        <f>VLOOKUP($B$11:$B$36,'Constr. Wage Rate Calculations'!$A$19:$Z$288,24,FALSE)</f>
        <v>0</v>
      </c>
      <c r="J17" s="20">
        <f>VLOOKUP($B$11:$B$36,'Constr. Wage Rate Calculations'!$A$19:$Z$288,25,FALSE)</f>
        <v>0</v>
      </c>
      <c r="K17" s="179" t="str">
        <f t="shared" si="0"/>
        <v/>
      </c>
    </row>
    <row r="18" spans="1:11" ht="15" customHeight="1">
      <c r="A18" s="48"/>
      <c r="B18" s="49">
        <f>VLOOKUP($C$11:$C$36,Personnel!$A$1:$B$1234,2,FALSE)</f>
        <v>0</v>
      </c>
      <c r="C18" s="36"/>
      <c r="D18" s="184"/>
      <c r="E18" s="179">
        <f>VLOOKUP($B$11:$B$36,'Constr. Wage Rate Calculations'!$A$19:$Z$288,22,FALSE)</f>
        <v>0</v>
      </c>
      <c r="F18" s="184"/>
      <c r="G18" s="179">
        <f>VLOOKUP($B$11:$B$36,'Constr. Wage Rate Calculations'!$A$19:$Z$288,23,FALSE)</f>
        <v>0</v>
      </c>
      <c r="H18" s="184"/>
      <c r="I18" s="179">
        <f>VLOOKUP($B$11:$B$36,'Constr. Wage Rate Calculations'!$A$19:$Z$288,24,FALSE)</f>
        <v>0</v>
      </c>
      <c r="J18" s="20">
        <f>VLOOKUP($B$11:$B$36,'Constr. Wage Rate Calculations'!$A$19:$Z$288,25,FALSE)</f>
        <v>0</v>
      </c>
      <c r="K18" s="179" t="str">
        <f t="shared" si="0"/>
        <v/>
      </c>
    </row>
    <row r="19" spans="1:11" ht="15" customHeight="1">
      <c r="A19" s="48"/>
      <c r="B19" s="49">
        <f>VLOOKUP($C$11:$C$36,Personnel!$A$1:$B$1234,2,FALSE)</f>
        <v>0</v>
      </c>
      <c r="C19" s="36"/>
      <c r="D19" s="184"/>
      <c r="E19" s="179">
        <f>VLOOKUP($B$11:$B$36,'Constr. Wage Rate Calculations'!$A$19:$Z$288,22,FALSE)</f>
        <v>0</v>
      </c>
      <c r="F19" s="184"/>
      <c r="G19" s="179">
        <f>VLOOKUP($B$11:$B$36,'Constr. Wage Rate Calculations'!$A$19:$Z$288,23,FALSE)</f>
        <v>0</v>
      </c>
      <c r="H19" s="184"/>
      <c r="I19" s="179">
        <f>VLOOKUP($B$11:$B$36,'Constr. Wage Rate Calculations'!$A$19:$Z$288,24,FALSE)</f>
        <v>0</v>
      </c>
      <c r="J19" s="20">
        <f>VLOOKUP($B$11:$B$36,'Constr. Wage Rate Calculations'!$A$19:$Z$288,25,FALSE)</f>
        <v>0</v>
      </c>
      <c r="K19" s="179" t="str">
        <f t="shared" si="0"/>
        <v/>
      </c>
    </row>
    <row r="20" spans="1:11" ht="15" customHeight="1">
      <c r="A20" s="48"/>
      <c r="B20" s="49">
        <f>VLOOKUP($C$11:$C$36,Personnel!$A$1:$B$1234,2,FALSE)</f>
        <v>0</v>
      </c>
      <c r="C20" s="36"/>
      <c r="D20" s="184"/>
      <c r="E20" s="179">
        <f>VLOOKUP($B$11:$B$36,'Constr. Wage Rate Calculations'!$A$19:$Z$288,22,FALSE)</f>
        <v>0</v>
      </c>
      <c r="F20" s="184"/>
      <c r="G20" s="179">
        <f>VLOOKUP($B$11:$B$36,'Constr. Wage Rate Calculations'!$A$19:$Z$288,23,FALSE)</f>
        <v>0</v>
      </c>
      <c r="H20" s="184"/>
      <c r="I20" s="179">
        <f>VLOOKUP($B$11:$B$36,'Constr. Wage Rate Calculations'!$A$19:$Z$288,24,FALSE)</f>
        <v>0</v>
      </c>
      <c r="J20" s="20">
        <f>VLOOKUP($B$11:$B$36,'Constr. Wage Rate Calculations'!$A$19:$Z$288,25,FALSE)</f>
        <v>0</v>
      </c>
      <c r="K20" s="179" t="str">
        <f t="shared" si="0"/>
        <v/>
      </c>
    </row>
    <row r="21" spans="1:11" ht="15" customHeight="1">
      <c r="A21" s="48"/>
      <c r="B21" s="49">
        <f>VLOOKUP($C$11:$C$36,Personnel!$A$1:$B$1234,2,FALSE)</f>
        <v>0</v>
      </c>
      <c r="C21" s="36"/>
      <c r="D21" s="184"/>
      <c r="E21" s="179">
        <f>VLOOKUP($B$11:$B$36,'Constr. Wage Rate Calculations'!$A$19:$Z$288,22,FALSE)</f>
        <v>0</v>
      </c>
      <c r="F21" s="184"/>
      <c r="G21" s="179">
        <f>VLOOKUP($B$11:$B$36,'Constr. Wage Rate Calculations'!$A$19:$Z$288,23,FALSE)</f>
        <v>0</v>
      </c>
      <c r="H21" s="184"/>
      <c r="I21" s="179">
        <f>VLOOKUP($B$11:$B$36,'Constr. Wage Rate Calculations'!$A$19:$Z$288,24,FALSE)</f>
        <v>0</v>
      </c>
      <c r="J21" s="20">
        <f>VLOOKUP($B$11:$B$36,'Constr. Wage Rate Calculations'!$A$19:$Z$288,25,FALSE)</f>
        <v>0</v>
      </c>
      <c r="K21" s="179" t="str">
        <f t="shared" si="0"/>
        <v/>
      </c>
    </row>
    <row r="22" spans="1:11" ht="15" customHeight="1">
      <c r="A22" s="48"/>
      <c r="B22" s="49">
        <f>VLOOKUP($C$11:$C$36,Personnel!$A$1:$B$1234,2,FALSE)</f>
        <v>0</v>
      </c>
      <c r="C22" s="36"/>
      <c r="D22" s="184"/>
      <c r="E22" s="179">
        <f>VLOOKUP($B$11:$B$36,'Constr. Wage Rate Calculations'!$A$19:$Z$288,22,FALSE)</f>
        <v>0</v>
      </c>
      <c r="F22" s="184"/>
      <c r="G22" s="179">
        <f>VLOOKUP($B$11:$B$36,'Constr. Wage Rate Calculations'!$A$19:$Z$288,23,FALSE)</f>
        <v>0</v>
      </c>
      <c r="H22" s="184"/>
      <c r="I22" s="179">
        <f>VLOOKUP($B$11:$B$36,'Constr. Wage Rate Calculations'!$A$19:$Z$288,24,FALSE)</f>
        <v>0</v>
      </c>
      <c r="J22" s="20">
        <f>VLOOKUP($B$11:$B$36,'Constr. Wage Rate Calculations'!$A$19:$Z$288,25,FALSE)</f>
        <v>0</v>
      </c>
      <c r="K22" s="179" t="str">
        <f t="shared" si="0"/>
        <v/>
      </c>
    </row>
    <row r="23" spans="1:11" ht="15" customHeight="1">
      <c r="A23" s="48"/>
      <c r="B23" s="49">
        <f>VLOOKUP($C$11:$C$36,Personnel!$A$1:$B$1234,2,FALSE)</f>
        <v>0</v>
      </c>
      <c r="C23" s="36"/>
      <c r="D23" s="184"/>
      <c r="E23" s="179">
        <f>VLOOKUP($B$11:$B$36,'Constr. Wage Rate Calculations'!$A$19:$Z$288,22,FALSE)</f>
        <v>0</v>
      </c>
      <c r="F23" s="184"/>
      <c r="G23" s="179">
        <f>VLOOKUP($B$11:$B$36,'Constr. Wage Rate Calculations'!$A$19:$Z$288,23,FALSE)</f>
        <v>0</v>
      </c>
      <c r="H23" s="184"/>
      <c r="I23" s="179">
        <f>VLOOKUP($B$11:$B$36,'Constr. Wage Rate Calculations'!$A$19:$Z$288,24,FALSE)</f>
        <v>0</v>
      </c>
      <c r="J23" s="20">
        <f>VLOOKUP($B$11:$B$36,'Constr. Wage Rate Calculations'!$A$19:$Z$288,25,FALSE)</f>
        <v>0</v>
      </c>
      <c r="K23" s="179" t="str">
        <f t="shared" si="0"/>
        <v/>
      </c>
    </row>
    <row r="24" spans="1:11" ht="15" customHeight="1">
      <c r="A24" s="48"/>
      <c r="B24" s="49">
        <f>VLOOKUP($C$11:$C$36,Personnel!$A$1:$B$1234,2,FALSE)</f>
        <v>0</v>
      </c>
      <c r="C24" s="36"/>
      <c r="D24" s="184"/>
      <c r="E24" s="179">
        <f>VLOOKUP($B$11:$B$36,'Constr. Wage Rate Calculations'!$A$19:$Z$288,22,FALSE)</f>
        <v>0</v>
      </c>
      <c r="F24" s="184"/>
      <c r="G24" s="179">
        <f>VLOOKUP($B$11:$B$36,'Constr. Wage Rate Calculations'!$A$19:$Z$288,23,FALSE)</f>
        <v>0</v>
      </c>
      <c r="H24" s="184"/>
      <c r="I24" s="179">
        <f>VLOOKUP($B$11:$B$36,'Constr. Wage Rate Calculations'!$A$19:$Z$288,24,FALSE)</f>
        <v>0</v>
      </c>
      <c r="J24" s="20">
        <f>VLOOKUP($B$11:$B$36,'Constr. Wage Rate Calculations'!$A$19:$Z$288,25,FALSE)</f>
        <v>0</v>
      </c>
      <c r="K24" s="179" t="str">
        <f t="shared" si="0"/>
        <v/>
      </c>
    </row>
    <row r="25" spans="1:11" ht="15" customHeight="1">
      <c r="A25" s="48"/>
      <c r="B25" s="49">
        <f>VLOOKUP($C$11:$C$36,Personnel!$A$1:$B$1234,2,FALSE)</f>
        <v>0</v>
      </c>
      <c r="C25" s="36"/>
      <c r="D25" s="184"/>
      <c r="E25" s="179">
        <f>VLOOKUP($B$11:$B$36,'Constr. Wage Rate Calculations'!$A$19:$Z$288,22,FALSE)</f>
        <v>0</v>
      </c>
      <c r="F25" s="184"/>
      <c r="G25" s="179">
        <f>VLOOKUP($B$11:$B$36,'Constr. Wage Rate Calculations'!$A$19:$Z$288,23,FALSE)</f>
        <v>0</v>
      </c>
      <c r="H25" s="184"/>
      <c r="I25" s="179">
        <f>VLOOKUP($B$11:$B$36,'Constr. Wage Rate Calculations'!$A$19:$Z$288,24,FALSE)</f>
        <v>0</v>
      </c>
      <c r="J25" s="20">
        <f>VLOOKUP($B$11:$B$36,'Constr. Wage Rate Calculations'!$A$19:$Z$288,25,FALSE)</f>
        <v>0</v>
      </c>
      <c r="K25" s="179" t="str">
        <f t="shared" si="0"/>
        <v/>
      </c>
    </row>
    <row r="26" spans="1:11" ht="15" customHeight="1">
      <c r="A26" s="48"/>
      <c r="B26" s="49">
        <f>VLOOKUP($C$11:$C$36,Personnel!$A$1:$B$1234,2,FALSE)</f>
        <v>0</v>
      </c>
      <c r="C26" s="36"/>
      <c r="D26" s="184"/>
      <c r="E26" s="179">
        <f>VLOOKUP($B$11:$B$36,'Constr. Wage Rate Calculations'!$A$19:$Z$288,22,FALSE)</f>
        <v>0</v>
      </c>
      <c r="F26" s="184"/>
      <c r="G26" s="179">
        <f>VLOOKUP($B$11:$B$36,'Constr. Wage Rate Calculations'!$A$19:$Z$288,23,FALSE)</f>
        <v>0</v>
      </c>
      <c r="H26" s="184"/>
      <c r="I26" s="179">
        <f>VLOOKUP($B$11:$B$36,'Constr. Wage Rate Calculations'!$A$19:$Z$288,24,FALSE)</f>
        <v>0</v>
      </c>
      <c r="J26" s="20">
        <f>VLOOKUP($B$11:$B$36,'Constr. Wage Rate Calculations'!$A$19:$Z$288,25,FALSE)</f>
        <v>0</v>
      </c>
      <c r="K26" s="179" t="str">
        <f t="shared" si="0"/>
        <v/>
      </c>
    </row>
    <row r="27" spans="1:11" ht="15" customHeight="1">
      <c r="A27" s="48"/>
      <c r="B27" s="49">
        <f>VLOOKUP($C$11:$C$36,Personnel!$A$1:$B$1234,2,FALSE)</f>
        <v>0</v>
      </c>
      <c r="C27" s="36"/>
      <c r="D27" s="184"/>
      <c r="E27" s="179">
        <f>VLOOKUP($B$11:$B$36,'Constr. Wage Rate Calculations'!$A$19:$Z$288,22,FALSE)</f>
        <v>0</v>
      </c>
      <c r="F27" s="184"/>
      <c r="G27" s="179">
        <f>VLOOKUP($B$11:$B$36,'Constr. Wage Rate Calculations'!$A$19:$Z$288,23,FALSE)</f>
        <v>0</v>
      </c>
      <c r="H27" s="184"/>
      <c r="I27" s="179">
        <f>VLOOKUP($B$11:$B$36,'Constr. Wage Rate Calculations'!$A$19:$Z$288,24,FALSE)</f>
        <v>0</v>
      </c>
      <c r="J27" s="20">
        <f>VLOOKUP($B$11:$B$36,'Constr. Wage Rate Calculations'!$A$19:$Z$288,25,FALSE)</f>
        <v>0</v>
      </c>
      <c r="K27" s="179" t="str">
        <f t="shared" si="0"/>
        <v/>
      </c>
    </row>
    <row r="28" spans="1:11" ht="15" customHeight="1">
      <c r="A28" s="48"/>
      <c r="B28" s="49">
        <f>VLOOKUP($C$11:$C$36,Personnel!$A$1:$B$1234,2,FALSE)</f>
        <v>0</v>
      </c>
      <c r="C28" s="36"/>
      <c r="D28" s="184"/>
      <c r="E28" s="179">
        <f>VLOOKUP($B$11:$B$36,'Constr. Wage Rate Calculations'!$A$19:$Z$288,22,FALSE)</f>
        <v>0</v>
      </c>
      <c r="F28" s="184"/>
      <c r="G28" s="179">
        <f>VLOOKUP($B$11:$B$36,'Constr. Wage Rate Calculations'!$A$19:$Z$288,23,FALSE)</f>
        <v>0</v>
      </c>
      <c r="H28" s="184"/>
      <c r="I28" s="179">
        <f>VLOOKUP($B$11:$B$36,'Constr. Wage Rate Calculations'!$A$19:$Z$288,24,FALSE)</f>
        <v>0</v>
      </c>
      <c r="J28" s="20">
        <f>VLOOKUP($B$11:$B$36,'Constr. Wage Rate Calculations'!$A$19:$Z$288,25,FALSE)</f>
        <v>0</v>
      </c>
      <c r="K28" s="179" t="str">
        <f t="shared" ref="K28:K33" si="1">IF($D28&gt;=1,$J28+(D28*E28)+(F28*G28)+(H28*I28),IF($F28&gt;=1,$J28+(D28*E28)+(F28*G28)+(H28*I28),IF($H28&gt;=1,$J28+(D28*E28)+(F28*G28)+(H28*I28),"")))</f>
        <v/>
      </c>
    </row>
    <row r="29" spans="1:11" ht="15" customHeight="1">
      <c r="A29" s="48"/>
      <c r="B29" s="49">
        <f>VLOOKUP($C$11:$C$36,Personnel!$A$1:$B$1234,2,FALSE)</f>
        <v>0</v>
      </c>
      <c r="C29" s="204"/>
      <c r="D29" s="184"/>
      <c r="E29" s="179">
        <f>VLOOKUP($B$11:$B$36,'Constr. Wage Rate Calculations'!$A$19:$Z$288,22,FALSE)</f>
        <v>0</v>
      </c>
      <c r="F29" s="184"/>
      <c r="G29" s="179">
        <f>VLOOKUP($B$11:$B$36,'Constr. Wage Rate Calculations'!$A$19:$Z$288,23,FALSE)</f>
        <v>0</v>
      </c>
      <c r="H29" s="184"/>
      <c r="I29" s="179">
        <f>VLOOKUP($B$11:$B$36,'Constr. Wage Rate Calculations'!$A$19:$Z$288,24,FALSE)</f>
        <v>0</v>
      </c>
      <c r="J29" s="20">
        <f>VLOOKUP($B$11:$B$36,'Constr. Wage Rate Calculations'!$A$19:$Z$288,25,FALSE)</f>
        <v>0</v>
      </c>
      <c r="K29" s="179" t="str">
        <f t="shared" si="1"/>
        <v/>
      </c>
    </row>
    <row r="30" spans="1:11" ht="15" customHeight="1">
      <c r="A30" s="48"/>
      <c r="B30" s="49">
        <f>VLOOKUP($C$11:$C$36,Personnel!$A$1:$B$1234,2,FALSE)</f>
        <v>0</v>
      </c>
      <c r="C30" s="36"/>
      <c r="D30" s="184"/>
      <c r="E30" s="179">
        <f>VLOOKUP($B$11:$B$36,'Constr. Wage Rate Calculations'!$A$19:$Z$288,22,FALSE)</f>
        <v>0</v>
      </c>
      <c r="F30" s="184"/>
      <c r="G30" s="179">
        <f>VLOOKUP($B$11:$B$36,'Constr. Wage Rate Calculations'!$A$19:$Z$288,23,FALSE)</f>
        <v>0</v>
      </c>
      <c r="H30" s="184"/>
      <c r="I30" s="179">
        <f>VLOOKUP($B$11:$B$36,'Constr. Wage Rate Calculations'!$A$19:$Z$288,24,FALSE)</f>
        <v>0</v>
      </c>
      <c r="J30" s="20">
        <f>VLOOKUP($B$11:$B$36,'Constr. Wage Rate Calculations'!$A$19:$Z$288,25,FALSE)</f>
        <v>0</v>
      </c>
      <c r="K30" s="179" t="str">
        <f t="shared" si="1"/>
        <v/>
      </c>
    </row>
    <row r="31" spans="1:11" ht="15" customHeight="1">
      <c r="A31" s="48"/>
      <c r="B31" s="49">
        <f>VLOOKUP($C$11:$C$36,Personnel!$A$1:$B$1234,2,FALSE)</f>
        <v>0</v>
      </c>
      <c r="C31" s="36"/>
      <c r="D31" s="184"/>
      <c r="E31" s="179">
        <f>VLOOKUP($B$11:$B$36,'Constr. Wage Rate Calculations'!$A$19:$Z$288,22,FALSE)</f>
        <v>0</v>
      </c>
      <c r="F31" s="184"/>
      <c r="G31" s="179">
        <f>VLOOKUP($B$11:$B$36,'Constr. Wage Rate Calculations'!$A$19:$Z$288,23,FALSE)</f>
        <v>0</v>
      </c>
      <c r="H31" s="184"/>
      <c r="I31" s="179">
        <f>VLOOKUP($B$11:$B$36,'Constr. Wage Rate Calculations'!$A$19:$Z$288,24,FALSE)</f>
        <v>0</v>
      </c>
      <c r="J31" s="20">
        <f>VLOOKUP($B$11:$B$36,'Constr. Wage Rate Calculations'!$A$19:$Z$288,25,FALSE)</f>
        <v>0</v>
      </c>
      <c r="K31" s="179" t="str">
        <f t="shared" si="1"/>
        <v/>
      </c>
    </row>
    <row r="32" spans="1:11" ht="15" customHeight="1">
      <c r="A32" s="48"/>
      <c r="B32" s="49">
        <f>VLOOKUP($C$11:$C$36,Personnel!$A$1:$B$1234,2,FALSE)</f>
        <v>0</v>
      </c>
      <c r="C32" s="36"/>
      <c r="D32" s="184"/>
      <c r="E32" s="179">
        <f>VLOOKUP($B$11:$B$36,'Constr. Wage Rate Calculations'!$A$19:$Z$288,22,FALSE)</f>
        <v>0</v>
      </c>
      <c r="F32" s="184"/>
      <c r="G32" s="179">
        <f>VLOOKUP($B$11:$B$36,'Constr. Wage Rate Calculations'!$A$19:$Z$288,23,FALSE)</f>
        <v>0</v>
      </c>
      <c r="H32" s="184"/>
      <c r="I32" s="179">
        <f>VLOOKUP($B$11:$B$36,'Constr. Wage Rate Calculations'!$A$19:$Z$288,24,FALSE)</f>
        <v>0</v>
      </c>
      <c r="J32" s="20">
        <f>VLOOKUP($B$11:$B$36,'Constr. Wage Rate Calculations'!$A$19:$Z$288,25,FALSE)</f>
        <v>0</v>
      </c>
      <c r="K32" s="179" t="str">
        <f t="shared" si="1"/>
        <v/>
      </c>
    </row>
    <row r="33" spans="1:15" ht="15" customHeight="1">
      <c r="A33" s="48"/>
      <c r="B33" s="49">
        <f>VLOOKUP($C$11:$C$36,Personnel!$A$1:$B$1234,2,FALSE)</f>
        <v>0</v>
      </c>
      <c r="C33" s="36"/>
      <c r="D33" s="184"/>
      <c r="E33" s="179">
        <f>VLOOKUP($B$11:$B$36,'Constr. Wage Rate Calculations'!$A$19:$Z$288,22,FALSE)</f>
        <v>0</v>
      </c>
      <c r="F33" s="184"/>
      <c r="G33" s="179">
        <f>VLOOKUP($B$11:$B$36,'Constr. Wage Rate Calculations'!$A$19:$Z$288,23,FALSE)</f>
        <v>0</v>
      </c>
      <c r="H33" s="184"/>
      <c r="I33" s="179">
        <f>VLOOKUP($B$11:$B$36,'Constr. Wage Rate Calculations'!$A$19:$Z$288,24,FALSE)</f>
        <v>0</v>
      </c>
      <c r="J33" s="20">
        <f>VLOOKUP($B$11:$B$36,'Constr. Wage Rate Calculations'!$A$19:$Z$288,25,FALSE)</f>
        <v>0</v>
      </c>
      <c r="K33" s="179" t="str">
        <f t="shared" si="1"/>
        <v/>
      </c>
    </row>
    <row r="34" spans="1:15" ht="15" customHeight="1">
      <c r="A34" s="48"/>
      <c r="B34" s="49">
        <f>VLOOKUP($C$11:$C$36,Personnel!$A$1:$B$1234,2,FALSE)</f>
        <v>0</v>
      </c>
      <c r="C34" s="36"/>
      <c r="D34" s="184"/>
      <c r="E34" s="179">
        <f>VLOOKUP($B$11:$B$36,'Constr. Wage Rate Calculations'!$A$19:$Z$288,22,FALSE)</f>
        <v>0</v>
      </c>
      <c r="F34" s="184"/>
      <c r="G34" s="179">
        <f>VLOOKUP($B$11:$B$36,'Constr. Wage Rate Calculations'!$A$19:$Z$288,23,FALSE)</f>
        <v>0</v>
      </c>
      <c r="H34" s="184"/>
      <c r="I34" s="179">
        <f>VLOOKUP($B$11:$B$36,'Constr. Wage Rate Calculations'!$A$19:$Z$288,24,FALSE)</f>
        <v>0</v>
      </c>
      <c r="J34" s="20">
        <f>VLOOKUP($B$11:$B$36,'Constr. Wage Rate Calculations'!$A$19:$Z$288,25,FALSE)</f>
        <v>0</v>
      </c>
      <c r="K34" s="179" t="str">
        <f>IF($D34&gt;=1,$J34+(D34*E34)+(F34*G34)+(H34*I34),IF($F34&gt;=1,$J34+(D34*E34)+(F34*G34)+(H34*I34),IF($H34&gt;=1,$J34+(D34*E34)+(F34*G34)+(H34*I34),"")))</f>
        <v/>
      </c>
    </row>
    <row r="35" spans="1:15" ht="15" customHeight="1">
      <c r="A35" s="48"/>
      <c r="B35" s="49">
        <f>VLOOKUP($C$11:$C$36,Personnel!$A$1:$B$1234,2,FALSE)</f>
        <v>0</v>
      </c>
      <c r="C35" s="36"/>
      <c r="D35" s="184"/>
      <c r="E35" s="179">
        <f>VLOOKUP($B$11:$B$36,'Constr. Wage Rate Calculations'!$A$19:$Z$288,22,FALSE)</f>
        <v>0</v>
      </c>
      <c r="F35" s="184"/>
      <c r="G35" s="179">
        <f>VLOOKUP($B$11:$B$36,'Constr. Wage Rate Calculations'!$A$19:$Z$288,23,FALSE)</f>
        <v>0</v>
      </c>
      <c r="H35" s="184"/>
      <c r="I35" s="179">
        <f>VLOOKUP($B$11:$B$36,'Constr. Wage Rate Calculations'!$A$19:$Z$288,24,FALSE)</f>
        <v>0</v>
      </c>
      <c r="J35" s="20">
        <f>VLOOKUP($B$11:$B$36,'Constr. Wage Rate Calculations'!$A$19:$Z$288,25,FALSE)</f>
        <v>0</v>
      </c>
      <c r="K35" s="179" t="str">
        <f>IF($D35&gt;=1,$J35+(D35*E35)+(F35*G35)+(H35*I35),IF($F35&gt;=1,$J35+(D35*E35)+(F35*G35)+(H35*I35),IF($H35&gt;=1,$J35+(D35*E35)+(F35*G35)+(H35*I35),"")))</f>
        <v/>
      </c>
    </row>
    <row r="36" spans="1:15" ht="15" customHeight="1" thickBot="1">
      <c r="A36" s="48"/>
      <c r="B36" s="49">
        <f>VLOOKUP($C$11:$C$36,Personnel!$A$1:$B$1234,2,FALSE)</f>
        <v>0</v>
      </c>
      <c r="C36" s="36"/>
      <c r="D36" s="184"/>
      <c r="E36" s="179">
        <f>VLOOKUP($B$11:$B$36,'Constr. Wage Rate Calculations'!$A$19:$Z$288,22,FALSE)</f>
        <v>0</v>
      </c>
      <c r="F36" s="184"/>
      <c r="G36" s="179">
        <f>VLOOKUP($B$11:$B$36,'Constr. Wage Rate Calculations'!$A$19:$Z$288,23,FALSE)</f>
        <v>0</v>
      </c>
      <c r="H36" s="184"/>
      <c r="I36" s="179">
        <f>VLOOKUP($B$11:$B$36,'Constr. Wage Rate Calculations'!$A$19:$Z$288,24,FALSE)</f>
        <v>0</v>
      </c>
      <c r="J36" s="20">
        <f>VLOOKUP($B$11:$B$36,'Constr. Wage Rate Calculations'!$A$19:$Z$288,25,FALSE)</f>
        <v>0</v>
      </c>
      <c r="K36" s="179" t="str">
        <f>IF($D36&gt;=1,$J36+(D36*E36)+(F36*G36)+(H36*I36),IF($F36&gt;=1,$J36+(D36*E36)+(F36*G36)+(H36*I36),IF($H36&gt;=1,$J36+(D36*E36)+(F36*G36)+(H36*I36),"")))</f>
        <v/>
      </c>
      <c r="M36" s="1">
        <f>SUM(M11:M35)</f>
        <v>0</v>
      </c>
    </row>
    <row r="37" spans="1:15" ht="15" customHeight="1" thickBot="1">
      <c r="A37"/>
      <c r="B37"/>
      <c r="C37"/>
      <c r="D37" s="21"/>
      <c r="E37" s="21"/>
      <c r="F37" s="21"/>
      <c r="G37" s="21"/>
      <c r="H37" s="21"/>
      <c r="I37" s="360" t="s">
        <v>18</v>
      </c>
      <c r="J37" s="361"/>
      <c r="K37" s="183">
        <f>SUM(K11:K36)</f>
        <v>0</v>
      </c>
      <c r="M37" s="1">
        <f>SUMIFS(D11:D36,D11:D36,"&lt;3",D11:D36,"&lt;5")</f>
        <v>0</v>
      </c>
      <c r="N37" s="1">
        <f>SUMIFS(D11:D36,D11:D36,"&gt;3",D11:D36,"&gt;5")</f>
        <v>0</v>
      </c>
      <c r="O37" s="1">
        <f>SUM(F11:F36,H11:H36,M37,N37)-M36</f>
        <v>0</v>
      </c>
    </row>
    <row r="38" spans="1:15" ht="10" customHeight="1" thickBot="1"/>
    <row r="39" spans="1:15" s="19" customFormat="1" ht="15" customHeight="1" thickBot="1">
      <c r="A39" s="22" t="s">
        <v>19</v>
      </c>
      <c r="B39" s="23" t="s">
        <v>20</v>
      </c>
      <c r="C39" s="23"/>
      <c r="D39" s="23"/>
      <c r="E39" s="23"/>
      <c r="F39" s="23"/>
      <c r="G39" s="23"/>
      <c r="H39" s="18" t="s">
        <v>21</v>
      </c>
      <c r="I39" s="18" t="s">
        <v>22</v>
      </c>
      <c r="J39" s="18" t="s">
        <v>23</v>
      </c>
      <c r="K39" s="18" t="s">
        <v>17</v>
      </c>
    </row>
    <row r="40" spans="1:15" ht="15" customHeight="1">
      <c r="A40" s="43"/>
      <c r="B40" s="49">
        <f>VLOOKUP($C$40:$C$61,Equipment!$A$1:$B$2322,2,FALSE)</f>
        <v>0</v>
      </c>
      <c r="C40" s="24"/>
      <c r="D40" s="24"/>
      <c r="E40" s="24"/>
      <c r="F40" s="24"/>
      <c r="G40" s="24"/>
      <c r="H40" s="185"/>
      <c r="I40" s="184"/>
      <c r="J40" s="42">
        <f>VLOOKUP($B$40:$B$61,'Alberta Equip. Rates Year 3'!$B$13:$K$314,10,FALSE)</f>
        <v>0</v>
      </c>
      <c r="K40" s="181">
        <f t="shared" ref="K40:K61" si="2">(H40+I40)*J40</f>
        <v>0</v>
      </c>
    </row>
    <row r="41" spans="1:15" ht="15" customHeight="1">
      <c r="A41" s="43"/>
      <c r="B41" s="49">
        <f>VLOOKUP($C$40:$C$61,Equipment!$A$1:$B$2322,2,FALSE)</f>
        <v>0</v>
      </c>
      <c r="C41" s="24"/>
      <c r="D41" s="24"/>
      <c r="E41" s="24"/>
      <c r="F41" s="24"/>
      <c r="G41" s="24"/>
      <c r="H41" s="185"/>
      <c r="I41" s="184"/>
      <c r="J41" s="42">
        <f>VLOOKUP($B$40:$B$61,'Alberta Equip. Rates Year 3'!$B$13:$K$314,10,FALSE)</f>
        <v>0</v>
      </c>
      <c r="K41" s="181">
        <f t="shared" si="2"/>
        <v>0</v>
      </c>
    </row>
    <row r="42" spans="1:15" ht="15" customHeight="1">
      <c r="A42" s="43"/>
      <c r="B42" s="49">
        <f>VLOOKUP($C$40:$C$61,Equipment!$A$1:$B$2322,2,FALSE)</f>
        <v>0</v>
      </c>
      <c r="C42" s="24"/>
      <c r="D42" s="24"/>
      <c r="E42" s="24"/>
      <c r="F42" s="24"/>
      <c r="G42" s="24"/>
      <c r="H42" s="185"/>
      <c r="I42" s="184"/>
      <c r="J42" s="42">
        <f>VLOOKUP($B$40:$B$61,'Alberta Equip. Rates Year 3'!$B$13:$K$314,10,FALSE)</f>
        <v>0</v>
      </c>
      <c r="K42" s="181">
        <f t="shared" si="2"/>
        <v>0</v>
      </c>
    </row>
    <row r="43" spans="1:15" ht="15" customHeight="1">
      <c r="A43" s="43"/>
      <c r="B43" s="49">
        <f>VLOOKUP($C$40:$C$61,Equipment!$A$1:$B$2322,2,FALSE)</f>
        <v>0</v>
      </c>
      <c r="C43" s="24"/>
      <c r="D43" s="24"/>
      <c r="E43" s="24"/>
      <c r="F43" s="24"/>
      <c r="G43" s="24"/>
      <c r="H43" s="185"/>
      <c r="I43" s="184"/>
      <c r="J43" s="42">
        <f>VLOOKUP($B$40:$B$61,'Alberta Equip. Rates Year 3'!$B$13:$K$314,10,FALSE)</f>
        <v>0</v>
      </c>
      <c r="K43" s="181">
        <f t="shared" si="2"/>
        <v>0</v>
      </c>
    </row>
    <row r="44" spans="1:15" ht="15" customHeight="1">
      <c r="A44" s="43"/>
      <c r="B44" s="49">
        <f>VLOOKUP($C$40:$C$61,Equipment!$A$1:$B$2322,2,FALSE)</f>
        <v>0</v>
      </c>
      <c r="C44" s="24"/>
      <c r="D44" s="24"/>
      <c r="E44" s="24"/>
      <c r="F44" s="24"/>
      <c r="G44" s="24"/>
      <c r="H44" s="185"/>
      <c r="I44" s="184"/>
      <c r="J44" s="42">
        <f>VLOOKUP($B$40:$B$61,'Alberta Equip. Rates Year 3'!$B$13:$K$314,10,FALSE)</f>
        <v>0</v>
      </c>
      <c r="K44" s="181">
        <f t="shared" si="2"/>
        <v>0</v>
      </c>
    </row>
    <row r="45" spans="1:15" ht="15" customHeight="1">
      <c r="A45" s="43"/>
      <c r="B45" s="49">
        <f>VLOOKUP($C$40:$C$61,Equipment!$A$1:$B$2322,2,FALSE)</f>
        <v>0</v>
      </c>
      <c r="C45" s="24"/>
      <c r="D45" s="24"/>
      <c r="E45" s="24"/>
      <c r="F45" s="24"/>
      <c r="G45" s="24"/>
      <c r="H45" s="185"/>
      <c r="I45" s="184"/>
      <c r="J45" s="42">
        <f>VLOOKUP($B$40:$B$61,'Alberta Equip. Rates Year 3'!$B$13:$K$314,10,FALSE)</f>
        <v>0</v>
      </c>
      <c r="K45" s="181">
        <f t="shared" si="2"/>
        <v>0</v>
      </c>
    </row>
    <row r="46" spans="1:15" ht="15" customHeight="1">
      <c r="A46" s="43"/>
      <c r="B46" s="49">
        <f>VLOOKUP($C$40:$C$61,Equipment!$A$1:$B$2322,2,FALSE)</f>
        <v>0</v>
      </c>
      <c r="C46" s="24"/>
      <c r="D46" s="24"/>
      <c r="E46" s="24"/>
      <c r="F46" s="24"/>
      <c r="G46" s="24"/>
      <c r="H46" s="185"/>
      <c r="I46" s="184"/>
      <c r="J46" s="42">
        <f>VLOOKUP($B$40:$B$61,'Alberta Equip. Rates Year 3'!$B$13:$K$314,10,FALSE)</f>
        <v>0</v>
      </c>
      <c r="K46" s="181">
        <f t="shared" si="2"/>
        <v>0</v>
      </c>
    </row>
    <row r="47" spans="1:15" ht="15" customHeight="1">
      <c r="A47" s="43"/>
      <c r="B47" s="49">
        <f>VLOOKUP($C$40:$C$61,Equipment!$A$1:$B$2322,2,FALSE)</f>
        <v>0</v>
      </c>
      <c r="C47" s="24"/>
      <c r="D47" s="24"/>
      <c r="E47" s="24"/>
      <c r="F47" s="24"/>
      <c r="G47" s="24"/>
      <c r="H47" s="185"/>
      <c r="I47" s="184"/>
      <c r="J47" s="42">
        <f>VLOOKUP($B$40:$B$61,'Alberta Equip. Rates Year 3'!$B$13:$K$314,10,FALSE)</f>
        <v>0</v>
      </c>
      <c r="K47" s="181">
        <f t="shared" si="2"/>
        <v>0</v>
      </c>
    </row>
    <row r="48" spans="1:15" ht="15" customHeight="1">
      <c r="A48" s="43"/>
      <c r="B48" s="49">
        <f>VLOOKUP($C$40:$C$61,Equipment!$A$1:$B$2322,2,FALSE)</f>
        <v>0</v>
      </c>
      <c r="C48" s="24"/>
      <c r="D48" s="24"/>
      <c r="E48" s="24"/>
      <c r="F48" s="24"/>
      <c r="G48" s="24"/>
      <c r="H48" s="185"/>
      <c r="I48" s="184"/>
      <c r="J48" s="42">
        <f>VLOOKUP($B$40:$B$61,'Alberta Equip. Rates Year 3'!$B$13:$K$314,10,FALSE)</f>
        <v>0</v>
      </c>
      <c r="K48" s="181">
        <f t="shared" si="2"/>
        <v>0</v>
      </c>
    </row>
    <row r="49" spans="1:11" ht="15" customHeight="1">
      <c r="A49" s="43"/>
      <c r="B49" s="49">
        <f>VLOOKUP($C$40:$C$61,Equipment!$A$1:$B$2322,2,FALSE)</f>
        <v>0</v>
      </c>
      <c r="C49" s="24"/>
      <c r="D49" s="24"/>
      <c r="E49" s="24"/>
      <c r="F49" s="24"/>
      <c r="G49" s="24"/>
      <c r="H49" s="185"/>
      <c r="I49" s="184"/>
      <c r="J49" s="42">
        <f>VLOOKUP($B$40:$B$61,'Alberta Equip. Rates Year 3'!$B$13:$K$314,10,FALSE)</f>
        <v>0</v>
      </c>
      <c r="K49" s="181">
        <f>(H49+I49)*J49</f>
        <v>0</v>
      </c>
    </row>
    <row r="50" spans="1:11" ht="15" customHeight="1">
      <c r="A50" s="43"/>
      <c r="B50" s="49">
        <f>VLOOKUP($C$40:$C$61,Equipment!$A$1:$B$2322,2,FALSE)</f>
        <v>0</v>
      </c>
      <c r="C50" s="24"/>
      <c r="D50" s="24"/>
      <c r="E50" s="24"/>
      <c r="F50" s="24"/>
      <c r="G50" s="24"/>
      <c r="H50" s="185"/>
      <c r="I50" s="184"/>
      <c r="J50" s="42">
        <f>VLOOKUP($B$40:$B$61,'Alberta Equip. Rates Year 3'!$B$13:$K$314,10,FALSE)</f>
        <v>0</v>
      </c>
      <c r="K50" s="181">
        <f t="shared" ref="K50:K57" si="3">(H50+I50)*J50</f>
        <v>0</v>
      </c>
    </row>
    <row r="51" spans="1:11" ht="15" customHeight="1">
      <c r="A51" s="43"/>
      <c r="B51" s="49">
        <f>VLOOKUP($C$40:$C$61,Equipment!$A$1:$B$2322,2,FALSE)</f>
        <v>0</v>
      </c>
      <c r="C51" s="24"/>
      <c r="D51" s="24"/>
      <c r="E51" s="24"/>
      <c r="F51" s="24"/>
      <c r="G51" s="24"/>
      <c r="H51" s="185"/>
      <c r="I51" s="184"/>
      <c r="J51" s="42">
        <f>VLOOKUP($B$40:$B$61,'Alberta Equip. Rates Year 3'!$B$13:$K$314,10,FALSE)</f>
        <v>0</v>
      </c>
      <c r="K51" s="181">
        <f t="shared" si="3"/>
        <v>0</v>
      </c>
    </row>
    <row r="52" spans="1:11" ht="15" customHeight="1">
      <c r="A52" s="43"/>
      <c r="B52" s="49">
        <f>VLOOKUP($C$40:$C$61,Equipment!$A$1:$B$2322,2,FALSE)</f>
        <v>0</v>
      </c>
      <c r="C52" s="24"/>
      <c r="D52" s="24"/>
      <c r="E52" s="24"/>
      <c r="F52" s="24"/>
      <c r="G52" s="24"/>
      <c r="H52" s="185"/>
      <c r="I52" s="184"/>
      <c r="J52" s="42">
        <f>VLOOKUP($B$40:$B$61,'Alberta Equip. Rates Year 3'!$B$13:$K$314,10,FALSE)</f>
        <v>0</v>
      </c>
      <c r="K52" s="181">
        <f t="shared" si="3"/>
        <v>0</v>
      </c>
    </row>
    <row r="53" spans="1:11" ht="15" customHeight="1">
      <c r="A53" s="43"/>
      <c r="B53" s="49">
        <f>VLOOKUP($C$40:$C$61,Equipment!$A$1:$B$2322,2,FALSE)</f>
        <v>0</v>
      </c>
      <c r="C53" s="24"/>
      <c r="D53" s="24"/>
      <c r="E53" s="24"/>
      <c r="F53" s="24"/>
      <c r="G53" s="24"/>
      <c r="H53" s="185"/>
      <c r="I53" s="184"/>
      <c r="J53" s="42">
        <f>VLOOKUP($B$40:$B$61,'Alberta Equip. Rates Year 3'!$B$13:$K$314,10,FALSE)</f>
        <v>0</v>
      </c>
      <c r="K53" s="181">
        <f t="shared" si="3"/>
        <v>0</v>
      </c>
    </row>
    <row r="54" spans="1:11" ht="15" customHeight="1">
      <c r="A54" s="43"/>
      <c r="B54" s="49">
        <f>VLOOKUP($C$40:$C$61,Equipment!$A$1:$B$2322,2,FALSE)</f>
        <v>0</v>
      </c>
      <c r="C54" s="24"/>
      <c r="D54" s="24"/>
      <c r="E54" s="24"/>
      <c r="F54" s="24"/>
      <c r="G54" s="24"/>
      <c r="H54" s="185"/>
      <c r="I54" s="184"/>
      <c r="J54" s="42">
        <f>VLOOKUP($B$40:$B$61,'Alberta Equip. Rates Year 3'!$B$13:$K$314,10,FALSE)</f>
        <v>0</v>
      </c>
      <c r="K54" s="181">
        <f t="shared" si="3"/>
        <v>0</v>
      </c>
    </row>
    <row r="55" spans="1:11" ht="15" customHeight="1">
      <c r="A55" s="43"/>
      <c r="B55" s="49">
        <f>VLOOKUP($C$40:$C$61,Equipment!$A$1:$B$2322,2,FALSE)</f>
        <v>0</v>
      </c>
      <c r="C55" s="24"/>
      <c r="D55" s="24"/>
      <c r="E55" s="24"/>
      <c r="F55" s="24"/>
      <c r="G55" s="24"/>
      <c r="H55" s="185"/>
      <c r="I55" s="184"/>
      <c r="J55" s="42">
        <f>VLOOKUP($B$40:$B$61,'Alberta Equip. Rates Year 3'!$B$13:$K$314,10,FALSE)</f>
        <v>0</v>
      </c>
      <c r="K55" s="181">
        <f t="shared" si="3"/>
        <v>0</v>
      </c>
    </row>
    <row r="56" spans="1:11" ht="15" customHeight="1">
      <c r="A56" s="43"/>
      <c r="B56" s="49">
        <f>VLOOKUP($C$40:$C$61,Equipment!$A$1:$B$2322,2,FALSE)</f>
        <v>0</v>
      </c>
      <c r="C56" s="24"/>
      <c r="D56" s="24"/>
      <c r="E56" s="24"/>
      <c r="F56" s="24"/>
      <c r="G56" s="24"/>
      <c r="H56" s="185"/>
      <c r="I56" s="184"/>
      <c r="J56" s="42">
        <f>VLOOKUP($B$40:$B$61,'Alberta Equip. Rates Year 3'!$B$13:$K$314,10,FALSE)</f>
        <v>0</v>
      </c>
      <c r="K56" s="181">
        <f t="shared" si="3"/>
        <v>0</v>
      </c>
    </row>
    <row r="57" spans="1:11" ht="15" customHeight="1">
      <c r="A57" s="43"/>
      <c r="B57" s="49">
        <f>VLOOKUP($C$40:$C$61,Equipment!$A$1:$B$2322,2,FALSE)</f>
        <v>0</v>
      </c>
      <c r="C57" s="24"/>
      <c r="D57" s="24"/>
      <c r="E57" s="24"/>
      <c r="F57" s="24"/>
      <c r="G57" s="24"/>
      <c r="H57" s="185"/>
      <c r="I57" s="184"/>
      <c r="J57" s="42">
        <f>VLOOKUP($B$40:$B$61,'Alberta Equip. Rates Year 3'!$B$13:$K$314,10,FALSE)</f>
        <v>0</v>
      </c>
      <c r="K57" s="181">
        <f t="shared" si="3"/>
        <v>0</v>
      </c>
    </row>
    <row r="58" spans="1:11" ht="15" customHeight="1">
      <c r="A58" s="43"/>
      <c r="B58" s="49">
        <f>VLOOKUP($C$40:$C$61,Equipment!$A$1:$B$2322,2,FALSE)</f>
        <v>0</v>
      </c>
      <c r="C58" s="24"/>
      <c r="D58" s="24"/>
      <c r="E58" s="24"/>
      <c r="F58" s="24"/>
      <c r="G58" s="24"/>
      <c r="H58" s="185"/>
      <c r="I58" s="184"/>
      <c r="J58" s="42">
        <f>VLOOKUP($B$40:$B$61,'Alberta Equip. Rates Year 3'!$B$13:$K$314,10,FALSE)</f>
        <v>0</v>
      </c>
      <c r="K58" s="181">
        <f>(H58+I58)*J58</f>
        <v>0</v>
      </c>
    </row>
    <row r="59" spans="1:11" ht="15" customHeight="1">
      <c r="A59" s="43"/>
      <c r="B59" s="49">
        <f>VLOOKUP($C$40:$C$61,Equipment!$A$1:$B$2322,2,FALSE)</f>
        <v>0</v>
      </c>
      <c r="C59" s="24"/>
      <c r="D59" s="24"/>
      <c r="E59" s="24"/>
      <c r="F59" s="24"/>
      <c r="G59" s="24"/>
      <c r="H59" s="185"/>
      <c r="I59" s="184"/>
      <c r="J59" s="42">
        <f>VLOOKUP($B$40:$B$61,'Alberta Equip. Rates Year 3'!$B$13:$K$314,10,FALSE)</f>
        <v>0</v>
      </c>
      <c r="K59" s="181">
        <f t="shared" si="2"/>
        <v>0</v>
      </c>
    </row>
    <row r="60" spans="1:11" ht="15" customHeight="1">
      <c r="A60" s="43"/>
      <c r="B60" s="49">
        <f>VLOOKUP($C$40:$C$61,Equipment!$A$1:$B$2322,2,FALSE)</f>
        <v>0</v>
      </c>
      <c r="C60" s="24"/>
      <c r="D60" s="24"/>
      <c r="E60" s="24"/>
      <c r="F60" s="24"/>
      <c r="G60" s="24"/>
      <c r="H60" s="185"/>
      <c r="I60" s="184"/>
      <c r="J60" s="42">
        <f>VLOOKUP($B$40:$B$61,'Alberta Equip. Rates Year 3'!$B$13:$K$314,10,FALSE)</f>
        <v>0</v>
      </c>
      <c r="K60" s="181">
        <f t="shared" si="2"/>
        <v>0</v>
      </c>
    </row>
    <row r="61" spans="1:11" ht="15" customHeight="1" thickBot="1">
      <c r="A61" s="43"/>
      <c r="B61" s="49">
        <f>VLOOKUP($C$40:$C$61,Equipment!$A$1:$B$2322,2,FALSE)</f>
        <v>0</v>
      </c>
      <c r="C61" s="24"/>
      <c r="D61" s="24"/>
      <c r="E61" s="24"/>
      <c r="F61" s="24"/>
      <c r="G61" s="24"/>
      <c r="H61" s="185"/>
      <c r="I61" s="184"/>
      <c r="J61" s="42">
        <f>VLOOKUP($B$40:$B$61,'Alberta Equip. Rates Year 3'!$B$13:$K$314,10,FALSE)</f>
        <v>0</v>
      </c>
      <c r="K61" s="181">
        <f t="shared" si="2"/>
        <v>0</v>
      </c>
    </row>
    <row r="62" spans="1:11" ht="12" thickBot="1">
      <c r="A62" s="25"/>
      <c r="B62" s="25"/>
      <c r="C62" s="25"/>
      <c r="D62" s="21"/>
      <c r="E62" s="21"/>
      <c r="F62" s="21"/>
      <c r="G62" s="21"/>
      <c r="H62" s="21"/>
      <c r="I62" s="360" t="s">
        <v>24</v>
      </c>
      <c r="J62" s="361"/>
      <c r="K62" s="182">
        <f>SUM(K40:K61)</f>
        <v>0</v>
      </c>
    </row>
    <row r="63" spans="1:11" ht="12" thickBot="1">
      <c r="A63" s="26"/>
      <c r="D63" s="26"/>
      <c r="I63" s="27"/>
      <c r="J63" s="27"/>
      <c r="K63" s="28"/>
    </row>
    <row r="64" spans="1:11">
      <c r="A64" s="1" t="s">
        <v>25</v>
      </c>
      <c r="B64" s="29"/>
      <c r="D64" s="1"/>
      <c r="E64" s="1"/>
      <c r="F64" s="1"/>
      <c r="G64" s="1"/>
      <c r="H64" s="1"/>
      <c r="I64" s="362" t="s">
        <v>26</v>
      </c>
      <c r="J64" s="362"/>
      <c r="K64" s="37">
        <f>K37</f>
        <v>0</v>
      </c>
    </row>
    <row r="65" spans="1:11">
      <c r="D65" s="1"/>
      <c r="E65" s="1"/>
      <c r="F65" s="1"/>
      <c r="G65" s="1"/>
      <c r="H65" s="1"/>
      <c r="I65" s="362" t="s">
        <v>27</v>
      </c>
      <c r="J65" s="362"/>
      <c r="K65" s="38">
        <f>K62</f>
        <v>0</v>
      </c>
    </row>
    <row r="66" spans="1:11">
      <c r="D66" s="1"/>
      <c r="E66" s="1"/>
      <c r="F66" s="1"/>
      <c r="G66" s="1"/>
      <c r="H66" s="1"/>
      <c r="I66" s="27" t="s">
        <v>28</v>
      </c>
      <c r="J66" s="27"/>
      <c r="K66" s="38">
        <f>(O37)*14.15</f>
        <v>0</v>
      </c>
    </row>
    <row r="67" spans="1:11">
      <c r="D67" s="1"/>
      <c r="E67" s="1"/>
      <c r="F67" s="1"/>
      <c r="G67" s="1"/>
      <c r="H67" s="1"/>
      <c r="I67" s="30" t="s">
        <v>29</v>
      </c>
      <c r="J67" s="30"/>
      <c r="K67" s="39"/>
    </row>
    <row r="68" spans="1:11">
      <c r="D68" s="1"/>
      <c r="E68" s="1"/>
      <c r="F68" s="1"/>
      <c r="G68" s="1"/>
      <c r="H68" s="1"/>
      <c r="I68" s="30" t="s">
        <v>30</v>
      </c>
      <c r="J68" s="30"/>
      <c r="K68" s="39"/>
    </row>
    <row r="69" spans="1:11">
      <c r="D69" s="1"/>
      <c r="E69" s="1"/>
      <c r="F69" s="1"/>
      <c r="G69" s="1"/>
      <c r="H69" s="1"/>
      <c r="I69" s="30" t="s">
        <v>31</v>
      </c>
      <c r="J69" s="30"/>
      <c r="K69" s="39"/>
    </row>
    <row r="70" spans="1:11" ht="12" thickBot="1">
      <c r="D70" s="1"/>
      <c r="E70" s="1"/>
      <c r="F70" s="1"/>
      <c r="G70" s="1"/>
      <c r="H70" s="1"/>
      <c r="I70" s="362" t="s">
        <v>32</v>
      </c>
      <c r="J70" s="362"/>
      <c r="K70" s="40">
        <f>SUM(K64:K69)</f>
        <v>0</v>
      </c>
    </row>
    <row r="71" spans="1:11">
      <c r="D71" s="1"/>
      <c r="E71" s="1"/>
      <c r="F71" s="1"/>
      <c r="G71" s="1"/>
      <c r="H71" s="1"/>
      <c r="I71" s="27"/>
      <c r="J71" s="27"/>
    </row>
    <row r="72" spans="1:11">
      <c r="A72" s="31" t="s">
        <v>33</v>
      </c>
      <c r="B72" s="32"/>
      <c r="C72" s="32"/>
      <c r="D72" s="1"/>
      <c r="H72" s="33" t="s">
        <v>34</v>
      </c>
      <c r="I72" s="32"/>
      <c r="J72" s="32"/>
      <c r="K72" s="32"/>
    </row>
    <row r="73" spans="1:11" ht="15">
      <c r="A73" s="34"/>
      <c r="E73" s="8"/>
      <c r="F73" s="8"/>
      <c r="G73" s="8"/>
      <c r="H73" s="35"/>
      <c r="I73" s="35"/>
      <c r="J73" s="35"/>
      <c r="K73" s="35"/>
    </row>
    <row r="74" spans="1:11" ht="15">
      <c r="A74" s="34" t="s">
        <v>35</v>
      </c>
      <c r="E74" s="8"/>
      <c r="F74" s="8"/>
      <c r="G74" s="8"/>
      <c r="H74" s="35"/>
      <c r="I74" s="35"/>
      <c r="J74" s="35"/>
      <c r="K74" s="35"/>
    </row>
    <row r="75" spans="1:11" s="34" customFormat="1">
      <c r="A75" s="363">
        <v>41218.479166666664</v>
      </c>
      <c r="B75" s="363"/>
      <c r="C75" s="364"/>
      <c r="D75" s="364"/>
      <c r="E75" s="364"/>
      <c r="F75" s="364"/>
      <c r="G75" s="364"/>
      <c r="H75" s="364"/>
      <c r="I75" s="364"/>
      <c r="J75" s="364"/>
      <c r="K75" s="8"/>
    </row>
    <row r="85" s="1" customFormat="1"/>
    <row r="86" s="1" customFormat="1"/>
    <row r="87" s="1" customFormat="1"/>
    <row r="88" s="1" customFormat="1"/>
    <row r="89" s="1" customFormat="1"/>
    <row r="90" s="1" customFormat="1"/>
    <row r="91" s="1" customFormat="1"/>
    <row r="92" s="1" customFormat="1"/>
    <row r="93" s="1" customFormat="1"/>
    <row r="94" s="1" customFormat="1"/>
    <row r="95" s="1" customFormat="1"/>
    <row r="96" s="1" customFormat="1"/>
    <row r="97" s="1" customFormat="1"/>
    <row r="98" s="1" customFormat="1"/>
    <row r="103" s="1" customFormat="1"/>
    <row r="131" s="1" customFormat="1"/>
    <row r="132" s="1" customFormat="1"/>
    <row r="133" s="1" customFormat="1"/>
    <row r="134" s="1" customFormat="1"/>
  </sheetData>
  <mergeCells count="12">
    <mergeCell ref="I62:J62"/>
    <mergeCell ref="I64:J64"/>
    <mergeCell ref="I65:J65"/>
    <mergeCell ref="I70:J70"/>
    <mergeCell ref="A75:B75"/>
    <mergeCell ref="C75:J75"/>
    <mergeCell ref="I37:J37"/>
    <mergeCell ref="C1:H1"/>
    <mergeCell ref="C2:H2"/>
    <mergeCell ref="C3:H3"/>
    <mergeCell ref="H6:I6"/>
    <mergeCell ref="H7:I7"/>
  </mergeCells>
  <printOptions horizontalCentered="1"/>
  <pageMargins left="0.19685039370078741" right="0.19685039370078741" top="0.39370078740157483" bottom="0.39370078740157483" header="0" footer="0"/>
  <pageSetup orientation="portrait" horizontalDpi="4294967292" verticalDpi="4294967292"/>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C00-000000000000}">
          <x14:formula1>
            <xm:f>Accounts!$A$4:$A$60</xm:f>
          </x14:formula1>
          <xm:sqref>K7</xm:sqref>
        </x14:dataValidation>
        <x14:dataValidation type="list" allowBlank="1" showInputMessage="1" showErrorMessage="1" xr:uid="{00000000-0002-0000-0C00-000001000000}">
          <x14:formula1>
            <xm:f>'Constr. Wage Rate Calculations'!$A$19:$A$288</xm:f>
          </x14:formula1>
          <xm:sqref>B11:B36</xm:sqref>
        </x14:dataValidation>
        <x14:dataValidation type="list" allowBlank="1" showInputMessage="1" showErrorMessage="1" xr:uid="{00000000-0002-0000-0C00-000002000000}">
          <x14:formula1>
            <xm:f>Personnel!$A:$A</xm:f>
          </x14:formula1>
          <xm:sqref>C11:C36</xm:sqref>
        </x14:dataValidation>
        <x14:dataValidation type="list" allowBlank="1" showInputMessage="1" showErrorMessage="1" xr:uid="{00000000-0002-0000-0C00-000003000000}">
          <x14:formula1>
            <xm:f>Equipment!$A:$A</xm:f>
          </x14:formula1>
          <xm:sqref>C40:C61</xm:sqref>
        </x14:dataValidation>
      </x14:dataValidations>
    </ext>
    <ext xmlns:mx="http://schemas.microsoft.com/office/mac/excel/2008/main" uri="{64002731-A6B0-56B0-2670-7721B7C09600}">
      <mx:PLV Mode="0" OnePage="0" WScale="0"/>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O147"/>
  <sheetViews>
    <sheetView zoomScale="120" zoomScaleNormal="120" zoomScalePageLayoutView="120" workbookViewId="0">
      <selection activeCell="D10" sqref="D10"/>
    </sheetView>
  </sheetViews>
  <sheetFormatPr baseColWidth="10" defaultColWidth="8.83203125" defaultRowHeight="11"/>
  <cols>
    <col min="1" max="1" width="13" style="1" customWidth="1"/>
    <col min="2" max="2" width="30" style="1" customWidth="1"/>
    <col min="3" max="3" width="24.5" style="1" customWidth="1"/>
    <col min="4" max="4" width="8.6640625" style="2" customWidth="1"/>
    <col min="5" max="6" width="8.33203125" style="2" customWidth="1"/>
    <col min="7" max="8" width="8.6640625" style="2" customWidth="1"/>
    <col min="9" max="9" width="9.33203125" style="2" customWidth="1"/>
    <col min="10" max="10" width="8.6640625" style="2" customWidth="1"/>
    <col min="11" max="11" width="22" style="1" customWidth="1"/>
    <col min="12" max="12" width="3.5" style="1" hidden="1" customWidth="1"/>
    <col min="13" max="16384" width="8.83203125" style="1"/>
  </cols>
  <sheetData>
    <row r="1" spans="1:13" ht="15">
      <c r="C1" s="364"/>
      <c r="D1" s="365"/>
      <c r="E1" s="365"/>
      <c r="F1" s="365"/>
      <c r="G1" s="365"/>
      <c r="H1" s="366"/>
      <c r="J1" s="2" t="s">
        <v>0</v>
      </c>
      <c r="K1" s="197"/>
      <c r="M1" s="45"/>
    </row>
    <row r="2" spans="1:13" ht="15">
      <c r="C2" s="367"/>
      <c r="D2" s="367"/>
      <c r="E2" s="367"/>
      <c r="F2" s="367"/>
      <c r="G2" s="367"/>
      <c r="H2" s="366"/>
      <c r="K2" s="41"/>
    </row>
    <row r="3" spans="1:13" ht="15">
      <c r="C3" s="368"/>
      <c r="D3" s="369"/>
      <c r="E3" s="369"/>
      <c r="F3" s="369"/>
      <c r="G3" s="369"/>
      <c r="H3" s="366"/>
    </row>
    <row r="4" spans="1:13">
      <c r="C4" s="3"/>
      <c r="D4" s="4"/>
      <c r="E4" s="4"/>
      <c r="F4" s="4"/>
      <c r="G4" s="4"/>
    </row>
    <row r="5" spans="1:13">
      <c r="C5" s="3"/>
      <c r="D5" s="4"/>
      <c r="E5" s="4"/>
      <c r="F5" s="4"/>
      <c r="G5" s="4"/>
    </row>
    <row r="6" spans="1:13" ht="12">
      <c r="B6" s="5"/>
      <c r="C6" s="6"/>
      <c r="D6" s="7"/>
      <c r="E6" s="8"/>
      <c r="F6" s="8"/>
      <c r="G6" s="1" t="s">
        <v>1</v>
      </c>
      <c r="H6" s="370"/>
      <c r="I6" s="370"/>
      <c r="J6" s="1" t="s">
        <v>2</v>
      </c>
      <c r="K6" s="47"/>
    </row>
    <row r="7" spans="1:13" ht="12">
      <c r="A7" s="1" t="s">
        <v>3</v>
      </c>
      <c r="B7" s="9"/>
      <c r="C7" s="10"/>
      <c r="D7" s="11"/>
      <c r="E7" s="8"/>
      <c r="F7" s="8"/>
      <c r="G7" s="1" t="s">
        <v>4</v>
      </c>
      <c r="H7" s="371"/>
      <c r="I7" s="371"/>
      <c r="J7" s="1" t="s">
        <v>5</v>
      </c>
      <c r="K7" s="46"/>
    </row>
    <row r="8" spans="1:13" ht="12">
      <c r="B8" s="12"/>
      <c r="C8" s="13"/>
      <c r="D8" s="14"/>
      <c r="E8" s="8"/>
      <c r="F8" s="8"/>
      <c r="G8" s="1" t="s">
        <v>6</v>
      </c>
      <c r="H8" s="187"/>
      <c r="I8" s="188"/>
      <c r="J8" s="44"/>
    </row>
    <row r="9" spans="1:13" ht="16" thickBot="1">
      <c r="B9" s="15"/>
      <c r="C9" s="16"/>
      <c r="D9" s="16"/>
      <c r="E9" s="8"/>
      <c r="F9" s="8"/>
      <c r="G9" s="8"/>
    </row>
    <row r="10" spans="1:13" s="19" customFormat="1" ht="12" thickBot="1">
      <c r="A10" s="17" t="s">
        <v>7</v>
      </c>
      <c r="B10" s="17" t="s">
        <v>8</v>
      </c>
      <c r="C10" s="17" t="s">
        <v>9</v>
      </c>
      <c r="D10" s="18" t="s">
        <v>10</v>
      </c>
      <c r="E10" s="18" t="s">
        <v>11</v>
      </c>
      <c r="F10" s="18" t="s">
        <v>12</v>
      </c>
      <c r="G10" s="180" t="s">
        <v>13</v>
      </c>
      <c r="H10" s="18" t="s">
        <v>14</v>
      </c>
      <c r="I10" s="18" t="s">
        <v>15</v>
      </c>
      <c r="J10" s="18" t="s">
        <v>16</v>
      </c>
      <c r="K10" s="18" t="s">
        <v>17</v>
      </c>
      <c r="M10" s="19" t="s">
        <v>1797</v>
      </c>
    </row>
    <row r="11" spans="1:13" ht="15" customHeight="1">
      <c r="A11" s="48"/>
      <c r="B11" s="49">
        <f>VLOOKUP($C$11:$C$25,Personnel!$A$1:$B$1234,2,FALSE)</f>
        <v>0</v>
      </c>
      <c r="C11" s="36"/>
      <c r="D11" s="184"/>
      <c r="E11" s="179">
        <f>VLOOKUP($B$11:$B$25,'Constr. Wage Rate Calculations'!$A$19:$Z$288,22,FALSE)</f>
        <v>0</v>
      </c>
      <c r="F11" s="184"/>
      <c r="G11" s="179">
        <f>VLOOKUP($B$11:$B$25,'Constr. Wage Rate Calculations'!$A$19:$Z$288,23,FALSE)</f>
        <v>0</v>
      </c>
      <c r="H11" s="184"/>
      <c r="I11" s="179">
        <f>VLOOKUP($B$11:$B$25,'Constr. Wage Rate Calculations'!$A$19:$Z$288,24,FALSE)</f>
        <v>0</v>
      </c>
      <c r="J11" s="20">
        <f>VLOOKUP($B$11:$B$25,'Constr. Wage Rate Calculations'!$A$19:$Z$288,25,FALSE)</f>
        <v>0</v>
      </c>
      <c r="K11" s="179" t="str">
        <f t="shared" ref="K11:K20" si="0">IF($D11&gt;=1,$J11+(D11*E11)+(F11*G11)+(H11*I11),IF($F11&gt;=1,$J11+(D11*E11)+(F11*G11)+(H11*I11),IF($H11&gt;=1,$J11+(D11*E11)+(F11*G11)+(H11*I11),"")))</f>
        <v/>
      </c>
    </row>
    <row r="12" spans="1:13" ht="15" customHeight="1">
      <c r="A12" s="48"/>
      <c r="B12" s="49">
        <f>VLOOKUP($C$11:$C$25,Personnel!$A$1:$B$1234,2,FALSE)</f>
        <v>0</v>
      </c>
      <c r="C12" s="36"/>
      <c r="D12" s="184"/>
      <c r="E12" s="179">
        <f>VLOOKUP($B$11:$B$25,'Constr. Wage Rate Calculations'!$A$19:$Z$288,22,FALSE)</f>
        <v>0</v>
      </c>
      <c r="F12" s="184"/>
      <c r="G12" s="179">
        <f>VLOOKUP($B$11:$B$25,'Constr. Wage Rate Calculations'!$A$19:$Z$288,23,FALSE)</f>
        <v>0</v>
      </c>
      <c r="H12" s="184"/>
      <c r="I12" s="179">
        <f>VLOOKUP($B$11:$B$25,'Constr. Wage Rate Calculations'!$A$19:$Z$288,24,FALSE)</f>
        <v>0</v>
      </c>
      <c r="J12" s="20"/>
      <c r="K12" s="179" t="str">
        <f t="shared" si="0"/>
        <v/>
      </c>
    </row>
    <row r="13" spans="1:13" ht="15" customHeight="1">
      <c r="A13" s="48"/>
      <c r="B13" s="49">
        <f>VLOOKUP($C$11:$C$25,Personnel!$A$1:$B$1234,2,FALSE)</f>
        <v>0</v>
      </c>
      <c r="C13" s="36"/>
      <c r="D13" s="184"/>
      <c r="E13" s="179">
        <f>VLOOKUP($B$11:$B$25,'Constr. Wage Rate Calculations'!$A$19:$Z$288,22,FALSE)</f>
        <v>0</v>
      </c>
      <c r="F13" s="184"/>
      <c r="G13" s="179">
        <f>VLOOKUP($B$11:$B$25,'Constr. Wage Rate Calculations'!$A$19:$Z$288,23,FALSE)</f>
        <v>0</v>
      </c>
      <c r="H13" s="184"/>
      <c r="I13" s="179">
        <f>VLOOKUP($B$11:$B$25,'Constr. Wage Rate Calculations'!$A$19:$Z$288,24,FALSE)</f>
        <v>0</v>
      </c>
      <c r="J13" s="20">
        <f>VLOOKUP($B$11:$B$25,'Constr. Wage Rate Calculations'!$A$19:$Z$288,25,FALSE)</f>
        <v>0</v>
      </c>
      <c r="K13" s="179" t="str">
        <f t="shared" si="0"/>
        <v/>
      </c>
    </row>
    <row r="14" spans="1:13" ht="15" customHeight="1">
      <c r="A14" s="48"/>
      <c r="B14" s="49">
        <f>VLOOKUP($C$11:$C$25,Personnel!$A$1:$B$1234,2,FALSE)</f>
        <v>0</v>
      </c>
      <c r="C14" s="36"/>
      <c r="D14" s="184"/>
      <c r="E14" s="179">
        <f>VLOOKUP($B$11:$B$25,'Constr. Wage Rate Calculations'!$A$19:$Z$288,22,FALSE)</f>
        <v>0</v>
      </c>
      <c r="F14" s="184"/>
      <c r="G14" s="179">
        <f>VLOOKUP($B$11:$B$25,'Constr. Wage Rate Calculations'!$A$19:$Z$288,23,FALSE)</f>
        <v>0</v>
      </c>
      <c r="H14" s="184"/>
      <c r="I14" s="179">
        <f>VLOOKUP($B$11:$B$25,'Constr. Wage Rate Calculations'!$A$19:$Z$288,24,FALSE)</f>
        <v>0</v>
      </c>
      <c r="J14" s="20">
        <f>VLOOKUP($B$11:$B$25,'Constr. Wage Rate Calculations'!$A$19:$Z$288,25,FALSE)</f>
        <v>0</v>
      </c>
      <c r="K14" s="179" t="str">
        <f t="shared" si="0"/>
        <v/>
      </c>
    </row>
    <row r="15" spans="1:13" ht="15" customHeight="1">
      <c r="A15" s="48"/>
      <c r="B15" s="49">
        <f>VLOOKUP($C$11:$C$25,Personnel!$A$1:$B$1234,2,FALSE)</f>
        <v>0</v>
      </c>
      <c r="C15" s="36"/>
      <c r="D15" s="184"/>
      <c r="E15" s="179">
        <f>VLOOKUP($B$11:$B$25,'Constr. Wage Rate Calculations'!$A$19:$Z$288,22,FALSE)</f>
        <v>0</v>
      </c>
      <c r="F15" s="184"/>
      <c r="G15" s="179">
        <f>VLOOKUP($B$11:$B$25,'Constr. Wage Rate Calculations'!$A$19:$Z$288,23,FALSE)</f>
        <v>0</v>
      </c>
      <c r="H15" s="184"/>
      <c r="I15" s="179">
        <f>VLOOKUP($B$11:$B$25,'Constr. Wage Rate Calculations'!$A$19:$Z$288,24,FALSE)</f>
        <v>0</v>
      </c>
      <c r="J15" s="20">
        <f>VLOOKUP($B$11:$B$25,'Constr. Wage Rate Calculations'!$A$19:$Z$288,25,FALSE)</f>
        <v>0</v>
      </c>
      <c r="K15" s="179" t="str">
        <f t="shared" si="0"/>
        <v/>
      </c>
    </row>
    <row r="16" spans="1:13" ht="15" customHeight="1">
      <c r="A16" s="48"/>
      <c r="B16" s="49">
        <f>VLOOKUP($C$11:$C$25,Personnel!$A$1:$B$1234,2,FALSE)</f>
        <v>0</v>
      </c>
      <c r="C16" s="36"/>
      <c r="D16" s="184"/>
      <c r="E16" s="179">
        <f>VLOOKUP($B$11:$B$25,'Constr. Wage Rate Calculations'!$A$19:$Z$288,22,FALSE)</f>
        <v>0</v>
      </c>
      <c r="F16" s="184"/>
      <c r="G16" s="179">
        <f>VLOOKUP($B$11:$B$25,'Constr. Wage Rate Calculations'!$A$19:$Z$288,23,FALSE)</f>
        <v>0</v>
      </c>
      <c r="H16" s="184"/>
      <c r="I16" s="179">
        <f>VLOOKUP($B$11:$B$25,'Constr. Wage Rate Calculations'!$A$19:$Z$288,24,FALSE)</f>
        <v>0</v>
      </c>
      <c r="J16" s="20">
        <f>VLOOKUP($B$11:$B$25,'Constr. Wage Rate Calculations'!$A$19:$Z$288,25,FALSE)</f>
        <v>0</v>
      </c>
      <c r="K16" s="179" t="str">
        <f t="shared" si="0"/>
        <v/>
      </c>
    </row>
    <row r="17" spans="1:15" ht="15" customHeight="1">
      <c r="A17" s="48"/>
      <c r="B17" s="49">
        <f>VLOOKUP($C$11:$C$25,Personnel!$A$1:$B$1234,2,FALSE)</f>
        <v>0</v>
      </c>
      <c r="C17" s="36"/>
      <c r="D17" s="184"/>
      <c r="E17" s="179">
        <f>VLOOKUP($B$11:$B$25,'Constr. Wage Rate Calculations'!$A$19:$Z$288,22,FALSE)</f>
        <v>0</v>
      </c>
      <c r="F17" s="184"/>
      <c r="G17" s="179">
        <f>VLOOKUP($B$11:$B$25,'Constr. Wage Rate Calculations'!$A$19:$Z$288,23,FALSE)</f>
        <v>0</v>
      </c>
      <c r="H17" s="184"/>
      <c r="I17" s="179">
        <f>VLOOKUP($B$11:$B$25,'Constr. Wage Rate Calculations'!$A$19:$Z$288,24,FALSE)</f>
        <v>0</v>
      </c>
      <c r="J17" s="20">
        <f>VLOOKUP($B$11:$B$25,'Constr. Wage Rate Calculations'!$A$19:$Z$288,25,FALSE)</f>
        <v>0</v>
      </c>
      <c r="K17" s="179" t="str">
        <f t="shared" si="0"/>
        <v/>
      </c>
    </row>
    <row r="18" spans="1:15" ht="15" customHeight="1">
      <c r="A18" s="48"/>
      <c r="B18" s="49">
        <f>VLOOKUP($C$11:$C$25,Personnel!$A$1:$B$1234,2,FALSE)</f>
        <v>0</v>
      </c>
      <c r="C18" s="36"/>
      <c r="D18" s="184"/>
      <c r="E18" s="179">
        <f>VLOOKUP($B$11:$B$25,'Constr. Wage Rate Calculations'!$A$19:$Z$288,22,FALSE)</f>
        <v>0</v>
      </c>
      <c r="F18" s="184"/>
      <c r="G18" s="179">
        <f>VLOOKUP($B$11:$B$25,'Constr. Wage Rate Calculations'!$A$19:$Z$288,23,FALSE)</f>
        <v>0</v>
      </c>
      <c r="H18" s="184"/>
      <c r="I18" s="179">
        <f>VLOOKUP($B$11:$B$25,'Constr. Wage Rate Calculations'!$A$19:$Z$288,24,FALSE)</f>
        <v>0</v>
      </c>
      <c r="J18" s="20">
        <f>VLOOKUP($B$11:$B$25,'Constr. Wage Rate Calculations'!$A$19:$Z$288,25,FALSE)</f>
        <v>0</v>
      </c>
      <c r="K18" s="179" t="str">
        <f t="shared" si="0"/>
        <v/>
      </c>
    </row>
    <row r="19" spans="1:15" ht="15" customHeight="1">
      <c r="A19" s="48"/>
      <c r="B19" s="49">
        <f>VLOOKUP($C$11:$C$25,Personnel!$A$1:$B$1234,2,FALSE)</f>
        <v>0</v>
      </c>
      <c r="C19" s="36"/>
      <c r="D19" s="184"/>
      <c r="E19" s="179">
        <f>VLOOKUP($B$11:$B$25,'Constr. Wage Rate Calculations'!$A$19:$Z$288,22,FALSE)</f>
        <v>0</v>
      </c>
      <c r="F19" s="184"/>
      <c r="G19" s="179">
        <f>VLOOKUP($B$11:$B$25,'Constr. Wage Rate Calculations'!$A$19:$Z$288,23,FALSE)</f>
        <v>0</v>
      </c>
      <c r="H19" s="184"/>
      <c r="I19" s="179">
        <f>VLOOKUP($B$11:$B$25,'Constr. Wage Rate Calculations'!$A$19:$Z$288,24,FALSE)</f>
        <v>0</v>
      </c>
      <c r="J19" s="20">
        <f>VLOOKUP($B$11:$B$25,'Constr. Wage Rate Calculations'!$A$19:$Z$288,25,FALSE)</f>
        <v>0</v>
      </c>
      <c r="K19" s="179" t="str">
        <f t="shared" si="0"/>
        <v/>
      </c>
    </row>
    <row r="20" spans="1:15" ht="15" customHeight="1">
      <c r="A20" s="48"/>
      <c r="B20" s="49">
        <f>VLOOKUP($C$11:$C$25,Personnel!$A$1:$B$1234,2,FALSE)</f>
        <v>0</v>
      </c>
      <c r="C20" s="36"/>
      <c r="D20" s="184"/>
      <c r="E20" s="179">
        <f>VLOOKUP($B$11:$B$25,'Constr. Wage Rate Calculations'!$A$19:$Z$288,22,FALSE)</f>
        <v>0</v>
      </c>
      <c r="F20" s="184"/>
      <c r="G20" s="179">
        <f>VLOOKUP($B$11:$B$25,'Constr. Wage Rate Calculations'!$A$19:$Z$288,23,FALSE)</f>
        <v>0</v>
      </c>
      <c r="H20" s="184"/>
      <c r="I20" s="179">
        <f>VLOOKUP($B$11:$B$25,'Constr. Wage Rate Calculations'!$A$19:$Z$288,24,FALSE)</f>
        <v>0</v>
      </c>
      <c r="J20" s="20">
        <f>VLOOKUP($B$11:$B$25,'Constr. Wage Rate Calculations'!$A$19:$Z$288,25,FALSE)</f>
        <v>0</v>
      </c>
      <c r="K20" s="179" t="str">
        <f t="shared" si="0"/>
        <v/>
      </c>
    </row>
    <row r="21" spans="1:15" ht="15" customHeight="1">
      <c r="A21" s="48"/>
      <c r="B21" s="49">
        <f>VLOOKUP($C$11:$C$25,Personnel!$A$1:$B$1234,2,FALSE)</f>
        <v>0</v>
      </c>
      <c r="C21" s="36"/>
      <c r="D21" s="184"/>
      <c r="E21" s="179">
        <f>VLOOKUP($B$11:$B$25,'Constr. Wage Rate Calculations'!$A$19:$Z$288,22,FALSE)</f>
        <v>0</v>
      </c>
      <c r="F21" s="184"/>
      <c r="G21" s="179">
        <f>VLOOKUP($B$11:$B$25,'Constr. Wage Rate Calculations'!$A$19:$Z$288,23,FALSE)</f>
        <v>0</v>
      </c>
      <c r="H21" s="184"/>
      <c r="I21" s="179">
        <f>VLOOKUP($B$11:$B$25,'Constr. Wage Rate Calculations'!$A$19:$Z$288,24,FALSE)</f>
        <v>0</v>
      </c>
      <c r="J21" s="20">
        <f>VLOOKUP($B$11:$B$25,'Constr. Wage Rate Calculations'!$A$19:$Z$288,25,FALSE)</f>
        <v>0</v>
      </c>
      <c r="K21" s="179" t="str">
        <f>IF($D21&gt;=1,$J21+(D21*E21)+(F21*G21)+(H21*I21),IF($F21&gt;=1,$J21+(D21*E21)+(F21*G21)+(H21*I21),IF($H21&gt;=1,$J21+(D21*E21)+(F21*G21)+(H21*I21),"")))</f>
        <v/>
      </c>
    </row>
    <row r="22" spans="1:15" ht="15" customHeight="1">
      <c r="A22" s="48"/>
      <c r="B22" s="49">
        <f>VLOOKUP($C$11:$C$25,Personnel!$A$1:$B$1234,2,FALSE)</f>
        <v>0</v>
      </c>
      <c r="C22" s="36"/>
      <c r="D22" s="184"/>
      <c r="E22" s="179">
        <f>VLOOKUP($B$11:$B$25,'Constr. Wage Rate Calculations'!$A$19:$Z$288,22,FALSE)</f>
        <v>0</v>
      </c>
      <c r="F22" s="184"/>
      <c r="G22" s="179">
        <f>VLOOKUP($B$11:$B$25,'Constr. Wage Rate Calculations'!$A$19:$Z$288,23,FALSE)</f>
        <v>0</v>
      </c>
      <c r="H22" s="184"/>
      <c r="I22" s="179">
        <f>VLOOKUP($B$11:$B$25,'Constr. Wage Rate Calculations'!$A$19:$Z$288,24,FALSE)</f>
        <v>0</v>
      </c>
      <c r="J22" s="20">
        <f>VLOOKUP($B$11:$B$25,'Constr. Wage Rate Calculations'!$A$19:$Z$288,25,FALSE)</f>
        <v>0</v>
      </c>
      <c r="K22" s="179" t="str">
        <f>IF($D22&gt;=1,$J22+(D22*E22)+(F22*G22)+(H22*I22),IF($F22&gt;=1,$J22+(D22*E22)+(F22*G22)+(H22*I22),IF($H22&gt;=1,$J22+(D22*E22)+(F22*G22)+(H22*I22),"")))</f>
        <v/>
      </c>
    </row>
    <row r="23" spans="1:15" ht="15" customHeight="1">
      <c r="A23" s="48"/>
      <c r="B23" s="49">
        <f>VLOOKUP($C$11:$C$25,Personnel!$A$1:$B$1234,2,FALSE)</f>
        <v>0</v>
      </c>
      <c r="C23" s="36"/>
      <c r="D23" s="184"/>
      <c r="E23" s="179">
        <f>VLOOKUP($B$11:$B$25,'Constr. Wage Rate Calculations'!$A$19:$Z$288,22,FALSE)</f>
        <v>0</v>
      </c>
      <c r="F23" s="184"/>
      <c r="G23" s="179">
        <f>VLOOKUP($B$11:$B$25,'Constr. Wage Rate Calculations'!$A$19:$Z$288,23,FALSE)</f>
        <v>0</v>
      </c>
      <c r="H23" s="184"/>
      <c r="I23" s="179">
        <f>VLOOKUP($B$11:$B$25,'Constr. Wage Rate Calculations'!$A$19:$Z$288,24,FALSE)</f>
        <v>0</v>
      </c>
      <c r="J23" s="20">
        <f>VLOOKUP($B$11:$B$25,'Constr. Wage Rate Calculations'!$A$19:$Z$288,25,FALSE)</f>
        <v>0</v>
      </c>
      <c r="K23" s="179" t="str">
        <f>IF($D23&gt;=1,$J23+(D23*E23)+(F23*G23)+(H23*I23),IF($F23&gt;=1,$J23+(D23*E23)+(F23*G23)+(H23*I23),IF($H23&gt;=1,$J23+(D23*E23)+(F23*G23)+(H23*I23),"")))</f>
        <v/>
      </c>
    </row>
    <row r="24" spans="1:15" ht="15" customHeight="1">
      <c r="A24" s="48"/>
      <c r="B24" s="49">
        <f>VLOOKUP($C$11:$C$25,Personnel!$A$1:$B$1234,2,FALSE)</f>
        <v>0</v>
      </c>
      <c r="C24" s="36"/>
      <c r="D24" s="184"/>
      <c r="E24" s="179">
        <f>VLOOKUP($B$11:$B$25,'Constr. Wage Rate Calculations'!$A$19:$Z$288,22,FALSE)</f>
        <v>0</v>
      </c>
      <c r="F24" s="184"/>
      <c r="G24" s="179">
        <f>VLOOKUP($B$11:$B$25,'Constr. Wage Rate Calculations'!$A$19:$Z$288,23,FALSE)</f>
        <v>0</v>
      </c>
      <c r="H24" s="184"/>
      <c r="I24" s="179">
        <f>VLOOKUP($B$11:$B$25,'Constr. Wage Rate Calculations'!$A$19:$Z$288,24,FALSE)</f>
        <v>0</v>
      </c>
      <c r="J24" s="20">
        <f>VLOOKUP($B$11:$B$25,'Constr. Wage Rate Calculations'!$A$19:$Z$288,25,FALSE)</f>
        <v>0</v>
      </c>
      <c r="K24" s="179" t="str">
        <f>IF($D24&gt;=1,$J24+(D24*E24)+(F24*G24)+(H24*I24),IF($F24&gt;=1,$J24+(D24*E24)+(F24*G24)+(H24*I24),IF($H24&gt;=1,$J24+(D24*E24)+(F24*G24)+(H24*I24),"")))</f>
        <v/>
      </c>
    </row>
    <row r="25" spans="1:15" ht="15" customHeight="1" thickBot="1">
      <c r="A25" s="48"/>
      <c r="B25" s="49">
        <f>VLOOKUP($C$11:$C$25,Personnel!$A$1:$B$1234,2,FALSE)</f>
        <v>0</v>
      </c>
      <c r="C25" s="36"/>
      <c r="D25" s="184"/>
      <c r="E25" s="179">
        <f>VLOOKUP($B$11:$B$25,'Constr. Wage Rate Calculations'!$A$19:$Z$288,22,FALSE)</f>
        <v>0</v>
      </c>
      <c r="F25" s="184"/>
      <c r="G25" s="179">
        <f>VLOOKUP($B$11:$B$25,'Constr. Wage Rate Calculations'!$A$19:$Z$288,23,FALSE)</f>
        <v>0</v>
      </c>
      <c r="H25" s="184"/>
      <c r="I25" s="179">
        <f>VLOOKUP($B$11:$B$25,'Constr. Wage Rate Calculations'!$A$19:$Z$288,24,FALSE)</f>
        <v>0</v>
      </c>
      <c r="J25" s="20">
        <f>VLOOKUP($B$11:$B$25,'Constr. Wage Rate Calculations'!$A$19:$Z$288,25,FALSE)</f>
        <v>0</v>
      </c>
      <c r="K25" s="179" t="str">
        <f>IF($D25&gt;=1,$J25+(D25*E25)+(F25*G25)+(H25*I25),IF($F25&gt;=1,$J25+(D25*E25)+(F25*G25)+(H25*I25),IF($H25&gt;=1,$J25+(D25*E25)+(F25*G25)+(H25*I25),"")))</f>
        <v/>
      </c>
      <c r="M25" s="1">
        <f>SUM(M11:M24)</f>
        <v>0</v>
      </c>
    </row>
    <row r="26" spans="1:15" ht="15" customHeight="1" thickBot="1">
      <c r="A26"/>
      <c r="B26"/>
      <c r="C26"/>
      <c r="D26" s="21"/>
      <c r="E26" s="21"/>
      <c r="F26" s="21"/>
      <c r="G26" s="21"/>
      <c r="H26" s="21"/>
      <c r="I26" s="360" t="s">
        <v>18</v>
      </c>
      <c r="J26" s="361"/>
      <c r="K26" s="183">
        <f>SUM(K11:K25)</f>
        <v>0</v>
      </c>
      <c r="M26" s="1">
        <f>SUMIFS(D11:D25,D11:D25,"&lt;3",D11:D25,"&lt;5")</f>
        <v>0</v>
      </c>
      <c r="N26" s="1">
        <f>SUMIFS(D11:D25,D11:D25,"&gt;3",D11:D25,"&gt;5")</f>
        <v>0</v>
      </c>
      <c r="O26" s="1">
        <f>SUM(F11:F25,H11:H25,M26,N26)-M25</f>
        <v>0</v>
      </c>
    </row>
    <row r="27" spans="1:15" ht="10" customHeight="1" thickBot="1"/>
    <row r="28" spans="1:15" s="19" customFormat="1" ht="15" customHeight="1" thickBot="1">
      <c r="A28" s="22" t="s">
        <v>19</v>
      </c>
      <c r="B28" s="23" t="s">
        <v>20</v>
      </c>
      <c r="C28" s="23"/>
      <c r="D28" s="23"/>
      <c r="E28" s="23"/>
      <c r="F28" s="23"/>
      <c r="G28" s="23"/>
      <c r="H28" s="18" t="s">
        <v>21</v>
      </c>
      <c r="I28" s="18" t="s">
        <v>22</v>
      </c>
      <c r="J28" s="18" t="s">
        <v>23</v>
      </c>
      <c r="K28" s="18" t="s">
        <v>17</v>
      </c>
    </row>
    <row r="29" spans="1:15" ht="14" customHeight="1">
      <c r="A29" s="43"/>
      <c r="B29" s="49">
        <f>VLOOKUP($C$29:$C$74,Equipment!$A$1:$B$2322,2,FALSE)</f>
        <v>0</v>
      </c>
      <c r="C29" s="24"/>
      <c r="D29" s="24"/>
      <c r="E29" s="24"/>
      <c r="F29" s="24"/>
      <c r="G29" s="24"/>
      <c r="H29" s="185"/>
      <c r="I29" s="184"/>
      <c r="J29" s="42">
        <f>VLOOKUP($B$29:$B$74,'Alberta Equip. Rates Year 3'!$B$13:$K$314,10,FALSE)</f>
        <v>0</v>
      </c>
      <c r="K29" s="181">
        <f t="shared" ref="K29:K38" si="1">(H29+I29)*J29</f>
        <v>0</v>
      </c>
    </row>
    <row r="30" spans="1:15" ht="15" customHeight="1">
      <c r="A30" s="43"/>
      <c r="B30" s="49">
        <f>VLOOKUP($C$29:$C$74,Equipment!$A$1:$B$2322,2,FALSE)</f>
        <v>0</v>
      </c>
      <c r="C30" s="24"/>
      <c r="D30" s="24"/>
      <c r="E30" s="24"/>
      <c r="F30" s="24"/>
      <c r="G30" s="24"/>
      <c r="H30" s="185"/>
      <c r="I30" s="184"/>
      <c r="J30" s="42">
        <f>VLOOKUP($B$29:$B$74,'Alberta Equip. Rates Year 3'!$B$13:$K$314,10,FALSE)</f>
        <v>0</v>
      </c>
      <c r="K30" s="181">
        <f t="shared" si="1"/>
        <v>0</v>
      </c>
    </row>
    <row r="31" spans="1:15" ht="15" customHeight="1">
      <c r="A31" s="43"/>
      <c r="B31" s="49">
        <f>VLOOKUP($C$29:$C$74,Equipment!$A$1:$B$2322,2,FALSE)</f>
        <v>0</v>
      </c>
      <c r="C31" s="24"/>
      <c r="D31" s="24"/>
      <c r="E31" s="24"/>
      <c r="F31" s="24"/>
      <c r="G31" s="24"/>
      <c r="H31" s="185"/>
      <c r="I31" s="184"/>
      <c r="J31" s="42">
        <f>VLOOKUP($B$29:$B$74,'Alberta Equip. Rates Year 3'!$B$13:$K$314,10,FALSE)</f>
        <v>0</v>
      </c>
      <c r="K31" s="181">
        <f t="shared" si="1"/>
        <v>0</v>
      </c>
    </row>
    <row r="32" spans="1:15" ht="15" customHeight="1">
      <c r="A32" s="43"/>
      <c r="B32" s="49">
        <f>VLOOKUP($C$29:$C$74,Equipment!$A$1:$B$2322,2,FALSE)</f>
        <v>0</v>
      </c>
      <c r="C32" s="24"/>
      <c r="D32" s="24"/>
      <c r="E32" s="24"/>
      <c r="F32" s="24"/>
      <c r="G32" s="24"/>
      <c r="H32" s="185"/>
      <c r="I32" s="184"/>
      <c r="J32" s="42">
        <f>VLOOKUP($B$29:$B$74,'Alberta Equip. Rates Year 3'!$B$13:$K$314,10,FALSE)</f>
        <v>0</v>
      </c>
      <c r="K32" s="181">
        <f t="shared" si="1"/>
        <v>0</v>
      </c>
    </row>
    <row r="33" spans="1:11" ht="15" customHeight="1">
      <c r="A33" s="43"/>
      <c r="B33" s="49">
        <f>VLOOKUP($C$29:$C$74,Equipment!$A$1:$B$2322,2,FALSE)</f>
        <v>0</v>
      </c>
      <c r="C33" s="24"/>
      <c r="D33" s="24"/>
      <c r="E33" s="24"/>
      <c r="F33" s="24"/>
      <c r="G33" s="24"/>
      <c r="H33" s="185"/>
      <c r="I33" s="184"/>
      <c r="J33" s="42">
        <f>VLOOKUP($B$29:$B$74,'Alberta Equip. Rates Year 3'!$B$13:$K$314,10,FALSE)</f>
        <v>0</v>
      </c>
      <c r="K33" s="181">
        <f t="shared" si="1"/>
        <v>0</v>
      </c>
    </row>
    <row r="34" spans="1:11" ht="15" customHeight="1">
      <c r="A34" s="43"/>
      <c r="B34" s="49">
        <f>VLOOKUP($C$29:$C$74,Equipment!$A$1:$B$2322,2,FALSE)</f>
        <v>0</v>
      </c>
      <c r="C34" s="24"/>
      <c r="D34" s="24"/>
      <c r="E34" s="24"/>
      <c r="F34" s="24"/>
      <c r="G34" s="24"/>
      <c r="H34" s="185"/>
      <c r="I34" s="184"/>
      <c r="J34" s="42">
        <f>VLOOKUP($B$29:$B$74,'Alberta Equip. Rates Year 3'!$B$13:$K$314,10,FALSE)</f>
        <v>0</v>
      </c>
      <c r="K34" s="181">
        <f t="shared" si="1"/>
        <v>0</v>
      </c>
    </row>
    <row r="35" spans="1:11" ht="15" customHeight="1">
      <c r="A35" s="43"/>
      <c r="B35" s="49">
        <f>VLOOKUP($C$29:$C$74,Equipment!$A$1:$B$2322,2,FALSE)</f>
        <v>0</v>
      </c>
      <c r="C35" s="24"/>
      <c r="D35" s="24"/>
      <c r="E35" s="24"/>
      <c r="F35" s="24"/>
      <c r="G35" s="24"/>
      <c r="H35" s="185"/>
      <c r="I35" s="184"/>
      <c r="J35" s="42">
        <f>VLOOKUP($B$29:$B$74,'Alberta Equip. Rates Year 3'!$B$13:$K$314,10,FALSE)</f>
        <v>0</v>
      </c>
      <c r="K35" s="181">
        <f t="shared" si="1"/>
        <v>0</v>
      </c>
    </row>
    <row r="36" spans="1:11" ht="15" customHeight="1">
      <c r="A36" s="43"/>
      <c r="B36" s="49">
        <f>VLOOKUP($C$29:$C$74,Equipment!$A$1:$B$2322,2,FALSE)</f>
        <v>0</v>
      </c>
      <c r="C36" s="24"/>
      <c r="D36" s="24"/>
      <c r="E36" s="24"/>
      <c r="F36" s="24"/>
      <c r="G36" s="24"/>
      <c r="H36" s="185"/>
      <c r="I36" s="184"/>
      <c r="J36" s="42">
        <f>VLOOKUP($B$29:$B$74,'Alberta Equip. Rates Year 3'!$B$13:$K$314,10,FALSE)</f>
        <v>0</v>
      </c>
      <c r="K36" s="181">
        <f t="shared" si="1"/>
        <v>0</v>
      </c>
    </row>
    <row r="37" spans="1:11" ht="15" customHeight="1">
      <c r="A37" s="43"/>
      <c r="B37" s="49">
        <f>VLOOKUP($C$29:$C$74,Equipment!$A$1:$B$2322,2,FALSE)</f>
        <v>0</v>
      </c>
      <c r="C37" s="24"/>
      <c r="D37" s="24"/>
      <c r="E37" s="24"/>
      <c r="F37" s="24"/>
      <c r="G37" s="24"/>
      <c r="H37" s="185"/>
      <c r="I37" s="184"/>
      <c r="J37" s="42">
        <f>VLOOKUP($B$29:$B$74,'Alberta Equip. Rates Year 3'!$B$13:$K$314,10,FALSE)</f>
        <v>0</v>
      </c>
      <c r="K37" s="181">
        <f t="shared" si="1"/>
        <v>0</v>
      </c>
    </row>
    <row r="38" spans="1:11" ht="14" customHeight="1">
      <c r="A38" s="43"/>
      <c r="B38" s="49">
        <f>VLOOKUP($C$29:$C$74,Equipment!$A$1:$B$2322,2,FALSE)</f>
        <v>0</v>
      </c>
      <c r="C38" s="24"/>
      <c r="D38" s="24"/>
      <c r="E38" s="24"/>
      <c r="F38" s="24"/>
      <c r="G38" s="24"/>
      <c r="H38" s="185"/>
      <c r="I38" s="184"/>
      <c r="J38" s="42">
        <f>VLOOKUP($B$29:$B$74,'Alberta Equip. Rates Year 3'!$B$13:$K$314,10,FALSE)</f>
        <v>0</v>
      </c>
      <c r="K38" s="181">
        <f t="shared" si="1"/>
        <v>0</v>
      </c>
    </row>
    <row r="39" spans="1:11" ht="15" customHeight="1">
      <c r="A39" s="43"/>
      <c r="B39" s="49">
        <f>VLOOKUP($C$29:$C$74,Equipment!$A$1:$B$2322,2,FALSE)</f>
        <v>0</v>
      </c>
      <c r="C39" s="24"/>
      <c r="D39" s="24"/>
      <c r="E39" s="24"/>
      <c r="F39" s="24"/>
      <c r="G39" s="24"/>
      <c r="H39" s="185"/>
      <c r="I39" s="184"/>
      <c r="J39" s="42">
        <f>VLOOKUP($B$29:$B$74,'Alberta Equip. Rates Year 3'!$B$13:$K$314,10,FALSE)</f>
        <v>0</v>
      </c>
      <c r="K39" s="181">
        <f t="shared" ref="K39:K56" si="2">(H39+I39)*J39</f>
        <v>0</v>
      </c>
    </row>
    <row r="40" spans="1:11" ht="15" customHeight="1">
      <c r="A40" s="43"/>
      <c r="B40" s="49">
        <f>VLOOKUP($C$29:$C$74,Equipment!$A$1:$B$2322,2,FALSE)</f>
        <v>0</v>
      </c>
      <c r="C40" s="24"/>
      <c r="D40" s="24"/>
      <c r="E40" s="24"/>
      <c r="F40" s="24"/>
      <c r="G40" s="24"/>
      <c r="H40" s="185"/>
      <c r="I40" s="184"/>
      <c r="J40" s="42">
        <f>VLOOKUP($B$29:$B$74,'Alberta Equip. Rates Year 3'!$B$13:$K$314,10,FALSE)</f>
        <v>0</v>
      </c>
      <c r="K40" s="181">
        <f t="shared" si="2"/>
        <v>0</v>
      </c>
    </row>
    <row r="41" spans="1:11" ht="15" customHeight="1">
      <c r="A41" s="43"/>
      <c r="B41" s="49">
        <f>VLOOKUP($C$29:$C$74,Equipment!$A$1:$B$2322,2,FALSE)</f>
        <v>0</v>
      </c>
      <c r="C41" s="24"/>
      <c r="D41" s="24"/>
      <c r="E41" s="24"/>
      <c r="F41" s="24"/>
      <c r="G41" s="24"/>
      <c r="H41" s="185"/>
      <c r="I41" s="184"/>
      <c r="J41" s="42">
        <f>VLOOKUP($B$29:$B$74,'Alberta Equip. Rates Year 3'!$B$13:$K$314,10,FALSE)</f>
        <v>0</v>
      </c>
      <c r="K41" s="181">
        <f t="shared" si="2"/>
        <v>0</v>
      </c>
    </row>
    <row r="42" spans="1:11" ht="15" customHeight="1">
      <c r="A42" s="43"/>
      <c r="B42" s="49">
        <f>VLOOKUP($C$29:$C$74,Equipment!$A$1:$B$2322,2,FALSE)</f>
        <v>0</v>
      </c>
      <c r="C42" s="24"/>
      <c r="D42" s="24"/>
      <c r="E42" s="24"/>
      <c r="F42" s="24"/>
      <c r="G42" s="24"/>
      <c r="H42" s="185"/>
      <c r="I42" s="184"/>
      <c r="J42" s="42">
        <f>VLOOKUP($B$29:$B$74,'Alberta Equip. Rates Year 3'!$B$13:$K$314,10,FALSE)</f>
        <v>0</v>
      </c>
      <c r="K42" s="181">
        <f t="shared" si="2"/>
        <v>0</v>
      </c>
    </row>
    <row r="43" spans="1:11" ht="15" customHeight="1">
      <c r="A43" s="43"/>
      <c r="B43" s="49">
        <f>VLOOKUP($C$29:$C$74,Equipment!$A$1:$B$2322,2,FALSE)</f>
        <v>0</v>
      </c>
      <c r="C43" s="24"/>
      <c r="D43" s="24"/>
      <c r="E43" s="24"/>
      <c r="F43" s="24"/>
      <c r="G43" s="24"/>
      <c r="H43" s="185"/>
      <c r="I43" s="184"/>
      <c r="J43" s="42">
        <f>VLOOKUP($B$29:$B$74,'Alberta Equip. Rates Year 3'!$B$13:$K$314,10,FALSE)</f>
        <v>0</v>
      </c>
      <c r="K43" s="181">
        <f t="shared" si="2"/>
        <v>0</v>
      </c>
    </row>
    <row r="44" spans="1:11" ht="15" customHeight="1">
      <c r="A44" s="43"/>
      <c r="B44" s="49">
        <f>VLOOKUP($C$29:$C$74,Equipment!$A$1:$B$2322,2,FALSE)</f>
        <v>0</v>
      </c>
      <c r="C44" s="24"/>
      <c r="D44" s="24"/>
      <c r="E44" s="24"/>
      <c r="F44" s="24"/>
      <c r="G44" s="24"/>
      <c r="H44" s="185"/>
      <c r="I44" s="184"/>
      <c r="J44" s="42">
        <f>VLOOKUP($B$29:$B$74,'Alberta Equip. Rates Year 3'!$B$13:$K$314,10,FALSE)</f>
        <v>0</v>
      </c>
      <c r="K44" s="181">
        <f t="shared" si="2"/>
        <v>0</v>
      </c>
    </row>
    <row r="45" spans="1:11" ht="15" customHeight="1">
      <c r="A45" s="43"/>
      <c r="B45" s="49">
        <f>VLOOKUP($C$29:$C$74,Equipment!$A$1:$B$2322,2,FALSE)</f>
        <v>0</v>
      </c>
      <c r="C45" s="24"/>
      <c r="D45" s="24"/>
      <c r="E45" s="24"/>
      <c r="F45" s="24"/>
      <c r="G45" s="24"/>
      <c r="H45" s="185"/>
      <c r="I45" s="184"/>
      <c r="J45" s="42">
        <f>VLOOKUP($B$29:$B$74,'Alberta Equip. Rates Year 3'!$B$13:$K$314,10,FALSE)</f>
        <v>0</v>
      </c>
      <c r="K45" s="181">
        <f t="shared" si="2"/>
        <v>0</v>
      </c>
    </row>
    <row r="46" spans="1:11" ht="15" customHeight="1">
      <c r="A46" s="43"/>
      <c r="B46" s="49">
        <f>VLOOKUP($C$29:$C$74,Equipment!$A$1:$B$2322,2,FALSE)</f>
        <v>0</v>
      </c>
      <c r="C46" s="24"/>
      <c r="D46" s="24"/>
      <c r="E46" s="24"/>
      <c r="F46" s="24"/>
      <c r="G46" s="24"/>
      <c r="H46" s="185"/>
      <c r="I46" s="184"/>
      <c r="J46" s="42">
        <f>VLOOKUP($B$29:$B$74,'Alberta Equip. Rates Year 3'!$B$13:$K$314,10,FALSE)</f>
        <v>0</v>
      </c>
      <c r="K46" s="181">
        <f t="shared" si="2"/>
        <v>0</v>
      </c>
    </row>
    <row r="47" spans="1:11" ht="15" customHeight="1">
      <c r="A47" s="43"/>
      <c r="B47" s="49">
        <f>VLOOKUP($C$29:$C$74,Equipment!$A$1:$B$2322,2,FALSE)</f>
        <v>0</v>
      </c>
      <c r="C47" s="24"/>
      <c r="D47" s="24"/>
      <c r="E47" s="24"/>
      <c r="F47" s="24"/>
      <c r="G47" s="24"/>
      <c r="H47" s="185"/>
      <c r="I47" s="184"/>
      <c r="J47" s="42">
        <f>VLOOKUP($B$29:$B$74,'Alberta Equip. Rates Year 3'!$B$13:$K$314,10,FALSE)</f>
        <v>0</v>
      </c>
      <c r="K47" s="181">
        <f t="shared" si="2"/>
        <v>0</v>
      </c>
    </row>
    <row r="48" spans="1:11" ht="15" customHeight="1">
      <c r="A48" s="43"/>
      <c r="B48" s="49">
        <f>VLOOKUP($C$29:$C$74,Equipment!$A$1:$B$2322,2,FALSE)</f>
        <v>0</v>
      </c>
      <c r="C48" s="24"/>
      <c r="D48" s="24"/>
      <c r="E48" s="24"/>
      <c r="F48" s="24"/>
      <c r="G48" s="24"/>
      <c r="H48" s="185"/>
      <c r="I48" s="184"/>
      <c r="J48" s="42">
        <f>VLOOKUP($B$29:$B$74,'Alberta Equip. Rates Year 3'!$B$13:$K$314,10,FALSE)</f>
        <v>0</v>
      </c>
      <c r="K48" s="181">
        <f t="shared" si="2"/>
        <v>0</v>
      </c>
    </row>
    <row r="49" spans="1:11" ht="15" customHeight="1">
      <c r="A49" s="43"/>
      <c r="B49" s="49">
        <f>VLOOKUP($C$29:$C$74,Equipment!$A$1:$B$2322,2,FALSE)</f>
        <v>0</v>
      </c>
      <c r="C49" s="24"/>
      <c r="D49" s="24"/>
      <c r="E49" s="24"/>
      <c r="F49" s="24"/>
      <c r="G49" s="24"/>
      <c r="H49" s="185"/>
      <c r="I49" s="184"/>
      <c r="J49" s="42">
        <f>VLOOKUP($B$29:$B$74,'Alberta Equip. Rates Year 3'!$B$13:$K$314,10,FALSE)</f>
        <v>0</v>
      </c>
      <c r="K49" s="181">
        <f t="shared" si="2"/>
        <v>0</v>
      </c>
    </row>
    <row r="50" spans="1:11" ht="15" customHeight="1">
      <c r="A50" s="43"/>
      <c r="B50" s="49">
        <f>VLOOKUP($C$29:$C$74,Equipment!$A$1:$B$2322,2,FALSE)</f>
        <v>0</v>
      </c>
      <c r="C50" s="24"/>
      <c r="D50" s="24"/>
      <c r="E50" s="24"/>
      <c r="F50" s="24"/>
      <c r="G50" s="24"/>
      <c r="H50" s="185"/>
      <c r="I50" s="184"/>
      <c r="J50" s="42">
        <f>VLOOKUP($B$29:$B$74,'Alberta Equip. Rates Year 3'!$B$13:$K$314,10,FALSE)</f>
        <v>0</v>
      </c>
      <c r="K50" s="181">
        <f t="shared" si="2"/>
        <v>0</v>
      </c>
    </row>
    <row r="51" spans="1:11" ht="15" customHeight="1">
      <c r="A51" s="43"/>
      <c r="B51" s="49">
        <f>VLOOKUP($C$29:$C$74,Equipment!$A$1:$B$2322,2,FALSE)</f>
        <v>0</v>
      </c>
      <c r="C51" s="24"/>
      <c r="D51" s="24"/>
      <c r="E51" s="24"/>
      <c r="F51" s="24"/>
      <c r="G51" s="24"/>
      <c r="H51" s="185"/>
      <c r="I51" s="184"/>
      <c r="J51" s="42">
        <f>VLOOKUP($B$29:$B$74,'Alberta Equip. Rates Year 3'!$B$13:$K$314,10,FALSE)</f>
        <v>0</v>
      </c>
      <c r="K51" s="181">
        <f t="shared" si="2"/>
        <v>0</v>
      </c>
    </row>
    <row r="52" spans="1:11" ht="15" customHeight="1">
      <c r="A52" s="43"/>
      <c r="B52" s="49">
        <f>VLOOKUP($C$29:$C$74,Equipment!$A$1:$B$2322,2,FALSE)</f>
        <v>0</v>
      </c>
      <c r="C52" s="24"/>
      <c r="D52" s="24"/>
      <c r="E52" s="24"/>
      <c r="F52" s="24"/>
      <c r="G52" s="24"/>
      <c r="H52" s="185"/>
      <c r="I52" s="184"/>
      <c r="J52" s="42">
        <f>VLOOKUP($B$29:$B$74,'Alberta Equip. Rates Year 3'!$B$13:$K$314,10,FALSE)</f>
        <v>0</v>
      </c>
      <c r="K52" s="181">
        <f t="shared" si="2"/>
        <v>0</v>
      </c>
    </row>
    <row r="53" spans="1:11" ht="15" customHeight="1">
      <c r="A53" s="43"/>
      <c r="B53" s="49">
        <f>VLOOKUP($C$29:$C$74,Equipment!$A$1:$B$2322,2,FALSE)</f>
        <v>0</v>
      </c>
      <c r="C53" s="24"/>
      <c r="D53" s="24"/>
      <c r="E53" s="24"/>
      <c r="F53" s="24"/>
      <c r="G53" s="24"/>
      <c r="H53" s="185"/>
      <c r="I53" s="184"/>
      <c r="J53" s="42">
        <f>VLOOKUP($B$29:$B$74,'Alberta Equip. Rates Year 3'!$B$13:$K$314,10,FALSE)</f>
        <v>0</v>
      </c>
      <c r="K53" s="181">
        <f t="shared" si="2"/>
        <v>0</v>
      </c>
    </row>
    <row r="54" spans="1:11" ht="15" customHeight="1">
      <c r="A54" s="43"/>
      <c r="B54" s="49">
        <f>VLOOKUP($C$29:$C$74,Equipment!$A$1:$B$2322,2,FALSE)</f>
        <v>0</v>
      </c>
      <c r="C54" s="24"/>
      <c r="D54" s="24"/>
      <c r="E54" s="24"/>
      <c r="F54" s="24"/>
      <c r="G54" s="24"/>
      <c r="H54" s="185"/>
      <c r="I54" s="184"/>
      <c r="J54" s="42">
        <f>VLOOKUP($B$29:$B$74,'Alberta Equip. Rates Year 3'!$B$13:$K$314,10,FALSE)</f>
        <v>0</v>
      </c>
      <c r="K54" s="181">
        <f t="shared" si="2"/>
        <v>0</v>
      </c>
    </row>
    <row r="55" spans="1:11" ht="15" customHeight="1">
      <c r="A55" s="43"/>
      <c r="B55" s="49">
        <f>VLOOKUP($C$29:$C$74,Equipment!$A$1:$B$2322,2,FALSE)</f>
        <v>0</v>
      </c>
      <c r="C55" s="24"/>
      <c r="D55" s="24"/>
      <c r="E55" s="24"/>
      <c r="F55" s="24"/>
      <c r="G55" s="24"/>
      <c r="H55" s="185"/>
      <c r="I55" s="184"/>
      <c r="J55" s="42">
        <f>VLOOKUP($B$29:$B$74,'Alberta Equip. Rates Year 3'!$B$13:$K$314,10,FALSE)</f>
        <v>0</v>
      </c>
      <c r="K55" s="181">
        <f t="shared" si="2"/>
        <v>0</v>
      </c>
    </row>
    <row r="56" spans="1:11" ht="15" customHeight="1">
      <c r="A56" s="43"/>
      <c r="B56" s="49">
        <f>VLOOKUP($C$29:$C$74,Equipment!$A$1:$B$2322,2,FALSE)</f>
        <v>0</v>
      </c>
      <c r="C56" s="24"/>
      <c r="D56" s="24"/>
      <c r="E56" s="24"/>
      <c r="F56" s="24"/>
      <c r="G56" s="24"/>
      <c r="H56" s="185"/>
      <c r="I56" s="184"/>
      <c r="J56" s="42">
        <f>VLOOKUP($B$29:$B$74,'Alberta Equip. Rates Year 3'!$B$13:$K$314,10,FALSE)</f>
        <v>0</v>
      </c>
      <c r="K56" s="181">
        <f t="shared" si="2"/>
        <v>0</v>
      </c>
    </row>
    <row r="57" spans="1:11" ht="15" customHeight="1">
      <c r="A57" s="43"/>
      <c r="B57" s="49">
        <f>VLOOKUP($C$29:$C$74,Equipment!$A$1:$B$2322,2,FALSE)</f>
        <v>0</v>
      </c>
      <c r="C57" s="24"/>
      <c r="D57" s="24"/>
      <c r="E57" s="24"/>
      <c r="F57" s="24"/>
      <c r="G57" s="24"/>
      <c r="H57" s="185"/>
      <c r="I57" s="184"/>
      <c r="J57" s="42">
        <f>VLOOKUP($B$29:$B$74,'Alberta Equip. Rates Year 3'!$B$13:$K$314,10,FALSE)</f>
        <v>0</v>
      </c>
      <c r="K57" s="181">
        <f t="shared" ref="K57:K64" si="3">(H57+I57)*J57</f>
        <v>0</v>
      </c>
    </row>
    <row r="58" spans="1:11" ht="15" customHeight="1">
      <c r="A58" s="43"/>
      <c r="B58" s="49">
        <f>VLOOKUP($C$29:$C$74,Equipment!$A$1:$B$2322,2,FALSE)</f>
        <v>0</v>
      </c>
      <c r="C58" s="24"/>
      <c r="D58" s="24"/>
      <c r="E58" s="24"/>
      <c r="F58" s="24"/>
      <c r="G58" s="24"/>
      <c r="H58" s="185"/>
      <c r="I58" s="184"/>
      <c r="J58" s="42">
        <f>VLOOKUP($B$29:$B$74,'Alberta Equip. Rates Year 3'!$B$13:$K$314,10,FALSE)</f>
        <v>0</v>
      </c>
      <c r="K58" s="181">
        <f t="shared" si="3"/>
        <v>0</v>
      </c>
    </row>
    <row r="59" spans="1:11" ht="15" customHeight="1">
      <c r="A59" s="43"/>
      <c r="B59" s="49">
        <f>VLOOKUP($C$29:$C$74,Equipment!$A$1:$B$2322,2,FALSE)</f>
        <v>0</v>
      </c>
      <c r="C59" s="24"/>
      <c r="D59" s="24"/>
      <c r="E59" s="24"/>
      <c r="F59" s="24"/>
      <c r="G59" s="24"/>
      <c r="H59" s="185"/>
      <c r="I59" s="184"/>
      <c r="J59" s="42">
        <f>VLOOKUP($B$29:$B$74,'Alberta Equip. Rates Year 3'!$B$13:$K$314,10,FALSE)</f>
        <v>0</v>
      </c>
      <c r="K59" s="181">
        <f t="shared" si="3"/>
        <v>0</v>
      </c>
    </row>
    <row r="60" spans="1:11" ht="15" customHeight="1">
      <c r="A60" s="43"/>
      <c r="B60" s="49">
        <f>VLOOKUP($C$29:$C$74,Equipment!$A$1:$B$2322,2,FALSE)</f>
        <v>0</v>
      </c>
      <c r="C60" s="24"/>
      <c r="D60" s="24"/>
      <c r="E60" s="24"/>
      <c r="F60" s="24"/>
      <c r="G60" s="24"/>
      <c r="H60" s="185"/>
      <c r="I60" s="184"/>
      <c r="J60" s="42">
        <f>VLOOKUP($B$29:$B$74,'Alberta Equip. Rates Year 3'!$B$13:$K$314,10,FALSE)</f>
        <v>0</v>
      </c>
      <c r="K60" s="181">
        <f t="shared" si="3"/>
        <v>0</v>
      </c>
    </row>
    <row r="61" spans="1:11" ht="15" customHeight="1">
      <c r="A61" s="43"/>
      <c r="B61" s="49">
        <f>VLOOKUP($C$29:$C$74,Equipment!$A$1:$B$2322,2,FALSE)</f>
        <v>0</v>
      </c>
      <c r="C61" s="24"/>
      <c r="D61" s="24"/>
      <c r="E61" s="24"/>
      <c r="F61" s="24"/>
      <c r="G61" s="24"/>
      <c r="H61" s="185"/>
      <c r="I61" s="184"/>
      <c r="J61" s="42">
        <f>VLOOKUP($B$29:$B$74,'Alberta Equip. Rates Year 3'!$B$13:$K$314,10,FALSE)</f>
        <v>0</v>
      </c>
      <c r="K61" s="181">
        <f t="shared" si="3"/>
        <v>0</v>
      </c>
    </row>
    <row r="62" spans="1:11" ht="15" customHeight="1">
      <c r="A62" s="43"/>
      <c r="B62" s="49">
        <f>VLOOKUP($C$29:$C$74,Equipment!$A$1:$B$2322,2,FALSE)</f>
        <v>0</v>
      </c>
      <c r="C62" s="24"/>
      <c r="D62" s="24"/>
      <c r="E62" s="24"/>
      <c r="F62" s="24"/>
      <c r="G62" s="24"/>
      <c r="H62" s="185"/>
      <c r="I62" s="184"/>
      <c r="J62" s="42">
        <f>VLOOKUP($B$29:$B$74,'Alberta Equip. Rates Year 3'!$B$13:$K$314,10,FALSE)</f>
        <v>0</v>
      </c>
      <c r="K62" s="181">
        <f t="shared" si="3"/>
        <v>0</v>
      </c>
    </row>
    <row r="63" spans="1:11" ht="15" customHeight="1">
      <c r="A63" s="43"/>
      <c r="B63" s="49">
        <f>VLOOKUP($C$29:$C$74,Equipment!$A$1:$B$2322,2,FALSE)</f>
        <v>0</v>
      </c>
      <c r="C63" s="24"/>
      <c r="D63" s="24"/>
      <c r="E63" s="24"/>
      <c r="F63" s="24"/>
      <c r="G63" s="24"/>
      <c r="H63" s="185"/>
      <c r="I63" s="184"/>
      <c r="J63" s="42">
        <f>VLOOKUP($B$29:$B$74,'Alberta Equip. Rates Year 3'!$B$13:$K$314,10,FALSE)</f>
        <v>0</v>
      </c>
      <c r="K63" s="181">
        <f t="shared" si="3"/>
        <v>0</v>
      </c>
    </row>
    <row r="64" spans="1:11" ht="15" customHeight="1">
      <c r="A64" s="43"/>
      <c r="B64" s="49">
        <f>VLOOKUP($C$29:$C$74,Equipment!$A$1:$B$2322,2,FALSE)</f>
        <v>0</v>
      </c>
      <c r="C64" s="24"/>
      <c r="D64" s="24"/>
      <c r="E64" s="24"/>
      <c r="F64" s="24"/>
      <c r="G64" s="24"/>
      <c r="H64" s="185"/>
      <c r="I64" s="184"/>
      <c r="J64" s="42">
        <f>VLOOKUP($B$29:$B$74,'Alberta Equip. Rates Year 3'!$B$13:$K$314,10,FALSE)</f>
        <v>0</v>
      </c>
      <c r="K64" s="181">
        <f t="shared" si="3"/>
        <v>0</v>
      </c>
    </row>
    <row r="65" spans="1:11" ht="15" customHeight="1">
      <c r="A65" s="43"/>
      <c r="B65" s="49">
        <f>VLOOKUP($C$29:$C$74,Equipment!$A$1:$B$2322,2,FALSE)</f>
        <v>0</v>
      </c>
      <c r="C65" s="24"/>
      <c r="D65" s="24"/>
      <c r="E65" s="24"/>
      <c r="F65" s="24"/>
      <c r="G65" s="24"/>
      <c r="H65" s="185"/>
      <c r="I65" s="184"/>
      <c r="J65" s="42">
        <f>VLOOKUP($B$29:$B$74,'Alberta Equip. Rates Year 3'!$B$13:$K$314,10,FALSE)</f>
        <v>0</v>
      </c>
      <c r="K65" s="181">
        <f t="shared" ref="K65:K73" si="4">(H65+I65)*J65</f>
        <v>0</v>
      </c>
    </row>
    <row r="66" spans="1:11" ht="15" customHeight="1">
      <c r="A66" s="43"/>
      <c r="B66" s="49">
        <f>VLOOKUP($C$29:$C$74,Equipment!$A$1:$B$2322,2,FALSE)</f>
        <v>0</v>
      </c>
      <c r="C66" s="24"/>
      <c r="D66" s="24"/>
      <c r="E66" s="24"/>
      <c r="F66" s="24"/>
      <c r="G66" s="24"/>
      <c r="H66" s="185"/>
      <c r="I66" s="184"/>
      <c r="J66" s="42">
        <f>VLOOKUP($B$29:$B$74,'Alberta Equip. Rates Year 3'!$B$13:$K$314,10,FALSE)</f>
        <v>0</v>
      </c>
      <c r="K66" s="181">
        <f t="shared" si="4"/>
        <v>0</v>
      </c>
    </row>
    <row r="67" spans="1:11" ht="15" customHeight="1">
      <c r="A67" s="43"/>
      <c r="B67" s="49">
        <f>VLOOKUP($C$29:$C$74,Equipment!$A$1:$B$2322,2,FALSE)</f>
        <v>0</v>
      </c>
      <c r="C67" s="24"/>
      <c r="D67" s="24"/>
      <c r="E67" s="24"/>
      <c r="F67" s="24"/>
      <c r="G67" s="24"/>
      <c r="H67" s="185"/>
      <c r="I67" s="184"/>
      <c r="J67" s="42">
        <f>VLOOKUP($B$29:$B$74,'Alberta Equip. Rates Year 3'!$B$13:$K$314,10,FALSE)</f>
        <v>0</v>
      </c>
      <c r="K67" s="181">
        <f t="shared" si="4"/>
        <v>0</v>
      </c>
    </row>
    <row r="68" spans="1:11" ht="15" customHeight="1">
      <c r="A68" s="43"/>
      <c r="B68" s="49">
        <f>VLOOKUP($C$29:$C$74,Equipment!$A$1:$B$2322,2,FALSE)</f>
        <v>0</v>
      </c>
      <c r="C68" s="24"/>
      <c r="D68" s="24"/>
      <c r="E68" s="24"/>
      <c r="F68" s="24"/>
      <c r="G68" s="24"/>
      <c r="H68" s="185"/>
      <c r="I68" s="184"/>
      <c r="J68" s="42">
        <f>VLOOKUP($B$29:$B$74,'Alberta Equip. Rates Year 3'!$B$13:$K$314,10,FALSE)</f>
        <v>0</v>
      </c>
      <c r="K68" s="181">
        <f t="shared" si="4"/>
        <v>0</v>
      </c>
    </row>
    <row r="69" spans="1:11" ht="15" customHeight="1">
      <c r="A69" s="43"/>
      <c r="B69" s="49">
        <f>VLOOKUP($C$29:$C$74,Equipment!$A$1:$B$2322,2,FALSE)</f>
        <v>0</v>
      </c>
      <c r="C69" s="24"/>
      <c r="D69" s="24"/>
      <c r="E69" s="24"/>
      <c r="F69" s="24"/>
      <c r="G69" s="24"/>
      <c r="H69" s="185"/>
      <c r="I69" s="184"/>
      <c r="J69" s="42">
        <f>VLOOKUP($B$29:$B$74,'Alberta Equip. Rates Year 3'!$B$13:$K$314,10,FALSE)</f>
        <v>0</v>
      </c>
      <c r="K69" s="181">
        <f t="shared" si="4"/>
        <v>0</v>
      </c>
    </row>
    <row r="70" spans="1:11" ht="15" customHeight="1">
      <c r="A70" s="43"/>
      <c r="B70" s="49">
        <f>VLOOKUP($C$29:$C$74,Equipment!$A$1:$B$2322,2,FALSE)</f>
        <v>0</v>
      </c>
      <c r="C70" s="24"/>
      <c r="D70" s="24"/>
      <c r="E70" s="24"/>
      <c r="F70" s="24"/>
      <c r="G70" s="24"/>
      <c r="H70" s="185"/>
      <c r="I70" s="184"/>
      <c r="J70" s="42">
        <f>VLOOKUP($B$29:$B$74,'Alberta Equip. Rates Year 3'!$B$13:$K$314,10,FALSE)</f>
        <v>0</v>
      </c>
      <c r="K70" s="181">
        <f t="shared" si="4"/>
        <v>0</v>
      </c>
    </row>
    <row r="71" spans="1:11" ht="15" customHeight="1">
      <c r="A71" s="43"/>
      <c r="B71" s="49">
        <f>VLOOKUP($C$29:$C$74,Equipment!$A$1:$B$2322,2,FALSE)</f>
        <v>0</v>
      </c>
      <c r="C71" s="24"/>
      <c r="D71" s="24"/>
      <c r="E71" s="24"/>
      <c r="F71" s="24"/>
      <c r="G71" s="24"/>
      <c r="H71" s="185"/>
      <c r="I71" s="184"/>
      <c r="J71" s="42">
        <f>VLOOKUP($B$29:$B$74,'Alberta Equip. Rates Year 3'!$B$13:$K$314,10,FALSE)</f>
        <v>0</v>
      </c>
      <c r="K71" s="181">
        <f t="shared" si="4"/>
        <v>0</v>
      </c>
    </row>
    <row r="72" spans="1:11" ht="15" customHeight="1">
      <c r="A72" s="43"/>
      <c r="B72" s="49">
        <f>VLOOKUP($C$29:$C$74,Equipment!$A$1:$B$2322,2,FALSE)</f>
        <v>0</v>
      </c>
      <c r="C72" s="24"/>
      <c r="D72" s="24"/>
      <c r="E72" s="24"/>
      <c r="F72" s="24"/>
      <c r="G72" s="24"/>
      <c r="H72" s="185"/>
      <c r="I72" s="184"/>
      <c r="J72" s="42">
        <f>VLOOKUP($B$29:$B$74,'Alberta Equip. Rates Year 3'!$B$13:$K$314,10,FALSE)</f>
        <v>0</v>
      </c>
      <c r="K72" s="181">
        <f>(H72+I72)*J72</f>
        <v>0</v>
      </c>
    </row>
    <row r="73" spans="1:11" ht="15" customHeight="1">
      <c r="A73" s="43"/>
      <c r="B73" s="49">
        <f>VLOOKUP($C$29:$C$74,Equipment!$A$1:$B$2322,2,FALSE)</f>
        <v>0</v>
      </c>
      <c r="C73" s="24"/>
      <c r="D73" s="24"/>
      <c r="E73" s="24"/>
      <c r="F73" s="24"/>
      <c r="G73" s="24"/>
      <c r="H73" s="185"/>
      <c r="I73" s="184"/>
      <c r="J73" s="42">
        <f>VLOOKUP($B$29:$B$74,'Alberta Equip. Rates Year 3'!$B$13:$K$314,10,FALSE)</f>
        <v>0</v>
      </c>
      <c r="K73" s="181">
        <f t="shared" si="4"/>
        <v>0</v>
      </c>
    </row>
    <row r="74" spans="1:11" ht="15" customHeight="1" thickBot="1">
      <c r="A74" s="43"/>
      <c r="B74" s="49">
        <f>VLOOKUP($C$29:$C$74,Equipment!$A$1:$B$2322,2,FALSE)</f>
        <v>0</v>
      </c>
      <c r="C74" s="24"/>
      <c r="D74" s="24"/>
      <c r="E74" s="24"/>
      <c r="F74" s="24"/>
      <c r="G74" s="24"/>
      <c r="H74" s="185"/>
      <c r="I74" s="184"/>
      <c r="J74" s="42">
        <f>VLOOKUP($B$29:$B$74,'Alberta Equip. Rates Year 3'!$B$13:$K$314,10,FALSE)</f>
        <v>0</v>
      </c>
      <c r="K74" s="181">
        <f>(H74+I74)*J74</f>
        <v>0</v>
      </c>
    </row>
    <row r="75" spans="1:11" ht="12" thickBot="1">
      <c r="A75" s="25"/>
      <c r="B75" s="25"/>
      <c r="C75" s="25"/>
      <c r="D75" s="21"/>
      <c r="E75" s="21"/>
      <c r="F75" s="21"/>
      <c r="G75" s="21"/>
      <c r="H75" s="21"/>
      <c r="I75" s="360" t="s">
        <v>24</v>
      </c>
      <c r="J75" s="361"/>
      <c r="K75" s="182">
        <f>SUM(K29:K74)</f>
        <v>0</v>
      </c>
    </row>
    <row r="76" spans="1:11" ht="12" thickBot="1">
      <c r="A76" s="26"/>
      <c r="D76" s="26"/>
      <c r="I76" s="27"/>
      <c r="J76" s="27"/>
      <c r="K76" s="28"/>
    </row>
    <row r="77" spans="1:11">
      <c r="A77" s="1" t="s">
        <v>25</v>
      </c>
      <c r="B77" s="29"/>
      <c r="D77" s="1"/>
      <c r="E77" s="1"/>
      <c r="F77" s="1"/>
      <c r="G77" s="1"/>
      <c r="H77" s="1"/>
      <c r="I77" s="362" t="s">
        <v>26</v>
      </c>
      <c r="J77" s="362"/>
      <c r="K77" s="37">
        <f>K26</f>
        <v>0</v>
      </c>
    </row>
    <row r="78" spans="1:11">
      <c r="D78" s="1"/>
      <c r="E78" s="1"/>
      <c r="F78" s="1"/>
      <c r="G78" s="1"/>
      <c r="H78" s="1"/>
      <c r="I78" s="362" t="s">
        <v>27</v>
      </c>
      <c r="J78" s="362"/>
      <c r="K78" s="38">
        <f>K75</f>
        <v>0</v>
      </c>
    </row>
    <row r="79" spans="1:11">
      <c r="D79" s="1"/>
      <c r="E79" s="1"/>
      <c r="F79" s="1"/>
      <c r="G79" s="1"/>
      <c r="H79" s="1"/>
      <c r="I79" s="27" t="s">
        <v>28</v>
      </c>
      <c r="J79" s="27"/>
      <c r="K79" s="38">
        <f>(O26)*14.15</f>
        <v>0</v>
      </c>
    </row>
    <row r="80" spans="1:11">
      <c r="D80" s="1"/>
      <c r="E80" s="1"/>
      <c r="F80" s="1"/>
      <c r="G80" s="1"/>
      <c r="H80" s="1"/>
      <c r="I80" s="30" t="s">
        <v>29</v>
      </c>
      <c r="J80" s="30"/>
      <c r="K80" s="39"/>
    </row>
    <row r="81" spans="1:11">
      <c r="D81" s="1"/>
      <c r="E81" s="1"/>
      <c r="F81" s="1"/>
      <c r="G81" s="1"/>
      <c r="H81" s="1"/>
      <c r="I81" s="30" t="s">
        <v>30</v>
      </c>
      <c r="J81" s="30"/>
      <c r="K81" s="39"/>
    </row>
    <row r="82" spans="1:11">
      <c r="D82" s="1"/>
      <c r="E82" s="1"/>
      <c r="F82" s="1"/>
      <c r="G82" s="1"/>
      <c r="H82" s="1"/>
      <c r="I82" s="30" t="s">
        <v>31</v>
      </c>
      <c r="J82" s="30"/>
      <c r="K82" s="39"/>
    </row>
    <row r="83" spans="1:11" ht="12" thickBot="1">
      <c r="D83" s="1"/>
      <c r="E83" s="1"/>
      <c r="F83" s="1"/>
      <c r="G83" s="1"/>
      <c r="H83" s="1"/>
      <c r="I83" s="362" t="s">
        <v>32</v>
      </c>
      <c r="J83" s="362"/>
      <c r="K83" s="40">
        <f>SUM(K77:K82)</f>
        <v>0</v>
      </c>
    </row>
    <row r="84" spans="1:11">
      <c r="D84" s="1"/>
      <c r="E84" s="1"/>
      <c r="F84" s="1"/>
      <c r="G84" s="1"/>
      <c r="H84" s="1"/>
      <c r="I84" s="27"/>
      <c r="J84" s="27"/>
    </row>
    <row r="85" spans="1:11">
      <c r="A85" s="31" t="s">
        <v>33</v>
      </c>
      <c r="B85" s="32"/>
      <c r="C85" s="32"/>
      <c r="D85" s="1"/>
      <c r="H85" s="33" t="s">
        <v>34</v>
      </c>
      <c r="I85" s="32"/>
      <c r="J85" s="32"/>
      <c r="K85" s="32"/>
    </row>
    <row r="86" spans="1:11" ht="15">
      <c r="A86" s="34"/>
      <c r="E86" s="8"/>
      <c r="F86" s="8"/>
      <c r="G86" s="8"/>
      <c r="H86" s="35"/>
      <c r="I86" s="35"/>
      <c r="J86" s="35"/>
      <c r="K86" s="35"/>
    </row>
    <row r="87" spans="1:11" ht="15">
      <c r="A87" s="34" t="s">
        <v>35</v>
      </c>
      <c r="E87" s="8"/>
      <c r="F87" s="8"/>
      <c r="G87" s="8"/>
      <c r="H87" s="35"/>
      <c r="I87" s="35"/>
      <c r="J87" s="35"/>
      <c r="K87" s="35"/>
    </row>
    <row r="88" spans="1:11" s="34" customFormat="1">
      <c r="A88" s="363">
        <v>41218.479166666664</v>
      </c>
      <c r="B88" s="363"/>
      <c r="C88" s="364"/>
      <c r="D88" s="364"/>
      <c r="E88" s="364"/>
      <c r="F88" s="364"/>
      <c r="G88" s="364"/>
      <c r="H88" s="364"/>
      <c r="I88" s="364"/>
      <c r="J88" s="364"/>
      <c r="K88" s="8"/>
    </row>
    <row r="98" s="1" customFormat="1"/>
    <row r="99" s="1" customFormat="1"/>
    <row r="100" s="1" customFormat="1"/>
    <row r="101" s="1" customFormat="1"/>
    <row r="102" s="1" customFormat="1"/>
    <row r="103" s="1" customFormat="1"/>
    <row r="104" s="1" customFormat="1"/>
    <row r="105" s="1" customFormat="1"/>
    <row r="106" s="1" customFormat="1"/>
    <row r="107" s="1" customFormat="1"/>
    <row r="108" s="1" customFormat="1"/>
    <row r="109" s="1" customFormat="1"/>
    <row r="110" s="1" customFormat="1"/>
    <row r="111" s="1" customFormat="1"/>
    <row r="116" s="1" customFormat="1"/>
    <row r="144" s="1" customFormat="1"/>
    <row r="145" s="1" customFormat="1"/>
    <row r="146" s="1" customFormat="1"/>
    <row r="147" s="1" customFormat="1"/>
  </sheetData>
  <mergeCells count="12">
    <mergeCell ref="I75:J75"/>
    <mergeCell ref="I77:J77"/>
    <mergeCell ref="I78:J78"/>
    <mergeCell ref="I83:J83"/>
    <mergeCell ref="A88:B88"/>
    <mergeCell ref="C88:J88"/>
    <mergeCell ref="I26:J26"/>
    <mergeCell ref="C1:H1"/>
    <mergeCell ref="C2:H2"/>
    <mergeCell ref="C3:H3"/>
    <mergeCell ref="H6:I6"/>
    <mergeCell ref="H7:I7"/>
  </mergeCells>
  <printOptions horizontalCentered="1"/>
  <pageMargins left="0.19685039370078741" right="0.19685039370078741" top="0.39370078740157483" bottom="0.39370078740157483" header="0" footer="0"/>
  <pageSetup orientation="portrait" horizontalDpi="4294967292" verticalDpi="4294967292"/>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D00-000000000000}">
          <x14:formula1>
            <xm:f>Accounts!$A$4:$A$60</xm:f>
          </x14:formula1>
          <xm:sqref>K7</xm:sqref>
        </x14:dataValidation>
        <x14:dataValidation type="list" allowBlank="1" showInputMessage="1" showErrorMessage="1" xr:uid="{00000000-0002-0000-0D00-000001000000}">
          <x14:formula1>
            <xm:f>'Constr. Wage Rate Calculations'!$A$19:$A$288</xm:f>
          </x14:formula1>
          <xm:sqref>B11:B25</xm:sqref>
        </x14:dataValidation>
        <x14:dataValidation type="list" allowBlank="1" showInputMessage="1" showErrorMessage="1" xr:uid="{00000000-0002-0000-0D00-000002000000}">
          <x14:formula1>
            <xm:f>Personnel!$A:$A</xm:f>
          </x14:formula1>
          <xm:sqref>C11:C25</xm:sqref>
        </x14:dataValidation>
        <x14:dataValidation type="list" allowBlank="1" showInputMessage="1" showErrorMessage="1" xr:uid="{00000000-0002-0000-0D00-000003000000}">
          <x14:formula1>
            <xm:f>Equipment!$A:$A</xm:f>
          </x14:formula1>
          <xm:sqref>C29:C74</xm:sqref>
        </x14:dataValidation>
      </x14:dataValidations>
    </ext>
    <ext xmlns:mx="http://schemas.microsoft.com/office/mac/excel/2008/main" uri="{64002731-A6B0-56B0-2670-7721B7C09600}">
      <mx:PLV Mode="0" OnePage="0" WScale="0"/>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O161"/>
  <sheetViews>
    <sheetView topLeftCell="B1" zoomScale="120" zoomScaleNormal="120" zoomScalePageLayoutView="120" workbookViewId="0">
      <selection activeCell="E9" sqref="E9"/>
    </sheetView>
  </sheetViews>
  <sheetFormatPr baseColWidth="10" defaultColWidth="8.83203125" defaultRowHeight="11"/>
  <cols>
    <col min="1" max="1" width="13" style="1" customWidth="1"/>
    <col min="2" max="2" width="30" style="1" customWidth="1"/>
    <col min="3" max="3" width="24.5" style="1" customWidth="1"/>
    <col min="4" max="4" width="8.6640625" style="2" customWidth="1"/>
    <col min="5" max="6" width="8.33203125" style="2" customWidth="1"/>
    <col min="7" max="8" width="8.6640625" style="2" customWidth="1"/>
    <col min="9" max="9" width="9.33203125" style="2" customWidth="1"/>
    <col min="10" max="10" width="8.6640625" style="2" customWidth="1"/>
    <col min="11" max="11" width="21.83203125" style="1" customWidth="1"/>
    <col min="12" max="12" width="3.5" style="1" hidden="1" customWidth="1"/>
    <col min="13" max="16384" width="8.83203125" style="1"/>
  </cols>
  <sheetData>
    <row r="1" spans="1:13" ht="15">
      <c r="C1" s="364"/>
      <c r="D1" s="365"/>
      <c r="E1" s="365"/>
      <c r="F1" s="365"/>
      <c r="G1" s="365"/>
      <c r="H1" s="366"/>
      <c r="J1" s="2" t="s">
        <v>0</v>
      </c>
      <c r="K1" s="197"/>
      <c r="M1" s="45"/>
    </row>
    <row r="2" spans="1:13" ht="15">
      <c r="C2" s="367"/>
      <c r="D2" s="367"/>
      <c r="E2" s="367"/>
      <c r="F2" s="367"/>
      <c r="G2" s="367"/>
      <c r="H2" s="366"/>
      <c r="K2" s="41"/>
    </row>
    <row r="3" spans="1:13" ht="15">
      <c r="C3" s="368"/>
      <c r="D3" s="369"/>
      <c r="E3" s="369"/>
      <c r="F3" s="369"/>
      <c r="G3" s="369"/>
      <c r="H3" s="366"/>
    </row>
    <row r="4" spans="1:13">
      <c r="C4" s="3"/>
      <c r="D4" s="4"/>
      <c r="E4" s="4"/>
      <c r="F4" s="4"/>
      <c r="G4" s="4"/>
    </row>
    <row r="5" spans="1:13">
      <c r="C5" s="3"/>
      <c r="D5" s="4"/>
      <c r="E5" s="4"/>
      <c r="F5" s="4"/>
      <c r="G5" s="4"/>
    </row>
    <row r="6" spans="1:13" ht="12">
      <c r="B6" s="5"/>
      <c r="C6" s="6"/>
      <c r="D6" s="7"/>
      <c r="E6" s="8"/>
      <c r="F6" s="8"/>
      <c r="G6" s="1" t="s">
        <v>1</v>
      </c>
      <c r="H6" s="370"/>
      <c r="I6" s="370"/>
      <c r="J6" s="1" t="s">
        <v>2</v>
      </c>
      <c r="K6" s="47"/>
    </row>
    <row r="7" spans="1:13" ht="12">
      <c r="A7" s="1" t="s">
        <v>3</v>
      </c>
      <c r="B7" s="9"/>
      <c r="C7" s="10"/>
      <c r="D7" s="11"/>
      <c r="E7" s="8"/>
      <c r="F7" s="8"/>
      <c r="G7" s="1" t="s">
        <v>4</v>
      </c>
      <c r="H7" s="371"/>
      <c r="I7" s="371"/>
      <c r="J7" s="1" t="s">
        <v>5</v>
      </c>
      <c r="K7" s="46"/>
    </row>
    <row r="8" spans="1:13" ht="12">
      <c r="B8" s="12"/>
      <c r="C8" s="13"/>
      <c r="D8" s="14"/>
      <c r="E8" s="8"/>
      <c r="F8" s="8"/>
      <c r="G8" s="1" t="s">
        <v>6</v>
      </c>
      <c r="H8" s="187"/>
      <c r="I8" s="188"/>
      <c r="J8" s="44"/>
    </row>
    <row r="9" spans="1:13" ht="16" thickBot="1">
      <c r="B9" s="15"/>
      <c r="C9" s="16"/>
      <c r="D9" s="16"/>
      <c r="E9" s="8"/>
      <c r="F9" s="8"/>
      <c r="G9" s="8"/>
    </row>
    <row r="10" spans="1:13" s="19" customFormat="1" ht="12" thickBot="1">
      <c r="A10" s="17" t="s">
        <v>7</v>
      </c>
      <c r="B10" s="17" t="s">
        <v>8</v>
      </c>
      <c r="C10" s="17" t="s">
        <v>9</v>
      </c>
      <c r="D10" s="18" t="s">
        <v>10</v>
      </c>
      <c r="E10" s="18" t="s">
        <v>11</v>
      </c>
      <c r="F10" s="18" t="s">
        <v>12</v>
      </c>
      <c r="G10" s="180" t="s">
        <v>13</v>
      </c>
      <c r="H10" s="18" t="s">
        <v>14</v>
      </c>
      <c r="I10" s="18" t="s">
        <v>15</v>
      </c>
      <c r="J10" s="18" t="s">
        <v>16</v>
      </c>
      <c r="K10" s="18" t="s">
        <v>17</v>
      </c>
      <c r="M10" s="19" t="s">
        <v>1797</v>
      </c>
    </row>
    <row r="11" spans="1:13" ht="15" customHeight="1">
      <c r="A11" s="48"/>
      <c r="B11" s="49">
        <f>VLOOKUP($C$11:$C$25,Personnel!$A$1:$B$1234,2,FALSE)</f>
        <v>0</v>
      </c>
      <c r="C11" s="36"/>
      <c r="D11" s="184"/>
      <c r="E11" s="179">
        <f>VLOOKUP($B$11:$B$25,'Constr. Wage Rate Calculations'!$A$19:$Z$288,22,FALSE)</f>
        <v>0</v>
      </c>
      <c r="F11" s="184"/>
      <c r="G11" s="179">
        <f>VLOOKUP($B$11:$B$25,'Constr. Wage Rate Calculations'!$A$19:$Z$288,23,FALSE)</f>
        <v>0</v>
      </c>
      <c r="H11" s="184"/>
      <c r="I11" s="179">
        <f>VLOOKUP($B$11:$B$25,'Constr. Wage Rate Calculations'!$A$19:$Z$288,24,FALSE)</f>
        <v>0</v>
      </c>
      <c r="J11" s="20">
        <f>VLOOKUP($B$11:$B$25,'Constr. Wage Rate Calculations'!$A$19:$Z$288,25,FALSE)</f>
        <v>0</v>
      </c>
      <c r="K11" s="179" t="str">
        <f t="shared" ref="K11:K21" si="0">IF($D11&gt;=1,$J11+(D11*E11)+(F11*G11)+(H11*I11),IF($F11&gt;=1,$J11+(D11*E11)+(F11*G11)+(H11*I11),IF($H11&gt;=1,$J11+(D11*E11)+(F11*G11)+(H11*I11),"")))</f>
        <v/>
      </c>
    </row>
    <row r="12" spans="1:13" ht="15" customHeight="1">
      <c r="A12" s="48"/>
      <c r="B12" s="49">
        <f>VLOOKUP($C$11:$C$25,Personnel!$A$1:$B$1234,2,FALSE)</f>
        <v>0</v>
      </c>
      <c r="C12" s="36"/>
      <c r="D12" s="184"/>
      <c r="E12" s="179">
        <f>VLOOKUP($B$11:$B$25,'Constr. Wage Rate Calculations'!$A$19:$Z$288,22,FALSE)</f>
        <v>0</v>
      </c>
      <c r="F12" s="184"/>
      <c r="G12" s="179">
        <f>VLOOKUP($B$11:$B$25,'Constr. Wage Rate Calculations'!$A$19:$Z$288,23,FALSE)</f>
        <v>0</v>
      </c>
      <c r="H12" s="184"/>
      <c r="I12" s="179">
        <f>VLOOKUP($B$11:$B$25,'Constr. Wage Rate Calculations'!$A$19:$Z$288,24,FALSE)</f>
        <v>0</v>
      </c>
      <c r="J12" s="20"/>
      <c r="K12" s="179" t="str">
        <f t="shared" si="0"/>
        <v/>
      </c>
    </row>
    <row r="13" spans="1:13" ht="15" customHeight="1">
      <c r="A13" s="48"/>
      <c r="B13" s="49">
        <f>VLOOKUP($C$11:$C$25,Personnel!$A$1:$B$1234,2,FALSE)</f>
        <v>0</v>
      </c>
      <c r="C13" s="36"/>
      <c r="D13" s="184"/>
      <c r="E13" s="179">
        <f>VLOOKUP($B$11:$B$25,'Constr. Wage Rate Calculations'!$A$19:$Z$288,22,FALSE)</f>
        <v>0</v>
      </c>
      <c r="F13" s="184"/>
      <c r="G13" s="179">
        <f>VLOOKUP($B$11:$B$25,'Constr. Wage Rate Calculations'!$A$19:$Z$288,23,FALSE)</f>
        <v>0</v>
      </c>
      <c r="H13" s="184"/>
      <c r="I13" s="179">
        <f>VLOOKUP($B$11:$B$25,'Constr. Wage Rate Calculations'!$A$19:$Z$288,24,FALSE)</f>
        <v>0</v>
      </c>
      <c r="J13" s="20">
        <f>VLOOKUP($B$11:$B$25,'Constr. Wage Rate Calculations'!$A$19:$Z$288,25,FALSE)</f>
        <v>0</v>
      </c>
      <c r="K13" s="179" t="str">
        <f t="shared" si="0"/>
        <v/>
      </c>
    </row>
    <row r="14" spans="1:13" ht="15" customHeight="1">
      <c r="A14" s="48"/>
      <c r="B14" s="49">
        <f>VLOOKUP($C$11:$C$25,Personnel!$A$1:$B$1234,2,FALSE)</f>
        <v>0</v>
      </c>
      <c r="C14" s="36"/>
      <c r="D14" s="184"/>
      <c r="E14" s="179">
        <f>VLOOKUP($B$11:$B$25,'Constr. Wage Rate Calculations'!$A$19:$Z$288,22,FALSE)</f>
        <v>0</v>
      </c>
      <c r="F14" s="184"/>
      <c r="G14" s="179">
        <f>VLOOKUP($B$11:$B$25,'Constr. Wage Rate Calculations'!$A$19:$Z$288,23,FALSE)</f>
        <v>0</v>
      </c>
      <c r="H14" s="184"/>
      <c r="I14" s="179">
        <f>VLOOKUP($B$11:$B$25,'Constr. Wage Rate Calculations'!$A$19:$Z$288,24,FALSE)</f>
        <v>0</v>
      </c>
      <c r="J14" s="20">
        <f>VLOOKUP($B$11:$B$25,'Constr. Wage Rate Calculations'!$A$19:$Z$288,25,FALSE)</f>
        <v>0</v>
      </c>
      <c r="K14" s="179" t="str">
        <f t="shared" si="0"/>
        <v/>
      </c>
    </row>
    <row r="15" spans="1:13" ht="15" customHeight="1">
      <c r="A15" s="48"/>
      <c r="B15" s="49">
        <f>VLOOKUP($C$11:$C$25,Personnel!$A$1:$B$1234,2,FALSE)</f>
        <v>0</v>
      </c>
      <c r="C15" s="36"/>
      <c r="D15" s="184"/>
      <c r="E15" s="179">
        <f>VLOOKUP($B$11:$B$25,'Constr. Wage Rate Calculations'!$A$19:$Z$288,22,FALSE)</f>
        <v>0</v>
      </c>
      <c r="F15" s="184"/>
      <c r="G15" s="179">
        <f>VLOOKUP($B$11:$B$25,'Constr. Wage Rate Calculations'!$A$19:$Z$288,23,FALSE)</f>
        <v>0</v>
      </c>
      <c r="H15" s="184"/>
      <c r="I15" s="179">
        <f>VLOOKUP($B$11:$B$25,'Constr. Wage Rate Calculations'!$A$19:$Z$288,24,FALSE)</f>
        <v>0</v>
      </c>
      <c r="J15" s="20">
        <f>VLOOKUP($B$11:$B$25,'Constr. Wage Rate Calculations'!$A$19:$Z$288,25,FALSE)</f>
        <v>0</v>
      </c>
      <c r="K15" s="179" t="str">
        <f t="shared" si="0"/>
        <v/>
      </c>
    </row>
    <row r="16" spans="1:13" ht="15" customHeight="1">
      <c r="A16" s="48"/>
      <c r="B16" s="49">
        <f>VLOOKUP($C$11:$C$25,Personnel!$A$1:$B$1234,2,FALSE)</f>
        <v>0</v>
      </c>
      <c r="C16" s="36"/>
      <c r="D16" s="184"/>
      <c r="E16" s="179">
        <f>VLOOKUP($B$11:$B$25,'Constr. Wage Rate Calculations'!$A$19:$Z$288,22,FALSE)</f>
        <v>0</v>
      </c>
      <c r="F16" s="184"/>
      <c r="G16" s="179">
        <f>VLOOKUP($B$11:$B$25,'Constr. Wage Rate Calculations'!$A$19:$Z$288,23,FALSE)</f>
        <v>0</v>
      </c>
      <c r="H16" s="184"/>
      <c r="I16" s="179">
        <f>VLOOKUP($B$11:$B$25,'Constr. Wage Rate Calculations'!$A$19:$Z$288,24,FALSE)</f>
        <v>0</v>
      </c>
      <c r="J16" s="20">
        <f>VLOOKUP($B$11:$B$25,'Constr. Wage Rate Calculations'!$A$19:$Z$288,25,FALSE)</f>
        <v>0</v>
      </c>
      <c r="K16" s="179" t="str">
        <f t="shared" si="0"/>
        <v/>
      </c>
    </row>
    <row r="17" spans="1:15" ht="15" customHeight="1">
      <c r="A17" s="48"/>
      <c r="B17" s="49">
        <f>VLOOKUP($C$11:$C$25,Personnel!$A$1:$B$1234,2,FALSE)</f>
        <v>0</v>
      </c>
      <c r="C17" s="36"/>
      <c r="D17" s="184"/>
      <c r="E17" s="179">
        <f>VLOOKUP($B$11:$B$25,'Constr. Wage Rate Calculations'!$A$19:$Z$288,22,FALSE)</f>
        <v>0</v>
      </c>
      <c r="F17" s="184"/>
      <c r="G17" s="179">
        <f>VLOOKUP($B$11:$B$25,'Constr. Wage Rate Calculations'!$A$19:$Z$288,23,FALSE)</f>
        <v>0</v>
      </c>
      <c r="H17" s="184"/>
      <c r="I17" s="179">
        <f>VLOOKUP($B$11:$B$25,'Constr. Wage Rate Calculations'!$A$19:$Z$288,24,FALSE)</f>
        <v>0</v>
      </c>
      <c r="J17" s="20">
        <f>VLOOKUP($B$11:$B$25,'Constr. Wage Rate Calculations'!$A$19:$Z$288,25,FALSE)</f>
        <v>0</v>
      </c>
      <c r="K17" s="179" t="str">
        <f t="shared" si="0"/>
        <v/>
      </c>
    </row>
    <row r="18" spans="1:15" ht="15" customHeight="1">
      <c r="A18" s="48"/>
      <c r="B18" s="49">
        <f>VLOOKUP($C$11:$C$25,Personnel!$A$1:$B$1234,2,FALSE)</f>
        <v>0</v>
      </c>
      <c r="C18" s="36"/>
      <c r="D18" s="184"/>
      <c r="E18" s="179">
        <f>VLOOKUP($B$11:$B$25,'Constr. Wage Rate Calculations'!$A$19:$Z$288,22,FALSE)</f>
        <v>0</v>
      </c>
      <c r="F18" s="184"/>
      <c r="G18" s="179">
        <f>VLOOKUP($B$11:$B$25,'Constr. Wage Rate Calculations'!$A$19:$Z$288,23,FALSE)</f>
        <v>0</v>
      </c>
      <c r="H18" s="184"/>
      <c r="I18" s="179">
        <f>VLOOKUP($B$11:$B$25,'Constr. Wage Rate Calculations'!$A$19:$Z$288,24,FALSE)</f>
        <v>0</v>
      </c>
      <c r="J18" s="20">
        <f>VLOOKUP($B$11:$B$25,'Constr. Wage Rate Calculations'!$A$19:$Z$288,25,FALSE)</f>
        <v>0</v>
      </c>
      <c r="K18" s="179" t="str">
        <f t="shared" si="0"/>
        <v/>
      </c>
    </row>
    <row r="19" spans="1:15" ht="15" customHeight="1">
      <c r="A19" s="48"/>
      <c r="B19" s="49">
        <f>VLOOKUP($C$11:$C$25,Personnel!$A$1:$B$1234,2,FALSE)</f>
        <v>0</v>
      </c>
      <c r="C19" s="36"/>
      <c r="D19" s="184"/>
      <c r="E19" s="179">
        <f>VLOOKUP($B$11:$B$25,'Constr. Wage Rate Calculations'!$A$19:$Z$288,22,FALSE)</f>
        <v>0</v>
      </c>
      <c r="F19" s="184"/>
      <c r="G19" s="179">
        <f>VLOOKUP($B$11:$B$25,'Constr. Wage Rate Calculations'!$A$19:$Z$288,23,FALSE)</f>
        <v>0</v>
      </c>
      <c r="H19" s="184"/>
      <c r="I19" s="179">
        <f>VLOOKUP($B$11:$B$25,'Constr. Wage Rate Calculations'!$A$19:$Z$288,24,FALSE)</f>
        <v>0</v>
      </c>
      <c r="J19" s="20">
        <f>VLOOKUP($B$11:$B$25,'Constr. Wage Rate Calculations'!$A$19:$Z$288,25,FALSE)</f>
        <v>0</v>
      </c>
      <c r="K19" s="179" t="str">
        <f t="shared" si="0"/>
        <v/>
      </c>
    </row>
    <row r="20" spans="1:15" ht="15" customHeight="1">
      <c r="A20" s="48"/>
      <c r="B20" s="49">
        <f>VLOOKUP($C$11:$C$25,Personnel!$A$1:$B$1234,2,FALSE)</f>
        <v>0</v>
      </c>
      <c r="C20" s="36"/>
      <c r="D20" s="184"/>
      <c r="E20" s="179">
        <f>VLOOKUP($B$11:$B$25,'Constr. Wage Rate Calculations'!$A$19:$Z$288,22,FALSE)</f>
        <v>0</v>
      </c>
      <c r="F20" s="184"/>
      <c r="G20" s="179">
        <f>VLOOKUP($B$11:$B$25,'Constr. Wage Rate Calculations'!$A$19:$Z$288,23,FALSE)</f>
        <v>0</v>
      </c>
      <c r="H20" s="184"/>
      <c r="I20" s="179">
        <f>VLOOKUP($B$11:$B$25,'Constr. Wage Rate Calculations'!$A$19:$Z$288,24,FALSE)</f>
        <v>0</v>
      </c>
      <c r="J20" s="20">
        <f>VLOOKUP($B$11:$B$25,'Constr. Wage Rate Calculations'!$A$19:$Z$288,25,FALSE)</f>
        <v>0</v>
      </c>
      <c r="K20" s="179" t="str">
        <f t="shared" si="0"/>
        <v/>
      </c>
    </row>
    <row r="21" spans="1:15" ht="15" customHeight="1">
      <c r="A21" s="48"/>
      <c r="B21" s="49">
        <f>VLOOKUP($C$11:$C$25,Personnel!$A$1:$B$1234,2,FALSE)</f>
        <v>0</v>
      </c>
      <c r="C21" s="36"/>
      <c r="D21" s="184"/>
      <c r="E21" s="179">
        <f>VLOOKUP($B$11:$B$25,'Constr. Wage Rate Calculations'!$A$19:$Z$288,22,FALSE)</f>
        <v>0</v>
      </c>
      <c r="F21" s="184"/>
      <c r="G21" s="179">
        <f>VLOOKUP($B$11:$B$25,'Constr. Wage Rate Calculations'!$A$19:$Z$288,23,FALSE)</f>
        <v>0</v>
      </c>
      <c r="H21" s="184"/>
      <c r="I21" s="179">
        <f>VLOOKUP($B$11:$B$25,'Constr. Wage Rate Calculations'!$A$19:$Z$288,24,FALSE)</f>
        <v>0</v>
      </c>
      <c r="J21" s="20">
        <f>VLOOKUP($B$11:$B$25,'Constr. Wage Rate Calculations'!$A$19:$Z$288,25,FALSE)</f>
        <v>0</v>
      </c>
      <c r="K21" s="179" t="str">
        <f t="shared" si="0"/>
        <v/>
      </c>
    </row>
    <row r="22" spans="1:15" ht="15" customHeight="1">
      <c r="A22" s="48"/>
      <c r="B22" s="49">
        <f>VLOOKUP($C$11:$C$25,Personnel!$A$1:$B$1234,2,FALSE)</f>
        <v>0</v>
      </c>
      <c r="C22" s="36"/>
      <c r="D22" s="184"/>
      <c r="E22" s="179">
        <f>VLOOKUP($B$11:$B$25,'Constr. Wage Rate Calculations'!$A$19:$Z$288,22,FALSE)</f>
        <v>0</v>
      </c>
      <c r="F22" s="184"/>
      <c r="G22" s="179">
        <f>VLOOKUP($B$11:$B$25,'Constr. Wage Rate Calculations'!$A$19:$Z$288,23,FALSE)</f>
        <v>0</v>
      </c>
      <c r="H22" s="184"/>
      <c r="I22" s="179">
        <f>VLOOKUP($B$11:$B$25,'Constr. Wage Rate Calculations'!$A$19:$Z$288,24,FALSE)</f>
        <v>0</v>
      </c>
      <c r="J22" s="20">
        <f>VLOOKUP($B$11:$B$25,'Constr. Wage Rate Calculations'!$A$19:$Z$288,25,FALSE)</f>
        <v>0</v>
      </c>
      <c r="K22" s="179" t="str">
        <f>IF($D22&gt;=1,$J22+(D22*E22)+(F22*G22)+(H22*I22),IF($F22&gt;=1,$J22+(D22*E22)+(F22*G22)+(H22*I22),IF($H22&gt;=1,$J22+(D22*E22)+(F22*G22)+(H22*I22),"")))</f>
        <v/>
      </c>
    </row>
    <row r="23" spans="1:15" ht="15" customHeight="1">
      <c r="A23" s="48"/>
      <c r="B23" s="49">
        <f>VLOOKUP($C$11:$C$25,Personnel!$A$1:$B$1234,2,FALSE)</f>
        <v>0</v>
      </c>
      <c r="C23" s="36"/>
      <c r="D23" s="184"/>
      <c r="E23" s="179">
        <f>VLOOKUP($B$11:$B$25,'Constr. Wage Rate Calculations'!$A$19:$Z$288,22,FALSE)</f>
        <v>0</v>
      </c>
      <c r="F23" s="184"/>
      <c r="G23" s="179">
        <f>VLOOKUP($B$11:$B$25,'Constr. Wage Rate Calculations'!$A$19:$Z$288,23,FALSE)</f>
        <v>0</v>
      </c>
      <c r="H23" s="184"/>
      <c r="I23" s="179">
        <f>VLOOKUP($B$11:$B$25,'Constr. Wage Rate Calculations'!$A$19:$Z$288,24,FALSE)</f>
        <v>0</v>
      </c>
      <c r="J23" s="20">
        <f>VLOOKUP($B$11:$B$25,'Constr. Wage Rate Calculations'!$A$19:$Z$288,25,FALSE)</f>
        <v>0</v>
      </c>
      <c r="K23" s="179" t="str">
        <f>IF($D23&gt;=1,$J23+(D23*E23)+(F23*G23)+(H23*I23),IF($F23&gt;=1,$J23+(D23*E23)+(F23*G23)+(H23*I23),IF($H23&gt;=1,$J23+(D23*E23)+(F23*G23)+(H23*I23),"")))</f>
        <v/>
      </c>
    </row>
    <row r="24" spans="1:15" ht="15" customHeight="1">
      <c r="A24" s="48"/>
      <c r="B24" s="49">
        <f>VLOOKUP($C$11:$C$25,Personnel!$A$1:$B$1234,2,FALSE)</f>
        <v>0</v>
      </c>
      <c r="C24" s="36"/>
      <c r="D24" s="184"/>
      <c r="E24" s="179">
        <f>VLOOKUP($B$11:$B$25,'Constr. Wage Rate Calculations'!$A$19:$Z$288,22,FALSE)</f>
        <v>0</v>
      </c>
      <c r="F24" s="184"/>
      <c r="G24" s="179">
        <f>VLOOKUP($B$11:$B$25,'Constr. Wage Rate Calculations'!$A$19:$Z$288,23,FALSE)</f>
        <v>0</v>
      </c>
      <c r="H24" s="184"/>
      <c r="I24" s="179">
        <f>VLOOKUP($B$11:$B$25,'Constr. Wage Rate Calculations'!$A$19:$Z$288,24,FALSE)</f>
        <v>0</v>
      </c>
      <c r="J24" s="20">
        <f>VLOOKUP($B$11:$B$25,'Constr. Wage Rate Calculations'!$A$19:$Z$288,25,FALSE)</f>
        <v>0</v>
      </c>
      <c r="K24" s="179" t="str">
        <f>IF($D24&gt;=1,$J24+(D24*E24)+(F24*G24)+(H24*I24),IF($F24&gt;=1,$J24+(D24*E24)+(F24*G24)+(H24*I24),IF($H24&gt;=1,$J24+(D24*E24)+(F24*G24)+(H24*I24),"")))</f>
        <v/>
      </c>
    </row>
    <row r="25" spans="1:15" ht="15" customHeight="1" thickBot="1">
      <c r="A25" s="48"/>
      <c r="B25" s="49">
        <f>VLOOKUP($C$11:$C$25,Personnel!$A$1:$B$1234,2,FALSE)</f>
        <v>0</v>
      </c>
      <c r="C25" s="36"/>
      <c r="D25" s="184"/>
      <c r="E25" s="179">
        <f>VLOOKUP($B$11:$B$25,'Constr. Wage Rate Calculations'!$A$19:$Z$288,22,FALSE)</f>
        <v>0</v>
      </c>
      <c r="F25" s="184"/>
      <c r="G25" s="179">
        <f>VLOOKUP($B$11:$B$25,'Constr. Wage Rate Calculations'!$A$19:$Z$288,23,FALSE)</f>
        <v>0</v>
      </c>
      <c r="H25" s="184"/>
      <c r="I25" s="179">
        <f>VLOOKUP($B$11:$B$25,'Constr. Wage Rate Calculations'!$A$19:$Z$288,24,FALSE)</f>
        <v>0</v>
      </c>
      <c r="J25" s="20">
        <f>VLOOKUP($B$11:$B$25,'Constr. Wage Rate Calculations'!$A$19:$Z$288,25,FALSE)</f>
        <v>0</v>
      </c>
      <c r="K25" s="179" t="str">
        <f>IF($D25&gt;=1,$J25+(D25*E25)+(F25*G25)+(H25*I25),IF($F25&gt;=1,$J25+(D25*E25)+(F25*G25)+(H25*I25),IF($H25&gt;=1,$J25+(D25*E25)+(F25*G25)+(H25*I25),"")))</f>
        <v/>
      </c>
      <c r="M25" s="1">
        <f>SUM(M11:M24)</f>
        <v>0</v>
      </c>
    </row>
    <row r="26" spans="1:15" ht="15" customHeight="1" thickBot="1">
      <c r="A26"/>
      <c r="B26"/>
      <c r="C26"/>
      <c r="D26" s="21"/>
      <c r="E26" s="21"/>
      <c r="F26" s="21"/>
      <c r="G26" s="21"/>
      <c r="H26" s="21"/>
      <c r="I26" s="360" t="s">
        <v>18</v>
      </c>
      <c r="J26" s="361"/>
      <c r="K26" s="183">
        <f>SUM(K11:K25)</f>
        <v>0</v>
      </c>
      <c r="M26" s="1">
        <f>SUMIFS(D11:D25,D11:D25,"&lt;3",D11:D25,"&lt;5")</f>
        <v>0</v>
      </c>
      <c r="N26" s="1">
        <f>SUMIFS(D11:D25,D11:D25,"&gt;3",D11:D25,"&gt;5")</f>
        <v>0</v>
      </c>
      <c r="O26" s="1">
        <f>SUM(F11:F25,H11:H25,M26,N26)-M25</f>
        <v>0</v>
      </c>
    </row>
    <row r="27" spans="1:15" ht="10" customHeight="1" thickBot="1"/>
    <row r="28" spans="1:15" s="19" customFormat="1" ht="15" customHeight="1" thickBot="1">
      <c r="A28" s="22" t="s">
        <v>19</v>
      </c>
      <c r="B28" s="23" t="s">
        <v>20</v>
      </c>
      <c r="C28" s="23"/>
      <c r="D28" s="23"/>
      <c r="E28" s="23"/>
      <c r="F28" s="23"/>
      <c r="G28" s="23"/>
      <c r="H28" s="18" t="s">
        <v>21</v>
      </c>
      <c r="I28" s="18" t="s">
        <v>22</v>
      </c>
      <c r="J28" s="18" t="s">
        <v>23</v>
      </c>
      <c r="K28" s="18" t="s">
        <v>17</v>
      </c>
    </row>
    <row r="29" spans="1:15" ht="15" customHeight="1">
      <c r="A29" s="43"/>
      <c r="B29" s="49">
        <f>VLOOKUP($C$29:$C$88,Equipment!$A$1:$B$2322,2,FALSE)</f>
        <v>0</v>
      </c>
      <c r="C29" s="24"/>
      <c r="D29" s="24"/>
      <c r="E29" s="24"/>
      <c r="F29" s="24"/>
      <c r="G29" s="24"/>
      <c r="H29" s="185"/>
      <c r="I29" s="184"/>
      <c r="J29" s="42">
        <f>VLOOKUP($B$29:$B$88,'Alberta Equip. Rates Year 3'!$B$13:$K$314,10,FALSE)</f>
        <v>0</v>
      </c>
      <c r="K29" s="181">
        <f t="shared" ref="K29:K47" si="1">(H29+I29)*J29</f>
        <v>0</v>
      </c>
    </row>
    <row r="30" spans="1:15" ht="15" customHeight="1">
      <c r="A30" s="43"/>
      <c r="B30" s="49">
        <f>VLOOKUP($C$29:$C$88,Equipment!$A$1:$B$2322,2,FALSE)</f>
        <v>0</v>
      </c>
      <c r="C30" s="24"/>
      <c r="D30" s="24"/>
      <c r="E30" s="24"/>
      <c r="F30" s="24"/>
      <c r="G30" s="24"/>
      <c r="H30" s="185"/>
      <c r="I30" s="184"/>
      <c r="J30" s="42">
        <f>VLOOKUP($B$29:$B$88,'Alberta Equip. Rates Year 3'!$B$13:$K$314,10,FALSE)</f>
        <v>0</v>
      </c>
      <c r="K30" s="181">
        <f t="shared" si="1"/>
        <v>0</v>
      </c>
    </row>
    <row r="31" spans="1:15" ht="15" customHeight="1">
      <c r="A31" s="43"/>
      <c r="B31" s="49">
        <f>VLOOKUP($C$29:$C$88,Equipment!$A$1:$B$2322,2,FALSE)</f>
        <v>0</v>
      </c>
      <c r="C31" s="24"/>
      <c r="D31" s="24"/>
      <c r="E31" s="24"/>
      <c r="F31" s="24"/>
      <c r="G31" s="24"/>
      <c r="H31" s="185"/>
      <c r="I31" s="184"/>
      <c r="J31" s="42">
        <f>VLOOKUP($B$29:$B$88,'Alberta Equip. Rates Year 3'!$B$13:$K$314,10,FALSE)</f>
        <v>0</v>
      </c>
      <c r="K31" s="181">
        <f t="shared" si="1"/>
        <v>0</v>
      </c>
    </row>
    <row r="32" spans="1:15" ht="15" customHeight="1">
      <c r="A32" s="43"/>
      <c r="B32" s="49">
        <f>VLOOKUP($C$29:$C$88,Equipment!$A$1:$B$2322,2,FALSE)</f>
        <v>0</v>
      </c>
      <c r="C32" s="24"/>
      <c r="D32" s="24"/>
      <c r="E32" s="24"/>
      <c r="F32" s="24"/>
      <c r="G32" s="24"/>
      <c r="H32" s="185"/>
      <c r="I32" s="184"/>
      <c r="J32" s="42">
        <f>VLOOKUP($B$29:$B$88,'Alberta Equip. Rates Year 3'!$B$13:$K$314,10,FALSE)</f>
        <v>0</v>
      </c>
      <c r="K32" s="181">
        <f t="shared" si="1"/>
        <v>0</v>
      </c>
    </row>
    <row r="33" spans="1:11" ht="15" customHeight="1">
      <c r="A33" s="43"/>
      <c r="B33" s="49">
        <f>VLOOKUP($C$29:$C$88,Equipment!$A$1:$B$2322,2,FALSE)</f>
        <v>0</v>
      </c>
      <c r="C33" s="24"/>
      <c r="D33" s="24"/>
      <c r="E33" s="24"/>
      <c r="F33" s="24"/>
      <c r="G33" s="24"/>
      <c r="H33" s="185"/>
      <c r="I33" s="184"/>
      <c r="J33" s="42">
        <f>VLOOKUP($B$29:$B$88,'Alberta Equip. Rates Year 3'!$B$13:$K$314,10,FALSE)</f>
        <v>0</v>
      </c>
      <c r="K33" s="181">
        <f t="shared" si="1"/>
        <v>0</v>
      </c>
    </row>
    <row r="34" spans="1:11" ht="15" customHeight="1">
      <c r="A34" s="43"/>
      <c r="B34" s="49">
        <f>VLOOKUP($C$29:$C$88,Equipment!$A$1:$B$2322,2,FALSE)</f>
        <v>0</v>
      </c>
      <c r="C34" s="24"/>
      <c r="D34" s="24"/>
      <c r="E34" s="24"/>
      <c r="F34" s="24"/>
      <c r="G34" s="24"/>
      <c r="H34" s="185"/>
      <c r="I34" s="184"/>
      <c r="J34" s="42">
        <f>VLOOKUP($B$29:$B$88,'Alberta Equip. Rates Year 3'!$B$13:$K$314,10,FALSE)</f>
        <v>0</v>
      </c>
      <c r="K34" s="181">
        <f t="shared" si="1"/>
        <v>0</v>
      </c>
    </row>
    <row r="35" spans="1:11" ht="15" customHeight="1">
      <c r="A35" s="43"/>
      <c r="B35" s="49">
        <f>VLOOKUP($C$29:$C$88,Equipment!$A$1:$B$2322,2,FALSE)</f>
        <v>0</v>
      </c>
      <c r="C35" s="24"/>
      <c r="D35" s="24"/>
      <c r="E35" s="24"/>
      <c r="F35" s="24"/>
      <c r="G35" s="24"/>
      <c r="H35" s="185"/>
      <c r="I35" s="184"/>
      <c r="J35" s="42">
        <f>VLOOKUP($B$29:$B$88,'Alberta Equip. Rates Year 3'!$B$13:$K$314,10,FALSE)</f>
        <v>0</v>
      </c>
      <c r="K35" s="181">
        <f t="shared" si="1"/>
        <v>0</v>
      </c>
    </row>
    <row r="36" spans="1:11" ht="15" customHeight="1">
      <c r="A36" s="43"/>
      <c r="B36" s="49">
        <f>VLOOKUP($C$29:$C$88,Equipment!$A$1:$B$2322,2,FALSE)</f>
        <v>0</v>
      </c>
      <c r="C36" s="24"/>
      <c r="D36" s="24"/>
      <c r="E36" s="24"/>
      <c r="F36" s="24"/>
      <c r="G36" s="24"/>
      <c r="H36" s="185"/>
      <c r="I36" s="184"/>
      <c r="J36" s="42">
        <f>VLOOKUP($B$29:$B$88,'Alberta Equip. Rates Year 3'!$B$13:$K$314,10,FALSE)</f>
        <v>0</v>
      </c>
      <c r="K36" s="181">
        <f t="shared" si="1"/>
        <v>0</v>
      </c>
    </row>
    <row r="37" spans="1:11" ht="15" customHeight="1">
      <c r="A37" s="43"/>
      <c r="B37" s="49">
        <f>VLOOKUP($C$29:$C$88,Equipment!$A$1:$B$2322,2,FALSE)</f>
        <v>0</v>
      </c>
      <c r="C37" s="24"/>
      <c r="D37" s="24"/>
      <c r="E37" s="24"/>
      <c r="F37" s="24"/>
      <c r="G37" s="24"/>
      <c r="H37" s="185"/>
      <c r="I37" s="184"/>
      <c r="J37" s="42">
        <f>VLOOKUP($B$29:$B$88,'Alberta Equip. Rates Year 3'!$B$13:$K$314,10,FALSE)</f>
        <v>0</v>
      </c>
      <c r="K37" s="181">
        <f t="shared" si="1"/>
        <v>0</v>
      </c>
    </row>
    <row r="38" spans="1:11" ht="15" customHeight="1">
      <c r="A38" s="43"/>
      <c r="B38" s="49">
        <f>VLOOKUP($C$29:$C$88,Equipment!$A$1:$B$2322,2,FALSE)</f>
        <v>0</v>
      </c>
      <c r="C38" s="24"/>
      <c r="D38" s="24"/>
      <c r="E38" s="24"/>
      <c r="F38" s="24"/>
      <c r="G38" s="24"/>
      <c r="H38" s="185"/>
      <c r="I38" s="184"/>
      <c r="J38" s="42">
        <f>VLOOKUP($B$29:$B$88,'Alberta Equip. Rates Year 3'!$B$13:$K$314,10,FALSE)</f>
        <v>0</v>
      </c>
      <c r="K38" s="181">
        <f t="shared" si="1"/>
        <v>0</v>
      </c>
    </row>
    <row r="39" spans="1:11" ht="15" customHeight="1">
      <c r="A39" s="43"/>
      <c r="B39" s="49">
        <f>VLOOKUP($C$29:$C$88,Equipment!$A$1:$B$2322,2,FALSE)</f>
        <v>0</v>
      </c>
      <c r="C39" s="24"/>
      <c r="D39" s="24"/>
      <c r="E39" s="24"/>
      <c r="F39" s="24"/>
      <c r="G39" s="24"/>
      <c r="H39" s="185"/>
      <c r="I39" s="184"/>
      <c r="J39" s="42">
        <f>VLOOKUP($B$29:$B$88,'Alberta Equip. Rates Year 3'!$B$13:$K$314,10,FALSE)</f>
        <v>0</v>
      </c>
      <c r="K39" s="181">
        <f t="shared" si="1"/>
        <v>0</v>
      </c>
    </row>
    <row r="40" spans="1:11" ht="15" customHeight="1">
      <c r="A40" s="43"/>
      <c r="B40" s="49">
        <f>VLOOKUP($C$29:$C$88,Equipment!$A$1:$B$2322,2,FALSE)</f>
        <v>0</v>
      </c>
      <c r="C40" s="24"/>
      <c r="D40" s="24"/>
      <c r="E40" s="24"/>
      <c r="F40" s="24"/>
      <c r="G40" s="24"/>
      <c r="H40" s="185"/>
      <c r="I40" s="184"/>
      <c r="J40" s="42">
        <f>VLOOKUP($B$29:$B$88,'Alberta Equip. Rates Year 3'!$B$13:$K$314,10,FALSE)</f>
        <v>0</v>
      </c>
      <c r="K40" s="181">
        <f t="shared" si="1"/>
        <v>0</v>
      </c>
    </row>
    <row r="41" spans="1:11" ht="15" customHeight="1">
      <c r="A41" s="43"/>
      <c r="B41" s="49">
        <f>VLOOKUP($C$29:$C$88,Equipment!$A$1:$B$2322,2,FALSE)</f>
        <v>0</v>
      </c>
      <c r="C41" s="24"/>
      <c r="D41" s="24"/>
      <c r="E41" s="24"/>
      <c r="F41" s="24"/>
      <c r="G41" s="24"/>
      <c r="H41" s="185"/>
      <c r="I41" s="184"/>
      <c r="J41" s="42">
        <f>VLOOKUP($B$29:$B$88,'Alberta Equip. Rates Year 3'!$B$13:$K$314,10,FALSE)</f>
        <v>0</v>
      </c>
      <c r="K41" s="181">
        <f t="shared" si="1"/>
        <v>0</v>
      </c>
    </row>
    <row r="42" spans="1:11" ht="15" customHeight="1">
      <c r="A42" s="43"/>
      <c r="B42" s="49">
        <f>VLOOKUP($C$29:$C$88,Equipment!$A$1:$B$2322,2,FALSE)</f>
        <v>0</v>
      </c>
      <c r="C42" s="24"/>
      <c r="D42" s="24"/>
      <c r="E42" s="24"/>
      <c r="F42" s="24"/>
      <c r="G42" s="24"/>
      <c r="H42" s="185"/>
      <c r="I42" s="184"/>
      <c r="J42" s="42">
        <f>VLOOKUP($B$29:$B$88,'Alberta Equip. Rates Year 3'!$B$13:$K$314,10,FALSE)</f>
        <v>0</v>
      </c>
      <c r="K42" s="181">
        <f t="shared" si="1"/>
        <v>0</v>
      </c>
    </row>
    <row r="43" spans="1:11" ht="15" customHeight="1">
      <c r="A43" s="43"/>
      <c r="B43" s="49">
        <f>VLOOKUP($C$29:$C$88,Equipment!$A$1:$B$2322,2,FALSE)</f>
        <v>0</v>
      </c>
      <c r="C43" s="24"/>
      <c r="D43" s="24"/>
      <c r="E43" s="24"/>
      <c r="F43" s="24"/>
      <c r="G43" s="24"/>
      <c r="H43" s="185"/>
      <c r="I43" s="184"/>
      <c r="J43" s="42">
        <f>VLOOKUP($B$29:$B$88,'Alberta Equip. Rates Year 3'!$B$13:$K$314,10,FALSE)</f>
        <v>0</v>
      </c>
      <c r="K43" s="181">
        <f t="shared" si="1"/>
        <v>0</v>
      </c>
    </row>
    <row r="44" spans="1:11" ht="15" customHeight="1">
      <c r="A44" s="43"/>
      <c r="B44" s="49">
        <f>VLOOKUP($C$29:$C$88,Equipment!$A$1:$B$2322,2,FALSE)</f>
        <v>0</v>
      </c>
      <c r="C44" s="24"/>
      <c r="D44" s="24"/>
      <c r="E44" s="24"/>
      <c r="F44" s="24"/>
      <c r="G44" s="24"/>
      <c r="H44" s="185"/>
      <c r="I44" s="184"/>
      <c r="J44" s="42">
        <f>VLOOKUP($B$29:$B$88,'Alberta Equip. Rates Year 3'!$B$13:$K$314,10,FALSE)</f>
        <v>0</v>
      </c>
      <c r="K44" s="181">
        <f t="shared" si="1"/>
        <v>0</v>
      </c>
    </row>
    <row r="45" spans="1:11" ht="15" customHeight="1">
      <c r="A45" s="43"/>
      <c r="B45" s="49">
        <f>VLOOKUP($C$29:$C$88,Equipment!$A$1:$B$2322,2,FALSE)</f>
        <v>0</v>
      </c>
      <c r="C45" s="24"/>
      <c r="D45" s="24"/>
      <c r="E45" s="24"/>
      <c r="F45" s="24"/>
      <c r="G45" s="24"/>
      <c r="H45" s="185"/>
      <c r="I45" s="184"/>
      <c r="J45" s="42">
        <f>VLOOKUP($B$29:$B$88,'Alberta Equip. Rates Year 3'!$B$13:$K$314,10,FALSE)</f>
        <v>0</v>
      </c>
      <c r="K45" s="181">
        <f t="shared" si="1"/>
        <v>0</v>
      </c>
    </row>
    <row r="46" spans="1:11" ht="15" customHeight="1">
      <c r="A46" s="43"/>
      <c r="B46" s="49">
        <f>VLOOKUP($C$29:$C$88,Equipment!$A$1:$B$2322,2,FALSE)</f>
        <v>0</v>
      </c>
      <c r="C46" s="24"/>
      <c r="D46" s="24"/>
      <c r="E46" s="24"/>
      <c r="F46" s="24"/>
      <c r="G46" s="24"/>
      <c r="H46" s="185"/>
      <c r="I46" s="184"/>
      <c r="J46" s="42">
        <f>VLOOKUP($B$29:$B$88,'Alberta Equip. Rates Year 3'!$B$13:$K$314,10,FALSE)</f>
        <v>0</v>
      </c>
      <c r="K46" s="181">
        <f t="shared" si="1"/>
        <v>0</v>
      </c>
    </row>
    <row r="47" spans="1:11" ht="15" customHeight="1">
      <c r="A47" s="43"/>
      <c r="B47" s="49">
        <f>VLOOKUP($C$29:$C$88,Equipment!$A$1:$B$2322,2,FALSE)</f>
        <v>0</v>
      </c>
      <c r="C47" s="24"/>
      <c r="D47" s="24"/>
      <c r="E47" s="24"/>
      <c r="F47" s="24"/>
      <c r="G47" s="24"/>
      <c r="H47" s="185"/>
      <c r="I47" s="184"/>
      <c r="J47" s="42">
        <f>VLOOKUP($B$29:$B$88,'Alberta Equip. Rates Year 3'!$B$13:$K$314,10,FALSE)</f>
        <v>0</v>
      </c>
      <c r="K47" s="181">
        <f t="shared" si="1"/>
        <v>0</v>
      </c>
    </row>
    <row r="48" spans="1:11" ht="15" customHeight="1">
      <c r="A48" s="43"/>
      <c r="B48" s="49">
        <f>VLOOKUP($C$29:$C$88,Equipment!$A$1:$B$2322,2,FALSE)</f>
        <v>0</v>
      </c>
      <c r="C48" s="24"/>
      <c r="D48" s="24"/>
      <c r="E48" s="24"/>
      <c r="F48" s="24"/>
      <c r="G48" s="24"/>
      <c r="H48" s="185"/>
      <c r="I48" s="184"/>
      <c r="J48" s="42">
        <f>VLOOKUP($B$29:$B$88,'Alberta Equip. Rates Year 3'!$B$13:$K$314,10,FALSE)</f>
        <v>0</v>
      </c>
      <c r="K48" s="181">
        <f t="shared" ref="K48:K56" si="2">(H48+I48)*J48</f>
        <v>0</v>
      </c>
    </row>
    <row r="49" spans="1:11" ht="15" customHeight="1">
      <c r="A49" s="43"/>
      <c r="B49" s="49">
        <f>VLOOKUP($C$29:$C$88,Equipment!$A$1:$B$2322,2,FALSE)</f>
        <v>0</v>
      </c>
      <c r="C49" s="24"/>
      <c r="D49" s="24"/>
      <c r="E49" s="24"/>
      <c r="F49" s="24"/>
      <c r="G49" s="24"/>
      <c r="H49" s="185"/>
      <c r="I49" s="184"/>
      <c r="J49" s="42">
        <f>VLOOKUP($B$29:$B$88,'Alberta Equip. Rates Year 3'!$B$13:$K$314,10,FALSE)</f>
        <v>0</v>
      </c>
      <c r="K49" s="181">
        <f t="shared" si="2"/>
        <v>0</v>
      </c>
    </row>
    <row r="50" spans="1:11" ht="15" customHeight="1">
      <c r="A50" s="43"/>
      <c r="B50" s="49">
        <f>VLOOKUP($C$29:$C$88,Equipment!$A$1:$B$2322,2,FALSE)</f>
        <v>0</v>
      </c>
      <c r="C50" s="24"/>
      <c r="D50" s="24"/>
      <c r="E50" s="24"/>
      <c r="F50" s="24"/>
      <c r="G50" s="24"/>
      <c r="H50" s="185"/>
      <c r="I50" s="184"/>
      <c r="J50" s="42">
        <f>VLOOKUP($B$29:$B$88,'Alberta Equip. Rates Year 3'!$B$13:$K$314,10,FALSE)</f>
        <v>0</v>
      </c>
      <c r="K50" s="181">
        <f t="shared" si="2"/>
        <v>0</v>
      </c>
    </row>
    <row r="51" spans="1:11" ht="15" customHeight="1">
      <c r="A51" s="43"/>
      <c r="B51" s="49">
        <f>VLOOKUP($C$29:$C$88,Equipment!$A$1:$B$2322,2,FALSE)</f>
        <v>0</v>
      </c>
      <c r="C51" s="24"/>
      <c r="D51" s="24"/>
      <c r="E51" s="24"/>
      <c r="F51" s="24"/>
      <c r="G51" s="24"/>
      <c r="H51" s="185"/>
      <c r="I51" s="184"/>
      <c r="J51" s="42">
        <f>VLOOKUP($B$29:$B$88,'Alberta Equip. Rates Year 3'!$B$13:$K$314,10,FALSE)</f>
        <v>0</v>
      </c>
      <c r="K51" s="181">
        <f t="shared" si="2"/>
        <v>0</v>
      </c>
    </row>
    <row r="52" spans="1:11" ht="15" customHeight="1">
      <c r="A52" s="43"/>
      <c r="B52" s="49">
        <f>VLOOKUP($C$29:$C$88,Equipment!$A$1:$B$2322,2,FALSE)</f>
        <v>0</v>
      </c>
      <c r="C52" s="24"/>
      <c r="D52" s="24"/>
      <c r="E52" s="24"/>
      <c r="F52" s="24"/>
      <c r="G52" s="24"/>
      <c r="H52" s="185"/>
      <c r="I52" s="184"/>
      <c r="J52" s="42">
        <f>VLOOKUP($B$29:$B$88,'Alberta Equip. Rates Year 3'!$B$13:$K$314,10,FALSE)</f>
        <v>0</v>
      </c>
      <c r="K52" s="181">
        <f t="shared" si="2"/>
        <v>0</v>
      </c>
    </row>
    <row r="53" spans="1:11" ht="15" customHeight="1">
      <c r="A53" s="43"/>
      <c r="B53" s="49">
        <f>VLOOKUP($C$29:$C$88,Equipment!$A$1:$B$2322,2,FALSE)</f>
        <v>0</v>
      </c>
      <c r="C53" s="24"/>
      <c r="D53" s="24"/>
      <c r="E53" s="24"/>
      <c r="F53" s="24"/>
      <c r="G53" s="24"/>
      <c r="H53" s="185"/>
      <c r="I53" s="184"/>
      <c r="J53" s="42">
        <f>VLOOKUP($B$29:$B$88,'Alberta Equip. Rates Year 3'!$B$13:$K$314,10,FALSE)</f>
        <v>0</v>
      </c>
      <c r="K53" s="181">
        <f t="shared" si="2"/>
        <v>0</v>
      </c>
    </row>
    <row r="54" spans="1:11" ht="15" customHeight="1">
      <c r="A54" s="43"/>
      <c r="B54" s="49">
        <f>VLOOKUP($C$29:$C$88,Equipment!$A$1:$B$2322,2,FALSE)</f>
        <v>0</v>
      </c>
      <c r="C54" s="24"/>
      <c r="D54" s="24"/>
      <c r="E54" s="24"/>
      <c r="F54" s="24"/>
      <c r="G54" s="24"/>
      <c r="H54" s="185"/>
      <c r="I54" s="184"/>
      <c r="J54" s="42">
        <f>VLOOKUP($B$29:$B$88,'Alberta Equip. Rates Year 3'!$B$13:$K$314,10,FALSE)</f>
        <v>0</v>
      </c>
      <c r="K54" s="181">
        <f t="shared" si="2"/>
        <v>0</v>
      </c>
    </row>
    <row r="55" spans="1:11" ht="15" customHeight="1">
      <c r="A55" s="43"/>
      <c r="B55" s="49">
        <f>VLOOKUP($C$29:$C$88,Equipment!$A$1:$B$2322,2,FALSE)</f>
        <v>0</v>
      </c>
      <c r="C55" s="24"/>
      <c r="D55" s="24"/>
      <c r="E55" s="24"/>
      <c r="F55" s="24"/>
      <c r="G55" s="24"/>
      <c r="H55" s="185"/>
      <c r="I55" s="184"/>
      <c r="J55" s="42">
        <f>VLOOKUP($B$29:$B$88,'Alberta Equip. Rates Year 3'!$B$13:$K$314,10,FALSE)</f>
        <v>0</v>
      </c>
      <c r="K55" s="181">
        <f t="shared" si="2"/>
        <v>0</v>
      </c>
    </row>
    <row r="56" spans="1:11" ht="15" customHeight="1">
      <c r="A56" s="43"/>
      <c r="B56" s="49">
        <f>VLOOKUP($C$29:$C$88,Equipment!$A$1:$B$2322,2,FALSE)</f>
        <v>0</v>
      </c>
      <c r="C56" s="24"/>
      <c r="D56" s="24"/>
      <c r="E56" s="24"/>
      <c r="F56" s="24"/>
      <c r="G56" s="24"/>
      <c r="H56" s="185"/>
      <c r="I56" s="184"/>
      <c r="J56" s="42">
        <f>VLOOKUP($B$29:$B$88,'Alberta Equip. Rates Year 3'!$B$13:$K$314,10,FALSE)</f>
        <v>0</v>
      </c>
      <c r="K56" s="181">
        <f t="shared" si="2"/>
        <v>0</v>
      </c>
    </row>
    <row r="57" spans="1:11" ht="15" customHeight="1">
      <c r="A57" s="43"/>
      <c r="B57" s="49">
        <f>VLOOKUP($C$29:$C$88,Equipment!$A$1:$B$2322,2,FALSE)</f>
        <v>0</v>
      </c>
      <c r="C57" s="24"/>
      <c r="D57" s="24"/>
      <c r="E57" s="24"/>
      <c r="F57" s="24"/>
      <c r="G57" s="24"/>
      <c r="H57" s="185"/>
      <c r="I57" s="184"/>
      <c r="J57" s="42">
        <f>VLOOKUP($B$29:$B$88,'Alberta Equip. Rates Year 3'!$B$13:$K$314,10,FALSE)</f>
        <v>0</v>
      </c>
      <c r="K57" s="181">
        <f>(H57+I57)*J57</f>
        <v>0</v>
      </c>
    </row>
    <row r="58" spans="1:11" ht="15" customHeight="1">
      <c r="A58" s="43"/>
      <c r="B58" s="49">
        <f>VLOOKUP($C$29:$C$88,Equipment!$A$1:$B$2322,2,FALSE)</f>
        <v>0</v>
      </c>
      <c r="C58" s="24"/>
      <c r="D58" s="24"/>
      <c r="E58" s="24"/>
      <c r="F58" s="24"/>
      <c r="G58" s="24"/>
      <c r="H58" s="185"/>
      <c r="I58" s="184"/>
      <c r="J58" s="42">
        <f>VLOOKUP($B$29:$B$88,'Alberta Equip. Rates Year 3'!$B$13:$K$314,10,FALSE)</f>
        <v>0</v>
      </c>
      <c r="K58" s="181">
        <f>(H58+I58)*J58</f>
        <v>0</v>
      </c>
    </row>
    <row r="59" spans="1:11" ht="15" customHeight="1">
      <c r="A59" s="43"/>
      <c r="B59" s="49">
        <f>VLOOKUP($C$29:$C$88,Equipment!$A$1:$B$2322,2,FALSE)</f>
        <v>0</v>
      </c>
      <c r="C59" s="24"/>
      <c r="D59" s="24"/>
      <c r="E59" s="24"/>
      <c r="F59" s="24"/>
      <c r="G59" s="24"/>
      <c r="H59" s="185"/>
      <c r="I59" s="184"/>
      <c r="J59" s="42">
        <f>VLOOKUP($B$29:$B$88,'Alberta Equip. Rates Year 3'!$B$13:$K$314,10,FALSE)</f>
        <v>0</v>
      </c>
      <c r="K59" s="181">
        <f>(H59+I59)*J59</f>
        <v>0</v>
      </c>
    </row>
    <row r="60" spans="1:11" ht="15" customHeight="1">
      <c r="A60" s="43"/>
      <c r="B60" s="49">
        <f>VLOOKUP($C$29:$C$88,Equipment!$A$1:$B$2322,2,FALSE)</f>
        <v>0</v>
      </c>
      <c r="C60" s="24"/>
      <c r="D60" s="24"/>
      <c r="E60" s="24"/>
      <c r="F60" s="24"/>
      <c r="G60" s="24"/>
      <c r="H60" s="185"/>
      <c r="I60" s="184"/>
      <c r="J60" s="42">
        <f>VLOOKUP($B$29:$B$88,'Alberta Equip. Rates Year 3'!$B$13:$K$314,10,FALSE)</f>
        <v>0</v>
      </c>
      <c r="K60" s="181">
        <f>(H60+I60)*J60</f>
        <v>0</v>
      </c>
    </row>
    <row r="61" spans="1:11" ht="15" customHeight="1">
      <c r="A61" s="43"/>
      <c r="B61" s="49">
        <f>VLOOKUP($C$29:$C$88,Equipment!$A$1:$B$2322,2,FALSE)</f>
        <v>0</v>
      </c>
      <c r="C61" s="24"/>
      <c r="D61" s="24"/>
      <c r="E61" s="24"/>
      <c r="F61" s="24"/>
      <c r="G61" s="24"/>
      <c r="H61" s="185"/>
      <c r="I61" s="184"/>
      <c r="J61" s="42">
        <f>VLOOKUP($B$29:$B$88,'Alberta Equip. Rates Year 3'!$B$13:$K$314,10,FALSE)</f>
        <v>0</v>
      </c>
      <c r="K61" s="181">
        <f>(H61+I61)*J61</f>
        <v>0</v>
      </c>
    </row>
    <row r="62" spans="1:11" ht="15" customHeight="1">
      <c r="A62" s="43"/>
      <c r="B62" s="49">
        <f>VLOOKUP($C$29:$C$88,Equipment!$A$1:$B$2322,2,FALSE)</f>
        <v>0</v>
      </c>
      <c r="C62" s="24"/>
      <c r="D62" s="24"/>
      <c r="E62" s="24"/>
      <c r="F62" s="24"/>
      <c r="G62" s="24"/>
      <c r="H62" s="185"/>
      <c r="I62" s="184"/>
      <c r="J62" s="42">
        <f>VLOOKUP($B$29:$B$88,'Alberta Equip. Rates Year 3'!$B$13:$K$314,10,FALSE)</f>
        <v>0</v>
      </c>
      <c r="K62" s="181">
        <f t="shared" ref="K62:K70" si="3">(H62+I62)*J62</f>
        <v>0</v>
      </c>
    </row>
    <row r="63" spans="1:11" ht="15" customHeight="1">
      <c r="A63" s="43"/>
      <c r="B63" s="49">
        <f>VLOOKUP($C$29:$C$88,Equipment!$A$1:$B$2322,2,FALSE)</f>
        <v>0</v>
      </c>
      <c r="C63" s="24"/>
      <c r="D63" s="24"/>
      <c r="E63" s="24"/>
      <c r="F63" s="24"/>
      <c r="G63" s="24"/>
      <c r="H63" s="185"/>
      <c r="I63" s="184"/>
      <c r="J63" s="42">
        <f>VLOOKUP($B$29:$B$88,'Alberta Equip. Rates Year 3'!$B$13:$K$314,10,FALSE)</f>
        <v>0</v>
      </c>
      <c r="K63" s="181">
        <f t="shared" si="3"/>
        <v>0</v>
      </c>
    </row>
    <row r="64" spans="1:11" ht="15" customHeight="1">
      <c r="A64" s="43"/>
      <c r="B64" s="49">
        <f>VLOOKUP($C$29:$C$88,Equipment!$A$1:$B$2322,2,FALSE)</f>
        <v>0</v>
      </c>
      <c r="C64" s="24"/>
      <c r="D64" s="24"/>
      <c r="E64" s="24"/>
      <c r="F64" s="24"/>
      <c r="G64" s="24"/>
      <c r="H64" s="185"/>
      <c r="I64" s="184"/>
      <c r="J64" s="42">
        <f>VLOOKUP($B$29:$B$88,'Alberta Equip. Rates Year 3'!$B$13:$K$314,10,FALSE)</f>
        <v>0</v>
      </c>
      <c r="K64" s="181">
        <f t="shared" si="3"/>
        <v>0</v>
      </c>
    </row>
    <row r="65" spans="1:11" ht="15" customHeight="1">
      <c r="A65" s="43"/>
      <c r="B65" s="49">
        <f>VLOOKUP($C$29:$C$88,Equipment!$A$1:$B$2322,2,FALSE)</f>
        <v>0</v>
      </c>
      <c r="C65" s="24"/>
      <c r="D65" s="24"/>
      <c r="E65" s="24"/>
      <c r="F65" s="24"/>
      <c r="G65" s="24"/>
      <c r="H65" s="185"/>
      <c r="I65" s="184"/>
      <c r="J65" s="42">
        <f>VLOOKUP($B$29:$B$88,'Alberta Equip. Rates Year 3'!$B$13:$K$314,10,FALSE)</f>
        <v>0</v>
      </c>
      <c r="K65" s="181">
        <f t="shared" si="3"/>
        <v>0</v>
      </c>
    </row>
    <row r="66" spans="1:11" ht="15" customHeight="1">
      <c r="A66" s="43"/>
      <c r="B66" s="49">
        <f>VLOOKUP($C$29:$C$88,Equipment!$A$1:$B$2322,2,FALSE)</f>
        <v>0</v>
      </c>
      <c r="C66" s="24"/>
      <c r="D66" s="24"/>
      <c r="E66" s="24"/>
      <c r="F66" s="24"/>
      <c r="G66" s="24"/>
      <c r="H66" s="185"/>
      <c r="I66" s="184"/>
      <c r="J66" s="42">
        <f>VLOOKUP($B$29:$B$88,'Alberta Equip. Rates Year 3'!$B$13:$K$314,10,FALSE)</f>
        <v>0</v>
      </c>
      <c r="K66" s="181">
        <f t="shared" si="3"/>
        <v>0</v>
      </c>
    </row>
    <row r="67" spans="1:11" ht="15" customHeight="1">
      <c r="A67" s="43"/>
      <c r="B67" s="49">
        <f>VLOOKUP($C$29:$C$88,Equipment!$A$1:$B$2322,2,FALSE)</f>
        <v>0</v>
      </c>
      <c r="C67" s="24"/>
      <c r="D67" s="24"/>
      <c r="E67" s="24"/>
      <c r="F67" s="24"/>
      <c r="G67" s="24"/>
      <c r="H67" s="185"/>
      <c r="I67" s="184"/>
      <c r="J67" s="42">
        <f>VLOOKUP($B$29:$B$88,'Alberta Equip. Rates Year 3'!$B$13:$K$314,10,FALSE)</f>
        <v>0</v>
      </c>
      <c r="K67" s="181">
        <f t="shared" si="3"/>
        <v>0</v>
      </c>
    </row>
    <row r="68" spans="1:11" ht="15" customHeight="1">
      <c r="A68" s="43"/>
      <c r="B68" s="49">
        <f>VLOOKUP($C$29:$C$88,Equipment!$A$1:$B$2322,2,FALSE)</f>
        <v>0</v>
      </c>
      <c r="C68" s="24"/>
      <c r="D68" s="24"/>
      <c r="E68" s="24"/>
      <c r="F68" s="24"/>
      <c r="G68" s="24"/>
      <c r="H68" s="185"/>
      <c r="I68" s="184"/>
      <c r="J68" s="42">
        <f>VLOOKUP($B$29:$B$88,'Alberta Equip. Rates Year 3'!$B$13:$K$314,10,FALSE)</f>
        <v>0</v>
      </c>
      <c r="K68" s="181">
        <f t="shared" si="3"/>
        <v>0</v>
      </c>
    </row>
    <row r="69" spans="1:11" ht="15" customHeight="1">
      <c r="A69" s="43"/>
      <c r="B69" s="49">
        <f>VLOOKUP($C$29:$C$88,Equipment!$A$1:$B$2322,2,FALSE)</f>
        <v>0</v>
      </c>
      <c r="C69" s="24"/>
      <c r="D69" s="24"/>
      <c r="E69" s="24"/>
      <c r="F69" s="24"/>
      <c r="G69" s="24"/>
      <c r="H69" s="185"/>
      <c r="I69" s="184"/>
      <c r="J69" s="42">
        <f>VLOOKUP($B$29:$B$88,'Alberta Equip. Rates Year 3'!$B$13:$K$314,10,FALSE)</f>
        <v>0</v>
      </c>
      <c r="K69" s="181">
        <f t="shared" si="3"/>
        <v>0</v>
      </c>
    </row>
    <row r="70" spans="1:11" ht="15" customHeight="1">
      <c r="A70" s="43"/>
      <c r="B70" s="49">
        <f>VLOOKUP($C$29:$C$88,Equipment!$A$1:$B$2322,2,FALSE)</f>
        <v>0</v>
      </c>
      <c r="C70" s="24"/>
      <c r="D70" s="24"/>
      <c r="E70" s="24"/>
      <c r="F70" s="24"/>
      <c r="G70" s="24"/>
      <c r="H70" s="185"/>
      <c r="I70" s="184"/>
      <c r="J70" s="42">
        <f>VLOOKUP($B$29:$B$88,'Alberta Equip. Rates Year 3'!$B$13:$K$314,10,FALSE)</f>
        <v>0</v>
      </c>
      <c r="K70" s="181">
        <f t="shared" si="3"/>
        <v>0</v>
      </c>
    </row>
    <row r="71" spans="1:11" ht="15" customHeight="1">
      <c r="A71" s="43"/>
      <c r="B71" s="49">
        <f>VLOOKUP($C$29:$C$88,Equipment!$A$1:$B$2322,2,FALSE)</f>
        <v>0</v>
      </c>
      <c r="C71" s="24"/>
      <c r="D71" s="24"/>
      <c r="E71" s="24"/>
      <c r="F71" s="24"/>
      <c r="G71" s="24"/>
      <c r="H71" s="185"/>
      <c r="I71" s="184"/>
      <c r="J71" s="42">
        <f>VLOOKUP($B$29:$B$88,'Alberta Equip. Rates Year 3'!$B$13:$K$314,10,FALSE)</f>
        <v>0</v>
      </c>
      <c r="K71" s="181">
        <f t="shared" ref="K71:K88" si="4">(H71+I71)*J71</f>
        <v>0</v>
      </c>
    </row>
    <row r="72" spans="1:11" ht="15" customHeight="1">
      <c r="A72" s="43"/>
      <c r="B72" s="49">
        <f>VLOOKUP($C$29:$C$88,Equipment!$A$1:$B$2322,2,FALSE)</f>
        <v>0</v>
      </c>
      <c r="C72" s="24"/>
      <c r="D72" s="24"/>
      <c r="E72" s="24"/>
      <c r="F72" s="24"/>
      <c r="G72" s="24"/>
      <c r="H72" s="185"/>
      <c r="I72" s="184"/>
      <c r="J72" s="42">
        <f>VLOOKUP($B$29:$B$88,'Alberta Equip. Rates Year 3'!$B$13:$K$314,10,FALSE)</f>
        <v>0</v>
      </c>
      <c r="K72" s="181">
        <f t="shared" si="4"/>
        <v>0</v>
      </c>
    </row>
    <row r="73" spans="1:11" ht="15" customHeight="1">
      <c r="A73" s="43"/>
      <c r="B73" s="49">
        <f>VLOOKUP($C$29:$C$88,Equipment!$A$1:$B$2322,2,FALSE)</f>
        <v>0</v>
      </c>
      <c r="C73" s="24"/>
      <c r="D73" s="24"/>
      <c r="E73" s="24"/>
      <c r="F73" s="24"/>
      <c r="G73" s="24"/>
      <c r="H73" s="185"/>
      <c r="I73" s="184"/>
      <c r="J73" s="42">
        <f>VLOOKUP($B$29:$B$88,'Alberta Equip. Rates Year 3'!$B$13:$K$314,10,FALSE)</f>
        <v>0</v>
      </c>
      <c r="K73" s="181">
        <f t="shared" si="4"/>
        <v>0</v>
      </c>
    </row>
    <row r="74" spans="1:11" ht="15" customHeight="1">
      <c r="A74" s="43"/>
      <c r="B74" s="49">
        <f>VLOOKUP($C$29:$C$88,Equipment!$A$1:$B$2322,2,FALSE)</f>
        <v>0</v>
      </c>
      <c r="C74" s="24"/>
      <c r="D74" s="24"/>
      <c r="E74" s="24"/>
      <c r="F74" s="24"/>
      <c r="G74" s="24"/>
      <c r="H74" s="185"/>
      <c r="I74" s="184"/>
      <c r="J74" s="42">
        <f>VLOOKUP($B$29:$B$88,'Alberta Equip. Rates Year 3'!$B$13:$K$314,10,FALSE)</f>
        <v>0</v>
      </c>
      <c r="K74" s="181">
        <f t="shared" si="4"/>
        <v>0</v>
      </c>
    </row>
    <row r="75" spans="1:11" ht="15" customHeight="1">
      <c r="A75" s="43"/>
      <c r="B75" s="49">
        <f>VLOOKUP($C$29:$C$88,Equipment!$A$1:$B$2322,2,FALSE)</f>
        <v>0</v>
      </c>
      <c r="C75" s="24"/>
      <c r="D75" s="24"/>
      <c r="E75" s="24"/>
      <c r="F75" s="24"/>
      <c r="G75" s="24"/>
      <c r="H75" s="185"/>
      <c r="I75" s="184"/>
      <c r="J75" s="42">
        <f>VLOOKUP($B$29:$B$88,'Alberta Equip. Rates Year 3'!$B$13:$K$314,10,FALSE)</f>
        <v>0</v>
      </c>
      <c r="K75" s="181">
        <f t="shared" si="4"/>
        <v>0</v>
      </c>
    </row>
    <row r="76" spans="1:11" ht="15" customHeight="1">
      <c r="A76" s="43"/>
      <c r="B76" s="49">
        <f>VLOOKUP($C$29:$C$88,Equipment!$A$1:$B$2322,2,FALSE)</f>
        <v>0</v>
      </c>
      <c r="C76" s="24"/>
      <c r="D76" s="24"/>
      <c r="E76" s="24"/>
      <c r="F76" s="24"/>
      <c r="G76" s="24"/>
      <c r="H76" s="185"/>
      <c r="I76" s="184"/>
      <c r="J76" s="42">
        <f>VLOOKUP($B$29:$B$88,'Alberta Equip. Rates Year 3'!$B$13:$K$314,10,FALSE)</f>
        <v>0</v>
      </c>
      <c r="K76" s="181">
        <f t="shared" si="4"/>
        <v>0</v>
      </c>
    </row>
    <row r="77" spans="1:11" ht="15" customHeight="1">
      <c r="A77" s="43"/>
      <c r="B77" s="49">
        <f>VLOOKUP($C$29:$C$88,Equipment!$A$1:$B$2322,2,FALSE)</f>
        <v>0</v>
      </c>
      <c r="C77" s="24"/>
      <c r="D77" s="24"/>
      <c r="E77" s="24"/>
      <c r="F77" s="24"/>
      <c r="G77" s="24"/>
      <c r="H77" s="185"/>
      <c r="I77" s="184"/>
      <c r="J77" s="42">
        <f>VLOOKUP($B$29:$B$88,'Alberta Equip. Rates Year 3'!$B$13:$K$314,10,FALSE)</f>
        <v>0</v>
      </c>
      <c r="K77" s="181">
        <f t="shared" si="4"/>
        <v>0</v>
      </c>
    </row>
    <row r="78" spans="1:11" ht="15" customHeight="1">
      <c r="A78" s="43"/>
      <c r="B78" s="49">
        <f>VLOOKUP($C$29:$C$88,Equipment!$A$1:$B$2322,2,FALSE)</f>
        <v>0</v>
      </c>
      <c r="C78" s="24"/>
      <c r="D78" s="24"/>
      <c r="E78" s="24"/>
      <c r="F78" s="24"/>
      <c r="G78" s="24"/>
      <c r="H78" s="185"/>
      <c r="I78" s="184"/>
      <c r="J78" s="42">
        <f>VLOOKUP($B$29:$B$88,'Alberta Equip. Rates Year 3'!$B$13:$K$314,10,FALSE)</f>
        <v>0</v>
      </c>
      <c r="K78" s="181">
        <f t="shared" si="4"/>
        <v>0</v>
      </c>
    </row>
    <row r="79" spans="1:11" ht="15" customHeight="1">
      <c r="A79" s="43"/>
      <c r="B79" s="49">
        <f>VLOOKUP($C$29:$C$88,Equipment!$A$1:$B$2322,2,FALSE)</f>
        <v>0</v>
      </c>
      <c r="C79" s="24"/>
      <c r="D79" s="24"/>
      <c r="E79" s="24"/>
      <c r="F79" s="24"/>
      <c r="G79" s="24"/>
      <c r="H79" s="185"/>
      <c r="I79" s="184"/>
      <c r="J79" s="42">
        <f>VLOOKUP($B$29:$B$88,'Alberta Equip. Rates Year 3'!$B$13:$K$314,10,FALSE)</f>
        <v>0</v>
      </c>
      <c r="K79" s="181">
        <f t="shared" si="4"/>
        <v>0</v>
      </c>
    </row>
    <row r="80" spans="1:11" ht="15" customHeight="1">
      <c r="A80" s="43"/>
      <c r="B80" s="49">
        <f>VLOOKUP($C$29:$C$88,Equipment!$A$1:$B$2322,2,FALSE)</f>
        <v>0</v>
      </c>
      <c r="C80" s="24"/>
      <c r="D80" s="24"/>
      <c r="E80" s="24"/>
      <c r="F80" s="24"/>
      <c r="G80" s="24"/>
      <c r="H80" s="185"/>
      <c r="I80" s="184"/>
      <c r="J80" s="42">
        <f>VLOOKUP($B$29:$B$88,'Alberta Equip. Rates Year 3'!$B$13:$K$314,10,FALSE)</f>
        <v>0</v>
      </c>
      <c r="K80" s="181">
        <f t="shared" si="4"/>
        <v>0</v>
      </c>
    </row>
    <row r="81" spans="1:11" ht="15" customHeight="1">
      <c r="A81" s="43"/>
      <c r="B81" s="49">
        <f>VLOOKUP($C$29:$C$88,Equipment!$A$1:$B$2322,2,FALSE)</f>
        <v>0</v>
      </c>
      <c r="C81" s="24"/>
      <c r="D81" s="24"/>
      <c r="E81" s="24"/>
      <c r="F81" s="24"/>
      <c r="G81" s="24"/>
      <c r="H81" s="185"/>
      <c r="I81" s="184"/>
      <c r="J81" s="42">
        <f>VLOOKUP($B$29:$B$88,'Alberta Equip. Rates Year 3'!$B$13:$K$314,10,FALSE)</f>
        <v>0</v>
      </c>
      <c r="K81" s="181">
        <f t="shared" si="4"/>
        <v>0</v>
      </c>
    </row>
    <row r="82" spans="1:11" ht="15" customHeight="1">
      <c r="A82" s="43"/>
      <c r="B82" s="49">
        <f>VLOOKUP($C$29:$C$88,Equipment!$A$1:$B$2322,2,FALSE)</f>
        <v>0</v>
      </c>
      <c r="C82" s="24"/>
      <c r="D82" s="24"/>
      <c r="E82" s="24"/>
      <c r="F82" s="24"/>
      <c r="G82" s="24"/>
      <c r="H82" s="185"/>
      <c r="I82" s="184"/>
      <c r="J82" s="42">
        <f>VLOOKUP($B$29:$B$88,'Alberta Equip. Rates Year 3'!$B$13:$K$314,10,FALSE)</f>
        <v>0</v>
      </c>
      <c r="K82" s="181">
        <f t="shared" si="4"/>
        <v>0</v>
      </c>
    </row>
    <row r="83" spans="1:11" ht="15" customHeight="1">
      <c r="A83" s="43"/>
      <c r="B83" s="49">
        <f>VLOOKUP($C$29:$C$88,Equipment!$A$1:$B$2322,2,FALSE)</f>
        <v>0</v>
      </c>
      <c r="C83" s="24"/>
      <c r="D83" s="24"/>
      <c r="E83" s="24"/>
      <c r="F83" s="24"/>
      <c r="G83" s="24"/>
      <c r="H83" s="185"/>
      <c r="I83" s="184"/>
      <c r="J83" s="42">
        <f>VLOOKUP($B$29:$B$88,'Alberta Equip. Rates Year 3'!$B$13:$K$314,10,FALSE)</f>
        <v>0</v>
      </c>
      <c r="K83" s="181">
        <f t="shared" si="4"/>
        <v>0</v>
      </c>
    </row>
    <row r="84" spans="1:11" ht="15" customHeight="1">
      <c r="A84" s="43"/>
      <c r="B84" s="49">
        <f>VLOOKUP($C$29:$C$88,Equipment!$A$1:$B$2322,2,FALSE)</f>
        <v>0</v>
      </c>
      <c r="C84" s="24"/>
      <c r="D84" s="24"/>
      <c r="E84" s="24"/>
      <c r="F84" s="24"/>
      <c r="G84" s="24"/>
      <c r="H84" s="185"/>
      <c r="I84" s="184"/>
      <c r="J84" s="42">
        <f>VLOOKUP($B$29:$B$88,'Alberta Equip. Rates Year 3'!$B$13:$K$314,10,FALSE)</f>
        <v>0</v>
      </c>
      <c r="K84" s="181">
        <f t="shared" si="4"/>
        <v>0</v>
      </c>
    </row>
    <row r="85" spans="1:11" ht="15" customHeight="1">
      <c r="A85" s="43"/>
      <c r="B85" s="49">
        <f>VLOOKUP($C$29:$C$88,Equipment!$A$1:$B$2322,2,FALSE)</f>
        <v>0</v>
      </c>
      <c r="C85" s="24"/>
      <c r="D85" s="24"/>
      <c r="E85" s="24"/>
      <c r="F85" s="24"/>
      <c r="G85" s="24"/>
      <c r="H85" s="185"/>
      <c r="I85" s="184"/>
      <c r="J85" s="42">
        <f>VLOOKUP($B$29:$B$88,'Alberta Equip. Rates Year 3'!$B$13:$K$314,10,FALSE)</f>
        <v>0</v>
      </c>
      <c r="K85" s="181">
        <f t="shared" si="4"/>
        <v>0</v>
      </c>
    </row>
    <row r="86" spans="1:11" ht="15" customHeight="1">
      <c r="A86" s="43"/>
      <c r="B86" s="49">
        <f>VLOOKUP($C$29:$C$88,Equipment!$A$1:$B$2322,2,FALSE)</f>
        <v>0</v>
      </c>
      <c r="C86" s="24"/>
      <c r="D86" s="24"/>
      <c r="E86" s="24"/>
      <c r="F86" s="24"/>
      <c r="G86" s="24"/>
      <c r="H86" s="185"/>
      <c r="I86" s="184"/>
      <c r="J86" s="42">
        <f>VLOOKUP($B$29:$B$88,'Alberta Equip. Rates Year 3'!$B$13:$K$314,10,FALSE)</f>
        <v>0</v>
      </c>
      <c r="K86" s="181">
        <f t="shared" si="4"/>
        <v>0</v>
      </c>
    </row>
    <row r="87" spans="1:11" ht="15" customHeight="1">
      <c r="A87" s="43"/>
      <c r="B87" s="49">
        <f>VLOOKUP($C$29:$C$88,Equipment!$A$1:$B$2322,2,FALSE)</f>
        <v>0</v>
      </c>
      <c r="C87" s="24"/>
      <c r="D87" s="24"/>
      <c r="E87" s="24"/>
      <c r="F87" s="24"/>
      <c r="G87" s="24"/>
      <c r="H87" s="185"/>
      <c r="I87" s="184"/>
      <c r="J87" s="42">
        <f>VLOOKUP($B$29:$B$88,'Alberta Equip. Rates Year 3'!$B$13:$K$314,10,FALSE)</f>
        <v>0</v>
      </c>
      <c r="K87" s="181">
        <f t="shared" si="4"/>
        <v>0</v>
      </c>
    </row>
    <row r="88" spans="1:11" ht="15" customHeight="1" thickBot="1">
      <c r="A88" s="43"/>
      <c r="B88" s="49">
        <f>VLOOKUP($C$29:$C$88,Equipment!$A$1:$B$2322,2,FALSE)</f>
        <v>0</v>
      </c>
      <c r="C88" s="24"/>
      <c r="D88" s="24"/>
      <c r="E88" s="24"/>
      <c r="F88" s="24"/>
      <c r="G88" s="24"/>
      <c r="H88" s="185"/>
      <c r="I88" s="184"/>
      <c r="J88" s="42">
        <f>VLOOKUP($B$29:$B$88,'Alberta Equip. Rates Year 3'!$B$13:$K$314,10,FALSE)</f>
        <v>0</v>
      </c>
      <c r="K88" s="181">
        <f t="shared" si="4"/>
        <v>0</v>
      </c>
    </row>
    <row r="89" spans="1:11" ht="12" thickBot="1">
      <c r="A89" s="25"/>
      <c r="B89" s="25"/>
      <c r="C89" s="25"/>
      <c r="D89" s="21"/>
      <c r="E89" s="21"/>
      <c r="F89" s="21"/>
      <c r="G89" s="21"/>
      <c r="H89" s="21"/>
      <c r="I89" s="360" t="s">
        <v>24</v>
      </c>
      <c r="J89" s="361"/>
      <c r="K89" s="182">
        <f>SUM(K29:K88)</f>
        <v>0</v>
      </c>
    </row>
    <row r="90" spans="1:11" ht="12" thickBot="1">
      <c r="A90" s="26"/>
      <c r="D90" s="26"/>
      <c r="I90" s="27"/>
      <c r="J90" s="27"/>
      <c r="K90" s="28"/>
    </row>
    <row r="91" spans="1:11">
      <c r="A91" s="1" t="s">
        <v>25</v>
      </c>
      <c r="B91" s="29"/>
      <c r="D91" s="1"/>
      <c r="E91" s="1"/>
      <c r="F91" s="1"/>
      <c r="G91" s="1"/>
      <c r="H91" s="1"/>
      <c r="I91" s="362" t="s">
        <v>26</v>
      </c>
      <c r="J91" s="362"/>
      <c r="K91" s="37">
        <f>K26</f>
        <v>0</v>
      </c>
    </row>
    <row r="92" spans="1:11">
      <c r="D92" s="1"/>
      <c r="E92" s="1"/>
      <c r="F92" s="1"/>
      <c r="G92" s="1"/>
      <c r="H92" s="1"/>
      <c r="I92" s="362" t="s">
        <v>27</v>
      </c>
      <c r="J92" s="362"/>
      <c r="K92" s="38">
        <f>K89</f>
        <v>0</v>
      </c>
    </row>
    <row r="93" spans="1:11">
      <c r="D93" s="1"/>
      <c r="E93" s="1"/>
      <c r="F93" s="1"/>
      <c r="G93" s="1"/>
      <c r="H93" s="1"/>
      <c r="I93" s="27" t="s">
        <v>28</v>
      </c>
      <c r="J93" s="27"/>
      <c r="K93" s="38">
        <f>(O26)*14.15</f>
        <v>0</v>
      </c>
    </row>
    <row r="94" spans="1:11">
      <c r="D94" s="1"/>
      <c r="E94" s="1"/>
      <c r="F94" s="1"/>
      <c r="G94" s="1"/>
      <c r="H94" s="1"/>
      <c r="I94" s="30" t="s">
        <v>29</v>
      </c>
      <c r="J94" s="30"/>
      <c r="K94" s="39"/>
    </row>
    <row r="95" spans="1:11">
      <c r="D95" s="1"/>
      <c r="E95" s="1"/>
      <c r="F95" s="1"/>
      <c r="G95" s="1"/>
      <c r="H95" s="1"/>
      <c r="I95" s="30" t="s">
        <v>30</v>
      </c>
      <c r="J95" s="30"/>
      <c r="K95" s="39"/>
    </row>
    <row r="96" spans="1:11">
      <c r="D96" s="1"/>
      <c r="E96" s="1"/>
      <c r="F96" s="1"/>
      <c r="G96" s="1"/>
      <c r="H96" s="1"/>
      <c r="I96" s="30" t="s">
        <v>31</v>
      </c>
      <c r="J96" s="30"/>
      <c r="K96" s="39"/>
    </row>
    <row r="97" spans="1:11" ht="12" thickBot="1">
      <c r="D97" s="1"/>
      <c r="E97" s="1"/>
      <c r="F97" s="1"/>
      <c r="G97" s="1"/>
      <c r="H97" s="1"/>
      <c r="I97" s="362" t="s">
        <v>32</v>
      </c>
      <c r="J97" s="362"/>
      <c r="K97" s="40">
        <f>SUM(K91:K96)</f>
        <v>0</v>
      </c>
    </row>
    <row r="98" spans="1:11">
      <c r="D98" s="1"/>
      <c r="E98" s="1"/>
      <c r="F98" s="1"/>
      <c r="G98" s="1"/>
      <c r="H98" s="1"/>
      <c r="I98" s="27"/>
      <c r="J98" s="27"/>
    </row>
    <row r="99" spans="1:11">
      <c r="A99" s="31" t="s">
        <v>33</v>
      </c>
      <c r="B99" s="32"/>
      <c r="C99" s="32"/>
      <c r="D99" s="1"/>
      <c r="H99" s="33" t="s">
        <v>34</v>
      </c>
      <c r="I99" s="32"/>
      <c r="J99" s="32"/>
      <c r="K99" s="32"/>
    </row>
    <row r="100" spans="1:11" ht="15">
      <c r="A100" s="34"/>
      <c r="E100" s="8"/>
      <c r="F100" s="8"/>
      <c r="G100" s="8"/>
      <c r="H100" s="35"/>
      <c r="I100" s="35"/>
      <c r="J100" s="35"/>
      <c r="K100" s="35"/>
    </row>
    <row r="101" spans="1:11" ht="15">
      <c r="A101" s="34" t="s">
        <v>35</v>
      </c>
      <c r="E101" s="8"/>
      <c r="F101" s="8"/>
      <c r="G101" s="8"/>
      <c r="H101" s="35"/>
      <c r="I101" s="35"/>
      <c r="J101" s="35"/>
      <c r="K101" s="35"/>
    </row>
    <row r="102" spans="1:11" s="34" customFormat="1">
      <c r="A102" s="363">
        <v>41218.479166666664</v>
      </c>
      <c r="B102" s="363"/>
      <c r="C102" s="364"/>
      <c r="D102" s="364"/>
      <c r="E102" s="364"/>
      <c r="F102" s="364"/>
      <c r="G102" s="364"/>
      <c r="H102" s="364"/>
      <c r="I102" s="364"/>
      <c r="J102" s="364"/>
      <c r="K102" s="8"/>
    </row>
    <row r="112" spans="1:11">
      <c r="D112" s="1"/>
      <c r="E112" s="1"/>
      <c r="F112" s="1"/>
      <c r="G112" s="1"/>
      <c r="H112" s="1"/>
      <c r="I112" s="1"/>
      <c r="J112" s="1"/>
    </row>
    <row r="113" s="1" customFormat="1"/>
    <row r="114" s="1" customFormat="1"/>
    <row r="115" s="1" customFormat="1"/>
    <row r="116" s="1" customFormat="1"/>
    <row r="117" s="1" customFormat="1"/>
    <row r="118" s="1" customFormat="1"/>
    <row r="119" s="1" customFormat="1"/>
    <row r="120" s="1" customFormat="1"/>
    <row r="121" s="1" customFormat="1"/>
    <row r="122" s="1" customFormat="1"/>
    <row r="123" s="1" customFormat="1"/>
    <row r="124" s="1" customFormat="1"/>
    <row r="125" s="1" customFormat="1"/>
    <row r="130" s="1" customFormat="1"/>
    <row r="158" s="1" customFormat="1"/>
    <row r="159" s="1" customFormat="1"/>
    <row r="160" s="1" customFormat="1"/>
    <row r="161" s="1" customFormat="1"/>
  </sheetData>
  <mergeCells count="12">
    <mergeCell ref="I89:J89"/>
    <mergeCell ref="I91:J91"/>
    <mergeCell ref="I92:J92"/>
    <mergeCell ref="I97:J97"/>
    <mergeCell ref="A102:B102"/>
    <mergeCell ref="C102:J102"/>
    <mergeCell ref="I26:J26"/>
    <mergeCell ref="C1:H1"/>
    <mergeCell ref="C2:H2"/>
    <mergeCell ref="C3:H3"/>
    <mergeCell ref="H6:I6"/>
    <mergeCell ref="H7:I7"/>
  </mergeCells>
  <printOptions horizontalCentered="1"/>
  <pageMargins left="0.19685039370078741" right="0.19685039370078741" top="0.39370078740157483" bottom="0.39370078740157483" header="0" footer="0"/>
  <pageSetup orientation="portrait" horizontalDpi="4294967292" verticalDpi="4294967292"/>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E00-000000000000}">
          <x14:formula1>
            <xm:f>Accounts!$A$4:$A$60</xm:f>
          </x14:formula1>
          <xm:sqref>K7</xm:sqref>
        </x14:dataValidation>
        <x14:dataValidation type="list" allowBlank="1" showInputMessage="1" showErrorMessage="1" xr:uid="{00000000-0002-0000-0E00-000001000000}">
          <x14:formula1>
            <xm:f>'Constr. Wage Rate Calculations'!$A$19:$A$288</xm:f>
          </x14:formula1>
          <xm:sqref>B11:B25</xm:sqref>
        </x14:dataValidation>
        <x14:dataValidation type="list" allowBlank="1" showInputMessage="1" showErrorMessage="1" xr:uid="{00000000-0002-0000-0E00-000002000000}">
          <x14:formula1>
            <xm:f>Personnel!$A:$A</xm:f>
          </x14:formula1>
          <xm:sqref>C11:C25</xm:sqref>
        </x14:dataValidation>
        <x14:dataValidation type="list" allowBlank="1" showInputMessage="1" showErrorMessage="1" xr:uid="{00000000-0002-0000-0E00-000003000000}">
          <x14:formula1>
            <xm:f>Equipment!$A:$A</xm:f>
          </x14:formula1>
          <xm:sqref>C29:C88</xm:sqref>
        </x14:dataValidation>
      </x14:dataValidations>
    </ext>
    <ext xmlns:mx="http://schemas.microsoft.com/office/mac/excel/2008/main" uri="{64002731-A6B0-56B0-2670-7721B7C09600}">
      <mx:PLV Mode="0" OnePage="0" WScale="0"/>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O115"/>
  <sheetViews>
    <sheetView zoomScale="120" zoomScaleNormal="120" zoomScalePageLayoutView="120" workbookViewId="0">
      <selection activeCell="F13" sqref="F13"/>
    </sheetView>
  </sheetViews>
  <sheetFormatPr baseColWidth="10" defaultColWidth="8.83203125" defaultRowHeight="11"/>
  <cols>
    <col min="1" max="1" width="13" style="1" customWidth="1"/>
    <col min="2" max="2" width="30" style="1" customWidth="1"/>
    <col min="3" max="3" width="24.5" style="1" customWidth="1"/>
    <col min="4" max="4" width="8.6640625" style="2" customWidth="1"/>
    <col min="5" max="6" width="8.33203125" style="2" customWidth="1"/>
    <col min="7" max="8" width="8.6640625" style="2" customWidth="1"/>
    <col min="9" max="9" width="9.33203125" style="2" customWidth="1"/>
    <col min="10" max="10" width="8.6640625" style="2" customWidth="1"/>
    <col min="11" max="11" width="22.1640625" style="1" customWidth="1"/>
    <col min="12" max="12" width="3.5" style="1" hidden="1" customWidth="1"/>
    <col min="13" max="16384" width="8.83203125" style="1"/>
  </cols>
  <sheetData>
    <row r="1" spans="1:13" ht="15">
      <c r="C1" s="364"/>
      <c r="D1" s="365"/>
      <c r="E1" s="365"/>
      <c r="F1" s="365"/>
      <c r="G1" s="365"/>
      <c r="H1" s="366"/>
      <c r="J1" s="2" t="s">
        <v>0</v>
      </c>
      <c r="K1" s="197"/>
      <c r="M1" s="45"/>
    </row>
    <row r="2" spans="1:13" ht="15">
      <c r="C2" s="367"/>
      <c r="D2" s="367"/>
      <c r="E2" s="367"/>
      <c r="F2" s="367"/>
      <c r="G2" s="367"/>
      <c r="H2" s="366"/>
      <c r="K2" s="41"/>
    </row>
    <row r="3" spans="1:13" ht="15">
      <c r="C3" s="368"/>
      <c r="D3" s="369"/>
      <c r="E3" s="369"/>
      <c r="F3" s="369"/>
      <c r="G3" s="369"/>
      <c r="H3" s="366"/>
    </row>
    <row r="4" spans="1:13">
      <c r="C4" s="3"/>
      <c r="D4" s="4"/>
      <c r="E4" s="4"/>
      <c r="F4" s="4"/>
      <c r="G4" s="4"/>
    </row>
    <row r="5" spans="1:13">
      <c r="C5" s="3"/>
      <c r="D5" s="4"/>
      <c r="E5" s="4"/>
      <c r="F5" s="4"/>
      <c r="G5" s="4"/>
    </row>
    <row r="6" spans="1:13" ht="12">
      <c r="B6" s="5"/>
      <c r="C6" s="6"/>
      <c r="D6" s="7"/>
      <c r="E6" s="8"/>
      <c r="F6" s="8"/>
      <c r="G6" s="1" t="s">
        <v>1</v>
      </c>
      <c r="H6" s="370"/>
      <c r="I6" s="370"/>
      <c r="J6" s="1" t="s">
        <v>2</v>
      </c>
      <c r="K6" s="47"/>
    </row>
    <row r="7" spans="1:13" ht="12">
      <c r="A7" s="1" t="s">
        <v>3</v>
      </c>
      <c r="B7" s="9"/>
      <c r="C7" s="10"/>
      <c r="D7" s="11"/>
      <c r="E7" s="8"/>
      <c r="F7" s="8"/>
      <c r="G7" s="1" t="s">
        <v>4</v>
      </c>
      <c r="H7" s="371"/>
      <c r="I7" s="371"/>
      <c r="J7" s="1" t="s">
        <v>5</v>
      </c>
      <c r="K7" s="46"/>
    </row>
    <row r="8" spans="1:13" ht="12">
      <c r="B8" s="12"/>
      <c r="C8" s="13"/>
      <c r="D8" s="14"/>
      <c r="E8" s="8"/>
      <c r="F8" s="8"/>
      <c r="G8" s="1" t="s">
        <v>6</v>
      </c>
      <c r="H8" s="187"/>
      <c r="I8" s="188"/>
      <c r="J8" s="44"/>
    </row>
    <row r="9" spans="1:13" ht="16" thickBot="1">
      <c r="B9" s="15"/>
      <c r="C9" s="16"/>
      <c r="D9" s="16"/>
      <c r="E9" s="8"/>
      <c r="F9" s="8"/>
      <c r="G9" s="8"/>
    </row>
    <row r="10" spans="1:13" s="19" customFormat="1" ht="12" thickBot="1">
      <c r="A10" s="17" t="s">
        <v>7</v>
      </c>
      <c r="B10" s="17" t="s">
        <v>8</v>
      </c>
      <c r="C10" s="17" t="s">
        <v>9</v>
      </c>
      <c r="D10" s="18" t="s">
        <v>10</v>
      </c>
      <c r="E10" s="18" t="s">
        <v>11</v>
      </c>
      <c r="F10" s="18" t="s">
        <v>12</v>
      </c>
      <c r="G10" s="180" t="s">
        <v>13</v>
      </c>
      <c r="H10" s="18" t="s">
        <v>14</v>
      </c>
      <c r="I10" s="18" t="s">
        <v>15</v>
      </c>
      <c r="J10" s="18" t="s">
        <v>16</v>
      </c>
      <c r="K10" s="18" t="s">
        <v>17</v>
      </c>
      <c r="M10" s="19" t="s">
        <v>1797</v>
      </c>
    </row>
    <row r="11" spans="1:13" ht="15" customHeight="1">
      <c r="A11" s="48"/>
      <c r="B11" s="49">
        <f>VLOOKUP($C$11:$C$25,Personnel!$A$1:$B$1234,2,FALSE)</f>
        <v>0</v>
      </c>
      <c r="C11" s="36"/>
      <c r="D11" s="184"/>
      <c r="E11" s="179">
        <f>VLOOKUP($B$11:$B$25,'Constr. Wage Rate Calculations'!$A$19:$Z$288,22,FALSE)</f>
        <v>0</v>
      </c>
      <c r="F11" s="184"/>
      <c r="G11" s="179">
        <f>VLOOKUP($B$11:$B$25,'Constr. Wage Rate Calculations'!$A$19:$Z$288,23,FALSE)</f>
        <v>0</v>
      </c>
      <c r="H11" s="184"/>
      <c r="I11" s="179">
        <f>VLOOKUP($B$11:$B$25,'Constr. Wage Rate Calculations'!$A$19:$Z$288,24,FALSE)</f>
        <v>0</v>
      </c>
      <c r="J11" s="20">
        <f>VLOOKUP($B$11:$B$25,'Constr. Wage Rate Calculations'!$A$19:$Z$288,25,FALSE)</f>
        <v>0</v>
      </c>
      <c r="K11" s="179" t="str">
        <f t="shared" ref="K11:K25" si="0">IF($D11&gt;=1,$J11+(D11*E11)+(F11*G11)+(H11*I11),IF($F11&gt;=1,$J11+(D11*E11)+(F11*G11)+(H11*I11),IF($H11&gt;=1,$J11+(D11*E11)+(F11*G11)+(H11*I11),"")))</f>
        <v/>
      </c>
    </row>
    <row r="12" spans="1:13" ht="15" customHeight="1">
      <c r="A12" s="48"/>
      <c r="B12" s="49">
        <f>VLOOKUP($C$11:$C$25,Personnel!$A$1:$B$1234,2,FALSE)</f>
        <v>0</v>
      </c>
      <c r="C12" s="36"/>
      <c r="D12" s="184"/>
      <c r="E12" s="179">
        <f>VLOOKUP($B$11:$B$25,'Constr. Wage Rate Calculations'!$A$19:$Z$288,22,FALSE)</f>
        <v>0</v>
      </c>
      <c r="F12" s="184"/>
      <c r="G12" s="179">
        <f>VLOOKUP($B$11:$B$25,'Constr. Wage Rate Calculations'!$A$19:$Z$288,23,FALSE)</f>
        <v>0</v>
      </c>
      <c r="H12" s="184"/>
      <c r="I12" s="179">
        <f>VLOOKUP($B$11:$B$25,'Constr. Wage Rate Calculations'!$A$19:$Z$288,24,FALSE)</f>
        <v>0</v>
      </c>
      <c r="J12" s="20"/>
      <c r="K12" s="179" t="str">
        <f t="shared" si="0"/>
        <v/>
      </c>
    </row>
    <row r="13" spans="1:13" ht="15" customHeight="1">
      <c r="A13" s="48"/>
      <c r="B13" s="49">
        <f>VLOOKUP($C$11:$C$25,Personnel!$A$1:$B$1234,2,FALSE)</f>
        <v>0</v>
      </c>
      <c r="C13" s="36"/>
      <c r="D13" s="184"/>
      <c r="E13" s="179">
        <f>VLOOKUP($B$11:$B$25,'Constr. Wage Rate Calculations'!$A$19:$Z$288,22,FALSE)</f>
        <v>0</v>
      </c>
      <c r="F13" s="184"/>
      <c r="G13" s="179">
        <f>VLOOKUP($B$11:$B$25,'Constr. Wage Rate Calculations'!$A$19:$Z$288,23,FALSE)</f>
        <v>0</v>
      </c>
      <c r="H13" s="184"/>
      <c r="I13" s="179">
        <f>VLOOKUP($B$11:$B$25,'Constr. Wage Rate Calculations'!$A$19:$Z$288,24,FALSE)</f>
        <v>0</v>
      </c>
      <c r="J13" s="20">
        <f>VLOOKUP($B$11:$B$25,'Constr. Wage Rate Calculations'!$A$19:$Z$288,25,FALSE)</f>
        <v>0</v>
      </c>
      <c r="K13" s="179" t="str">
        <f t="shared" si="0"/>
        <v/>
      </c>
    </row>
    <row r="14" spans="1:13" ht="15" customHeight="1">
      <c r="A14" s="48"/>
      <c r="B14" s="49">
        <f>VLOOKUP($C$11:$C$25,Personnel!$A$1:$B$1234,2,FALSE)</f>
        <v>0</v>
      </c>
      <c r="C14" s="36"/>
      <c r="D14" s="184"/>
      <c r="E14" s="179">
        <f>VLOOKUP($B$11:$B$25,'Constr. Wage Rate Calculations'!$A$19:$Z$288,22,FALSE)</f>
        <v>0</v>
      </c>
      <c r="F14" s="184"/>
      <c r="G14" s="179">
        <f>VLOOKUP($B$11:$B$25,'Constr. Wage Rate Calculations'!$A$19:$Z$288,23,FALSE)</f>
        <v>0</v>
      </c>
      <c r="H14" s="184"/>
      <c r="I14" s="179">
        <f>VLOOKUP($B$11:$B$25,'Constr. Wage Rate Calculations'!$A$19:$Z$288,24,FALSE)</f>
        <v>0</v>
      </c>
      <c r="J14" s="20">
        <f>VLOOKUP($B$11:$B$25,'Constr. Wage Rate Calculations'!$A$19:$Z$288,25,FALSE)</f>
        <v>0</v>
      </c>
      <c r="K14" s="179" t="str">
        <f t="shared" si="0"/>
        <v/>
      </c>
    </row>
    <row r="15" spans="1:13" ht="15" customHeight="1">
      <c r="A15" s="48"/>
      <c r="B15" s="49">
        <f>VLOOKUP($C$11:$C$25,Personnel!$A$1:$B$1234,2,FALSE)</f>
        <v>0</v>
      </c>
      <c r="C15" s="36"/>
      <c r="D15" s="184"/>
      <c r="E15" s="179">
        <f>VLOOKUP($B$11:$B$25,'Constr. Wage Rate Calculations'!$A$19:$Z$288,22,FALSE)</f>
        <v>0</v>
      </c>
      <c r="F15" s="184"/>
      <c r="G15" s="179">
        <f>VLOOKUP($B$11:$B$25,'Constr. Wage Rate Calculations'!$A$19:$Z$288,23,FALSE)</f>
        <v>0</v>
      </c>
      <c r="H15" s="184"/>
      <c r="I15" s="179">
        <f>VLOOKUP($B$11:$B$25,'Constr. Wage Rate Calculations'!$A$19:$Z$288,24,FALSE)</f>
        <v>0</v>
      </c>
      <c r="J15" s="20">
        <f>VLOOKUP($B$11:$B$25,'Constr. Wage Rate Calculations'!$A$19:$Z$288,25,FALSE)</f>
        <v>0</v>
      </c>
      <c r="K15" s="179" t="str">
        <f t="shared" si="0"/>
        <v/>
      </c>
    </row>
    <row r="16" spans="1:13" ht="15" customHeight="1">
      <c r="A16" s="48"/>
      <c r="B16" s="49">
        <f>VLOOKUP($C$11:$C$25,Personnel!$A$1:$B$1234,2,FALSE)</f>
        <v>0</v>
      </c>
      <c r="C16" s="36"/>
      <c r="D16" s="184"/>
      <c r="E16" s="179">
        <f>VLOOKUP($B$11:$B$25,'Constr. Wage Rate Calculations'!$A$19:$Z$288,22,FALSE)</f>
        <v>0</v>
      </c>
      <c r="F16" s="184"/>
      <c r="G16" s="179">
        <f>VLOOKUP($B$11:$B$25,'Constr. Wage Rate Calculations'!$A$19:$Z$288,23,FALSE)</f>
        <v>0</v>
      </c>
      <c r="H16" s="184"/>
      <c r="I16" s="179">
        <f>VLOOKUP($B$11:$B$25,'Constr. Wage Rate Calculations'!$A$19:$Z$288,24,FALSE)</f>
        <v>0</v>
      </c>
      <c r="J16" s="20">
        <f>VLOOKUP($B$11:$B$25,'Constr. Wage Rate Calculations'!$A$19:$Z$288,25,FALSE)</f>
        <v>0</v>
      </c>
      <c r="K16" s="179" t="str">
        <f t="shared" si="0"/>
        <v/>
      </c>
    </row>
    <row r="17" spans="1:15" ht="15" customHeight="1">
      <c r="A17" s="48"/>
      <c r="B17" s="49">
        <f>VLOOKUP($C$11:$C$25,Personnel!$A$1:$B$1234,2,FALSE)</f>
        <v>0</v>
      </c>
      <c r="C17" s="36"/>
      <c r="D17" s="184"/>
      <c r="E17" s="179">
        <f>VLOOKUP($B$11:$B$25,'Constr. Wage Rate Calculations'!$A$19:$Z$288,22,FALSE)</f>
        <v>0</v>
      </c>
      <c r="F17" s="184"/>
      <c r="G17" s="179">
        <f>VLOOKUP($B$11:$B$25,'Constr. Wage Rate Calculations'!$A$19:$Z$288,23,FALSE)</f>
        <v>0</v>
      </c>
      <c r="H17" s="184"/>
      <c r="I17" s="179">
        <f>VLOOKUP($B$11:$B$25,'Constr. Wage Rate Calculations'!$A$19:$Z$288,24,FALSE)</f>
        <v>0</v>
      </c>
      <c r="J17" s="20">
        <f>VLOOKUP($B$11:$B$25,'Constr. Wage Rate Calculations'!$A$19:$Z$288,25,FALSE)</f>
        <v>0</v>
      </c>
      <c r="K17" s="179" t="str">
        <f t="shared" si="0"/>
        <v/>
      </c>
    </row>
    <row r="18" spans="1:15" ht="15" customHeight="1">
      <c r="A18" s="48"/>
      <c r="B18" s="49">
        <f>VLOOKUP($C$11:$C$25,Personnel!$A$1:$B$1234,2,FALSE)</f>
        <v>0</v>
      </c>
      <c r="C18" s="36"/>
      <c r="D18" s="184"/>
      <c r="E18" s="179">
        <f>VLOOKUP($B$11:$B$25,'Constr. Wage Rate Calculations'!$A$19:$Z$288,22,FALSE)</f>
        <v>0</v>
      </c>
      <c r="F18" s="184"/>
      <c r="G18" s="179">
        <f>VLOOKUP($B$11:$B$25,'Constr. Wage Rate Calculations'!$A$19:$Z$288,23,FALSE)</f>
        <v>0</v>
      </c>
      <c r="H18" s="184"/>
      <c r="I18" s="179">
        <f>VLOOKUP($B$11:$B$25,'Constr. Wage Rate Calculations'!$A$19:$Z$288,24,FALSE)</f>
        <v>0</v>
      </c>
      <c r="J18" s="20">
        <f>VLOOKUP($B$11:$B$25,'Constr. Wage Rate Calculations'!$A$19:$Z$288,25,FALSE)</f>
        <v>0</v>
      </c>
      <c r="K18" s="179" t="str">
        <f t="shared" si="0"/>
        <v/>
      </c>
    </row>
    <row r="19" spans="1:15" ht="15" customHeight="1">
      <c r="A19" s="48"/>
      <c r="B19" s="49">
        <f>VLOOKUP($C$11:$C$25,Personnel!$A$1:$B$1234,2,FALSE)</f>
        <v>0</v>
      </c>
      <c r="C19" s="36"/>
      <c r="D19" s="184"/>
      <c r="E19" s="179">
        <f>VLOOKUP($B$11:$B$25,'Constr. Wage Rate Calculations'!$A$19:$Z$288,22,FALSE)</f>
        <v>0</v>
      </c>
      <c r="F19" s="184"/>
      <c r="G19" s="179">
        <f>VLOOKUP($B$11:$B$25,'Constr. Wage Rate Calculations'!$A$19:$Z$288,23,FALSE)</f>
        <v>0</v>
      </c>
      <c r="H19" s="184"/>
      <c r="I19" s="179">
        <f>VLOOKUP($B$11:$B$25,'Constr. Wage Rate Calculations'!$A$19:$Z$288,24,FALSE)</f>
        <v>0</v>
      </c>
      <c r="J19" s="20">
        <f>VLOOKUP($B$11:$B$25,'Constr. Wage Rate Calculations'!$A$19:$Z$288,25,FALSE)</f>
        <v>0</v>
      </c>
      <c r="K19" s="179" t="str">
        <f t="shared" si="0"/>
        <v/>
      </c>
    </row>
    <row r="20" spans="1:15" ht="15" customHeight="1">
      <c r="A20" s="48"/>
      <c r="B20" s="49">
        <f>VLOOKUP($C$11:$C$25,Personnel!$A$1:$B$1234,2,FALSE)</f>
        <v>0</v>
      </c>
      <c r="C20" s="36"/>
      <c r="D20" s="184"/>
      <c r="E20" s="179">
        <f>VLOOKUP($B$11:$B$25,'Constr. Wage Rate Calculations'!$A$19:$Z$288,22,FALSE)</f>
        <v>0</v>
      </c>
      <c r="F20" s="184"/>
      <c r="G20" s="179">
        <f>VLOOKUP($B$11:$B$25,'Constr. Wage Rate Calculations'!$A$19:$Z$288,23,FALSE)</f>
        <v>0</v>
      </c>
      <c r="H20" s="184"/>
      <c r="I20" s="179">
        <f>VLOOKUP($B$11:$B$25,'Constr. Wage Rate Calculations'!$A$19:$Z$288,24,FALSE)</f>
        <v>0</v>
      </c>
      <c r="J20" s="20">
        <f>VLOOKUP($B$11:$B$25,'Constr. Wage Rate Calculations'!$A$19:$Z$288,25,FALSE)</f>
        <v>0</v>
      </c>
      <c r="K20" s="179" t="str">
        <f t="shared" si="0"/>
        <v/>
      </c>
    </row>
    <row r="21" spans="1:15" ht="15" customHeight="1">
      <c r="A21" s="48"/>
      <c r="B21" s="49">
        <f>VLOOKUP($C$11:$C$25,Personnel!$A$1:$B$1234,2,FALSE)</f>
        <v>0</v>
      </c>
      <c r="C21" s="36"/>
      <c r="D21" s="184"/>
      <c r="E21" s="179">
        <f>VLOOKUP($B$11:$B$25,'Constr. Wage Rate Calculations'!$A$19:$Z$288,22,FALSE)</f>
        <v>0</v>
      </c>
      <c r="F21" s="184"/>
      <c r="G21" s="179">
        <f>VLOOKUP($B$11:$B$25,'Constr. Wage Rate Calculations'!$A$19:$Z$288,23,FALSE)</f>
        <v>0</v>
      </c>
      <c r="H21" s="184"/>
      <c r="I21" s="179">
        <f>VLOOKUP($B$11:$B$25,'Constr. Wage Rate Calculations'!$A$19:$Z$288,24,FALSE)</f>
        <v>0</v>
      </c>
      <c r="J21" s="20">
        <f>VLOOKUP($B$11:$B$25,'Constr. Wage Rate Calculations'!$A$19:$Z$288,25,FALSE)</f>
        <v>0</v>
      </c>
      <c r="K21" s="179" t="str">
        <f t="shared" si="0"/>
        <v/>
      </c>
    </row>
    <row r="22" spans="1:15" ht="15" customHeight="1">
      <c r="A22" s="48"/>
      <c r="B22" s="49">
        <f>VLOOKUP($C$11:$C$25,Personnel!$A$1:$B$1234,2,FALSE)</f>
        <v>0</v>
      </c>
      <c r="C22" s="36"/>
      <c r="D22" s="184"/>
      <c r="E22" s="179">
        <f>VLOOKUP($B$11:$B$25,'Constr. Wage Rate Calculations'!$A$19:$Z$288,22,FALSE)</f>
        <v>0</v>
      </c>
      <c r="F22" s="184"/>
      <c r="G22" s="179">
        <f>VLOOKUP($B$11:$B$25,'Constr. Wage Rate Calculations'!$A$19:$Z$288,23,FALSE)</f>
        <v>0</v>
      </c>
      <c r="H22" s="184"/>
      <c r="I22" s="179">
        <f>VLOOKUP($B$11:$B$25,'Constr. Wage Rate Calculations'!$A$19:$Z$288,24,FALSE)</f>
        <v>0</v>
      </c>
      <c r="J22" s="20">
        <f>VLOOKUP($B$11:$B$25,'Constr. Wage Rate Calculations'!$A$19:$Z$288,25,FALSE)</f>
        <v>0</v>
      </c>
      <c r="K22" s="179" t="str">
        <f>IF($D22&gt;=1,$J22+(D22*E22)+(F22*G22)+(H22*I22),IF($F22&gt;=1,$J22+(D22*E22)+(F22*G22)+(H22*I22),IF($H22&gt;=1,$J22+(D22*E22)+(F22*G22)+(H22*I22),"")))</f>
        <v/>
      </c>
    </row>
    <row r="23" spans="1:15" ht="15" customHeight="1">
      <c r="A23" s="48"/>
      <c r="B23" s="49">
        <f>VLOOKUP($C$11:$C$25,Personnel!$A$1:$B$1234,2,FALSE)</f>
        <v>0</v>
      </c>
      <c r="C23" s="36"/>
      <c r="D23" s="184"/>
      <c r="E23" s="179">
        <f>VLOOKUP($B$11:$B$25,'Constr. Wage Rate Calculations'!$A$19:$Z$288,22,FALSE)</f>
        <v>0</v>
      </c>
      <c r="F23" s="184"/>
      <c r="G23" s="179">
        <f>VLOOKUP($B$11:$B$25,'Constr. Wage Rate Calculations'!$A$19:$Z$288,23,FALSE)</f>
        <v>0</v>
      </c>
      <c r="H23" s="184"/>
      <c r="I23" s="179">
        <f>VLOOKUP($B$11:$B$25,'Constr. Wage Rate Calculations'!$A$19:$Z$288,24,FALSE)</f>
        <v>0</v>
      </c>
      <c r="J23" s="20">
        <f>VLOOKUP($B$11:$B$25,'Constr. Wage Rate Calculations'!$A$19:$Z$288,25,FALSE)</f>
        <v>0</v>
      </c>
      <c r="K23" s="179" t="str">
        <f t="shared" si="0"/>
        <v/>
      </c>
    </row>
    <row r="24" spans="1:15" ht="15" customHeight="1">
      <c r="A24" s="48"/>
      <c r="B24" s="49">
        <f>VLOOKUP($C$11:$C$25,Personnel!$A$1:$B$1234,2,FALSE)</f>
        <v>0</v>
      </c>
      <c r="C24" s="36"/>
      <c r="D24" s="184"/>
      <c r="E24" s="179">
        <f>VLOOKUP($B$11:$B$25,'Constr. Wage Rate Calculations'!$A$19:$Z$288,22,FALSE)</f>
        <v>0</v>
      </c>
      <c r="F24" s="184"/>
      <c r="G24" s="179">
        <f>VLOOKUP($B$11:$B$25,'Constr. Wage Rate Calculations'!$A$19:$Z$288,23,FALSE)</f>
        <v>0</v>
      </c>
      <c r="H24" s="184"/>
      <c r="I24" s="179">
        <f>VLOOKUP($B$11:$B$25,'Constr. Wage Rate Calculations'!$A$19:$Z$288,24,FALSE)</f>
        <v>0</v>
      </c>
      <c r="J24" s="20">
        <f>VLOOKUP($B$11:$B$25,'Constr. Wage Rate Calculations'!$A$19:$Z$288,25,FALSE)</f>
        <v>0</v>
      </c>
      <c r="K24" s="179" t="str">
        <f t="shared" si="0"/>
        <v/>
      </c>
    </row>
    <row r="25" spans="1:15" ht="15" customHeight="1" thickBot="1">
      <c r="A25" s="48"/>
      <c r="B25" s="49">
        <f>VLOOKUP($C$11:$C$25,Personnel!$A$1:$B$1234,2,FALSE)</f>
        <v>0</v>
      </c>
      <c r="C25" s="36"/>
      <c r="D25" s="184"/>
      <c r="E25" s="179">
        <f>VLOOKUP($B$11:$B$25,'Constr. Wage Rate Calculations'!$A$19:$Z$288,22,FALSE)</f>
        <v>0</v>
      </c>
      <c r="F25" s="184"/>
      <c r="G25" s="179">
        <f>VLOOKUP($B$11:$B$25,'Constr. Wage Rate Calculations'!$A$19:$Z$288,23,FALSE)</f>
        <v>0</v>
      </c>
      <c r="H25" s="184"/>
      <c r="I25" s="179">
        <f>VLOOKUP($B$11:$B$25,'Constr. Wage Rate Calculations'!$A$19:$Z$288,24,FALSE)</f>
        <v>0</v>
      </c>
      <c r="J25" s="20">
        <f>VLOOKUP($B$11:$B$25,'Constr. Wage Rate Calculations'!$A$19:$Z$288,25,FALSE)</f>
        <v>0</v>
      </c>
      <c r="K25" s="179" t="str">
        <f t="shared" si="0"/>
        <v/>
      </c>
      <c r="M25" s="1">
        <f>SUM(M11:M24)</f>
        <v>0</v>
      </c>
    </row>
    <row r="26" spans="1:15" ht="15" customHeight="1" thickBot="1">
      <c r="A26"/>
      <c r="B26"/>
      <c r="C26"/>
      <c r="D26" s="21"/>
      <c r="E26" s="21"/>
      <c r="F26" s="21"/>
      <c r="G26" s="21"/>
      <c r="H26" s="21"/>
      <c r="I26" s="360" t="s">
        <v>18</v>
      </c>
      <c r="J26" s="361"/>
      <c r="K26" s="183">
        <f>SUM(K11:K25)</f>
        <v>0</v>
      </c>
      <c r="M26" s="1">
        <f>SUMIFS(D11:D25,D11:D25,"&lt;3",D11:D25,"&lt;5")</f>
        <v>0</v>
      </c>
      <c r="N26" s="1">
        <f>SUMIFS(D11:D25,D11:D25,"&gt;3",D11:D25,"&gt;5")</f>
        <v>0</v>
      </c>
      <c r="O26" s="1">
        <f>SUM(F11:F25,H11:H25,M26,N26)-M25</f>
        <v>0</v>
      </c>
    </row>
    <row r="27" spans="1:15" ht="10" customHeight="1" thickBot="1"/>
    <row r="28" spans="1:15" s="19" customFormat="1" ht="15" customHeight="1" thickBot="1">
      <c r="A28" s="22" t="s">
        <v>19</v>
      </c>
      <c r="B28" s="23" t="s">
        <v>20</v>
      </c>
      <c r="C28" s="23"/>
      <c r="D28" s="23"/>
      <c r="E28" s="23"/>
      <c r="F28" s="23"/>
      <c r="G28" s="23"/>
      <c r="H28" s="18" t="s">
        <v>21</v>
      </c>
      <c r="I28" s="18" t="s">
        <v>22</v>
      </c>
      <c r="J28" s="18" t="s">
        <v>23</v>
      </c>
      <c r="K28" s="18" t="s">
        <v>17</v>
      </c>
    </row>
    <row r="29" spans="1:15" ht="15" customHeight="1">
      <c r="A29" s="43"/>
      <c r="B29" s="49">
        <f>VLOOKUP($C$29:$C$42,Equipment!$A$1:$B$2322,2,FALSE)</f>
        <v>0</v>
      </c>
      <c r="C29" s="24"/>
      <c r="D29" s="24"/>
      <c r="E29" s="24"/>
      <c r="F29" s="24"/>
      <c r="G29" s="24"/>
      <c r="H29" s="185"/>
      <c r="I29" s="184"/>
      <c r="J29" s="42">
        <f>VLOOKUP($B$29:$B$42,'Alberta Equip. Rates Year 3'!$B$13:$K$314,10,FALSE)</f>
        <v>0</v>
      </c>
      <c r="K29" s="181">
        <f>(H29+I29)*J29</f>
        <v>0</v>
      </c>
    </row>
    <row r="30" spans="1:15" ht="15" customHeight="1">
      <c r="A30" s="43"/>
      <c r="B30" s="49">
        <f>VLOOKUP($C$29:$C$42,Equipment!$A$1:$B$2322,2,FALSE)</f>
        <v>0</v>
      </c>
      <c r="C30" s="24"/>
      <c r="D30" s="24"/>
      <c r="E30" s="24"/>
      <c r="F30" s="24"/>
      <c r="G30" s="24"/>
      <c r="H30" s="185"/>
      <c r="I30" s="184"/>
      <c r="J30" s="42">
        <f>VLOOKUP($B$29:$B$42,'Alberta Equip. Rates Year 3'!$B$13:$K$314,10,FALSE)</f>
        <v>0</v>
      </c>
      <c r="K30" s="181">
        <f t="shared" ref="K30:K42" si="1">(H30+I30)*J30</f>
        <v>0</v>
      </c>
    </row>
    <row r="31" spans="1:15" ht="15" customHeight="1">
      <c r="A31" s="43"/>
      <c r="B31" s="49">
        <f>VLOOKUP($C$29:$C$42,Equipment!$A$1:$B$2322,2,FALSE)</f>
        <v>0</v>
      </c>
      <c r="C31" s="24"/>
      <c r="D31" s="24"/>
      <c r="E31" s="24"/>
      <c r="F31" s="24"/>
      <c r="G31" s="24"/>
      <c r="H31" s="185"/>
      <c r="I31" s="184"/>
      <c r="J31" s="42">
        <f>VLOOKUP($B$29:$B$42,'Alberta Equip. Rates Year 3'!$B$13:$K$314,10,FALSE)</f>
        <v>0</v>
      </c>
      <c r="K31" s="181">
        <f t="shared" si="1"/>
        <v>0</v>
      </c>
    </row>
    <row r="32" spans="1:15" ht="15" customHeight="1">
      <c r="A32" s="43"/>
      <c r="B32" s="49">
        <f>VLOOKUP($C$29:$C$42,Equipment!$A$1:$B$2322,2,FALSE)</f>
        <v>0</v>
      </c>
      <c r="C32" s="24"/>
      <c r="D32" s="24"/>
      <c r="E32" s="24"/>
      <c r="F32" s="24"/>
      <c r="G32" s="24"/>
      <c r="H32" s="185"/>
      <c r="I32" s="184"/>
      <c r="J32" s="42">
        <f>VLOOKUP($B$29:$B$42,'Alberta Equip. Rates Year 3'!$B$13:$K$314,10,FALSE)</f>
        <v>0</v>
      </c>
      <c r="K32" s="181">
        <f t="shared" si="1"/>
        <v>0</v>
      </c>
    </row>
    <row r="33" spans="1:11" ht="15" customHeight="1">
      <c r="A33" s="43"/>
      <c r="B33" s="49">
        <f>VLOOKUP($C$29:$C$42,Equipment!$A$1:$B$2322,2,FALSE)</f>
        <v>0</v>
      </c>
      <c r="C33" s="24"/>
      <c r="D33" s="24"/>
      <c r="E33" s="24"/>
      <c r="F33" s="24"/>
      <c r="G33" s="24"/>
      <c r="H33" s="185"/>
      <c r="I33" s="184"/>
      <c r="J33" s="42">
        <f>VLOOKUP($B$29:$B$42,'Alberta Equip. Rates Year 3'!$B$13:$K$314,10,FALSE)</f>
        <v>0</v>
      </c>
      <c r="K33" s="181">
        <f t="shared" si="1"/>
        <v>0</v>
      </c>
    </row>
    <row r="34" spans="1:11" ht="15" customHeight="1">
      <c r="A34" s="43"/>
      <c r="B34" s="49">
        <f>VLOOKUP($C$29:$C$42,Equipment!$A$1:$B$2322,2,FALSE)</f>
        <v>0</v>
      </c>
      <c r="C34" s="24"/>
      <c r="D34" s="24"/>
      <c r="E34" s="24"/>
      <c r="F34" s="24"/>
      <c r="G34" s="24"/>
      <c r="H34" s="185"/>
      <c r="I34" s="184"/>
      <c r="J34" s="42">
        <f>VLOOKUP($B$29:$B$42,'Alberta Equip. Rates Year 3'!$B$13:$K$314,10,FALSE)</f>
        <v>0</v>
      </c>
      <c r="K34" s="181">
        <f t="shared" si="1"/>
        <v>0</v>
      </c>
    </row>
    <row r="35" spans="1:11" ht="15" customHeight="1">
      <c r="A35" s="43"/>
      <c r="B35" s="49">
        <f>VLOOKUP($C$29:$C$42,Equipment!$A$1:$B$2322,2,FALSE)</f>
        <v>0</v>
      </c>
      <c r="C35" s="24"/>
      <c r="D35" s="24"/>
      <c r="E35" s="24"/>
      <c r="F35" s="24"/>
      <c r="G35" s="24"/>
      <c r="H35" s="185"/>
      <c r="I35" s="184"/>
      <c r="J35" s="42">
        <f>VLOOKUP($B$29:$B$42,'Alberta Equip. Rates Year 3'!$B$13:$K$314,10,FALSE)</f>
        <v>0</v>
      </c>
      <c r="K35" s="181">
        <f t="shared" si="1"/>
        <v>0</v>
      </c>
    </row>
    <row r="36" spans="1:11" ht="15" customHeight="1">
      <c r="A36" s="43"/>
      <c r="B36" s="49">
        <f>VLOOKUP($C$29:$C$42,Equipment!$A$1:$B$2322,2,FALSE)</f>
        <v>0</v>
      </c>
      <c r="C36" s="24"/>
      <c r="D36" s="24"/>
      <c r="E36" s="24"/>
      <c r="F36" s="24"/>
      <c r="G36" s="24"/>
      <c r="H36" s="185"/>
      <c r="I36" s="184"/>
      <c r="J36" s="42">
        <f>VLOOKUP($B$29:$B$42,'Alberta Equip. Rates Year 3'!$B$13:$K$314,10,FALSE)</f>
        <v>0</v>
      </c>
      <c r="K36" s="181">
        <f t="shared" si="1"/>
        <v>0</v>
      </c>
    </row>
    <row r="37" spans="1:11" ht="15" customHeight="1">
      <c r="A37" s="43"/>
      <c r="B37" s="49">
        <f>VLOOKUP($C$29:$C$42,Equipment!$A$1:$B$2322,2,FALSE)</f>
        <v>0</v>
      </c>
      <c r="C37" s="24"/>
      <c r="D37" s="24"/>
      <c r="E37" s="24"/>
      <c r="F37" s="24"/>
      <c r="G37" s="24"/>
      <c r="H37" s="185"/>
      <c r="I37" s="184"/>
      <c r="J37" s="42">
        <f>VLOOKUP($B$29:$B$42,'Alberta Equip. Rates Year 3'!$B$13:$K$314,10,FALSE)</f>
        <v>0</v>
      </c>
      <c r="K37" s="181">
        <f t="shared" si="1"/>
        <v>0</v>
      </c>
    </row>
    <row r="38" spans="1:11" ht="15" customHeight="1">
      <c r="A38" s="43"/>
      <c r="B38" s="49">
        <f>VLOOKUP($C$29:$C$42,Equipment!$A$1:$B$2322,2,FALSE)</f>
        <v>0</v>
      </c>
      <c r="C38" s="24"/>
      <c r="D38" s="24"/>
      <c r="E38" s="24"/>
      <c r="F38" s="24"/>
      <c r="G38" s="24"/>
      <c r="H38" s="185"/>
      <c r="I38" s="184"/>
      <c r="J38" s="42">
        <f>VLOOKUP($B$29:$B$42,'Alberta Equip. Rates Year 3'!$B$13:$K$314,10,FALSE)</f>
        <v>0</v>
      </c>
      <c r="K38" s="181">
        <f t="shared" si="1"/>
        <v>0</v>
      </c>
    </row>
    <row r="39" spans="1:11" ht="15" customHeight="1">
      <c r="A39" s="43"/>
      <c r="B39" s="49">
        <f>VLOOKUP($C$29:$C$42,Equipment!$A$1:$B$2322,2,FALSE)</f>
        <v>0</v>
      </c>
      <c r="C39" s="24"/>
      <c r="D39" s="24"/>
      <c r="E39" s="24"/>
      <c r="F39" s="24"/>
      <c r="G39" s="24"/>
      <c r="H39" s="185"/>
      <c r="I39" s="184"/>
      <c r="J39" s="42">
        <f>VLOOKUP($B$29:$B$42,'Alberta Equip. Rates Year 3'!$B$13:$K$314,10,FALSE)</f>
        <v>0</v>
      </c>
      <c r="K39" s="181">
        <f>(H39+I39)*J39</f>
        <v>0</v>
      </c>
    </row>
    <row r="40" spans="1:11" ht="15" customHeight="1">
      <c r="A40" s="43"/>
      <c r="B40" s="49">
        <f>VLOOKUP($C$29:$C$42,Equipment!$A$1:$B$2322,2,FALSE)</f>
        <v>0</v>
      </c>
      <c r="C40" s="24"/>
      <c r="D40" s="24"/>
      <c r="E40" s="24"/>
      <c r="F40" s="24"/>
      <c r="G40" s="24"/>
      <c r="H40" s="185"/>
      <c r="I40" s="184"/>
      <c r="J40" s="42">
        <f>VLOOKUP($B$29:$B$42,'Alberta Equip. Rates Year 3'!$B$13:$K$314,10,FALSE)</f>
        <v>0</v>
      </c>
      <c r="K40" s="181">
        <f t="shared" si="1"/>
        <v>0</v>
      </c>
    </row>
    <row r="41" spans="1:11" ht="15" customHeight="1">
      <c r="A41" s="43"/>
      <c r="B41" s="49">
        <f>VLOOKUP($C$29:$C$42,Equipment!$A$1:$B$2322,2,FALSE)</f>
        <v>0</v>
      </c>
      <c r="C41" s="24"/>
      <c r="D41" s="24"/>
      <c r="E41" s="24"/>
      <c r="F41" s="24"/>
      <c r="G41" s="24"/>
      <c r="H41" s="185"/>
      <c r="I41" s="184"/>
      <c r="J41" s="42">
        <f>VLOOKUP($B$29:$B$42,'Alberta Equip. Rates Year 3'!$B$13:$K$314,10,FALSE)</f>
        <v>0</v>
      </c>
      <c r="K41" s="181">
        <f t="shared" si="1"/>
        <v>0</v>
      </c>
    </row>
    <row r="42" spans="1:11" ht="15" customHeight="1" thickBot="1">
      <c r="A42" s="43"/>
      <c r="B42" s="49">
        <f>VLOOKUP($C$29:$C$42,Equipment!$A$1:$B$2322,2,FALSE)</f>
        <v>0</v>
      </c>
      <c r="C42" s="24"/>
      <c r="D42" s="24"/>
      <c r="E42" s="24"/>
      <c r="F42" s="24"/>
      <c r="G42" s="24"/>
      <c r="H42" s="185"/>
      <c r="I42" s="184"/>
      <c r="J42" s="42">
        <f>VLOOKUP($B$29:$B$42,'Alberta Equip. Rates Year 3'!$B$13:$K$314,10,FALSE)</f>
        <v>0</v>
      </c>
      <c r="K42" s="181">
        <f t="shared" si="1"/>
        <v>0</v>
      </c>
    </row>
    <row r="43" spans="1:11" ht="12" thickBot="1">
      <c r="A43" s="25"/>
      <c r="B43" s="25"/>
      <c r="C43" s="25"/>
      <c r="D43" s="21"/>
      <c r="E43" s="21"/>
      <c r="F43" s="21"/>
      <c r="G43" s="21"/>
      <c r="H43" s="21"/>
      <c r="I43" s="360" t="s">
        <v>24</v>
      </c>
      <c r="J43" s="361"/>
      <c r="K43" s="182">
        <f>SUM(K29:K42)</f>
        <v>0</v>
      </c>
    </row>
    <row r="44" spans="1:11" ht="12" thickBot="1">
      <c r="A44" s="26"/>
      <c r="D44" s="26"/>
      <c r="I44" s="27"/>
      <c r="J44" s="27"/>
      <c r="K44" s="28"/>
    </row>
    <row r="45" spans="1:11">
      <c r="A45" s="1" t="s">
        <v>25</v>
      </c>
      <c r="B45" s="29"/>
      <c r="D45" s="1"/>
      <c r="E45" s="1"/>
      <c r="F45" s="1"/>
      <c r="G45" s="1"/>
      <c r="H45" s="1"/>
      <c r="I45" s="362" t="s">
        <v>26</v>
      </c>
      <c r="J45" s="362"/>
      <c r="K45" s="37">
        <f>K26</f>
        <v>0</v>
      </c>
    </row>
    <row r="46" spans="1:11">
      <c r="D46" s="1"/>
      <c r="E46" s="1"/>
      <c r="F46" s="1"/>
      <c r="G46" s="1"/>
      <c r="H46" s="1"/>
      <c r="I46" s="362" t="s">
        <v>27</v>
      </c>
      <c r="J46" s="362"/>
      <c r="K46" s="38">
        <f>K43</f>
        <v>0</v>
      </c>
    </row>
    <row r="47" spans="1:11">
      <c r="D47" s="1"/>
      <c r="E47" s="1"/>
      <c r="F47" s="1"/>
      <c r="G47" s="1"/>
      <c r="H47" s="1"/>
      <c r="I47" s="27" t="s">
        <v>28</v>
      </c>
      <c r="J47" s="27"/>
      <c r="K47" s="38">
        <f>(O26)*14.15</f>
        <v>0</v>
      </c>
    </row>
    <row r="48" spans="1:11">
      <c r="D48" s="1"/>
      <c r="E48" s="1"/>
      <c r="F48" s="1"/>
      <c r="G48" s="1"/>
      <c r="H48" s="1"/>
      <c r="I48" s="30" t="s">
        <v>29</v>
      </c>
      <c r="J48" s="30"/>
      <c r="K48" s="39"/>
    </row>
    <row r="49" spans="1:11">
      <c r="D49" s="1"/>
      <c r="E49" s="1"/>
      <c r="F49" s="1"/>
      <c r="G49" s="1"/>
      <c r="H49" s="1"/>
      <c r="I49" s="30" t="s">
        <v>30</v>
      </c>
      <c r="J49" s="30"/>
      <c r="K49" s="39"/>
    </row>
    <row r="50" spans="1:11">
      <c r="D50" s="1"/>
      <c r="E50" s="1"/>
      <c r="F50" s="1"/>
      <c r="G50" s="1"/>
      <c r="H50" s="1"/>
      <c r="I50" s="30" t="s">
        <v>31</v>
      </c>
      <c r="J50" s="30"/>
      <c r="K50" s="39"/>
    </row>
    <row r="51" spans="1:11" ht="12" thickBot="1">
      <c r="D51" s="1"/>
      <c r="E51" s="1"/>
      <c r="F51" s="1"/>
      <c r="G51" s="1"/>
      <c r="H51" s="1"/>
      <c r="I51" s="362" t="s">
        <v>32</v>
      </c>
      <c r="J51" s="362"/>
      <c r="K51" s="40">
        <f>SUM(K45:K50)</f>
        <v>0</v>
      </c>
    </row>
    <row r="52" spans="1:11">
      <c r="D52" s="1"/>
      <c r="E52" s="1"/>
      <c r="F52" s="1"/>
      <c r="G52" s="1"/>
      <c r="H52" s="1"/>
      <c r="I52" s="27"/>
      <c r="J52" s="27"/>
    </row>
    <row r="53" spans="1:11">
      <c r="A53" s="31" t="s">
        <v>33</v>
      </c>
      <c r="B53" s="32"/>
      <c r="C53" s="32"/>
      <c r="D53" s="1"/>
      <c r="H53" s="33" t="s">
        <v>34</v>
      </c>
      <c r="I53" s="32"/>
      <c r="J53" s="32"/>
      <c r="K53" s="32"/>
    </row>
    <row r="54" spans="1:11" ht="15">
      <c r="A54" s="34"/>
      <c r="E54" s="8"/>
      <c r="F54" s="8"/>
      <c r="G54" s="8"/>
      <c r="H54" s="35"/>
      <c r="I54" s="35"/>
      <c r="J54" s="35"/>
      <c r="K54" s="35"/>
    </row>
    <row r="55" spans="1:11" ht="15">
      <c r="A55" s="34" t="s">
        <v>35</v>
      </c>
      <c r="E55" s="8"/>
      <c r="F55" s="8"/>
      <c r="G55" s="8"/>
      <c r="H55" s="35"/>
      <c r="I55" s="35"/>
      <c r="J55" s="35"/>
      <c r="K55" s="35"/>
    </row>
    <row r="56" spans="1:11" s="34" customFormat="1">
      <c r="A56" s="363">
        <v>41218.479166666664</v>
      </c>
      <c r="B56" s="363"/>
      <c r="C56" s="364"/>
      <c r="D56" s="364"/>
      <c r="E56" s="364"/>
      <c r="F56" s="364"/>
      <c r="G56" s="364"/>
      <c r="H56" s="364"/>
      <c r="I56" s="364"/>
      <c r="J56" s="364"/>
      <c r="K56" s="8"/>
    </row>
    <row r="66" s="1" customFormat="1"/>
    <row r="67" s="1" customFormat="1"/>
    <row r="68" s="1" customFormat="1"/>
    <row r="69" s="1" customFormat="1"/>
    <row r="70" s="1" customFormat="1"/>
    <row r="71" s="1" customFormat="1"/>
    <row r="72" s="1" customFormat="1"/>
    <row r="73" s="1" customFormat="1"/>
    <row r="74" s="1" customFormat="1"/>
    <row r="75" s="1" customFormat="1"/>
    <row r="76" s="1" customFormat="1"/>
    <row r="77" s="1" customFormat="1"/>
    <row r="78" s="1" customFormat="1"/>
    <row r="79" s="1" customFormat="1"/>
    <row r="84" s="1" customFormat="1"/>
    <row r="112" s="1" customFormat="1"/>
    <row r="113" s="1" customFormat="1"/>
    <row r="114" s="1" customFormat="1"/>
    <row r="115" s="1" customFormat="1"/>
  </sheetData>
  <mergeCells count="12">
    <mergeCell ref="I43:J43"/>
    <mergeCell ref="I45:J45"/>
    <mergeCell ref="I46:J46"/>
    <mergeCell ref="I51:J51"/>
    <mergeCell ref="A56:B56"/>
    <mergeCell ref="C56:J56"/>
    <mergeCell ref="I26:J26"/>
    <mergeCell ref="C1:H1"/>
    <mergeCell ref="C2:H2"/>
    <mergeCell ref="C3:H3"/>
    <mergeCell ref="H6:I6"/>
    <mergeCell ref="H7:I7"/>
  </mergeCells>
  <printOptions horizontalCentered="1"/>
  <pageMargins left="0.19685039370078741" right="0.19685039370078741" top="0.39370078740157483" bottom="0.39370078740157483" header="0" footer="0"/>
  <pageSetup orientation="portrait" horizontalDpi="4294967292" verticalDpi="4294967292"/>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F00-000000000000}">
          <x14:formula1>
            <xm:f>Accounts!$A$4:$A$60</xm:f>
          </x14:formula1>
          <xm:sqref>K7</xm:sqref>
        </x14:dataValidation>
        <x14:dataValidation type="list" allowBlank="1" showInputMessage="1" showErrorMessage="1" xr:uid="{00000000-0002-0000-0F00-000001000000}">
          <x14:formula1>
            <xm:f>'Constr. Wage Rate Calculations'!$A$19:$A$288</xm:f>
          </x14:formula1>
          <xm:sqref>B11:B25</xm:sqref>
        </x14:dataValidation>
        <x14:dataValidation type="list" allowBlank="1" showInputMessage="1" showErrorMessage="1" xr:uid="{00000000-0002-0000-0F00-000002000000}">
          <x14:formula1>
            <xm:f>Personnel!$A:$A</xm:f>
          </x14:formula1>
          <xm:sqref>C11:C25</xm:sqref>
        </x14:dataValidation>
        <x14:dataValidation type="list" allowBlank="1" showInputMessage="1" showErrorMessage="1" xr:uid="{00000000-0002-0000-0F00-000004000000}">
          <x14:formula1>
            <xm:f>Equipment!$A:$A</xm:f>
          </x14:formula1>
          <xm:sqref>C29:C42</xm:sqref>
        </x14:dataValidation>
      </x14:dataValidations>
    </ext>
    <ext xmlns:mx="http://schemas.microsoft.com/office/mac/excel/2008/main" uri="{64002731-A6B0-56B0-2670-7721B7C09600}">
      <mx:PLV Mode="0" OnePage="0" WScale="0"/>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O137"/>
  <sheetViews>
    <sheetView zoomScale="120" zoomScaleNormal="120" zoomScalePageLayoutView="120" workbookViewId="0">
      <selection activeCell="B37" sqref="B37"/>
    </sheetView>
  </sheetViews>
  <sheetFormatPr baseColWidth="10" defaultColWidth="8.83203125" defaultRowHeight="11"/>
  <cols>
    <col min="1" max="1" width="13" style="1" customWidth="1"/>
    <col min="2" max="2" width="30" style="1" customWidth="1"/>
    <col min="3" max="3" width="24.5" style="1" customWidth="1"/>
    <col min="4" max="4" width="8.6640625" style="2" customWidth="1"/>
    <col min="5" max="6" width="8.33203125" style="2" customWidth="1"/>
    <col min="7" max="8" width="8.6640625" style="2" customWidth="1"/>
    <col min="9" max="9" width="9.33203125" style="2" customWidth="1"/>
    <col min="10" max="10" width="8.6640625" style="2" customWidth="1"/>
    <col min="11" max="11" width="22" style="1" customWidth="1"/>
    <col min="12" max="12" width="3.5" style="1" hidden="1" customWidth="1"/>
    <col min="13" max="16384" width="8.83203125" style="1"/>
  </cols>
  <sheetData>
    <row r="1" spans="1:13" ht="15">
      <c r="C1" s="364"/>
      <c r="D1" s="365"/>
      <c r="E1" s="365"/>
      <c r="F1" s="365"/>
      <c r="G1" s="365"/>
      <c r="H1" s="366"/>
      <c r="J1" s="2" t="s">
        <v>0</v>
      </c>
      <c r="K1" s="197"/>
      <c r="M1" s="45"/>
    </row>
    <row r="2" spans="1:13" ht="15">
      <c r="C2" s="367"/>
      <c r="D2" s="367"/>
      <c r="E2" s="367"/>
      <c r="F2" s="367"/>
      <c r="G2" s="367"/>
      <c r="H2" s="366"/>
      <c r="K2" s="199"/>
    </row>
    <row r="3" spans="1:13" ht="15">
      <c r="C3" s="368"/>
      <c r="D3" s="369"/>
      <c r="E3" s="369"/>
      <c r="F3" s="369"/>
      <c r="G3" s="369"/>
      <c r="H3" s="366"/>
    </row>
    <row r="4" spans="1:13">
      <c r="C4" s="3"/>
      <c r="D4" s="4"/>
      <c r="E4" s="4"/>
      <c r="F4" s="4"/>
      <c r="G4" s="4"/>
    </row>
    <row r="5" spans="1:13">
      <c r="C5" s="3"/>
      <c r="D5" s="4"/>
      <c r="E5" s="4"/>
      <c r="F5" s="4"/>
      <c r="G5" s="4"/>
    </row>
    <row r="6" spans="1:13" ht="12">
      <c r="B6" s="5"/>
      <c r="C6" s="6"/>
      <c r="D6" s="7"/>
      <c r="E6" s="8"/>
      <c r="F6" s="8"/>
      <c r="G6" s="1" t="s">
        <v>1</v>
      </c>
      <c r="H6" s="370"/>
      <c r="I6" s="370"/>
      <c r="J6" s="1" t="s">
        <v>2</v>
      </c>
      <c r="K6" s="47"/>
    </row>
    <row r="7" spans="1:13" ht="12">
      <c r="A7" s="1" t="s">
        <v>3</v>
      </c>
      <c r="B7" s="9"/>
      <c r="C7" s="10"/>
      <c r="D7" s="11"/>
      <c r="E7" s="8"/>
      <c r="F7" s="8"/>
      <c r="G7" s="1" t="s">
        <v>4</v>
      </c>
      <c r="H7" s="371"/>
      <c r="I7" s="371"/>
      <c r="J7" s="1" t="s">
        <v>5</v>
      </c>
      <c r="K7" s="46"/>
    </row>
    <row r="8" spans="1:13" ht="12">
      <c r="B8" s="12"/>
      <c r="C8" s="13"/>
      <c r="D8" s="14"/>
      <c r="E8" s="8"/>
      <c r="F8" s="8"/>
      <c r="G8" s="1" t="s">
        <v>6</v>
      </c>
      <c r="H8" s="187"/>
      <c r="I8" s="188"/>
      <c r="J8" s="44"/>
    </row>
    <row r="9" spans="1:13" ht="16" thickBot="1">
      <c r="B9" s="15"/>
      <c r="C9" s="16"/>
      <c r="D9" s="16"/>
      <c r="E9" s="8"/>
      <c r="F9" s="8"/>
      <c r="G9" s="8"/>
    </row>
    <row r="10" spans="1:13" s="19" customFormat="1" ht="12" thickBot="1">
      <c r="A10" s="17" t="s">
        <v>7</v>
      </c>
      <c r="B10" s="17" t="s">
        <v>8</v>
      </c>
      <c r="C10" s="17" t="s">
        <v>9</v>
      </c>
      <c r="D10" s="18" t="s">
        <v>10</v>
      </c>
      <c r="E10" s="18" t="s">
        <v>11</v>
      </c>
      <c r="F10" s="18" t="s">
        <v>12</v>
      </c>
      <c r="G10" s="180" t="s">
        <v>13</v>
      </c>
      <c r="H10" s="18" t="s">
        <v>14</v>
      </c>
      <c r="I10" s="18" t="s">
        <v>15</v>
      </c>
      <c r="J10" s="18" t="s">
        <v>16</v>
      </c>
      <c r="K10" s="18" t="s">
        <v>17</v>
      </c>
      <c r="M10" s="19" t="s">
        <v>1797</v>
      </c>
    </row>
    <row r="11" spans="1:13" ht="15" customHeight="1">
      <c r="A11" s="48"/>
      <c r="B11" s="49">
        <f>VLOOKUP($C$11:$C$41,Personnel!$A$1:$B$1234,2,FALSE)</f>
        <v>0</v>
      </c>
      <c r="C11" s="36"/>
      <c r="D11" s="184"/>
      <c r="E11" s="179">
        <f>VLOOKUP($B$11:$B$41,'Constr. Wage Rate Calculations'!$A$19:$Z$288,22,FALSE)</f>
        <v>0</v>
      </c>
      <c r="F11" s="184"/>
      <c r="G11" s="179">
        <f>VLOOKUP($B$11:$B$41,'Constr. Wage Rate Calculations'!$A$19:$Z$288,23,FALSE)</f>
        <v>0</v>
      </c>
      <c r="H11" s="184"/>
      <c r="I11" s="179">
        <f>VLOOKUP($B$11:$B$41,'Constr. Wage Rate Calculations'!$A$19:$Z$288,24,FALSE)</f>
        <v>0</v>
      </c>
      <c r="J11" s="20">
        <f>VLOOKUP($B$11:$B$41,'Constr. Wage Rate Calculations'!$A$19:$Z$288,25,FALSE)</f>
        <v>0</v>
      </c>
      <c r="K11" s="179" t="str">
        <f t="shared" ref="K11:K33" si="0">IF($D11&gt;=1,$J11+(D11*E11)+(F11*G11)+(H11*I11),IF($F11&gt;=1,$J11+(D11*E11)+(F11*G11)+(H11*I11),IF($H11&gt;=1,$J11+(D11*E11)+(F11*G11)+(H11*I11),"")))</f>
        <v/>
      </c>
    </row>
    <row r="12" spans="1:13" ht="15" customHeight="1">
      <c r="A12" s="48"/>
      <c r="B12" s="49">
        <f>VLOOKUP($C$11:$C$41,Personnel!$A$1:$B$1234,2,FALSE)</f>
        <v>0</v>
      </c>
      <c r="C12" s="36"/>
      <c r="D12" s="184"/>
      <c r="E12" s="179">
        <f>VLOOKUP($B$11:$B$41,'Constr. Wage Rate Calculations'!$A$19:$Z$288,22,FALSE)</f>
        <v>0</v>
      </c>
      <c r="F12" s="184"/>
      <c r="G12" s="179">
        <f>VLOOKUP($B$11:$B$41,'Constr. Wage Rate Calculations'!$A$19:$Z$288,23,FALSE)</f>
        <v>0</v>
      </c>
      <c r="H12" s="184"/>
      <c r="I12" s="179">
        <f>VLOOKUP($B$11:$B$41,'Constr. Wage Rate Calculations'!$A$19:$Z$288,24,FALSE)</f>
        <v>0</v>
      </c>
      <c r="J12" s="20"/>
      <c r="K12" s="179" t="str">
        <f t="shared" si="0"/>
        <v/>
      </c>
    </row>
    <row r="13" spans="1:13" ht="19.5" customHeight="1">
      <c r="A13" s="48"/>
      <c r="B13" s="49">
        <f>VLOOKUP($C$11:$C$41,Personnel!$A$1:$B$1234,2,FALSE)</f>
        <v>0</v>
      </c>
      <c r="C13" s="36"/>
      <c r="D13" s="184"/>
      <c r="E13" s="179">
        <f>VLOOKUP($B$11:$B$41,'Constr. Wage Rate Calculations'!$A$19:$Z$288,22,FALSE)</f>
        <v>0</v>
      </c>
      <c r="F13" s="184"/>
      <c r="G13" s="179">
        <f>VLOOKUP($B$11:$B$41,'Constr. Wage Rate Calculations'!$A$19:$Z$288,23,FALSE)</f>
        <v>0</v>
      </c>
      <c r="H13" s="184"/>
      <c r="I13" s="179">
        <f>VLOOKUP($B$11:$B$41,'Constr. Wage Rate Calculations'!$A$19:$Z$288,24,FALSE)</f>
        <v>0</v>
      </c>
      <c r="J13" s="20">
        <f>VLOOKUP($B$11:$B$41,'Constr. Wage Rate Calculations'!$A$19:$Z$288,25,FALSE)</f>
        <v>0</v>
      </c>
      <c r="K13" s="179" t="str">
        <f t="shared" si="0"/>
        <v/>
      </c>
    </row>
    <row r="14" spans="1:13" ht="15" customHeight="1">
      <c r="A14" s="48"/>
      <c r="B14" s="49">
        <f>VLOOKUP($C$11:$C$41,Personnel!$A$1:$B$1234,2,FALSE)</f>
        <v>0</v>
      </c>
      <c r="C14" s="36"/>
      <c r="D14" s="184"/>
      <c r="E14" s="179">
        <f>VLOOKUP($B$11:$B$41,'Constr. Wage Rate Calculations'!$A$19:$Z$288,22,FALSE)</f>
        <v>0</v>
      </c>
      <c r="F14" s="184"/>
      <c r="G14" s="179">
        <f>VLOOKUP($B$11:$B$41,'Constr. Wage Rate Calculations'!$A$19:$Z$288,23,FALSE)</f>
        <v>0</v>
      </c>
      <c r="H14" s="184"/>
      <c r="I14" s="179">
        <f>VLOOKUP($B$11:$B$41,'Constr. Wage Rate Calculations'!$A$19:$Z$288,24,FALSE)</f>
        <v>0</v>
      </c>
      <c r="J14" s="20">
        <f>VLOOKUP($B$11:$B$41,'Constr. Wage Rate Calculations'!$A$19:$Z$288,25,FALSE)</f>
        <v>0</v>
      </c>
      <c r="K14" s="179" t="str">
        <f t="shared" si="0"/>
        <v/>
      </c>
    </row>
    <row r="15" spans="1:13" ht="15" customHeight="1">
      <c r="A15" s="48"/>
      <c r="B15" s="49">
        <f>VLOOKUP($C$11:$C$41,Personnel!$A$1:$B$1234,2,FALSE)</f>
        <v>0</v>
      </c>
      <c r="C15" s="36"/>
      <c r="D15" s="184"/>
      <c r="E15" s="179">
        <f>VLOOKUP($B$11:$B$41,'Constr. Wage Rate Calculations'!$A$19:$Z$288,22,FALSE)</f>
        <v>0</v>
      </c>
      <c r="F15" s="184"/>
      <c r="G15" s="179">
        <f>VLOOKUP($B$11:$B$41,'Constr. Wage Rate Calculations'!$A$19:$Z$288,23,FALSE)</f>
        <v>0</v>
      </c>
      <c r="H15" s="184"/>
      <c r="I15" s="179">
        <f>VLOOKUP($B$11:$B$41,'Constr. Wage Rate Calculations'!$A$19:$Z$288,24,FALSE)</f>
        <v>0</v>
      </c>
      <c r="J15" s="20">
        <f>VLOOKUP($B$11:$B$41,'Constr. Wage Rate Calculations'!$A$19:$Z$288,25,FALSE)</f>
        <v>0</v>
      </c>
      <c r="K15" s="179" t="str">
        <f t="shared" si="0"/>
        <v/>
      </c>
    </row>
    <row r="16" spans="1:13" ht="17" customHeight="1">
      <c r="A16" s="48"/>
      <c r="B16" s="49">
        <f>VLOOKUP($C$11:$C$41,Personnel!$A$1:$B$1234,2,FALSE)</f>
        <v>0</v>
      </c>
      <c r="C16" s="36"/>
      <c r="D16" s="184"/>
      <c r="E16" s="179">
        <f>VLOOKUP($B$11:$B$41,'Constr. Wage Rate Calculations'!$A$19:$Z$288,22,FALSE)</f>
        <v>0</v>
      </c>
      <c r="F16" s="184"/>
      <c r="G16" s="179">
        <f>VLOOKUP($B$11:$B$41,'Constr. Wage Rate Calculations'!$A$19:$Z$288,23,FALSE)</f>
        <v>0</v>
      </c>
      <c r="H16" s="184"/>
      <c r="I16" s="179">
        <f>VLOOKUP($B$11:$B$41,'Constr. Wage Rate Calculations'!$A$19:$Z$288,24,FALSE)</f>
        <v>0</v>
      </c>
      <c r="J16" s="20">
        <f>VLOOKUP($B$11:$B$41,'Constr. Wage Rate Calculations'!$A$19:$Z$288,25,FALSE)</f>
        <v>0</v>
      </c>
      <c r="K16" s="179" t="str">
        <f t="shared" si="0"/>
        <v/>
      </c>
    </row>
    <row r="17" spans="1:11" ht="19.5" customHeight="1">
      <c r="A17" s="48"/>
      <c r="B17" s="49">
        <f>VLOOKUP($C$11:$C$41,Personnel!$A$1:$B$1234,2,FALSE)</f>
        <v>0</v>
      </c>
      <c r="C17" s="36"/>
      <c r="D17" s="184"/>
      <c r="E17" s="179">
        <f>VLOOKUP($B$11:$B$41,'Constr. Wage Rate Calculations'!$A$19:$Z$288,22,FALSE)</f>
        <v>0</v>
      </c>
      <c r="F17" s="184"/>
      <c r="G17" s="179">
        <f>VLOOKUP($B$11:$B$41,'Constr. Wage Rate Calculations'!$A$19:$Z$288,23,FALSE)</f>
        <v>0</v>
      </c>
      <c r="H17" s="184"/>
      <c r="I17" s="179">
        <f>VLOOKUP($B$11:$B$41,'Constr. Wage Rate Calculations'!$A$19:$Z$288,24,FALSE)</f>
        <v>0</v>
      </c>
      <c r="J17" s="20">
        <f>VLOOKUP($B$11:$B$41,'Constr. Wage Rate Calculations'!$A$19:$Z$288,25,FALSE)</f>
        <v>0</v>
      </c>
      <c r="K17" s="179" t="str">
        <f t="shared" si="0"/>
        <v/>
      </c>
    </row>
    <row r="18" spans="1:11" ht="19.5" customHeight="1">
      <c r="A18" s="48"/>
      <c r="B18" s="49">
        <f>VLOOKUP($C$11:$C$41,Personnel!$A$1:$B$1234,2,FALSE)</f>
        <v>0</v>
      </c>
      <c r="C18" s="36"/>
      <c r="D18" s="184"/>
      <c r="E18" s="179">
        <f>VLOOKUP($B$11:$B$41,'Constr. Wage Rate Calculations'!$A$19:$Z$288,22,FALSE)</f>
        <v>0</v>
      </c>
      <c r="F18" s="184"/>
      <c r="G18" s="179">
        <f>VLOOKUP($B$11:$B$41,'Constr. Wage Rate Calculations'!$A$19:$Z$288,23,FALSE)</f>
        <v>0</v>
      </c>
      <c r="H18" s="184"/>
      <c r="I18" s="179">
        <f>VLOOKUP($B$11:$B$41,'Constr. Wage Rate Calculations'!$A$19:$Z$288,24,FALSE)</f>
        <v>0</v>
      </c>
      <c r="J18" s="20">
        <f>VLOOKUP($B$11:$B$41,'Constr. Wage Rate Calculations'!$A$19:$Z$288,25,FALSE)</f>
        <v>0</v>
      </c>
      <c r="K18" s="179" t="str">
        <f t="shared" si="0"/>
        <v/>
      </c>
    </row>
    <row r="19" spans="1:11" ht="15" customHeight="1">
      <c r="A19" s="48"/>
      <c r="B19" s="49">
        <f>VLOOKUP($C$11:$C$41,Personnel!$A$1:$B$1234,2,FALSE)</f>
        <v>0</v>
      </c>
      <c r="C19" s="36"/>
      <c r="D19" s="184"/>
      <c r="E19" s="179">
        <f>VLOOKUP($B$11:$B$41,'Constr. Wage Rate Calculations'!$A$19:$Z$288,22,FALSE)</f>
        <v>0</v>
      </c>
      <c r="F19" s="184"/>
      <c r="G19" s="179">
        <f>VLOOKUP($B$11:$B$41,'Constr. Wage Rate Calculations'!$A$19:$Z$288,23,FALSE)</f>
        <v>0</v>
      </c>
      <c r="H19" s="184"/>
      <c r="I19" s="179">
        <f>VLOOKUP($B$11:$B$41,'Constr. Wage Rate Calculations'!$A$19:$Z$288,24,FALSE)</f>
        <v>0</v>
      </c>
      <c r="J19" s="20">
        <f>VLOOKUP($B$11:$B$41,'Constr. Wage Rate Calculations'!$A$19:$Z$288,25,FALSE)</f>
        <v>0</v>
      </c>
      <c r="K19" s="179" t="str">
        <f t="shared" si="0"/>
        <v/>
      </c>
    </row>
    <row r="20" spans="1:11" ht="21.75" customHeight="1">
      <c r="A20" s="48"/>
      <c r="B20" s="49">
        <f>VLOOKUP($C$11:$C$41,Personnel!$A$1:$B$1234,2,FALSE)</f>
        <v>0</v>
      </c>
      <c r="C20" s="36"/>
      <c r="D20" s="184"/>
      <c r="E20" s="179">
        <f>VLOOKUP($B$11:$B$41,'Constr. Wage Rate Calculations'!$A$19:$Z$288,22,FALSE)</f>
        <v>0</v>
      </c>
      <c r="F20" s="184"/>
      <c r="G20" s="179">
        <f>VLOOKUP($B$11:$B$41,'Constr. Wage Rate Calculations'!$A$19:$Z$288,23,FALSE)</f>
        <v>0</v>
      </c>
      <c r="H20" s="184"/>
      <c r="I20" s="179">
        <f>VLOOKUP($B$11:$B$41,'Constr. Wage Rate Calculations'!$A$19:$Z$288,24,FALSE)</f>
        <v>0</v>
      </c>
      <c r="J20" s="20">
        <f>VLOOKUP($B$11:$B$41,'Constr. Wage Rate Calculations'!$A$19:$Z$288,25,FALSE)</f>
        <v>0</v>
      </c>
      <c r="K20" s="179" t="str">
        <f t="shared" si="0"/>
        <v/>
      </c>
    </row>
    <row r="21" spans="1:11" ht="24" customHeight="1">
      <c r="A21" s="48"/>
      <c r="B21" s="49">
        <f>VLOOKUP($C$11:$C$41,Personnel!$A$1:$B$1234,2,FALSE)</f>
        <v>0</v>
      </c>
      <c r="C21" s="36"/>
      <c r="D21" s="184"/>
      <c r="E21" s="179">
        <f>VLOOKUP($B$11:$B$41,'Constr. Wage Rate Calculations'!$A$19:$Z$288,22,FALSE)</f>
        <v>0</v>
      </c>
      <c r="F21" s="184"/>
      <c r="G21" s="179">
        <f>VLOOKUP($B$11:$B$41,'Constr. Wage Rate Calculations'!$A$19:$Z$288,23,FALSE)</f>
        <v>0</v>
      </c>
      <c r="H21" s="184"/>
      <c r="I21" s="179">
        <f>VLOOKUP($B$11:$B$41,'Constr. Wage Rate Calculations'!$A$19:$Z$288,24,FALSE)</f>
        <v>0</v>
      </c>
      <c r="J21" s="20">
        <f>VLOOKUP($B$11:$B$41,'Constr. Wage Rate Calculations'!$A$19:$Z$288,25,FALSE)</f>
        <v>0</v>
      </c>
      <c r="K21" s="179" t="str">
        <f t="shared" si="0"/>
        <v/>
      </c>
    </row>
    <row r="22" spans="1:11" ht="17.25" customHeight="1">
      <c r="A22" s="48"/>
      <c r="B22" s="49">
        <f>VLOOKUP($C$11:$C$41,Personnel!$A$1:$B$1234,2,FALSE)</f>
        <v>0</v>
      </c>
      <c r="C22" s="36"/>
      <c r="D22" s="184"/>
      <c r="E22" s="179">
        <f>VLOOKUP($B$11:$B$41,'Constr. Wage Rate Calculations'!$A$19:$Z$288,22,FALSE)</f>
        <v>0</v>
      </c>
      <c r="F22" s="184"/>
      <c r="G22" s="179">
        <f>VLOOKUP($B$11:$B$41,'Constr. Wage Rate Calculations'!$A$19:$Z$288,23,FALSE)</f>
        <v>0</v>
      </c>
      <c r="H22" s="184"/>
      <c r="I22" s="179">
        <f>VLOOKUP($B$11:$B$41,'Constr. Wage Rate Calculations'!$A$19:$Z$288,24,FALSE)</f>
        <v>0</v>
      </c>
      <c r="J22" s="20">
        <f>VLOOKUP($B$11:$B$41,'Constr. Wage Rate Calculations'!$A$19:$Z$288,25,FALSE)</f>
        <v>0</v>
      </c>
      <c r="K22" s="179" t="str">
        <f t="shared" si="0"/>
        <v/>
      </c>
    </row>
    <row r="23" spans="1:11" ht="17.25" customHeight="1">
      <c r="A23" s="48"/>
      <c r="B23" s="49">
        <f>VLOOKUP($C$11:$C$41,Personnel!$A$1:$B$1234,2,FALSE)</f>
        <v>0</v>
      </c>
      <c r="C23" s="36"/>
      <c r="D23" s="184"/>
      <c r="E23" s="179">
        <f>VLOOKUP($B$11:$B$41,'Constr. Wage Rate Calculations'!$A$19:$Z$288,22,FALSE)</f>
        <v>0</v>
      </c>
      <c r="F23" s="184"/>
      <c r="G23" s="179">
        <f>VLOOKUP($B$11:$B$41,'Constr. Wage Rate Calculations'!$A$19:$Z$288,23,FALSE)</f>
        <v>0</v>
      </c>
      <c r="H23" s="184"/>
      <c r="I23" s="179">
        <f>VLOOKUP($B$11:$B$41,'Constr. Wage Rate Calculations'!$A$19:$Z$288,24,FALSE)</f>
        <v>0</v>
      </c>
      <c r="J23" s="20">
        <f>VLOOKUP($B$11:$B$41,'Constr. Wage Rate Calculations'!$A$19:$Z$288,25,FALSE)</f>
        <v>0</v>
      </c>
      <c r="K23" s="179" t="str">
        <f t="shared" si="0"/>
        <v/>
      </c>
    </row>
    <row r="24" spans="1:11" ht="26.25" customHeight="1">
      <c r="A24" s="48"/>
      <c r="B24" s="49">
        <f>VLOOKUP($C$11:$C$41,Personnel!$A$1:$B$1234,2,FALSE)</f>
        <v>0</v>
      </c>
      <c r="C24" s="36"/>
      <c r="D24" s="184"/>
      <c r="E24" s="179">
        <f>VLOOKUP($B$11:$B$41,'Constr. Wage Rate Calculations'!$A$19:$Z$288,22,FALSE)</f>
        <v>0</v>
      </c>
      <c r="F24" s="184"/>
      <c r="G24" s="179">
        <f>VLOOKUP($B$11:$B$41,'Constr. Wage Rate Calculations'!$A$19:$Z$288,23,FALSE)</f>
        <v>0</v>
      </c>
      <c r="H24" s="184"/>
      <c r="I24" s="179">
        <f>VLOOKUP($B$11:$B$41,'Constr. Wage Rate Calculations'!$A$19:$Z$288,24,FALSE)</f>
        <v>0</v>
      </c>
      <c r="J24" s="20">
        <f>VLOOKUP($B$11:$B$41,'Constr. Wage Rate Calculations'!$A$19:$Z$288,25,FALSE)</f>
        <v>0</v>
      </c>
      <c r="K24" s="179" t="str">
        <f t="shared" si="0"/>
        <v/>
      </c>
    </row>
    <row r="25" spans="1:11" ht="15" customHeight="1">
      <c r="A25" s="48"/>
      <c r="B25" s="49">
        <f>VLOOKUP($C$11:$C$41,Personnel!$A$1:$B$1234,2,FALSE)</f>
        <v>0</v>
      </c>
      <c r="C25" s="36"/>
      <c r="D25" s="184"/>
      <c r="E25" s="179">
        <f>VLOOKUP($B$11:$B$41,'Constr. Wage Rate Calculations'!$A$19:$Z$288,22,FALSE)</f>
        <v>0</v>
      </c>
      <c r="F25" s="184"/>
      <c r="G25" s="179">
        <f>VLOOKUP($B$11:$B$41,'Constr. Wage Rate Calculations'!$A$19:$Z$288,23,FALSE)</f>
        <v>0</v>
      </c>
      <c r="H25" s="184"/>
      <c r="I25" s="179">
        <f>VLOOKUP($B$11:$B$41,'Constr. Wage Rate Calculations'!$A$19:$Z$288,24,FALSE)</f>
        <v>0</v>
      </c>
      <c r="J25" s="20">
        <f>VLOOKUP($B$11:$B$41,'Constr. Wage Rate Calculations'!$A$19:$Z$288,25,FALSE)</f>
        <v>0</v>
      </c>
      <c r="K25" s="179" t="str">
        <f t="shared" si="0"/>
        <v/>
      </c>
    </row>
    <row r="26" spans="1:11" ht="15" customHeight="1">
      <c r="A26" s="48"/>
      <c r="B26" s="49">
        <f>VLOOKUP($C$11:$C$41,Personnel!$A$1:$B$1234,2,FALSE)</f>
        <v>0</v>
      </c>
      <c r="C26" s="36"/>
      <c r="D26" s="184"/>
      <c r="E26" s="179">
        <f>VLOOKUP($B$11:$B$41,'Constr. Wage Rate Calculations'!$A$19:$Z$288,22,FALSE)</f>
        <v>0</v>
      </c>
      <c r="F26" s="184"/>
      <c r="G26" s="179">
        <f>VLOOKUP($B$11:$B$41,'Constr. Wage Rate Calculations'!$A$19:$Z$288,23,FALSE)</f>
        <v>0</v>
      </c>
      <c r="H26" s="184"/>
      <c r="I26" s="179">
        <f>VLOOKUP($B$11:$B$41,'Constr. Wage Rate Calculations'!$A$19:$Z$288,24,FALSE)</f>
        <v>0</v>
      </c>
      <c r="J26" s="20">
        <f>VLOOKUP($B$11:$B$41,'Constr. Wage Rate Calculations'!$A$19:$Z$288,25,FALSE)</f>
        <v>0</v>
      </c>
      <c r="K26" s="179" t="str">
        <f t="shared" si="0"/>
        <v/>
      </c>
    </row>
    <row r="27" spans="1:11" ht="15" customHeight="1">
      <c r="A27" s="48"/>
      <c r="B27" s="49">
        <f>VLOOKUP($C$11:$C$41,Personnel!$A$1:$B$1234,2,FALSE)</f>
        <v>0</v>
      </c>
      <c r="C27" s="36"/>
      <c r="D27" s="184"/>
      <c r="E27" s="179">
        <f>VLOOKUP($B$11:$B$41,'Constr. Wage Rate Calculations'!$A$19:$Z$288,22,FALSE)</f>
        <v>0</v>
      </c>
      <c r="F27" s="184"/>
      <c r="G27" s="179">
        <f>VLOOKUP($B$11:$B$41,'Constr. Wage Rate Calculations'!$A$19:$Z$288,23,FALSE)</f>
        <v>0</v>
      </c>
      <c r="H27" s="184"/>
      <c r="I27" s="179">
        <f>VLOOKUP($B$11:$B$41,'Constr. Wage Rate Calculations'!$A$19:$Z$288,24,FALSE)</f>
        <v>0</v>
      </c>
      <c r="J27" s="20">
        <f>VLOOKUP($B$11:$B$41,'Constr. Wage Rate Calculations'!$A$19:$Z$288,25,FALSE)</f>
        <v>0</v>
      </c>
      <c r="K27" s="179" t="str">
        <f t="shared" si="0"/>
        <v/>
      </c>
    </row>
    <row r="28" spans="1:11" ht="21.75" customHeight="1">
      <c r="A28" s="48"/>
      <c r="B28" s="49">
        <f>VLOOKUP($C$11:$C$41,Personnel!$A$1:$B$1234,2,FALSE)</f>
        <v>0</v>
      </c>
      <c r="C28" s="36"/>
      <c r="D28" s="184"/>
      <c r="E28" s="179">
        <f>VLOOKUP($B$11:$B$41,'Constr. Wage Rate Calculations'!$A$19:$Z$288,22,FALSE)</f>
        <v>0</v>
      </c>
      <c r="F28" s="184"/>
      <c r="G28" s="179">
        <f>VLOOKUP($B$11:$B$41,'Constr. Wage Rate Calculations'!$A$19:$Z$288,23,FALSE)</f>
        <v>0</v>
      </c>
      <c r="H28" s="184"/>
      <c r="I28" s="179">
        <f>VLOOKUP($B$11:$B$41,'Constr. Wage Rate Calculations'!$A$19:$Z$288,24,FALSE)</f>
        <v>0</v>
      </c>
      <c r="J28" s="20">
        <f>VLOOKUP($B$11:$B$41,'Constr. Wage Rate Calculations'!$A$19:$Z$288,25,FALSE)</f>
        <v>0</v>
      </c>
      <c r="K28" s="179" t="str">
        <f t="shared" si="0"/>
        <v/>
      </c>
    </row>
    <row r="29" spans="1:11" ht="19.5" customHeight="1">
      <c r="A29" s="48"/>
      <c r="B29" s="49">
        <f>VLOOKUP($C$11:$C$41,Personnel!$A$1:$B$1234,2,FALSE)</f>
        <v>0</v>
      </c>
      <c r="C29" s="36"/>
      <c r="D29" s="184"/>
      <c r="E29" s="179">
        <f>VLOOKUP($B$11:$B$41,'Constr. Wage Rate Calculations'!$A$19:$Z$288,22,FALSE)</f>
        <v>0</v>
      </c>
      <c r="F29" s="184"/>
      <c r="G29" s="179">
        <f>VLOOKUP($B$11:$B$41,'Constr. Wage Rate Calculations'!$A$19:$Z$288,23,FALSE)</f>
        <v>0</v>
      </c>
      <c r="H29" s="184"/>
      <c r="I29" s="179">
        <f>VLOOKUP($B$11:$B$41,'Constr. Wage Rate Calculations'!$A$19:$Z$288,24,FALSE)</f>
        <v>0</v>
      </c>
      <c r="J29" s="20">
        <f>VLOOKUP($B$11:$B$41,'Constr. Wage Rate Calculations'!$A$19:$Z$288,25,FALSE)</f>
        <v>0</v>
      </c>
      <c r="K29" s="179" t="str">
        <f t="shared" si="0"/>
        <v/>
      </c>
    </row>
    <row r="30" spans="1:11" ht="15" customHeight="1">
      <c r="A30" s="48"/>
      <c r="B30" s="49">
        <f>VLOOKUP($C$11:$C$41,Personnel!$A$1:$B$1234,2,FALSE)</f>
        <v>0</v>
      </c>
      <c r="C30" s="36"/>
      <c r="D30" s="184"/>
      <c r="E30" s="179">
        <f>VLOOKUP($B$11:$B$41,'Constr. Wage Rate Calculations'!$A$19:$Z$288,22,FALSE)</f>
        <v>0</v>
      </c>
      <c r="F30" s="184"/>
      <c r="G30" s="179">
        <f>VLOOKUP($B$11:$B$41,'Constr. Wage Rate Calculations'!$A$19:$Z$288,23,FALSE)</f>
        <v>0</v>
      </c>
      <c r="H30" s="184"/>
      <c r="I30" s="179">
        <f>VLOOKUP($B$11:$B$41,'Constr. Wage Rate Calculations'!$A$19:$Z$288,24,FALSE)</f>
        <v>0</v>
      </c>
      <c r="J30" s="20">
        <f>VLOOKUP($B$11:$B$41,'Constr. Wage Rate Calculations'!$A$19:$Z$288,25,FALSE)</f>
        <v>0</v>
      </c>
      <c r="K30" s="179" t="str">
        <f t="shared" si="0"/>
        <v/>
      </c>
    </row>
    <row r="31" spans="1:11" ht="15" customHeight="1">
      <c r="A31" s="48"/>
      <c r="B31" s="49">
        <f>VLOOKUP($C$11:$C$41,Personnel!$A$1:$B$1234,2,FALSE)</f>
        <v>0</v>
      </c>
      <c r="C31" s="36"/>
      <c r="D31" s="184"/>
      <c r="E31" s="179">
        <f>VLOOKUP($B$11:$B$41,'Constr. Wage Rate Calculations'!$A$19:$Z$288,22,FALSE)</f>
        <v>0</v>
      </c>
      <c r="F31" s="184"/>
      <c r="G31" s="179">
        <f>VLOOKUP($B$11:$B$41,'Constr. Wage Rate Calculations'!$A$19:$Z$288,23,FALSE)</f>
        <v>0</v>
      </c>
      <c r="H31" s="184"/>
      <c r="I31" s="179">
        <f>VLOOKUP($B$11:$B$41,'Constr. Wage Rate Calculations'!$A$19:$Z$288,24,FALSE)</f>
        <v>0</v>
      </c>
      <c r="J31" s="20">
        <f>VLOOKUP($B$11:$B$41,'Constr. Wage Rate Calculations'!$A$19:$Z$288,25,FALSE)</f>
        <v>0</v>
      </c>
      <c r="K31" s="179" t="str">
        <f t="shared" si="0"/>
        <v/>
      </c>
    </row>
    <row r="32" spans="1:11" ht="15" customHeight="1">
      <c r="A32" s="48"/>
      <c r="B32" s="49">
        <f>VLOOKUP($C$11:$C$41,Personnel!$A$1:$B$1234,2,FALSE)</f>
        <v>0</v>
      </c>
      <c r="C32" s="36"/>
      <c r="D32" s="184"/>
      <c r="E32" s="179">
        <f>VLOOKUP($B$11:$B$41,'Constr. Wage Rate Calculations'!$A$19:$Z$288,22,FALSE)</f>
        <v>0</v>
      </c>
      <c r="F32" s="184"/>
      <c r="G32" s="179">
        <f>VLOOKUP($B$11:$B$41,'Constr. Wage Rate Calculations'!$A$19:$Z$288,23,FALSE)</f>
        <v>0</v>
      </c>
      <c r="H32" s="184"/>
      <c r="I32" s="179">
        <f>VLOOKUP($B$11:$B$41,'Constr. Wage Rate Calculations'!$A$19:$Z$288,24,FALSE)</f>
        <v>0</v>
      </c>
      <c r="J32" s="20">
        <f>VLOOKUP($B$11:$B$41,'Constr. Wage Rate Calculations'!$A$19:$Z$288,25,FALSE)</f>
        <v>0</v>
      </c>
      <c r="K32" s="179" t="str">
        <f t="shared" si="0"/>
        <v/>
      </c>
    </row>
    <row r="33" spans="1:15" ht="15" customHeight="1">
      <c r="A33" s="48"/>
      <c r="B33" s="49">
        <f>VLOOKUP($C$11:$C$41,Personnel!$A$1:$B$1234,2,FALSE)</f>
        <v>0</v>
      </c>
      <c r="C33" s="36"/>
      <c r="D33" s="184"/>
      <c r="E33" s="179">
        <f>VLOOKUP($B$11:$B$41,'Constr. Wage Rate Calculations'!$A$19:$Z$288,22,FALSE)</f>
        <v>0</v>
      </c>
      <c r="F33" s="184"/>
      <c r="G33" s="179">
        <f>VLOOKUP($B$11:$B$41,'Constr. Wage Rate Calculations'!$A$19:$Z$288,23,FALSE)</f>
        <v>0</v>
      </c>
      <c r="H33" s="184"/>
      <c r="I33" s="179">
        <f>VLOOKUP($B$11:$B$41,'Constr. Wage Rate Calculations'!$A$19:$Z$288,24,FALSE)</f>
        <v>0</v>
      </c>
      <c r="J33" s="20">
        <f>VLOOKUP($B$11:$B$41,'Constr. Wage Rate Calculations'!$A$19:$Z$288,25,FALSE)</f>
        <v>0</v>
      </c>
      <c r="K33" s="179" t="str">
        <f t="shared" si="0"/>
        <v/>
      </c>
    </row>
    <row r="34" spans="1:15" ht="15" customHeight="1">
      <c r="A34" s="48"/>
      <c r="B34" s="49">
        <f>VLOOKUP($C$11:$C$41,Personnel!$A$1:$B$1234,2,FALSE)</f>
        <v>0</v>
      </c>
      <c r="C34" s="36"/>
      <c r="D34" s="184"/>
      <c r="E34" s="179">
        <f>VLOOKUP($B$11:$B$41,'Constr. Wage Rate Calculations'!$A$19:$Z$288,22,FALSE)</f>
        <v>0</v>
      </c>
      <c r="F34" s="184"/>
      <c r="G34" s="179">
        <f>VLOOKUP($B$11:$B$41,'Constr. Wage Rate Calculations'!$A$19:$Z$288,23,FALSE)</f>
        <v>0</v>
      </c>
      <c r="H34" s="184"/>
      <c r="I34" s="179">
        <f>VLOOKUP($B$11:$B$41,'Constr. Wage Rate Calculations'!$A$19:$Z$288,24,FALSE)</f>
        <v>0</v>
      </c>
      <c r="J34" s="20">
        <f>VLOOKUP($B$11:$B$41,'Constr. Wage Rate Calculations'!$A$19:$Z$288,25,FALSE)</f>
        <v>0</v>
      </c>
      <c r="K34" s="179" t="str">
        <f t="shared" ref="K34:K41" si="1">IF($D34&gt;=1,$J34+(D34*E34)+(F34*G34)+(H34*I34),IF($F34&gt;=1,$J34+(D34*E34)+(F34*G34)+(H34*I34),IF($H34&gt;=1,$J34+(D34*E34)+(F34*G34)+(H34*I34),"")))</f>
        <v/>
      </c>
    </row>
    <row r="35" spans="1:15" ht="15" customHeight="1">
      <c r="A35" s="48"/>
      <c r="B35" s="49">
        <f>VLOOKUP($C$11:$C$41,Personnel!$A$1:$B$1234,2,FALSE)</f>
        <v>0</v>
      </c>
      <c r="C35" s="36"/>
      <c r="D35" s="184"/>
      <c r="E35" s="179">
        <f>VLOOKUP($B$11:$B$41,'Constr. Wage Rate Calculations'!$A$19:$Z$288,22,FALSE)</f>
        <v>0</v>
      </c>
      <c r="F35" s="184"/>
      <c r="G35" s="179">
        <f>VLOOKUP($B$11:$B$41,'Constr. Wage Rate Calculations'!$A$19:$Z$288,23,FALSE)</f>
        <v>0</v>
      </c>
      <c r="H35" s="184"/>
      <c r="I35" s="179">
        <f>VLOOKUP($B$11:$B$41,'Constr. Wage Rate Calculations'!$A$19:$Z$288,24,FALSE)</f>
        <v>0</v>
      </c>
      <c r="J35" s="20">
        <f>VLOOKUP($B$11:$B$41,'Constr. Wage Rate Calculations'!$A$19:$Z$288,25,FALSE)</f>
        <v>0</v>
      </c>
      <c r="K35" s="179" t="str">
        <f t="shared" si="1"/>
        <v/>
      </c>
    </row>
    <row r="36" spans="1:15" ht="15" customHeight="1">
      <c r="A36" s="48"/>
      <c r="B36" s="49">
        <f>VLOOKUP($C$11:$C$41,Personnel!$A$1:$B$1234,2,FALSE)</f>
        <v>0</v>
      </c>
      <c r="C36" s="36"/>
      <c r="D36" s="184"/>
      <c r="E36" s="179">
        <f>VLOOKUP($B$11:$B$41,'Constr. Wage Rate Calculations'!$A$19:$Z$288,22,FALSE)</f>
        <v>0</v>
      </c>
      <c r="F36" s="184"/>
      <c r="G36" s="179">
        <f>VLOOKUP($B$11:$B$41,'Constr. Wage Rate Calculations'!$A$19:$Z$288,23,FALSE)</f>
        <v>0</v>
      </c>
      <c r="H36" s="184"/>
      <c r="I36" s="179">
        <f>VLOOKUP($B$11:$B$41,'Constr. Wage Rate Calculations'!$A$19:$Z$288,24,FALSE)</f>
        <v>0</v>
      </c>
      <c r="J36" s="20">
        <f>VLOOKUP($B$11:$B$41,'Constr. Wage Rate Calculations'!$A$19:$Z$288,25,FALSE)</f>
        <v>0</v>
      </c>
      <c r="K36" s="179" t="str">
        <f t="shared" si="1"/>
        <v/>
      </c>
    </row>
    <row r="37" spans="1:15" ht="15" customHeight="1">
      <c r="A37" s="48"/>
      <c r="B37" s="49">
        <f>VLOOKUP($C$11:$C$41,Personnel!$A$1:$B$1234,2,FALSE)</f>
        <v>0</v>
      </c>
      <c r="C37" s="36"/>
      <c r="D37" s="184"/>
      <c r="E37" s="179">
        <f>VLOOKUP($B$11:$B$41,'Constr. Wage Rate Calculations'!$A$19:$Z$288,22,FALSE)</f>
        <v>0</v>
      </c>
      <c r="F37" s="184"/>
      <c r="G37" s="179">
        <f>VLOOKUP($B$11:$B$41,'Constr. Wage Rate Calculations'!$A$19:$Z$288,23,FALSE)</f>
        <v>0</v>
      </c>
      <c r="H37" s="184"/>
      <c r="I37" s="179">
        <f>VLOOKUP($B$11:$B$41,'Constr. Wage Rate Calculations'!$A$19:$Z$288,24,FALSE)</f>
        <v>0</v>
      </c>
      <c r="J37" s="20">
        <f>VLOOKUP($B$11:$B$41,'Constr. Wage Rate Calculations'!$A$19:$Z$288,25,FALSE)</f>
        <v>0</v>
      </c>
      <c r="K37" s="179" t="str">
        <f t="shared" si="1"/>
        <v/>
      </c>
    </row>
    <row r="38" spans="1:15" ht="15" customHeight="1">
      <c r="A38" s="48"/>
      <c r="B38" s="49">
        <f>VLOOKUP($C$11:$C$41,Personnel!$A$1:$B$1234,2,FALSE)</f>
        <v>0</v>
      </c>
      <c r="C38" s="36"/>
      <c r="D38" s="184"/>
      <c r="E38" s="179">
        <f>VLOOKUP($B$11:$B$41,'Constr. Wage Rate Calculations'!$A$19:$Z$288,22,FALSE)</f>
        <v>0</v>
      </c>
      <c r="F38" s="184"/>
      <c r="G38" s="179">
        <f>VLOOKUP($B$11:$B$41,'Constr. Wage Rate Calculations'!$A$19:$Z$288,23,FALSE)</f>
        <v>0</v>
      </c>
      <c r="H38" s="184"/>
      <c r="I38" s="179">
        <f>VLOOKUP($B$11:$B$41,'Constr. Wage Rate Calculations'!$A$19:$Z$288,24,FALSE)</f>
        <v>0</v>
      </c>
      <c r="J38" s="20">
        <f>VLOOKUP($B$11:$B$41,'Constr. Wage Rate Calculations'!$A$19:$Z$288,25,FALSE)</f>
        <v>0</v>
      </c>
      <c r="K38" s="179" t="str">
        <f t="shared" si="1"/>
        <v/>
      </c>
    </row>
    <row r="39" spans="1:15" ht="15" customHeight="1">
      <c r="A39" s="48"/>
      <c r="B39" s="49">
        <f>VLOOKUP($C$11:$C$41,Personnel!$A$1:$B$1234,2,FALSE)</f>
        <v>0</v>
      </c>
      <c r="C39" s="36"/>
      <c r="D39" s="184"/>
      <c r="E39" s="179">
        <f>VLOOKUP($B$11:$B$41,'Constr. Wage Rate Calculations'!$A$19:$Z$288,22,FALSE)</f>
        <v>0</v>
      </c>
      <c r="F39" s="184"/>
      <c r="G39" s="179">
        <f>VLOOKUP($B$11:$B$41,'Constr. Wage Rate Calculations'!$A$19:$Z$288,23,FALSE)</f>
        <v>0</v>
      </c>
      <c r="H39" s="184"/>
      <c r="I39" s="179">
        <f>VLOOKUP($B$11:$B$41,'Constr. Wage Rate Calculations'!$A$19:$Z$288,24,FALSE)</f>
        <v>0</v>
      </c>
      <c r="J39" s="20">
        <f>VLOOKUP($B$11:$B$41,'Constr. Wage Rate Calculations'!$A$19:$Z$288,25,FALSE)</f>
        <v>0</v>
      </c>
      <c r="K39" s="179" t="str">
        <f t="shared" si="1"/>
        <v/>
      </c>
    </row>
    <row r="40" spans="1:15" ht="15" customHeight="1">
      <c r="A40" s="48"/>
      <c r="B40" s="49">
        <f>VLOOKUP($C$11:$C$41,Personnel!$A$1:$B$1234,2,FALSE)</f>
        <v>0</v>
      </c>
      <c r="C40" s="36"/>
      <c r="D40" s="184"/>
      <c r="E40" s="179">
        <f>VLOOKUP($B$11:$B$41,'Constr. Wage Rate Calculations'!$A$19:$Z$288,22,FALSE)</f>
        <v>0</v>
      </c>
      <c r="F40" s="184"/>
      <c r="G40" s="179">
        <f>VLOOKUP($B$11:$B$41,'Constr. Wage Rate Calculations'!$A$19:$Z$288,23,FALSE)</f>
        <v>0</v>
      </c>
      <c r="H40" s="184"/>
      <c r="I40" s="179">
        <f>VLOOKUP($B$11:$B$41,'Constr. Wage Rate Calculations'!$A$19:$Z$288,24,FALSE)</f>
        <v>0</v>
      </c>
      <c r="J40" s="20">
        <f>VLOOKUP($B$11:$B$41,'Constr. Wage Rate Calculations'!$A$19:$Z$288,25,FALSE)</f>
        <v>0</v>
      </c>
      <c r="K40" s="179" t="str">
        <f t="shared" si="1"/>
        <v/>
      </c>
    </row>
    <row r="41" spans="1:15" ht="15" customHeight="1" thickBot="1">
      <c r="A41" s="48"/>
      <c r="B41" s="49">
        <f>VLOOKUP($C$11:$C$41,Personnel!$A$1:$B$1234,2,FALSE)</f>
        <v>0</v>
      </c>
      <c r="C41" s="36"/>
      <c r="D41" s="184"/>
      <c r="E41" s="179">
        <f>VLOOKUP($B$11:$B$41,'Constr. Wage Rate Calculations'!$A$19:$Z$288,22,FALSE)</f>
        <v>0</v>
      </c>
      <c r="F41" s="184"/>
      <c r="G41" s="179">
        <f>VLOOKUP($B$11:$B$41,'Constr. Wage Rate Calculations'!$A$19:$Z$288,23,FALSE)</f>
        <v>0</v>
      </c>
      <c r="H41" s="184"/>
      <c r="I41" s="179">
        <f>VLOOKUP($B$11:$B$41,'Constr. Wage Rate Calculations'!$A$19:$Z$288,24,FALSE)</f>
        <v>0</v>
      </c>
      <c r="J41" s="20">
        <f>VLOOKUP($B$11:$B$41,'Constr. Wage Rate Calculations'!$A$19:$Z$288,25,FALSE)</f>
        <v>0</v>
      </c>
      <c r="K41" s="179" t="str">
        <f t="shared" si="1"/>
        <v/>
      </c>
      <c r="M41" s="1">
        <f>SUM(M11:M40)</f>
        <v>0</v>
      </c>
    </row>
    <row r="42" spans="1:15" ht="15" customHeight="1" thickBot="1">
      <c r="A42"/>
      <c r="B42"/>
      <c r="C42"/>
      <c r="D42" s="21"/>
      <c r="E42" s="21"/>
      <c r="F42" s="21"/>
      <c r="G42" s="21"/>
      <c r="H42" s="21"/>
      <c r="I42" s="360" t="s">
        <v>18</v>
      </c>
      <c r="J42" s="361"/>
      <c r="K42" s="206">
        <f>SUM(K11:K41)</f>
        <v>0</v>
      </c>
      <c r="M42" s="1">
        <f>SUMIFS(D11:D41,D11:D41,"&lt;3",D11:D41,"&lt;5")</f>
        <v>0</v>
      </c>
      <c r="N42" s="1">
        <f>SUMIFS(D11:D41,D11:D41,"&gt;3",D11:D41,"&gt;5")</f>
        <v>0</v>
      </c>
      <c r="O42" s="1">
        <f>SUM(F11:F41,H11:H41,M42,N42)-M41</f>
        <v>0</v>
      </c>
    </row>
    <row r="43" spans="1:15" ht="10" customHeight="1" thickBot="1"/>
    <row r="44" spans="1:15" s="19" customFormat="1" ht="15" customHeight="1" thickBot="1">
      <c r="A44" s="22" t="s">
        <v>19</v>
      </c>
      <c r="B44" s="23" t="s">
        <v>20</v>
      </c>
      <c r="C44" s="23"/>
      <c r="D44" s="23"/>
      <c r="E44" s="23"/>
      <c r="F44" s="23"/>
      <c r="G44" s="23"/>
      <c r="H44" s="18" t="s">
        <v>21</v>
      </c>
      <c r="I44" s="18" t="s">
        <v>22</v>
      </c>
      <c r="J44" s="18" t="s">
        <v>23</v>
      </c>
      <c r="K44" s="18" t="s">
        <v>17</v>
      </c>
    </row>
    <row r="45" spans="1:15" ht="15" customHeight="1">
      <c r="A45" s="43"/>
      <c r="B45" s="49">
        <f>VLOOKUP($C$45:$C$64,Equipment!$A$1:$B$2322,2,FALSE)</f>
        <v>0</v>
      </c>
      <c r="C45" s="24"/>
      <c r="D45" s="24"/>
      <c r="E45" s="24"/>
      <c r="F45" s="24"/>
      <c r="G45" s="24"/>
      <c r="H45" s="185"/>
      <c r="I45" s="184"/>
      <c r="J45" s="42">
        <f>VLOOKUP($B$45:$B$64,'Alberta Equip. Rates Year 3'!$B$13:$K$314,10,FALSE)</f>
        <v>0</v>
      </c>
      <c r="K45" s="181">
        <f t="shared" ref="K45:K58" si="2">(H45+I45)*J45</f>
        <v>0</v>
      </c>
    </row>
    <row r="46" spans="1:15" ht="17.25" customHeight="1">
      <c r="A46" s="43"/>
      <c r="B46" s="49">
        <f>VLOOKUP($C$45:$C$64,Equipment!$A$1:$B$2322,2,FALSE)</f>
        <v>0</v>
      </c>
      <c r="C46" s="24"/>
      <c r="D46" s="24"/>
      <c r="E46" s="24"/>
      <c r="F46" s="24"/>
      <c r="G46" s="24"/>
      <c r="H46" s="36"/>
      <c r="I46" s="184"/>
      <c r="J46" s="42">
        <f>VLOOKUP($B$45:$B$64,'Alberta Equip. Rates Year 3'!$B$13:$K$314,10,FALSE)</f>
        <v>0</v>
      </c>
      <c r="K46" s="181">
        <f t="shared" si="2"/>
        <v>0</v>
      </c>
    </row>
    <row r="47" spans="1:15" ht="15" customHeight="1">
      <c r="A47" s="43"/>
      <c r="B47" s="49">
        <f>VLOOKUP($C$45:$C$64,Equipment!$A$1:$B$2322,2,FALSE)</f>
        <v>0</v>
      </c>
      <c r="C47" s="24"/>
      <c r="D47" s="24"/>
      <c r="E47" s="24"/>
      <c r="F47" s="24"/>
      <c r="G47" s="24"/>
      <c r="H47" s="36"/>
      <c r="I47" s="184"/>
      <c r="J47" s="42">
        <f>VLOOKUP($B$45:$B$64,'Alberta Equip. Rates Year 3'!$B$13:$K$314,10,FALSE)</f>
        <v>0</v>
      </c>
      <c r="K47" s="181">
        <f t="shared" si="2"/>
        <v>0</v>
      </c>
    </row>
    <row r="48" spans="1:15" ht="15" customHeight="1">
      <c r="A48" s="43"/>
      <c r="B48" s="49">
        <f>VLOOKUP($C$45:$C$64,Equipment!$A$1:$B$2322,2,FALSE)</f>
        <v>0</v>
      </c>
      <c r="C48" s="24"/>
      <c r="D48" s="24"/>
      <c r="E48" s="24"/>
      <c r="F48" s="24"/>
      <c r="G48" s="24"/>
      <c r="H48" s="36"/>
      <c r="I48" s="20"/>
      <c r="J48" s="42">
        <f>VLOOKUP($B$45:$B$64,'Alberta Equip. Rates Year 3'!$B$13:$K$314,10,FALSE)</f>
        <v>0</v>
      </c>
      <c r="K48" s="181">
        <f t="shared" si="2"/>
        <v>0</v>
      </c>
    </row>
    <row r="49" spans="1:11" ht="15" customHeight="1">
      <c r="A49" s="43"/>
      <c r="B49" s="49">
        <f>VLOOKUP($C$45:$C$64,Equipment!$A$1:$B$2322,2,FALSE)</f>
        <v>0</v>
      </c>
      <c r="C49" s="24"/>
      <c r="D49" s="24"/>
      <c r="E49" s="24"/>
      <c r="F49" s="24"/>
      <c r="G49" s="24"/>
      <c r="H49" s="36"/>
      <c r="I49" s="20"/>
      <c r="J49" s="42">
        <f>VLOOKUP($B$45:$B$64,'Alberta Equip. Rates Year 3'!$B$13:$K$314,10,FALSE)</f>
        <v>0</v>
      </c>
      <c r="K49" s="181">
        <f t="shared" si="2"/>
        <v>0</v>
      </c>
    </row>
    <row r="50" spans="1:11" ht="15" customHeight="1">
      <c r="A50" s="43"/>
      <c r="B50" s="49">
        <f>VLOOKUP($C$45:$C$64,Equipment!$A$1:$B$2322,2,FALSE)</f>
        <v>0</v>
      </c>
      <c r="C50" s="24"/>
      <c r="D50" s="24"/>
      <c r="E50" s="24"/>
      <c r="F50" s="24"/>
      <c r="G50" s="24"/>
      <c r="H50" s="36"/>
      <c r="I50" s="184"/>
      <c r="J50" s="42">
        <f>VLOOKUP($B$45:$B$64,'Alberta Equip. Rates Year 3'!$B$13:$K$314,10,FALSE)</f>
        <v>0</v>
      </c>
      <c r="K50" s="181">
        <f t="shared" si="2"/>
        <v>0</v>
      </c>
    </row>
    <row r="51" spans="1:11" ht="15" customHeight="1">
      <c r="A51" s="43"/>
      <c r="B51" s="49">
        <f>VLOOKUP($C$45:$C$64,Equipment!$A$1:$B$2322,2,FALSE)</f>
        <v>0</v>
      </c>
      <c r="C51" s="24"/>
      <c r="D51" s="24"/>
      <c r="E51" s="24"/>
      <c r="F51" s="24"/>
      <c r="G51" s="24"/>
      <c r="H51" s="36"/>
      <c r="I51" s="20"/>
      <c r="J51" s="42">
        <f>VLOOKUP($B$45:$B$64,'Alberta Equip. Rates Year 3'!$B$13:$K$314,10,FALSE)</f>
        <v>0</v>
      </c>
      <c r="K51" s="181">
        <f t="shared" si="2"/>
        <v>0</v>
      </c>
    </row>
    <row r="52" spans="1:11" ht="15" customHeight="1">
      <c r="A52" s="43"/>
      <c r="B52" s="49">
        <f>VLOOKUP($C$45:$C$64,Equipment!$A$1:$B$2322,2,FALSE)</f>
        <v>0</v>
      </c>
      <c r="C52" s="24"/>
      <c r="D52" s="24"/>
      <c r="E52" s="24"/>
      <c r="F52" s="24"/>
      <c r="G52" s="24"/>
      <c r="H52" s="36"/>
      <c r="I52" s="20"/>
      <c r="J52" s="42">
        <f>VLOOKUP($B$45:$B$64,'Alberta Equip. Rates Year 3'!$B$13:$K$314,10,FALSE)</f>
        <v>0</v>
      </c>
      <c r="K52" s="181">
        <f t="shared" si="2"/>
        <v>0</v>
      </c>
    </row>
    <row r="53" spans="1:11" ht="15" customHeight="1">
      <c r="A53" s="43"/>
      <c r="B53" s="49">
        <f>VLOOKUP($C$45:$C$64,Equipment!$A$1:$B$2322,2,FALSE)</f>
        <v>0</v>
      </c>
      <c r="C53" s="24"/>
      <c r="D53" s="24"/>
      <c r="E53" s="24"/>
      <c r="F53" s="24"/>
      <c r="G53" s="24"/>
      <c r="H53" s="36"/>
      <c r="I53" s="20"/>
      <c r="J53" s="42">
        <f>VLOOKUP($B$45:$B$64,'Alberta Equip. Rates Year 3'!$B$13:$K$314,10,FALSE)</f>
        <v>0</v>
      </c>
      <c r="K53" s="181">
        <f t="shared" si="2"/>
        <v>0</v>
      </c>
    </row>
    <row r="54" spans="1:11" ht="15" customHeight="1">
      <c r="A54" s="43"/>
      <c r="B54" s="49">
        <f>VLOOKUP($C$45:$C$64,Equipment!$A$1:$B$2322,2,FALSE)</f>
        <v>0</v>
      </c>
      <c r="C54" s="24"/>
      <c r="D54" s="24"/>
      <c r="E54" s="24"/>
      <c r="F54" s="24"/>
      <c r="G54" s="24"/>
      <c r="H54" s="36"/>
      <c r="I54" s="20"/>
      <c r="J54" s="42">
        <f>VLOOKUP($B$45:$B$64,'Alberta Equip. Rates Year 3'!$B$13:$K$314,10,FALSE)</f>
        <v>0</v>
      </c>
      <c r="K54" s="181">
        <f t="shared" si="2"/>
        <v>0</v>
      </c>
    </row>
    <row r="55" spans="1:11" ht="15" customHeight="1">
      <c r="A55" s="43"/>
      <c r="B55" s="49">
        <f>VLOOKUP($C$45:$C$64,Equipment!$A$1:$B$2322,2,FALSE)</f>
        <v>0</v>
      </c>
      <c r="C55" s="24"/>
      <c r="D55" s="24"/>
      <c r="E55" s="24"/>
      <c r="F55" s="24"/>
      <c r="G55" s="24"/>
      <c r="H55" s="36"/>
      <c r="I55" s="20"/>
      <c r="J55" s="42">
        <f>VLOOKUP($B$45:$B$64,'Alberta Equip. Rates Year 3'!$B$13:$K$314,10,FALSE)</f>
        <v>0</v>
      </c>
      <c r="K55" s="181">
        <f t="shared" si="2"/>
        <v>0</v>
      </c>
    </row>
    <row r="56" spans="1:11" ht="15" customHeight="1">
      <c r="A56" s="43"/>
      <c r="B56" s="49">
        <f>VLOOKUP($C$45:$C$64,Equipment!$A$1:$B$2322,2,FALSE)</f>
        <v>0</v>
      </c>
      <c r="C56" s="24"/>
      <c r="D56" s="24"/>
      <c r="E56" s="24"/>
      <c r="F56" s="24"/>
      <c r="G56" s="24"/>
      <c r="H56" s="36"/>
      <c r="I56" s="20"/>
      <c r="J56" s="42">
        <f>VLOOKUP($B$45:$B$64,'Alberta Equip. Rates Year 3'!$B$13:$K$314,10,FALSE)</f>
        <v>0</v>
      </c>
      <c r="K56" s="181">
        <f t="shared" si="2"/>
        <v>0</v>
      </c>
    </row>
    <row r="57" spans="1:11" ht="15" customHeight="1">
      <c r="A57" s="43"/>
      <c r="B57" s="49">
        <f>VLOOKUP($C$45:$C$64,Equipment!$A$1:$B$2322,2,FALSE)</f>
        <v>0</v>
      </c>
      <c r="C57" s="24"/>
      <c r="D57" s="24"/>
      <c r="E57" s="24"/>
      <c r="F57" s="24"/>
      <c r="G57" s="24"/>
      <c r="H57" s="36"/>
      <c r="I57" s="20"/>
      <c r="J57" s="42">
        <f>VLOOKUP($B$45:$B$64,'Alberta Equip. Rates Year 3'!$B$13:$K$314,10,FALSE)</f>
        <v>0</v>
      </c>
      <c r="K57" s="181">
        <f t="shared" si="2"/>
        <v>0</v>
      </c>
    </row>
    <row r="58" spans="1:11" ht="15" customHeight="1">
      <c r="A58" s="43"/>
      <c r="B58" s="49">
        <f>VLOOKUP($C$45:$C$64,Equipment!$A$1:$B$2322,2,FALSE)</f>
        <v>0</v>
      </c>
      <c r="C58" s="24"/>
      <c r="D58" s="24"/>
      <c r="E58" s="24"/>
      <c r="F58" s="24"/>
      <c r="G58" s="24"/>
      <c r="H58" s="36"/>
      <c r="I58" s="20"/>
      <c r="J58" s="42">
        <f>VLOOKUP($B$45:$B$64,'Alberta Equip. Rates Year 3'!$B$13:$K$314,10,FALSE)</f>
        <v>0</v>
      </c>
      <c r="K58" s="181">
        <f t="shared" si="2"/>
        <v>0</v>
      </c>
    </row>
    <row r="59" spans="1:11" ht="15" customHeight="1">
      <c r="A59" s="43"/>
      <c r="B59" s="49">
        <f>VLOOKUP($C$45:$C$64,Equipment!$A$1:$B$2322,2,FALSE)</f>
        <v>0</v>
      </c>
      <c r="C59" s="24"/>
      <c r="D59" s="24"/>
      <c r="E59" s="24"/>
      <c r="F59" s="24"/>
      <c r="G59" s="24"/>
      <c r="H59" s="36"/>
      <c r="I59" s="20"/>
      <c r="J59" s="42">
        <f>VLOOKUP($B$45:$B$64,'Alberta Equip. Rates Year 3'!$B$13:$K$314,10,FALSE)</f>
        <v>0</v>
      </c>
      <c r="K59" s="181">
        <f t="shared" ref="K59:K64" si="3">(H59+I59)*J59</f>
        <v>0</v>
      </c>
    </row>
    <row r="60" spans="1:11" ht="15" customHeight="1">
      <c r="A60" s="43"/>
      <c r="B60" s="49">
        <f>VLOOKUP($C$45:$C$64,Equipment!$A$1:$B$2322,2,FALSE)</f>
        <v>0</v>
      </c>
      <c r="C60" s="24"/>
      <c r="D60" s="24"/>
      <c r="E60" s="24"/>
      <c r="F60" s="24"/>
      <c r="G60" s="24"/>
      <c r="H60" s="36"/>
      <c r="I60" s="20"/>
      <c r="J60" s="42">
        <f>VLOOKUP($B$45:$B$64,'Alberta Equip. Rates Year 3'!$B$13:$K$314,10,FALSE)</f>
        <v>0</v>
      </c>
      <c r="K60" s="181">
        <f t="shared" si="3"/>
        <v>0</v>
      </c>
    </row>
    <row r="61" spans="1:11" ht="15" customHeight="1">
      <c r="A61" s="43"/>
      <c r="B61" s="49">
        <f>VLOOKUP($C$45:$C$64,Equipment!$A$1:$B$2322,2,FALSE)</f>
        <v>0</v>
      </c>
      <c r="C61" s="24"/>
      <c r="D61" s="24"/>
      <c r="E61" s="24"/>
      <c r="F61" s="24"/>
      <c r="G61" s="24"/>
      <c r="H61" s="36"/>
      <c r="I61" s="20"/>
      <c r="J61" s="42">
        <f>VLOOKUP($B$45:$B$64,'Alberta Equip. Rates Year 3'!$B$13:$K$314,10,FALSE)</f>
        <v>0</v>
      </c>
      <c r="K61" s="181">
        <f>(H61+I61)*J61</f>
        <v>0</v>
      </c>
    </row>
    <row r="62" spans="1:11" ht="15" customHeight="1">
      <c r="A62" s="43"/>
      <c r="B62" s="49">
        <f>VLOOKUP($C$45:$C$64,Equipment!$A$1:$B$2322,2,FALSE)</f>
        <v>0</v>
      </c>
      <c r="C62" s="24"/>
      <c r="D62" s="24"/>
      <c r="E62" s="24"/>
      <c r="F62" s="24"/>
      <c r="G62" s="24"/>
      <c r="H62" s="36"/>
      <c r="I62" s="20"/>
      <c r="J62" s="42">
        <f>VLOOKUP($B$45:$B$64,'Alberta Equip. Rates Year 3'!$B$13:$K$314,10,FALSE)</f>
        <v>0</v>
      </c>
      <c r="K62" s="181">
        <f>(H62+I62)*J62</f>
        <v>0</v>
      </c>
    </row>
    <row r="63" spans="1:11" ht="15" customHeight="1">
      <c r="A63" s="43"/>
      <c r="B63" s="49">
        <f>VLOOKUP($C$45:$C$64,Equipment!$A$1:$B$2322,2,FALSE)</f>
        <v>0</v>
      </c>
      <c r="C63" s="24"/>
      <c r="D63" s="24"/>
      <c r="E63" s="24"/>
      <c r="F63" s="24"/>
      <c r="G63" s="24"/>
      <c r="H63" s="36"/>
      <c r="I63" s="20"/>
      <c r="J63" s="42">
        <f>VLOOKUP($B$45:$B$64,'Alberta Equip. Rates Year 3'!$B$13:$K$314,10,FALSE)</f>
        <v>0</v>
      </c>
      <c r="K63" s="181">
        <f>(H63+I63)*J63</f>
        <v>0</v>
      </c>
    </row>
    <row r="64" spans="1:11" ht="15" customHeight="1" thickBot="1">
      <c r="A64" s="43"/>
      <c r="B64" s="49">
        <f>VLOOKUP($C$45:$C$64,Equipment!$A$1:$B$2322,2,FALSE)</f>
        <v>0</v>
      </c>
      <c r="C64" s="24"/>
      <c r="D64" s="24"/>
      <c r="E64" s="24"/>
      <c r="F64" s="24"/>
      <c r="G64" s="24"/>
      <c r="H64" s="36"/>
      <c r="I64" s="20"/>
      <c r="J64" s="42">
        <f>VLOOKUP($B$45:$B$64,'Alberta Equip. Rates Year 3'!$B$13:$K$314,10,FALSE)</f>
        <v>0</v>
      </c>
      <c r="K64" s="181">
        <f t="shared" si="3"/>
        <v>0</v>
      </c>
    </row>
    <row r="65" spans="1:11" ht="12" thickBot="1">
      <c r="A65" s="25"/>
      <c r="B65" s="25"/>
      <c r="C65" s="25"/>
      <c r="D65" s="21"/>
      <c r="E65" s="21"/>
      <c r="F65" s="21"/>
      <c r="G65" s="21"/>
      <c r="H65" s="21"/>
      <c r="I65" s="360" t="s">
        <v>24</v>
      </c>
      <c r="J65" s="361"/>
      <c r="K65" s="182">
        <f>SUM(K45:K64)</f>
        <v>0</v>
      </c>
    </row>
    <row r="66" spans="1:11" ht="12" thickBot="1">
      <c r="A66" s="26"/>
      <c r="D66" s="26"/>
      <c r="I66" s="27"/>
      <c r="J66" s="27"/>
      <c r="K66" s="28"/>
    </row>
    <row r="67" spans="1:11">
      <c r="A67" s="1" t="s">
        <v>25</v>
      </c>
      <c r="B67" s="29"/>
      <c r="D67" s="1"/>
      <c r="E67" s="1"/>
      <c r="F67" s="1"/>
      <c r="G67" s="1"/>
      <c r="H67" s="1"/>
      <c r="I67" s="362" t="s">
        <v>26</v>
      </c>
      <c r="J67" s="362"/>
      <c r="K67" s="37">
        <f>K42</f>
        <v>0</v>
      </c>
    </row>
    <row r="68" spans="1:11">
      <c r="D68" s="1"/>
      <c r="E68" s="1"/>
      <c r="F68" s="1"/>
      <c r="G68" s="1"/>
      <c r="H68" s="1"/>
      <c r="I68" s="362" t="s">
        <v>27</v>
      </c>
      <c r="J68" s="362"/>
      <c r="K68" s="38">
        <f>K65</f>
        <v>0</v>
      </c>
    </row>
    <row r="69" spans="1:11">
      <c r="D69" s="1"/>
      <c r="E69" s="1"/>
      <c r="F69" s="1"/>
      <c r="G69" s="1"/>
      <c r="H69" s="1"/>
      <c r="I69" s="27" t="s">
        <v>28</v>
      </c>
      <c r="J69" s="27"/>
      <c r="K69" s="38">
        <f>(O42)*14.15</f>
        <v>0</v>
      </c>
    </row>
    <row r="70" spans="1:11">
      <c r="D70" s="1"/>
      <c r="E70" s="1"/>
      <c r="F70" s="1"/>
      <c r="G70" s="1"/>
      <c r="H70" s="1"/>
      <c r="I70" s="30" t="s">
        <v>29</v>
      </c>
      <c r="J70" s="30"/>
      <c r="K70" s="39"/>
    </row>
    <row r="71" spans="1:11">
      <c r="D71" s="1"/>
      <c r="E71" s="1"/>
      <c r="F71" s="1"/>
      <c r="G71" s="1"/>
      <c r="H71" s="1"/>
      <c r="I71" s="30" t="s">
        <v>30</v>
      </c>
      <c r="J71" s="30"/>
      <c r="K71" s="39"/>
    </row>
    <row r="72" spans="1:11">
      <c r="D72" s="1"/>
      <c r="E72" s="1"/>
      <c r="F72" s="1"/>
      <c r="G72" s="1"/>
      <c r="H72" s="1"/>
      <c r="I72" s="30" t="s">
        <v>31</v>
      </c>
      <c r="J72" s="30"/>
      <c r="K72" s="39"/>
    </row>
    <row r="73" spans="1:11" ht="12" thickBot="1">
      <c r="D73" s="1"/>
      <c r="E73" s="1"/>
      <c r="F73" s="1"/>
      <c r="G73" s="1"/>
      <c r="H73" s="1"/>
      <c r="I73" s="362" t="s">
        <v>32</v>
      </c>
      <c r="J73" s="362"/>
      <c r="K73" s="40">
        <f>SUM(K67:K72)</f>
        <v>0</v>
      </c>
    </row>
    <row r="74" spans="1:11">
      <c r="D74" s="1"/>
      <c r="E74" s="1"/>
      <c r="F74" s="1"/>
      <c r="G74" s="1"/>
      <c r="H74" s="1"/>
      <c r="I74" s="27"/>
      <c r="J74" s="27"/>
    </row>
    <row r="75" spans="1:11">
      <c r="A75" s="31" t="s">
        <v>33</v>
      </c>
      <c r="B75" s="32"/>
      <c r="C75" s="32"/>
      <c r="D75" s="1"/>
      <c r="H75" s="33" t="s">
        <v>34</v>
      </c>
      <c r="I75" s="32"/>
      <c r="J75" s="32"/>
      <c r="K75" s="32"/>
    </row>
    <row r="76" spans="1:11" ht="15">
      <c r="A76" s="34"/>
      <c r="E76" s="8"/>
      <c r="F76" s="8"/>
      <c r="G76" s="8"/>
      <c r="H76" s="35"/>
      <c r="I76" s="35"/>
      <c r="J76" s="35"/>
      <c r="K76" s="35"/>
    </row>
    <row r="77" spans="1:11" ht="15">
      <c r="A77" s="34" t="s">
        <v>35</v>
      </c>
      <c r="E77" s="8"/>
      <c r="F77" s="8"/>
      <c r="G77" s="8"/>
      <c r="H77" s="35"/>
      <c r="I77" s="35"/>
      <c r="J77" s="35"/>
      <c r="K77" s="35"/>
    </row>
    <row r="78" spans="1:11" s="34" customFormat="1">
      <c r="A78" s="363">
        <v>41218.479166666664</v>
      </c>
      <c r="B78" s="363"/>
      <c r="C78" s="364"/>
      <c r="D78" s="364"/>
      <c r="E78" s="364"/>
      <c r="F78" s="364"/>
      <c r="G78" s="364"/>
      <c r="H78" s="364"/>
      <c r="I78" s="364"/>
      <c r="J78" s="364"/>
      <c r="K78" s="8"/>
    </row>
    <row r="88" s="1" customFormat="1"/>
    <row r="89" s="1" customFormat="1"/>
    <row r="90" s="1" customFormat="1"/>
    <row r="91" s="1" customFormat="1"/>
    <row r="92" s="1" customFormat="1"/>
    <row r="93" s="1" customFormat="1"/>
    <row r="94" s="1" customFormat="1"/>
    <row r="95" s="1" customFormat="1"/>
    <row r="96" s="1" customFormat="1"/>
    <row r="97" s="1" customFormat="1"/>
    <row r="98" s="1" customFormat="1"/>
    <row r="99" s="1" customFormat="1"/>
    <row r="100" s="1" customFormat="1"/>
    <row r="101" s="1" customFormat="1"/>
    <row r="106" s="1" customFormat="1"/>
    <row r="134" s="1" customFormat="1"/>
    <row r="135" s="1" customFormat="1"/>
    <row r="136" s="1" customFormat="1"/>
    <row r="137" s="1" customFormat="1"/>
  </sheetData>
  <mergeCells count="12">
    <mergeCell ref="I65:J65"/>
    <mergeCell ref="I67:J67"/>
    <mergeCell ref="I68:J68"/>
    <mergeCell ref="I73:J73"/>
    <mergeCell ref="A78:B78"/>
    <mergeCell ref="C78:J78"/>
    <mergeCell ref="I42:J42"/>
    <mergeCell ref="C1:H1"/>
    <mergeCell ref="C2:H2"/>
    <mergeCell ref="C3:H3"/>
    <mergeCell ref="H6:I6"/>
    <mergeCell ref="H7:I7"/>
  </mergeCells>
  <conditionalFormatting sqref="M11:M14">
    <cfRule type="expression" dxfId="100" priority="8718">
      <formula>ISTEXT(A11:A41)</formula>
    </cfRule>
  </conditionalFormatting>
  <conditionalFormatting sqref="M15:M33">
    <cfRule type="expression" dxfId="99" priority="8688">
      <formula>ISTEXT(A15:A46)</formula>
    </cfRule>
  </conditionalFormatting>
  <conditionalFormatting sqref="M34:M41">
    <cfRule type="expression" dxfId="98" priority="1">
      <formula>ISTEXT(A34:A66)</formula>
    </cfRule>
  </conditionalFormatting>
  <printOptions horizontalCentered="1"/>
  <pageMargins left="0.19685039370078741" right="0.19685039370078741" top="0.39370078740157483" bottom="0.39370078740157483" header="0" footer="0"/>
  <pageSetup orientation="portrait" horizontalDpi="4294967292" verticalDpi="4294967292"/>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1000-000000000000}">
          <x14:formula1>
            <xm:f>Accounts!$A$4:$A$60</xm:f>
          </x14:formula1>
          <xm:sqref>K7</xm:sqref>
        </x14:dataValidation>
        <x14:dataValidation type="list" allowBlank="1" showInputMessage="1" showErrorMessage="1" xr:uid="{00000000-0002-0000-1000-000001000000}">
          <x14:formula1>
            <xm:f>'Constr. Wage Rate Calculations'!$A$19:$A$288</xm:f>
          </x14:formula1>
          <xm:sqref>B11:B41</xm:sqref>
        </x14:dataValidation>
        <x14:dataValidation type="list" allowBlank="1" showInputMessage="1" showErrorMessage="1" xr:uid="{00000000-0002-0000-1000-000002000000}">
          <x14:formula1>
            <xm:f>Personnel!$A:$A</xm:f>
          </x14:formula1>
          <xm:sqref>C11:C41</xm:sqref>
        </x14:dataValidation>
        <x14:dataValidation type="list" allowBlank="1" showInputMessage="1" showErrorMessage="1" xr:uid="{00000000-0002-0000-1000-000003000000}">
          <x14:formula1>
            <xm:f>Equipment!$A:$A</xm:f>
          </x14:formula1>
          <xm:sqref>C45:C64</xm:sqref>
        </x14:dataValidation>
      </x14:dataValidations>
    </ext>
    <ext xmlns:mx="http://schemas.microsoft.com/office/mac/excel/2008/main" uri="{64002731-A6B0-56B0-2670-7721B7C09600}">
      <mx:PLV Mode="0" OnePage="0" WScale="0"/>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O179"/>
  <sheetViews>
    <sheetView zoomScale="120" zoomScaleNormal="120" zoomScalePageLayoutView="120" workbookViewId="0">
      <selection activeCell="C39" sqref="C39"/>
    </sheetView>
  </sheetViews>
  <sheetFormatPr baseColWidth="10" defaultColWidth="8.83203125" defaultRowHeight="11"/>
  <cols>
    <col min="1" max="1" width="13" style="1" customWidth="1"/>
    <col min="2" max="2" width="30" style="1" customWidth="1"/>
    <col min="3" max="3" width="24.5" style="1" customWidth="1"/>
    <col min="4" max="4" width="8.6640625" style="2" customWidth="1"/>
    <col min="5" max="6" width="8.33203125" style="2" customWidth="1"/>
    <col min="7" max="8" width="8.6640625" style="2" customWidth="1"/>
    <col min="9" max="9" width="9.33203125" style="2" customWidth="1"/>
    <col min="10" max="10" width="8.6640625" style="2" customWidth="1"/>
    <col min="11" max="11" width="19.33203125" style="1" customWidth="1"/>
    <col min="12" max="12" width="3.5" style="1" hidden="1" customWidth="1"/>
    <col min="13" max="16384" width="8.83203125" style="1"/>
  </cols>
  <sheetData>
    <row r="1" spans="1:13" ht="15">
      <c r="C1" s="364"/>
      <c r="D1" s="365"/>
      <c r="E1" s="365"/>
      <c r="F1" s="365"/>
      <c r="G1" s="365"/>
      <c r="H1" s="366"/>
      <c r="J1" s="2" t="s">
        <v>0</v>
      </c>
      <c r="K1" s="197"/>
      <c r="M1" s="45"/>
    </row>
    <row r="2" spans="1:13" ht="15">
      <c r="C2" s="367"/>
      <c r="D2" s="367"/>
      <c r="E2" s="367"/>
      <c r="F2" s="367"/>
      <c r="G2" s="367"/>
      <c r="H2" s="366"/>
      <c r="K2" s="41"/>
    </row>
    <row r="3" spans="1:13" ht="15">
      <c r="C3" s="368"/>
      <c r="D3" s="369"/>
      <c r="E3" s="369"/>
      <c r="F3" s="369"/>
      <c r="G3" s="369"/>
      <c r="H3" s="366"/>
    </row>
    <row r="4" spans="1:13">
      <c r="C4" s="3"/>
      <c r="D4" s="4"/>
      <c r="E4" s="4"/>
      <c r="F4" s="4"/>
      <c r="G4" s="4"/>
    </row>
    <row r="5" spans="1:13">
      <c r="C5" s="3"/>
      <c r="D5" s="4"/>
      <c r="E5" s="4"/>
      <c r="F5" s="4"/>
      <c r="G5" s="4"/>
    </row>
    <row r="6" spans="1:13" ht="12">
      <c r="B6" s="5"/>
      <c r="C6" s="6"/>
      <c r="D6" s="7"/>
      <c r="E6" s="8"/>
      <c r="F6" s="8"/>
      <c r="G6" s="1" t="s">
        <v>1</v>
      </c>
      <c r="H6" s="370"/>
      <c r="I6" s="370"/>
      <c r="J6" s="1" t="s">
        <v>2</v>
      </c>
      <c r="K6" s="47"/>
    </row>
    <row r="7" spans="1:13" ht="12">
      <c r="A7" s="1" t="s">
        <v>3</v>
      </c>
      <c r="B7" s="9"/>
      <c r="C7" s="10"/>
      <c r="D7" s="11"/>
      <c r="E7" s="8"/>
      <c r="F7" s="8"/>
      <c r="G7" s="1" t="s">
        <v>4</v>
      </c>
      <c r="H7" s="371"/>
      <c r="I7" s="371"/>
      <c r="J7" s="1" t="s">
        <v>5</v>
      </c>
      <c r="K7" s="46"/>
    </row>
    <row r="8" spans="1:13" ht="12">
      <c r="B8" s="12"/>
      <c r="C8" s="13"/>
      <c r="D8" s="14"/>
      <c r="E8" s="8"/>
      <c r="F8" s="8"/>
      <c r="G8" s="1" t="s">
        <v>6</v>
      </c>
      <c r="H8" s="187"/>
      <c r="I8" s="188"/>
      <c r="J8" s="44"/>
    </row>
    <row r="9" spans="1:13" ht="16" thickBot="1">
      <c r="B9" s="15"/>
      <c r="C9" s="16"/>
      <c r="D9" s="16"/>
      <c r="E9" s="8"/>
      <c r="F9" s="8"/>
      <c r="G9" s="8"/>
    </row>
    <row r="10" spans="1:13" s="19" customFormat="1" ht="12" thickBot="1">
      <c r="A10" s="17" t="s">
        <v>7</v>
      </c>
      <c r="B10" s="17" t="s">
        <v>8</v>
      </c>
      <c r="C10" s="17" t="s">
        <v>9</v>
      </c>
      <c r="D10" s="18" t="s">
        <v>10</v>
      </c>
      <c r="E10" s="18" t="s">
        <v>11</v>
      </c>
      <c r="F10" s="18" t="s">
        <v>12</v>
      </c>
      <c r="G10" s="180" t="s">
        <v>13</v>
      </c>
      <c r="H10" s="18" t="s">
        <v>14</v>
      </c>
      <c r="I10" s="18" t="s">
        <v>15</v>
      </c>
      <c r="J10" s="18" t="s">
        <v>16</v>
      </c>
      <c r="K10" s="18" t="s">
        <v>17</v>
      </c>
      <c r="M10" s="19" t="s">
        <v>1797</v>
      </c>
    </row>
    <row r="11" spans="1:13" ht="15" customHeight="1">
      <c r="A11" s="48"/>
      <c r="B11" s="49">
        <f>VLOOKUP($C$11:$C$33,Personnel!$A$1:$B$1234,2,FALSE)</f>
        <v>0</v>
      </c>
      <c r="C11" s="36"/>
      <c r="D11" s="184"/>
      <c r="E11" s="179">
        <f>VLOOKUP($B$11:$B$33,'Constr. Wage Rate Calculations'!$A$19:$Z$288,22,FALSE)</f>
        <v>0</v>
      </c>
      <c r="F11" s="184"/>
      <c r="G11" s="179">
        <f>VLOOKUP($B$11:$B$33,'Constr. Wage Rate Calculations'!$A$19:$Z$288,23,FALSE)</f>
        <v>0</v>
      </c>
      <c r="H11" s="184"/>
      <c r="I11" s="179">
        <f>VLOOKUP($B$11:$B$33,'Constr. Wage Rate Calculations'!$A$19:$Z$288,24,FALSE)</f>
        <v>0</v>
      </c>
      <c r="J11" s="20">
        <f>VLOOKUP($B$11:$B$33,'Constr. Wage Rate Calculations'!$A$19:$Z$288,25,FALSE)</f>
        <v>0</v>
      </c>
      <c r="K11" s="179" t="str">
        <f t="shared" ref="K11:K33" si="0">IF($D11&gt;=1,$J11+(D11*E11)+(F11*G11)+(H11*I11),IF($F11&gt;=1,$J11+(D11*E11)+(F11*G11)+(H11*I11),IF($H11&gt;=1,$J11+(D11*E11)+(F11*G11)+(H11*I11),"")))</f>
        <v/>
      </c>
    </row>
    <row r="12" spans="1:13" ht="15" customHeight="1">
      <c r="A12" s="48"/>
      <c r="B12" s="49">
        <f>VLOOKUP($C$11:$C$33,Personnel!$A$1:$B$1234,2,FALSE)</f>
        <v>0</v>
      </c>
      <c r="D12" s="184"/>
      <c r="E12" s="179">
        <f>VLOOKUP($B$11:$B$33,'Constr. Wage Rate Calculations'!$A$19:$Z$288,22,FALSE)</f>
        <v>0</v>
      </c>
      <c r="F12" s="184"/>
      <c r="G12" s="179">
        <f>VLOOKUP($B$11:$B$33,'Constr. Wage Rate Calculations'!$A$19:$Z$288,23,FALSE)</f>
        <v>0</v>
      </c>
      <c r="H12" s="184"/>
      <c r="I12" s="179">
        <f>VLOOKUP($B$11:$B$33,'Constr. Wage Rate Calculations'!$A$19:$Z$288,24,FALSE)</f>
        <v>0</v>
      </c>
      <c r="J12" s="20">
        <f>VLOOKUP($B$11:$B$33,'Constr. Wage Rate Calculations'!$A$19:$Z$288,25,FALSE)</f>
        <v>0</v>
      </c>
      <c r="K12" s="179" t="str">
        <f t="shared" si="0"/>
        <v/>
      </c>
    </row>
    <row r="13" spans="1:13" ht="15" customHeight="1">
      <c r="A13" s="48"/>
      <c r="B13" s="49">
        <f>VLOOKUP($C$11:$C$33,Personnel!$A$1:$B$1234,2,FALSE)</f>
        <v>0</v>
      </c>
      <c r="C13" s="36"/>
      <c r="D13" s="184"/>
      <c r="E13" s="179">
        <f>VLOOKUP($B$11:$B$33,'Constr. Wage Rate Calculations'!$A$19:$Z$288,22,FALSE)</f>
        <v>0</v>
      </c>
      <c r="F13" s="184"/>
      <c r="G13" s="179">
        <f>VLOOKUP($B$11:$B$33,'Constr. Wage Rate Calculations'!$A$19:$Z$288,23,FALSE)</f>
        <v>0</v>
      </c>
      <c r="H13" s="184"/>
      <c r="I13" s="179">
        <f>VLOOKUP($B$11:$B$33,'Constr. Wage Rate Calculations'!$A$19:$Z$288,24,FALSE)</f>
        <v>0</v>
      </c>
      <c r="J13" s="20">
        <f>VLOOKUP($B$11:$B$33,'Constr. Wage Rate Calculations'!$A$19:$Z$288,25,FALSE)</f>
        <v>0</v>
      </c>
      <c r="K13" s="179" t="str">
        <f t="shared" si="0"/>
        <v/>
      </c>
    </row>
    <row r="14" spans="1:13" ht="15" customHeight="1">
      <c r="A14" s="48"/>
      <c r="B14" s="49">
        <f>VLOOKUP($C$11:$C$33,Personnel!$A$1:$B$1234,2,FALSE)</f>
        <v>0</v>
      </c>
      <c r="C14" s="36"/>
      <c r="D14" s="184"/>
      <c r="E14" s="179">
        <f>VLOOKUP($B$11:$B$33,'Constr. Wage Rate Calculations'!$A$19:$Z$288,22,FALSE)</f>
        <v>0</v>
      </c>
      <c r="F14" s="184"/>
      <c r="G14" s="179">
        <f>VLOOKUP($B$11:$B$33,'Constr. Wage Rate Calculations'!$A$19:$Z$288,23,FALSE)</f>
        <v>0</v>
      </c>
      <c r="H14" s="184"/>
      <c r="I14" s="179">
        <f>VLOOKUP($B$11:$B$33,'Constr. Wage Rate Calculations'!$A$19:$Z$288,24,FALSE)</f>
        <v>0</v>
      </c>
      <c r="J14" s="20">
        <f>VLOOKUP($B$11:$B$33,'Constr. Wage Rate Calculations'!$A$19:$Z$288,25,FALSE)</f>
        <v>0</v>
      </c>
      <c r="K14" s="179" t="str">
        <f t="shared" si="0"/>
        <v/>
      </c>
    </row>
    <row r="15" spans="1:13" ht="15" customHeight="1">
      <c r="A15" s="48"/>
      <c r="B15" s="49">
        <f>VLOOKUP($C$11:$C$33,Personnel!$A$1:$B$1234,2,FALSE)</f>
        <v>0</v>
      </c>
      <c r="C15" s="36"/>
      <c r="D15" s="184"/>
      <c r="E15" s="179">
        <f>VLOOKUP($B$11:$B$33,'Constr. Wage Rate Calculations'!$A$19:$Z$288,22,FALSE)</f>
        <v>0</v>
      </c>
      <c r="F15" s="184"/>
      <c r="G15" s="179">
        <f>VLOOKUP($B$11:$B$33,'Constr. Wage Rate Calculations'!$A$19:$Z$288,23,FALSE)</f>
        <v>0</v>
      </c>
      <c r="H15" s="184"/>
      <c r="I15" s="179">
        <f>VLOOKUP($B$11:$B$33,'Constr. Wage Rate Calculations'!$A$19:$Z$288,24,FALSE)</f>
        <v>0</v>
      </c>
      <c r="J15" s="20">
        <f>VLOOKUP($B$11:$B$33,'Constr. Wage Rate Calculations'!$A$19:$Z$288,25,FALSE)</f>
        <v>0</v>
      </c>
      <c r="K15" s="179" t="str">
        <f t="shared" si="0"/>
        <v/>
      </c>
    </row>
    <row r="16" spans="1:13" ht="15" customHeight="1">
      <c r="A16" s="48"/>
      <c r="B16" s="49">
        <f>VLOOKUP($C$11:$C$33,Personnel!$A$1:$B$1234,2,FALSE)</f>
        <v>0</v>
      </c>
      <c r="C16" s="36"/>
      <c r="D16" s="184"/>
      <c r="E16" s="179">
        <f>VLOOKUP($B$11:$B$33,'Constr. Wage Rate Calculations'!$A$19:$Z$288,22,FALSE)</f>
        <v>0</v>
      </c>
      <c r="F16" s="184"/>
      <c r="G16" s="179">
        <f>VLOOKUP($B$11:$B$33,'Constr. Wage Rate Calculations'!$A$19:$Z$288,23,FALSE)</f>
        <v>0</v>
      </c>
      <c r="H16" s="184"/>
      <c r="I16" s="179">
        <f>VLOOKUP($B$11:$B$33,'Constr. Wage Rate Calculations'!$A$19:$Z$288,24,FALSE)</f>
        <v>0</v>
      </c>
      <c r="J16" s="20">
        <f>VLOOKUP($B$11:$B$33,'Constr. Wage Rate Calculations'!$A$19:$Z$288,25,FALSE)</f>
        <v>0</v>
      </c>
      <c r="K16" s="179" t="str">
        <f t="shared" si="0"/>
        <v/>
      </c>
    </row>
    <row r="17" spans="1:11" ht="15" customHeight="1">
      <c r="A17" s="48"/>
      <c r="B17" s="49">
        <f>VLOOKUP($C$11:$C$33,Personnel!$A$1:$B$1234,2,FALSE)</f>
        <v>0</v>
      </c>
      <c r="C17" s="36"/>
      <c r="D17" s="184"/>
      <c r="E17" s="179">
        <f>VLOOKUP($B$11:$B$33,'Constr. Wage Rate Calculations'!$A$19:$Z$288,22,FALSE)</f>
        <v>0</v>
      </c>
      <c r="F17" s="184"/>
      <c r="G17" s="179">
        <f>VLOOKUP($B$11:$B$33,'Constr. Wage Rate Calculations'!$A$19:$Z$288,23,FALSE)</f>
        <v>0</v>
      </c>
      <c r="H17" s="184"/>
      <c r="I17" s="179">
        <f>VLOOKUP($B$11:$B$33,'Constr. Wage Rate Calculations'!$A$19:$Z$288,24,FALSE)</f>
        <v>0</v>
      </c>
      <c r="J17" s="20">
        <f>VLOOKUP($B$11:$B$33,'Constr. Wage Rate Calculations'!$A$19:$Z$288,25,FALSE)</f>
        <v>0</v>
      </c>
      <c r="K17" s="179" t="str">
        <f t="shared" si="0"/>
        <v/>
      </c>
    </row>
    <row r="18" spans="1:11" ht="15" customHeight="1">
      <c r="A18" s="48"/>
      <c r="B18" s="49">
        <f>VLOOKUP($C$11:$C$33,Personnel!$A$1:$B$1234,2,FALSE)</f>
        <v>0</v>
      </c>
      <c r="C18" s="36"/>
      <c r="D18" s="184"/>
      <c r="E18" s="179">
        <f>VLOOKUP($B$11:$B$33,'Constr. Wage Rate Calculations'!$A$19:$Z$288,22,FALSE)</f>
        <v>0</v>
      </c>
      <c r="F18" s="184"/>
      <c r="G18" s="179">
        <f>VLOOKUP($B$11:$B$33,'Constr. Wage Rate Calculations'!$A$19:$Z$288,23,FALSE)</f>
        <v>0</v>
      </c>
      <c r="H18" s="184"/>
      <c r="I18" s="179">
        <f>VLOOKUP($B$11:$B$33,'Constr. Wage Rate Calculations'!$A$19:$Z$288,24,FALSE)</f>
        <v>0</v>
      </c>
      <c r="J18" s="20">
        <f>VLOOKUP($B$11:$B$33,'Constr. Wage Rate Calculations'!$A$19:$Z$288,25,FALSE)</f>
        <v>0</v>
      </c>
      <c r="K18" s="179" t="str">
        <f t="shared" si="0"/>
        <v/>
      </c>
    </row>
    <row r="19" spans="1:11" ht="15" customHeight="1">
      <c r="A19" s="48"/>
      <c r="B19" s="49">
        <f>VLOOKUP($C$11:$C$33,Personnel!$A$1:$B$1234,2,FALSE)</f>
        <v>0</v>
      </c>
      <c r="C19" s="36"/>
      <c r="D19" s="184"/>
      <c r="E19" s="179">
        <f>VLOOKUP($B$11:$B$33,'Constr. Wage Rate Calculations'!$A$19:$Z$288,22,FALSE)</f>
        <v>0</v>
      </c>
      <c r="F19" s="184"/>
      <c r="G19" s="179">
        <f>VLOOKUP($B$11:$B$33,'Constr. Wage Rate Calculations'!$A$19:$Z$288,23,FALSE)</f>
        <v>0</v>
      </c>
      <c r="H19" s="184"/>
      <c r="I19" s="179">
        <f>VLOOKUP($B$11:$B$33,'Constr. Wage Rate Calculations'!$A$19:$Z$288,24,FALSE)</f>
        <v>0</v>
      </c>
      <c r="J19" s="20">
        <f>VLOOKUP($B$11:$B$33,'Constr. Wage Rate Calculations'!$A$19:$Z$288,25,FALSE)</f>
        <v>0</v>
      </c>
      <c r="K19" s="179" t="str">
        <f t="shared" si="0"/>
        <v/>
      </c>
    </row>
    <row r="20" spans="1:11" ht="15" customHeight="1">
      <c r="A20" s="48"/>
      <c r="B20" s="49">
        <f>VLOOKUP($C$11:$C$33,Personnel!$A$1:$B$1234,2,FALSE)</f>
        <v>0</v>
      </c>
      <c r="C20" s="36"/>
      <c r="D20" s="184"/>
      <c r="E20" s="179">
        <f>VLOOKUP($B$11:$B$33,'Constr. Wage Rate Calculations'!$A$19:$Z$288,22,FALSE)</f>
        <v>0</v>
      </c>
      <c r="F20" s="184"/>
      <c r="G20" s="179">
        <f>VLOOKUP($B$11:$B$33,'Constr. Wage Rate Calculations'!$A$19:$Z$288,23,FALSE)</f>
        <v>0</v>
      </c>
      <c r="H20" s="184"/>
      <c r="I20" s="179">
        <f>VLOOKUP($B$11:$B$33,'Constr. Wage Rate Calculations'!$A$19:$Z$288,24,FALSE)</f>
        <v>0</v>
      </c>
      <c r="J20" s="20">
        <f>VLOOKUP($B$11:$B$33,'Constr. Wage Rate Calculations'!$A$19:$Z$288,25,FALSE)</f>
        <v>0</v>
      </c>
      <c r="K20" s="179" t="str">
        <f>IF($D20&gt;=1,$J20+(D20*E20)+(F20*G20)+(H20*I20),IF($F20&gt;=1,$J20+(D20*E20)+(F20*G20)+(H20*I20),IF($H20&gt;=1,$J20+(D20*E20)+(F20*G20)+(H20*I20),"")))</f>
        <v/>
      </c>
    </row>
    <row r="21" spans="1:11" ht="15" customHeight="1">
      <c r="A21" s="48"/>
      <c r="B21" s="49">
        <f>VLOOKUP($C$11:$C$33,Personnel!$A$1:$B$1234,2,FALSE)</f>
        <v>0</v>
      </c>
      <c r="C21" s="36"/>
      <c r="D21" s="184"/>
      <c r="E21" s="179">
        <f>VLOOKUP($B$11:$B$33,'Constr. Wage Rate Calculations'!$A$19:$Z$288,22,FALSE)</f>
        <v>0</v>
      </c>
      <c r="F21" s="184"/>
      <c r="G21" s="179">
        <f>VLOOKUP($B$11:$B$33,'Constr. Wage Rate Calculations'!$A$19:$Z$288,23,FALSE)</f>
        <v>0</v>
      </c>
      <c r="H21" s="184"/>
      <c r="I21" s="179">
        <f>VLOOKUP($B$11:$B$33,'Constr. Wage Rate Calculations'!$A$19:$Z$288,24,FALSE)</f>
        <v>0</v>
      </c>
      <c r="J21" s="20">
        <f>VLOOKUP($B$11:$B$33,'Constr. Wage Rate Calculations'!$A$19:$Z$288,25,FALSE)</f>
        <v>0</v>
      </c>
      <c r="K21" s="179" t="str">
        <f t="shared" ref="K21" si="1">IF($D21&gt;=1,$J21+(D21*E21)+(F21*G21)+(H21*I21),IF($F21&gt;=1,$J21+(D21*E21)+(F21*G21)+(H21*I21),IF($H21&gt;=1,$J21+(D21*E21)+(F21*G21)+(H21*I21),"")))</f>
        <v/>
      </c>
    </row>
    <row r="22" spans="1:11" ht="15" customHeight="1">
      <c r="A22" s="48"/>
      <c r="B22" s="49">
        <f>VLOOKUP($C$11:$C$33,Personnel!$A$1:$B$1234,2,FALSE)</f>
        <v>0</v>
      </c>
      <c r="C22" s="36"/>
      <c r="D22" s="184"/>
      <c r="E22" s="179">
        <f>VLOOKUP($B$11:$B$33,'Constr. Wage Rate Calculations'!$A$19:$Z$288,22,FALSE)</f>
        <v>0</v>
      </c>
      <c r="F22" s="184"/>
      <c r="G22" s="179">
        <f>VLOOKUP($B$11:$B$33,'Constr. Wage Rate Calculations'!$A$19:$Z$288,23,FALSE)</f>
        <v>0</v>
      </c>
      <c r="H22" s="184"/>
      <c r="I22" s="179">
        <f>VLOOKUP($B$11:$B$33,'Constr. Wage Rate Calculations'!$A$19:$Z$288,24,FALSE)</f>
        <v>0</v>
      </c>
      <c r="J22" s="20">
        <f>VLOOKUP($B$11:$B$33,'Constr. Wage Rate Calculations'!$A$19:$Z$288,25,FALSE)</f>
        <v>0</v>
      </c>
      <c r="K22" s="179" t="str">
        <f t="shared" si="0"/>
        <v/>
      </c>
    </row>
    <row r="23" spans="1:11" ht="15" customHeight="1">
      <c r="A23" s="48"/>
      <c r="B23" s="49">
        <f>VLOOKUP($C$11:$C$33,Personnel!$A$1:$B$1234,2,FALSE)</f>
        <v>0</v>
      </c>
      <c r="C23" s="36"/>
      <c r="D23" s="184"/>
      <c r="E23" s="179">
        <f>VLOOKUP($B$11:$B$33,'Constr. Wage Rate Calculations'!$A$19:$Z$288,22,FALSE)</f>
        <v>0</v>
      </c>
      <c r="F23" s="184"/>
      <c r="G23" s="179">
        <f>VLOOKUP($B$11:$B$33,'Constr. Wage Rate Calculations'!$A$19:$Z$288,23,FALSE)</f>
        <v>0</v>
      </c>
      <c r="H23" s="184"/>
      <c r="I23" s="179">
        <f>VLOOKUP($B$11:$B$33,'Constr. Wage Rate Calculations'!$A$19:$Z$288,24,FALSE)</f>
        <v>0</v>
      </c>
      <c r="J23" s="20">
        <f>VLOOKUP($B$11:$B$33,'Constr. Wage Rate Calculations'!$A$19:$Z$288,25,FALSE)</f>
        <v>0</v>
      </c>
      <c r="K23" s="179" t="str">
        <f t="shared" si="0"/>
        <v/>
      </c>
    </row>
    <row r="24" spans="1:11" ht="15" customHeight="1">
      <c r="A24" s="48"/>
      <c r="B24" s="49">
        <f>VLOOKUP($C$11:$C$33,Personnel!$A$1:$B$1234,2,FALSE)</f>
        <v>0</v>
      </c>
      <c r="C24" s="36"/>
      <c r="D24" s="184"/>
      <c r="E24" s="179">
        <f>VLOOKUP($B$11:$B$33,'Constr. Wage Rate Calculations'!$A$19:$Z$288,22,FALSE)</f>
        <v>0</v>
      </c>
      <c r="F24" s="184"/>
      <c r="G24" s="179">
        <f>VLOOKUP($B$11:$B$33,'Constr. Wage Rate Calculations'!$A$19:$Z$288,23,FALSE)</f>
        <v>0</v>
      </c>
      <c r="H24" s="184"/>
      <c r="I24" s="179">
        <f>VLOOKUP($B$11:$B$33,'Constr. Wage Rate Calculations'!$A$19:$Z$288,24,FALSE)</f>
        <v>0</v>
      </c>
      <c r="J24" s="20">
        <f>VLOOKUP($B$11:$B$33,'Constr. Wage Rate Calculations'!$A$19:$Z$288,25,FALSE)</f>
        <v>0</v>
      </c>
      <c r="K24" s="179" t="str">
        <f t="shared" si="0"/>
        <v/>
      </c>
    </row>
    <row r="25" spans="1:11" ht="15" customHeight="1">
      <c r="A25" s="48"/>
      <c r="B25" s="49">
        <f>VLOOKUP($C$11:$C$33,Personnel!$A$1:$B$1234,2,FALSE)</f>
        <v>0</v>
      </c>
      <c r="C25" s="36"/>
      <c r="D25" s="184"/>
      <c r="E25" s="179">
        <f>VLOOKUP($B$11:$B$33,'Constr. Wage Rate Calculations'!$A$19:$Z$288,22,FALSE)</f>
        <v>0</v>
      </c>
      <c r="F25" s="184"/>
      <c r="G25" s="179">
        <f>VLOOKUP($B$11:$B$33,'Constr. Wage Rate Calculations'!$A$19:$Z$288,23,FALSE)</f>
        <v>0</v>
      </c>
      <c r="H25" s="184"/>
      <c r="I25" s="179">
        <f>VLOOKUP($B$11:$B$33,'Constr. Wage Rate Calculations'!$A$19:$Z$288,24,FALSE)</f>
        <v>0</v>
      </c>
      <c r="J25" s="20">
        <f>VLOOKUP($B$11:$B$33,'Constr. Wage Rate Calculations'!$A$19:$Z$288,25,FALSE)</f>
        <v>0</v>
      </c>
      <c r="K25" s="179" t="str">
        <f t="shared" si="0"/>
        <v/>
      </c>
    </row>
    <row r="26" spans="1:11" ht="15" customHeight="1">
      <c r="A26" s="48"/>
      <c r="B26" s="49">
        <f>VLOOKUP($C$11:$C$33,Personnel!$A$1:$B$1234,2,FALSE)</f>
        <v>0</v>
      </c>
      <c r="C26" s="36"/>
      <c r="D26" s="184"/>
      <c r="E26" s="179">
        <f>VLOOKUP($B$11:$B$33,'Constr. Wage Rate Calculations'!$A$19:$Z$288,22,FALSE)</f>
        <v>0</v>
      </c>
      <c r="F26" s="184"/>
      <c r="G26" s="179">
        <f>VLOOKUP($B$11:$B$33,'Constr. Wage Rate Calculations'!$A$19:$Z$288,23,FALSE)</f>
        <v>0</v>
      </c>
      <c r="H26" s="184"/>
      <c r="I26" s="179">
        <f>VLOOKUP($B$11:$B$33,'Constr. Wage Rate Calculations'!$A$19:$Z$288,24,FALSE)</f>
        <v>0</v>
      </c>
      <c r="J26" s="20">
        <f>VLOOKUP($B$11:$B$33,'Constr. Wage Rate Calculations'!$A$19:$Z$288,25,FALSE)</f>
        <v>0</v>
      </c>
      <c r="K26" s="179" t="str">
        <f t="shared" si="0"/>
        <v/>
      </c>
    </row>
    <row r="27" spans="1:11" ht="15" customHeight="1">
      <c r="A27" s="48"/>
      <c r="B27" s="49">
        <f>VLOOKUP($C$11:$C$33,Personnel!$A$1:$B$1234,2,FALSE)</f>
        <v>0</v>
      </c>
      <c r="C27" s="36"/>
      <c r="D27" s="184"/>
      <c r="E27" s="179">
        <f>VLOOKUP($B$11:$B$33,'Constr. Wage Rate Calculations'!$A$19:$Z$288,22,FALSE)</f>
        <v>0</v>
      </c>
      <c r="F27" s="184"/>
      <c r="G27" s="179">
        <f>VLOOKUP($B$11:$B$33,'Constr. Wage Rate Calculations'!$A$19:$Z$288,23,FALSE)</f>
        <v>0</v>
      </c>
      <c r="H27" s="184"/>
      <c r="I27" s="179">
        <f>VLOOKUP($B$11:$B$33,'Constr. Wage Rate Calculations'!$A$19:$Z$288,24,FALSE)</f>
        <v>0</v>
      </c>
      <c r="J27" s="20">
        <f>VLOOKUP($B$11:$B$33,'Constr. Wage Rate Calculations'!$A$19:$Z$288,25,FALSE)</f>
        <v>0</v>
      </c>
      <c r="K27" s="179" t="str">
        <f t="shared" si="0"/>
        <v/>
      </c>
    </row>
    <row r="28" spans="1:11" ht="15" customHeight="1">
      <c r="A28" s="48"/>
      <c r="B28" s="49">
        <f>VLOOKUP($C$11:$C$33,Personnel!$A$1:$B$1234,2,FALSE)</f>
        <v>0</v>
      </c>
      <c r="C28" s="36"/>
      <c r="D28" s="184"/>
      <c r="E28" s="179">
        <f>VLOOKUP($B$11:$B$33,'Constr. Wage Rate Calculations'!$A$19:$Z$288,22,FALSE)</f>
        <v>0</v>
      </c>
      <c r="F28" s="184"/>
      <c r="G28" s="179">
        <f>VLOOKUP($B$11:$B$33,'Constr. Wage Rate Calculations'!$A$19:$Z$288,23,FALSE)</f>
        <v>0</v>
      </c>
      <c r="H28" s="184"/>
      <c r="I28" s="179">
        <f>VLOOKUP($B$11:$B$33,'Constr. Wage Rate Calculations'!$A$19:$Z$288,24,FALSE)</f>
        <v>0</v>
      </c>
      <c r="J28" s="20">
        <f>VLOOKUP($B$11:$B$33,'Constr. Wage Rate Calculations'!$A$19:$Z$288,25,FALSE)</f>
        <v>0</v>
      </c>
      <c r="K28" s="179" t="str">
        <f t="shared" si="0"/>
        <v/>
      </c>
    </row>
    <row r="29" spans="1:11" ht="15" customHeight="1">
      <c r="A29" s="48"/>
      <c r="B29" s="49">
        <f>VLOOKUP($C$11:$C$33,Personnel!$A$1:$B$1234,2,FALSE)</f>
        <v>0</v>
      </c>
      <c r="C29" s="36"/>
      <c r="D29" s="184"/>
      <c r="E29" s="179">
        <f>VLOOKUP($B$11:$B$33,'Constr. Wage Rate Calculations'!$A$19:$Z$288,22,FALSE)</f>
        <v>0</v>
      </c>
      <c r="F29" s="184"/>
      <c r="G29" s="179">
        <f>VLOOKUP($B$11:$B$33,'Constr. Wage Rate Calculations'!$A$19:$Z$288,23,FALSE)</f>
        <v>0</v>
      </c>
      <c r="H29" s="184"/>
      <c r="I29" s="179">
        <f>VLOOKUP($B$11:$B$33,'Constr. Wage Rate Calculations'!$A$19:$Z$288,24,FALSE)</f>
        <v>0</v>
      </c>
      <c r="J29" s="20">
        <f>VLOOKUP($B$11:$B$33,'Constr. Wage Rate Calculations'!$A$19:$Z$288,25,FALSE)</f>
        <v>0</v>
      </c>
      <c r="K29" s="179" t="str">
        <f t="shared" si="0"/>
        <v/>
      </c>
    </row>
    <row r="30" spans="1:11" ht="15" customHeight="1">
      <c r="A30" s="48"/>
      <c r="B30" s="49">
        <f>VLOOKUP($C$11:$C$33,Personnel!$A$1:$B$1234,2,FALSE)</f>
        <v>0</v>
      </c>
      <c r="C30" s="36"/>
      <c r="D30" s="184"/>
      <c r="E30" s="179">
        <f>VLOOKUP($B$11:$B$33,'Constr. Wage Rate Calculations'!$A$19:$Z$288,22,FALSE)</f>
        <v>0</v>
      </c>
      <c r="F30" s="184"/>
      <c r="G30" s="179">
        <f>VLOOKUP($B$11:$B$33,'Constr. Wage Rate Calculations'!$A$19:$Z$288,23,FALSE)</f>
        <v>0</v>
      </c>
      <c r="H30" s="184"/>
      <c r="I30" s="179">
        <f>VLOOKUP($B$11:$B$33,'Constr. Wage Rate Calculations'!$A$19:$Z$288,24,FALSE)</f>
        <v>0</v>
      </c>
      <c r="J30" s="20">
        <f>VLOOKUP($B$11:$B$33,'Constr. Wage Rate Calculations'!$A$19:$Z$288,25,FALSE)</f>
        <v>0</v>
      </c>
      <c r="K30" s="179" t="str">
        <f t="shared" si="0"/>
        <v/>
      </c>
    </row>
    <row r="31" spans="1:11" ht="15" customHeight="1">
      <c r="A31" s="48"/>
      <c r="B31" s="49">
        <f>VLOOKUP($C$11:$C$33,Personnel!$A$1:$B$1234,2,FALSE)</f>
        <v>0</v>
      </c>
      <c r="C31" s="36"/>
      <c r="D31" s="184"/>
      <c r="E31" s="179">
        <f>VLOOKUP($B$11:$B$33,'Constr. Wage Rate Calculations'!$A$19:$Z$288,22,FALSE)</f>
        <v>0</v>
      </c>
      <c r="F31" s="184"/>
      <c r="G31" s="179">
        <f>VLOOKUP($B$11:$B$33,'Constr. Wage Rate Calculations'!$A$19:$Z$288,23,FALSE)</f>
        <v>0</v>
      </c>
      <c r="H31" s="184"/>
      <c r="I31" s="179">
        <f>VLOOKUP($B$11:$B$33,'Constr. Wage Rate Calculations'!$A$19:$Z$288,24,FALSE)</f>
        <v>0</v>
      </c>
      <c r="J31" s="20">
        <f>VLOOKUP($B$11:$B$33,'Constr. Wage Rate Calculations'!$A$19:$Z$288,25,FALSE)</f>
        <v>0</v>
      </c>
      <c r="K31" s="179" t="str">
        <f t="shared" si="0"/>
        <v/>
      </c>
    </row>
    <row r="32" spans="1:11" ht="15" customHeight="1">
      <c r="A32" s="48"/>
      <c r="B32" s="49">
        <f>VLOOKUP($C$11:$C$33,Personnel!$A$1:$B$1234,2,FALSE)</f>
        <v>0</v>
      </c>
      <c r="C32" s="36"/>
      <c r="D32" s="184"/>
      <c r="E32" s="179">
        <f>VLOOKUP($B$11:$B$33,'Constr. Wage Rate Calculations'!$A$19:$Z$288,22,FALSE)</f>
        <v>0</v>
      </c>
      <c r="F32" s="184"/>
      <c r="G32" s="179">
        <f>VLOOKUP($B$11:$B$33,'Constr. Wage Rate Calculations'!$A$19:$Z$288,23,FALSE)</f>
        <v>0</v>
      </c>
      <c r="H32" s="184"/>
      <c r="I32" s="179">
        <f>VLOOKUP($B$11:$B$33,'Constr. Wage Rate Calculations'!$A$19:$Z$288,24,FALSE)</f>
        <v>0</v>
      </c>
      <c r="J32" s="20">
        <f>VLOOKUP($B$11:$B$33,'Constr. Wage Rate Calculations'!$A$19:$Z$288,25,FALSE)</f>
        <v>0</v>
      </c>
      <c r="K32" s="179" t="str">
        <f t="shared" si="0"/>
        <v/>
      </c>
    </row>
    <row r="33" spans="1:15" ht="15" customHeight="1" thickBot="1">
      <c r="A33" s="48"/>
      <c r="B33" s="49">
        <f>VLOOKUP($C$11:$C$33,Personnel!$A$1:$B$1234,2,FALSE)</f>
        <v>0</v>
      </c>
      <c r="C33" s="36"/>
      <c r="D33" s="184"/>
      <c r="E33" s="179">
        <f>VLOOKUP($B$11:$B$33,'Constr. Wage Rate Calculations'!$A$19:$Z$288,22,FALSE)</f>
        <v>0</v>
      </c>
      <c r="F33" s="184"/>
      <c r="G33" s="179">
        <f>VLOOKUP($B$11:$B$33,'Constr. Wage Rate Calculations'!$A$19:$Z$288,23,FALSE)</f>
        <v>0</v>
      </c>
      <c r="H33" s="184"/>
      <c r="I33" s="179">
        <f>VLOOKUP($B$11:$B$33,'Constr. Wage Rate Calculations'!$A$19:$Z$288,24,FALSE)</f>
        <v>0</v>
      </c>
      <c r="J33" s="20">
        <f>VLOOKUP($B$11:$B$33,'Constr. Wage Rate Calculations'!$A$19:$Z$288,25,FALSE)</f>
        <v>0</v>
      </c>
      <c r="K33" s="179" t="str">
        <f t="shared" si="0"/>
        <v/>
      </c>
      <c r="M33" s="1">
        <f>SUM(M11:M32)</f>
        <v>0</v>
      </c>
    </row>
    <row r="34" spans="1:15" ht="15" customHeight="1" thickBot="1">
      <c r="A34"/>
      <c r="B34"/>
      <c r="C34"/>
      <c r="D34" s="21"/>
      <c r="E34" s="21"/>
      <c r="F34" s="21"/>
      <c r="G34" s="21"/>
      <c r="H34" s="21"/>
      <c r="I34" s="360" t="s">
        <v>18</v>
      </c>
      <c r="J34" s="361"/>
      <c r="K34" s="183">
        <f>SUM(K11:K33)</f>
        <v>0</v>
      </c>
      <c r="M34" s="1">
        <f>SUMIFS(D11:D33,D11:D33,"&lt;3",D11:D33,"&lt;5")</f>
        <v>0</v>
      </c>
      <c r="N34" s="1">
        <f>SUMIFS(D11:D33,D11:D33,"&gt;3",D11:D33,"&gt;5")</f>
        <v>0</v>
      </c>
      <c r="O34" s="1">
        <f>SUM(F11:F33,H11:H33,M34,N34)-M33</f>
        <v>0</v>
      </c>
    </row>
    <row r="35" spans="1:15" ht="10" customHeight="1" thickBot="1"/>
    <row r="36" spans="1:15" s="19" customFormat="1" ht="15" customHeight="1" thickBot="1">
      <c r="A36" s="22" t="s">
        <v>19</v>
      </c>
      <c r="B36" s="23" t="s">
        <v>20</v>
      </c>
      <c r="C36" s="23"/>
      <c r="D36" s="23"/>
      <c r="E36" s="23"/>
      <c r="F36" s="23"/>
      <c r="G36" s="23"/>
      <c r="H36" s="18" t="s">
        <v>21</v>
      </c>
      <c r="I36" s="18" t="s">
        <v>22</v>
      </c>
      <c r="J36" s="18" t="s">
        <v>23</v>
      </c>
      <c r="K36" s="18" t="s">
        <v>17</v>
      </c>
    </row>
    <row r="37" spans="1:15" ht="17.25" customHeight="1">
      <c r="A37" s="43"/>
      <c r="B37" s="49">
        <f>VLOOKUP($C$37:$C$106,Equipment!$A$1:$B$2322,2,FALSE)</f>
        <v>0</v>
      </c>
      <c r="C37" s="24"/>
      <c r="D37" s="24"/>
      <c r="E37" s="24"/>
      <c r="F37" s="24"/>
      <c r="G37" s="24"/>
      <c r="H37" s="185"/>
      <c r="I37" s="184"/>
      <c r="J37" s="42">
        <f>VLOOKUP($B$37:$B$106,'Alberta Equip. Rates Year 3'!$B$13:$K$314,10,FALSE)</f>
        <v>0</v>
      </c>
      <c r="K37" s="181">
        <f t="shared" ref="K37" si="2">(H37+I37)*J37</f>
        <v>0</v>
      </c>
    </row>
    <row r="38" spans="1:15" ht="14" customHeight="1">
      <c r="A38" s="43"/>
      <c r="B38" s="49">
        <f>VLOOKUP($C$37:$C$106,Equipment!$A$1:$B$2322,2,FALSE)</f>
        <v>0</v>
      </c>
      <c r="C38" s="24"/>
      <c r="D38" s="24"/>
      <c r="E38" s="24"/>
      <c r="F38" s="24"/>
      <c r="G38" s="24"/>
      <c r="H38" s="185"/>
      <c r="I38" s="184"/>
      <c r="J38" s="42">
        <f>VLOOKUP($B$37:$B$106,'Alberta Equip. Rates Year 3'!$B$13:$K$314,10,FALSE)</f>
        <v>0</v>
      </c>
      <c r="K38" s="181">
        <f t="shared" ref="K38:K106" si="3">(H38+I38)*J38</f>
        <v>0</v>
      </c>
    </row>
    <row r="39" spans="1:15" ht="15" customHeight="1">
      <c r="A39" s="43"/>
      <c r="B39" s="49">
        <f>VLOOKUP($C$37:$C$106,Equipment!$A$1:$B$2322,2,FALSE)</f>
        <v>0</v>
      </c>
      <c r="C39" s="24"/>
      <c r="D39" s="24"/>
      <c r="E39" s="24"/>
      <c r="F39" s="24"/>
      <c r="G39" s="24"/>
      <c r="H39" s="185"/>
      <c r="I39" s="184"/>
      <c r="J39" s="42">
        <f>VLOOKUP($B$37:$B$106,'Alberta Equip. Rates Year 3'!$B$13:$K$314,10,FALSE)</f>
        <v>0</v>
      </c>
      <c r="K39" s="181">
        <f>(H39+I39)*J39</f>
        <v>0</v>
      </c>
    </row>
    <row r="40" spans="1:15" ht="14" customHeight="1">
      <c r="A40" s="43"/>
      <c r="B40" s="49">
        <f>VLOOKUP($C$37:$C$106,Equipment!$A$1:$B$2322,2,FALSE)</f>
        <v>0</v>
      </c>
      <c r="C40" s="24"/>
      <c r="D40" s="24"/>
      <c r="E40" s="24"/>
      <c r="F40" s="24"/>
      <c r="G40" s="24"/>
      <c r="H40" s="185"/>
      <c r="I40" s="184"/>
      <c r="J40" s="42">
        <f>VLOOKUP($B$37:$B$106,'Alberta Equip. Rates Year 3'!$B$13:$K$314,10,FALSE)</f>
        <v>0</v>
      </c>
      <c r="K40" s="181">
        <f t="shared" si="3"/>
        <v>0</v>
      </c>
    </row>
    <row r="41" spans="1:15" ht="15" customHeight="1">
      <c r="A41" s="43"/>
      <c r="B41" s="49">
        <f>VLOOKUP($C$37:$C$106,Equipment!$A$1:$B$2322,2,FALSE)</f>
        <v>0</v>
      </c>
      <c r="C41" s="24"/>
      <c r="D41" s="24"/>
      <c r="E41" s="24"/>
      <c r="F41" s="24"/>
      <c r="G41" s="24"/>
      <c r="H41" s="185"/>
      <c r="I41" s="184"/>
      <c r="J41" s="42">
        <f>VLOOKUP($B$37:$B$106,'Alberta Equip. Rates Year 3'!$B$13:$K$314,10,FALSE)</f>
        <v>0</v>
      </c>
      <c r="K41" s="181">
        <f t="shared" si="3"/>
        <v>0</v>
      </c>
    </row>
    <row r="42" spans="1:15" ht="15" customHeight="1">
      <c r="A42" s="43"/>
      <c r="B42" s="49">
        <f>VLOOKUP($C$37:$C$106,Equipment!$A$1:$B$2322,2,FALSE)</f>
        <v>0</v>
      </c>
      <c r="C42" s="24"/>
      <c r="D42" s="24"/>
      <c r="E42" s="24"/>
      <c r="F42" s="24"/>
      <c r="G42" s="24"/>
      <c r="H42" s="185"/>
      <c r="I42" s="184"/>
      <c r="J42" s="42">
        <f>VLOOKUP($B$37:$B$106,'Alberta Equip. Rates Year 3'!$B$13:$K$314,10,FALSE)</f>
        <v>0</v>
      </c>
      <c r="K42" s="181">
        <f t="shared" ref="K42:K43" si="4">(H42+I42)*J42</f>
        <v>0</v>
      </c>
    </row>
    <row r="43" spans="1:15" ht="15" customHeight="1">
      <c r="A43" s="43"/>
      <c r="B43" s="49">
        <f>VLOOKUP($C$37:$C$106,Equipment!$A$1:$B$2322,2,FALSE)</f>
        <v>0</v>
      </c>
      <c r="C43" s="24"/>
      <c r="D43" s="24"/>
      <c r="E43" s="24"/>
      <c r="F43" s="24"/>
      <c r="G43" s="24"/>
      <c r="H43" s="185"/>
      <c r="I43" s="184"/>
      <c r="J43" s="42">
        <f>VLOOKUP($B$37:$B$106,'Alberta Equip. Rates Year 3'!$B$13:$K$314,10,FALSE)</f>
        <v>0</v>
      </c>
      <c r="K43" s="181">
        <f t="shared" si="4"/>
        <v>0</v>
      </c>
    </row>
    <row r="44" spans="1:15" ht="15" customHeight="1">
      <c r="A44" s="43"/>
      <c r="B44" s="49">
        <f>VLOOKUP($C$37:$C$106,Equipment!$A$1:$B$2322,2,FALSE)</f>
        <v>0</v>
      </c>
      <c r="C44" s="24"/>
      <c r="D44" s="24"/>
      <c r="E44" s="24"/>
      <c r="F44" s="24"/>
      <c r="G44" s="24"/>
      <c r="H44" s="185"/>
      <c r="I44" s="184"/>
      <c r="J44" s="42">
        <f>VLOOKUP($B$37:$B$106,'Alberta Equip. Rates Year 3'!$B$13:$K$314,10,FALSE)</f>
        <v>0</v>
      </c>
      <c r="K44" s="181">
        <f>(H44+I44)*J44</f>
        <v>0</v>
      </c>
    </row>
    <row r="45" spans="1:15" ht="15" customHeight="1">
      <c r="A45" s="43"/>
      <c r="B45" s="49">
        <f>VLOOKUP($C$37:$C$106,Equipment!$A$1:$B$2322,2,FALSE)</f>
        <v>0</v>
      </c>
      <c r="C45" s="24"/>
      <c r="D45" s="24"/>
      <c r="E45" s="24"/>
      <c r="F45" s="24"/>
      <c r="G45" s="24"/>
      <c r="H45" s="185"/>
      <c r="I45" s="184"/>
      <c r="J45" s="42">
        <f>VLOOKUP($B$37:$B$106,'Alberta Equip. Rates Year 3'!$B$13:$K$314,10,FALSE)</f>
        <v>0</v>
      </c>
      <c r="K45" s="181">
        <f>(H45+I45)*J45</f>
        <v>0</v>
      </c>
    </row>
    <row r="46" spans="1:15" ht="15" customHeight="1">
      <c r="A46" s="43"/>
      <c r="B46" s="49">
        <f>VLOOKUP($C$37:$C$106,Equipment!$A$1:$B$2322,2,FALSE)</f>
        <v>0</v>
      </c>
      <c r="C46" s="24"/>
      <c r="D46" s="24"/>
      <c r="E46" s="24"/>
      <c r="F46" s="24"/>
      <c r="G46" s="24"/>
      <c r="H46" s="185"/>
      <c r="I46" s="184"/>
      <c r="J46" s="42">
        <f>VLOOKUP($B$37:$B$106,'Alberta Equip. Rates Year 3'!$B$13:$K$314,10,FALSE)</f>
        <v>0</v>
      </c>
      <c r="K46" s="181">
        <f>(H46+I46)*J46</f>
        <v>0</v>
      </c>
    </row>
    <row r="47" spans="1:15" ht="15" customHeight="1">
      <c r="A47" s="43"/>
      <c r="B47" s="49">
        <f>VLOOKUP($C$37:$C$106,Equipment!$A$1:$B$2322,2,FALSE)</f>
        <v>0</v>
      </c>
      <c r="C47" s="24"/>
      <c r="D47" s="24"/>
      <c r="E47" s="24"/>
      <c r="F47" s="24"/>
      <c r="G47" s="24"/>
      <c r="H47" s="185"/>
      <c r="I47" s="184"/>
      <c r="J47" s="42">
        <f>VLOOKUP($B$37:$B$106,'Alberta Equip. Rates Year 3'!$B$13:$K$314,10,FALSE)</f>
        <v>0</v>
      </c>
      <c r="K47" s="181">
        <f>(H47+I47)*J47</f>
        <v>0</v>
      </c>
    </row>
    <row r="48" spans="1:15" ht="15" customHeight="1">
      <c r="A48" s="43"/>
      <c r="B48" s="49">
        <f>VLOOKUP($C$37:$C$106,Equipment!$A$1:$B$2322,2,FALSE)</f>
        <v>0</v>
      </c>
      <c r="C48" s="24"/>
      <c r="D48" s="24"/>
      <c r="E48" s="24"/>
      <c r="F48" s="24"/>
      <c r="G48" s="24"/>
      <c r="H48" s="185"/>
      <c r="I48" s="184"/>
      <c r="J48" s="42">
        <f>VLOOKUP($B$37:$B$106,'Alberta Equip. Rates Year 3'!$B$13:$K$314,10,FALSE)</f>
        <v>0</v>
      </c>
      <c r="K48" s="181">
        <f t="shared" ref="K48:K61" si="5">(H48+I48)*J48</f>
        <v>0</v>
      </c>
    </row>
    <row r="49" spans="1:11" ht="15" customHeight="1">
      <c r="A49" s="43"/>
      <c r="B49" s="49">
        <f>VLOOKUP($C$37:$C$106,Equipment!$A$1:$B$2322,2,FALSE)</f>
        <v>0</v>
      </c>
      <c r="C49" s="24"/>
      <c r="D49" s="24"/>
      <c r="E49" s="24"/>
      <c r="F49" s="24"/>
      <c r="G49" s="24"/>
      <c r="H49" s="185"/>
      <c r="I49" s="184"/>
      <c r="J49" s="42">
        <f>VLOOKUP($B$37:$B$106,'Alberta Equip. Rates Year 3'!$B$13:$K$314,10,FALSE)</f>
        <v>0</v>
      </c>
      <c r="K49" s="181">
        <f t="shared" ref="K49" si="6">(H49+I49)*J49</f>
        <v>0</v>
      </c>
    </row>
    <row r="50" spans="1:11" ht="15" customHeight="1">
      <c r="A50" s="43"/>
      <c r="B50" s="49">
        <f>VLOOKUP($C$37:$C$106,Equipment!$A$1:$B$2322,2,FALSE)</f>
        <v>0</v>
      </c>
      <c r="C50" s="24"/>
      <c r="D50" s="24"/>
      <c r="E50" s="24"/>
      <c r="F50" s="24"/>
      <c r="G50" s="24"/>
      <c r="H50" s="185"/>
      <c r="I50" s="184"/>
      <c r="J50" s="42">
        <f>VLOOKUP($B$37:$B$106,'Alberta Equip. Rates Year 3'!$B$13:$K$314,10,FALSE)</f>
        <v>0</v>
      </c>
      <c r="K50" s="181">
        <f t="shared" ref="K50:K52" si="7">(H50+I50)*J50</f>
        <v>0</v>
      </c>
    </row>
    <row r="51" spans="1:11" ht="15" customHeight="1">
      <c r="A51" s="43"/>
      <c r="B51" s="49">
        <f>VLOOKUP($C$37:$C$106,Equipment!$A$1:$B$2322,2,FALSE)</f>
        <v>0</v>
      </c>
      <c r="C51" s="24"/>
      <c r="D51" s="24"/>
      <c r="E51" s="24"/>
      <c r="F51" s="24"/>
      <c r="G51" s="24"/>
      <c r="H51" s="185"/>
      <c r="I51" s="184"/>
      <c r="J51" s="42">
        <f>VLOOKUP($B$37:$B$106,'Alberta Equip. Rates Year 3'!$B$13:$K$314,10,FALSE)</f>
        <v>0</v>
      </c>
      <c r="K51" s="181">
        <f t="shared" ref="K51" si="8">(H51+I51)*J51</f>
        <v>0</v>
      </c>
    </row>
    <row r="52" spans="1:11" ht="15" customHeight="1">
      <c r="A52" s="43"/>
      <c r="B52" s="49">
        <f>VLOOKUP($C$37:$C$106,Equipment!$A$1:$B$2322,2,FALSE)</f>
        <v>0</v>
      </c>
      <c r="C52" s="24"/>
      <c r="D52" s="24"/>
      <c r="E52" s="24"/>
      <c r="F52" s="24"/>
      <c r="G52" s="24"/>
      <c r="H52" s="185"/>
      <c r="I52" s="184"/>
      <c r="J52" s="42">
        <f>VLOOKUP($B$37:$B$106,'Alberta Equip. Rates Year 3'!$B$13:$K$314,10,FALSE)</f>
        <v>0</v>
      </c>
      <c r="K52" s="181">
        <f t="shared" si="7"/>
        <v>0</v>
      </c>
    </row>
    <row r="53" spans="1:11" ht="15" customHeight="1">
      <c r="A53" s="43"/>
      <c r="B53" s="49">
        <f>VLOOKUP($C$37:$C$106,Equipment!$A$1:$B$2322,2,FALSE)</f>
        <v>0</v>
      </c>
      <c r="C53" s="24"/>
      <c r="D53" s="24"/>
      <c r="E53" s="24"/>
      <c r="F53" s="24"/>
      <c r="G53" s="24"/>
      <c r="H53" s="185"/>
      <c r="I53" s="184"/>
      <c r="J53" s="42">
        <f>VLOOKUP($B$37:$B$106,'Alberta Equip. Rates Year 3'!$B$13:$K$314,10,FALSE)</f>
        <v>0</v>
      </c>
      <c r="K53" s="181">
        <f>(H53+I53)*J53</f>
        <v>0</v>
      </c>
    </row>
    <row r="54" spans="1:11" ht="15" customHeight="1">
      <c r="A54" s="43"/>
      <c r="B54" s="49">
        <f>VLOOKUP($C$37:$C$106,Equipment!$A$1:$B$2322,2,FALSE)</f>
        <v>0</v>
      </c>
      <c r="C54" s="24"/>
      <c r="D54" s="24"/>
      <c r="E54" s="24"/>
      <c r="F54" s="24"/>
      <c r="G54" s="24"/>
      <c r="H54" s="185"/>
      <c r="I54" s="184"/>
      <c r="J54" s="42">
        <f>VLOOKUP($B$37:$B$106,'Alberta Equip. Rates Year 3'!$B$13:$K$314,10,FALSE)</f>
        <v>0</v>
      </c>
      <c r="K54" s="181">
        <f t="shared" si="5"/>
        <v>0</v>
      </c>
    </row>
    <row r="55" spans="1:11" ht="15" customHeight="1">
      <c r="A55" s="43"/>
      <c r="B55" s="49">
        <f>VLOOKUP($C$37:$C$106,Equipment!$A$1:$B$2322,2,FALSE)</f>
        <v>0</v>
      </c>
      <c r="C55" s="24"/>
      <c r="D55" s="24"/>
      <c r="E55" s="24"/>
      <c r="F55" s="24"/>
      <c r="G55" s="24"/>
      <c r="H55" s="185"/>
      <c r="I55" s="184"/>
      <c r="J55" s="42">
        <f>VLOOKUP($B$37:$B$106,'Alberta Equip. Rates Year 3'!$B$13:$K$314,10,FALSE)</f>
        <v>0</v>
      </c>
      <c r="K55" s="181">
        <f t="shared" si="5"/>
        <v>0</v>
      </c>
    </row>
    <row r="56" spans="1:11" ht="15" customHeight="1">
      <c r="A56" s="43"/>
      <c r="B56" s="49">
        <f>VLOOKUP($C$37:$C$106,Equipment!$A$1:$B$2322,2,FALSE)</f>
        <v>0</v>
      </c>
      <c r="C56" s="24"/>
      <c r="D56" s="24"/>
      <c r="E56" s="24"/>
      <c r="F56" s="24"/>
      <c r="G56" s="24"/>
      <c r="H56" s="185"/>
      <c r="I56" s="184"/>
      <c r="J56" s="42">
        <f>VLOOKUP($B$37:$B$106,'Alberta Equip. Rates Year 3'!$B$13:$K$314,10,FALSE)</f>
        <v>0</v>
      </c>
      <c r="K56" s="181">
        <f t="shared" ref="K56" si="9">(H56+I56)*J56</f>
        <v>0</v>
      </c>
    </row>
    <row r="57" spans="1:11" ht="15" customHeight="1">
      <c r="A57" s="43"/>
      <c r="B57" s="49">
        <f>VLOOKUP($C$37:$C$106,Equipment!$A$1:$B$2322,2,FALSE)</f>
        <v>0</v>
      </c>
      <c r="C57" s="24"/>
      <c r="D57" s="24"/>
      <c r="E57" s="24"/>
      <c r="F57" s="24"/>
      <c r="G57" s="24"/>
      <c r="H57" s="185"/>
      <c r="I57" s="184"/>
      <c r="J57" s="42">
        <f>VLOOKUP($B$37:$B$106,'Alberta Equip. Rates Year 3'!$B$13:$K$314,10,FALSE)</f>
        <v>0</v>
      </c>
      <c r="K57" s="181">
        <f t="shared" ref="K57" si="10">(H57+I57)*J57</f>
        <v>0</v>
      </c>
    </row>
    <row r="58" spans="1:11" ht="15" customHeight="1">
      <c r="A58" s="43"/>
      <c r="B58" s="49">
        <f>VLOOKUP($C$37:$C$106,Equipment!$A$1:$B$2322,2,FALSE)</f>
        <v>0</v>
      </c>
      <c r="C58" s="24"/>
      <c r="D58" s="24"/>
      <c r="E58" s="24"/>
      <c r="F58" s="24"/>
      <c r="G58" s="24"/>
      <c r="H58" s="185"/>
      <c r="I58" s="184"/>
      <c r="J58" s="42">
        <f>VLOOKUP($B$37:$B$106,'Alberta Equip. Rates Year 3'!$B$13:$K$314,10,FALSE)</f>
        <v>0</v>
      </c>
      <c r="K58" s="181">
        <f t="shared" ref="K58" si="11">(H58+I58)*J58</f>
        <v>0</v>
      </c>
    </row>
    <row r="59" spans="1:11" ht="15" customHeight="1">
      <c r="A59" s="43"/>
      <c r="B59" s="49">
        <f>VLOOKUP($C$37:$C$106,Equipment!$A$1:$B$2322,2,FALSE)</f>
        <v>0</v>
      </c>
      <c r="C59" s="24"/>
      <c r="D59" s="24"/>
      <c r="E59" s="24"/>
      <c r="F59" s="24"/>
      <c r="G59" s="24"/>
      <c r="H59" s="185"/>
      <c r="I59" s="184"/>
      <c r="J59" s="42">
        <f>VLOOKUP($B$37:$B$106,'Alberta Equip. Rates Year 3'!$B$13:$K$314,10,FALSE)</f>
        <v>0</v>
      </c>
      <c r="K59" s="181">
        <f t="shared" ref="K59" si="12">(H59+I59)*J59</f>
        <v>0</v>
      </c>
    </row>
    <row r="60" spans="1:11" ht="15" customHeight="1">
      <c r="A60" s="43"/>
      <c r="B60" s="49">
        <f>VLOOKUP($C$37:$C$106,Equipment!$A$1:$B$2322,2,FALSE)</f>
        <v>0</v>
      </c>
      <c r="C60" s="24"/>
      <c r="D60" s="24"/>
      <c r="E60" s="24"/>
      <c r="F60" s="24"/>
      <c r="G60" s="24"/>
      <c r="H60" s="185"/>
      <c r="I60" s="184"/>
      <c r="J60" s="42">
        <f>VLOOKUP($B$37:$B$106,'Alberta Equip. Rates Year 3'!$B$13:$K$314,10,FALSE)</f>
        <v>0</v>
      </c>
      <c r="K60" s="181">
        <f>(H60+I60)*J60</f>
        <v>0</v>
      </c>
    </row>
    <row r="61" spans="1:11" ht="15" customHeight="1">
      <c r="A61" s="43"/>
      <c r="B61" s="49">
        <f>VLOOKUP($C$37:$C$106,Equipment!$A$1:$B$2322,2,FALSE)</f>
        <v>0</v>
      </c>
      <c r="C61" s="24"/>
      <c r="D61" s="24"/>
      <c r="E61" s="24"/>
      <c r="F61" s="24"/>
      <c r="G61" s="24"/>
      <c r="H61" s="185"/>
      <c r="I61" s="184"/>
      <c r="J61" s="42">
        <f>VLOOKUP($B$37:$B$106,'Alberta Equip. Rates Year 3'!$B$13:$K$314,10,FALSE)</f>
        <v>0</v>
      </c>
      <c r="K61" s="181">
        <f t="shared" si="5"/>
        <v>0</v>
      </c>
    </row>
    <row r="62" spans="1:11" ht="15" customHeight="1">
      <c r="A62" s="43"/>
      <c r="B62" s="49">
        <f>VLOOKUP($C$37:$C$106,Equipment!$A$1:$B$2322,2,FALSE)</f>
        <v>0</v>
      </c>
      <c r="C62" s="24"/>
      <c r="D62" s="24"/>
      <c r="E62" s="24"/>
      <c r="F62" s="24"/>
      <c r="G62" s="24"/>
      <c r="H62" s="185"/>
      <c r="I62" s="184"/>
      <c r="J62" s="42">
        <f>VLOOKUP($B$37:$B$106,'Alberta Equip. Rates Year 3'!$B$13:$K$314,10,FALSE)</f>
        <v>0</v>
      </c>
      <c r="K62" s="181">
        <f t="shared" ref="K62" si="13">(H62+I62)*J62</f>
        <v>0</v>
      </c>
    </row>
    <row r="63" spans="1:11" ht="15" customHeight="1">
      <c r="A63" s="43"/>
      <c r="B63" s="49">
        <f>VLOOKUP($C$37:$C$106,Equipment!$A$1:$B$2322,2,FALSE)</f>
        <v>0</v>
      </c>
      <c r="C63" s="24"/>
      <c r="D63" s="24"/>
      <c r="E63" s="24"/>
      <c r="F63" s="24"/>
      <c r="G63" s="24"/>
      <c r="H63" s="185"/>
      <c r="I63" s="184"/>
      <c r="J63" s="42">
        <f>VLOOKUP($B$37:$B$106,'Alberta Equip. Rates Year 3'!$B$13:$K$314,10,FALSE)</f>
        <v>0</v>
      </c>
      <c r="K63" s="181">
        <f t="shared" ref="K63" si="14">(H63+I63)*J63</f>
        <v>0</v>
      </c>
    </row>
    <row r="64" spans="1:11" ht="15" customHeight="1">
      <c r="A64" s="43"/>
      <c r="B64" s="49">
        <f>VLOOKUP($C$37:$C$106,Equipment!$A$1:$B$2322,2,FALSE)</f>
        <v>0</v>
      </c>
      <c r="C64" s="24"/>
      <c r="D64" s="24"/>
      <c r="E64" s="24"/>
      <c r="F64" s="24"/>
      <c r="G64" s="24"/>
      <c r="H64" s="185"/>
      <c r="I64" s="184"/>
      <c r="J64" s="42">
        <f>VLOOKUP($B$37:$B$106,'Alberta Equip. Rates Year 3'!$B$13:$K$314,10,FALSE)</f>
        <v>0</v>
      </c>
      <c r="K64" s="181">
        <f t="shared" ref="K64" si="15">(H64+I64)*J64</f>
        <v>0</v>
      </c>
    </row>
    <row r="65" spans="1:11" ht="15" customHeight="1">
      <c r="A65" s="43"/>
      <c r="B65" s="49">
        <f>VLOOKUP($C$37:$C$106,Equipment!$A$1:$B$2322,2,FALSE)</f>
        <v>0</v>
      </c>
      <c r="C65" s="24"/>
      <c r="D65" s="24"/>
      <c r="E65" s="24"/>
      <c r="F65" s="24"/>
      <c r="G65" s="24"/>
      <c r="H65" s="185"/>
      <c r="I65" s="184"/>
      <c r="J65" s="42">
        <f>VLOOKUP($B$37:$B$106,'Alberta Equip. Rates Year 3'!$B$13:$K$314,10,FALSE)</f>
        <v>0</v>
      </c>
      <c r="K65" s="181">
        <f t="shared" ref="K65:K66" si="16">(H65+I65)*J65</f>
        <v>0</v>
      </c>
    </row>
    <row r="66" spans="1:11" ht="15" customHeight="1">
      <c r="A66" s="43"/>
      <c r="B66" s="49">
        <f>VLOOKUP($C$37:$C$106,Equipment!$A$1:$B$2322,2,FALSE)</f>
        <v>0</v>
      </c>
      <c r="C66" s="24"/>
      <c r="D66" s="24"/>
      <c r="E66" s="24"/>
      <c r="F66" s="24"/>
      <c r="G66" s="24"/>
      <c r="H66" s="185"/>
      <c r="I66" s="184"/>
      <c r="J66" s="42">
        <f>VLOOKUP($B$37:$B$106,'Alberta Equip. Rates Year 3'!$B$13:$K$314,10,FALSE)</f>
        <v>0</v>
      </c>
      <c r="K66" s="181">
        <f t="shared" si="16"/>
        <v>0</v>
      </c>
    </row>
    <row r="67" spans="1:11" ht="15" customHeight="1">
      <c r="A67" s="43"/>
      <c r="B67" s="49">
        <f>VLOOKUP($C$37:$C$106,Equipment!$A$1:$B$2322,2,FALSE)</f>
        <v>0</v>
      </c>
      <c r="C67" s="24"/>
      <c r="D67" s="24"/>
      <c r="E67" s="24"/>
      <c r="F67" s="24"/>
      <c r="G67" s="24"/>
      <c r="H67" s="185"/>
      <c r="I67" s="184"/>
      <c r="J67" s="42">
        <f>VLOOKUP($B$37:$B$106,'Alberta Equip. Rates Year 3'!$B$13:$K$314,10,FALSE)</f>
        <v>0</v>
      </c>
      <c r="K67" s="181">
        <f>(H67+I67)*J67</f>
        <v>0</v>
      </c>
    </row>
    <row r="68" spans="1:11" ht="15" customHeight="1">
      <c r="A68" s="43"/>
      <c r="B68" s="49">
        <f>VLOOKUP($C$37:$C$106,Equipment!$A$1:$B$2322,2,FALSE)</f>
        <v>0</v>
      </c>
      <c r="C68" s="24"/>
      <c r="D68" s="24"/>
      <c r="E68" s="24"/>
      <c r="F68" s="24"/>
      <c r="G68" s="24"/>
      <c r="H68" s="185"/>
      <c r="I68" s="184"/>
      <c r="J68" s="42">
        <f>VLOOKUP($B$37:$B$106,'Alberta Equip. Rates Year 3'!$B$13:$K$314,10,FALSE)</f>
        <v>0</v>
      </c>
      <c r="K68" s="181">
        <f>(H68+I68)*J68</f>
        <v>0</v>
      </c>
    </row>
    <row r="69" spans="1:11" ht="15" customHeight="1">
      <c r="A69" s="43"/>
      <c r="B69" s="49">
        <f>VLOOKUP($C$37:$C$106,Equipment!$A$1:$B$2322,2,FALSE)</f>
        <v>0</v>
      </c>
      <c r="C69" s="24"/>
      <c r="D69" s="24"/>
      <c r="E69" s="24"/>
      <c r="F69" s="24"/>
      <c r="G69" s="24"/>
      <c r="H69" s="185"/>
      <c r="I69" s="184"/>
      <c r="J69" s="42">
        <f>VLOOKUP($B$37:$B$106,'Alberta Equip. Rates Year 3'!$B$13:$K$314,10,FALSE)</f>
        <v>0</v>
      </c>
      <c r="K69" s="181">
        <f>(H69+I69)*J69</f>
        <v>0</v>
      </c>
    </row>
    <row r="70" spans="1:11" ht="15" customHeight="1">
      <c r="A70" s="43"/>
      <c r="B70" s="49">
        <f>VLOOKUP($C$37:$C$106,Equipment!$A$1:$B$2322,2,FALSE)</f>
        <v>0</v>
      </c>
      <c r="C70" s="24"/>
      <c r="D70" s="24"/>
      <c r="E70" s="24"/>
      <c r="F70" s="24"/>
      <c r="G70" s="24"/>
      <c r="H70" s="185"/>
      <c r="I70" s="184"/>
      <c r="J70" s="42">
        <f>VLOOKUP($B$37:$B$106,'Alberta Equip. Rates Year 3'!$B$13:$K$314,10,FALSE)</f>
        <v>0</v>
      </c>
      <c r="K70" s="181">
        <f>(H70+I70)*J70</f>
        <v>0</v>
      </c>
    </row>
    <row r="71" spans="1:11" ht="15" customHeight="1">
      <c r="A71" s="43"/>
      <c r="B71" s="49">
        <f>VLOOKUP($C$37:$C$106,Equipment!$A$1:$B$2322,2,FALSE)</f>
        <v>0</v>
      </c>
      <c r="C71" s="24"/>
      <c r="D71" s="24"/>
      <c r="E71" s="24"/>
      <c r="F71" s="24"/>
      <c r="G71" s="24"/>
      <c r="H71" s="185"/>
      <c r="I71" s="184"/>
      <c r="J71" s="42">
        <f>VLOOKUP($B$37:$B$106,'Alberta Equip. Rates Year 3'!$B$13:$K$314,10,FALSE)</f>
        <v>0</v>
      </c>
      <c r="K71" s="181">
        <f t="shared" si="3"/>
        <v>0</v>
      </c>
    </row>
    <row r="72" spans="1:11" ht="15" customHeight="1">
      <c r="A72" s="43"/>
      <c r="B72" s="49">
        <f>VLOOKUP($C$37:$C$106,Equipment!$A$1:$B$2322,2,FALSE)</f>
        <v>0</v>
      </c>
      <c r="C72" s="24"/>
      <c r="D72" s="24"/>
      <c r="E72" s="24"/>
      <c r="F72" s="24"/>
      <c r="G72" s="24"/>
      <c r="H72" s="185"/>
      <c r="I72" s="184"/>
      <c r="J72" s="42">
        <f>VLOOKUP($B$37:$B$106,'Alberta Equip. Rates Year 3'!$B$13:$K$314,10,FALSE)</f>
        <v>0</v>
      </c>
      <c r="K72" s="181">
        <f t="shared" ref="K72" si="17">(H72+I72)*J72</f>
        <v>0</v>
      </c>
    </row>
    <row r="73" spans="1:11" ht="15" customHeight="1">
      <c r="A73" s="43"/>
      <c r="B73" s="49">
        <f>VLOOKUP($C$37:$C$106,Equipment!$A$1:$B$2322,2,FALSE)</f>
        <v>0</v>
      </c>
      <c r="C73" s="24"/>
      <c r="D73" s="24"/>
      <c r="E73" s="24"/>
      <c r="F73" s="24"/>
      <c r="G73" s="24"/>
      <c r="H73" s="185"/>
      <c r="I73" s="184"/>
      <c r="J73" s="42">
        <f>VLOOKUP($B$37:$B$106,'Alberta Equip. Rates Year 3'!$B$13:$K$314,10,FALSE)</f>
        <v>0</v>
      </c>
      <c r="K73" s="181">
        <f t="shared" ref="K73" si="18">(H73+I73)*J73</f>
        <v>0</v>
      </c>
    </row>
    <row r="74" spans="1:11" ht="15" customHeight="1">
      <c r="A74" s="43"/>
      <c r="B74" s="49">
        <f>VLOOKUP($C$37:$C$106,Equipment!$A$1:$B$2322,2,FALSE)</f>
        <v>0</v>
      </c>
      <c r="C74" s="24"/>
      <c r="D74" s="24"/>
      <c r="E74" s="24"/>
      <c r="F74" s="24"/>
      <c r="G74" s="24"/>
      <c r="H74" s="185"/>
      <c r="I74" s="184"/>
      <c r="J74" s="42">
        <f>VLOOKUP($B$37:$B$106,'Alberta Equip. Rates Year 3'!$B$13:$K$314,10,FALSE)</f>
        <v>0</v>
      </c>
      <c r="K74" s="181">
        <f t="shared" si="3"/>
        <v>0</v>
      </c>
    </row>
    <row r="75" spans="1:11" ht="15" customHeight="1">
      <c r="A75" s="43"/>
      <c r="B75" s="49">
        <f>VLOOKUP($C$37:$C$106,Equipment!$A$1:$B$2322,2,FALSE)</f>
        <v>0</v>
      </c>
      <c r="C75" s="24"/>
      <c r="D75" s="24"/>
      <c r="E75" s="24"/>
      <c r="F75" s="24"/>
      <c r="G75" s="24"/>
      <c r="H75" s="185"/>
      <c r="I75" s="184"/>
      <c r="J75" s="42">
        <f>VLOOKUP($B$37:$B$106,'Alberta Equip. Rates Year 3'!$B$13:$K$314,10,FALSE)</f>
        <v>0</v>
      </c>
      <c r="K75" s="181">
        <f t="shared" ref="K75" si="19">(H75+I75)*J75</f>
        <v>0</v>
      </c>
    </row>
    <row r="76" spans="1:11" ht="15" customHeight="1">
      <c r="A76" s="43"/>
      <c r="B76" s="49">
        <f>VLOOKUP($C$37:$C$106,Equipment!$A$1:$B$2322,2,FALSE)</f>
        <v>0</v>
      </c>
      <c r="C76" s="24"/>
      <c r="D76" s="24"/>
      <c r="E76" s="24"/>
      <c r="F76" s="24"/>
      <c r="G76" s="24"/>
      <c r="H76" s="185"/>
      <c r="I76" s="184"/>
      <c r="J76" s="42">
        <f>VLOOKUP($B$37:$B$106,'Alberta Equip. Rates Year 3'!$B$13:$K$314,10,FALSE)</f>
        <v>0</v>
      </c>
      <c r="K76" s="181">
        <f t="shared" ref="K76" si="20">(H76+I76)*J76</f>
        <v>0</v>
      </c>
    </row>
    <row r="77" spans="1:11" ht="15" customHeight="1">
      <c r="A77" s="43"/>
      <c r="B77" s="49">
        <f>VLOOKUP($C$37:$C$106,Equipment!$A$1:$B$2322,2,FALSE)</f>
        <v>0</v>
      </c>
      <c r="C77" s="24"/>
      <c r="D77" s="24"/>
      <c r="E77" s="24"/>
      <c r="F77" s="24"/>
      <c r="G77" s="24"/>
      <c r="H77" s="185"/>
      <c r="I77" s="184"/>
      <c r="J77" s="42">
        <f>VLOOKUP($B$37:$B$106,'Alberta Equip. Rates Year 3'!$B$13:$K$314,10,FALSE)</f>
        <v>0</v>
      </c>
      <c r="K77" s="181">
        <f t="shared" ref="K77" si="21">(H77+I77)*J77</f>
        <v>0</v>
      </c>
    </row>
    <row r="78" spans="1:11" ht="15" customHeight="1">
      <c r="A78" s="43"/>
      <c r="B78" s="49">
        <f>VLOOKUP($C$37:$C$106,Equipment!$A$1:$B$2322,2,FALSE)</f>
        <v>0</v>
      </c>
      <c r="C78" s="24"/>
      <c r="D78" s="24"/>
      <c r="E78" s="24"/>
      <c r="F78" s="24"/>
      <c r="G78" s="24"/>
      <c r="H78" s="185"/>
      <c r="I78" s="184"/>
      <c r="J78" s="42">
        <f>VLOOKUP($B$37:$B$106,'Alberta Equip. Rates Year 3'!$B$13:$K$314,10,FALSE)</f>
        <v>0</v>
      </c>
      <c r="K78" s="181">
        <f t="shared" si="3"/>
        <v>0</v>
      </c>
    </row>
    <row r="79" spans="1:11" ht="15" customHeight="1">
      <c r="A79" s="43"/>
      <c r="B79" s="49">
        <f>VLOOKUP($C$37:$C$106,Equipment!$A$1:$B$2322,2,FALSE)</f>
        <v>0</v>
      </c>
      <c r="C79" s="24"/>
      <c r="D79" s="24"/>
      <c r="E79" s="24"/>
      <c r="F79" s="24"/>
      <c r="G79" s="24"/>
      <c r="H79" s="185"/>
      <c r="I79" s="184"/>
      <c r="J79" s="42">
        <f>VLOOKUP($B$37:$B$106,'Alberta Equip. Rates Year 3'!$B$13:$K$314,10,FALSE)</f>
        <v>0</v>
      </c>
      <c r="K79" s="181">
        <f t="shared" si="3"/>
        <v>0</v>
      </c>
    </row>
    <row r="80" spans="1:11" ht="15" customHeight="1">
      <c r="A80" s="43"/>
      <c r="B80" s="49">
        <f>VLOOKUP($C$37:$C$106,Equipment!$A$1:$B$2322,2,FALSE)</f>
        <v>0</v>
      </c>
      <c r="C80" s="24"/>
      <c r="D80" s="24"/>
      <c r="E80" s="24"/>
      <c r="F80" s="24"/>
      <c r="G80" s="24"/>
      <c r="H80" s="185"/>
      <c r="I80" s="184"/>
      <c r="J80" s="42">
        <f>VLOOKUP($B$37:$B$106,'Alberta Equip. Rates Year 3'!$B$13:$K$314,10,FALSE)</f>
        <v>0</v>
      </c>
      <c r="K80" s="181">
        <f t="shared" ref="K80:K83" si="22">(H80+I80)*J80</f>
        <v>0</v>
      </c>
    </row>
    <row r="81" spans="1:11" ht="15" customHeight="1">
      <c r="A81" s="43"/>
      <c r="B81" s="49">
        <f>VLOOKUP($C$37:$C$106,Equipment!$A$1:$B$2322,2,FALSE)</f>
        <v>0</v>
      </c>
      <c r="C81" s="24"/>
      <c r="D81" s="24"/>
      <c r="E81" s="24"/>
      <c r="F81" s="24"/>
      <c r="G81" s="24"/>
      <c r="H81" s="185"/>
      <c r="I81" s="184"/>
      <c r="J81" s="42">
        <f>VLOOKUP($B$37:$B$106,'Alberta Equip. Rates Year 3'!$B$13:$K$314,10,FALSE)</f>
        <v>0</v>
      </c>
      <c r="K81" s="181">
        <f t="shared" si="22"/>
        <v>0</v>
      </c>
    </row>
    <row r="82" spans="1:11" ht="15" customHeight="1">
      <c r="A82" s="43"/>
      <c r="B82" s="49">
        <f>VLOOKUP($C$37:$C$106,Equipment!$A$1:$B$2322,2,FALSE)</f>
        <v>0</v>
      </c>
      <c r="C82" s="24"/>
      <c r="D82" s="24"/>
      <c r="E82" s="24"/>
      <c r="F82" s="24"/>
      <c r="G82" s="24"/>
      <c r="H82" s="185"/>
      <c r="I82" s="184"/>
      <c r="J82" s="42">
        <f>VLOOKUP($B$37:$B$106,'Alberta Equip. Rates Year 3'!$B$13:$K$314,10,FALSE)</f>
        <v>0</v>
      </c>
      <c r="K82" s="181">
        <f t="shared" si="22"/>
        <v>0</v>
      </c>
    </row>
    <row r="83" spans="1:11" ht="15" customHeight="1">
      <c r="A83" s="43"/>
      <c r="B83" s="49">
        <f>VLOOKUP($C$37:$C$106,Equipment!$A$1:$B$2322,2,FALSE)</f>
        <v>0</v>
      </c>
      <c r="C83" s="24"/>
      <c r="D83" s="24"/>
      <c r="E83" s="24"/>
      <c r="F83" s="24"/>
      <c r="G83" s="24"/>
      <c r="H83" s="185"/>
      <c r="I83" s="184"/>
      <c r="J83" s="42">
        <f>VLOOKUP($B$37:$B$106,'Alberta Equip. Rates Year 3'!$B$13:$K$314,10,FALSE)</f>
        <v>0</v>
      </c>
      <c r="K83" s="181">
        <f t="shared" si="22"/>
        <v>0</v>
      </c>
    </row>
    <row r="84" spans="1:11" ht="15" customHeight="1">
      <c r="A84" s="43"/>
      <c r="B84" s="49">
        <f>VLOOKUP($C$37:$C$106,Equipment!$A$1:$B$2322,2,FALSE)</f>
        <v>0</v>
      </c>
      <c r="C84" s="24"/>
      <c r="D84" s="24"/>
      <c r="E84" s="24"/>
      <c r="F84" s="24"/>
      <c r="G84" s="24"/>
      <c r="H84" s="185"/>
      <c r="I84" s="184"/>
      <c r="J84" s="42">
        <f>VLOOKUP($B$37:$B$106,'Alberta Equip. Rates Year 3'!$B$13:$K$314,10,FALSE)</f>
        <v>0</v>
      </c>
      <c r="K84" s="181">
        <f>(H84+I84)*J84</f>
        <v>0</v>
      </c>
    </row>
    <row r="85" spans="1:11" ht="15" customHeight="1">
      <c r="A85" s="43"/>
      <c r="B85" s="49">
        <f>VLOOKUP($C$37:$C$106,Equipment!$A$1:$B$2322,2,FALSE)</f>
        <v>0</v>
      </c>
      <c r="C85" s="24"/>
      <c r="D85" s="24"/>
      <c r="E85" s="24"/>
      <c r="F85" s="24"/>
      <c r="G85" s="24"/>
      <c r="H85" s="185"/>
      <c r="I85" s="184"/>
      <c r="J85" s="42">
        <f>VLOOKUP($B$37:$B$106,'Alberta Equip. Rates Year 3'!$B$13:$K$314,10,FALSE)</f>
        <v>0</v>
      </c>
      <c r="K85" s="181">
        <f t="shared" ref="K85:K98" si="23">(H85+I85)*J85</f>
        <v>0</v>
      </c>
    </row>
    <row r="86" spans="1:11" ht="15" customHeight="1">
      <c r="A86" s="43"/>
      <c r="B86" s="49">
        <f>VLOOKUP($C$37:$C$106,Equipment!$A$1:$B$2322,2,FALSE)</f>
        <v>0</v>
      </c>
      <c r="C86" s="24"/>
      <c r="D86" s="24"/>
      <c r="E86" s="24"/>
      <c r="F86" s="24"/>
      <c r="G86" s="24"/>
      <c r="H86" s="185"/>
      <c r="I86" s="184"/>
      <c r="J86" s="42">
        <f>VLOOKUP($B$37:$B$106,'Alberta Equip. Rates Year 3'!$B$13:$K$314,10,FALSE)</f>
        <v>0</v>
      </c>
      <c r="K86" s="181">
        <f t="shared" ref="K86" si="24">(H86+I86)*J86</f>
        <v>0</v>
      </c>
    </row>
    <row r="87" spans="1:11" ht="15" customHeight="1">
      <c r="A87" s="43"/>
      <c r="B87" s="49">
        <f>VLOOKUP($C$37:$C$106,Equipment!$A$1:$B$2322,2,FALSE)</f>
        <v>0</v>
      </c>
      <c r="C87" s="24"/>
      <c r="D87" s="24"/>
      <c r="E87" s="24"/>
      <c r="F87" s="24"/>
      <c r="G87" s="24"/>
      <c r="H87" s="185"/>
      <c r="I87" s="184"/>
      <c r="J87" s="42">
        <f>VLOOKUP($B$37:$B$106,'Alberta Equip. Rates Year 3'!$B$13:$K$314,10,FALSE)</f>
        <v>0</v>
      </c>
      <c r="K87" s="181">
        <f t="shared" si="23"/>
        <v>0</v>
      </c>
    </row>
    <row r="88" spans="1:11" ht="15" customHeight="1">
      <c r="A88" s="43"/>
      <c r="B88" s="49">
        <f>VLOOKUP($C$37:$C$106,Equipment!$A$1:$B$2322,2,FALSE)</f>
        <v>0</v>
      </c>
      <c r="C88" s="24"/>
      <c r="D88" s="24"/>
      <c r="E88" s="24"/>
      <c r="F88" s="24"/>
      <c r="G88" s="24"/>
      <c r="H88" s="185"/>
      <c r="I88" s="184"/>
      <c r="J88" s="42">
        <f>VLOOKUP($B$37:$B$106,'Alberta Equip. Rates Year 3'!$B$13:$K$314,10,FALSE)</f>
        <v>0</v>
      </c>
      <c r="K88" s="181">
        <f t="shared" si="23"/>
        <v>0</v>
      </c>
    </row>
    <row r="89" spans="1:11" ht="15" customHeight="1">
      <c r="A89" s="43"/>
      <c r="B89" s="49">
        <f>VLOOKUP($C$37:$C$106,Equipment!$A$1:$B$2322,2,FALSE)</f>
        <v>0</v>
      </c>
      <c r="C89" s="24"/>
      <c r="D89" s="24"/>
      <c r="E89" s="24"/>
      <c r="F89" s="24"/>
      <c r="G89" s="24"/>
      <c r="H89" s="185"/>
      <c r="I89" s="184"/>
      <c r="J89" s="42">
        <f>VLOOKUP($B$37:$B$106,'Alberta Equip. Rates Year 3'!$B$13:$K$314,10,FALSE)</f>
        <v>0</v>
      </c>
      <c r="K89" s="181">
        <f t="shared" si="23"/>
        <v>0</v>
      </c>
    </row>
    <row r="90" spans="1:11" ht="15" customHeight="1">
      <c r="A90" s="43"/>
      <c r="B90" s="49">
        <f>VLOOKUP($C$37:$C$106,Equipment!$A$1:$B$2322,2,FALSE)</f>
        <v>0</v>
      </c>
      <c r="C90" s="24"/>
      <c r="D90" s="24"/>
      <c r="E90" s="24"/>
      <c r="F90" s="24"/>
      <c r="G90" s="24"/>
      <c r="H90" s="185"/>
      <c r="I90" s="184"/>
      <c r="J90" s="42">
        <f>VLOOKUP($B$37:$B$106,'Alberta Equip. Rates Year 3'!$B$13:$K$314,10,FALSE)</f>
        <v>0</v>
      </c>
      <c r="K90" s="181">
        <f t="shared" si="23"/>
        <v>0</v>
      </c>
    </row>
    <row r="91" spans="1:11" ht="15" customHeight="1">
      <c r="A91" s="43"/>
      <c r="B91" s="49">
        <f>VLOOKUP($C$37:$C$106,Equipment!$A$1:$B$2322,2,FALSE)</f>
        <v>0</v>
      </c>
      <c r="C91" s="24"/>
      <c r="D91" s="24"/>
      <c r="E91" s="24"/>
      <c r="F91" s="24"/>
      <c r="G91" s="24"/>
      <c r="H91" s="185"/>
      <c r="I91" s="184"/>
      <c r="J91" s="42">
        <f>VLOOKUP($B$37:$B$106,'Alberta Equip. Rates Year 3'!$B$13:$K$314,10,FALSE)</f>
        <v>0</v>
      </c>
      <c r="K91" s="181">
        <f t="shared" si="23"/>
        <v>0</v>
      </c>
    </row>
    <row r="92" spans="1:11" ht="15" customHeight="1">
      <c r="A92" s="43"/>
      <c r="B92" s="49">
        <f>VLOOKUP($C$37:$C$106,Equipment!$A$1:$B$2322,2,FALSE)</f>
        <v>0</v>
      </c>
      <c r="C92" s="24"/>
      <c r="D92" s="24"/>
      <c r="E92" s="24"/>
      <c r="F92" s="24"/>
      <c r="G92" s="24"/>
      <c r="H92" s="185"/>
      <c r="I92" s="184"/>
      <c r="J92" s="42">
        <f>VLOOKUP($B$37:$B$106,'Alberta Equip. Rates Year 3'!$B$13:$K$314,10,FALSE)</f>
        <v>0</v>
      </c>
      <c r="K92" s="181">
        <f t="shared" si="23"/>
        <v>0</v>
      </c>
    </row>
    <row r="93" spans="1:11" ht="15" customHeight="1">
      <c r="A93" s="43"/>
      <c r="B93" s="49">
        <f>VLOOKUP($C$37:$C$106,Equipment!$A$1:$B$2322,2,FALSE)</f>
        <v>0</v>
      </c>
      <c r="C93" s="24"/>
      <c r="D93" s="24"/>
      <c r="E93" s="24"/>
      <c r="F93" s="24"/>
      <c r="G93" s="24"/>
      <c r="H93" s="185"/>
      <c r="I93" s="184"/>
      <c r="J93" s="42">
        <f>VLOOKUP($B$37:$B$106,'Alberta Equip. Rates Year 3'!$B$13:$K$314,10,FALSE)</f>
        <v>0</v>
      </c>
      <c r="K93" s="181">
        <f t="shared" si="23"/>
        <v>0</v>
      </c>
    </row>
    <row r="94" spans="1:11" ht="15" customHeight="1">
      <c r="A94" s="43"/>
      <c r="B94" s="49">
        <f>VLOOKUP($C$37:$C$106,Equipment!$A$1:$B$2322,2,FALSE)</f>
        <v>0</v>
      </c>
      <c r="C94" s="24"/>
      <c r="D94" s="24"/>
      <c r="E94" s="24"/>
      <c r="F94" s="24"/>
      <c r="G94" s="24"/>
      <c r="H94" s="185"/>
      <c r="I94" s="184"/>
      <c r="J94" s="42">
        <f>VLOOKUP($B$37:$B$106,'Alberta Equip. Rates Year 3'!$B$13:$K$314,10,FALSE)</f>
        <v>0</v>
      </c>
      <c r="K94" s="181">
        <f t="shared" si="23"/>
        <v>0</v>
      </c>
    </row>
    <row r="95" spans="1:11" ht="15" customHeight="1">
      <c r="A95" s="43"/>
      <c r="B95" s="49">
        <f>VLOOKUP($C$37:$C$106,Equipment!$A$1:$B$2322,2,FALSE)</f>
        <v>0</v>
      </c>
      <c r="C95" s="24"/>
      <c r="D95" s="24"/>
      <c r="E95" s="24"/>
      <c r="F95" s="24"/>
      <c r="G95" s="24"/>
      <c r="H95" s="185"/>
      <c r="I95" s="184"/>
      <c r="J95" s="42">
        <f>VLOOKUP($B$37:$B$106,'Alberta Equip. Rates Year 3'!$B$13:$K$314,10,FALSE)</f>
        <v>0</v>
      </c>
      <c r="K95" s="181">
        <f t="shared" si="23"/>
        <v>0</v>
      </c>
    </row>
    <row r="96" spans="1:11" ht="15" customHeight="1">
      <c r="A96" s="43"/>
      <c r="B96" s="49">
        <f>VLOOKUP($C$37:$C$106,Equipment!$A$1:$B$2322,2,FALSE)</f>
        <v>0</v>
      </c>
      <c r="C96" s="24"/>
      <c r="D96" s="24"/>
      <c r="E96" s="24"/>
      <c r="F96" s="24"/>
      <c r="G96" s="24"/>
      <c r="H96" s="185"/>
      <c r="I96" s="184"/>
      <c r="J96" s="42">
        <f>VLOOKUP($B$37:$B$106,'Alberta Equip. Rates Year 3'!$B$13:$K$314,10,FALSE)</f>
        <v>0</v>
      </c>
      <c r="K96" s="181">
        <f>(H96+I96)*J96</f>
        <v>0</v>
      </c>
    </row>
    <row r="97" spans="1:11" ht="15" customHeight="1">
      <c r="A97" s="43"/>
      <c r="B97" s="49">
        <f>VLOOKUP($C$37:$C$106,Equipment!$A$1:$B$2322,2,FALSE)</f>
        <v>0</v>
      </c>
      <c r="C97" s="24"/>
      <c r="D97" s="24"/>
      <c r="E97" s="24"/>
      <c r="F97" s="24"/>
      <c r="G97" s="24"/>
      <c r="H97" s="185"/>
      <c r="I97" s="184"/>
      <c r="J97" s="42">
        <f>VLOOKUP($B$37:$B$106,'Alberta Equip. Rates Year 3'!$B$13:$K$314,10,FALSE)</f>
        <v>0</v>
      </c>
      <c r="K97" s="181">
        <f>(H97+I97)*J97</f>
        <v>0</v>
      </c>
    </row>
    <row r="98" spans="1:11" ht="15" customHeight="1">
      <c r="A98" s="43"/>
      <c r="B98" s="49">
        <f>VLOOKUP($C$37:$C$106,Equipment!$A$1:$B$2322,2,FALSE)</f>
        <v>0</v>
      </c>
      <c r="C98" s="24"/>
      <c r="D98" s="24"/>
      <c r="E98" s="24"/>
      <c r="F98" s="24"/>
      <c r="G98" s="24"/>
      <c r="H98" s="185"/>
      <c r="I98" s="184"/>
      <c r="J98" s="42">
        <f>VLOOKUP($B$37:$B$106,'Alberta Equip. Rates Year 3'!$B$13:$K$314,10,FALSE)</f>
        <v>0</v>
      </c>
      <c r="K98" s="181">
        <f t="shared" si="23"/>
        <v>0</v>
      </c>
    </row>
    <row r="99" spans="1:11" ht="15" customHeight="1">
      <c r="A99" s="43"/>
      <c r="B99" s="49">
        <f>VLOOKUP($C$37:$C$106,Equipment!$A$1:$B$2322,2,FALSE)</f>
        <v>0</v>
      </c>
      <c r="C99" s="24"/>
      <c r="D99" s="24"/>
      <c r="E99" s="24"/>
      <c r="F99" s="24"/>
      <c r="G99" s="24"/>
      <c r="H99" s="185"/>
      <c r="I99" s="184"/>
      <c r="J99" s="42">
        <f>VLOOKUP($B$37:$B$106,'Alberta Equip. Rates Year 3'!$B$13:$K$314,10,FALSE)</f>
        <v>0</v>
      </c>
      <c r="K99" s="181">
        <f t="shared" si="3"/>
        <v>0</v>
      </c>
    </row>
    <row r="100" spans="1:11" ht="15" customHeight="1">
      <c r="A100" s="43"/>
      <c r="B100" s="49">
        <f>VLOOKUP($C$37:$C$106,Equipment!$A$1:$B$2322,2,FALSE)</f>
        <v>0</v>
      </c>
      <c r="C100" s="24"/>
      <c r="D100" s="24"/>
      <c r="E100" s="24"/>
      <c r="F100" s="24"/>
      <c r="G100" s="24"/>
      <c r="H100" s="185"/>
      <c r="I100" s="184"/>
      <c r="J100" s="42">
        <f>VLOOKUP($B$37:$B$106,'Alberta Equip. Rates Year 3'!$B$13:$K$314,10,FALSE)</f>
        <v>0</v>
      </c>
      <c r="K100" s="181">
        <f t="shared" si="3"/>
        <v>0</v>
      </c>
    </row>
    <row r="101" spans="1:11" ht="15" customHeight="1">
      <c r="A101" s="43"/>
      <c r="B101" s="49">
        <f>VLOOKUP($C$37:$C$106,Equipment!$A$1:$B$2322,2,FALSE)</f>
        <v>0</v>
      </c>
      <c r="C101" s="24"/>
      <c r="D101" s="24"/>
      <c r="E101" s="24"/>
      <c r="F101" s="24"/>
      <c r="G101" s="24"/>
      <c r="H101" s="185"/>
      <c r="I101" s="184"/>
      <c r="J101" s="42">
        <f>VLOOKUP($B$37:$B$106,'Alberta Equip. Rates Year 3'!$B$13:$K$314,10,FALSE)</f>
        <v>0</v>
      </c>
      <c r="K101" s="181">
        <f t="shared" ref="K101" si="25">(H101+I101)*J101</f>
        <v>0</v>
      </c>
    </row>
    <row r="102" spans="1:11" ht="15" customHeight="1">
      <c r="A102" s="43"/>
      <c r="B102" s="49">
        <f>VLOOKUP($C$37:$C$106,Equipment!$A$1:$B$2322,2,FALSE)</f>
        <v>0</v>
      </c>
      <c r="C102" s="24"/>
      <c r="D102" s="24"/>
      <c r="E102" s="24"/>
      <c r="F102" s="24"/>
      <c r="G102" s="24"/>
      <c r="H102" s="185"/>
      <c r="I102" s="184"/>
      <c r="J102" s="42">
        <f>VLOOKUP($B$37:$B$106,'Alberta Equip. Rates Year 3'!$B$13:$K$314,10,FALSE)</f>
        <v>0</v>
      </c>
      <c r="K102" s="181">
        <f t="shared" ref="K102:K105" si="26">(H102+I102)*J102</f>
        <v>0</v>
      </c>
    </row>
    <row r="103" spans="1:11" ht="15" customHeight="1">
      <c r="A103" s="43"/>
      <c r="B103" s="49">
        <f>VLOOKUP($C$37:$C$106,Equipment!$A$1:$B$2322,2,FALSE)</f>
        <v>0</v>
      </c>
      <c r="C103" s="24"/>
      <c r="D103" s="24"/>
      <c r="E103" s="24"/>
      <c r="F103" s="24"/>
      <c r="G103" s="24"/>
      <c r="H103" s="185"/>
      <c r="I103" s="184"/>
      <c r="J103" s="42">
        <f>VLOOKUP($B$37:$B$106,'Alberta Equip. Rates Year 3'!$B$13:$K$314,10,FALSE)</f>
        <v>0</v>
      </c>
      <c r="K103" s="181">
        <f t="shared" si="26"/>
        <v>0</v>
      </c>
    </row>
    <row r="104" spans="1:11" ht="15" customHeight="1">
      <c r="A104" s="43"/>
      <c r="B104" s="49">
        <f>VLOOKUP($C$37:$C$106,Equipment!$A$1:$B$2322,2,FALSE)</f>
        <v>0</v>
      </c>
      <c r="C104" s="24"/>
      <c r="D104" s="24"/>
      <c r="E104" s="24"/>
      <c r="F104" s="24"/>
      <c r="G104" s="24"/>
      <c r="H104" s="185"/>
      <c r="I104" s="184"/>
      <c r="J104" s="42">
        <f>VLOOKUP($B$37:$B$106,'Alberta Equip. Rates Year 3'!$B$13:$K$314,10,FALSE)</f>
        <v>0</v>
      </c>
      <c r="K104" s="181">
        <f t="shared" si="26"/>
        <v>0</v>
      </c>
    </row>
    <row r="105" spans="1:11" ht="15" customHeight="1">
      <c r="A105" s="43"/>
      <c r="B105" s="49">
        <f>VLOOKUP($C$37:$C$106,Equipment!$A$1:$B$2322,2,FALSE)</f>
        <v>0</v>
      </c>
      <c r="C105" s="24"/>
      <c r="D105" s="24"/>
      <c r="E105" s="24"/>
      <c r="F105" s="24"/>
      <c r="G105" s="24"/>
      <c r="H105" s="185"/>
      <c r="I105" s="184"/>
      <c r="J105" s="42">
        <f>VLOOKUP($B$37:$B$106,'Alberta Equip. Rates Year 3'!$B$13:$K$314,10,FALSE)</f>
        <v>0</v>
      </c>
      <c r="K105" s="181">
        <f t="shared" si="26"/>
        <v>0</v>
      </c>
    </row>
    <row r="106" spans="1:11" ht="15" customHeight="1" thickBot="1">
      <c r="A106" s="43"/>
      <c r="B106" s="49">
        <f>VLOOKUP($C$37:$C$106,Equipment!$A$1:$B$2322,2,FALSE)</f>
        <v>0</v>
      </c>
      <c r="C106" s="24"/>
      <c r="D106" s="24"/>
      <c r="E106" s="24"/>
      <c r="F106" s="24"/>
      <c r="G106" s="24"/>
      <c r="H106" s="185"/>
      <c r="I106" s="184"/>
      <c r="J106" s="42">
        <f>VLOOKUP($B$37:$B$106,'Alberta Equip. Rates Year 3'!$B$13:$K$314,10,FALSE)</f>
        <v>0</v>
      </c>
      <c r="K106" s="181">
        <f t="shared" si="3"/>
        <v>0</v>
      </c>
    </row>
    <row r="107" spans="1:11" ht="12" thickBot="1">
      <c r="A107" s="25"/>
      <c r="B107" s="25"/>
      <c r="C107" s="25"/>
      <c r="D107" s="21"/>
      <c r="E107" s="21"/>
      <c r="F107" s="21"/>
      <c r="G107" s="21"/>
      <c r="H107" s="21"/>
      <c r="I107" s="360" t="s">
        <v>24</v>
      </c>
      <c r="J107" s="361"/>
      <c r="K107" s="182">
        <f>SUM(K37:K106)</f>
        <v>0</v>
      </c>
    </row>
    <row r="108" spans="1:11" ht="12" thickBot="1">
      <c r="A108" s="26"/>
      <c r="D108" s="26"/>
      <c r="I108" s="27"/>
      <c r="J108" s="27"/>
      <c r="K108" s="28"/>
    </row>
    <row r="109" spans="1:11">
      <c r="A109" s="1" t="s">
        <v>25</v>
      </c>
      <c r="B109" s="29"/>
      <c r="D109" s="1"/>
      <c r="E109" s="1"/>
      <c r="F109" s="1"/>
      <c r="G109" s="1"/>
      <c r="H109" s="1"/>
      <c r="I109" s="362" t="s">
        <v>26</v>
      </c>
      <c r="J109" s="362"/>
      <c r="K109" s="37">
        <f>K34</f>
        <v>0</v>
      </c>
    </row>
    <row r="110" spans="1:11">
      <c r="D110" s="1"/>
      <c r="E110" s="1"/>
      <c r="F110" s="1"/>
      <c r="G110" s="1"/>
      <c r="H110" s="1"/>
      <c r="I110" s="362" t="s">
        <v>27</v>
      </c>
      <c r="J110" s="362"/>
      <c r="K110" s="38">
        <f>K107</f>
        <v>0</v>
      </c>
    </row>
    <row r="111" spans="1:11">
      <c r="D111" s="1"/>
      <c r="E111" s="1"/>
      <c r="F111" s="1"/>
      <c r="G111" s="1"/>
      <c r="H111" s="1"/>
      <c r="I111" s="27" t="s">
        <v>28</v>
      </c>
      <c r="J111" s="27"/>
      <c r="K111" s="38">
        <f>(O34)*14.15</f>
        <v>0</v>
      </c>
    </row>
    <row r="112" spans="1:11">
      <c r="D112" s="1"/>
      <c r="E112" s="1"/>
      <c r="F112" s="1"/>
      <c r="G112" s="1"/>
      <c r="H112" s="1"/>
      <c r="I112" s="30" t="s">
        <v>29</v>
      </c>
      <c r="J112" s="30"/>
      <c r="K112" s="39"/>
    </row>
    <row r="113" spans="1:11">
      <c r="D113" s="1"/>
      <c r="E113" s="1"/>
      <c r="F113" s="1"/>
      <c r="G113" s="1"/>
      <c r="H113" s="1"/>
      <c r="I113" s="30" t="s">
        <v>30</v>
      </c>
      <c r="J113" s="30"/>
      <c r="K113" s="39"/>
    </row>
    <row r="114" spans="1:11">
      <c r="D114" s="1"/>
      <c r="E114" s="1"/>
      <c r="F114" s="1"/>
      <c r="G114" s="1"/>
      <c r="H114" s="1"/>
      <c r="I114" s="30" t="s">
        <v>31</v>
      </c>
      <c r="J114" s="30"/>
      <c r="K114" s="39"/>
    </row>
    <row r="115" spans="1:11" ht="12" thickBot="1">
      <c r="D115" s="1"/>
      <c r="E115" s="1"/>
      <c r="F115" s="1"/>
      <c r="G115" s="1"/>
      <c r="H115" s="1"/>
      <c r="I115" s="362" t="s">
        <v>32</v>
      </c>
      <c r="J115" s="362"/>
      <c r="K115" s="40">
        <f>SUM(K109:K114)</f>
        <v>0</v>
      </c>
    </row>
    <row r="116" spans="1:11">
      <c r="D116" s="1"/>
      <c r="E116" s="1"/>
      <c r="F116" s="1"/>
      <c r="G116" s="1"/>
      <c r="H116" s="1"/>
      <c r="I116" s="27"/>
      <c r="J116" s="27"/>
    </row>
    <row r="117" spans="1:11">
      <c r="A117" s="31" t="s">
        <v>33</v>
      </c>
      <c r="B117" s="32"/>
      <c r="C117" s="32"/>
      <c r="D117" s="1"/>
      <c r="H117" s="33" t="s">
        <v>34</v>
      </c>
      <c r="I117" s="32"/>
      <c r="J117" s="32"/>
      <c r="K117" s="32"/>
    </row>
    <row r="118" spans="1:11" ht="15">
      <c r="A118" s="34"/>
      <c r="E118" s="8"/>
      <c r="F118" s="8"/>
      <c r="G118" s="8"/>
      <c r="H118" s="35"/>
      <c r="I118" s="35"/>
      <c r="J118" s="35"/>
      <c r="K118" s="35"/>
    </row>
    <row r="119" spans="1:11" ht="15">
      <c r="A119" s="34" t="s">
        <v>35</v>
      </c>
      <c r="E119" s="8"/>
      <c r="F119" s="8"/>
      <c r="G119" s="8"/>
      <c r="H119" s="35"/>
      <c r="I119" s="35"/>
      <c r="J119" s="35"/>
      <c r="K119" s="35"/>
    </row>
    <row r="120" spans="1:11" s="34" customFormat="1">
      <c r="A120" s="363">
        <v>41218.479166666664</v>
      </c>
      <c r="B120" s="363"/>
      <c r="C120" s="364"/>
      <c r="D120" s="364"/>
      <c r="E120" s="364"/>
      <c r="F120" s="364"/>
      <c r="G120" s="364"/>
      <c r="H120" s="364"/>
      <c r="I120" s="364"/>
      <c r="J120" s="364"/>
      <c r="K120" s="8"/>
    </row>
    <row r="130" s="1" customFormat="1"/>
    <row r="131" s="1" customFormat="1"/>
    <row r="132" s="1" customFormat="1"/>
    <row r="133" s="1" customFormat="1"/>
    <row r="134" s="1" customFormat="1"/>
    <row r="135" s="1" customFormat="1"/>
    <row r="136" s="1" customFormat="1"/>
    <row r="137" s="1" customFormat="1"/>
    <row r="138" s="1" customFormat="1"/>
    <row r="139" s="1" customFormat="1"/>
    <row r="140" s="1" customFormat="1"/>
    <row r="141" s="1" customFormat="1"/>
    <row r="142" s="1" customFormat="1"/>
    <row r="143" s="1" customFormat="1"/>
    <row r="148" s="1" customFormat="1"/>
    <row r="176" s="1" customFormat="1"/>
    <row r="177" s="1" customFormat="1"/>
    <row r="178" s="1" customFormat="1"/>
    <row r="179" s="1" customFormat="1"/>
  </sheetData>
  <mergeCells count="12">
    <mergeCell ref="I107:J107"/>
    <mergeCell ref="I109:J109"/>
    <mergeCell ref="I110:J110"/>
    <mergeCell ref="I115:J115"/>
    <mergeCell ref="A120:B120"/>
    <mergeCell ref="C120:J120"/>
    <mergeCell ref="I34:J34"/>
    <mergeCell ref="C1:H1"/>
    <mergeCell ref="C2:H2"/>
    <mergeCell ref="C3:H3"/>
    <mergeCell ref="H6:I6"/>
    <mergeCell ref="H7:I7"/>
  </mergeCells>
  <conditionalFormatting sqref="M11:M28">
    <cfRule type="expression" dxfId="97" priority="25678">
      <formula>ISTEXT(A11:A28)</formula>
    </cfRule>
  </conditionalFormatting>
  <printOptions horizontalCentered="1"/>
  <pageMargins left="0.19685039370078741" right="0.19685039370078741" top="0.39370078740157483" bottom="0.39370078740157483" header="0" footer="0"/>
  <pageSetup orientation="portrait" horizontalDpi="4294967292" verticalDpi="4294967292"/>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1100-000000000000}">
          <x14:formula1>
            <xm:f>Accounts!$A$4:$A$60</xm:f>
          </x14:formula1>
          <xm:sqref>K7</xm:sqref>
        </x14:dataValidation>
        <x14:dataValidation type="list" allowBlank="1" showInputMessage="1" showErrorMessage="1" xr:uid="{00000000-0002-0000-1100-000001000000}">
          <x14:formula1>
            <xm:f>'Constr. Wage Rate Calculations'!$A$19:$A$288</xm:f>
          </x14:formula1>
          <xm:sqref>B11:B33</xm:sqref>
        </x14:dataValidation>
        <x14:dataValidation type="list" allowBlank="1" showInputMessage="1" showErrorMessage="1" xr:uid="{00000000-0002-0000-1100-000002000000}">
          <x14:formula1>
            <xm:f>Personnel!$A:$A</xm:f>
          </x14:formula1>
          <xm:sqref>C11 C13:C33</xm:sqref>
        </x14:dataValidation>
        <x14:dataValidation type="list" allowBlank="1" showInputMessage="1" showErrorMessage="1" xr:uid="{00000000-0002-0000-1100-000004000000}">
          <x14:formula1>
            <xm:f>Equipment!$A:$A</xm:f>
          </x14:formula1>
          <xm:sqref>C37:C106</xm:sqref>
        </x14:dataValidation>
      </x14:dataValidations>
    </ext>
    <ext xmlns:mx="http://schemas.microsoft.com/office/mac/excel/2008/main" uri="{64002731-A6B0-56B0-2670-7721B7C09600}">
      <mx:PLV Mode="0" OnePage="0" WScale="0"/>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CCFFCC"/>
    <pageSetUpPr fitToPage="1"/>
  </sheetPr>
  <dimension ref="A1:O185"/>
  <sheetViews>
    <sheetView zoomScale="120" zoomScaleNormal="120" zoomScalePageLayoutView="120" workbookViewId="0">
      <selection activeCell="D7" sqref="D7"/>
    </sheetView>
  </sheetViews>
  <sheetFormatPr baseColWidth="10" defaultColWidth="8.83203125" defaultRowHeight="11"/>
  <cols>
    <col min="1" max="1" width="13" style="1" customWidth="1"/>
    <col min="2" max="2" width="30" style="1" customWidth="1"/>
    <col min="3" max="3" width="24.5" style="1" customWidth="1"/>
    <col min="4" max="4" width="8.6640625" style="2" customWidth="1"/>
    <col min="5" max="6" width="8.33203125" style="2" customWidth="1"/>
    <col min="7" max="8" width="8.6640625" style="2" customWidth="1"/>
    <col min="9" max="9" width="9.33203125" style="2" customWidth="1"/>
    <col min="10" max="10" width="8.6640625" style="2" customWidth="1"/>
    <col min="11" max="11" width="20.6640625" style="1" customWidth="1"/>
    <col min="12" max="12" width="3.5" style="1" hidden="1" customWidth="1"/>
    <col min="13" max="16384" width="8.83203125" style="1"/>
  </cols>
  <sheetData>
    <row r="1" spans="1:13" ht="15">
      <c r="C1" s="364"/>
      <c r="D1" s="365"/>
      <c r="E1" s="365"/>
      <c r="F1" s="365"/>
      <c r="G1" s="365"/>
      <c r="H1" s="366"/>
      <c r="J1" s="2" t="s">
        <v>0</v>
      </c>
      <c r="K1" s="197">
        <v>41659</v>
      </c>
      <c r="M1" s="45"/>
    </row>
    <row r="2" spans="1:13" ht="15">
      <c r="C2" s="367"/>
      <c r="D2" s="367"/>
      <c r="E2" s="367"/>
      <c r="F2" s="367"/>
      <c r="G2" s="367"/>
      <c r="H2" s="366"/>
      <c r="K2" s="41"/>
    </row>
    <row r="3" spans="1:13" ht="15">
      <c r="C3" s="368"/>
      <c r="D3" s="369"/>
      <c r="E3" s="369"/>
      <c r="F3" s="369"/>
      <c r="G3" s="369"/>
      <c r="H3" s="366"/>
    </row>
    <row r="4" spans="1:13">
      <c r="C4" s="3"/>
      <c r="D4" s="4"/>
      <c r="E4" s="4"/>
      <c r="F4" s="4"/>
      <c r="G4" s="4"/>
    </row>
    <row r="5" spans="1:13">
      <c r="C5" s="3"/>
      <c r="D5" s="4"/>
      <c r="E5" s="4"/>
      <c r="F5" s="4"/>
      <c r="G5" s="4"/>
    </row>
    <row r="6" spans="1:13" ht="12">
      <c r="B6" s="5"/>
      <c r="C6" s="6"/>
      <c r="D6" s="7"/>
      <c r="E6" s="8"/>
      <c r="F6" s="8"/>
      <c r="G6" s="1" t="s">
        <v>1</v>
      </c>
      <c r="H6" s="370">
        <v>18246</v>
      </c>
      <c r="I6" s="370"/>
      <c r="J6" s="1" t="s">
        <v>2</v>
      </c>
      <c r="K6" s="47"/>
    </row>
    <row r="7" spans="1:13" ht="12">
      <c r="A7" s="1" t="s">
        <v>3</v>
      </c>
      <c r="B7" s="9"/>
      <c r="C7" s="10"/>
      <c r="D7" s="11"/>
      <c r="E7" s="8"/>
      <c r="F7" s="8"/>
      <c r="G7" s="1" t="s">
        <v>4</v>
      </c>
      <c r="H7" s="371"/>
      <c r="I7" s="371"/>
      <c r="J7" s="1" t="s">
        <v>5</v>
      </c>
      <c r="K7" s="46"/>
    </row>
    <row r="8" spans="1:13" ht="12">
      <c r="B8" s="12"/>
      <c r="C8" s="13"/>
      <c r="D8" s="14"/>
      <c r="E8" s="8"/>
      <c r="F8" s="8"/>
      <c r="G8" s="1" t="s">
        <v>6</v>
      </c>
      <c r="H8" s="187"/>
      <c r="I8" s="188"/>
      <c r="J8" s="44"/>
    </row>
    <row r="9" spans="1:13" ht="16" thickBot="1">
      <c r="B9" s="15"/>
      <c r="C9" s="16"/>
      <c r="D9" s="16"/>
      <c r="E9" s="8"/>
      <c r="F9" s="8"/>
      <c r="G9" s="8"/>
    </row>
    <row r="10" spans="1:13" s="19" customFormat="1" ht="12" thickBot="1">
      <c r="A10" s="17" t="s">
        <v>7</v>
      </c>
      <c r="B10" s="17" t="s">
        <v>8</v>
      </c>
      <c r="C10" s="17" t="s">
        <v>9</v>
      </c>
      <c r="D10" s="18" t="s">
        <v>10</v>
      </c>
      <c r="E10" s="18" t="s">
        <v>11</v>
      </c>
      <c r="F10" s="18" t="s">
        <v>12</v>
      </c>
      <c r="G10" s="180" t="s">
        <v>13</v>
      </c>
      <c r="H10" s="18" t="s">
        <v>14</v>
      </c>
      <c r="I10" s="18" t="s">
        <v>15</v>
      </c>
      <c r="J10" s="18" t="s">
        <v>16</v>
      </c>
      <c r="K10" s="18" t="s">
        <v>17</v>
      </c>
      <c r="M10" s="19" t="s">
        <v>1797</v>
      </c>
    </row>
    <row r="11" spans="1:13" ht="15" customHeight="1">
      <c r="A11" s="48"/>
      <c r="B11" s="49">
        <f>VLOOKUP($C$11:$C$63,Personnel!$A$1:$B$1234,2,FALSE)</f>
        <v>0</v>
      </c>
      <c r="C11" s="36"/>
      <c r="D11" s="20"/>
      <c r="E11" s="179">
        <f>VLOOKUP($B$11:$B$63,'Constr. Wage Rate Calculations'!$A$19:$Z$288,22,FALSE)</f>
        <v>0</v>
      </c>
      <c r="F11" s="20"/>
      <c r="G11" s="179">
        <f>VLOOKUP($B$11:$B$63,'Constr. Wage Rate Calculations'!$A$19:$Z$288,23,FALSE)</f>
        <v>0</v>
      </c>
      <c r="H11" s="20"/>
      <c r="I11" s="179">
        <f>VLOOKUP($B$11:$B$63,'Constr. Wage Rate Calculations'!$A$19:$Z$288,24,FALSE)</f>
        <v>0</v>
      </c>
      <c r="J11" s="20">
        <f>VLOOKUP($B$11:$B$63,'Constr. Wage Rate Calculations'!$A$19:$Z$288,25,FALSE)</f>
        <v>0</v>
      </c>
      <c r="K11" s="179" t="str">
        <f>IF($D11&gt;=1,$J11+(D11*E11)+(F11*G11)+(H11*I11),IF($F11&gt;=1,$J11+(D11*E11)+(F11*G11)+(H11*I11),IF($H11&gt;=1,$J11+(D11*E11)+(F11*G11)+(H11*I11),"")))</f>
        <v/>
      </c>
    </row>
    <row r="12" spans="1:13" ht="15" customHeight="1">
      <c r="A12" s="48"/>
      <c r="B12" s="49" t="str">
        <f>VLOOKUP($C$11:$C$63,Personnel!$A$1:$B$1234,2,FALSE)</f>
        <v>GENERAL LABOURER</v>
      </c>
      <c r="C12" s="36" t="s">
        <v>3039</v>
      </c>
      <c r="D12" s="20">
        <v>8</v>
      </c>
      <c r="E12" s="179">
        <f>VLOOKUP($B$11:$B$63,'Constr. Wage Rate Calculations'!$A$19:$Z$288,22,FALSE)</f>
        <v>48.1</v>
      </c>
      <c r="F12" s="20">
        <v>2</v>
      </c>
      <c r="G12" s="179">
        <f>VLOOKUP($B$11:$B$63,'Constr. Wage Rate Calculations'!$A$19:$Z$288,23,FALSE)</f>
        <v>72.150000000000006</v>
      </c>
      <c r="H12" s="20"/>
      <c r="I12" s="179">
        <f>VLOOKUP($B$11:$B$63,'Constr. Wage Rate Calculations'!$A$19:$Z$288,24,FALSE)</f>
        <v>96.2</v>
      </c>
      <c r="J12" s="20">
        <f>VLOOKUP($B$11:$B$63,'Constr. Wage Rate Calculations'!$A$19:$Z$288,25,FALSE)</f>
        <v>85</v>
      </c>
      <c r="K12" s="179">
        <f t="shared" ref="K12:K61" si="0">IF($D12&gt;=1,$J12+(D12*E12)+(F12*G12)+(H12*I12),IF($F12&gt;=1,$J12+(D12*E12)+(F12*G12)+(H12*I12),IF($H12&gt;=1,$J12+(D12*E12)+(F12*G12)+(H12*I12),"")))</f>
        <v>614.1</v>
      </c>
    </row>
    <row r="13" spans="1:13" ht="15" customHeight="1">
      <c r="A13" s="48"/>
      <c r="B13" s="49" t="str">
        <f>VLOOKUP($C$11:$C$63,Personnel!$A$1:$B$1234,2,FALSE)</f>
        <v>WELDER HELPER</v>
      </c>
      <c r="C13" s="36" t="s">
        <v>1114</v>
      </c>
      <c r="D13" s="20">
        <v>8</v>
      </c>
      <c r="E13" s="179">
        <f>VLOOKUP($B$11:$B$63,'Constr. Wage Rate Calculations'!$A$19:$Z$288,22,FALSE)</f>
        <v>53.52</v>
      </c>
      <c r="F13" s="20">
        <v>2</v>
      </c>
      <c r="G13" s="179">
        <f>VLOOKUP($B$11:$B$63,'Constr. Wage Rate Calculations'!$A$19:$Z$288,23,FALSE)</f>
        <v>80.290000000000006</v>
      </c>
      <c r="H13" s="20"/>
      <c r="I13" s="179">
        <f>VLOOKUP($B$11:$B$63,'Constr. Wage Rate Calculations'!$A$19:$Z$288,24,FALSE)</f>
        <v>107.05</v>
      </c>
      <c r="J13" s="20">
        <f>VLOOKUP($B$11:$B$63,'Constr. Wage Rate Calculations'!$A$19:$Z$288,25,FALSE)</f>
        <v>85</v>
      </c>
      <c r="K13" s="179">
        <f t="shared" si="0"/>
        <v>673.74000000000012</v>
      </c>
    </row>
    <row r="14" spans="1:13" ht="15" customHeight="1">
      <c r="A14" s="48"/>
      <c r="B14" s="49" t="str">
        <f>VLOOKUP($C$11:$C$63,Personnel!$A$1:$B$1234,2,FALSE)</f>
        <v>WELDER HELPER</v>
      </c>
      <c r="C14" s="36" t="s">
        <v>4082</v>
      </c>
      <c r="D14" s="20">
        <v>8</v>
      </c>
      <c r="E14" s="179">
        <f>VLOOKUP($B$11:$B$63,'Constr. Wage Rate Calculations'!$A$19:$Z$288,22,FALSE)</f>
        <v>53.52</v>
      </c>
      <c r="F14" s="20">
        <v>2</v>
      </c>
      <c r="G14" s="179">
        <f>VLOOKUP($B$11:$B$63,'Constr. Wage Rate Calculations'!$A$19:$Z$288,23,FALSE)</f>
        <v>80.290000000000006</v>
      </c>
      <c r="H14" s="20"/>
      <c r="I14" s="179">
        <f>VLOOKUP($B$11:$B$63,'Constr. Wage Rate Calculations'!$A$19:$Z$288,24,FALSE)</f>
        <v>107.05</v>
      </c>
      <c r="J14" s="20">
        <f>VLOOKUP($B$11:$B$63,'Constr. Wage Rate Calculations'!$A$19:$Z$288,25,FALSE)</f>
        <v>85</v>
      </c>
      <c r="K14" s="179">
        <f t="shared" si="0"/>
        <v>673.74000000000012</v>
      </c>
    </row>
    <row r="15" spans="1:13" ht="15" customHeight="1">
      <c r="A15" s="48"/>
      <c r="B15" s="49" t="str">
        <f>VLOOKUP($C$11:$C$63,Personnel!$A$1:$B$1234,2,FALSE)</f>
        <v>WELDER HELPER</v>
      </c>
      <c r="C15" s="36" t="s">
        <v>3255</v>
      </c>
      <c r="D15" s="20">
        <v>8</v>
      </c>
      <c r="E15" s="179">
        <f>VLOOKUP($B$11:$B$63,'Constr. Wage Rate Calculations'!$A$19:$Z$288,22,FALSE)</f>
        <v>53.52</v>
      </c>
      <c r="F15" s="20">
        <v>2</v>
      </c>
      <c r="G15" s="179">
        <f>VLOOKUP($B$11:$B$63,'Constr. Wage Rate Calculations'!$A$19:$Z$288,23,FALSE)</f>
        <v>80.290000000000006</v>
      </c>
      <c r="H15" s="20"/>
      <c r="I15" s="179">
        <f>VLOOKUP($B$11:$B$63,'Constr. Wage Rate Calculations'!$A$19:$Z$288,24,FALSE)</f>
        <v>107.05</v>
      </c>
      <c r="J15" s="20">
        <f>VLOOKUP($B$11:$B$63,'Constr. Wage Rate Calculations'!$A$19:$Z$288,25,FALSE)</f>
        <v>85</v>
      </c>
      <c r="K15" s="179">
        <f t="shared" si="0"/>
        <v>673.74000000000012</v>
      </c>
    </row>
    <row r="16" spans="1:13" ht="15" customHeight="1">
      <c r="A16" s="48"/>
      <c r="B16" s="49" t="str">
        <f>VLOOKUP($C$11:$C$63,Personnel!$A$1:$B$1234,2,FALSE)</f>
        <v>FRONT-END/TIE-IN WELDER  ON AUTO WELD SPREAD (QI APPLIES)</v>
      </c>
      <c r="C16" s="36" t="s">
        <v>2682</v>
      </c>
      <c r="D16" s="20">
        <v>8</v>
      </c>
      <c r="E16" s="179">
        <f>VLOOKUP($B$11:$B$63,'Constr. Wage Rate Calculations'!$A$19:$Z$288,22,FALSE)</f>
        <v>83.42</v>
      </c>
      <c r="F16" s="20">
        <v>2</v>
      </c>
      <c r="G16" s="179">
        <f>VLOOKUP($B$11:$B$63,'Constr. Wage Rate Calculations'!$A$19:$Z$288,23,FALSE)</f>
        <v>125.12</v>
      </c>
      <c r="H16" s="20"/>
      <c r="I16" s="179">
        <f>VLOOKUP($B$11:$B$63,'Constr. Wage Rate Calculations'!$A$19:$Z$288,24,FALSE)</f>
        <v>166.83</v>
      </c>
      <c r="J16" s="20">
        <f>VLOOKUP($B$11:$B$63,'Constr. Wage Rate Calculations'!$A$19:$Z$288,25,FALSE)</f>
        <v>85</v>
      </c>
      <c r="K16" s="179">
        <f t="shared" si="0"/>
        <v>1002.6</v>
      </c>
    </row>
    <row r="17" spans="1:13" ht="15" customHeight="1">
      <c r="A17" s="48"/>
      <c r="B17" s="49" t="str">
        <f>VLOOKUP($C$11:$C$63,Personnel!$A$1:$B$1234,2,FALSE)</f>
        <v>WELDER HELPER</v>
      </c>
      <c r="C17" s="36" t="s">
        <v>4216</v>
      </c>
      <c r="D17" s="20">
        <v>8</v>
      </c>
      <c r="E17" s="179">
        <f>VLOOKUP($B$11:$B$63,'Constr. Wage Rate Calculations'!$A$19:$Z$288,22,FALSE)</f>
        <v>53.52</v>
      </c>
      <c r="F17" s="20">
        <v>2</v>
      </c>
      <c r="G17" s="179">
        <f>VLOOKUP($B$11:$B$63,'Constr. Wage Rate Calculations'!$A$19:$Z$288,23,FALSE)</f>
        <v>80.290000000000006</v>
      </c>
      <c r="H17" s="20"/>
      <c r="I17" s="179">
        <f>VLOOKUP($B$11:$B$63,'Constr. Wage Rate Calculations'!$A$19:$Z$288,24,FALSE)</f>
        <v>107.05</v>
      </c>
      <c r="J17" s="20">
        <f>VLOOKUP($B$11:$B$63,'Constr. Wage Rate Calculations'!$A$19:$Z$288,25,FALSE)</f>
        <v>85</v>
      </c>
      <c r="K17" s="179">
        <f t="shared" si="0"/>
        <v>673.74000000000012</v>
      </c>
    </row>
    <row r="18" spans="1:13" ht="15" customHeight="1">
      <c r="A18" s="48"/>
      <c r="B18" s="49" t="str">
        <f>VLOOKUP($C$11:$C$63,Personnel!$A$1:$B$1234,2,FALSE)</f>
        <v>FRONT-END/TIE-IN WELDER  ON STICK WELD SPREAD (QI APPLIES)</v>
      </c>
      <c r="C18" s="36" t="s">
        <v>3162</v>
      </c>
      <c r="D18" s="20">
        <v>8</v>
      </c>
      <c r="E18" s="179">
        <f>VLOOKUP($B$11:$B$63,'Constr. Wage Rate Calculations'!$A$19:$Z$288,22,FALSE)</f>
        <v>82.2</v>
      </c>
      <c r="F18" s="20">
        <v>2</v>
      </c>
      <c r="G18" s="179">
        <f>VLOOKUP($B$11:$B$63,'Constr. Wage Rate Calculations'!$A$19:$Z$288,23,FALSE)</f>
        <v>123.3</v>
      </c>
      <c r="H18" s="20"/>
      <c r="I18" s="179">
        <f>VLOOKUP($B$11:$B$63,'Constr. Wage Rate Calculations'!$A$19:$Z$288,24,FALSE)</f>
        <v>164.4</v>
      </c>
      <c r="J18" s="20">
        <f>VLOOKUP($B$11:$B$63,'Constr. Wage Rate Calculations'!$A$19:$Z$288,25,FALSE)</f>
        <v>85</v>
      </c>
      <c r="K18" s="179">
        <f t="shared" si="0"/>
        <v>989.2</v>
      </c>
    </row>
    <row r="19" spans="1:13" ht="15" customHeight="1">
      <c r="A19" s="48"/>
      <c r="B19" s="49" t="str">
        <f>VLOOKUP($C$11:$C$63,Personnel!$A$1:$B$1234,2,FALSE)</f>
        <v>WELDER HELPER</v>
      </c>
      <c r="C19" s="36" t="s">
        <v>1132</v>
      </c>
      <c r="D19" s="20">
        <v>8</v>
      </c>
      <c r="E19" s="179">
        <f>VLOOKUP($B$11:$B$63,'Constr. Wage Rate Calculations'!$A$19:$Z$288,22,FALSE)</f>
        <v>53.52</v>
      </c>
      <c r="F19" s="20">
        <v>2</v>
      </c>
      <c r="G19" s="179">
        <f>VLOOKUP($B$11:$B$63,'Constr. Wage Rate Calculations'!$A$19:$Z$288,23,FALSE)</f>
        <v>80.290000000000006</v>
      </c>
      <c r="H19" s="20"/>
      <c r="I19" s="179">
        <f>VLOOKUP($B$11:$B$63,'Constr. Wage Rate Calculations'!$A$19:$Z$288,24,FALSE)</f>
        <v>107.05</v>
      </c>
      <c r="J19" s="20">
        <f>VLOOKUP($B$11:$B$63,'Constr. Wage Rate Calculations'!$A$19:$Z$288,25,FALSE)</f>
        <v>85</v>
      </c>
      <c r="K19" s="179">
        <f t="shared" si="0"/>
        <v>673.74000000000012</v>
      </c>
    </row>
    <row r="20" spans="1:13" ht="15" customHeight="1">
      <c r="A20" s="48"/>
      <c r="B20" s="49" t="str">
        <f>VLOOKUP($C$11:$C$63,Personnel!$A$1:$B$1234,2,FALSE)</f>
        <v>WELDER HELPER</v>
      </c>
      <c r="C20" s="36" t="s">
        <v>2793</v>
      </c>
      <c r="D20" s="20"/>
      <c r="E20" s="179">
        <f>VLOOKUP($B$11:$B$63,'Constr. Wage Rate Calculations'!$A$19:$Z$288,22,FALSE)</f>
        <v>53.52</v>
      </c>
      <c r="F20" s="20"/>
      <c r="G20" s="179">
        <f>VLOOKUP($B$11:$B$63,'Constr. Wage Rate Calculations'!$A$19:$Z$288,23,FALSE)</f>
        <v>80.290000000000006</v>
      </c>
      <c r="H20" s="20"/>
      <c r="I20" s="179">
        <f>VLOOKUP($B$11:$B$63,'Constr. Wage Rate Calculations'!$A$19:$Z$288,24,FALSE)</f>
        <v>107.05</v>
      </c>
      <c r="J20" s="20">
        <f>VLOOKUP($B$11:$B$63,'Constr. Wage Rate Calculations'!$A$19:$Z$288,25,FALSE)</f>
        <v>85</v>
      </c>
      <c r="K20" s="179">
        <v>85</v>
      </c>
    </row>
    <row r="21" spans="1:13" ht="15" customHeight="1">
      <c r="A21" s="48"/>
      <c r="B21" s="49" t="str">
        <f>VLOOKUP($C$11:$C$63,Personnel!$A$1:$B$1234,2,FALSE)</f>
        <v>WELDER HELPER</v>
      </c>
      <c r="C21" s="36" t="s">
        <v>2782</v>
      </c>
      <c r="D21" s="20">
        <v>8</v>
      </c>
      <c r="E21" s="179">
        <f>VLOOKUP($B$11:$B$63,'Constr. Wage Rate Calculations'!$A$19:$Z$288,22,FALSE)</f>
        <v>53.52</v>
      </c>
      <c r="F21" s="20">
        <v>2</v>
      </c>
      <c r="G21" s="179">
        <f>VLOOKUP($B$11:$B$63,'Constr. Wage Rate Calculations'!$A$19:$Z$288,23,FALSE)</f>
        <v>80.290000000000006</v>
      </c>
      <c r="H21" s="20"/>
      <c r="I21" s="179">
        <f>VLOOKUP($B$11:$B$63,'Constr. Wage Rate Calculations'!$A$19:$Z$288,24,FALSE)</f>
        <v>107.05</v>
      </c>
      <c r="J21" s="20">
        <f>VLOOKUP($B$11:$B$63,'Constr. Wage Rate Calculations'!$A$19:$Z$288,25,FALSE)</f>
        <v>85</v>
      </c>
      <c r="K21" s="179">
        <f t="shared" si="0"/>
        <v>673.74000000000012</v>
      </c>
    </row>
    <row r="22" spans="1:13" ht="15" customHeight="1">
      <c r="A22" s="48"/>
      <c r="B22" s="49" t="str">
        <f>VLOOKUP($C$11:$C$63,Personnel!$A$1:$B$1234,2,FALSE)</f>
        <v>WELDER HELPER</v>
      </c>
      <c r="C22" s="36" t="s">
        <v>4132</v>
      </c>
      <c r="D22" s="20">
        <v>8</v>
      </c>
      <c r="E22" s="179">
        <f>VLOOKUP($B$11:$B$63,'Constr. Wage Rate Calculations'!$A$19:$Z$288,22,FALSE)</f>
        <v>53.52</v>
      </c>
      <c r="F22" s="20">
        <v>2</v>
      </c>
      <c r="G22" s="179">
        <f>VLOOKUP($B$11:$B$63,'Constr. Wage Rate Calculations'!$A$19:$Z$288,23,FALSE)</f>
        <v>80.290000000000006</v>
      </c>
      <c r="H22" s="20"/>
      <c r="I22" s="179">
        <f>VLOOKUP($B$11:$B$63,'Constr. Wage Rate Calculations'!$A$19:$Z$288,24,FALSE)</f>
        <v>107.05</v>
      </c>
      <c r="J22" s="20">
        <f>VLOOKUP($B$11:$B$63,'Constr. Wage Rate Calculations'!$A$19:$Z$288,25,FALSE)</f>
        <v>85</v>
      </c>
      <c r="K22" s="179">
        <f t="shared" si="0"/>
        <v>673.74000000000012</v>
      </c>
    </row>
    <row r="23" spans="1:13" ht="15" customHeight="1">
      <c r="A23" s="48"/>
      <c r="B23" s="49" t="str">
        <f>VLOOKUP($C$11:$C$63,Personnel!$A$1:$B$1234,2,FALSE)</f>
        <v>FRONT-END/TIE-IN WELDER  ON AUTO WELD SPREAD (QI APPLIES)</v>
      </c>
      <c r="C23" s="36" t="s">
        <v>2623</v>
      </c>
      <c r="D23" s="20">
        <v>8</v>
      </c>
      <c r="E23" s="179">
        <f>VLOOKUP($B$11:$B$63,'Constr. Wage Rate Calculations'!$A$19:$Z$288,22,FALSE)</f>
        <v>83.42</v>
      </c>
      <c r="F23" s="20">
        <v>2</v>
      </c>
      <c r="G23" s="179">
        <f>VLOOKUP($B$11:$B$63,'Constr. Wage Rate Calculations'!$A$19:$Z$288,23,FALSE)</f>
        <v>125.12</v>
      </c>
      <c r="H23" s="20"/>
      <c r="I23" s="179">
        <f>VLOOKUP($B$11:$B$63,'Constr. Wage Rate Calculations'!$A$19:$Z$288,24,FALSE)</f>
        <v>166.83</v>
      </c>
      <c r="J23" s="20">
        <f>VLOOKUP($B$11:$B$63,'Constr. Wage Rate Calculations'!$A$19:$Z$288,25,FALSE)</f>
        <v>85</v>
      </c>
      <c r="K23" s="179">
        <f t="shared" si="0"/>
        <v>1002.6</v>
      </c>
    </row>
    <row r="24" spans="1:13" ht="15" customHeight="1">
      <c r="A24" s="48"/>
      <c r="B24" s="49" t="str">
        <f>VLOOKUP($C$11:$C$63,Personnel!$A$1:$B$1234,2,FALSE)</f>
        <v>WELDER HELPER</v>
      </c>
      <c r="C24" s="36" t="s">
        <v>4188</v>
      </c>
      <c r="D24" s="20">
        <v>8</v>
      </c>
      <c r="E24" s="179">
        <f>VLOOKUP($B$11:$B$63,'Constr. Wage Rate Calculations'!$A$19:$Z$288,22,FALSE)</f>
        <v>53.52</v>
      </c>
      <c r="F24" s="20">
        <v>2</v>
      </c>
      <c r="G24" s="179">
        <f>VLOOKUP($B$11:$B$63,'Constr. Wage Rate Calculations'!$A$19:$Z$288,23,FALSE)</f>
        <v>80.290000000000006</v>
      </c>
      <c r="H24" s="20"/>
      <c r="I24" s="179">
        <f>VLOOKUP($B$11:$B$63,'Constr. Wage Rate Calculations'!$A$19:$Z$288,24,FALSE)</f>
        <v>107.05</v>
      </c>
      <c r="J24" s="20">
        <f>VLOOKUP($B$11:$B$63,'Constr. Wage Rate Calculations'!$A$19:$Z$288,25,FALSE)</f>
        <v>85</v>
      </c>
      <c r="K24" s="179">
        <f t="shared" si="0"/>
        <v>673.74000000000012</v>
      </c>
    </row>
    <row r="25" spans="1:13" ht="15" customHeight="1">
      <c r="A25" s="48"/>
      <c r="B25" s="49" t="str">
        <f>VLOOKUP($C$11:$C$63,Personnel!$A$1:$B$1234,2,FALSE)</f>
        <v>WELDER HELPER</v>
      </c>
      <c r="C25" s="36" t="s">
        <v>4044</v>
      </c>
      <c r="D25" s="20">
        <v>8</v>
      </c>
      <c r="E25" s="179">
        <f>VLOOKUP($B$11:$B$63,'Constr. Wage Rate Calculations'!$A$19:$Z$288,22,FALSE)</f>
        <v>53.52</v>
      </c>
      <c r="F25" s="20">
        <v>2</v>
      </c>
      <c r="G25" s="179">
        <f>VLOOKUP($B$11:$B$63,'Constr. Wage Rate Calculations'!$A$19:$Z$288,23,FALSE)</f>
        <v>80.290000000000006</v>
      </c>
      <c r="H25" s="20"/>
      <c r="I25" s="179">
        <f>VLOOKUP($B$11:$B$63,'Constr. Wage Rate Calculations'!$A$19:$Z$288,24,FALSE)</f>
        <v>107.05</v>
      </c>
      <c r="J25" s="20">
        <f>VLOOKUP($B$11:$B$63,'Constr. Wage Rate Calculations'!$A$19:$Z$288,25,FALSE)</f>
        <v>85</v>
      </c>
      <c r="K25" s="179">
        <f t="shared" si="0"/>
        <v>673.74000000000012</v>
      </c>
    </row>
    <row r="26" spans="1:13" ht="15" customHeight="1">
      <c r="A26" s="48"/>
      <c r="B26" s="49" t="str">
        <f>VLOOKUP($C$11:$C$63,Personnel!$A$1:$B$1234,2,FALSE)</f>
        <v>FRONT-END/TIE-IN WELDER  ON AUTO WELD SPREAD (QI APPLIES)</v>
      </c>
      <c r="C26" s="36" t="s">
        <v>3030</v>
      </c>
      <c r="D26" s="20">
        <v>8</v>
      </c>
      <c r="E26" s="179">
        <f>VLOOKUP($B$11:$B$63,'Constr. Wage Rate Calculations'!$A$19:$Z$288,22,FALSE)</f>
        <v>83.42</v>
      </c>
      <c r="F26" s="20">
        <v>4</v>
      </c>
      <c r="G26" s="179">
        <f>VLOOKUP($B$11:$B$63,'Constr. Wage Rate Calculations'!$A$19:$Z$288,23,FALSE)</f>
        <v>125.12</v>
      </c>
      <c r="H26" s="20"/>
      <c r="I26" s="179">
        <f>VLOOKUP($B$11:$B$63,'Constr. Wage Rate Calculations'!$A$19:$Z$288,24,FALSE)</f>
        <v>166.83</v>
      </c>
      <c r="J26" s="20">
        <f>VLOOKUP($B$11:$B$63,'Constr. Wage Rate Calculations'!$A$19:$Z$288,25,FALSE)</f>
        <v>85</v>
      </c>
      <c r="K26" s="179">
        <f t="shared" si="0"/>
        <v>1252.8400000000001</v>
      </c>
      <c r="M26" s="1">
        <v>2</v>
      </c>
    </row>
    <row r="27" spans="1:13" ht="15" customHeight="1">
      <c r="A27" s="48"/>
      <c r="B27" s="49" t="str">
        <f>VLOOKUP($C$11:$C$63,Personnel!$A$1:$B$1234,2,FALSE)</f>
        <v>FRONT-END/TIE-IN WELDER  ON AUTO WELD SPREAD (QI APPLIES)</v>
      </c>
      <c r="C27" s="36" t="s">
        <v>1073</v>
      </c>
      <c r="D27" s="20">
        <v>8</v>
      </c>
      <c r="E27" s="179">
        <f>VLOOKUP($B$11:$B$63,'Constr. Wage Rate Calculations'!$A$19:$Z$288,22,FALSE)</f>
        <v>83.42</v>
      </c>
      <c r="F27" s="20">
        <v>2</v>
      </c>
      <c r="G27" s="179">
        <f>VLOOKUP($B$11:$B$63,'Constr. Wage Rate Calculations'!$A$19:$Z$288,23,FALSE)</f>
        <v>125.12</v>
      </c>
      <c r="H27" s="20"/>
      <c r="I27" s="179">
        <f>VLOOKUP($B$11:$B$63,'Constr. Wage Rate Calculations'!$A$19:$Z$288,24,FALSE)</f>
        <v>166.83</v>
      </c>
      <c r="J27" s="20">
        <f>VLOOKUP($B$11:$B$63,'Constr. Wage Rate Calculations'!$A$19:$Z$288,25,FALSE)</f>
        <v>85</v>
      </c>
      <c r="K27" s="179">
        <f t="shared" si="0"/>
        <v>1002.6</v>
      </c>
    </row>
    <row r="28" spans="1:13" ht="15" customHeight="1">
      <c r="A28" s="48"/>
      <c r="B28" s="49" t="str">
        <f>VLOOKUP($C$11:$C$63,Personnel!$A$1:$B$1234,2,FALSE)</f>
        <v>PRINCIPAL OPER 2</v>
      </c>
      <c r="C28" s="36" t="s">
        <v>4133</v>
      </c>
      <c r="D28" s="20">
        <v>8</v>
      </c>
      <c r="E28" s="179">
        <f>VLOOKUP($B$11:$B$63,'Constr. Wage Rate Calculations'!$A$19:$Z$288,22,FALSE)</f>
        <v>62.77</v>
      </c>
      <c r="F28" s="20">
        <v>4</v>
      </c>
      <c r="G28" s="179">
        <f>VLOOKUP($B$11:$B$63,'Constr. Wage Rate Calculations'!$A$19:$Z$288,23,FALSE)</f>
        <v>94.15</v>
      </c>
      <c r="H28" s="20"/>
      <c r="I28" s="179">
        <f>VLOOKUP($B$11:$B$63,'Constr. Wage Rate Calculations'!$A$19:$Z$288,24,FALSE)</f>
        <v>125.54</v>
      </c>
      <c r="J28" s="20">
        <f>VLOOKUP($B$11:$B$63,'Constr. Wage Rate Calculations'!$A$19:$Z$288,25,FALSE)</f>
        <v>85</v>
      </c>
      <c r="K28" s="179">
        <f t="shared" si="0"/>
        <v>963.7600000000001</v>
      </c>
      <c r="L28" s="190"/>
      <c r="M28" s="1">
        <v>2</v>
      </c>
    </row>
    <row r="29" spans="1:13" ht="15" customHeight="1">
      <c r="A29" s="48"/>
      <c r="B29" s="49" t="str">
        <f>VLOOKUP($C$11:$C$63,Personnel!$A$1:$B$1234,2,FALSE)</f>
        <v>FRONT-END/TIE-IN WELDER  ON STICK WELD SPREAD (QI APPLIES)</v>
      </c>
      <c r="C29" s="36" t="s">
        <v>1167</v>
      </c>
      <c r="D29" s="20">
        <v>8</v>
      </c>
      <c r="E29" s="179">
        <f>VLOOKUP($B$11:$B$63,'Constr. Wage Rate Calculations'!$A$19:$Z$288,22,FALSE)</f>
        <v>82.2</v>
      </c>
      <c r="F29" s="20">
        <v>4</v>
      </c>
      <c r="G29" s="179">
        <f>VLOOKUP($B$11:$B$63,'Constr. Wage Rate Calculations'!$A$19:$Z$288,23,FALSE)</f>
        <v>123.3</v>
      </c>
      <c r="H29" s="20"/>
      <c r="I29" s="179">
        <f>VLOOKUP($B$11:$B$63,'Constr. Wage Rate Calculations'!$A$19:$Z$288,24,FALSE)</f>
        <v>164.4</v>
      </c>
      <c r="J29" s="20">
        <f>VLOOKUP($B$11:$B$63,'Constr. Wage Rate Calculations'!$A$19:$Z$288,25,FALSE)</f>
        <v>85</v>
      </c>
      <c r="K29" s="179">
        <f t="shared" si="0"/>
        <v>1235.8</v>
      </c>
      <c r="L29" s="190"/>
      <c r="M29" s="1">
        <v>2</v>
      </c>
    </row>
    <row r="30" spans="1:13" ht="15" customHeight="1">
      <c r="A30" s="48"/>
      <c r="B30" s="49" t="str">
        <f>VLOOKUP($C$11:$C$63,Personnel!$A$1:$B$1234,2,FALSE)</f>
        <v>WELDER HELPER</v>
      </c>
      <c r="C30" s="36" t="s">
        <v>1409</v>
      </c>
      <c r="D30" s="20">
        <v>8</v>
      </c>
      <c r="E30" s="179">
        <f>VLOOKUP($B$11:$B$63,'Constr. Wage Rate Calculations'!$A$19:$Z$288,22,FALSE)</f>
        <v>53.52</v>
      </c>
      <c r="F30" s="20">
        <v>2</v>
      </c>
      <c r="G30" s="179">
        <f>VLOOKUP($B$11:$B$63,'Constr. Wage Rate Calculations'!$A$19:$Z$288,23,FALSE)</f>
        <v>80.290000000000006</v>
      </c>
      <c r="H30" s="20"/>
      <c r="I30" s="179">
        <f>VLOOKUP($B$11:$B$63,'Constr. Wage Rate Calculations'!$A$19:$Z$288,24,FALSE)</f>
        <v>107.05</v>
      </c>
      <c r="J30" s="20">
        <f>VLOOKUP($B$11:$B$63,'Constr. Wage Rate Calculations'!$A$19:$Z$288,25,FALSE)</f>
        <v>85</v>
      </c>
      <c r="K30" s="179">
        <f t="shared" si="0"/>
        <v>673.74000000000012</v>
      </c>
    </row>
    <row r="31" spans="1:13" ht="15" customHeight="1">
      <c r="A31" s="48"/>
      <c r="B31" s="49" t="str">
        <f>VLOOKUP($C$11:$C$63,Personnel!$A$1:$B$1234,2,FALSE)</f>
        <v>WELDER HELPER</v>
      </c>
      <c r="C31" s="36" t="s">
        <v>2841</v>
      </c>
      <c r="D31" s="20">
        <v>8</v>
      </c>
      <c r="E31" s="179">
        <f>VLOOKUP($B$11:$B$63,'Constr. Wage Rate Calculations'!$A$19:$Z$288,22,FALSE)</f>
        <v>53.52</v>
      </c>
      <c r="F31" s="20">
        <v>2</v>
      </c>
      <c r="G31" s="179">
        <f>VLOOKUP($B$11:$B$63,'Constr. Wage Rate Calculations'!$A$19:$Z$288,23,FALSE)</f>
        <v>80.290000000000006</v>
      </c>
      <c r="H31" s="20"/>
      <c r="I31" s="179">
        <f>VLOOKUP($B$11:$B$63,'Constr. Wage Rate Calculations'!$A$19:$Z$288,24,FALSE)</f>
        <v>107.05</v>
      </c>
      <c r="J31" s="20">
        <f>VLOOKUP($B$11:$B$63,'Constr. Wage Rate Calculations'!$A$19:$Z$288,25,FALSE)</f>
        <v>85</v>
      </c>
      <c r="K31" s="179">
        <f t="shared" si="0"/>
        <v>673.74000000000012</v>
      </c>
    </row>
    <row r="32" spans="1:13" ht="15" customHeight="1">
      <c r="A32" s="48"/>
      <c r="B32" s="49" t="str">
        <f>VLOOKUP($C$11:$C$63,Personnel!$A$1:$B$1234,2,FALSE)</f>
        <v>FRONT-END/TIE-IN WELDER  ON AUTO WELD SPREAD (QI APPLIES)</v>
      </c>
      <c r="C32" s="36" t="s">
        <v>2683</v>
      </c>
      <c r="D32" s="20">
        <v>8</v>
      </c>
      <c r="E32" s="179">
        <f>VLOOKUP($B$11:$B$63,'Constr. Wage Rate Calculations'!$A$19:$Z$288,22,FALSE)</f>
        <v>83.42</v>
      </c>
      <c r="F32" s="20">
        <v>2</v>
      </c>
      <c r="G32" s="179">
        <f>VLOOKUP($B$11:$B$63,'Constr. Wage Rate Calculations'!$A$19:$Z$288,23,FALSE)</f>
        <v>125.12</v>
      </c>
      <c r="H32" s="20"/>
      <c r="I32" s="179">
        <f>VLOOKUP($B$11:$B$63,'Constr. Wage Rate Calculations'!$A$19:$Z$288,24,FALSE)</f>
        <v>166.83</v>
      </c>
      <c r="J32" s="20">
        <f>VLOOKUP($B$11:$B$63,'Constr. Wage Rate Calculations'!$A$19:$Z$288,25,FALSE)</f>
        <v>85</v>
      </c>
      <c r="K32" s="179">
        <f t="shared" si="0"/>
        <v>1002.6</v>
      </c>
    </row>
    <row r="33" spans="1:13" ht="15" customHeight="1">
      <c r="A33" s="48"/>
      <c r="B33" s="49" t="str">
        <f>VLOOKUP($C$11:$C$63,Personnel!$A$1:$B$1234,2,FALSE)</f>
        <v>WELDER HELPER</v>
      </c>
      <c r="C33" s="36" t="s">
        <v>1226</v>
      </c>
      <c r="D33" s="20">
        <v>8</v>
      </c>
      <c r="E33" s="179">
        <f>VLOOKUP($B$11:$B$63,'Constr. Wage Rate Calculations'!$A$19:$Z$288,22,FALSE)</f>
        <v>53.52</v>
      </c>
      <c r="F33" s="20">
        <v>4</v>
      </c>
      <c r="G33" s="179">
        <f>VLOOKUP($B$11:$B$63,'Constr. Wage Rate Calculations'!$A$19:$Z$288,23,FALSE)</f>
        <v>80.290000000000006</v>
      </c>
      <c r="H33" s="20"/>
      <c r="I33" s="179">
        <f>VLOOKUP($B$11:$B$63,'Constr. Wage Rate Calculations'!$A$19:$Z$288,24,FALSE)</f>
        <v>107.05</v>
      </c>
      <c r="J33" s="20">
        <f>VLOOKUP($B$11:$B$63,'Constr. Wage Rate Calculations'!$A$19:$Z$288,25,FALSE)</f>
        <v>85</v>
      </c>
      <c r="K33" s="179">
        <f t="shared" si="0"/>
        <v>834.32000000000016</v>
      </c>
      <c r="M33" s="1">
        <v>2</v>
      </c>
    </row>
    <row r="34" spans="1:13" ht="15" customHeight="1">
      <c r="A34" s="48"/>
      <c r="B34" s="49" t="str">
        <f>VLOOKUP($C$11:$C$63,Personnel!$A$1:$B$1234,2,FALSE)</f>
        <v>FRONT-END/TIE-IN WELDER  ON AUTO WELD SPREAD (QI APPLIES)</v>
      </c>
      <c r="C34" s="36" t="s">
        <v>2684</v>
      </c>
      <c r="D34" s="20">
        <v>8</v>
      </c>
      <c r="E34" s="179">
        <f>VLOOKUP($B$11:$B$63,'Constr. Wage Rate Calculations'!$A$19:$Z$288,22,FALSE)</f>
        <v>83.42</v>
      </c>
      <c r="F34" s="20">
        <v>2</v>
      </c>
      <c r="G34" s="179">
        <f>VLOOKUP($B$11:$B$63,'Constr. Wage Rate Calculations'!$A$19:$Z$288,23,FALSE)</f>
        <v>125.12</v>
      </c>
      <c r="H34" s="20"/>
      <c r="I34" s="179">
        <f>VLOOKUP($B$11:$B$63,'Constr. Wage Rate Calculations'!$A$19:$Z$288,24,FALSE)</f>
        <v>166.83</v>
      </c>
      <c r="J34" s="20">
        <f>VLOOKUP($B$11:$B$63,'Constr. Wage Rate Calculations'!$A$19:$Z$288,25,FALSE)</f>
        <v>85</v>
      </c>
      <c r="K34" s="179">
        <f t="shared" si="0"/>
        <v>1002.6</v>
      </c>
    </row>
    <row r="35" spans="1:13" ht="15" customHeight="1">
      <c r="A35" s="48"/>
      <c r="B35" s="49" t="str">
        <f>VLOOKUP($C$11:$C$63,Personnel!$A$1:$B$1234,2,FALSE)</f>
        <v>WELDER HELPER</v>
      </c>
      <c r="C35" s="36" t="s">
        <v>2843</v>
      </c>
      <c r="D35" s="20">
        <v>8</v>
      </c>
      <c r="E35" s="179">
        <f>VLOOKUP($B$11:$B$63,'Constr. Wage Rate Calculations'!$A$19:$Z$288,22,FALSE)</f>
        <v>53.52</v>
      </c>
      <c r="F35" s="20">
        <v>2</v>
      </c>
      <c r="G35" s="179">
        <f>VLOOKUP($B$11:$B$63,'Constr. Wage Rate Calculations'!$A$19:$Z$288,23,FALSE)</f>
        <v>80.290000000000006</v>
      </c>
      <c r="H35" s="20"/>
      <c r="I35" s="179">
        <f>VLOOKUP($B$11:$B$63,'Constr. Wage Rate Calculations'!$A$19:$Z$288,24,FALSE)</f>
        <v>107.05</v>
      </c>
      <c r="J35" s="20">
        <f>VLOOKUP($B$11:$B$63,'Constr. Wage Rate Calculations'!$A$19:$Z$288,25,FALSE)</f>
        <v>85</v>
      </c>
      <c r="K35" s="179">
        <f t="shared" si="0"/>
        <v>673.74000000000012</v>
      </c>
    </row>
    <row r="36" spans="1:13" ht="15" customHeight="1">
      <c r="A36" s="48"/>
      <c r="B36" s="49" t="str">
        <f>VLOOKUP($C$11:$C$63,Personnel!$A$1:$B$1234,2,FALSE)</f>
        <v>WELDER HELPER</v>
      </c>
      <c r="C36" s="36" t="s">
        <v>4217</v>
      </c>
      <c r="D36" s="20">
        <v>8</v>
      </c>
      <c r="E36" s="179">
        <f>VLOOKUP($B$11:$B$63,'Constr. Wage Rate Calculations'!$A$19:$Z$288,22,FALSE)</f>
        <v>53.52</v>
      </c>
      <c r="F36" s="20">
        <v>2</v>
      </c>
      <c r="G36" s="179">
        <f>VLOOKUP($B$11:$B$63,'Constr. Wage Rate Calculations'!$A$19:$Z$288,23,FALSE)</f>
        <v>80.290000000000006</v>
      </c>
      <c r="H36" s="20"/>
      <c r="I36" s="179">
        <f>VLOOKUP($B$11:$B$63,'Constr. Wage Rate Calculations'!$A$19:$Z$288,24,FALSE)</f>
        <v>107.05</v>
      </c>
      <c r="J36" s="20">
        <f>VLOOKUP($B$11:$B$63,'Constr. Wage Rate Calculations'!$A$19:$Z$288,25,FALSE)</f>
        <v>85</v>
      </c>
      <c r="K36" s="179">
        <f t="shared" si="0"/>
        <v>673.74000000000012</v>
      </c>
    </row>
    <row r="37" spans="1:13" ht="15" customHeight="1">
      <c r="A37" s="48"/>
      <c r="B37" s="49" t="str">
        <f>VLOOKUP($C$11:$C$63,Personnel!$A$1:$B$1234,2,FALSE)</f>
        <v>FRONT-END/TIE-IN WELDER  ON AUTO WELD SPREAD (QI APPLIES)</v>
      </c>
      <c r="C37" s="36" t="s">
        <v>2685</v>
      </c>
      <c r="D37" s="20">
        <v>8</v>
      </c>
      <c r="E37" s="179">
        <f>VLOOKUP($B$11:$B$63,'Constr. Wage Rate Calculations'!$A$19:$Z$288,22,FALSE)</f>
        <v>83.42</v>
      </c>
      <c r="F37" s="20">
        <v>2</v>
      </c>
      <c r="G37" s="179">
        <f>VLOOKUP($B$11:$B$63,'Constr. Wage Rate Calculations'!$A$19:$Z$288,23,FALSE)</f>
        <v>125.12</v>
      </c>
      <c r="H37" s="20"/>
      <c r="I37" s="179">
        <f>VLOOKUP($B$11:$B$63,'Constr. Wage Rate Calculations'!$A$19:$Z$288,24,FALSE)</f>
        <v>166.83</v>
      </c>
      <c r="J37" s="20">
        <f>VLOOKUP($B$11:$B$63,'Constr. Wage Rate Calculations'!$A$19:$Z$288,25,FALSE)</f>
        <v>85</v>
      </c>
      <c r="K37" s="179">
        <f t="shared" si="0"/>
        <v>1002.6</v>
      </c>
    </row>
    <row r="38" spans="1:13" ht="21" customHeight="1">
      <c r="A38" s="48"/>
      <c r="B38" s="49" t="str">
        <f>VLOOKUP($C$11:$C$63,Personnel!$A$1:$B$1234,2,FALSE)</f>
        <v>FRONT-END/TIE-IN WELDER  ON STICK WELD SPREAD (QI APPLIES)</v>
      </c>
      <c r="C38" s="356" t="s">
        <v>3163</v>
      </c>
      <c r="D38" s="20">
        <v>8</v>
      </c>
      <c r="E38" s="179">
        <f>VLOOKUP($B$11:$B$63,'Constr. Wage Rate Calculations'!$A$19:$Z$288,22,FALSE)</f>
        <v>82.2</v>
      </c>
      <c r="F38" s="20">
        <v>2</v>
      </c>
      <c r="G38" s="179">
        <f>VLOOKUP($B$11:$B$63,'Constr. Wage Rate Calculations'!$A$19:$Z$288,23,FALSE)</f>
        <v>123.3</v>
      </c>
      <c r="H38" s="20"/>
      <c r="I38" s="179">
        <f>VLOOKUP($B$11:$B$63,'Constr. Wage Rate Calculations'!$A$19:$Z$288,24,FALSE)</f>
        <v>164.4</v>
      </c>
      <c r="J38" s="20">
        <f>VLOOKUP($B$11:$B$63,'Constr. Wage Rate Calculations'!$A$19:$Z$288,25,FALSE)</f>
        <v>85</v>
      </c>
      <c r="K38" s="179">
        <f t="shared" si="0"/>
        <v>989.2</v>
      </c>
    </row>
    <row r="39" spans="1:13" ht="15" customHeight="1">
      <c r="A39" s="48"/>
      <c r="B39" s="49" t="str">
        <f>VLOOKUP($C$11:$C$63,Personnel!$A$1:$B$1234,2,FALSE)</f>
        <v>FRONT-END/TIE-IN WELDER  ON STICK WELD SPREAD (QI APPLIES)</v>
      </c>
      <c r="C39" s="36" t="s">
        <v>1185</v>
      </c>
      <c r="D39" s="20">
        <v>8</v>
      </c>
      <c r="E39" s="179">
        <f>VLOOKUP($B$11:$B$63,'Constr. Wage Rate Calculations'!$A$19:$Z$288,22,FALSE)</f>
        <v>82.2</v>
      </c>
      <c r="F39" s="20">
        <v>2</v>
      </c>
      <c r="G39" s="179">
        <f>VLOOKUP($B$11:$B$63,'Constr. Wage Rate Calculations'!$A$19:$Z$288,23,FALSE)</f>
        <v>123.3</v>
      </c>
      <c r="H39" s="20"/>
      <c r="I39" s="179">
        <f>VLOOKUP($B$11:$B$63,'Constr. Wage Rate Calculations'!$A$19:$Z$288,24,FALSE)</f>
        <v>164.4</v>
      </c>
      <c r="J39" s="20">
        <f>VLOOKUP($B$11:$B$63,'Constr. Wage Rate Calculations'!$A$19:$Z$288,25,FALSE)</f>
        <v>85</v>
      </c>
      <c r="K39" s="179">
        <f t="shared" si="0"/>
        <v>989.2</v>
      </c>
    </row>
    <row r="40" spans="1:13" ht="17.25" customHeight="1">
      <c r="A40" s="48"/>
      <c r="B40" s="49" t="str">
        <f>VLOOKUP($C$11:$C$63,Personnel!$A$1:$B$1234,2,FALSE)</f>
        <v>FRONT-END/TIE-IN WELDER  ON STICK WELD SPREAD (QI APPLIES)</v>
      </c>
      <c r="C40" s="356" t="s">
        <v>1043</v>
      </c>
      <c r="D40" s="20">
        <v>8</v>
      </c>
      <c r="E40" s="179">
        <f>VLOOKUP($B$11:$B$63,'Constr. Wage Rate Calculations'!$A$19:$Z$288,22,FALSE)</f>
        <v>82.2</v>
      </c>
      <c r="F40" s="20">
        <v>2</v>
      </c>
      <c r="G40" s="179">
        <f>VLOOKUP($B$11:$B$63,'Constr. Wage Rate Calculations'!$A$19:$Z$288,23,FALSE)</f>
        <v>123.3</v>
      </c>
      <c r="H40" s="20"/>
      <c r="I40" s="179">
        <f>VLOOKUP($B$11:$B$63,'Constr. Wage Rate Calculations'!$A$19:$Z$288,24,FALSE)</f>
        <v>164.4</v>
      </c>
      <c r="J40" s="20">
        <f>VLOOKUP($B$11:$B$63,'Constr. Wage Rate Calculations'!$A$19:$Z$288,25,FALSE)</f>
        <v>85</v>
      </c>
      <c r="K40" s="179">
        <f t="shared" si="0"/>
        <v>989.2</v>
      </c>
    </row>
    <row r="41" spans="1:13" ht="15" customHeight="1">
      <c r="A41" s="48"/>
      <c r="B41" s="49" t="str">
        <f>VLOOKUP($C$11:$C$63,Personnel!$A$1:$B$1234,2,FALSE)</f>
        <v>FRONT-END/TIE-IN WELDER  ON AUTO WELD SPREAD (QI APPLIES)</v>
      </c>
      <c r="C41" s="36" t="s">
        <v>1069</v>
      </c>
      <c r="D41" s="20">
        <v>8</v>
      </c>
      <c r="E41" s="179">
        <f>VLOOKUP($B$11:$B$63,'Constr. Wage Rate Calculations'!$A$19:$Z$288,22,FALSE)</f>
        <v>83.42</v>
      </c>
      <c r="F41" s="20">
        <v>3</v>
      </c>
      <c r="G41" s="179">
        <f>VLOOKUP($B$11:$B$63,'Constr. Wage Rate Calculations'!$A$19:$Z$288,23,FALSE)</f>
        <v>125.12</v>
      </c>
      <c r="H41" s="20"/>
      <c r="I41" s="179">
        <f>VLOOKUP($B$11:$B$63,'Constr. Wage Rate Calculations'!$A$19:$Z$288,24,FALSE)</f>
        <v>166.83</v>
      </c>
      <c r="J41" s="20">
        <f>VLOOKUP($B$11:$B$63,'Constr. Wage Rate Calculations'!$A$19:$Z$288,25,FALSE)</f>
        <v>85</v>
      </c>
      <c r="K41" s="179">
        <f t="shared" si="0"/>
        <v>1127.72</v>
      </c>
      <c r="M41" s="1">
        <v>1</v>
      </c>
    </row>
    <row r="42" spans="1:13" ht="15" customHeight="1">
      <c r="A42" s="48"/>
      <c r="B42" s="49" t="str">
        <f>VLOOKUP($C$11:$C$63,Personnel!$A$1:$B$1234,2,FALSE)</f>
        <v>WELDER HELPER</v>
      </c>
      <c r="C42" s="36" t="s">
        <v>3494</v>
      </c>
      <c r="D42" s="20">
        <v>8</v>
      </c>
      <c r="E42" s="179">
        <f>VLOOKUP($B$11:$B$63,'Constr. Wage Rate Calculations'!$A$19:$Z$288,22,FALSE)</f>
        <v>53.52</v>
      </c>
      <c r="F42" s="20">
        <v>3</v>
      </c>
      <c r="G42" s="179">
        <f>VLOOKUP($B$11:$B$63,'Constr. Wage Rate Calculations'!$A$19:$Z$288,23,FALSE)</f>
        <v>80.290000000000006</v>
      </c>
      <c r="H42" s="20"/>
      <c r="I42" s="179">
        <f>VLOOKUP($B$11:$B$63,'Constr. Wage Rate Calculations'!$A$19:$Z$288,24,FALSE)</f>
        <v>107.05</v>
      </c>
      <c r="J42" s="20">
        <f>VLOOKUP($B$11:$B$63,'Constr. Wage Rate Calculations'!$A$19:$Z$288,25,FALSE)</f>
        <v>85</v>
      </c>
      <c r="K42" s="179">
        <f t="shared" si="0"/>
        <v>754.03000000000009</v>
      </c>
      <c r="M42" s="1">
        <v>1</v>
      </c>
    </row>
    <row r="43" spans="1:13" ht="15" customHeight="1">
      <c r="A43" s="48"/>
      <c r="B43" s="49" t="str">
        <f>VLOOKUP($C$11:$C$63,Personnel!$A$1:$B$1234,2,FALSE)</f>
        <v>WELDER HELPER</v>
      </c>
      <c r="C43" s="36" t="s">
        <v>4084</v>
      </c>
      <c r="D43" s="20">
        <v>8</v>
      </c>
      <c r="E43" s="179">
        <f>VLOOKUP($B$11:$B$63,'Constr. Wage Rate Calculations'!$A$19:$Z$288,22,FALSE)</f>
        <v>53.52</v>
      </c>
      <c r="F43" s="20">
        <v>2</v>
      </c>
      <c r="G43" s="179">
        <f>VLOOKUP($B$11:$B$63,'Constr. Wage Rate Calculations'!$A$19:$Z$288,23,FALSE)</f>
        <v>80.290000000000006</v>
      </c>
      <c r="H43" s="20"/>
      <c r="I43" s="179">
        <f>VLOOKUP($B$11:$B$63,'Constr. Wage Rate Calculations'!$A$19:$Z$288,24,FALSE)</f>
        <v>107.05</v>
      </c>
      <c r="J43" s="20">
        <f>VLOOKUP($B$11:$B$63,'Constr. Wage Rate Calculations'!$A$19:$Z$288,25,FALSE)</f>
        <v>85</v>
      </c>
      <c r="K43" s="179">
        <f t="shared" si="0"/>
        <v>673.74000000000012</v>
      </c>
    </row>
    <row r="44" spans="1:13" ht="15" customHeight="1">
      <c r="A44" s="48"/>
      <c r="B44" s="49" t="str">
        <f>VLOOKUP($C$11:$C$63,Personnel!$A$1:$B$1234,2,FALSE)</f>
        <v>PRINCIPAL OPER 2</v>
      </c>
      <c r="C44" s="36" t="s">
        <v>2898</v>
      </c>
      <c r="D44" s="20">
        <v>8</v>
      </c>
      <c r="E44" s="179">
        <f>VLOOKUP($B$11:$B$63,'Constr. Wage Rate Calculations'!$A$19:$Z$288,22,FALSE)</f>
        <v>62.77</v>
      </c>
      <c r="F44" s="20">
        <v>2</v>
      </c>
      <c r="G44" s="179">
        <f>VLOOKUP($B$11:$B$63,'Constr. Wage Rate Calculations'!$A$19:$Z$288,23,FALSE)</f>
        <v>94.15</v>
      </c>
      <c r="H44" s="20"/>
      <c r="I44" s="179">
        <f>VLOOKUP($B$11:$B$63,'Constr. Wage Rate Calculations'!$A$19:$Z$288,24,FALSE)</f>
        <v>125.54</v>
      </c>
      <c r="J44" s="20">
        <f>VLOOKUP($B$11:$B$63,'Constr. Wage Rate Calculations'!$A$19:$Z$288,25,FALSE)</f>
        <v>85</v>
      </c>
      <c r="K44" s="179">
        <f t="shared" si="0"/>
        <v>775.46</v>
      </c>
    </row>
    <row r="45" spans="1:13" ht="15" customHeight="1">
      <c r="A45" s="48"/>
      <c r="B45" s="49" t="str">
        <f>VLOOKUP($C$11:$C$63,Personnel!$A$1:$B$1234,2,FALSE)</f>
        <v>PRINCIPAL OPER 2</v>
      </c>
      <c r="C45" s="36" t="s">
        <v>2787</v>
      </c>
      <c r="D45" s="20">
        <v>8</v>
      </c>
      <c r="E45" s="179">
        <f>VLOOKUP($B$11:$B$63,'Constr. Wage Rate Calculations'!$A$19:$Z$288,22,FALSE)</f>
        <v>62.77</v>
      </c>
      <c r="F45" s="20">
        <v>2</v>
      </c>
      <c r="G45" s="179">
        <f>VLOOKUP($B$11:$B$63,'Constr. Wage Rate Calculations'!$A$19:$Z$288,23,FALSE)</f>
        <v>94.15</v>
      </c>
      <c r="H45" s="20"/>
      <c r="I45" s="179">
        <f>VLOOKUP($B$11:$B$63,'Constr. Wage Rate Calculations'!$A$19:$Z$288,24,FALSE)</f>
        <v>125.54</v>
      </c>
      <c r="J45" s="20">
        <f>VLOOKUP($B$11:$B$63,'Constr. Wage Rate Calculations'!$A$19:$Z$288,25,FALSE)</f>
        <v>85</v>
      </c>
      <c r="K45" s="179">
        <f t="shared" si="0"/>
        <v>775.46</v>
      </c>
    </row>
    <row r="46" spans="1:13" ht="15" customHeight="1">
      <c r="A46" s="48"/>
      <c r="B46" s="49" t="str">
        <f>VLOOKUP($C$11:$C$63,Personnel!$A$1:$B$1234,2,FALSE)</f>
        <v>FRONT-END/TIE-IN WELDER  ON STICK WELD SPREAD (QI APPLIES)</v>
      </c>
      <c r="C46" s="36" t="s">
        <v>617</v>
      </c>
      <c r="D46" s="20">
        <v>8</v>
      </c>
      <c r="E46" s="179">
        <f>VLOOKUP($B$11:$B$63,'Constr. Wage Rate Calculations'!$A$19:$Z$288,22,FALSE)</f>
        <v>82.2</v>
      </c>
      <c r="F46" s="20">
        <v>4</v>
      </c>
      <c r="G46" s="179">
        <f>VLOOKUP($B$11:$B$63,'Constr. Wage Rate Calculations'!$A$19:$Z$288,23,FALSE)</f>
        <v>123.3</v>
      </c>
      <c r="H46" s="20"/>
      <c r="I46" s="179">
        <f>VLOOKUP($B$11:$B$63,'Constr. Wage Rate Calculations'!$A$19:$Z$288,24,FALSE)</f>
        <v>164.4</v>
      </c>
      <c r="J46" s="20">
        <f>VLOOKUP($B$11:$B$63,'Constr. Wage Rate Calculations'!$A$19:$Z$288,25,FALSE)</f>
        <v>85</v>
      </c>
      <c r="K46" s="179">
        <f t="shared" si="0"/>
        <v>1235.8</v>
      </c>
      <c r="M46" s="1">
        <v>2</v>
      </c>
    </row>
    <row r="47" spans="1:13" ht="15" customHeight="1">
      <c r="A47" s="48"/>
      <c r="B47" s="49" t="str">
        <f>VLOOKUP($C$11:$C$63,Personnel!$A$1:$B$1234,2,FALSE)</f>
        <v>FRONT-END/TIE-IN WELDER  ON AUTO WELD SPREAD (QI APPLIES)</v>
      </c>
      <c r="C47" s="36" t="s">
        <v>2686</v>
      </c>
      <c r="D47" s="20">
        <v>8</v>
      </c>
      <c r="E47" s="179">
        <f>VLOOKUP($B$11:$B$63,'Constr. Wage Rate Calculations'!$A$19:$Z$288,22,FALSE)</f>
        <v>83.42</v>
      </c>
      <c r="F47" s="20">
        <v>3</v>
      </c>
      <c r="G47" s="179">
        <f>VLOOKUP($B$11:$B$63,'Constr. Wage Rate Calculations'!$A$19:$Z$288,23,FALSE)</f>
        <v>125.12</v>
      </c>
      <c r="H47" s="20"/>
      <c r="I47" s="179">
        <f>VLOOKUP($B$11:$B$63,'Constr. Wage Rate Calculations'!$A$19:$Z$288,24,FALSE)</f>
        <v>166.83</v>
      </c>
      <c r="J47" s="20">
        <f>VLOOKUP($B$11:$B$63,'Constr. Wage Rate Calculations'!$A$19:$Z$288,25,FALSE)</f>
        <v>85</v>
      </c>
      <c r="K47" s="179">
        <f t="shared" si="0"/>
        <v>1127.72</v>
      </c>
      <c r="M47" s="1">
        <v>1</v>
      </c>
    </row>
    <row r="48" spans="1:13" ht="15" customHeight="1">
      <c r="A48" s="48"/>
      <c r="B48" s="49" t="str">
        <f>VLOOKUP($C$11:$C$63,Personnel!$A$1:$B$1234,2,FALSE)</f>
        <v>WELDER HELPER</v>
      </c>
      <c r="C48" s="36" t="s">
        <v>1118</v>
      </c>
      <c r="D48" s="20">
        <v>8</v>
      </c>
      <c r="E48" s="179">
        <f>VLOOKUP($B$11:$B$63,'Constr. Wage Rate Calculations'!$A$19:$Z$288,22,FALSE)</f>
        <v>53.52</v>
      </c>
      <c r="F48" s="20">
        <v>3</v>
      </c>
      <c r="G48" s="179">
        <f>VLOOKUP($B$11:$B$63,'Constr. Wage Rate Calculations'!$A$19:$Z$288,23,FALSE)</f>
        <v>80.290000000000006</v>
      </c>
      <c r="H48" s="20"/>
      <c r="I48" s="179">
        <f>VLOOKUP($B$11:$B$63,'Constr. Wage Rate Calculations'!$A$19:$Z$288,24,FALSE)</f>
        <v>107.05</v>
      </c>
      <c r="J48" s="20">
        <f>VLOOKUP($B$11:$B$63,'Constr. Wage Rate Calculations'!$A$19:$Z$288,25,FALSE)</f>
        <v>85</v>
      </c>
      <c r="K48" s="179">
        <f t="shared" si="0"/>
        <v>754.03000000000009</v>
      </c>
      <c r="M48" s="1">
        <v>1</v>
      </c>
    </row>
    <row r="49" spans="1:15" ht="15" customHeight="1">
      <c r="A49" s="48"/>
      <c r="B49" s="49" t="str">
        <f>VLOOKUP($C$11:$C$63,Personnel!$A$1:$B$1234,2,FALSE)</f>
        <v>PRINCIPAL OPER 2</v>
      </c>
      <c r="C49" s="36" t="s">
        <v>1623</v>
      </c>
      <c r="D49" s="20">
        <v>8</v>
      </c>
      <c r="E49" s="179">
        <f>VLOOKUP($B$11:$B$63,'Constr. Wage Rate Calculations'!$A$19:$Z$288,22,FALSE)</f>
        <v>62.77</v>
      </c>
      <c r="F49" s="20">
        <v>2</v>
      </c>
      <c r="G49" s="179">
        <f>VLOOKUP($B$11:$B$63,'Constr. Wage Rate Calculations'!$A$19:$Z$288,23,FALSE)</f>
        <v>94.15</v>
      </c>
      <c r="H49" s="20"/>
      <c r="I49" s="179">
        <f>VLOOKUP($B$11:$B$63,'Constr. Wage Rate Calculations'!$A$19:$Z$288,24,FALSE)</f>
        <v>125.54</v>
      </c>
      <c r="J49" s="20">
        <f>VLOOKUP($B$11:$B$63,'Constr. Wage Rate Calculations'!$A$19:$Z$288,25,FALSE)</f>
        <v>85</v>
      </c>
      <c r="K49" s="179">
        <f t="shared" si="0"/>
        <v>775.46</v>
      </c>
    </row>
    <row r="50" spans="1:15" ht="15" customHeight="1">
      <c r="A50" s="48"/>
      <c r="B50" s="49" t="str">
        <f>VLOOKUP($C$11:$C$63,Personnel!$A$1:$B$1234,2,FALSE)</f>
        <v>WELDER HELPER</v>
      </c>
      <c r="C50" s="36" t="s">
        <v>4086</v>
      </c>
      <c r="D50" s="20">
        <v>8</v>
      </c>
      <c r="E50" s="179">
        <f>VLOOKUP($B$11:$B$63,'Constr. Wage Rate Calculations'!$A$19:$Z$288,22,FALSE)</f>
        <v>53.52</v>
      </c>
      <c r="F50" s="20">
        <v>2</v>
      </c>
      <c r="G50" s="179">
        <f>VLOOKUP($B$11:$B$63,'Constr. Wage Rate Calculations'!$A$19:$Z$288,23,FALSE)</f>
        <v>80.290000000000006</v>
      </c>
      <c r="H50" s="20"/>
      <c r="I50" s="179">
        <f>VLOOKUP($B$11:$B$63,'Constr. Wage Rate Calculations'!$A$19:$Z$288,24,FALSE)</f>
        <v>107.05</v>
      </c>
      <c r="J50" s="20">
        <f>VLOOKUP($B$11:$B$63,'Constr. Wage Rate Calculations'!$A$19:$Z$288,25,FALSE)</f>
        <v>85</v>
      </c>
      <c r="K50" s="179">
        <f t="shared" si="0"/>
        <v>673.74000000000012</v>
      </c>
    </row>
    <row r="51" spans="1:15" ht="15" customHeight="1">
      <c r="A51" s="48"/>
      <c r="B51" s="49" t="str">
        <f>VLOOKUP($C$11:$C$63,Personnel!$A$1:$B$1234,2,FALSE)</f>
        <v>FRONT-END/TIE-IN WELDER  ON AUTO WELD SPREAD (QI APPLIES)</v>
      </c>
      <c r="C51" s="36" t="s">
        <v>2687</v>
      </c>
      <c r="D51" s="20">
        <v>8</v>
      </c>
      <c r="E51" s="179">
        <f>VLOOKUP($B$11:$B$63,'Constr. Wage Rate Calculations'!$A$19:$Z$288,22,FALSE)</f>
        <v>83.42</v>
      </c>
      <c r="F51" s="20">
        <v>2</v>
      </c>
      <c r="G51" s="179">
        <f>VLOOKUP($B$11:$B$63,'Constr. Wage Rate Calculations'!$A$19:$Z$288,23,FALSE)</f>
        <v>125.12</v>
      </c>
      <c r="H51" s="20"/>
      <c r="I51" s="179">
        <f>VLOOKUP($B$11:$B$63,'Constr. Wage Rate Calculations'!$A$19:$Z$288,24,FALSE)</f>
        <v>166.83</v>
      </c>
      <c r="J51" s="20">
        <f>VLOOKUP($B$11:$B$63,'Constr. Wage Rate Calculations'!$A$19:$Z$288,25,FALSE)</f>
        <v>85</v>
      </c>
      <c r="K51" s="179">
        <f t="shared" si="0"/>
        <v>1002.6</v>
      </c>
    </row>
    <row r="52" spans="1:15" ht="15" customHeight="1">
      <c r="A52" s="48"/>
      <c r="B52" s="49" t="str">
        <f>VLOOKUP($C$11:$C$63,Personnel!$A$1:$B$1234,2,FALSE)</f>
        <v>PRINCIPAL OPER 2</v>
      </c>
      <c r="C52" s="36" t="s">
        <v>2791</v>
      </c>
      <c r="D52" s="20">
        <v>8</v>
      </c>
      <c r="E52" s="179">
        <f>VLOOKUP($B$11:$B$63,'Constr. Wage Rate Calculations'!$A$19:$Z$288,22,FALSE)</f>
        <v>62.77</v>
      </c>
      <c r="F52" s="20">
        <v>2</v>
      </c>
      <c r="G52" s="179">
        <f>VLOOKUP($B$11:$B$63,'Constr. Wage Rate Calculations'!$A$19:$Z$288,23,FALSE)</f>
        <v>94.15</v>
      </c>
      <c r="H52" s="20"/>
      <c r="I52" s="179">
        <f>VLOOKUP($B$11:$B$63,'Constr. Wage Rate Calculations'!$A$19:$Z$288,24,FALSE)</f>
        <v>125.54</v>
      </c>
      <c r="J52" s="20">
        <f>VLOOKUP($B$11:$B$63,'Constr. Wage Rate Calculations'!$A$19:$Z$288,25,FALSE)</f>
        <v>85</v>
      </c>
      <c r="K52" s="179">
        <f t="shared" si="0"/>
        <v>775.46</v>
      </c>
    </row>
    <row r="53" spans="1:15" ht="15" customHeight="1">
      <c r="A53" s="48"/>
      <c r="B53" s="49" t="str">
        <f>VLOOKUP($C$11:$C$63,Personnel!$A$1:$B$1234,2,FALSE)</f>
        <v>WELDER HELPER</v>
      </c>
      <c r="C53" s="36" t="s">
        <v>1386</v>
      </c>
      <c r="D53" s="20">
        <v>8</v>
      </c>
      <c r="E53" s="179">
        <f>VLOOKUP($B$11:$B$63,'Constr. Wage Rate Calculations'!$A$19:$Z$288,22,FALSE)</f>
        <v>53.52</v>
      </c>
      <c r="F53" s="20">
        <v>2</v>
      </c>
      <c r="G53" s="179">
        <f>VLOOKUP($B$11:$B$63,'Constr. Wage Rate Calculations'!$A$19:$Z$288,23,FALSE)</f>
        <v>80.290000000000006</v>
      </c>
      <c r="H53" s="20"/>
      <c r="I53" s="179">
        <f>VLOOKUP($B$11:$B$63,'Constr. Wage Rate Calculations'!$A$19:$Z$288,24,FALSE)</f>
        <v>107.05</v>
      </c>
      <c r="J53" s="20">
        <f>VLOOKUP($B$11:$B$63,'Constr. Wage Rate Calculations'!$A$19:$Z$288,25,FALSE)</f>
        <v>85</v>
      </c>
      <c r="K53" s="179">
        <f t="shared" si="0"/>
        <v>673.74000000000012</v>
      </c>
    </row>
    <row r="54" spans="1:15" ht="15" customHeight="1">
      <c r="A54" s="48"/>
      <c r="B54" s="49" t="str">
        <f>VLOOKUP($C$11:$C$63,Personnel!$A$1:$B$1234,2,FALSE)</f>
        <v>UA WELDER FOREMAN</v>
      </c>
      <c r="C54" s="36" t="s">
        <v>615</v>
      </c>
      <c r="D54" s="20">
        <v>1</v>
      </c>
      <c r="E54" s="179">
        <f>VLOOKUP($B$11:$B$63,'Constr. Wage Rate Calculations'!$A$19:$Z$288,22,FALSE)</f>
        <v>2377.09</v>
      </c>
      <c r="F54" s="20">
        <v>9</v>
      </c>
      <c r="G54" s="179">
        <f>VLOOKUP($B$11:$B$63,'Constr. Wage Rate Calculations'!$A$19:$Z$288,23,FALSE)</f>
        <v>0</v>
      </c>
      <c r="H54" s="20"/>
      <c r="I54" s="179">
        <f>VLOOKUP($B$11:$B$63,'Constr. Wage Rate Calculations'!$A$19:$Z$288,24,FALSE)</f>
        <v>0</v>
      </c>
      <c r="J54" s="20">
        <f>VLOOKUP($B$11:$B$63,'Constr. Wage Rate Calculations'!$A$19:$Z$288,25,FALSE)</f>
        <v>230</v>
      </c>
      <c r="K54" s="179">
        <f t="shared" si="0"/>
        <v>2607.09</v>
      </c>
    </row>
    <row r="55" spans="1:15" ht="15" customHeight="1">
      <c r="A55" s="48"/>
      <c r="B55" s="49" t="str">
        <f>VLOOKUP($C$11:$C$63,Personnel!$A$1:$B$1234,2,FALSE)</f>
        <v>BUS/ CREWCAB DRIVER</v>
      </c>
      <c r="C55" s="36" t="s">
        <v>4079</v>
      </c>
      <c r="D55" s="20">
        <v>8</v>
      </c>
      <c r="E55" s="179">
        <f>VLOOKUP($B$11:$B$63,'Constr. Wage Rate Calculations'!$A$19:$Z$288,22,FALSE)</f>
        <v>56.73</v>
      </c>
      <c r="F55" s="20">
        <v>3</v>
      </c>
      <c r="G55" s="179">
        <f>VLOOKUP($B$11:$B$63,'Constr. Wage Rate Calculations'!$A$19:$Z$288,23,FALSE)</f>
        <v>85.1</v>
      </c>
      <c r="H55" s="20"/>
      <c r="I55" s="179">
        <f>VLOOKUP($B$11:$B$63,'Constr. Wage Rate Calculations'!$A$19:$Z$288,24,FALSE)</f>
        <v>113.46</v>
      </c>
      <c r="J55" s="20">
        <f>VLOOKUP($B$11:$B$63,'Constr. Wage Rate Calculations'!$A$19:$Z$288,25,FALSE)</f>
        <v>85</v>
      </c>
      <c r="K55" s="179">
        <f t="shared" si="0"/>
        <v>794.13999999999987</v>
      </c>
    </row>
    <row r="56" spans="1:15" ht="15" customHeight="1">
      <c r="A56" s="48"/>
      <c r="B56" s="49" t="str">
        <f>VLOOKUP($C$11:$C$63,Personnel!$A$1:$B$1234,2,FALSE)</f>
        <v>WELDER HELPER</v>
      </c>
      <c r="C56" s="36" t="s">
        <v>1179</v>
      </c>
      <c r="D56" s="20">
        <v>8</v>
      </c>
      <c r="E56" s="179">
        <f>VLOOKUP($B$11:$B$63,'Constr. Wage Rate Calculations'!$A$19:$Z$288,22,FALSE)</f>
        <v>53.52</v>
      </c>
      <c r="F56" s="20">
        <v>2</v>
      </c>
      <c r="G56" s="179">
        <f>VLOOKUP($B$11:$B$63,'Constr. Wage Rate Calculations'!$A$19:$Z$288,23,FALSE)</f>
        <v>80.290000000000006</v>
      </c>
      <c r="H56" s="20"/>
      <c r="I56" s="179">
        <f>VLOOKUP($B$11:$B$63,'Constr. Wage Rate Calculations'!$A$19:$Z$288,24,FALSE)</f>
        <v>107.05</v>
      </c>
      <c r="J56" s="20">
        <f>VLOOKUP($B$11:$B$63,'Constr. Wage Rate Calculations'!$A$19:$Z$288,25,FALSE)</f>
        <v>85</v>
      </c>
      <c r="K56" s="179">
        <f t="shared" si="0"/>
        <v>673.74000000000012</v>
      </c>
    </row>
    <row r="57" spans="1:15" ht="15" customHeight="1">
      <c r="A57" s="48"/>
      <c r="B57" s="49" t="str">
        <f>VLOOKUP($C$11:$C$63,Personnel!$A$1:$B$1234,2,FALSE)</f>
        <v>WELDER HELPER</v>
      </c>
      <c r="C57" s="36" t="s">
        <v>4134</v>
      </c>
      <c r="D57" s="20">
        <v>8</v>
      </c>
      <c r="E57" s="179">
        <f>VLOOKUP($B$11:$B$63,'Constr. Wage Rate Calculations'!$A$19:$Z$288,22,FALSE)</f>
        <v>53.52</v>
      </c>
      <c r="F57" s="20">
        <v>2</v>
      </c>
      <c r="G57" s="179">
        <f>VLOOKUP($B$11:$B$63,'Constr. Wage Rate Calculations'!$A$19:$Z$288,23,FALSE)</f>
        <v>80.290000000000006</v>
      </c>
      <c r="H57" s="20"/>
      <c r="I57" s="179">
        <f>VLOOKUP($B$11:$B$63,'Constr. Wage Rate Calculations'!$A$19:$Z$288,24,FALSE)</f>
        <v>107.05</v>
      </c>
      <c r="J57" s="20">
        <f>VLOOKUP($B$11:$B$63,'Constr. Wage Rate Calculations'!$A$19:$Z$288,25,FALSE)</f>
        <v>85</v>
      </c>
      <c r="K57" s="179">
        <f t="shared" si="0"/>
        <v>673.74000000000012</v>
      </c>
    </row>
    <row r="58" spans="1:15" ht="15" customHeight="1">
      <c r="A58" s="48"/>
      <c r="B58" s="49" t="str">
        <f>VLOOKUP($C$11:$C$63,Personnel!$A$1:$B$1234,2,FALSE)</f>
        <v>WELDER HELPER</v>
      </c>
      <c r="C58" s="36" t="s">
        <v>3029</v>
      </c>
      <c r="D58" s="20">
        <v>8</v>
      </c>
      <c r="E58" s="179">
        <f>VLOOKUP($B$11:$B$63,'Constr. Wage Rate Calculations'!$A$19:$Z$288,22,FALSE)</f>
        <v>53.52</v>
      </c>
      <c r="F58" s="20">
        <v>2</v>
      </c>
      <c r="G58" s="179">
        <f>VLOOKUP($B$11:$B$63,'Constr. Wage Rate Calculations'!$A$19:$Z$288,23,FALSE)</f>
        <v>80.290000000000006</v>
      </c>
      <c r="H58" s="20"/>
      <c r="I58" s="179">
        <f>VLOOKUP($B$11:$B$63,'Constr. Wage Rate Calculations'!$A$19:$Z$288,24,FALSE)</f>
        <v>107.05</v>
      </c>
      <c r="J58" s="20">
        <f>VLOOKUP($B$11:$B$63,'Constr. Wage Rate Calculations'!$A$19:$Z$288,25,FALSE)</f>
        <v>85</v>
      </c>
      <c r="K58" s="179">
        <f t="shared" si="0"/>
        <v>673.74000000000012</v>
      </c>
    </row>
    <row r="59" spans="1:15" ht="15" customHeight="1">
      <c r="A59" s="48"/>
      <c r="B59" s="49" t="str">
        <f>VLOOKUP($C$11:$C$63,Personnel!$A$1:$B$1234,2,FALSE)</f>
        <v>FRONT-END/TIE-IN WELDER  ON STICK WELD SPREAD (QI APPLIES)</v>
      </c>
      <c r="C59" s="36" t="s">
        <v>1166</v>
      </c>
      <c r="D59" s="20">
        <v>8</v>
      </c>
      <c r="E59" s="179">
        <f>VLOOKUP($B$11:$B$63,'Constr. Wage Rate Calculations'!$A$19:$Z$288,22,FALSE)</f>
        <v>82.2</v>
      </c>
      <c r="F59" s="20">
        <v>2</v>
      </c>
      <c r="G59" s="179">
        <f>VLOOKUP($B$11:$B$63,'Constr. Wage Rate Calculations'!$A$19:$Z$288,23,FALSE)</f>
        <v>123.3</v>
      </c>
      <c r="H59" s="20"/>
      <c r="I59" s="179">
        <f>VLOOKUP($B$11:$B$63,'Constr. Wage Rate Calculations'!$A$19:$Z$288,24,FALSE)</f>
        <v>164.4</v>
      </c>
      <c r="J59" s="20">
        <f>VLOOKUP($B$11:$B$63,'Constr. Wage Rate Calculations'!$A$19:$Z$288,25,FALSE)</f>
        <v>85</v>
      </c>
      <c r="K59" s="179">
        <f t="shared" si="0"/>
        <v>989.2</v>
      </c>
    </row>
    <row r="60" spans="1:15" ht="15" customHeight="1">
      <c r="A60" s="48"/>
      <c r="B60" s="49">
        <f>VLOOKUP($C$11:$C$63,Personnel!$A$1:$B$1234,2,FALSE)</f>
        <v>0</v>
      </c>
      <c r="C60" s="36"/>
      <c r="D60" s="20"/>
      <c r="E60" s="179">
        <f>VLOOKUP($B$11:$B$63,'Constr. Wage Rate Calculations'!$A$19:$Z$288,22,FALSE)</f>
        <v>0</v>
      </c>
      <c r="F60" s="20"/>
      <c r="G60" s="179">
        <f>VLOOKUP($B$11:$B$63,'Constr. Wage Rate Calculations'!$A$19:$Z$288,23,FALSE)</f>
        <v>0</v>
      </c>
      <c r="H60" s="20"/>
      <c r="I60" s="179">
        <f>VLOOKUP($B$11:$B$63,'Constr. Wage Rate Calculations'!$A$19:$Z$288,24,FALSE)</f>
        <v>0</v>
      </c>
      <c r="J60" s="20">
        <f>VLOOKUP($B$11:$B$63,'Constr. Wage Rate Calculations'!$A$19:$Z$288,25,FALSE)</f>
        <v>0</v>
      </c>
      <c r="K60" s="179" t="str">
        <f t="shared" si="0"/>
        <v/>
      </c>
    </row>
    <row r="61" spans="1:15" ht="15" customHeight="1">
      <c r="A61" s="48"/>
      <c r="B61" s="49">
        <f>VLOOKUP($C$11:$C$63,Personnel!$A$1:$B$1234,2,FALSE)</f>
        <v>0</v>
      </c>
      <c r="C61" s="36"/>
      <c r="D61" s="20"/>
      <c r="E61" s="179">
        <f>VLOOKUP($B$11:$B$63,'Constr. Wage Rate Calculations'!$A$19:$Z$288,22,FALSE)</f>
        <v>0</v>
      </c>
      <c r="F61" s="20"/>
      <c r="G61" s="179">
        <f>VLOOKUP($B$11:$B$63,'Constr. Wage Rate Calculations'!$A$19:$Z$288,23,FALSE)</f>
        <v>0</v>
      </c>
      <c r="H61" s="20"/>
      <c r="I61" s="179">
        <f>VLOOKUP($B$11:$B$63,'Constr. Wage Rate Calculations'!$A$19:$Z$288,24,FALSE)</f>
        <v>0</v>
      </c>
      <c r="J61" s="20">
        <f>VLOOKUP($B$11:$B$63,'Constr. Wage Rate Calculations'!$A$19:$Z$288,25,FALSE)</f>
        <v>0</v>
      </c>
      <c r="K61" s="179" t="str">
        <f t="shared" si="0"/>
        <v/>
      </c>
    </row>
    <row r="62" spans="1:15" ht="15" customHeight="1">
      <c r="A62" s="48"/>
      <c r="B62" s="49">
        <f>VLOOKUP($C$11:$C$63,Personnel!$A$1:$B$1234,2,FALSE)</f>
        <v>0</v>
      </c>
      <c r="C62" s="36"/>
      <c r="D62" s="20"/>
      <c r="E62" s="179">
        <f>VLOOKUP($B$11:$B$63,'Constr. Wage Rate Calculations'!$A$19:$Z$288,22,FALSE)</f>
        <v>0</v>
      </c>
      <c r="F62" s="20"/>
      <c r="G62" s="179">
        <f>VLOOKUP($B$11:$B$63,'Constr. Wage Rate Calculations'!$A$19:$Z$288,23,FALSE)</f>
        <v>0</v>
      </c>
      <c r="H62" s="20"/>
      <c r="I62" s="179">
        <f>VLOOKUP($B$11:$B$63,'Constr. Wage Rate Calculations'!$A$19:$Z$288,24,FALSE)</f>
        <v>0</v>
      </c>
      <c r="J62" s="20">
        <f>VLOOKUP($B$11:$B$63,'Constr. Wage Rate Calculations'!$A$19:$Z$288,25,FALSE)</f>
        <v>0</v>
      </c>
      <c r="K62" s="179" t="str">
        <f t="shared" ref="K62" si="1">IF($D62&gt;=1,$J62+(D62*E62)+(F62*G62)+(H62*I62),IF($F62&gt;=1,$J62+(D62*E62)+(F62*G62)+(H62*I62),IF($H62&gt;=1,$J62+(D62*E62)+(F62*G62)+(H62*I62),"")))</f>
        <v/>
      </c>
    </row>
    <row r="63" spans="1:15" ht="15" customHeight="1" thickBot="1">
      <c r="A63" s="48"/>
      <c r="B63" s="49">
        <f>VLOOKUP($C$11:$C$63,Personnel!$A$1:$B$1234,2,FALSE)</f>
        <v>0</v>
      </c>
      <c r="C63" s="36"/>
      <c r="D63" s="20"/>
      <c r="E63" s="179">
        <f>VLOOKUP($B$11:$B$63,'Constr. Wage Rate Calculations'!$A$19:$Z$288,22,FALSE)</f>
        <v>0</v>
      </c>
      <c r="F63" s="20"/>
      <c r="G63" s="179">
        <f>VLOOKUP($B$11:$B$63,'Constr. Wage Rate Calculations'!$A$19:$Z$288,23,FALSE)</f>
        <v>0</v>
      </c>
      <c r="H63" s="20"/>
      <c r="I63" s="179">
        <f>VLOOKUP($B$11:$B$63,'Constr. Wage Rate Calculations'!$A$19:$Z$288,24,FALSE)</f>
        <v>0</v>
      </c>
      <c r="J63" s="20">
        <f>VLOOKUP($B$11:$B$63,'Constr. Wage Rate Calculations'!$A$19:$Z$288,25,FALSE)</f>
        <v>0</v>
      </c>
      <c r="K63" s="179" t="str">
        <f t="shared" ref="K63" si="2">IF($D63&gt;=1,$J63+(D63*E63)+(F63*G63)+(H63*I63),IF($F63&gt;=1,$J63+(D63*E63)+(F63*G63)+(H63*I63),IF($H63&gt;=1,$J63+(D63*E63)+(F63*G63)+(H63*I63),"")))</f>
        <v/>
      </c>
      <c r="M63" s="1">
        <f>SUM(M11:M57)</f>
        <v>14</v>
      </c>
    </row>
    <row r="64" spans="1:15" ht="15" customHeight="1" thickBot="1">
      <c r="A64"/>
      <c r="B64"/>
      <c r="C64"/>
      <c r="D64" s="21"/>
      <c r="E64" s="21"/>
      <c r="F64" s="21"/>
      <c r="G64" s="21"/>
      <c r="H64" s="21"/>
      <c r="I64" s="360" t="s">
        <v>18</v>
      </c>
      <c r="J64" s="361"/>
      <c r="K64" s="183">
        <f>SUM(K11:K63)</f>
        <v>41253.44999999999</v>
      </c>
      <c r="M64" s="1">
        <f>SUMIFS(D11:D63,D11:D63,"&lt;3",D11:D63,"&lt;5")</f>
        <v>1</v>
      </c>
      <c r="N64" s="1">
        <f>SUMIFS(D11:D63,D11:D63,"&gt;3",D11:D63,"&gt;5")</f>
        <v>368</v>
      </c>
      <c r="O64" s="1">
        <f>SUM(F11:F63,H11:H63,M64,N64)-M63</f>
        <v>471</v>
      </c>
    </row>
    <row r="65" spans="1:11" ht="10" customHeight="1" thickBot="1"/>
    <row r="66" spans="1:11" s="19" customFormat="1" ht="15" customHeight="1" thickBot="1">
      <c r="A66" s="22" t="s">
        <v>19</v>
      </c>
      <c r="B66" s="23" t="s">
        <v>20</v>
      </c>
      <c r="C66" s="23"/>
      <c r="D66" s="23"/>
      <c r="E66" s="23"/>
      <c r="F66" s="23"/>
      <c r="G66" s="23"/>
      <c r="H66" s="18" t="s">
        <v>21</v>
      </c>
      <c r="I66" s="18" t="s">
        <v>22</v>
      </c>
      <c r="J66" s="18" t="s">
        <v>23</v>
      </c>
      <c r="K66" s="18" t="s">
        <v>17</v>
      </c>
    </row>
    <row r="67" spans="1:11" ht="15" customHeight="1">
      <c r="A67" s="43"/>
      <c r="B67" s="49">
        <f>VLOOKUP($C$67:$C$112,Equipment!$A$1:$B$2322,2,FALSE)</f>
        <v>0</v>
      </c>
      <c r="C67" s="24"/>
      <c r="D67" s="24"/>
      <c r="E67" s="24"/>
      <c r="F67" s="24"/>
      <c r="G67" s="24"/>
      <c r="H67" s="36"/>
      <c r="I67" s="20"/>
      <c r="J67" s="42">
        <f>VLOOKUP($B$67:$B$112,'Alberta Equip. Rates Year 3'!$B$13:$K$314,10,FALSE)</f>
        <v>0</v>
      </c>
      <c r="K67" s="181">
        <f t="shared" ref="K67:K83" si="3">(H67+I67)*J67</f>
        <v>0</v>
      </c>
    </row>
    <row r="68" spans="1:11" ht="15" customHeight="1">
      <c r="A68" s="43"/>
      <c r="B68" s="49" t="str">
        <f>VLOOKUP($C$67:$C$112,Equipment!$A$1:$B$2322,2,FALSE)</f>
        <v>Automatic Welding Tractor</v>
      </c>
      <c r="C68" s="24" t="s">
        <v>2408</v>
      </c>
      <c r="D68" s="24"/>
      <c r="E68" s="24"/>
      <c r="F68" s="24"/>
      <c r="G68" s="24"/>
      <c r="H68" s="36">
        <v>1</v>
      </c>
      <c r="I68" s="20"/>
      <c r="J68" s="42">
        <f>VLOOKUP($B$67:$B$112,'Alberta Equip. Rates Year 3'!$B$13:$K$314,10,FALSE)</f>
        <v>1345</v>
      </c>
      <c r="K68" s="181">
        <f t="shared" si="3"/>
        <v>1345</v>
      </c>
    </row>
    <row r="69" spans="1:11" ht="15" customHeight="1">
      <c r="A69" s="43"/>
      <c r="B69" s="49" t="str">
        <f>VLOOKUP($C$67:$C$112,Equipment!$A$1:$B$2322,2,FALSE)</f>
        <v>Automatic Welding Tractor</v>
      </c>
      <c r="C69" s="24" t="s">
        <v>2524</v>
      </c>
      <c r="D69" s="24"/>
      <c r="E69" s="24"/>
      <c r="F69" s="24"/>
      <c r="G69" s="24"/>
      <c r="H69" s="36">
        <v>1</v>
      </c>
      <c r="I69" s="20"/>
      <c r="J69" s="42">
        <f>VLOOKUP($B$67:$B$112,'Alberta Equip. Rates Year 3'!$B$13:$K$314,10,FALSE)</f>
        <v>1345</v>
      </c>
      <c r="K69" s="181">
        <f t="shared" si="3"/>
        <v>1345</v>
      </c>
    </row>
    <row r="70" spans="1:11" ht="15" customHeight="1">
      <c r="A70" s="43"/>
      <c r="B70" s="49" t="str">
        <f>VLOOKUP($C$67:$C$112,Equipment!$A$1:$B$2322,2,FALSE)</f>
        <v>Automatic Welding Tractor</v>
      </c>
      <c r="C70" s="24" t="s">
        <v>2410</v>
      </c>
      <c r="D70" s="24"/>
      <c r="E70" s="24"/>
      <c r="F70" s="24"/>
      <c r="G70" s="24"/>
      <c r="H70" s="36">
        <v>1</v>
      </c>
      <c r="I70" s="20"/>
      <c r="J70" s="42">
        <f>VLOOKUP($B$67:$B$112,'Alberta Equip. Rates Year 3'!$B$13:$K$314,10,FALSE)</f>
        <v>1345</v>
      </c>
      <c r="K70" s="181">
        <f t="shared" si="3"/>
        <v>1345</v>
      </c>
    </row>
    <row r="71" spans="1:11" ht="15" customHeight="1">
      <c r="A71" s="43"/>
      <c r="B71" s="49" t="str">
        <f>VLOOKUP($C$67:$C$112,Equipment!$A$1:$B$2322,2,FALSE)</f>
        <v>Automatic Welding Tractor</v>
      </c>
      <c r="C71" s="24" t="s">
        <v>2425</v>
      </c>
      <c r="D71" s="24"/>
      <c r="E71" s="24"/>
      <c r="F71" s="24"/>
      <c r="G71" s="24"/>
      <c r="H71" s="36">
        <v>1</v>
      </c>
      <c r="I71" s="20"/>
      <c r="J71" s="42">
        <f>VLOOKUP($B$67:$B$112,'Alberta Equip. Rates Year 3'!$B$13:$K$314,10,FALSE)</f>
        <v>1345</v>
      </c>
      <c r="K71" s="181">
        <f t="shared" si="3"/>
        <v>1345</v>
      </c>
    </row>
    <row r="72" spans="1:11" ht="15" customHeight="1">
      <c r="A72" s="43"/>
      <c r="B72" s="49" t="str">
        <f>VLOOKUP($C$67:$C$112,Equipment!$A$1:$B$2322,2,FALSE)</f>
        <v>Automatic Welding Tractor</v>
      </c>
      <c r="C72" s="24" t="s">
        <v>2559</v>
      </c>
      <c r="D72" s="24"/>
      <c r="E72" s="24"/>
      <c r="F72" s="24"/>
      <c r="G72" s="24"/>
      <c r="H72" s="36">
        <v>1</v>
      </c>
      <c r="I72" s="20"/>
      <c r="J72" s="42">
        <f>VLOOKUP($B$67:$B$112,'Alberta Equip. Rates Year 3'!$B$13:$K$314,10,FALSE)</f>
        <v>1345</v>
      </c>
      <c r="K72" s="181">
        <f t="shared" si="3"/>
        <v>1345</v>
      </c>
    </row>
    <row r="73" spans="1:11" ht="15" customHeight="1">
      <c r="A73" s="43"/>
      <c r="B73" s="49" t="str">
        <f>VLOOKUP($C$67:$C$112,Equipment!$A$1:$B$2322,2,FALSE)</f>
        <v>Bus</v>
      </c>
      <c r="C73" s="24" t="s">
        <v>2870</v>
      </c>
      <c r="D73" s="24"/>
      <c r="E73" s="24"/>
      <c r="F73" s="24"/>
      <c r="G73" s="24"/>
      <c r="H73" s="36">
        <v>1</v>
      </c>
      <c r="I73" s="20"/>
      <c r="J73" s="42">
        <f>VLOOKUP($B$67:$B$112,'Alberta Equip. Rates Year 3'!$B$13:$K$314,10,FALSE)</f>
        <v>254</v>
      </c>
      <c r="K73" s="181">
        <f t="shared" si="3"/>
        <v>254</v>
      </c>
    </row>
    <row r="74" spans="1:11" ht="15" customHeight="1">
      <c r="A74" s="43"/>
      <c r="B74" s="49" t="str">
        <f>VLOOKUP($C$67:$C$112,Equipment!$A$1:$B$2322,2,FALSE)</f>
        <v>Crewcab - 1 Ton</v>
      </c>
      <c r="C74" s="24" t="s">
        <v>1254</v>
      </c>
      <c r="D74" s="24"/>
      <c r="E74" s="24"/>
      <c r="F74" s="24"/>
      <c r="G74" s="24"/>
      <c r="H74" s="36">
        <v>1</v>
      </c>
      <c r="I74" s="20"/>
      <c r="J74" s="42">
        <f>VLOOKUP($B$67:$B$112,'Alberta Equip. Rates Year 3'!$B$13:$K$314,10,FALSE)</f>
        <v>163</v>
      </c>
      <c r="K74" s="181">
        <f t="shared" si="3"/>
        <v>163</v>
      </c>
    </row>
    <row r="75" spans="1:11" ht="15" customHeight="1">
      <c r="A75" s="43"/>
      <c r="B75" s="49" t="str">
        <f>VLOOKUP($C$67:$C$112,Equipment!$A$1:$B$2322,2,FALSE)</f>
        <v>Crewcab - 1 Ton</v>
      </c>
      <c r="C75" s="24" t="s">
        <v>1311</v>
      </c>
      <c r="D75" s="24"/>
      <c r="E75" s="24"/>
      <c r="F75" s="24"/>
      <c r="G75" s="24"/>
      <c r="H75" s="36">
        <v>1</v>
      </c>
      <c r="I75" s="20"/>
      <c r="J75" s="42">
        <f>VLOOKUP($B$67:$B$112,'Alberta Equip. Rates Year 3'!$B$13:$K$314,10,FALSE)</f>
        <v>163</v>
      </c>
      <c r="K75" s="181">
        <f t="shared" si="3"/>
        <v>163</v>
      </c>
    </row>
    <row r="76" spans="1:11" ht="15" customHeight="1">
      <c r="A76" s="43"/>
      <c r="B76" s="49" t="str">
        <f>VLOOKUP($C$67:$C$112,Equipment!$A$1:$B$2322,2,FALSE)</f>
        <v>Crewcab - 1 Ton</v>
      </c>
      <c r="C76" s="24" t="s">
        <v>2155</v>
      </c>
      <c r="D76" s="24"/>
      <c r="E76" s="24"/>
      <c r="F76" s="24"/>
      <c r="G76" s="24"/>
      <c r="H76" s="36">
        <v>1</v>
      </c>
      <c r="I76" s="20"/>
      <c r="J76" s="42">
        <f>VLOOKUP($B$67:$B$112,'Alberta Equip. Rates Year 3'!$B$13:$K$314,10,FALSE)</f>
        <v>163</v>
      </c>
      <c r="K76" s="181">
        <f t="shared" si="3"/>
        <v>163</v>
      </c>
    </row>
    <row r="77" spans="1:11" ht="15" customHeight="1">
      <c r="A77" s="43"/>
      <c r="B77" s="49" t="str">
        <f>VLOOKUP($C$67:$C$112,Equipment!$A$1:$B$2322,2,FALSE)</f>
        <v>Forklift - Zoom Boom</v>
      </c>
      <c r="C77" s="24" t="s">
        <v>2275</v>
      </c>
      <c r="D77" s="24"/>
      <c r="E77" s="24"/>
      <c r="F77" s="24"/>
      <c r="G77" s="24"/>
      <c r="H77" s="36">
        <v>1</v>
      </c>
      <c r="I77" s="20"/>
      <c r="J77" s="42">
        <f>VLOOKUP($B$67:$B$112,'Alberta Equip. Rates Year 3'!$B$13:$K$314,10,FALSE)</f>
        <v>503</v>
      </c>
      <c r="K77" s="181">
        <f t="shared" si="3"/>
        <v>503</v>
      </c>
    </row>
    <row r="78" spans="1:11" ht="15" customHeight="1">
      <c r="A78" s="43"/>
      <c r="B78" s="49" t="str">
        <f>VLOOKUP($C$67:$C$112,Equipment!$A$1:$B$2322,2,FALSE)</f>
        <v>Light Tower  - 6 kW</v>
      </c>
      <c r="C78" s="24" t="s">
        <v>4087</v>
      </c>
      <c r="D78" s="24"/>
      <c r="E78" s="24"/>
      <c r="F78" s="24"/>
      <c r="G78" s="24"/>
      <c r="H78" s="36">
        <v>1</v>
      </c>
      <c r="I78" s="20"/>
      <c r="J78" s="42">
        <f>VLOOKUP($B$67:$B$112,'Alberta Equip. Rates Year 3'!$B$13:$K$314,10,FALSE)</f>
        <v>212</v>
      </c>
      <c r="K78" s="181">
        <f t="shared" si="3"/>
        <v>212</v>
      </c>
    </row>
    <row r="79" spans="1:11" ht="15" customHeight="1">
      <c r="A79" s="43"/>
      <c r="B79" s="49" t="str">
        <f>VLOOKUP($C$67:$C$112,Equipment!$A$1:$B$2322,2,FALSE)</f>
        <v>Stepdeck Trailer</v>
      </c>
      <c r="C79" s="24" t="s">
        <v>2721</v>
      </c>
      <c r="D79" s="24"/>
      <c r="E79" s="24"/>
      <c r="F79" s="24"/>
      <c r="G79" s="24"/>
      <c r="H79" s="36">
        <v>1</v>
      </c>
      <c r="I79" s="20"/>
      <c r="J79" s="42">
        <f>VLOOKUP($B$67:$B$112,'Alberta Equip. Rates Year 3'!$B$13:$K$314,10,FALSE)</f>
        <v>170</v>
      </c>
      <c r="K79" s="181">
        <f t="shared" si="3"/>
        <v>170</v>
      </c>
    </row>
    <row r="80" spans="1:11" ht="15" customHeight="1">
      <c r="A80" s="43"/>
      <c r="B80" s="49" t="str">
        <f>VLOOKUP($C$67:$C$112,Equipment!$A$1:$B$2322,2,FALSE)</f>
        <v>Storage Trailer/ Van</v>
      </c>
      <c r="C80" s="24" t="s">
        <v>2920</v>
      </c>
      <c r="D80" s="24"/>
      <c r="E80" s="24"/>
      <c r="F80" s="24"/>
      <c r="G80" s="24"/>
      <c r="H80" s="36">
        <v>1</v>
      </c>
      <c r="I80" s="20"/>
      <c r="J80" s="42">
        <f>VLOOKUP($B$67:$B$112,'Alberta Equip. Rates Year 3'!$B$13:$K$314,10,FALSE)</f>
        <v>64</v>
      </c>
      <c r="K80" s="181">
        <f t="shared" si="3"/>
        <v>64</v>
      </c>
    </row>
    <row r="81" spans="1:11" ht="15" customHeight="1">
      <c r="A81" s="43"/>
      <c r="B81" s="49" t="str">
        <f>VLOOKUP($C$67:$C$112,Equipment!$A$1:$B$2322,2,FALSE)</f>
        <v>Weld - Welding Shack</v>
      </c>
      <c r="C81" s="24" t="s">
        <v>2634</v>
      </c>
      <c r="D81" s="24"/>
      <c r="E81" s="24"/>
      <c r="F81" s="24"/>
      <c r="G81" s="24"/>
      <c r="H81" s="36">
        <v>1</v>
      </c>
      <c r="I81" s="20"/>
      <c r="J81" s="42">
        <f>VLOOKUP($B$67:$B$112,'Alberta Equip. Rates Year 3'!$B$13:$K$314,10,FALSE)</f>
        <v>149</v>
      </c>
      <c r="K81" s="181">
        <f t="shared" si="3"/>
        <v>149</v>
      </c>
    </row>
    <row r="82" spans="1:11" ht="15" customHeight="1">
      <c r="A82" s="43"/>
      <c r="B82" s="49" t="str">
        <f>VLOOKUP($C$67:$C$112,Equipment!$A$1:$B$2322,2,FALSE)</f>
        <v>Weld - Welding Shack</v>
      </c>
      <c r="C82" s="24" t="s">
        <v>2709</v>
      </c>
      <c r="D82" s="24"/>
      <c r="E82" s="24"/>
      <c r="F82" s="24"/>
      <c r="G82" s="24"/>
      <c r="H82" s="36">
        <v>1</v>
      </c>
      <c r="I82" s="20"/>
      <c r="J82" s="42">
        <f>VLOOKUP($B$67:$B$112,'Alberta Equip. Rates Year 3'!$B$13:$K$314,10,FALSE)</f>
        <v>149</v>
      </c>
      <c r="K82" s="181">
        <f t="shared" si="3"/>
        <v>149</v>
      </c>
    </row>
    <row r="83" spans="1:11" ht="15" customHeight="1">
      <c r="A83" s="43"/>
      <c r="B83" s="49" t="str">
        <f>VLOOKUP($C$67:$C$112,Equipment!$A$1:$B$2322,2,FALSE)</f>
        <v>Weld - Welding Shack</v>
      </c>
      <c r="C83" s="24" t="s">
        <v>2850</v>
      </c>
      <c r="D83" s="24"/>
      <c r="E83" s="24"/>
      <c r="F83" s="24"/>
      <c r="G83" s="24"/>
      <c r="H83" s="36">
        <v>1</v>
      </c>
      <c r="I83" s="20"/>
      <c r="J83" s="42">
        <f>VLOOKUP($B$67:$B$112,'Alberta Equip. Rates Year 3'!$B$13:$K$314,10,FALSE)</f>
        <v>149</v>
      </c>
      <c r="K83" s="181">
        <f t="shared" si="3"/>
        <v>149</v>
      </c>
    </row>
    <row r="84" spans="1:11" ht="15" customHeight="1">
      <c r="A84" s="43"/>
      <c r="B84" s="49" t="str">
        <f>VLOOKUP($C$67:$C$112,Equipment!$A$1:$B$2322,2,FALSE)</f>
        <v>Weld - Welding Shack</v>
      </c>
      <c r="C84" s="24" t="s">
        <v>2394</v>
      </c>
      <c r="D84" s="24"/>
      <c r="E84" s="24"/>
      <c r="F84" s="24"/>
      <c r="G84" s="24"/>
      <c r="H84" s="36">
        <v>1</v>
      </c>
      <c r="I84" s="20"/>
      <c r="J84" s="42">
        <f>VLOOKUP($B$67:$B$112,'Alberta Equip. Rates Year 3'!$B$13:$K$314,10,FALSE)</f>
        <v>149</v>
      </c>
      <c r="K84" s="181">
        <f t="shared" ref="K84:K105" si="4">(H84+I84)*J84</f>
        <v>149</v>
      </c>
    </row>
    <row r="85" spans="1:11" ht="15" customHeight="1">
      <c r="A85" s="43"/>
      <c r="B85" s="49" t="str">
        <f>VLOOKUP($C$67:$C$112,Equipment!$A$1:$B$2322,2,FALSE)</f>
        <v>Weld - Welding Shack</v>
      </c>
      <c r="C85" s="24" t="s">
        <v>2397</v>
      </c>
      <c r="D85" s="24"/>
      <c r="E85" s="24"/>
      <c r="F85" s="24"/>
      <c r="G85" s="24"/>
      <c r="H85" s="36">
        <v>1</v>
      </c>
      <c r="I85" s="20"/>
      <c r="J85" s="42">
        <f>VLOOKUP($B$67:$B$112,'Alberta Equip. Rates Year 3'!$B$13:$K$314,10,FALSE)</f>
        <v>149</v>
      </c>
      <c r="K85" s="181">
        <f t="shared" si="4"/>
        <v>149</v>
      </c>
    </row>
    <row r="86" spans="1:11" ht="15" customHeight="1">
      <c r="A86" s="43"/>
      <c r="B86" s="49" t="str">
        <f>VLOOKUP($C$67:$C$112,Equipment!$A$1:$B$2322,2,FALSE)</f>
        <v>Welding Rig</v>
      </c>
      <c r="C86" s="24" t="s">
        <v>2156</v>
      </c>
      <c r="D86" s="24"/>
      <c r="E86" s="24"/>
      <c r="F86" s="24"/>
      <c r="G86" s="24"/>
      <c r="H86" s="36"/>
      <c r="I86" s="20">
        <v>10</v>
      </c>
      <c r="J86" s="42">
        <f>VLOOKUP($B$67:$B$112,'Alberta Equip. Rates Year 3'!$B$13:$K$314,10,FALSE)</f>
        <v>48</v>
      </c>
      <c r="K86" s="181">
        <f t="shared" si="4"/>
        <v>480</v>
      </c>
    </row>
    <row r="87" spans="1:11" ht="15" customHeight="1">
      <c r="A87" s="43"/>
      <c r="B87" s="49" t="str">
        <f>VLOOKUP($C$67:$C$112,Equipment!$A$1:$B$2322,2,FALSE)</f>
        <v>Welding Rig</v>
      </c>
      <c r="C87" s="24" t="s">
        <v>2849</v>
      </c>
      <c r="D87" s="24"/>
      <c r="E87" s="24"/>
      <c r="F87" s="24"/>
      <c r="G87" s="24"/>
      <c r="H87" s="36"/>
      <c r="I87" s="20">
        <v>11</v>
      </c>
      <c r="J87" s="42">
        <f>VLOOKUP($B$67:$B$112,'Alberta Equip. Rates Year 3'!$B$13:$K$314,10,FALSE)</f>
        <v>48</v>
      </c>
      <c r="K87" s="181">
        <f t="shared" si="4"/>
        <v>528</v>
      </c>
    </row>
    <row r="88" spans="1:11" ht="15" customHeight="1">
      <c r="A88" s="43"/>
      <c r="B88" s="49" t="str">
        <f>VLOOKUP($C$67:$C$112,Equipment!$A$1:$B$2322,2,FALSE)</f>
        <v>Welding Rig</v>
      </c>
      <c r="C88" s="24" t="s">
        <v>2813</v>
      </c>
      <c r="D88" s="24"/>
      <c r="E88" s="24"/>
      <c r="F88" s="24"/>
      <c r="G88" s="24"/>
      <c r="H88" s="36"/>
      <c r="I88" s="20">
        <v>10</v>
      </c>
      <c r="J88" s="42">
        <f>VLOOKUP($B$67:$B$112,'Alberta Equip. Rates Year 3'!$B$13:$K$314,10,FALSE)</f>
        <v>48</v>
      </c>
      <c r="K88" s="181">
        <f t="shared" si="4"/>
        <v>480</v>
      </c>
    </row>
    <row r="89" spans="1:11" ht="15" customHeight="1">
      <c r="A89" s="43"/>
      <c r="B89" s="49">
        <f>VLOOKUP($C$67:$C$112,Equipment!$A$1:$B$2322,2,FALSE)</f>
        <v>0</v>
      </c>
      <c r="C89" s="24"/>
      <c r="D89" s="24"/>
      <c r="E89" s="24"/>
      <c r="F89" s="24"/>
      <c r="G89" s="24"/>
      <c r="H89" s="36"/>
      <c r="I89" s="20"/>
      <c r="J89" s="42">
        <f>VLOOKUP($B$67:$B$112,'Alberta Equip. Rates Year 3'!$B$13:$K$314,10,FALSE)</f>
        <v>0</v>
      </c>
      <c r="K89" s="181">
        <f t="shared" si="4"/>
        <v>0</v>
      </c>
    </row>
    <row r="90" spans="1:11" ht="15" customHeight="1">
      <c r="A90" s="43"/>
      <c r="B90" s="49">
        <f>VLOOKUP($C$67:$C$112,Equipment!$A$1:$B$2322,2,FALSE)</f>
        <v>0</v>
      </c>
      <c r="C90" s="24"/>
      <c r="D90" s="24"/>
      <c r="E90" s="24"/>
      <c r="F90" s="24"/>
      <c r="G90" s="24"/>
      <c r="H90" s="36"/>
      <c r="I90" s="20"/>
      <c r="J90" s="42">
        <f>VLOOKUP($B$67:$B$112,'Alberta Equip. Rates Year 3'!$B$13:$K$314,10,FALSE)</f>
        <v>0</v>
      </c>
      <c r="K90" s="181">
        <f t="shared" si="4"/>
        <v>0</v>
      </c>
    </row>
    <row r="91" spans="1:11" ht="15" customHeight="1">
      <c r="A91" s="43"/>
      <c r="B91" s="49">
        <f>VLOOKUP($C$67:$C$112,Equipment!$A$1:$B$2322,2,FALSE)</f>
        <v>0</v>
      </c>
      <c r="C91" s="24"/>
      <c r="D91" s="24"/>
      <c r="E91" s="24"/>
      <c r="F91" s="24"/>
      <c r="G91" s="24"/>
      <c r="H91" s="36"/>
      <c r="I91" s="20"/>
      <c r="J91" s="42">
        <f>VLOOKUP($B$67:$B$112,'Alberta Equip. Rates Year 3'!$B$13:$K$314,10,FALSE)</f>
        <v>0</v>
      </c>
      <c r="K91" s="181">
        <f t="shared" si="4"/>
        <v>0</v>
      </c>
    </row>
    <row r="92" spans="1:11" ht="15" customHeight="1">
      <c r="A92" s="43"/>
      <c r="B92" s="49">
        <f>VLOOKUP($C$67:$C$112,Equipment!$A$1:$B$2322,2,FALSE)</f>
        <v>0</v>
      </c>
      <c r="C92" s="24"/>
      <c r="D92" s="24"/>
      <c r="E92" s="24"/>
      <c r="F92" s="24"/>
      <c r="G92" s="24"/>
      <c r="H92" s="36"/>
      <c r="I92" s="20"/>
      <c r="J92" s="42">
        <f>VLOOKUP($B$67:$B$112,'Alberta Equip. Rates Year 3'!$B$13:$K$314,10,FALSE)</f>
        <v>0</v>
      </c>
      <c r="K92" s="181">
        <f t="shared" si="4"/>
        <v>0</v>
      </c>
    </row>
    <row r="93" spans="1:11" ht="15" customHeight="1">
      <c r="A93" s="43"/>
      <c r="B93" s="49">
        <f>VLOOKUP($C$67:$C$112,Equipment!$A$1:$B$2322,2,FALSE)</f>
        <v>0</v>
      </c>
      <c r="C93" s="24"/>
      <c r="D93" s="24"/>
      <c r="E93" s="24"/>
      <c r="F93" s="24"/>
      <c r="G93" s="24"/>
      <c r="H93" s="36"/>
      <c r="I93" s="20"/>
      <c r="J93" s="42">
        <f>VLOOKUP($B$67:$B$112,'Alberta Equip. Rates Year 3'!$B$13:$K$314,10,FALSE)</f>
        <v>0</v>
      </c>
      <c r="K93" s="181">
        <f t="shared" si="4"/>
        <v>0</v>
      </c>
    </row>
    <row r="94" spans="1:11" ht="15" customHeight="1">
      <c r="A94" s="43"/>
      <c r="B94" s="49">
        <f>VLOOKUP($C$67:$C$112,Equipment!$A$1:$B$2322,2,FALSE)</f>
        <v>0</v>
      </c>
      <c r="C94" s="24"/>
      <c r="D94" s="24"/>
      <c r="E94" s="24"/>
      <c r="F94" s="24"/>
      <c r="G94" s="24"/>
      <c r="H94" s="36"/>
      <c r="I94" s="20"/>
      <c r="J94" s="42">
        <f>VLOOKUP($B$67:$B$112,'Alberta Equip. Rates Year 3'!$B$13:$K$314,10,FALSE)</f>
        <v>0</v>
      </c>
      <c r="K94" s="181">
        <f t="shared" si="4"/>
        <v>0</v>
      </c>
    </row>
    <row r="95" spans="1:11" ht="15" customHeight="1">
      <c r="A95" s="43"/>
      <c r="B95" s="49">
        <f>VLOOKUP($C$67:$C$112,Equipment!$A$1:$B$2322,2,FALSE)</f>
        <v>0</v>
      </c>
      <c r="C95" s="24"/>
      <c r="D95" s="24"/>
      <c r="E95" s="24"/>
      <c r="F95" s="24"/>
      <c r="G95" s="24"/>
      <c r="H95" s="36"/>
      <c r="I95" s="20"/>
      <c r="J95" s="42">
        <f>VLOOKUP($B$67:$B$112,'Alberta Equip. Rates Year 3'!$B$13:$K$314,10,FALSE)</f>
        <v>0</v>
      </c>
      <c r="K95" s="181">
        <f t="shared" si="4"/>
        <v>0</v>
      </c>
    </row>
    <row r="96" spans="1:11" ht="15" customHeight="1">
      <c r="A96" s="43"/>
      <c r="B96" s="49">
        <f>VLOOKUP($C$67:$C$112,Equipment!$A$1:$B$2322,2,FALSE)</f>
        <v>0</v>
      </c>
      <c r="C96" s="24"/>
      <c r="D96" s="24"/>
      <c r="E96" s="24"/>
      <c r="F96" s="24"/>
      <c r="G96" s="24"/>
      <c r="H96" s="36"/>
      <c r="I96" s="20"/>
      <c r="J96" s="42">
        <f>VLOOKUP($B$67:$B$112,'Alberta Equip. Rates Year 3'!$B$13:$K$314,10,FALSE)</f>
        <v>0</v>
      </c>
      <c r="K96" s="181">
        <f t="shared" si="4"/>
        <v>0</v>
      </c>
    </row>
    <row r="97" spans="1:11" ht="15" customHeight="1">
      <c r="A97" s="43"/>
      <c r="B97" s="49">
        <f>VLOOKUP($C$67:$C$112,Equipment!$A$1:$B$2322,2,FALSE)</f>
        <v>0</v>
      </c>
      <c r="C97" s="24"/>
      <c r="D97" s="24"/>
      <c r="E97" s="24"/>
      <c r="F97" s="24"/>
      <c r="G97" s="24"/>
      <c r="H97" s="36"/>
      <c r="I97" s="20"/>
      <c r="J97" s="42">
        <f>VLOOKUP($B$67:$B$112,'Alberta Equip. Rates Year 3'!$B$13:$K$314,10,FALSE)</f>
        <v>0</v>
      </c>
      <c r="K97" s="181">
        <f t="shared" si="4"/>
        <v>0</v>
      </c>
    </row>
    <row r="98" spans="1:11" ht="15" customHeight="1">
      <c r="A98" s="43"/>
      <c r="B98" s="49">
        <f>VLOOKUP($C$67:$C$112,Equipment!$A$1:$B$2322,2,FALSE)</f>
        <v>0</v>
      </c>
      <c r="C98" s="24"/>
      <c r="D98" s="24"/>
      <c r="E98" s="24"/>
      <c r="F98" s="24"/>
      <c r="G98" s="24"/>
      <c r="H98" s="36"/>
      <c r="I98" s="20"/>
      <c r="J98" s="42">
        <f>VLOOKUP($B$67:$B$112,'Alberta Equip. Rates Year 3'!$B$13:$K$314,10,FALSE)</f>
        <v>0</v>
      </c>
      <c r="K98" s="181">
        <f t="shared" si="4"/>
        <v>0</v>
      </c>
    </row>
    <row r="99" spans="1:11" ht="15" customHeight="1">
      <c r="A99" s="43"/>
      <c r="B99" s="49">
        <f>VLOOKUP($C$67:$C$112,Equipment!$A$1:$B$2322,2,FALSE)</f>
        <v>0</v>
      </c>
      <c r="C99" s="24"/>
      <c r="D99" s="24"/>
      <c r="E99" s="24"/>
      <c r="F99" s="24"/>
      <c r="G99" s="24"/>
      <c r="H99" s="36"/>
      <c r="I99" s="20"/>
      <c r="J99" s="42">
        <f>VLOOKUP($B$67:$B$112,'Alberta Equip. Rates Year 3'!$B$13:$K$314,10,FALSE)</f>
        <v>0</v>
      </c>
      <c r="K99" s="181">
        <f t="shared" si="4"/>
        <v>0</v>
      </c>
    </row>
    <row r="100" spans="1:11" ht="15" customHeight="1">
      <c r="A100" s="43"/>
      <c r="B100" s="49">
        <f>VLOOKUP($C$67:$C$112,Equipment!$A$1:$B$2322,2,FALSE)</f>
        <v>0</v>
      </c>
      <c r="C100" s="24"/>
      <c r="D100" s="24"/>
      <c r="E100" s="24"/>
      <c r="F100" s="24"/>
      <c r="G100" s="24"/>
      <c r="H100" s="36"/>
      <c r="I100" s="20"/>
      <c r="J100" s="42">
        <f>VLOOKUP($B$67:$B$112,'Alberta Equip. Rates Year 3'!$B$13:$K$314,10,FALSE)</f>
        <v>0</v>
      </c>
      <c r="K100" s="181">
        <f t="shared" si="4"/>
        <v>0</v>
      </c>
    </row>
    <row r="101" spans="1:11" ht="15" customHeight="1">
      <c r="A101" s="43"/>
      <c r="B101" s="49">
        <f>VLOOKUP($C$67:$C$112,Equipment!$A$1:$B$2322,2,FALSE)</f>
        <v>0</v>
      </c>
      <c r="C101" s="24"/>
      <c r="D101" s="24"/>
      <c r="E101" s="24"/>
      <c r="F101" s="24"/>
      <c r="G101" s="24"/>
      <c r="H101" s="36"/>
      <c r="I101" s="20"/>
      <c r="J101" s="42">
        <f>VLOOKUP($B$67:$B$112,'Alberta Equip. Rates Year 3'!$B$13:$K$314,10,FALSE)</f>
        <v>0</v>
      </c>
      <c r="K101" s="181">
        <f t="shared" si="4"/>
        <v>0</v>
      </c>
    </row>
    <row r="102" spans="1:11" ht="15" customHeight="1">
      <c r="A102" s="43"/>
      <c r="B102" s="49">
        <f>VLOOKUP($C$67:$C$112,Equipment!$A$1:$B$2322,2,FALSE)</f>
        <v>0</v>
      </c>
      <c r="C102" s="24"/>
      <c r="D102" s="24"/>
      <c r="E102" s="24"/>
      <c r="F102" s="24"/>
      <c r="G102" s="24"/>
      <c r="H102" s="36"/>
      <c r="I102" s="20"/>
      <c r="J102" s="42">
        <f>VLOOKUP($B$67:$B$112,'Alberta Equip. Rates Year 3'!$B$13:$K$314,10,FALSE)</f>
        <v>0</v>
      </c>
      <c r="K102" s="181">
        <f t="shared" si="4"/>
        <v>0</v>
      </c>
    </row>
    <row r="103" spans="1:11" ht="15" customHeight="1">
      <c r="A103" s="43"/>
      <c r="B103" s="49">
        <f>VLOOKUP($C$67:$C$112,Equipment!$A$1:$B$2322,2,FALSE)</f>
        <v>0</v>
      </c>
      <c r="C103" s="24"/>
      <c r="D103" s="24"/>
      <c r="E103" s="24"/>
      <c r="F103" s="24"/>
      <c r="G103" s="24"/>
      <c r="H103" s="36"/>
      <c r="I103" s="20"/>
      <c r="J103" s="42">
        <f>VLOOKUP($B$67:$B$112,'Alberta Equip. Rates Year 3'!$B$13:$K$314,10,FALSE)</f>
        <v>0</v>
      </c>
      <c r="K103" s="181">
        <f t="shared" si="4"/>
        <v>0</v>
      </c>
    </row>
    <row r="104" spans="1:11" ht="15" customHeight="1">
      <c r="A104" s="43"/>
      <c r="B104" s="49">
        <f>VLOOKUP($C$67:$C$112,Equipment!$A$1:$B$2322,2,FALSE)</f>
        <v>0</v>
      </c>
      <c r="C104" s="24"/>
      <c r="D104" s="24"/>
      <c r="E104" s="24"/>
      <c r="F104" s="24"/>
      <c r="G104" s="24"/>
      <c r="H104" s="36"/>
      <c r="I104" s="20"/>
      <c r="J104" s="42">
        <f>VLOOKUP($B$67:$B$112,'Alberta Equip. Rates Year 3'!$B$13:$K$314,10,FALSE)</f>
        <v>0</v>
      </c>
      <c r="K104" s="181">
        <f>(H104+I104)*J104</f>
        <v>0</v>
      </c>
    </row>
    <row r="105" spans="1:11" ht="15" customHeight="1">
      <c r="A105" s="43"/>
      <c r="B105" s="49">
        <f>VLOOKUP($C$67:$C$112,Equipment!$A$1:$B$2322,2,FALSE)</f>
        <v>0</v>
      </c>
      <c r="C105" s="24"/>
      <c r="D105" s="24"/>
      <c r="E105" s="24"/>
      <c r="F105" s="24"/>
      <c r="G105" s="24"/>
      <c r="H105" s="36"/>
      <c r="I105" s="20"/>
      <c r="J105" s="42">
        <f>VLOOKUP($B$67:$B$112,'Alberta Equip. Rates Year 3'!$B$13:$K$314,10,FALSE)</f>
        <v>0</v>
      </c>
      <c r="K105" s="181">
        <f t="shared" si="4"/>
        <v>0</v>
      </c>
    </row>
    <row r="106" spans="1:11" ht="15" customHeight="1">
      <c r="A106" s="43"/>
      <c r="B106" s="49">
        <f>VLOOKUP($C$67:$C$112,Equipment!$A$1:$B$2322,2,FALSE)</f>
        <v>0</v>
      </c>
      <c r="C106" s="24"/>
      <c r="D106" s="24"/>
      <c r="E106" s="24"/>
      <c r="F106" s="24"/>
      <c r="G106" s="24"/>
      <c r="H106" s="36"/>
      <c r="I106" s="20"/>
      <c r="J106" s="42">
        <f>VLOOKUP($B$67:$B$112,'Alberta Equip. Rates Year 3'!$B$13:$K$314,10,FALSE)</f>
        <v>0</v>
      </c>
      <c r="K106" s="181">
        <f t="shared" ref="K106:K112" si="5">(H106+I106)*J106</f>
        <v>0</v>
      </c>
    </row>
    <row r="107" spans="1:11" ht="15" customHeight="1">
      <c r="A107" s="43"/>
      <c r="B107" s="49">
        <f>VLOOKUP($C$67:$C$112,Equipment!$A$1:$B$2322,2,FALSE)</f>
        <v>0</v>
      </c>
      <c r="C107" s="24"/>
      <c r="D107" s="24"/>
      <c r="E107" s="24"/>
      <c r="F107" s="24"/>
      <c r="G107" s="24"/>
      <c r="H107" s="36"/>
      <c r="I107" s="20"/>
      <c r="J107" s="42">
        <f>VLOOKUP($B$67:$B$112,'Alberta Equip. Rates Year 3'!$B$13:$K$314,10,FALSE)</f>
        <v>0</v>
      </c>
      <c r="K107" s="181">
        <f t="shared" si="5"/>
        <v>0</v>
      </c>
    </row>
    <row r="108" spans="1:11" ht="15" customHeight="1">
      <c r="A108" s="43"/>
      <c r="B108" s="49">
        <f>VLOOKUP($C$67:$C$112,Equipment!$A$1:$B$2322,2,FALSE)</f>
        <v>0</v>
      </c>
      <c r="C108" s="24"/>
      <c r="D108" s="24"/>
      <c r="E108" s="24"/>
      <c r="F108" s="24"/>
      <c r="G108" s="24"/>
      <c r="H108" s="36"/>
      <c r="I108" s="20"/>
      <c r="J108" s="42">
        <f>VLOOKUP($B$67:$B$112,'Alberta Equip. Rates Year 3'!$B$13:$K$314,10,FALSE)</f>
        <v>0</v>
      </c>
      <c r="K108" s="181">
        <f t="shared" si="5"/>
        <v>0</v>
      </c>
    </row>
    <row r="109" spans="1:11" ht="15" customHeight="1">
      <c r="A109" s="43"/>
      <c r="B109" s="49">
        <f>VLOOKUP($C$67:$C$112,Equipment!$A$1:$B$2322,2,FALSE)</f>
        <v>0</v>
      </c>
      <c r="C109" s="24"/>
      <c r="D109" s="24"/>
      <c r="E109" s="24"/>
      <c r="F109" s="24"/>
      <c r="G109" s="24"/>
      <c r="H109" s="36"/>
      <c r="I109" s="20"/>
      <c r="J109" s="42">
        <f>VLOOKUP($B$67:$B$112,'Alberta Equip. Rates Year 3'!$B$13:$K$314,10,FALSE)</f>
        <v>0</v>
      </c>
      <c r="K109" s="181">
        <f t="shared" si="5"/>
        <v>0</v>
      </c>
    </row>
    <row r="110" spans="1:11" ht="15" customHeight="1">
      <c r="A110" s="43"/>
      <c r="B110" s="49">
        <f>VLOOKUP($C$67:$C$112,Equipment!$A$1:$B$2322,2,FALSE)</f>
        <v>0</v>
      </c>
      <c r="C110" s="24"/>
      <c r="D110" s="24"/>
      <c r="E110" s="24"/>
      <c r="F110" s="24"/>
      <c r="G110" s="24"/>
      <c r="H110" s="36"/>
      <c r="I110" s="20"/>
      <c r="J110" s="42">
        <f>VLOOKUP($B$67:$B$112,'Alberta Equip. Rates Year 3'!$B$13:$K$314,10,FALSE)</f>
        <v>0</v>
      </c>
      <c r="K110" s="181">
        <f t="shared" si="5"/>
        <v>0</v>
      </c>
    </row>
    <row r="111" spans="1:11" ht="15" customHeight="1">
      <c r="A111" s="43"/>
      <c r="B111" s="49">
        <f>VLOOKUP($C$67:$C$112,Equipment!$A$1:$B$2322,2,FALSE)</f>
        <v>0</v>
      </c>
      <c r="C111" s="24"/>
      <c r="D111" s="24"/>
      <c r="E111" s="24"/>
      <c r="F111" s="24"/>
      <c r="G111" s="24"/>
      <c r="H111" s="36"/>
      <c r="I111" s="20"/>
      <c r="J111" s="42">
        <f>VLOOKUP($B$67:$B$112,'Alberta Equip. Rates Year 3'!$B$13:$K$314,10,FALSE)</f>
        <v>0</v>
      </c>
      <c r="K111" s="181">
        <f t="shared" si="5"/>
        <v>0</v>
      </c>
    </row>
    <row r="112" spans="1:11" ht="15" customHeight="1" thickBot="1">
      <c r="A112" s="43"/>
      <c r="B112" s="49">
        <f>VLOOKUP($C$67:$C$112,Equipment!$A$1:$B$2322,2,FALSE)</f>
        <v>0</v>
      </c>
      <c r="C112" s="24"/>
      <c r="D112" s="24"/>
      <c r="E112" s="24"/>
      <c r="F112" s="24"/>
      <c r="G112" s="24"/>
      <c r="H112" s="36"/>
      <c r="I112" s="20"/>
      <c r="J112" s="42">
        <f>VLOOKUP($B$67:$B$112,'Alberta Equip. Rates Year 3'!$B$13:$K$314,10,FALSE)</f>
        <v>0</v>
      </c>
      <c r="K112" s="181">
        <f t="shared" si="5"/>
        <v>0</v>
      </c>
    </row>
    <row r="113" spans="1:11" ht="12" thickBot="1">
      <c r="A113" s="25"/>
      <c r="B113" s="25"/>
      <c r="C113" s="25"/>
      <c r="D113" s="21"/>
      <c r="E113" s="21"/>
      <c r="F113" s="21"/>
      <c r="G113" s="21"/>
      <c r="H113" s="21"/>
      <c r="I113" s="360" t="s">
        <v>24</v>
      </c>
      <c r="J113" s="361"/>
      <c r="K113" s="182">
        <f>SUM(K67:K112)</f>
        <v>10650</v>
      </c>
    </row>
    <row r="114" spans="1:11" ht="12" thickBot="1">
      <c r="A114" s="26"/>
      <c r="D114" s="26"/>
      <c r="I114" s="27"/>
      <c r="J114" s="27"/>
      <c r="K114" s="28"/>
    </row>
    <row r="115" spans="1:11">
      <c r="A115" s="1" t="s">
        <v>25</v>
      </c>
      <c r="B115" s="29"/>
      <c r="D115" s="1"/>
      <c r="E115" s="1"/>
      <c r="F115" s="1"/>
      <c r="G115" s="1"/>
      <c r="H115" s="1"/>
      <c r="I115" s="362" t="s">
        <v>26</v>
      </c>
      <c r="J115" s="362"/>
      <c r="K115" s="37">
        <f>K64</f>
        <v>41253.44999999999</v>
      </c>
    </row>
    <row r="116" spans="1:11">
      <c r="D116" s="1"/>
      <c r="E116" s="1"/>
      <c r="F116" s="1"/>
      <c r="G116" s="1"/>
      <c r="H116" s="1"/>
      <c r="I116" s="362" t="s">
        <v>27</v>
      </c>
      <c r="J116" s="362"/>
      <c r="K116" s="38">
        <f>K113</f>
        <v>10650</v>
      </c>
    </row>
    <row r="117" spans="1:11">
      <c r="D117" s="1"/>
      <c r="E117" s="1"/>
      <c r="F117" s="1"/>
      <c r="G117" s="1"/>
      <c r="H117" s="1"/>
      <c r="I117" s="27" t="s">
        <v>28</v>
      </c>
      <c r="J117" s="27"/>
      <c r="K117" s="38">
        <f>(O64)*14.15</f>
        <v>6664.6500000000005</v>
      </c>
    </row>
    <row r="118" spans="1:11">
      <c r="D118" s="1"/>
      <c r="E118" s="1"/>
      <c r="F118" s="1"/>
      <c r="G118" s="1"/>
      <c r="H118" s="1"/>
      <c r="I118" s="30" t="s">
        <v>29</v>
      </c>
      <c r="J118" s="30"/>
      <c r="K118" s="39"/>
    </row>
    <row r="119" spans="1:11">
      <c r="D119" s="1"/>
      <c r="E119" s="1"/>
      <c r="F119" s="1"/>
      <c r="G119" s="1"/>
      <c r="H119" s="1"/>
      <c r="I119" s="30" t="s">
        <v>30</v>
      </c>
      <c r="J119" s="30"/>
      <c r="K119" s="39"/>
    </row>
    <row r="120" spans="1:11">
      <c r="D120" s="1"/>
      <c r="E120" s="1"/>
      <c r="F120" s="1"/>
      <c r="G120" s="1"/>
      <c r="H120" s="1"/>
      <c r="I120" s="30" t="s">
        <v>31</v>
      </c>
      <c r="J120" s="30"/>
      <c r="K120" s="39"/>
    </row>
    <row r="121" spans="1:11" ht="12" thickBot="1">
      <c r="D121" s="1"/>
      <c r="E121" s="1"/>
      <c r="F121" s="1"/>
      <c r="G121" s="1"/>
      <c r="H121" s="1"/>
      <c r="I121" s="362" t="s">
        <v>32</v>
      </c>
      <c r="J121" s="362"/>
      <c r="K121" s="40">
        <f>SUM(K115:K120)</f>
        <v>58568.099999999991</v>
      </c>
    </row>
    <row r="122" spans="1:11">
      <c r="D122" s="1"/>
      <c r="E122" s="1"/>
      <c r="F122" s="1"/>
      <c r="G122" s="1"/>
      <c r="H122" s="1"/>
      <c r="I122" s="27"/>
      <c r="J122" s="27"/>
    </row>
    <row r="123" spans="1:11">
      <c r="A123" s="31" t="s">
        <v>33</v>
      </c>
      <c r="B123" s="32"/>
      <c r="C123" s="32"/>
      <c r="D123" s="1"/>
      <c r="H123" s="33" t="s">
        <v>34</v>
      </c>
      <c r="I123" s="32"/>
      <c r="J123" s="32"/>
      <c r="K123" s="32"/>
    </row>
    <row r="124" spans="1:11" ht="15">
      <c r="A124" s="34"/>
      <c r="E124" s="8"/>
      <c r="F124" s="8"/>
      <c r="G124" s="8"/>
      <c r="H124" s="35"/>
      <c r="I124" s="35"/>
      <c r="J124" s="35"/>
      <c r="K124" s="35"/>
    </row>
    <row r="125" spans="1:11" ht="15">
      <c r="A125" s="34" t="s">
        <v>35</v>
      </c>
      <c r="E125" s="8"/>
      <c r="F125" s="8"/>
      <c r="G125" s="8"/>
      <c r="H125" s="35"/>
      <c r="I125" s="35"/>
      <c r="J125" s="35"/>
      <c r="K125" s="35"/>
    </row>
    <row r="126" spans="1:11" s="34" customFormat="1">
      <c r="A126" s="363">
        <v>41218.479166666664</v>
      </c>
      <c r="B126" s="363"/>
      <c r="C126" s="364"/>
      <c r="D126" s="364"/>
      <c r="E126" s="364"/>
      <c r="F126" s="364"/>
      <c r="G126" s="364"/>
      <c r="H126" s="364"/>
      <c r="I126" s="364"/>
      <c r="J126" s="364"/>
      <c r="K126" s="8"/>
    </row>
    <row r="136" s="1" customFormat="1"/>
    <row r="137" s="1" customFormat="1"/>
    <row r="138" s="1" customFormat="1"/>
    <row r="139" s="1" customFormat="1"/>
    <row r="140" s="1" customFormat="1"/>
    <row r="141" s="1" customFormat="1"/>
    <row r="142" s="1" customFormat="1"/>
    <row r="143" s="1" customFormat="1"/>
    <row r="144" s="1" customFormat="1"/>
    <row r="145" s="1" customFormat="1"/>
    <row r="146" s="1" customFormat="1"/>
    <row r="147" s="1" customFormat="1"/>
    <row r="148" s="1" customFormat="1"/>
    <row r="149" s="1" customFormat="1"/>
    <row r="154" s="1" customFormat="1"/>
    <row r="182" s="1" customFormat="1"/>
    <row r="183" s="1" customFormat="1"/>
    <row r="184" s="1" customFormat="1"/>
    <row r="185" s="1" customFormat="1"/>
  </sheetData>
  <mergeCells count="12">
    <mergeCell ref="I113:J113"/>
    <mergeCell ref="I115:J115"/>
    <mergeCell ref="I116:J116"/>
    <mergeCell ref="I121:J121"/>
    <mergeCell ref="A126:B126"/>
    <mergeCell ref="C126:J126"/>
    <mergeCell ref="I64:J64"/>
    <mergeCell ref="C1:H1"/>
    <mergeCell ref="C2:H2"/>
    <mergeCell ref="C3:H3"/>
    <mergeCell ref="H6:I6"/>
    <mergeCell ref="H7:I7"/>
  </mergeCells>
  <printOptions horizontalCentered="1"/>
  <pageMargins left="0.19685039370078741" right="0.19685039370078741" top="0.39370078740157483" bottom="0.39370078740157483" header="0" footer="0"/>
  <pageSetup orientation="portrait" horizontalDpi="4294967292" verticalDpi="4294967292"/>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1200-000000000000}">
          <x14:formula1>
            <xm:f>Accounts!$A$4:$A$60</xm:f>
          </x14:formula1>
          <xm:sqref>K7</xm:sqref>
        </x14:dataValidation>
        <x14:dataValidation type="list" allowBlank="1" showInputMessage="1" showErrorMessage="1" xr:uid="{00000000-0002-0000-1200-000001000000}">
          <x14:formula1>
            <xm:f>'Constr. Wage Rate Calculations'!$A$19:$A$288</xm:f>
          </x14:formula1>
          <xm:sqref>B11:B63</xm:sqref>
        </x14:dataValidation>
        <x14:dataValidation type="list" allowBlank="1" showInputMessage="1" showErrorMessage="1" xr:uid="{00000000-0002-0000-1200-000002000000}">
          <x14:formula1>
            <xm:f>Personnel!$A:$A</xm:f>
          </x14:formula1>
          <xm:sqref>C11:C63</xm:sqref>
        </x14:dataValidation>
        <x14:dataValidation type="list" allowBlank="1" showInputMessage="1" showErrorMessage="1" xr:uid="{00000000-0002-0000-1200-000003000000}">
          <x14:formula1>
            <xm:f>Equipment!$A:$A</xm:f>
          </x14:formula1>
          <xm:sqref>C67:C112</xm:sqref>
        </x14:dataValidation>
      </x14:dataValidations>
    </ext>
    <ext xmlns:mx="http://schemas.microsoft.com/office/mac/excel/2008/main" uri="{64002731-A6B0-56B0-2670-7721B7C09600}">
      <mx:PLV Mode="0" OnePage="0" WScale="0"/>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CCFFCC"/>
    <pageSetUpPr fitToPage="1"/>
  </sheetPr>
  <dimension ref="A1:O175"/>
  <sheetViews>
    <sheetView zoomScale="120" zoomScaleNormal="120" zoomScalePageLayoutView="120" workbookViewId="0">
      <selection activeCell="C13" sqref="C13"/>
    </sheetView>
  </sheetViews>
  <sheetFormatPr baseColWidth="10" defaultColWidth="8.83203125" defaultRowHeight="11"/>
  <cols>
    <col min="1" max="1" width="13" style="1" customWidth="1"/>
    <col min="2" max="2" width="30" style="1" customWidth="1"/>
    <col min="3" max="3" width="24.5" style="1" customWidth="1"/>
    <col min="4" max="4" width="8.6640625" style="2" customWidth="1"/>
    <col min="5" max="5" width="8.6640625" style="2" bestFit="1" customWidth="1"/>
    <col min="6" max="6" width="8.33203125" style="2" customWidth="1"/>
    <col min="7" max="8" width="8.6640625" style="2" customWidth="1"/>
    <col min="9" max="9" width="9.33203125" style="2" customWidth="1"/>
    <col min="10" max="10" width="8.6640625" style="2" customWidth="1"/>
    <col min="11" max="11" width="20.1640625" style="1" customWidth="1"/>
    <col min="12" max="12" width="3.5" style="1" hidden="1" customWidth="1"/>
    <col min="13" max="16384" width="8.83203125" style="1"/>
  </cols>
  <sheetData>
    <row r="1" spans="1:13" ht="15">
      <c r="C1" s="364"/>
      <c r="D1" s="365"/>
      <c r="E1" s="365"/>
      <c r="F1" s="365"/>
      <c r="G1" s="365"/>
      <c r="H1" s="366"/>
      <c r="J1" s="2" t="s">
        <v>0</v>
      </c>
      <c r="K1" s="197">
        <v>41659</v>
      </c>
      <c r="M1" s="45"/>
    </row>
    <row r="2" spans="1:13" ht="15">
      <c r="C2" s="367"/>
      <c r="D2" s="367"/>
      <c r="E2" s="367"/>
      <c r="F2" s="367"/>
      <c r="G2" s="367"/>
      <c r="H2" s="366"/>
      <c r="K2" s="41"/>
    </row>
    <row r="3" spans="1:13" ht="15">
      <c r="C3" s="368"/>
      <c r="D3" s="369"/>
      <c r="E3" s="369"/>
      <c r="F3" s="369"/>
      <c r="G3" s="369"/>
      <c r="H3" s="366"/>
    </row>
    <row r="4" spans="1:13">
      <c r="C4" s="3"/>
      <c r="D4" s="4"/>
      <c r="E4" s="4"/>
      <c r="F4" s="4"/>
      <c r="G4" s="4"/>
    </row>
    <row r="5" spans="1:13">
      <c r="C5" s="3"/>
      <c r="D5" s="4"/>
      <c r="E5" s="4"/>
      <c r="F5" s="4"/>
      <c r="G5" s="4"/>
    </row>
    <row r="6" spans="1:13" ht="12">
      <c r="B6" s="5"/>
      <c r="C6" s="6"/>
      <c r="D6" s="7"/>
      <c r="E6" s="8"/>
      <c r="F6" s="8"/>
      <c r="G6" s="1" t="s">
        <v>1</v>
      </c>
      <c r="H6" s="370">
        <v>18241</v>
      </c>
      <c r="I6" s="370"/>
      <c r="J6" s="1" t="s">
        <v>2</v>
      </c>
      <c r="K6" s="47"/>
    </row>
    <row r="7" spans="1:13" ht="12">
      <c r="A7" s="1" t="s">
        <v>3</v>
      </c>
      <c r="B7" s="9"/>
      <c r="C7" s="10"/>
      <c r="D7" s="11"/>
      <c r="E7" s="8"/>
      <c r="F7" s="8"/>
      <c r="G7" s="1" t="s">
        <v>4</v>
      </c>
      <c r="H7" s="371"/>
      <c r="I7" s="371"/>
      <c r="J7" s="1" t="s">
        <v>5</v>
      </c>
      <c r="K7" s="46"/>
    </row>
    <row r="8" spans="1:13" ht="12">
      <c r="B8" s="12"/>
      <c r="C8" s="13"/>
      <c r="D8" s="14"/>
      <c r="E8" s="8"/>
      <c r="F8" s="8"/>
      <c r="G8" s="1" t="s">
        <v>6</v>
      </c>
      <c r="H8" s="187"/>
      <c r="I8" s="188"/>
      <c r="J8" s="44"/>
    </row>
    <row r="9" spans="1:13" ht="16" thickBot="1">
      <c r="B9" s="15"/>
      <c r="C9" s="16"/>
      <c r="D9" s="16"/>
      <c r="E9" s="8"/>
      <c r="F9" s="8"/>
      <c r="G9" s="8"/>
    </row>
    <row r="10" spans="1:13" s="19" customFormat="1" ht="12" thickBot="1">
      <c r="A10" s="17" t="s">
        <v>7</v>
      </c>
      <c r="B10" s="17" t="s">
        <v>8</v>
      </c>
      <c r="C10" s="17" t="s">
        <v>9</v>
      </c>
      <c r="D10" s="18" t="s">
        <v>10</v>
      </c>
      <c r="E10" s="18" t="s">
        <v>11</v>
      </c>
      <c r="F10" s="18" t="s">
        <v>12</v>
      </c>
      <c r="G10" s="180" t="s">
        <v>13</v>
      </c>
      <c r="H10" s="18" t="s">
        <v>14</v>
      </c>
      <c r="I10" s="18" t="s">
        <v>15</v>
      </c>
      <c r="J10" s="18" t="s">
        <v>16</v>
      </c>
      <c r="K10" s="18" t="s">
        <v>17</v>
      </c>
      <c r="M10" s="19" t="s">
        <v>1797</v>
      </c>
    </row>
    <row r="11" spans="1:13" ht="15" customHeight="1">
      <c r="A11" s="48"/>
      <c r="B11" s="49">
        <f>VLOOKUP($C$11:$C$35,Personnel!$A$1:$B$1234,2,FALSE)</f>
        <v>0</v>
      </c>
      <c r="C11" s="36"/>
      <c r="D11" s="20"/>
      <c r="E11" s="179">
        <f>VLOOKUP($B$11:$B$35,'Constr. Wage Rate Calculations'!$A$19:$Z$288,22,FALSE)</f>
        <v>0</v>
      </c>
      <c r="F11" s="20"/>
      <c r="G11" s="179">
        <f>VLOOKUP($B$11:$B$35,'Constr. Wage Rate Calculations'!$A$19:$Z$288,23,FALSE)</f>
        <v>0</v>
      </c>
      <c r="H11" s="20"/>
      <c r="I11" s="179">
        <f>VLOOKUP($B$11:$B$35,'Constr. Wage Rate Calculations'!$A$19:$Z$288,24,FALSE)</f>
        <v>0</v>
      </c>
      <c r="J11" s="20">
        <f>VLOOKUP($B$11:$B$35,'Constr. Wage Rate Calculations'!$A$19:$Z$288,25,FALSE)</f>
        <v>0</v>
      </c>
      <c r="K11" s="179" t="str">
        <f t="shared" ref="K11:K35" si="0">IF($D11&gt;=1,$J11+(D11*E11)+(F11*G11)+(H11*I11),IF($F11&gt;=1,$J11+(D11*E11)+(F11*G11)+(H11*I11),IF($H11&gt;=1,$J11+(D11*E11)+(F11*G11)+(H11*I11),"")))</f>
        <v/>
      </c>
    </row>
    <row r="12" spans="1:13" ht="15" customHeight="1">
      <c r="A12" s="48"/>
      <c r="B12" s="49" t="str">
        <f>VLOOKUP($C$11:$C$35,Personnel!$A$1:$B$1234,2,FALSE)</f>
        <v>WELDER HELPER</v>
      </c>
      <c r="C12" s="36" t="s">
        <v>1418</v>
      </c>
      <c r="D12" s="184">
        <v>8</v>
      </c>
      <c r="E12" s="179">
        <f>VLOOKUP($B$11:$B$35,'Constr. Wage Rate Calculations'!$A$19:$Z$288,22,FALSE)</f>
        <v>53.52</v>
      </c>
      <c r="F12" s="184">
        <v>2</v>
      </c>
      <c r="G12" s="179">
        <f>VLOOKUP($B$11:$B$35,'Constr. Wage Rate Calculations'!$A$19:$Z$288,23,FALSE)</f>
        <v>80.290000000000006</v>
      </c>
      <c r="H12" s="184"/>
      <c r="I12" s="179">
        <f>VLOOKUP($B$11:$B$35,'Constr. Wage Rate Calculations'!$A$19:$Z$288,24,FALSE)</f>
        <v>107.05</v>
      </c>
      <c r="J12" s="20">
        <f>VLOOKUP($B$11:$B$35,'Constr. Wage Rate Calculations'!$A$19:$Z$288,25,FALSE)</f>
        <v>85</v>
      </c>
      <c r="K12" s="179">
        <f t="shared" si="0"/>
        <v>673.74000000000012</v>
      </c>
    </row>
    <row r="13" spans="1:13" ht="15" customHeight="1">
      <c r="A13" s="48"/>
      <c r="B13" s="49" t="str">
        <f>VLOOKUP($C$11:$C$35,Personnel!$A$1:$B$1234,2,FALSE)</f>
        <v>SET-IN/SET UP DRIVERS (BEND &amp; WELD)</v>
      </c>
      <c r="C13" s="36" t="s">
        <v>2616</v>
      </c>
      <c r="D13" s="184">
        <v>8</v>
      </c>
      <c r="E13" s="179">
        <f>VLOOKUP($B$11:$B$35,'Constr. Wage Rate Calculations'!$A$19:$Z$288,22,FALSE)</f>
        <v>64.540000000000006</v>
      </c>
      <c r="F13" s="184">
        <v>3</v>
      </c>
      <c r="G13" s="179">
        <f>VLOOKUP($B$11:$B$35,'Constr. Wage Rate Calculations'!$A$19:$Z$288,23,FALSE)</f>
        <v>96.81</v>
      </c>
      <c r="H13" s="184"/>
      <c r="I13" s="179">
        <f>VLOOKUP($B$11:$B$35,'Constr. Wage Rate Calculations'!$A$19:$Z$288,24,FALSE)</f>
        <v>129.08000000000001</v>
      </c>
      <c r="J13" s="20">
        <f>VLOOKUP($B$11:$B$35,'Constr. Wage Rate Calculations'!$A$19:$Z$288,25,FALSE)</f>
        <v>85</v>
      </c>
      <c r="K13" s="179">
        <f t="shared" si="0"/>
        <v>891.75</v>
      </c>
      <c r="M13" s="1">
        <v>1</v>
      </c>
    </row>
    <row r="14" spans="1:13" ht="15" customHeight="1">
      <c r="A14" s="48"/>
      <c r="B14" s="49" t="str">
        <f>VLOOKUP($C$11:$C$35,Personnel!$A$1:$B$1234,2,FALSE)</f>
        <v>SET-IN/SET UP DRIVERS (BEND &amp; WELD)</v>
      </c>
      <c r="C14" s="36" t="s">
        <v>1566</v>
      </c>
      <c r="D14" s="184">
        <v>8</v>
      </c>
      <c r="E14" s="179">
        <f>VLOOKUP($B$11:$B$35,'Constr. Wage Rate Calculations'!$A$19:$Z$288,22,FALSE)</f>
        <v>64.540000000000006</v>
      </c>
      <c r="F14" s="184">
        <v>3</v>
      </c>
      <c r="G14" s="179">
        <f>VLOOKUP($B$11:$B$35,'Constr. Wage Rate Calculations'!$A$19:$Z$288,23,FALSE)</f>
        <v>96.81</v>
      </c>
      <c r="H14" s="184"/>
      <c r="I14" s="179">
        <f>VLOOKUP($B$11:$B$35,'Constr. Wage Rate Calculations'!$A$19:$Z$288,24,FALSE)</f>
        <v>129.08000000000001</v>
      </c>
      <c r="J14" s="20">
        <f>VLOOKUP($B$11:$B$35,'Constr. Wage Rate Calculations'!$A$19:$Z$288,25,FALSE)</f>
        <v>85</v>
      </c>
      <c r="K14" s="179">
        <f t="shared" si="0"/>
        <v>891.75</v>
      </c>
      <c r="M14" s="1">
        <v>1</v>
      </c>
    </row>
    <row r="15" spans="1:13" ht="15" customHeight="1">
      <c r="A15" s="48"/>
      <c r="B15" s="49" t="str">
        <f>VLOOKUP($C$11:$C$35,Personnel!$A$1:$B$1234,2,FALSE)</f>
        <v>UA WELDER FOREMAN</v>
      </c>
      <c r="C15" s="36" t="s">
        <v>637</v>
      </c>
      <c r="D15" s="184">
        <v>1</v>
      </c>
      <c r="E15" s="179">
        <f>VLOOKUP($B$11:$B$35,'Constr. Wage Rate Calculations'!$A$19:$Z$288,22,FALSE)</f>
        <v>2377.09</v>
      </c>
      <c r="F15" s="184">
        <v>9</v>
      </c>
      <c r="G15" s="179">
        <f>VLOOKUP($B$11:$B$35,'Constr. Wage Rate Calculations'!$A$19:$Z$288,23,FALSE)</f>
        <v>0</v>
      </c>
      <c r="H15" s="184"/>
      <c r="I15" s="179">
        <f>VLOOKUP($B$11:$B$35,'Constr. Wage Rate Calculations'!$A$19:$Z$288,24,FALSE)</f>
        <v>0</v>
      </c>
      <c r="J15" s="20">
        <f>VLOOKUP($B$11:$B$35,'Constr. Wage Rate Calculations'!$A$19:$Z$288,25,FALSE)</f>
        <v>230</v>
      </c>
      <c r="K15" s="179">
        <f t="shared" si="0"/>
        <v>2607.09</v>
      </c>
    </row>
    <row r="16" spans="1:13" ht="15" customHeight="1">
      <c r="A16" s="48"/>
      <c r="B16" s="49" t="str">
        <f>VLOOKUP($C$11:$C$35,Personnel!$A$1:$B$1234,2,FALSE)</f>
        <v>NON-WELDER JOURNEYMAN/ FITTER ON AUTO WELD SPREAD (QI APPLIES)</v>
      </c>
      <c r="C16" s="36" t="s">
        <v>1153</v>
      </c>
      <c r="D16" s="184">
        <v>8</v>
      </c>
      <c r="E16" s="179">
        <f>VLOOKUP($B$11:$B$35,'Constr. Wage Rate Calculations'!$A$19:$Z$288,22,FALSE)</f>
        <v>69.010000000000005</v>
      </c>
      <c r="F16" s="184">
        <v>3</v>
      </c>
      <c r="G16" s="179">
        <f>VLOOKUP($B$11:$B$35,'Constr. Wage Rate Calculations'!$A$19:$Z$288,23,FALSE)</f>
        <v>103.51</v>
      </c>
      <c r="H16" s="184"/>
      <c r="I16" s="179">
        <f>VLOOKUP($B$11:$B$35,'Constr. Wage Rate Calculations'!$A$19:$Z$288,24,FALSE)</f>
        <v>138.02000000000001</v>
      </c>
      <c r="J16" s="20">
        <f>VLOOKUP($B$11:$B$35,'Constr. Wage Rate Calculations'!$A$19:$Z$288,25,FALSE)</f>
        <v>85</v>
      </c>
      <c r="K16" s="179">
        <f t="shared" si="0"/>
        <v>947.61000000000013</v>
      </c>
      <c r="M16" s="1">
        <v>1</v>
      </c>
    </row>
    <row r="17" spans="1:13" ht="15" customHeight="1">
      <c r="A17" s="48"/>
      <c r="B17" s="49" t="str">
        <f>VLOOKUP($C$11:$C$35,Personnel!$A$1:$B$1234,2,FALSE)</f>
        <v>GENERAL LABOURER</v>
      </c>
      <c r="C17" s="36" t="s">
        <v>4110</v>
      </c>
      <c r="D17" s="184">
        <v>8</v>
      </c>
      <c r="E17" s="179">
        <f>VLOOKUP($B$11:$B$35,'Constr. Wage Rate Calculations'!$A$19:$Z$288,22,FALSE)</f>
        <v>48.1</v>
      </c>
      <c r="F17" s="184">
        <v>2</v>
      </c>
      <c r="G17" s="179">
        <f>VLOOKUP($B$11:$B$35,'Constr. Wage Rate Calculations'!$A$19:$Z$288,23,FALSE)</f>
        <v>72.150000000000006</v>
      </c>
      <c r="H17" s="184"/>
      <c r="I17" s="179">
        <f>VLOOKUP($B$11:$B$35,'Constr. Wage Rate Calculations'!$A$19:$Z$288,24,FALSE)</f>
        <v>96.2</v>
      </c>
      <c r="J17" s="20">
        <f>VLOOKUP($B$11:$B$35,'Constr. Wage Rate Calculations'!$A$19:$Z$288,25,FALSE)</f>
        <v>85</v>
      </c>
      <c r="K17" s="179">
        <f t="shared" si="0"/>
        <v>614.1</v>
      </c>
    </row>
    <row r="18" spans="1:13" ht="15" customHeight="1">
      <c r="A18" s="48"/>
      <c r="B18" s="49" t="str">
        <f>VLOOKUP($C$11:$C$35,Personnel!$A$1:$B$1234,2,FALSE)</f>
        <v>GENERAL LABOURER</v>
      </c>
      <c r="C18" s="36" t="s">
        <v>4131</v>
      </c>
      <c r="D18" s="184">
        <v>8</v>
      </c>
      <c r="E18" s="179">
        <f>VLOOKUP($B$11:$B$35,'Constr. Wage Rate Calculations'!$A$19:$Z$288,22,FALSE)</f>
        <v>48.1</v>
      </c>
      <c r="F18" s="184">
        <v>2</v>
      </c>
      <c r="G18" s="179">
        <f>VLOOKUP($B$11:$B$35,'Constr. Wage Rate Calculations'!$A$19:$Z$288,23,FALSE)</f>
        <v>72.150000000000006</v>
      </c>
      <c r="H18" s="184"/>
      <c r="I18" s="179">
        <f>VLOOKUP($B$11:$B$35,'Constr. Wage Rate Calculations'!$A$19:$Z$288,24,FALSE)</f>
        <v>96.2</v>
      </c>
      <c r="J18" s="20">
        <f>VLOOKUP($B$11:$B$35,'Constr. Wage Rate Calculations'!$A$19:$Z$288,25,FALSE)</f>
        <v>85</v>
      </c>
      <c r="K18" s="179">
        <f t="shared" si="0"/>
        <v>614.1</v>
      </c>
    </row>
    <row r="19" spans="1:13" ht="15" customHeight="1">
      <c r="A19" s="48"/>
      <c r="B19" s="49" t="str">
        <f>VLOOKUP($C$11:$C$35,Personnel!$A$1:$B$1234,2,FALSE)</f>
        <v>FLAT DECK &lt; 5 TON</v>
      </c>
      <c r="C19" s="36" t="s">
        <v>4073</v>
      </c>
      <c r="D19" s="184">
        <v>8</v>
      </c>
      <c r="E19" s="179">
        <f>VLOOKUP($B$11:$B$35,'Constr. Wage Rate Calculations'!$A$19:$Z$288,22,FALSE)</f>
        <v>59.79</v>
      </c>
      <c r="F19" s="184">
        <v>3</v>
      </c>
      <c r="G19" s="179">
        <f>VLOOKUP($B$11:$B$35,'Constr. Wage Rate Calculations'!$A$19:$Z$288,23,FALSE)</f>
        <v>89.69</v>
      </c>
      <c r="H19" s="184"/>
      <c r="I19" s="179">
        <f>VLOOKUP($B$11:$B$35,'Constr. Wage Rate Calculations'!$A$19:$Z$288,24,FALSE)</f>
        <v>119.58</v>
      </c>
      <c r="J19" s="20">
        <f>VLOOKUP($B$11:$B$35,'Constr. Wage Rate Calculations'!$A$19:$Z$288,25,FALSE)</f>
        <v>85</v>
      </c>
      <c r="K19" s="179">
        <f t="shared" si="0"/>
        <v>832.38999999999987</v>
      </c>
      <c r="M19" s="1">
        <v>1</v>
      </c>
    </row>
    <row r="20" spans="1:13" ht="15" customHeight="1">
      <c r="A20" s="48"/>
      <c r="B20" s="49" t="str">
        <f>VLOOKUP($C$11:$C$35,Personnel!$A$1:$B$1234,2,FALSE)</f>
        <v>WELDER HELPER</v>
      </c>
      <c r="C20" s="36" t="s">
        <v>2783</v>
      </c>
      <c r="D20" s="184">
        <v>8</v>
      </c>
      <c r="E20" s="179">
        <f>VLOOKUP($B$11:$B$35,'Constr. Wage Rate Calculations'!$A$19:$Z$288,22,FALSE)</f>
        <v>53.52</v>
      </c>
      <c r="F20" s="184">
        <v>4</v>
      </c>
      <c r="G20" s="179">
        <f>VLOOKUP($B$11:$B$35,'Constr. Wage Rate Calculations'!$A$19:$Z$288,23,FALSE)</f>
        <v>80.290000000000006</v>
      </c>
      <c r="H20" s="184"/>
      <c r="I20" s="179">
        <f>VLOOKUP($B$11:$B$35,'Constr. Wage Rate Calculations'!$A$19:$Z$288,24,FALSE)</f>
        <v>107.05</v>
      </c>
      <c r="J20" s="20">
        <f>VLOOKUP($B$11:$B$35,'Constr. Wage Rate Calculations'!$A$19:$Z$288,25,FALSE)</f>
        <v>85</v>
      </c>
      <c r="K20" s="179">
        <f t="shared" si="0"/>
        <v>834.32000000000016</v>
      </c>
      <c r="M20" s="1">
        <v>2</v>
      </c>
    </row>
    <row r="21" spans="1:13" ht="15" customHeight="1">
      <c r="A21" s="48"/>
      <c r="B21" s="49" t="str">
        <f>VLOOKUP($C$11:$C$35,Personnel!$A$1:$B$1234,2,FALSE)</f>
        <v>NON-WELDER JOURNEYMAN/ FITTER ON AUTO WELD SPREAD (QI APPLIES)</v>
      </c>
      <c r="C21" s="36" t="s">
        <v>1168</v>
      </c>
      <c r="D21" s="184">
        <v>8</v>
      </c>
      <c r="E21" s="179">
        <f>VLOOKUP($B$11:$B$35,'Constr. Wage Rate Calculations'!$A$19:$Z$288,22,FALSE)</f>
        <v>69.010000000000005</v>
      </c>
      <c r="F21" s="184">
        <v>2</v>
      </c>
      <c r="G21" s="179">
        <f>VLOOKUP($B$11:$B$35,'Constr. Wage Rate Calculations'!$A$19:$Z$288,23,FALSE)</f>
        <v>103.51</v>
      </c>
      <c r="H21" s="184"/>
      <c r="I21" s="179">
        <f>VLOOKUP($B$11:$B$35,'Constr. Wage Rate Calculations'!$A$19:$Z$288,24,FALSE)</f>
        <v>138.02000000000001</v>
      </c>
      <c r="J21" s="20">
        <f>VLOOKUP($B$11:$B$35,'Constr. Wage Rate Calculations'!$A$19:$Z$288,25,FALSE)</f>
        <v>85</v>
      </c>
      <c r="K21" s="179">
        <f t="shared" si="0"/>
        <v>844.1</v>
      </c>
    </row>
    <row r="22" spans="1:13" ht="15" customHeight="1">
      <c r="A22" s="48"/>
      <c r="B22" s="49" t="str">
        <f>VLOOKUP($C$11:$C$35,Personnel!$A$1:$B$1234,2,FALSE)</f>
        <v>NON-WELDER JOURNEYMAN/ FITTER ON AUTO WELD SPREAD (QI APPLIES)</v>
      </c>
      <c r="C22" s="36" t="s">
        <v>1398</v>
      </c>
      <c r="D22" s="184">
        <v>8</v>
      </c>
      <c r="E22" s="179">
        <f>VLOOKUP($B$11:$B$35,'Constr. Wage Rate Calculations'!$A$19:$Z$288,22,FALSE)</f>
        <v>69.010000000000005</v>
      </c>
      <c r="F22" s="184">
        <v>3</v>
      </c>
      <c r="G22" s="179">
        <f>VLOOKUP($B$11:$B$35,'Constr. Wage Rate Calculations'!$A$19:$Z$288,23,FALSE)</f>
        <v>103.51</v>
      </c>
      <c r="H22" s="184"/>
      <c r="I22" s="179">
        <f>VLOOKUP($B$11:$B$35,'Constr. Wage Rate Calculations'!$A$19:$Z$288,24,FALSE)</f>
        <v>138.02000000000001</v>
      </c>
      <c r="J22" s="20">
        <f>VLOOKUP($B$11:$B$35,'Constr. Wage Rate Calculations'!$A$19:$Z$288,25,FALSE)</f>
        <v>85</v>
      </c>
      <c r="K22" s="179">
        <f t="shared" si="0"/>
        <v>947.61000000000013</v>
      </c>
      <c r="M22" s="1">
        <v>1</v>
      </c>
    </row>
    <row r="23" spans="1:13" ht="15" customHeight="1">
      <c r="A23" s="48"/>
      <c r="B23" s="49" t="str">
        <f>VLOOKUP($C$11:$C$35,Personnel!$A$1:$B$1234,2,FALSE)</f>
        <v>BUS/ CREWCAB DRIVER</v>
      </c>
      <c r="C23" s="36" t="s">
        <v>4075</v>
      </c>
      <c r="D23" s="184">
        <v>8</v>
      </c>
      <c r="E23" s="179">
        <f>VLOOKUP($B$11:$B$35,'Constr. Wage Rate Calculations'!$A$19:$Z$288,22,FALSE)</f>
        <v>56.73</v>
      </c>
      <c r="F23" s="184">
        <v>3</v>
      </c>
      <c r="G23" s="179">
        <f>VLOOKUP($B$11:$B$35,'Constr. Wage Rate Calculations'!$A$19:$Z$288,23,FALSE)</f>
        <v>85.1</v>
      </c>
      <c r="H23" s="184"/>
      <c r="I23" s="179">
        <f>VLOOKUP($B$11:$B$35,'Constr. Wage Rate Calculations'!$A$19:$Z$288,24,FALSE)</f>
        <v>113.46</v>
      </c>
      <c r="J23" s="20">
        <f>VLOOKUP($B$11:$B$35,'Constr. Wage Rate Calculations'!$A$19:$Z$288,25,FALSE)</f>
        <v>85</v>
      </c>
      <c r="K23" s="179">
        <f t="shared" si="0"/>
        <v>794.13999999999987</v>
      </c>
    </row>
    <row r="24" spans="1:13" ht="15" customHeight="1">
      <c r="A24" s="48"/>
      <c r="B24" s="49" t="str">
        <f>VLOOKUP($C$11:$C$35,Personnel!$A$1:$B$1234,2,FALSE)</f>
        <v>NON-WELDER JOURNEYMAN/ FITTER ON AUTO WELD SPREAD (QI APPLIES)</v>
      </c>
      <c r="C24" s="36" t="s">
        <v>2621</v>
      </c>
      <c r="D24" s="184">
        <v>8</v>
      </c>
      <c r="E24" s="179">
        <f>VLOOKUP($B$11:$B$35,'Constr. Wage Rate Calculations'!$A$19:$Z$288,22,FALSE)</f>
        <v>69.010000000000005</v>
      </c>
      <c r="F24" s="184">
        <v>2</v>
      </c>
      <c r="G24" s="179">
        <f>VLOOKUP($B$11:$B$35,'Constr. Wage Rate Calculations'!$A$19:$Z$288,23,FALSE)</f>
        <v>103.51</v>
      </c>
      <c r="H24" s="184"/>
      <c r="I24" s="179">
        <f>VLOOKUP($B$11:$B$35,'Constr. Wage Rate Calculations'!$A$19:$Z$288,24,FALSE)</f>
        <v>138.02000000000001</v>
      </c>
      <c r="J24" s="20">
        <f>VLOOKUP($B$11:$B$35,'Constr. Wage Rate Calculations'!$A$19:$Z$288,25,FALSE)</f>
        <v>85</v>
      </c>
      <c r="K24" s="179">
        <f t="shared" si="0"/>
        <v>844.1</v>
      </c>
    </row>
    <row r="25" spans="1:13" ht="15" customHeight="1">
      <c r="A25" s="48"/>
      <c r="B25" s="49" t="str">
        <f>VLOOKUP($C$11:$C$35,Personnel!$A$1:$B$1234,2,FALSE)</f>
        <v>NON-WELDER JOURNEYMAN/ FITTER ON AUTO WELD SPREAD (QI APPLIES)</v>
      </c>
      <c r="C25" s="36" t="s">
        <v>4076</v>
      </c>
      <c r="D25" s="184">
        <v>8</v>
      </c>
      <c r="E25" s="179">
        <f>VLOOKUP($B$11:$B$35,'Constr. Wage Rate Calculations'!$A$19:$Z$288,22,FALSE)</f>
        <v>69.010000000000005</v>
      </c>
      <c r="F25" s="184">
        <v>2</v>
      </c>
      <c r="G25" s="179">
        <f>VLOOKUP($B$11:$B$35,'Constr. Wage Rate Calculations'!$A$19:$Z$288,23,FALSE)</f>
        <v>103.51</v>
      </c>
      <c r="H25" s="184"/>
      <c r="I25" s="179">
        <f>VLOOKUP($B$11:$B$35,'Constr. Wage Rate Calculations'!$A$19:$Z$288,24,FALSE)</f>
        <v>138.02000000000001</v>
      </c>
      <c r="J25" s="20">
        <f>VLOOKUP($B$11:$B$35,'Constr. Wage Rate Calculations'!$A$19:$Z$288,25,FALSE)</f>
        <v>85</v>
      </c>
      <c r="K25" s="179">
        <f t="shared" si="0"/>
        <v>844.1</v>
      </c>
    </row>
    <row r="26" spans="1:13" ht="15" customHeight="1">
      <c r="A26" s="48"/>
      <c r="B26" s="49" t="str">
        <f>VLOOKUP($C$11:$C$35,Personnel!$A$1:$B$1234,2,FALSE)</f>
        <v>FLAT DECK &lt; 5 TON</v>
      </c>
      <c r="C26" s="36" t="s">
        <v>1470</v>
      </c>
      <c r="D26" s="184">
        <v>8</v>
      </c>
      <c r="E26" s="179">
        <f>VLOOKUP($B$11:$B$35,'Constr. Wage Rate Calculations'!$A$19:$Z$288,22,FALSE)</f>
        <v>59.79</v>
      </c>
      <c r="F26" s="184">
        <v>3</v>
      </c>
      <c r="G26" s="179">
        <f>VLOOKUP($B$11:$B$35,'Constr. Wage Rate Calculations'!$A$19:$Z$288,23,FALSE)</f>
        <v>89.69</v>
      </c>
      <c r="H26" s="184"/>
      <c r="I26" s="179">
        <f>VLOOKUP($B$11:$B$35,'Constr. Wage Rate Calculations'!$A$19:$Z$288,24,FALSE)</f>
        <v>119.58</v>
      </c>
      <c r="J26" s="20">
        <f>VLOOKUP($B$11:$B$35,'Constr. Wage Rate Calculations'!$A$19:$Z$288,25,FALSE)</f>
        <v>85</v>
      </c>
      <c r="K26" s="179">
        <f t="shared" si="0"/>
        <v>832.38999999999987</v>
      </c>
      <c r="M26" s="1">
        <v>1</v>
      </c>
    </row>
    <row r="27" spans="1:13" ht="15" customHeight="1">
      <c r="A27" s="48"/>
      <c r="B27" s="49" t="str">
        <f>VLOOKUP($C$11:$C$35,Personnel!$A$1:$B$1234,2,FALSE)</f>
        <v>NON-WELDER JOURNEYMAN/ FITTER ON AUTO WELD SPREAD (QI APPLIES)</v>
      </c>
      <c r="C27" s="36" t="s">
        <v>1121</v>
      </c>
      <c r="D27" s="184">
        <v>8</v>
      </c>
      <c r="E27" s="179">
        <f>VLOOKUP($B$11:$B$35,'Constr. Wage Rate Calculations'!$A$19:$Z$288,22,FALSE)</f>
        <v>69.010000000000005</v>
      </c>
      <c r="F27" s="184">
        <v>4</v>
      </c>
      <c r="G27" s="179">
        <f>VLOOKUP($B$11:$B$35,'Constr. Wage Rate Calculations'!$A$19:$Z$288,23,FALSE)</f>
        <v>103.51</v>
      </c>
      <c r="H27" s="184"/>
      <c r="I27" s="179">
        <f>VLOOKUP($B$11:$B$35,'Constr. Wage Rate Calculations'!$A$19:$Z$288,24,FALSE)</f>
        <v>138.02000000000001</v>
      </c>
      <c r="J27" s="20">
        <f>VLOOKUP($B$11:$B$35,'Constr. Wage Rate Calculations'!$A$19:$Z$288,25,FALSE)</f>
        <v>85</v>
      </c>
      <c r="K27" s="179">
        <f t="shared" si="0"/>
        <v>1051.1200000000001</v>
      </c>
      <c r="M27" s="1">
        <v>2</v>
      </c>
    </row>
    <row r="28" spans="1:13" ht="15" customHeight="1">
      <c r="A28" s="48"/>
      <c r="B28" s="49" t="str">
        <f>VLOOKUP($C$11:$C$35,Personnel!$A$1:$B$1234,2,FALSE)</f>
        <v>WELDER HELPER</v>
      </c>
      <c r="C28" s="36" t="s">
        <v>2769</v>
      </c>
      <c r="D28" s="184">
        <v>8</v>
      </c>
      <c r="E28" s="179">
        <f>VLOOKUP($B$11:$B$35,'Constr. Wage Rate Calculations'!$A$19:$Z$288,22,FALSE)</f>
        <v>53.52</v>
      </c>
      <c r="F28" s="184">
        <v>3</v>
      </c>
      <c r="G28" s="179">
        <f>VLOOKUP($B$11:$B$35,'Constr. Wage Rate Calculations'!$A$19:$Z$288,23,FALSE)</f>
        <v>80.290000000000006</v>
      </c>
      <c r="H28" s="184"/>
      <c r="I28" s="179">
        <f>VLOOKUP($B$11:$B$35,'Constr. Wage Rate Calculations'!$A$19:$Z$288,24,FALSE)</f>
        <v>107.05</v>
      </c>
      <c r="J28" s="20">
        <f>VLOOKUP($B$11:$B$35,'Constr. Wage Rate Calculations'!$A$19:$Z$288,25,FALSE)</f>
        <v>85</v>
      </c>
      <c r="K28" s="179">
        <f t="shared" si="0"/>
        <v>754.03000000000009</v>
      </c>
      <c r="M28" s="1">
        <v>1</v>
      </c>
    </row>
    <row r="29" spans="1:13" ht="15" customHeight="1">
      <c r="A29" s="48"/>
      <c r="B29" s="49" t="str">
        <f>VLOOKUP($C$11:$C$35,Personnel!$A$1:$B$1234,2,FALSE)</f>
        <v>WELDER HELPER</v>
      </c>
      <c r="C29" s="36" t="s">
        <v>2770</v>
      </c>
      <c r="D29" s="184">
        <v>8</v>
      </c>
      <c r="E29" s="179">
        <f>VLOOKUP($B$11:$B$35,'Constr. Wage Rate Calculations'!$A$19:$Z$288,22,FALSE)</f>
        <v>53.52</v>
      </c>
      <c r="F29" s="184">
        <v>3</v>
      </c>
      <c r="G29" s="179">
        <f>VLOOKUP($B$11:$B$35,'Constr. Wage Rate Calculations'!$A$19:$Z$288,23,FALSE)</f>
        <v>80.290000000000006</v>
      </c>
      <c r="H29" s="184"/>
      <c r="I29" s="179">
        <f>VLOOKUP($B$11:$B$35,'Constr. Wage Rate Calculations'!$A$19:$Z$288,24,FALSE)</f>
        <v>107.05</v>
      </c>
      <c r="J29" s="20">
        <f>VLOOKUP($B$11:$B$35,'Constr. Wage Rate Calculations'!$A$19:$Z$288,25,FALSE)</f>
        <v>85</v>
      </c>
      <c r="K29" s="179">
        <f t="shared" si="0"/>
        <v>754.03000000000009</v>
      </c>
      <c r="M29" s="1">
        <v>1</v>
      </c>
    </row>
    <row r="30" spans="1:13" ht="15" customHeight="1">
      <c r="A30" s="48"/>
      <c r="B30" s="49" t="str">
        <f>VLOOKUP($C$11:$C$35,Personnel!$A$1:$B$1234,2,FALSE)</f>
        <v>WELDER HELPER</v>
      </c>
      <c r="C30" s="36" t="s">
        <v>1359</v>
      </c>
      <c r="D30" s="184">
        <v>8</v>
      </c>
      <c r="E30" s="179">
        <f>VLOOKUP($B$11:$B$35,'Constr. Wage Rate Calculations'!$A$19:$Z$288,22,FALSE)</f>
        <v>53.52</v>
      </c>
      <c r="F30" s="184">
        <v>3</v>
      </c>
      <c r="G30" s="179">
        <f>VLOOKUP($B$11:$B$35,'Constr. Wage Rate Calculations'!$A$19:$Z$288,23,FALSE)</f>
        <v>80.290000000000006</v>
      </c>
      <c r="H30" s="184"/>
      <c r="I30" s="179">
        <f>VLOOKUP($B$11:$B$35,'Constr. Wage Rate Calculations'!$A$19:$Z$288,24,FALSE)</f>
        <v>107.05</v>
      </c>
      <c r="J30" s="20">
        <f>VLOOKUP($B$11:$B$35,'Constr. Wage Rate Calculations'!$A$19:$Z$288,25,FALSE)</f>
        <v>85</v>
      </c>
      <c r="K30" s="179">
        <f t="shared" si="0"/>
        <v>754.03000000000009</v>
      </c>
      <c r="M30" s="1">
        <v>1</v>
      </c>
    </row>
    <row r="31" spans="1:13" ht="15" customHeight="1">
      <c r="A31" s="48"/>
      <c r="B31" s="49" t="str">
        <f>VLOOKUP($C$11:$C$35,Personnel!$A$1:$B$1234,2,FALSE)</f>
        <v>GENERAL LABOURER</v>
      </c>
      <c r="C31" s="36" t="s">
        <v>2771</v>
      </c>
      <c r="D31" s="184">
        <v>8</v>
      </c>
      <c r="E31" s="179">
        <f>VLOOKUP($B$11:$B$35,'Constr. Wage Rate Calculations'!$A$19:$Z$288,22,FALSE)</f>
        <v>48.1</v>
      </c>
      <c r="F31" s="184">
        <v>2</v>
      </c>
      <c r="G31" s="179">
        <f>VLOOKUP($B$11:$B$35,'Constr. Wage Rate Calculations'!$A$19:$Z$288,23,FALSE)</f>
        <v>72.150000000000006</v>
      </c>
      <c r="H31" s="184"/>
      <c r="I31" s="179">
        <f>VLOOKUP($B$11:$B$35,'Constr. Wage Rate Calculations'!$A$19:$Z$288,24,FALSE)</f>
        <v>96.2</v>
      </c>
      <c r="J31" s="20">
        <f>VLOOKUP($B$11:$B$35,'Constr. Wage Rate Calculations'!$A$19:$Z$288,25,FALSE)</f>
        <v>85</v>
      </c>
      <c r="K31" s="179">
        <f t="shared" si="0"/>
        <v>614.1</v>
      </c>
    </row>
    <row r="32" spans="1:13" ht="15" customHeight="1">
      <c r="A32" s="48"/>
      <c r="B32" s="49" t="str">
        <f>VLOOKUP($C$11:$C$35,Personnel!$A$1:$B$1234,2,FALSE)</f>
        <v>PRINCIPAL OPER 2</v>
      </c>
      <c r="C32" s="36" t="s">
        <v>2834</v>
      </c>
      <c r="D32" s="184">
        <v>8</v>
      </c>
      <c r="E32" s="179">
        <f>VLOOKUP($B$11:$B$35,'Constr. Wage Rate Calculations'!$A$19:$Z$288,22,FALSE)</f>
        <v>62.77</v>
      </c>
      <c r="F32" s="184">
        <v>3</v>
      </c>
      <c r="G32" s="179">
        <f>VLOOKUP($B$11:$B$35,'Constr. Wage Rate Calculations'!$A$19:$Z$288,23,FALSE)</f>
        <v>94.15</v>
      </c>
      <c r="H32" s="184"/>
      <c r="I32" s="179">
        <f>VLOOKUP($B$11:$B$35,'Constr. Wage Rate Calculations'!$A$19:$Z$288,24,FALSE)</f>
        <v>125.54</v>
      </c>
      <c r="J32" s="20">
        <f>VLOOKUP($B$11:$B$35,'Constr. Wage Rate Calculations'!$A$19:$Z$288,25,FALSE)</f>
        <v>85</v>
      </c>
      <c r="K32" s="179">
        <f t="shared" si="0"/>
        <v>869.61000000000013</v>
      </c>
      <c r="M32" s="1">
        <v>1</v>
      </c>
    </row>
    <row r="33" spans="1:15" ht="15" customHeight="1">
      <c r="A33" s="48"/>
      <c r="B33" s="49" t="str">
        <f>VLOOKUP($C$11:$C$35,Personnel!$A$1:$B$1234,2,FALSE)</f>
        <v>GENERAL LABOURER</v>
      </c>
      <c r="C33" s="36" t="s">
        <v>2807</v>
      </c>
      <c r="D33" s="184">
        <v>8</v>
      </c>
      <c r="E33" s="179">
        <f>VLOOKUP($B$11:$B$35,'Constr. Wage Rate Calculations'!$A$19:$Z$288,22,FALSE)</f>
        <v>48.1</v>
      </c>
      <c r="F33" s="184">
        <v>2</v>
      </c>
      <c r="G33" s="179">
        <f>VLOOKUP($B$11:$B$35,'Constr. Wage Rate Calculations'!$A$19:$Z$288,23,FALSE)</f>
        <v>72.150000000000006</v>
      </c>
      <c r="H33" s="184"/>
      <c r="I33" s="179">
        <f>VLOOKUP($B$11:$B$35,'Constr. Wage Rate Calculations'!$A$19:$Z$288,24,FALSE)</f>
        <v>96.2</v>
      </c>
      <c r="J33" s="20">
        <f>VLOOKUP($B$11:$B$35,'Constr. Wage Rate Calculations'!$A$19:$Z$288,25,FALSE)</f>
        <v>85</v>
      </c>
      <c r="K33" s="179">
        <f t="shared" si="0"/>
        <v>614.1</v>
      </c>
    </row>
    <row r="34" spans="1:15" ht="15" customHeight="1">
      <c r="A34" s="48"/>
      <c r="B34" s="49" t="str">
        <f>VLOOKUP($C$11:$C$35,Personnel!$A$1:$B$1234,2,FALSE)</f>
        <v>GENERAL LABOURER</v>
      </c>
      <c r="C34" s="36" t="s">
        <v>2790</v>
      </c>
      <c r="D34" s="184">
        <v>8</v>
      </c>
      <c r="E34" s="179">
        <f>VLOOKUP($B$11:$B$35,'Constr. Wage Rate Calculations'!$A$19:$Z$288,22,FALSE)</f>
        <v>48.1</v>
      </c>
      <c r="F34" s="184">
        <v>2</v>
      </c>
      <c r="G34" s="179">
        <f>VLOOKUP($B$11:$B$35,'Constr. Wage Rate Calculations'!$A$19:$Z$288,23,FALSE)</f>
        <v>72.150000000000006</v>
      </c>
      <c r="H34" s="184"/>
      <c r="I34" s="179">
        <f>VLOOKUP($B$11:$B$35,'Constr. Wage Rate Calculations'!$A$19:$Z$288,24,FALSE)</f>
        <v>96.2</v>
      </c>
      <c r="J34" s="20">
        <f>VLOOKUP($B$11:$B$35,'Constr. Wage Rate Calculations'!$A$19:$Z$288,25,FALSE)</f>
        <v>85</v>
      </c>
      <c r="K34" s="179">
        <f t="shared" si="0"/>
        <v>614.1</v>
      </c>
    </row>
    <row r="35" spans="1:15" ht="15" customHeight="1" thickBot="1">
      <c r="A35" s="48"/>
      <c r="B35" s="49">
        <f>VLOOKUP($C$11:$C$35,Personnel!$A$1:$B$1234,2,FALSE)</f>
        <v>0</v>
      </c>
      <c r="C35" s="36"/>
      <c r="D35" s="184"/>
      <c r="E35" s="179">
        <f>VLOOKUP($B$11:$B$35,'Constr. Wage Rate Calculations'!$A$19:$Z$288,22,FALSE)</f>
        <v>0</v>
      </c>
      <c r="F35" s="184"/>
      <c r="G35" s="179">
        <f>VLOOKUP($B$11:$B$35,'Constr. Wage Rate Calculations'!$A$19:$Z$288,23,FALSE)</f>
        <v>0</v>
      </c>
      <c r="H35" s="184"/>
      <c r="I35" s="179">
        <f>VLOOKUP($B$11:$B$35,'Constr. Wage Rate Calculations'!$A$19:$Z$288,24,FALSE)</f>
        <v>0</v>
      </c>
      <c r="J35" s="20">
        <f>VLOOKUP($B$11:$B$35,'Constr. Wage Rate Calculations'!$A$19:$Z$288,25,FALSE)</f>
        <v>0</v>
      </c>
      <c r="K35" s="179" t="str">
        <f t="shared" si="0"/>
        <v/>
      </c>
      <c r="M35" s="1">
        <f>SUM(M11:M34)</f>
        <v>14</v>
      </c>
    </row>
    <row r="36" spans="1:15" ht="15" customHeight="1" thickBot="1">
      <c r="A36"/>
      <c r="B36"/>
      <c r="C36"/>
      <c r="D36" s="21"/>
      <c r="E36" s="21"/>
      <c r="F36" s="21"/>
      <c r="G36" s="21"/>
      <c r="H36" s="21"/>
      <c r="I36" s="360" t="s">
        <v>18</v>
      </c>
      <c r="J36" s="361"/>
      <c r="K36" s="183">
        <f>SUM(K11:K35)</f>
        <v>20038.409999999996</v>
      </c>
      <c r="M36" s="1">
        <f>SUMIFS(D11:D35,D11:D35,"&lt;3",D11:D35,"&lt;5")</f>
        <v>1</v>
      </c>
      <c r="N36" s="1">
        <f>SUMIFS(D11:D35,D11:D35,"&gt;3",D11:D35,"&gt;5")</f>
        <v>176</v>
      </c>
      <c r="O36" s="1">
        <f>SUM(F11:F35,H11:H35,M36,N36)-M35</f>
        <v>231</v>
      </c>
    </row>
    <row r="37" spans="1:15" ht="10" customHeight="1" thickBot="1"/>
    <row r="38" spans="1:15" s="19" customFormat="1" ht="15" customHeight="1" thickBot="1">
      <c r="A38" s="22" t="s">
        <v>19</v>
      </c>
      <c r="B38" s="23" t="s">
        <v>20</v>
      </c>
      <c r="C38" s="23"/>
      <c r="D38" s="23"/>
      <c r="E38" s="23"/>
      <c r="F38" s="23"/>
      <c r="G38" s="23"/>
      <c r="H38" s="18" t="s">
        <v>21</v>
      </c>
      <c r="I38" s="18" t="s">
        <v>22</v>
      </c>
      <c r="J38" s="18" t="s">
        <v>23</v>
      </c>
      <c r="K38" s="18" t="s">
        <v>17</v>
      </c>
    </row>
    <row r="39" spans="1:15" ht="15" customHeight="1">
      <c r="A39" s="43"/>
      <c r="B39" s="49">
        <f>VLOOKUP($C$39:$C$102,Equipment!$A$1:$B$2322,2,FALSE)</f>
        <v>0</v>
      </c>
      <c r="C39" s="24"/>
      <c r="D39" s="24"/>
      <c r="E39" s="24"/>
      <c r="F39" s="24"/>
      <c r="G39" s="24"/>
      <c r="H39" s="185"/>
      <c r="I39" s="184"/>
      <c r="J39" s="42">
        <f>VLOOKUP($B$39:$B$102,'Alberta Equip. Rates Year 3'!$B$13:$K$314,10,FALSE)</f>
        <v>0</v>
      </c>
      <c r="K39" s="181">
        <f t="shared" ref="K39:K49" si="1">(H39+I39)*J39</f>
        <v>0</v>
      </c>
    </row>
    <row r="40" spans="1:15" ht="15" customHeight="1">
      <c r="A40" s="43"/>
      <c r="B40" s="49" t="str">
        <f>VLOOKUP($C$39:$C$102,Equipment!$A$1:$B$2322,2,FALSE)</f>
        <v>Flow Through</v>
      </c>
      <c r="C40" s="24" t="s">
        <v>2521</v>
      </c>
      <c r="D40" s="24"/>
      <c r="E40" s="24"/>
      <c r="F40" s="24"/>
      <c r="G40" s="24"/>
      <c r="H40" s="185">
        <v>1</v>
      </c>
      <c r="I40" s="184"/>
      <c r="J40" s="42">
        <f>VLOOKUP($B$39:$B$102,'Alberta Equip. Rates Year 3'!$B$13:$K$314,10,FALSE)</f>
        <v>0</v>
      </c>
      <c r="K40" s="181">
        <f t="shared" si="1"/>
        <v>0</v>
      </c>
    </row>
    <row r="41" spans="1:15" ht="15" customHeight="1">
      <c r="A41" s="43"/>
      <c r="B41" s="49" t="str">
        <f>VLOOKUP($C$39:$C$102,Equipment!$A$1:$B$2322,2,FALSE)</f>
        <v>ARGO ATV Side By Side</v>
      </c>
      <c r="C41" s="24" t="s">
        <v>4080</v>
      </c>
      <c r="D41" s="24"/>
      <c r="E41" s="24"/>
      <c r="F41" s="24"/>
      <c r="G41" s="24"/>
      <c r="H41" s="185">
        <v>1</v>
      </c>
      <c r="I41" s="184"/>
      <c r="J41" s="42">
        <f>VLOOKUP($B$39:$B$102,'Alberta Equip. Rates Year 3'!$B$13:$K$314,10,FALSE)</f>
        <v>238.13</v>
      </c>
      <c r="K41" s="181">
        <f t="shared" si="1"/>
        <v>238.13</v>
      </c>
    </row>
    <row r="42" spans="1:15" ht="15" customHeight="1">
      <c r="A42" s="43"/>
      <c r="B42" s="49" t="str">
        <f>VLOOKUP($C$39:$C$102,Equipment!$A$1:$B$2322,2,FALSE)</f>
        <v>Bus</v>
      </c>
      <c r="C42" s="24" t="s">
        <v>1882</v>
      </c>
      <c r="D42" s="24"/>
      <c r="E42" s="24"/>
      <c r="F42" s="24"/>
      <c r="G42" s="24"/>
      <c r="H42" s="185">
        <v>1</v>
      </c>
      <c r="I42" s="184"/>
      <c r="J42" s="42">
        <f>VLOOKUP($B$39:$B$102,'Alberta Equip. Rates Year 3'!$B$13:$K$314,10,FALSE)</f>
        <v>254</v>
      </c>
      <c r="K42" s="181">
        <f t="shared" si="1"/>
        <v>254</v>
      </c>
    </row>
    <row r="43" spans="1:15" ht="15" customHeight="1">
      <c r="A43" s="43"/>
      <c r="B43" s="49" t="str">
        <f>VLOOKUP($C$39:$C$102,Equipment!$A$1:$B$2322,2,FALSE)</f>
        <v>Crewcab - 1 Ton</v>
      </c>
      <c r="C43" s="24" t="s">
        <v>1009</v>
      </c>
      <c r="D43" s="24"/>
      <c r="E43" s="24"/>
      <c r="F43" s="24"/>
      <c r="G43" s="24"/>
      <c r="H43" s="185">
        <v>1</v>
      </c>
      <c r="I43" s="184"/>
      <c r="J43" s="42">
        <f>VLOOKUP($B$39:$B$102,'Alberta Equip. Rates Year 3'!$B$13:$K$314,10,FALSE)</f>
        <v>163</v>
      </c>
      <c r="K43" s="181">
        <f t="shared" si="1"/>
        <v>163</v>
      </c>
    </row>
    <row r="44" spans="1:15" ht="15" customHeight="1">
      <c r="A44" s="43"/>
      <c r="B44" s="49" t="str">
        <f>VLOOKUP($C$39:$C$102,Equipment!$A$1:$B$2322,2,FALSE)</f>
        <v>Crewcab - 1 Ton</v>
      </c>
      <c r="C44" s="24" t="s">
        <v>4005</v>
      </c>
      <c r="D44" s="24"/>
      <c r="E44" s="24"/>
      <c r="F44" s="24"/>
      <c r="G44" s="24"/>
      <c r="H44" s="185">
        <v>1</v>
      </c>
      <c r="I44" s="184"/>
      <c r="J44" s="42">
        <f>VLOOKUP($B$39:$B$102,'Alberta Equip. Rates Year 3'!$B$13:$K$314,10,FALSE)</f>
        <v>163</v>
      </c>
      <c r="K44" s="181">
        <f t="shared" ref="K44:K45" si="2">(H44+I44)*J44</f>
        <v>163</v>
      </c>
    </row>
    <row r="45" spans="1:15" ht="15" customHeight="1">
      <c r="A45" s="43"/>
      <c r="B45" s="49" t="str">
        <f>VLOOKUP($C$39:$C$102,Equipment!$A$1:$B$2322,2,FALSE)</f>
        <v>Crewcab - 1 Ton</v>
      </c>
      <c r="C45" s="24" t="s">
        <v>4060</v>
      </c>
      <c r="D45" s="24"/>
      <c r="E45" s="24"/>
      <c r="F45" s="24"/>
      <c r="G45" s="24"/>
      <c r="H45" s="185">
        <v>1</v>
      </c>
      <c r="I45" s="184"/>
      <c r="J45" s="42">
        <f>VLOOKUP($B$39:$B$102,'Alberta Equip. Rates Year 3'!$B$13:$K$314,10,FALSE)</f>
        <v>163</v>
      </c>
      <c r="K45" s="181">
        <f t="shared" si="2"/>
        <v>163</v>
      </c>
    </row>
    <row r="46" spans="1:15" ht="15" customHeight="1">
      <c r="A46" s="43"/>
      <c r="B46" s="49" t="str">
        <f>VLOOKUP($C$39:$C$102,Equipment!$A$1:$B$2322,2,FALSE)</f>
        <v>Propane/Preheat Truck</v>
      </c>
      <c r="C46" s="24" t="s">
        <v>1317</v>
      </c>
      <c r="D46" s="24"/>
      <c r="E46" s="24"/>
      <c r="F46" s="24"/>
      <c r="G46" s="24"/>
      <c r="H46" s="185">
        <v>1</v>
      </c>
      <c r="I46" s="184"/>
      <c r="J46" s="42">
        <f>VLOOKUP($B$39:$B$102,'Alberta Equip. Rates Year 3'!$B$13:$K$314,10,FALSE)</f>
        <v>189</v>
      </c>
      <c r="K46" s="181">
        <f t="shared" si="1"/>
        <v>189</v>
      </c>
    </row>
    <row r="47" spans="1:15" ht="15" customHeight="1">
      <c r="A47" s="43"/>
      <c r="B47" s="49" t="str">
        <f>VLOOKUP($C$39:$C$102,Equipment!$A$1:$B$2322,2,FALSE)</f>
        <v>Flatdeck Bottle Truck</v>
      </c>
      <c r="C47" s="24" t="s">
        <v>4042</v>
      </c>
      <c r="D47" s="24"/>
      <c r="E47" s="24"/>
      <c r="F47" s="24"/>
      <c r="G47" s="24"/>
      <c r="H47" s="185">
        <v>1</v>
      </c>
      <c r="I47" s="184"/>
      <c r="J47" s="42">
        <f>VLOOKUP($B$39:$B$102,'Alberta Equip. Rates Year 3'!$B$13:$K$314,10,FALSE)</f>
        <v>269.88</v>
      </c>
      <c r="K47" s="181">
        <f t="shared" si="1"/>
        <v>269.88</v>
      </c>
    </row>
    <row r="48" spans="1:15" ht="15" customHeight="1">
      <c r="A48" s="43"/>
      <c r="B48" s="49" t="str">
        <f>VLOOKUP($C$39:$C$102,Equipment!$A$1:$B$2322,2,FALSE)</f>
        <v>Pickup - 3/4 Ton</v>
      </c>
      <c r="C48" s="24" t="s">
        <v>634</v>
      </c>
      <c r="D48" s="24"/>
      <c r="E48" s="24"/>
      <c r="F48" s="24"/>
      <c r="G48" s="24"/>
      <c r="H48" s="185">
        <v>1</v>
      </c>
      <c r="I48" s="184"/>
      <c r="J48" s="42">
        <f>VLOOKUP($B$39:$B$102,'Alberta Equip. Rates Year 3'!$B$13:$K$314,10,FALSE)</f>
        <v>145</v>
      </c>
      <c r="K48" s="181">
        <f t="shared" si="1"/>
        <v>145</v>
      </c>
    </row>
    <row r="49" spans="1:11" ht="15" customHeight="1">
      <c r="A49" s="43"/>
      <c r="B49" s="49" t="str">
        <f>VLOOKUP($C$39:$C$102,Equipment!$A$1:$B$2322,2,FALSE)</f>
        <v>Sideboom - Cat 583T</v>
      </c>
      <c r="C49" s="24" t="s">
        <v>1337</v>
      </c>
      <c r="D49" s="24"/>
      <c r="E49" s="24"/>
      <c r="F49" s="24"/>
      <c r="G49" s="24"/>
      <c r="H49" s="185">
        <v>1</v>
      </c>
      <c r="I49" s="184"/>
      <c r="J49" s="42">
        <f>VLOOKUP($B$39:$B$102,'Alberta Equip. Rates Year 3'!$B$13:$K$314,10,FALSE)</f>
        <v>1218</v>
      </c>
      <c r="K49" s="181">
        <f t="shared" si="1"/>
        <v>1218</v>
      </c>
    </row>
    <row r="50" spans="1:11" ht="15" customHeight="1">
      <c r="A50" s="43"/>
      <c r="B50" s="49" t="str">
        <f>VLOOKUP($C$39:$C$102,Equipment!$A$1:$B$2322,2,FALSE)</f>
        <v>Sideboom - Cat 583T</v>
      </c>
      <c r="C50" s="24" t="s">
        <v>1340</v>
      </c>
      <c r="D50" s="24"/>
      <c r="E50" s="24"/>
      <c r="F50" s="24"/>
      <c r="G50" s="24"/>
      <c r="H50" s="185">
        <v>1</v>
      </c>
      <c r="I50" s="184"/>
      <c r="J50" s="42">
        <f>VLOOKUP($B$39:$B$102,'Alberta Equip. Rates Year 3'!$B$13:$K$314,10,FALSE)</f>
        <v>1218</v>
      </c>
      <c r="K50" s="181">
        <f>(H50+I50)*J50</f>
        <v>1218</v>
      </c>
    </row>
    <row r="51" spans="1:11" ht="15" customHeight="1">
      <c r="A51" s="43"/>
      <c r="B51" s="49" t="str">
        <f>VLOOKUP($C$39:$C$102,Equipment!$A$1:$B$2322,2,FALSE)</f>
        <v xml:space="preserve">Weld - Quad Welder/Tack Rig </v>
      </c>
      <c r="C51" s="24" t="s">
        <v>2321</v>
      </c>
      <c r="D51" s="24"/>
      <c r="E51" s="24"/>
      <c r="F51" s="24"/>
      <c r="G51" s="24"/>
      <c r="H51" s="185">
        <v>1</v>
      </c>
      <c r="I51" s="184"/>
      <c r="J51" s="42">
        <f>VLOOKUP($B$39:$B$102,'Alberta Equip. Rates Year 3'!$B$13:$K$314,10,FALSE)</f>
        <v>768</v>
      </c>
      <c r="K51" s="181">
        <f>(H51+I51)*J51</f>
        <v>768</v>
      </c>
    </row>
    <row r="52" spans="1:11" ht="15" customHeight="1">
      <c r="A52" s="43"/>
      <c r="B52" s="49" t="str">
        <f>VLOOKUP($C$39:$C$102,Equipment!$A$1:$B$2322,2,FALSE)</f>
        <v xml:space="preserve">Weld - Quad Welder/Tack Rig </v>
      </c>
      <c r="C52" s="24" t="s">
        <v>2392</v>
      </c>
      <c r="D52" s="24"/>
      <c r="E52" s="24"/>
      <c r="F52" s="24"/>
      <c r="G52" s="24"/>
      <c r="H52" s="185">
        <v>1</v>
      </c>
      <c r="I52" s="184"/>
      <c r="J52" s="42">
        <f>VLOOKUP($B$39:$B$102,'Alberta Equip. Rates Year 3'!$B$13:$K$314,10,FALSE)</f>
        <v>768</v>
      </c>
      <c r="K52" s="181">
        <f>(H52+I52)*J52</f>
        <v>768</v>
      </c>
    </row>
    <row r="53" spans="1:11" ht="15" customHeight="1">
      <c r="A53" s="43"/>
      <c r="B53" s="49">
        <f>VLOOKUP($C$39:$C$102,Equipment!$A$1:$B$2322,2,FALSE)</f>
        <v>0</v>
      </c>
      <c r="C53" s="24"/>
      <c r="D53" s="24"/>
      <c r="E53" s="24"/>
      <c r="F53" s="24"/>
      <c r="G53" s="24"/>
      <c r="H53" s="185">
        <v>1</v>
      </c>
      <c r="I53" s="184"/>
      <c r="J53" s="42">
        <f>VLOOKUP($B$39:$B$102,'Alberta Equip. Rates Year 3'!$B$13:$K$314,10,FALSE)</f>
        <v>0</v>
      </c>
      <c r="K53" s="181">
        <f>(H53+I53)*J53</f>
        <v>0</v>
      </c>
    </row>
    <row r="54" spans="1:11" ht="15" customHeight="1">
      <c r="A54" s="43"/>
      <c r="B54" s="49">
        <f>VLOOKUP($C$39:$C$102,Equipment!$A$1:$B$2322,2,FALSE)</f>
        <v>0</v>
      </c>
      <c r="C54" s="24"/>
      <c r="D54" s="24"/>
      <c r="E54" s="24"/>
      <c r="F54" s="24"/>
      <c r="G54" s="24"/>
      <c r="H54" s="185"/>
      <c r="I54" s="184"/>
      <c r="J54" s="42">
        <f>VLOOKUP($B$39:$B$102,'Alberta Equip. Rates Year 3'!$B$13:$K$314,10,FALSE)</f>
        <v>0</v>
      </c>
      <c r="K54" s="181">
        <f>(H54+I54)*J54</f>
        <v>0</v>
      </c>
    </row>
    <row r="55" spans="1:11" ht="15" customHeight="1">
      <c r="A55" s="43"/>
      <c r="B55" s="49">
        <f>VLOOKUP($C$39:$C$102,Equipment!$A$1:$B$2322,2,FALSE)</f>
        <v>0</v>
      </c>
      <c r="C55" s="24"/>
      <c r="D55" s="24"/>
      <c r="E55" s="24"/>
      <c r="F55" s="24"/>
      <c r="G55" s="24"/>
      <c r="H55" s="185"/>
      <c r="I55" s="184"/>
      <c r="J55" s="42">
        <f>VLOOKUP($B$39:$B$102,'Alberta Equip. Rates Year 3'!$B$13:$K$314,10,FALSE)</f>
        <v>0</v>
      </c>
      <c r="K55" s="181">
        <f t="shared" ref="K55:K68" si="3">(H55+I55)*J55</f>
        <v>0</v>
      </c>
    </row>
    <row r="56" spans="1:11" ht="15" customHeight="1">
      <c r="A56" s="43"/>
      <c r="B56" s="49">
        <f>VLOOKUP($C$39:$C$102,Equipment!$A$1:$B$2322,2,FALSE)</f>
        <v>0</v>
      </c>
      <c r="C56" s="24"/>
      <c r="D56" s="24"/>
      <c r="E56" s="24"/>
      <c r="F56" s="24"/>
      <c r="G56" s="24"/>
      <c r="H56" s="185"/>
      <c r="I56" s="184"/>
      <c r="J56" s="42">
        <f>VLOOKUP($B$39:$B$102,'Alberta Equip. Rates Year 3'!$B$13:$K$314,10,FALSE)</f>
        <v>0</v>
      </c>
      <c r="K56" s="181">
        <f t="shared" si="3"/>
        <v>0</v>
      </c>
    </row>
    <row r="57" spans="1:11" ht="15" customHeight="1">
      <c r="A57" s="43"/>
      <c r="B57" s="49">
        <f>VLOOKUP($C$39:$C$102,Equipment!$A$1:$B$2322,2,FALSE)</f>
        <v>0</v>
      </c>
      <c r="C57" s="24"/>
      <c r="D57" s="24"/>
      <c r="E57" s="24"/>
      <c r="F57" s="24"/>
      <c r="G57" s="24"/>
      <c r="H57" s="185"/>
      <c r="I57" s="184"/>
      <c r="J57" s="42">
        <f>VLOOKUP($B$39:$B$102,'Alberta Equip. Rates Year 3'!$B$13:$K$314,10,FALSE)</f>
        <v>0</v>
      </c>
      <c r="K57" s="181">
        <f t="shared" si="3"/>
        <v>0</v>
      </c>
    </row>
    <row r="58" spans="1:11" ht="15" customHeight="1">
      <c r="A58" s="43"/>
      <c r="B58" s="49">
        <f>VLOOKUP($C$39:$C$102,Equipment!$A$1:$B$2322,2,FALSE)</f>
        <v>0</v>
      </c>
      <c r="C58" s="24"/>
      <c r="D58" s="24"/>
      <c r="E58" s="24"/>
      <c r="F58" s="24"/>
      <c r="G58" s="24"/>
      <c r="H58" s="185"/>
      <c r="I58" s="184"/>
      <c r="J58" s="42">
        <f>VLOOKUP($B$39:$B$102,'Alberta Equip. Rates Year 3'!$B$13:$K$314,10,FALSE)</f>
        <v>0</v>
      </c>
      <c r="K58" s="181">
        <f t="shared" si="3"/>
        <v>0</v>
      </c>
    </row>
    <row r="59" spans="1:11" ht="15" customHeight="1">
      <c r="A59" s="43"/>
      <c r="B59" s="49">
        <f>VLOOKUP($C$39:$C$102,Equipment!$A$1:$B$2322,2,FALSE)</f>
        <v>0</v>
      </c>
      <c r="C59" s="24"/>
      <c r="D59" s="24"/>
      <c r="E59" s="24"/>
      <c r="F59" s="24"/>
      <c r="G59" s="24"/>
      <c r="H59" s="185"/>
      <c r="I59" s="184"/>
      <c r="J59" s="42">
        <f>VLOOKUP($B$39:$B$102,'Alberta Equip. Rates Year 3'!$B$13:$K$314,10,FALSE)</f>
        <v>0</v>
      </c>
      <c r="K59" s="181">
        <f t="shared" si="3"/>
        <v>0</v>
      </c>
    </row>
    <row r="60" spans="1:11" ht="15" customHeight="1">
      <c r="A60" s="43"/>
      <c r="B60" s="49">
        <f>VLOOKUP($C$39:$C$102,Equipment!$A$1:$B$2322,2,FALSE)</f>
        <v>0</v>
      </c>
      <c r="C60" s="24"/>
      <c r="D60" s="24"/>
      <c r="E60" s="24"/>
      <c r="F60" s="24"/>
      <c r="G60" s="24"/>
      <c r="H60" s="185"/>
      <c r="I60" s="184"/>
      <c r="J60" s="42">
        <f>VLOOKUP($B$39:$B$102,'Alberta Equip. Rates Year 3'!$B$13:$K$314,10,FALSE)</f>
        <v>0</v>
      </c>
      <c r="K60" s="181">
        <f t="shared" ref="K60:K61" si="4">(H60+I60)*J60</f>
        <v>0</v>
      </c>
    </row>
    <row r="61" spans="1:11" ht="15" customHeight="1">
      <c r="A61" s="43"/>
      <c r="B61" s="49">
        <f>VLOOKUP($C$39:$C$102,Equipment!$A$1:$B$2322,2,FALSE)</f>
        <v>0</v>
      </c>
      <c r="C61" s="24"/>
      <c r="D61" s="24"/>
      <c r="E61" s="24"/>
      <c r="F61" s="24"/>
      <c r="G61" s="24"/>
      <c r="H61" s="185"/>
      <c r="I61" s="184"/>
      <c r="J61" s="42">
        <f>VLOOKUP($B$39:$B$102,'Alberta Equip. Rates Year 3'!$B$13:$K$314,10,FALSE)</f>
        <v>0</v>
      </c>
      <c r="K61" s="181">
        <f t="shared" si="4"/>
        <v>0</v>
      </c>
    </row>
    <row r="62" spans="1:11" ht="15" customHeight="1">
      <c r="A62" s="43"/>
      <c r="B62" s="49">
        <f>VLOOKUP($C$39:$C$102,Equipment!$A$1:$B$2322,2,FALSE)</f>
        <v>0</v>
      </c>
      <c r="C62" s="24"/>
      <c r="D62" s="24"/>
      <c r="E62" s="24"/>
      <c r="F62" s="24"/>
      <c r="G62" s="24"/>
      <c r="H62" s="185"/>
      <c r="I62" s="184"/>
      <c r="J62" s="42">
        <f>VLOOKUP($B$39:$B$102,'Alberta Equip. Rates Year 3'!$B$13:$K$314,10,FALSE)</f>
        <v>0</v>
      </c>
      <c r="K62" s="181">
        <f t="shared" si="3"/>
        <v>0</v>
      </c>
    </row>
    <row r="63" spans="1:11" ht="15" customHeight="1">
      <c r="A63" s="43"/>
      <c r="B63" s="49">
        <f>VLOOKUP($C$39:$C$102,Equipment!$A$1:$B$2322,2,FALSE)</f>
        <v>0</v>
      </c>
      <c r="C63" s="24"/>
      <c r="D63" s="24"/>
      <c r="E63" s="24"/>
      <c r="F63" s="24"/>
      <c r="G63" s="24"/>
      <c r="H63" s="185"/>
      <c r="I63" s="184"/>
      <c r="J63" s="42">
        <f>VLOOKUP($B$39:$B$102,'Alberta Equip. Rates Year 3'!$B$13:$K$314,10,FALSE)</f>
        <v>0</v>
      </c>
      <c r="K63" s="181">
        <f t="shared" si="3"/>
        <v>0</v>
      </c>
    </row>
    <row r="64" spans="1:11" ht="15" customHeight="1">
      <c r="A64" s="43"/>
      <c r="B64" s="49">
        <f>VLOOKUP($C$39:$C$102,Equipment!$A$1:$B$2322,2,FALSE)</f>
        <v>0</v>
      </c>
      <c r="C64" s="24"/>
      <c r="D64" s="24"/>
      <c r="E64" s="24"/>
      <c r="F64" s="24"/>
      <c r="G64" s="24"/>
      <c r="H64" s="185"/>
      <c r="I64" s="184"/>
      <c r="J64" s="42">
        <f>VLOOKUP($B$39:$B$102,'Alberta Equip. Rates Year 3'!$B$13:$K$314,10,FALSE)</f>
        <v>0</v>
      </c>
      <c r="K64" s="181">
        <f t="shared" si="3"/>
        <v>0</v>
      </c>
    </row>
    <row r="65" spans="1:11" ht="15" customHeight="1">
      <c r="A65" s="43"/>
      <c r="B65" s="49">
        <f>VLOOKUP($C$39:$C$102,Equipment!$A$1:$B$2322,2,FALSE)</f>
        <v>0</v>
      </c>
      <c r="C65" s="24"/>
      <c r="D65" s="24"/>
      <c r="E65" s="24"/>
      <c r="F65" s="24"/>
      <c r="G65" s="24"/>
      <c r="H65" s="185"/>
      <c r="I65" s="184"/>
      <c r="J65" s="42">
        <f>VLOOKUP($B$39:$B$102,'Alberta Equip. Rates Year 3'!$B$13:$K$314,10,FALSE)</f>
        <v>0</v>
      </c>
      <c r="K65" s="181">
        <f t="shared" si="3"/>
        <v>0</v>
      </c>
    </row>
    <row r="66" spans="1:11" ht="15" customHeight="1">
      <c r="A66" s="43"/>
      <c r="B66" s="49">
        <f>VLOOKUP($C$39:$C$102,Equipment!$A$1:$B$2322,2,FALSE)</f>
        <v>0</v>
      </c>
      <c r="C66" s="24"/>
      <c r="D66" s="24"/>
      <c r="E66" s="24"/>
      <c r="F66" s="24"/>
      <c r="G66" s="24"/>
      <c r="H66" s="185"/>
      <c r="I66" s="184"/>
      <c r="J66" s="42">
        <f>VLOOKUP($B$39:$B$102,'Alberta Equip. Rates Year 3'!$B$13:$K$314,10,FALSE)</f>
        <v>0</v>
      </c>
      <c r="K66" s="181">
        <f t="shared" si="3"/>
        <v>0</v>
      </c>
    </row>
    <row r="67" spans="1:11" ht="15" customHeight="1">
      <c r="A67" s="43"/>
      <c r="B67" s="49">
        <f>VLOOKUP($C$39:$C$102,Equipment!$A$1:$B$2322,2,FALSE)</f>
        <v>0</v>
      </c>
      <c r="C67" s="24"/>
      <c r="D67" s="24"/>
      <c r="E67" s="24"/>
      <c r="F67" s="24"/>
      <c r="G67" s="24"/>
      <c r="H67" s="185"/>
      <c r="I67" s="184"/>
      <c r="J67" s="42">
        <f>VLOOKUP($B$39:$B$102,'Alberta Equip. Rates Year 3'!$B$13:$K$314,10,FALSE)</f>
        <v>0</v>
      </c>
      <c r="K67" s="181">
        <f t="shared" si="3"/>
        <v>0</v>
      </c>
    </row>
    <row r="68" spans="1:11" ht="15" customHeight="1">
      <c r="A68" s="43"/>
      <c r="B68" s="49">
        <f>VLOOKUP($C$39:$C$102,Equipment!$A$1:$B$2322,2,FALSE)</f>
        <v>0</v>
      </c>
      <c r="C68" s="24"/>
      <c r="D68" s="24"/>
      <c r="E68" s="24"/>
      <c r="F68" s="24"/>
      <c r="G68" s="24"/>
      <c r="H68" s="185"/>
      <c r="I68" s="184"/>
      <c r="J68" s="42">
        <f>VLOOKUP($B$39:$B$102,'Alberta Equip. Rates Year 3'!$B$13:$K$314,10,FALSE)</f>
        <v>0</v>
      </c>
      <c r="K68" s="181">
        <f t="shared" si="3"/>
        <v>0</v>
      </c>
    </row>
    <row r="69" spans="1:11" ht="15" customHeight="1">
      <c r="A69" s="43"/>
      <c r="B69" s="49">
        <f>VLOOKUP($C$39:$C$102,Equipment!$A$1:$B$2322,2,FALSE)</f>
        <v>0</v>
      </c>
      <c r="C69" s="24"/>
      <c r="D69" s="24"/>
      <c r="E69" s="24"/>
      <c r="F69" s="24"/>
      <c r="G69" s="24"/>
      <c r="H69" s="185"/>
      <c r="I69" s="184"/>
      <c r="J69" s="42">
        <f>VLOOKUP($B$39:$B$102,'Alberta Equip. Rates Year 3'!$B$13:$K$314,10,FALSE)</f>
        <v>0</v>
      </c>
      <c r="K69" s="181">
        <f t="shared" ref="K69:K74" si="5">(H69+I69)*J69</f>
        <v>0</v>
      </c>
    </row>
    <row r="70" spans="1:11" ht="15" customHeight="1">
      <c r="A70" s="43"/>
      <c r="B70" s="49">
        <f>VLOOKUP($C$39:$C$102,Equipment!$A$1:$B$2322,2,FALSE)</f>
        <v>0</v>
      </c>
      <c r="C70" s="24"/>
      <c r="D70" s="24"/>
      <c r="E70" s="24"/>
      <c r="F70" s="24"/>
      <c r="G70" s="24"/>
      <c r="H70" s="185"/>
      <c r="I70" s="184"/>
      <c r="J70" s="42">
        <f>VLOOKUP($B$39:$B$102,'Alberta Equip. Rates Year 3'!$B$13:$K$314,10,FALSE)</f>
        <v>0</v>
      </c>
      <c r="K70" s="181">
        <f t="shared" si="5"/>
        <v>0</v>
      </c>
    </row>
    <row r="71" spans="1:11" ht="15" customHeight="1">
      <c r="A71" s="43"/>
      <c r="B71" s="49">
        <f>VLOOKUP($C$39:$C$102,Equipment!$A$1:$B$2322,2,FALSE)</f>
        <v>0</v>
      </c>
      <c r="C71" s="24"/>
      <c r="D71" s="24"/>
      <c r="E71" s="24"/>
      <c r="F71" s="24"/>
      <c r="G71" s="24"/>
      <c r="H71" s="185"/>
      <c r="I71" s="184"/>
      <c r="J71" s="42">
        <f>VLOOKUP($B$39:$B$102,'Alberta Equip. Rates Year 3'!$B$13:$K$314,10,FALSE)</f>
        <v>0</v>
      </c>
      <c r="K71" s="181">
        <f t="shared" si="5"/>
        <v>0</v>
      </c>
    </row>
    <row r="72" spans="1:11" ht="15" customHeight="1">
      <c r="A72" s="43"/>
      <c r="B72" s="49">
        <f>VLOOKUP($C$39:$C$102,Equipment!$A$1:$B$2322,2,FALSE)</f>
        <v>0</v>
      </c>
      <c r="C72" s="24"/>
      <c r="D72" s="24"/>
      <c r="E72" s="24"/>
      <c r="F72" s="24"/>
      <c r="G72" s="24"/>
      <c r="H72" s="185"/>
      <c r="I72" s="184"/>
      <c r="J72" s="42">
        <f>VLOOKUP($B$39:$B$102,'Alberta Equip. Rates Year 3'!$B$13:$K$314,10,FALSE)</f>
        <v>0</v>
      </c>
      <c r="K72" s="181">
        <f t="shared" si="5"/>
        <v>0</v>
      </c>
    </row>
    <row r="73" spans="1:11" ht="15" customHeight="1">
      <c r="A73" s="43"/>
      <c r="B73" s="49">
        <f>VLOOKUP($C$39:$C$102,Equipment!$A$1:$B$2322,2,FALSE)</f>
        <v>0</v>
      </c>
      <c r="C73" s="24"/>
      <c r="D73" s="24"/>
      <c r="E73" s="24"/>
      <c r="F73" s="24"/>
      <c r="G73" s="24"/>
      <c r="H73" s="185"/>
      <c r="I73" s="184"/>
      <c r="J73" s="42">
        <f>VLOOKUP($B$39:$B$102,'Alberta Equip. Rates Year 3'!$B$13:$K$314,10,FALSE)</f>
        <v>0</v>
      </c>
      <c r="K73" s="181">
        <f t="shared" si="5"/>
        <v>0</v>
      </c>
    </row>
    <row r="74" spans="1:11" ht="15" customHeight="1">
      <c r="A74" s="43"/>
      <c r="B74" s="49">
        <f>VLOOKUP($C$39:$C$102,Equipment!$A$1:$B$2322,2,FALSE)</f>
        <v>0</v>
      </c>
      <c r="C74" s="24"/>
      <c r="D74" s="24"/>
      <c r="E74" s="24"/>
      <c r="F74" s="24"/>
      <c r="G74" s="24"/>
      <c r="H74" s="185"/>
      <c r="I74" s="184"/>
      <c r="J74" s="42">
        <f>VLOOKUP($B$39:$B$102,'Alberta Equip. Rates Year 3'!$B$13:$K$314,10,FALSE)</f>
        <v>0</v>
      </c>
      <c r="K74" s="181">
        <f t="shared" si="5"/>
        <v>0</v>
      </c>
    </row>
    <row r="75" spans="1:11" ht="15" customHeight="1">
      <c r="A75" s="43"/>
      <c r="B75" s="49">
        <f>VLOOKUP($C$39:$C$102,Equipment!$A$1:$B$2322,2,FALSE)</f>
        <v>0</v>
      </c>
      <c r="C75" s="24"/>
      <c r="D75" s="24"/>
      <c r="E75" s="24"/>
      <c r="F75" s="24"/>
      <c r="G75" s="24"/>
      <c r="H75" s="185"/>
      <c r="I75" s="184"/>
      <c r="J75" s="42">
        <f>VLOOKUP($B$39:$B$102,'Alberta Equip. Rates Year 3'!$B$13:$K$314,10,FALSE)</f>
        <v>0</v>
      </c>
      <c r="K75" s="181">
        <f t="shared" ref="K75:K101" si="6">(H75+I75)*J75</f>
        <v>0</v>
      </c>
    </row>
    <row r="76" spans="1:11" ht="15" customHeight="1">
      <c r="A76" s="43"/>
      <c r="B76" s="49">
        <f>VLOOKUP($C$39:$C$102,Equipment!$A$1:$B$2322,2,FALSE)</f>
        <v>0</v>
      </c>
      <c r="C76" s="24"/>
      <c r="D76" s="24"/>
      <c r="E76" s="24"/>
      <c r="F76" s="24"/>
      <c r="G76" s="24"/>
      <c r="H76" s="185"/>
      <c r="I76" s="184"/>
      <c r="J76" s="42">
        <f>VLOOKUP($B$39:$B$102,'Alberta Equip. Rates Year 3'!$B$13:$K$314,10,FALSE)</f>
        <v>0</v>
      </c>
      <c r="K76" s="181">
        <f t="shared" si="6"/>
        <v>0</v>
      </c>
    </row>
    <row r="77" spans="1:11" ht="15" customHeight="1">
      <c r="A77" s="43"/>
      <c r="B77" s="49">
        <f>VLOOKUP($C$39:$C$102,Equipment!$A$1:$B$2322,2,FALSE)</f>
        <v>0</v>
      </c>
      <c r="C77" s="24"/>
      <c r="D77" s="24"/>
      <c r="E77" s="24"/>
      <c r="F77" s="24"/>
      <c r="G77" s="24"/>
      <c r="H77" s="185"/>
      <c r="I77" s="184"/>
      <c r="J77" s="42">
        <f>VLOOKUP($B$39:$B$102,'Alberta Equip. Rates Year 3'!$B$13:$K$314,10,FALSE)</f>
        <v>0</v>
      </c>
      <c r="K77" s="181">
        <f t="shared" si="6"/>
        <v>0</v>
      </c>
    </row>
    <row r="78" spans="1:11" ht="15" customHeight="1">
      <c r="A78" s="43"/>
      <c r="B78" s="49">
        <f>VLOOKUP($C$39:$C$102,Equipment!$A$1:$B$2322,2,FALSE)</f>
        <v>0</v>
      </c>
      <c r="C78" s="24"/>
      <c r="D78" s="24"/>
      <c r="E78" s="24"/>
      <c r="F78" s="24"/>
      <c r="G78" s="24"/>
      <c r="H78" s="185"/>
      <c r="I78" s="184"/>
      <c r="J78" s="42">
        <f>VLOOKUP($B$39:$B$102,'Alberta Equip. Rates Year 3'!$B$13:$K$314,10,FALSE)</f>
        <v>0</v>
      </c>
      <c r="K78" s="181">
        <f t="shared" si="6"/>
        <v>0</v>
      </c>
    </row>
    <row r="79" spans="1:11" ht="15" customHeight="1">
      <c r="A79" s="43"/>
      <c r="B79" s="49">
        <f>VLOOKUP($C$39:$C$102,Equipment!$A$1:$B$2322,2,FALSE)</f>
        <v>0</v>
      </c>
      <c r="C79" s="24"/>
      <c r="D79" s="24"/>
      <c r="E79" s="24"/>
      <c r="F79" s="24"/>
      <c r="G79" s="24"/>
      <c r="H79" s="185"/>
      <c r="I79" s="184"/>
      <c r="J79" s="42">
        <f>VLOOKUP($B$39:$B$102,'Alberta Equip. Rates Year 3'!$B$13:$K$314,10,FALSE)</f>
        <v>0</v>
      </c>
      <c r="K79" s="181">
        <f t="shared" si="6"/>
        <v>0</v>
      </c>
    </row>
    <row r="80" spans="1:11" ht="15" customHeight="1">
      <c r="A80" s="43"/>
      <c r="B80" s="49">
        <f>VLOOKUP($C$39:$C$102,Equipment!$A$1:$B$2322,2,FALSE)</f>
        <v>0</v>
      </c>
      <c r="C80" s="24"/>
      <c r="D80" s="24"/>
      <c r="E80" s="24"/>
      <c r="F80" s="24"/>
      <c r="G80" s="24"/>
      <c r="H80" s="185"/>
      <c r="I80" s="184"/>
      <c r="J80" s="42">
        <f>VLOOKUP($B$39:$B$102,'Alberta Equip. Rates Year 3'!$B$13:$K$314,10,FALSE)</f>
        <v>0</v>
      </c>
      <c r="K80" s="181">
        <f t="shared" si="6"/>
        <v>0</v>
      </c>
    </row>
    <row r="81" spans="1:11" ht="15" customHeight="1">
      <c r="A81" s="43"/>
      <c r="B81" s="49">
        <f>VLOOKUP($C$39:$C$102,Equipment!$A$1:$B$2322,2,FALSE)</f>
        <v>0</v>
      </c>
      <c r="C81" s="24"/>
      <c r="D81" s="24"/>
      <c r="E81" s="24"/>
      <c r="F81" s="24"/>
      <c r="G81" s="24"/>
      <c r="H81" s="185"/>
      <c r="I81" s="184"/>
      <c r="J81" s="42">
        <f>VLOOKUP($B$39:$B$102,'Alberta Equip. Rates Year 3'!$B$13:$K$314,10,FALSE)</f>
        <v>0</v>
      </c>
      <c r="K81" s="181">
        <f t="shared" si="6"/>
        <v>0</v>
      </c>
    </row>
    <row r="82" spans="1:11" ht="15" customHeight="1">
      <c r="A82" s="43"/>
      <c r="B82" s="49">
        <f>VLOOKUP($C$39:$C$102,Equipment!$A$1:$B$2322,2,FALSE)</f>
        <v>0</v>
      </c>
      <c r="C82" s="24"/>
      <c r="D82" s="24"/>
      <c r="E82" s="24"/>
      <c r="F82" s="24"/>
      <c r="G82" s="24"/>
      <c r="H82" s="185"/>
      <c r="I82" s="184"/>
      <c r="J82" s="42">
        <f>VLOOKUP($B$39:$B$102,'Alberta Equip. Rates Year 3'!$B$13:$K$314,10,FALSE)</f>
        <v>0</v>
      </c>
      <c r="K82" s="181">
        <f t="shared" si="6"/>
        <v>0</v>
      </c>
    </row>
    <row r="83" spans="1:11" ht="15" customHeight="1">
      <c r="A83" s="43"/>
      <c r="B83" s="49">
        <f>VLOOKUP($C$39:$C$102,Equipment!$A$1:$B$2322,2,FALSE)</f>
        <v>0</v>
      </c>
      <c r="C83" s="24"/>
      <c r="D83" s="24"/>
      <c r="E83" s="24"/>
      <c r="F83" s="24"/>
      <c r="G83" s="24"/>
      <c r="H83" s="185"/>
      <c r="I83" s="184"/>
      <c r="J83" s="42">
        <f>VLOOKUP($B$39:$B$102,'Alberta Equip. Rates Year 3'!$B$13:$K$314,10,FALSE)</f>
        <v>0</v>
      </c>
      <c r="K83" s="181">
        <f t="shared" si="6"/>
        <v>0</v>
      </c>
    </row>
    <row r="84" spans="1:11" ht="15.75" customHeight="1">
      <c r="A84" s="43"/>
      <c r="B84" s="49">
        <f>VLOOKUP($C$39:$C$102,Equipment!$A$1:$B$2322,2,FALSE)</f>
        <v>0</v>
      </c>
      <c r="C84" s="24"/>
      <c r="D84" s="24"/>
      <c r="E84" s="24"/>
      <c r="F84" s="24"/>
      <c r="G84" s="24"/>
      <c r="H84" s="185"/>
      <c r="I84" s="184"/>
      <c r="J84" s="42">
        <f>VLOOKUP($B$39:$B$102,'Alberta Equip. Rates Year 3'!$B$13:$K$314,10,FALSE)</f>
        <v>0</v>
      </c>
      <c r="K84" s="181">
        <f t="shared" si="6"/>
        <v>0</v>
      </c>
    </row>
    <row r="85" spans="1:11" ht="15" customHeight="1">
      <c r="A85" s="43"/>
      <c r="B85" s="49">
        <f>VLOOKUP($C$39:$C$102,Equipment!$A$1:$B$2322,2,FALSE)</f>
        <v>0</v>
      </c>
      <c r="C85" s="24"/>
      <c r="D85" s="24"/>
      <c r="E85" s="24"/>
      <c r="F85" s="24"/>
      <c r="G85" s="24"/>
      <c r="H85" s="185"/>
      <c r="I85" s="184"/>
      <c r="J85" s="42">
        <f>VLOOKUP($B$39:$B$102,'Alberta Equip. Rates Year 3'!$B$13:$K$314,10,FALSE)</f>
        <v>0</v>
      </c>
      <c r="K85" s="181">
        <f t="shared" si="6"/>
        <v>0</v>
      </c>
    </row>
    <row r="86" spans="1:11" ht="15" customHeight="1">
      <c r="A86" s="43"/>
      <c r="B86" s="49">
        <f>VLOOKUP($C$39:$C$102,Equipment!$A$1:$B$2322,2,FALSE)</f>
        <v>0</v>
      </c>
      <c r="C86" s="24"/>
      <c r="D86" s="24"/>
      <c r="E86" s="24"/>
      <c r="F86" s="24"/>
      <c r="G86" s="24"/>
      <c r="H86" s="185"/>
      <c r="I86" s="184"/>
      <c r="J86" s="42">
        <f>VLOOKUP($B$39:$B$102,'Alberta Equip. Rates Year 3'!$B$13:$K$314,10,FALSE)</f>
        <v>0</v>
      </c>
      <c r="K86" s="181">
        <f t="shared" si="6"/>
        <v>0</v>
      </c>
    </row>
    <row r="87" spans="1:11" ht="15" customHeight="1">
      <c r="A87" s="43"/>
      <c r="B87" s="49">
        <f>VLOOKUP($C$39:$C$102,Equipment!$A$1:$B$2322,2,FALSE)</f>
        <v>0</v>
      </c>
      <c r="C87" s="24"/>
      <c r="D87" s="24"/>
      <c r="E87" s="24"/>
      <c r="F87" s="24"/>
      <c r="G87" s="24"/>
      <c r="H87" s="185"/>
      <c r="I87" s="184"/>
      <c r="J87" s="42">
        <f>VLOOKUP($B$39:$B$102,'Alberta Equip. Rates Year 3'!$B$13:$K$314,10,FALSE)</f>
        <v>0</v>
      </c>
      <c r="K87" s="181">
        <f t="shared" si="6"/>
        <v>0</v>
      </c>
    </row>
    <row r="88" spans="1:11" ht="15" customHeight="1">
      <c r="A88" s="43"/>
      <c r="B88" s="49">
        <f>VLOOKUP($C$39:$C$102,Equipment!$A$1:$B$2322,2,FALSE)</f>
        <v>0</v>
      </c>
      <c r="C88" s="24"/>
      <c r="D88" s="24"/>
      <c r="E88" s="24"/>
      <c r="F88" s="24"/>
      <c r="G88" s="24"/>
      <c r="H88" s="185"/>
      <c r="I88" s="184"/>
      <c r="J88" s="42">
        <f>VLOOKUP($B$39:$B$102,'Alberta Equip. Rates Year 3'!$B$13:$K$314,10,FALSE)</f>
        <v>0</v>
      </c>
      <c r="K88" s="181">
        <f t="shared" si="6"/>
        <v>0</v>
      </c>
    </row>
    <row r="89" spans="1:11" ht="15" customHeight="1">
      <c r="A89" s="43"/>
      <c r="B89" s="49">
        <f>VLOOKUP($C$39:$C$102,Equipment!$A$1:$B$2322,2,FALSE)</f>
        <v>0</v>
      </c>
      <c r="C89" s="24"/>
      <c r="D89" s="24"/>
      <c r="E89" s="24"/>
      <c r="F89" s="24"/>
      <c r="G89" s="24"/>
      <c r="H89" s="185"/>
      <c r="I89" s="184"/>
      <c r="J89" s="42">
        <f>VLOOKUP($B$39:$B$102,'Alberta Equip. Rates Year 3'!$B$13:$K$314,10,FALSE)</f>
        <v>0</v>
      </c>
      <c r="K89" s="181">
        <f t="shared" si="6"/>
        <v>0</v>
      </c>
    </row>
    <row r="90" spans="1:11" ht="15" customHeight="1">
      <c r="A90" s="43"/>
      <c r="B90" s="49">
        <f>VLOOKUP($C$39:$C$102,Equipment!$A$1:$B$2322,2,FALSE)</f>
        <v>0</v>
      </c>
      <c r="C90" s="24"/>
      <c r="D90" s="24"/>
      <c r="E90" s="24"/>
      <c r="F90" s="24"/>
      <c r="G90" s="24"/>
      <c r="H90" s="185"/>
      <c r="I90" s="184"/>
      <c r="J90" s="42">
        <f>VLOOKUP($B$39:$B$102,'Alberta Equip. Rates Year 3'!$B$13:$K$314,10,FALSE)</f>
        <v>0</v>
      </c>
      <c r="K90" s="181">
        <f t="shared" si="6"/>
        <v>0</v>
      </c>
    </row>
    <row r="91" spans="1:11" ht="15" customHeight="1">
      <c r="A91" s="43"/>
      <c r="B91" s="49">
        <f>VLOOKUP($C$39:$C$102,Equipment!$A$1:$B$2322,2,FALSE)</f>
        <v>0</v>
      </c>
      <c r="C91" s="24"/>
      <c r="D91" s="24"/>
      <c r="E91" s="24"/>
      <c r="F91" s="24"/>
      <c r="G91" s="24"/>
      <c r="H91" s="185"/>
      <c r="I91" s="184"/>
      <c r="J91" s="42">
        <f>VLOOKUP($B$39:$B$102,'Alberta Equip. Rates Year 3'!$B$13:$K$314,10,FALSE)</f>
        <v>0</v>
      </c>
      <c r="K91" s="181">
        <f t="shared" si="6"/>
        <v>0</v>
      </c>
    </row>
    <row r="92" spans="1:11" ht="15" customHeight="1">
      <c r="A92" s="43"/>
      <c r="B92" s="49">
        <f>VLOOKUP($C$39:$C$102,Equipment!$A$1:$B$2322,2,FALSE)</f>
        <v>0</v>
      </c>
      <c r="C92" s="24"/>
      <c r="D92" s="24"/>
      <c r="E92" s="24"/>
      <c r="F92" s="24"/>
      <c r="G92" s="24"/>
      <c r="H92" s="185"/>
      <c r="I92" s="184"/>
      <c r="J92" s="42">
        <f>VLOOKUP($B$39:$B$102,'Alberta Equip. Rates Year 3'!$B$13:$K$314,10,FALSE)</f>
        <v>0</v>
      </c>
      <c r="K92" s="181">
        <f t="shared" si="6"/>
        <v>0</v>
      </c>
    </row>
    <row r="93" spans="1:11" ht="15" customHeight="1">
      <c r="A93" s="43"/>
      <c r="B93" s="49">
        <f>VLOOKUP($C$39:$C$102,Equipment!$A$1:$B$2322,2,FALSE)</f>
        <v>0</v>
      </c>
      <c r="C93" s="24"/>
      <c r="D93" s="24"/>
      <c r="E93" s="24"/>
      <c r="F93" s="24"/>
      <c r="G93" s="24"/>
      <c r="H93" s="185"/>
      <c r="I93" s="184"/>
      <c r="J93" s="42">
        <f>VLOOKUP($B$39:$B$102,'Alberta Equip. Rates Year 3'!$B$13:$K$314,10,FALSE)</f>
        <v>0</v>
      </c>
      <c r="K93" s="181">
        <f t="shared" si="6"/>
        <v>0</v>
      </c>
    </row>
    <row r="94" spans="1:11" ht="15" customHeight="1">
      <c r="A94" s="43"/>
      <c r="B94" s="49">
        <f>VLOOKUP($C$39:$C$102,Equipment!$A$1:$B$2322,2,FALSE)</f>
        <v>0</v>
      </c>
      <c r="C94" s="24"/>
      <c r="D94" s="24"/>
      <c r="E94" s="24"/>
      <c r="F94" s="24"/>
      <c r="G94" s="24"/>
      <c r="H94" s="185"/>
      <c r="I94" s="184"/>
      <c r="J94" s="42">
        <f>VLOOKUP($B$39:$B$102,'Alberta Equip. Rates Year 3'!$B$13:$K$314,10,FALSE)</f>
        <v>0</v>
      </c>
      <c r="K94" s="181">
        <f t="shared" si="6"/>
        <v>0</v>
      </c>
    </row>
    <row r="95" spans="1:11" ht="15" customHeight="1">
      <c r="A95" s="43"/>
      <c r="B95" s="49">
        <f>VLOOKUP($C$39:$C$102,Equipment!$A$1:$B$2322,2,FALSE)</f>
        <v>0</v>
      </c>
      <c r="C95" s="24"/>
      <c r="D95" s="24"/>
      <c r="E95" s="24"/>
      <c r="F95" s="24"/>
      <c r="G95" s="24"/>
      <c r="H95" s="185"/>
      <c r="I95" s="184"/>
      <c r="J95" s="42">
        <f>VLOOKUP($B$39:$B$102,'Alberta Equip. Rates Year 3'!$B$13:$K$314,10,FALSE)</f>
        <v>0</v>
      </c>
      <c r="K95" s="181">
        <f t="shared" si="6"/>
        <v>0</v>
      </c>
    </row>
    <row r="96" spans="1:11" ht="15" customHeight="1">
      <c r="A96" s="43"/>
      <c r="B96" s="49">
        <f>VLOOKUP($C$39:$C$102,Equipment!$A$1:$B$2322,2,FALSE)</f>
        <v>0</v>
      </c>
      <c r="C96" s="24"/>
      <c r="D96" s="24"/>
      <c r="E96" s="24"/>
      <c r="F96" s="24"/>
      <c r="G96" s="24"/>
      <c r="H96" s="185"/>
      <c r="I96" s="184"/>
      <c r="J96" s="42">
        <f>VLOOKUP($B$39:$B$102,'Alberta Equip. Rates Year 3'!$B$13:$K$314,10,FALSE)</f>
        <v>0</v>
      </c>
      <c r="K96" s="181">
        <f t="shared" si="6"/>
        <v>0</v>
      </c>
    </row>
    <row r="97" spans="1:11" ht="15" customHeight="1">
      <c r="A97" s="43"/>
      <c r="B97" s="49">
        <f>VLOOKUP($C$39:$C$102,Equipment!$A$1:$B$2322,2,FALSE)</f>
        <v>0</v>
      </c>
      <c r="C97" s="24"/>
      <c r="D97" s="24"/>
      <c r="E97" s="24"/>
      <c r="F97" s="24"/>
      <c r="G97" s="24"/>
      <c r="H97" s="185"/>
      <c r="I97" s="184"/>
      <c r="J97" s="42">
        <f>VLOOKUP($B$39:$B$102,'Alberta Equip. Rates Year 3'!$B$13:$K$314,10,FALSE)</f>
        <v>0</v>
      </c>
      <c r="K97" s="181">
        <f t="shared" si="6"/>
        <v>0</v>
      </c>
    </row>
    <row r="98" spans="1:11" ht="15" customHeight="1">
      <c r="A98" s="43"/>
      <c r="B98" s="49">
        <f>VLOOKUP($C$39:$C$102,Equipment!$A$1:$B$2322,2,FALSE)</f>
        <v>0</v>
      </c>
      <c r="C98" s="24"/>
      <c r="D98" s="24"/>
      <c r="E98" s="24"/>
      <c r="F98" s="24"/>
      <c r="G98" s="24"/>
      <c r="H98" s="185"/>
      <c r="I98" s="184"/>
      <c r="J98" s="42">
        <f>VLOOKUP($B$39:$B$102,'Alberta Equip. Rates Year 3'!$B$13:$K$314,10,FALSE)</f>
        <v>0</v>
      </c>
      <c r="K98" s="181">
        <f t="shared" si="6"/>
        <v>0</v>
      </c>
    </row>
    <row r="99" spans="1:11" ht="15" customHeight="1">
      <c r="A99" s="43"/>
      <c r="B99" s="49">
        <f>VLOOKUP($C$39:$C$102,Equipment!$A$1:$B$2322,2,FALSE)</f>
        <v>0</v>
      </c>
      <c r="C99" s="24"/>
      <c r="D99" s="24"/>
      <c r="E99" s="24"/>
      <c r="F99" s="24"/>
      <c r="G99" s="24"/>
      <c r="H99" s="185"/>
      <c r="I99" s="184"/>
      <c r="J99" s="42">
        <f>VLOOKUP($B$39:$B$102,'Alberta Equip. Rates Year 3'!$B$13:$K$314,10,FALSE)</f>
        <v>0</v>
      </c>
      <c r="K99" s="181">
        <f t="shared" si="6"/>
        <v>0</v>
      </c>
    </row>
    <row r="100" spans="1:11" ht="15" customHeight="1">
      <c r="A100" s="43"/>
      <c r="B100" s="49">
        <f>VLOOKUP($C$39:$C$102,Equipment!$A$1:$B$2322,2,FALSE)</f>
        <v>0</v>
      </c>
      <c r="C100" s="24"/>
      <c r="D100" s="24"/>
      <c r="E100" s="24"/>
      <c r="F100" s="24"/>
      <c r="G100" s="24"/>
      <c r="H100" s="185"/>
      <c r="I100" s="184"/>
      <c r="J100" s="42">
        <f>VLOOKUP($B$39:$B$102,'Alberta Equip. Rates Year 3'!$B$13:$K$314,10,FALSE)</f>
        <v>0</v>
      </c>
      <c r="K100" s="181">
        <f t="shared" si="6"/>
        <v>0</v>
      </c>
    </row>
    <row r="101" spans="1:11" ht="15" customHeight="1">
      <c r="A101" s="43"/>
      <c r="B101" s="49">
        <f>VLOOKUP($C$39:$C$102,Equipment!$A$1:$B$2322,2,FALSE)</f>
        <v>0</v>
      </c>
      <c r="C101" s="24"/>
      <c r="D101" s="24"/>
      <c r="E101" s="24"/>
      <c r="F101" s="24"/>
      <c r="G101" s="24"/>
      <c r="H101" s="185"/>
      <c r="I101" s="184"/>
      <c r="J101" s="42">
        <f>VLOOKUP($B$39:$B$102,'Alberta Equip. Rates Year 3'!$B$13:$K$314,10,FALSE)</f>
        <v>0</v>
      </c>
      <c r="K101" s="181">
        <f t="shared" si="6"/>
        <v>0</v>
      </c>
    </row>
    <row r="102" spans="1:11" ht="15" customHeight="1" thickBot="1">
      <c r="A102" s="43"/>
      <c r="B102" s="49">
        <f>VLOOKUP($C$39:$C$102,Equipment!$A$1:$B$2322,2,FALSE)</f>
        <v>0</v>
      </c>
      <c r="C102" s="24"/>
      <c r="D102" s="24"/>
      <c r="E102" s="24"/>
      <c r="F102" s="24"/>
      <c r="G102" s="24"/>
      <c r="H102" s="185"/>
      <c r="I102" s="184"/>
      <c r="J102" s="42">
        <f>VLOOKUP($B$39:$B$102,'Alberta Equip. Rates Year 3'!$B$13:$K$314,10,FALSE)</f>
        <v>0</v>
      </c>
      <c r="K102" s="181">
        <f>(H102+I102)*J102</f>
        <v>0</v>
      </c>
    </row>
    <row r="103" spans="1:11" ht="12" thickBot="1">
      <c r="A103" s="25"/>
      <c r="B103" s="25"/>
      <c r="C103" s="25"/>
      <c r="D103" s="21"/>
      <c r="E103" s="21"/>
      <c r="F103" s="21"/>
      <c r="G103" s="21"/>
      <c r="H103" s="21"/>
      <c r="I103" s="360" t="s">
        <v>24</v>
      </c>
      <c r="J103" s="361"/>
      <c r="K103" s="207">
        <f>SUM(K39:K102)</f>
        <v>5557.01</v>
      </c>
    </row>
    <row r="104" spans="1:11" ht="12" thickBot="1">
      <c r="A104" s="26"/>
      <c r="D104" s="26"/>
      <c r="I104" s="27"/>
      <c r="J104" s="27"/>
      <c r="K104" s="28"/>
    </row>
    <row r="105" spans="1:11">
      <c r="A105" s="1" t="s">
        <v>25</v>
      </c>
      <c r="B105" s="29"/>
      <c r="D105" s="1"/>
      <c r="E105" s="1"/>
      <c r="F105" s="1"/>
      <c r="G105" s="1"/>
      <c r="H105" s="1"/>
      <c r="I105" s="362" t="s">
        <v>26</v>
      </c>
      <c r="J105" s="362"/>
      <c r="K105" s="37">
        <f>K36</f>
        <v>20038.409999999996</v>
      </c>
    </row>
    <row r="106" spans="1:11">
      <c r="D106" s="1"/>
      <c r="E106" s="1"/>
      <c r="F106" s="1"/>
      <c r="G106" s="1"/>
      <c r="H106" s="1"/>
      <c r="I106" s="362" t="s">
        <v>27</v>
      </c>
      <c r="J106" s="362"/>
      <c r="K106" s="38">
        <f>K103</f>
        <v>5557.01</v>
      </c>
    </row>
    <row r="107" spans="1:11">
      <c r="D107" s="1"/>
      <c r="E107" s="1"/>
      <c r="F107" s="1"/>
      <c r="G107" s="1"/>
      <c r="H107" s="1"/>
      <c r="I107" s="27" t="s">
        <v>28</v>
      </c>
      <c r="J107" s="27"/>
      <c r="K107" s="38">
        <f>(O36)*14.15</f>
        <v>3268.65</v>
      </c>
    </row>
    <row r="108" spans="1:11">
      <c r="D108" s="1"/>
      <c r="E108" s="1"/>
      <c r="F108" s="1"/>
      <c r="G108" s="1"/>
      <c r="H108" s="1"/>
      <c r="I108" s="30" t="s">
        <v>29</v>
      </c>
      <c r="J108" s="30"/>
      <c r="K108" s="39"/>
    </row>
    <row r="109" spans="1:11">
      <c r="D109" s="1"/>
      <c r="E109" s="1"/>
      <c r="F109" s="1"/>
      <c r="G109" s="1"/>
      <c r="H109" s="1"/>
      <c r="I109" s="30" t="s">
        <v>30</v>
      </c>
      <c r="J109" s="30"/>
      <c r="K109" s="39"/>
    </row>
    <row r="110" spans="1:11">
      <c r="D110" s="1"/>
      <c r="E110" s="1"/>
      <c r="F110" s="1"/>
      <c r="G110" s="1"/>
      <c r="H110" s="1"/>
      <c r="I110" s="30" t="s">
        <v>31</v>
      </c>
      <c r="J110" s="30"/>
      <c r="K110" s="39"/>
    </row>
    <row r="111" spans="1:11" ht="12" thickBot="1">
      <c r="D111" s="1"/>
      <c r="E111" s="1"/>
      <c r="F111" s="1"/>
      <c r="G111" s="1"/>
      <c r="H111" s="1"/>
      <c r="I111" s="362" t="s">
        <v>32</v>
      </c>
      <c r="J111" s="362"/>
      <c r="K111" s="40">
        <f>SUM(K105:K110)</f>
        <v>28864.07</v>
      </c>
    </row>
    <row r="112" spans="1:11">
      <c r="D112" s="1"/>
      <c r="E112" s="1"/>
      <c r="F112" s="1"/>
      <c r="G112" s="1"/>
      <c r="H112" s="1"/>
      <c r="I112" s="27"/>
      <c r="J112" s="27"/>
    </row>
    <row r="113" spans="1:11">
      <c r="A113" s="31" t="s">
        <v>33</v>
      </c>
      <c r="B113" s="32"/>
      <c r="C113" s="32"/>
      <c r="D113" s="1"/>
      <c r="H113" s="33" t="s">
        <v>34</v>
      </c>
      <c r="I113" s="32"/>
      <c r="J113" s="32"/>
      <c r="K113" s="32"/>
    </row>
    <row r="114" spans="1:11" ht="15">
      <c r="A114" s="34"/>
      <c r="E114" s="8"/>
      <c r="F114" s="8"/>
      <c r="G114" s="8"/>
      <c r="H114" s="35"/>
      <c r="I114" s="35"/>
      <c r="J114" s="35"/>
      <c r="K114" s="35"/>
    </row>
    <row r="115" spans="1:11" ht="15">
      <c r="A115" s="34" t="s">
        <v>35</v>
      </c>
      <c r="E115" s="8"/>
      <c r="F115" s="8"/>
      <c r="G115" s="8"/>
      <c r="H115" s="35"/>
      <c r="I115" s="35"/>
      <c r="J115" s="35"/>
      <c r="K115" s="35"/>
    </row>
    <row r="116" spans="1:11" s="34" customFormat="1">
      <c r="A116" s="363">
        <v>41218.479166666664</v>
      </c>
      <c r="B116" s="363"/>
      <c r="C116" s="364"/>
      <c r="D116" s="364"/>
      <c r="E116" s="364"/>
      <c r="F116" s="364"/>
      <c r="G116" s="364"/>
      <c r="H116" s="364"/>
      <c r="I116" s="364"/>
      <c r="J116" s="364"/>
      <c r="K116" s="8"/>
    </row>
    <row r="126" spans="1:11">
      <c r="D126" s="1"/>
      <c r="E126" s="1"/>
      <c r="F126" s="1"/>
      <c r="G126" s="1"/>
      <c r="H126" s="1"/>
      <c r="I126" s="1"/>
      <c r="J126" s="1"/>
    </row>
    <row r="127" spans="1:11">
      <c r="D127" s="1"/>
      <c r="E127" s="1"/>
      <c r="F127" s="1"/>
      <c r="G127" s="1"/>
      <c r="H127" s="1"/>
      <c r="I127" s="1"/>
      <c r="J127" s="1"/>
    </row>
    <row r="128" spans="1:11">
      <c r="D128" s="1"/>
      <c r="E128" s="1"/>
      <c r="F128" s="1"/>
      <c r="G128" s="1"/>
      <c r="H128" s="1"/>
      <c r="I128" s="1"/>
      <c r="J128" s="1"/>
    </row>
    <row r="129" s="1" customFormat="1"/>
    <row r="130" s="1" customFormat="1"/>
    <row r="131" s="1" customFormat="1"/>
    <row r="132" s="1" customFormat="1"/>
    <row r="133" s="1" customFormat="1"/>
    <row r="134" s="1" customFormat="1"/>
    <row r="135" s="1" customFormat="1"/>
    <row r="136" s="1" customFormat="1"/>
    <row r="137" s="1" customFormat="1"/>
    <row r="138" s="1" customFormat="1"/>
    <row r="139" s="1" customFormat="1"/>
    <row r="144" s="1" customFormat="1"/>
    <row r="172" s="1" customFormat="1"/>
    <row r="173" s="1" customFormat="1"/>
    <row r="174" s="1" customFormat="1"/>
    <row r="175" s="1" customFormat="1"/>
  </sheetData>
  <mergeCells count="12">
    <mergeCell ref="I103:J103"/>
    <mergeCell ref="I105:J105"/>
    <mergeCell ref="I106:J106"/>
    <mergeCell ref="I111:J111"/>
    <mergeCell ref="A116:B116"/>
    <mergeCell ref="C116:J116"/>
    <mergeCell ref="I36:J36"/>
    <mergeCell ref="C1:H1"/>
    <mergeCell ref="C2:H2"/>
    <mergeCell ref="C3:H3"/>
    <mergeCell ref="H6:I6"/>
    <mergeCell ref="H7:I7"/>
  </mergeCells>
  <printOptions horizontalCentered="1"/>
  <pageMargins left="0.19685039370078741" right="0.19685039370078741" top="0.39370078740157483" bottom="0.39370078740157483" header="0" footer="0"/>
  <pageSetup orientation="portrait" horizontalDpi="4294967292" verticalDpi="4294967292"/>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1300-000000000000}">
          <x14:formula1>
            <xm:f>Accounts!$A$4:$A$60</xm:f>
          </x14:formula1>
          <xm:sqref>K7</xm:sqref>
        </x14:dataValidation>
        <x14:dataValidation type="list" allowBlank="1" showInputMessage="1" showErrorMessage="1" xr:uid="{00000000-0002-0000-1300-000001000000}">
          <x14:formula1>
            <xm:f>'Constr. Wage Rate Calculations'!$A$19:$A$288</xm:f>
          </x14:formula1>
          <xm:sqref>B11:B35</xm:sqref>
        </x14:dataValidation>
        <x14:dataValidation type="list" allowBlank="1" showInputMessage="1" showErrorMessage="1" xr:uid="{00000000-0002-0000-1300-000002000000}">
          <x14:formula1>
            <xm:f>Personnel!$A:$A</xm:f>
          </x14:formula1>
          <xm:sqref>C11:C35</xm:sqref>
        </x14:dataValidation>
        <x14:dataValidation type="list" allowBlank="1" showInputMessage="1" showErrorMessage="1" xr:uid="{00000000-0002-0000-1300-000003000000}">
          <x14:formula1>
            <xm:f>Equipment!$A:$A</xm:f>
          </x14:formula1>
          <xm:sqref>C39:C102</xm:sqref>
        </x14:dataValidation>
      </x14:dataValidations>
    </ext>
    <ext xmlns:mx="http://schemas.microsoft.com/office/mac/excel/2008/main" uri="{64002731-A6B0-56B0-2670-7721B7C09600}">
      <mx:PLV Mode="0" OnePage="0" WScale="0"/>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CCFFCC"/>
    <pageSetUpPr fitToPage="1"/>
  </sheetPr>
  <dimension ref="A1:O163"/>
  <sheetViews>
    <sheetView zoomScale="120" zoomScaleNormal="120" zoomScalePageLayoutView="120" workbookViewId="0">
      <selection activeCell="D19" sqref="D19"/>
    </sheetView>
  </sheetViews>
  <sheetFormatPr baseColWidth="10" defaultColWidth="8.83203125" defaultRowHeight="11"/>
  <cols>
    <col min="1" max="1" width="13" style="1" customWidth="1"/>
    <col min="2" max="2" width="30" style="1" customWidth="1"/>
    <col min="3" max="3" width="24.5" style="1" customWidth="1"/>
    <col min="4" max="4" width="8.6640625" style="2" customWidth="1"/>
    <col min="5" max="6" width="8.33203125" style="2" customWidth="1"/>
    <col min="7" max="8" width="8.6640625" style="2" customWidth="1"/>
    <col min="9" max="9" width="9.33203125" style="2" customWidth="1"/>
    <col min="10" max="10" width="8.6640625" style="2" customWidth="1"/>
    <col min="11" max="11" width="20.5" style="1" customWidth="1"/>
    <col min="12" max="12" width="3.5" style="1" hidden="1" customWidth="1"/>
    <col min="13" max="16384" width="8.83203125" style="1"/>
  </cols>
  <sheetData>
    <row r="1" spans="1:13" ht="15">
      <c r="C1" s="364"/>
      <c r="D1" s="365"/>
      <c r="E1" s="365"/>
      <c r="F1" s="365"/>
      <c r="G1" s="365"/>
      <c r="H1" s="366"/>
      <c r="J1" s="2" t="s">
        <v>0</v>
      </c>
      <c r="K1" s="197">
        <v>41659</v>
      </c>
      <c r="M1" s="45"/>
    </row>
    <row r="2" spans="1:13" ht="15">
      <c r="C2" s="367"/>
      <c r="D2" s="367"/>
      <c r="E2" s="367"/>
      <c r="F2" s="367"/>
      <c r="G2" s="367"/>
      <c r="H2" s="366"/>
      <c r="K2" s="41"/>
    </row>
    <row r="3" spans="1:13" ht="15">
      <c r="C3" s="368"/>
      <c r="D3" s="369"/>
      <c r="E3" s="369"/>
      <c r="F3" s="369"/>
      <c r="G3" s="369"/>
      <c r="H3" s="366"/>
    </row>
    <row r="4" spans="1:13">
      <c r="C4" s="3"/>
      <c r="D4" s="4"/>
      <c r="E4" s="4"/>
      <c r="F4" s="4"/>
      <c r="G4" s="4"/>
    </row>
    <row r="5" spans="1:13">
      <c r="C5" s="3"/>
      <c r="D5" s="4"/>
      <c r="E5" s="4"/>
      <c r="F5" s="4"/>
      <c r="G5" s="4"/>
    </row>
    <row r="6" spans="1:13" ht="12">
      <c r="B6" s="5"/>
      <c r="C6" s="6"/>
      <c r="D6" s="7"/>
      <c r="E6" s="8"/>
      <c r="F6" s="8"/>
      <c r="G6" s="1" t="s">
        <v>1</v>
      </c>
      <c r="H6" s="370">
        <v>18240</v>
      </c>
      <c r="I6" s="370"/>
      <c r="J6" s="1" t="s">
        <v>2</v>
      </c>
      <c r="K6" s="47"/>
    </row>
    <row r="7" spans="1:13" ht="12">
      <c r="A7" s="1" t="s">
        <v>3</v>
      </c>
      <c r="B7" s="9"/>
      <c r="C7" s="10"/>
      <c r="D7" s="11"/>
      <c r="E7" s="8"/>
      <c r="F7" s="8"/>
      <c r="G7" s="1" t="s">
        <v>4</v>
      </c>
      <c r="H7" s="371"/>
      <c r="I7" s="371"/>
      <c r="J7" s="1" t="s">
        <v>5</v>
      </c>
      <c r="K7" s="46"/>
    </row>
    <row r="8" spans="1:13" ht="12">
      <c r="B8" s="12"/>
      <c r="C8" s="13"/>
      <c r="D8" s="14"/>
      <c r="E8" s="8"/>
      <c r="F8" s="8"/>
      <c r="G8" s="1" t="s">
        <v>6</v>
      </c>
      <c r="H8" s="187"/>
      <c r="I8" s="188"/>
      <c r="J8" s="44"/>
    </row>
    <row r="9" spans="1:13" ht="16" thickBot="1">
      <c r="B9" s="15"/>
      <c r="C9" s="16"/>
      <c r="D9" s="16"/>
      <c r="E9" s="8"/>
      <c r="F9" s="8"/>
      <c r="G9" s="8"/>
    </row>
    <row r="10" spans="1:13" s="19" customFormat="1" ht="12" thickBot="1">
      <c r="A10" s="17" t="s">
        <v>7</v>
      </c>
      <c r="B10" s="17" t="s">
        <v>8</v>
      </c>
      <c r="C10" s="17" t="s">
        <v>9</v>
      </c>
      <c r="D10" s="18" t="s">
        <v>10</v>
      </c>
      <c r="E10" s="18" t="s">
        <v>11</v>
      </c>
      <c r="F10" s="18" t="s">
        <v>12</v>
      </c>
      <c r="G10" s="180" t="s">
        <v>13</v>
      </c>
      <c r="H10" s="18" t="s">
        <v>14</v>
      </c>
      <c r="I10" s="18" t="s">
        <v>15</v>
      </c>
      <c r="J10" s="18" t="s">
        <v>16</v>
      </c>
      <c r="K10" s="18" t="s">
        <v>17</v>
      </c>
      <c r="M10" s="19" t="s">
        <v>1797</v>
      </c>
    </row>
    <row r="11" spans="1:13" ht="15" customHeight="1">
      <c r="A11" s="48"/>
      <c r="B11" s="49">
        <f>VLOOKUP($C$11:$C$49,Personnel!$A$1:$B$1234,2,FALSE)</f>
        <v>0</v>
      </c>
      <c r="C11" s="36"/>
      <c r="D11" s="184"/>
      <c r="E11" s="179">
        <f>VLOOKUP($B$11:$B$49,'Constr. Wage Rate Calculations'!$A$19:$Z$288,22,FALSE)</f>
        <v>0</v>
      </c>
      <c r="F11" s="184"/>
      <c r="G11" s="179">
        <f>VLOOKUP($B$11:$B$49,'Constr. Wage Rate Calculations'!$A$19:$Z$288,23,FALSE)</f>
        <v>0</v>
      </c>
      <c r="H11" s="184"/>
      <c r="I11" s="179">
        <f>VLOOKUP($B$11:$B$49,'Constr. Wage Rate Calculations'!$A$19:$Z$288,24,FALSE)</f>
        <v>0</v>
      </c>
      <c r="J11" s="20">
        <f>VLOOKUP($B$11:$B$49,'Constr. Wage Rate Calculations'!$A$19:$Z$288,25,FALSE)</f>
        <v>0</v>
      </c>
      <c r="K11" s="179" t="str">
        <f>IF($D11&gt;=1,$J11+(D11*E11)+(F11*G11)+(H11*I11),IF($F11&gt;=1,$J11+(D11*E11)+(F11*G11)+(H11*I11),IF($H11&gt;=1,$J11+(D11*E11)+(F11*G11)+(H11*I11),"")))</f>
        <v/>
      </c>
    </row>
    <row r="12" spans="1:13" ht="15" customHeight="1">
      <c r="A12" s="48"/>
      <c r="B12" s="49" t="str">
        <f>VLOOKUP($C$11:$C$49,Personnel!$A$1:$B$1234,2,FALSE)</f>
        <v>WELDER HELPER</v>
      </c>
      <c r="C12" s="36" t="s">
        <v>4083</v>
      </c>
      <c r="D12" s="184">
        <v>8</v>
      </c>
      <c r="E12" s="179">
        <f>VLOOKUP($B$11:$B$49,'Constr. Wage Rate Calculations'!$A$19:$Z$288,22,FALSE)</f>
        <v>53.52</v>
      </c>
      <c r="F12" s="184">
        <v>3</v>
      </c>
      <c r="G12" s="179">
        <f>VLOOKUP($B$11:$B$49,'Constr. Wage Rate Calculations'!$A$19:$Z$288,23,FALSE)</f>
        <v>80.290000000000006</v>
      </c>
      <c r="H12" s="184"/>
      <c r="I12" s="179">
        <f>VLOOKUP($B$11:$B$49,'Constr. Wage Rate Calculations'!$A$19:$Z$288,24,FALSE)</f>
        <v>107.05</v>
      </c>
      <c r="J12" s="20">
        <f>VLOOKUP($B$11:$B$49,'Constr. Wage Rate Calculations'!$A$19:$Z$288,25,FALSE)</f>
        <v>85</v>
      </c>
      <c r="K12" s="179">
        <f t="shared" ref="K12:K36" si="0">IF($D12&gt;=1,$J12+(D12*E12)+(F12*G12)+(H12*I12),IF($F12&gt;=1,$J12+(D12*E12)+(F12*G12)+(H12*I12),IF($H12&gt;=1,$J12+(D12*E12)+(F12*G12)+(H12*I12),"")))</f>
        <v>754.03000000000009</v>
      </c>
      <c r="M12" s="1">
        <v>1</v>
      </c>
    </row>
    <row r="13" spans="1:13" ht="15" customHeight="1">
      <c r="A13" s="48"/>
      <c r="B13" s="49" t="str">
        <f>VLOOKUP($C$11:$C$49,Personnel!$A$1:$B$1234,2,FALSE)</f>
        <v>FRONT-END/TIE-IN WELDER  ON STICK WELD SPREAD (QI APPLIES)</v>
      </c>
      <c r="C13" s="36" t="s">
        <v>616</v>
      </c>
      <c r="D13" s="184">
        <v>8</v>
      </c>
      <c r="E13" s="179">
        <f>VLOOKUP($B$11:$B$49,'Constr. Wage Rate Calculations'!$A$19:$Z$288,22,FALSE)</f>
        <v>82.2</v>
      </c>
      <c r="F13" s="184">
        <v>4</v>
      </c>
      <c r="G13" s="179">
        <f>VLOOKUP($B$11:$B$49,'Constr. Wage Rate Calculations'!$A$19:$Z$288,23,FALSE)</f>
        <v>123.3</v>
      </c>
      <c r="H13" s="184"/>
      <c r="I13" s="179">
        <f>VLOOKUP($B$11:$B$49,'Constr. Wage Rate Calculations'!$A$19:$Z$288,24,FALSE)</f>
        <v>164.4</v>
      </c>
      <c r="J13" s="20">
        <f>VLOOKUP($B$11:$B$49,'Constr. Wage Rate Calculations'!$A$19:$Z$288,25,FALSE)</f>
        <v>85</v>
      </c>
      <c r="K13" s="179">
        <f t="shared" si="0"/>
        <v>1235.8</v>
      </c>
      <c r="M13" s="1">
        <v>2</v>
      </c>
    </row>
    <row r="14" spans="1:13" ht="15" customHeight="1">
      <c r="A14" s="48"/>
      <c r="B14" s="49" t="str">
        <f>VLOOKUP($C$11:$C$49,Personnel!$A$1:$B$1234,2,FALSE)</f>
        <v>WELDER HELPER</v>
      </c>
      <c r="C14" s="36" t="s">
        <v>2694</v>
      </c>
      <c r="D14" s="184">
        <v>8</v>
      </c>
      <c r="E14" s="179">
        <f>VLOOKUP($B$11:$B$49,'Constr. Wage Rate Calculations'!$A$19:$Z$288,22,FALSE)</f>
        <v>53.52</v>
      </c>
      <c r="F14" s="184">
        <v>3</v>
      </c>
      <c r="G14" s="179">
        <f>VLOOKUP($B$11:$B$49,'Constr. Wage Rate Calculations'!$A$19:$Z$288,23,FALSE)</f>
        <v>80.290000000000006</v>
      </c>
      <c r="H14" s="184"/>
      <c r="I14" s="179">
        <f>VLOOKUP($B$11:$B$49,'Constr. Wage Rate Calculations'!$A$19:$Z$288,24,FALSE)</f>
        <v>107.05</v>
      </c>
      <c r="J14" s="20">
        <f>VLOOKUP($B$11:$B$49,'Constr. Wage Rate Calculations'!$A$19:$Z$288,25,FALSE)</f>
        <v>85</v>
      </c>
      <c r="K14" s="179">
        <f t="shared" si="0"/>
        <v>754.03000000000009</v>
      </c>
      <c r="M14" s="1">
        <v>1</v>
      </c>
    </row>
    <row r="15" spans="1:13" ht="15" customHeight="1">
      <c r="A15" s="48"/>
      <c r="B15" s="49" t="str">
        <f>VLOOKUP($C$11:$C$49,Personnel!$A$1:$B$1234,2,FALSE)</f>
        <v>FRONT-END/TIE-IN WELDER  ON STICK WELD SPREAD (QI APPLIES)</v>
      </c>
      <c r="C15" s="36" t="s">
        <v>1038</v>
      </c>
      <c r="D15" s="184">
        <v>8</v>
      </c>
      <c r="E15" s="179">
        <f>VLOOKUP($B$11:$B$49,'Constr. Wage Rate Calculations'!$A$19:$Z$288,22,FALSE)</f>
        <v>82.2</v>
      </c>
      <c r="F15" s="184">
        <v>4</v>
      </c>
      <c r="G15" s="179">
        <f>VLOOKUP($B$11:$B$49,'Constr. Wage Rate Calculations'!$A$19:$Z$288,23,FALSE)</f>
        <v>123.3</v>
      </c>
      <c r="H15" s="184"/>
      <c r="I15" s="179">
        <f>VLOOKUP($B$11:$B$49,'Constr. Wage Rate Calculations'!$A$19:$Z$288,24,FALSE)</f>
        <v>164.4</v>
      </c>
      <c r="J15" s="20">
        <f>VLOOKUP($B$11:$B$49,'Constr. Wage Rate Calculations'!$A$19:$Z$288,25,FALSE)</f>
        <v>85</v>
      </c>
      <c r="K15" s="179">
        <f t="shared" si="0"/>
        <v>1235.8</v>
      </c>
      <c r="M15" s="1">
        <v>2</v>
      </c>
    </row>
    <row r="16" spans="1:13" ht="15" customHeight="1">
      <c r="A16" s="48"/>
      <c r="B16" s="49" t="str">
        <f>VLOOKUP($C$11:$C$49,Personnel!$A$1:$B$1234,2,FALSE)</f>
        <v>PRINCIPAL OPER 2</v>
      </c>
      <c r="C16" s="36" t="s">
        <v>3881</v>
      </c>
      <c r="D16" s="184">
        <v>8</v>
      </c>
      <c r="E16" s="179">
        <f>VLOOKUP($B$11:$B$49,'Constr. Wage Rate Calculations'!$A$19:$Z$288,22,FALSE)</f>
        <v>62.77</v>
      </c>
      <c r="F16" s="184">
        <v>2</v>
      </c>
      <c r="G16" s="179">
        <f>VLOOKUP($B$11:$B$49,'Constr. Wage Rate Calculations'!$A$19:$Z$288,23,FALSE)</f>
        <v>94.15</v>
      </c>
      <c r="H16" s="184"/>
      <c r="I16" s="179">
        <f>VLOOKUP($B$11:$B$49,'Constr. Wage Rate Calculations'!$A$19:$Z$288,24,FALSE)</f>
        <v>125.54</v>
      </c>
      <c r="J16" s="20">
        <f>VLOOKUP($B$11:$B$49,'Constr. Wage Rate Calculations'!$A$19:$Z$288,25,FALSE)</f>
        <v>85</v>
      </c>
      <c r="K16" s="179">
        <f t="shared" si="0"/>
        <v>775.46</v>
      </c>
    </row>
    <row r="17" spans="1:13" ht="15" customHeight="1">
      <c r="A17" s="48"/>
      <c r="B17" s="49" t="str">
        <f>VLOOKUP($C$11:$C$49,Personnel!$A$1:$B$1234,2,FALSE)</f>
        <v>WELDER HELPER</v>
      </c>
      <c r="C17" s="36" t="s">
        <v>2794</v>
      </c>
      <c r="D17" s="184">
        <v>8</v>
      </c>
      <c r="E17" s="179">
        <f>VLOOKUP($B$11:$B$49,'Constr. Wage Rate Calculations'!$A$19:$Z$288,22,FALSE)</f>
        <v>53.52</v>
      </c>
      <c r="F17" s="184">
        <v>3</v>
      </c>
      <c r="G17" s="179">
        <f>VLOOKUP($B$11:$B$49,'Constr. Wage Rate Calculations'!$A$19:$Z$288,23,FALSE)</f>
        <v>80.290000000000006</v>
      </c>
      <c r="H17" s="184"/>
      <c r="I17" s="179">
        <f>VLOOKUP($B$11:$B$49,'Constr. Wage Rate Calculations'!$A$19:$Z$288,24,FALSE)</f>
        <v>107.05</v>
      </c>
      <c r="J17" s="20">
        <f>VLOOKUP($B$11:$B$49,'Constr. Wage Rate Calculations'!$A$19:$Z$288,25,FALSE)</f>
        <v>85</v>
      </c>
      <c r="K17" s="179">
        <f t="shared" si="0"/>
        <v>754.03000000000009</v>
      </c>
      <c r="M17" s="1">
        <v>1</v>
      </c>
    </row>
    <row r="18" spans="1:13" ht="15" customHeight="1">
      <c r="A18" s="48"/>
      <c r="B18" s="49" t="str">
        <f>VLOOKUP($C$11:$C$49,Personnel!$A$1:$B$1234,2,FALSE)</f>
        <v>WELDER HELPER</v>
      </c>
      <c r="C18" s="36" t="s">
        <v>1427</v>
      </c>
      <c r="D18" s="184">
        <v>8</v>
      </c>
      <c r="E18" s="179">
        <f>VLOOKUP($B$11:$B$49,'Constr. Wage Rate Calculations'!$A$19:$Z$288,22,FALSE)</f>
        <v>53.52</v>
      </c>
      <c r="F18" s="184">
        <v>4</v>
      </c>
      <c r="G18" s="179">
        <f>VLOOKUP($B$11:$B$49,'Constr. Wage Rate Calculations'!$A$19:$Z$288,23,FALSE)</f>
        <v>80.290000000000006</v>
      </c>
      <c r="H18" s="184"/>
      <c r="I18" s="179">
        <f>VLOOKUP($B$11:$B$49,'Constr. Wage Rate Calculations'!$A$19:$Z$288,24,FALSE)</f>
        <v>107.05</v>
      </c>
      <c r="J18" s="20">
        <f>VLOOKUP($B$11:$B$49,'Constr. Wage Rate Calculations'!$A$19:$Z$288,25,FALSE)</f>
        <v>85</v>
      </c>
      <c r="K18" s="179">
        <f t="shared" si="0"/>
        <v>834.32000000000016</v>
      </c>
      <c r="M18" s="1">
        <v>2</v>
      </c>
    </row>
    <row r="19" spans="1:13" ht="15" customHeight="1">
      <c r="A19" s="48"/>
      <c r="B19" s="49" t="str">
        <f>VLOOKUP($C$11:$C$49,Personnel!$A$1:$B$1234,2,FALSE)</f>
        <v>WELDER HELPER</v>
      </c>
      <c r="C19" s="36" t="s">
        <v>2700</v>
      </c>
      <c r="D19" s="184">
        <v>8</v>
      </c>
      <c r="E19" s="179">
        <f>VLOOKUP($B$11:$B$49,'Constr. Wage Rate Calculations'!$A$19:$Z$288,22,FALSE)</f>
        <v>53.52</v>
      </c>
      <c r="F19" s="184">
        <v>2</v>
      </c>
      <c r="G19" s="179">
        <f>VLOOKUP($B$11:$B$49,'Constr. Wage Rate Calculations'!$A$19:$Z$288,23,FALSE)</f>
        <v>80.290000000000006</v>
      </c>
      <c r="H19" s="184"/>
      <c r="I19" s="179">
        <f>VLOOKUP($B$11:$B$49,'Constr. Wage Rate Calculations'!$A$19:$Z$288,24,FALSE)</f>
        <v>107.05</v>
      </c>
      <c r="J19" s="20">
        <f>VLOOKUP($B$11:$B$49,'Constr. Wage Rate Calculations'!$A$19:$Z$288,25,FALSE)</f>
        <v>85</v>
      </c>
      <c r="K19" s="179">
        <f t="shared" si="0"/>
        <v>673.74000000000012</v>
      </c>
    </row>
    <row r="20" spans="1:13" ht="15" customHeight="1">
      <c r="A20" s="48"/>
      <c r="B20" s="49" t="str">
        <f>VLOOKUP($C$11:$C$49,Personnel!$A$1:$B$1234,2,FALSE)</f>
        <v>FRONT-END/TIE-IN WELDER  ON AUTO WELD SPREAD (QI APPLIES)</v>
      </c>
      <c r="C20" s="36" t="s">
        <v>2624</v>
      </c>
      <c r="D20" s="184">
        <v>8</v>
      </c>
      <c r="E20" s="179">
        <f>VLOOKUP($B$11:$B$49,'Constr. Wage Rate Calculations'!$A$19:$Z$288,22,FALSE)</f>
        <v>83.42</v>
      </c>
      <c r="F20" s="184">
        <v>3</v>
      </c>
      <c r="G20" s="179">
        <f>VLOOKUP($B$11:$B$49,'Constr. Wage Rate Calculations'!$A$19:$Z$288,23,FALSE)</f>
        <v>125.12</v>
      </c>
      <c r="H20" s="184"/>
      <c r="I20" s="179">
        <f>VLOOKUP($B$11:$B$49,'Constr. Wage Rate Calculations'!$A$19:$Z$288,24,FALSE)</f>
        <v>166.83</v>
      </c>
      <c r="J20" s="20">
        <f>VLOOKUP($B$11:$B$49,'Constr. Wage Rate Calculations'!$A$19:$Z$288,25,FALSE)</f>
        <v>85</v>
      </c>
      <c r="K20" s="179">
        <f t="shared" si="0"/>
        <v>1127.72</v>
      </c>
      <c r="M20" s="1">
        <v>1</v>
      </c>
    </row>
    <row r="21" spans="1:13" ht="15" customHeight="1">
      <c r="A21" s="48"/>
      <c r="B21" s="49" t="str">
        <f>VLOOKUP($C$11:$C$49,Personnel!$A$1:$B$1234,2,FALSE)</f>
        <v>WELDER HELPER</v>
      </c>
      <c r="C21" s="36" t="s">
        <v>806</v>
      </c>
      <c r="D21" s="184">
        <v>8</v>
      </c>
      <c r="E21" s="179">
        <f>VLOOKUP($B$11:$B$49,'Constr. Wage Rate Calculations'!$A$19:$Z$288,22,FALSE)</f>
        <v>53.52</v>
      </c>
      <c r="F21" s="184">
        <v>3</v>
      </c>
      <c r="G21" s="179">
        <f>VLOOKUP($B$11:$B$49,'Constr. Wage Rate Calculations'!$A$19:$Z$288,23,FALSE)</f>
        <v>80.290000000000006</v>
      </c>
      <c r="H21" s="184"/>
      <c r="I21" s="179">
        <f>VLOOKUP($B$11:$B$49,'Constr. Wage Rate Calculations'!$A$19:$Z$288,24,FALSE)</f>
        <v>107.05</v>
      </c>
      <c r="J21" s="20">
        <f>VLOOKUP($B$11:$B$49,'Constr. Wage Rate Calculations'!$A$19:$Z$288,25,FALSE)</f>
        <v>85</v>
      </c>
      <c r="K21" s="179">
        <f t="shared" si="0"/>
        <v>754.03000000000009</v>
      </c>
      <c r="M21" s="1">
        <v>1</v>
      </c>
    </row>
    <row r="22" spans="1:13" ht="18.75" customHeight="1">
      <c r="A22" s="48"/>
      <c r="B22" s="49" t="str">
        <f>VLOOKUP($C$11:$C$49,Personnel!$A$1:$B$1234,2,FALSE)</f>
        <v>FRONT-END/TIE-IN WELDER  ON AUTO WELD SPREAD (QI APPLIES)</v>
      </c>
      <c r="C22" s="36" t="s">
        <v>2625</v>
      </c>
      <c r="D22" s="184">
        <v>8</v>
      </c>
      <c r="E22" s="179">
        <f>VLOOKUP($B$11:$B$49,'Constr. Wage Rate Calculations'!$A$19:$Z$288,22,FALSE)</f>
        <v>83.42</v>
      </c>
      <c r="F22" s="184">
        <v>2</v>
      </c>
      <c r="G22" s="179">
        <f>VLOOKUP($B$11:$B$49,'Constr. Wage Rate Calculations'!$A$19:$Z$288,23,FALSE)</f>
        <v>125.12</v>
      </c>
      <c r="H22" s="184"/>
      <c r="I22" s="179">
        <f>VLOOKUP($B$11:$B$49,'Constr. Wage Rate Calculations'!$A$19:$Z$288,24,FALSE)</f>
        <v>166.83</v>
      </c>
      <c r="J22" s="20">
        <f>VLOOKUP($B$11:$B$49,'Constr. Wage Rate Calculations'!$A$19:$Z$288,25,FALSE)</f>
        <v>85</v>
      </c>
      <c r="K22" s="179">
        <f t="shared" si="0"/>
        <v>1002.6</v>
      </c>
    </row>
    <row r="23" spans="1:13" ht="15" customHeight="1">
      <c r="A23" s="48"/>
      <c r="B23" s="49" t="str">
        <f>VLOOKUP($C$11:$C$49,Personnel!$A$1:$B$1234,2,FALSE)</f>
        <v>WELDER HELPER</v>
      </c>
      <c r="C23" s="36" t="s">
        <v>1171</v>
      </c>
      <c r="D23" s="184">
        <v>8</v>
      </c>
      <c r="E23" s="179">
        <f>VLOOKUP($B$11:$B$49,'Constr. Wage Rate Calculations'!$A$19:$Z$288,22,FALSE)</f>
        <v>53.52</v>
      </c>
      <c r="F23" s="184">
        <v>3</v>
      </c>
      <c r="G23" s="179">
        <f>VLOOKUP($B$11:$B$49,'Constr. Wage Rate Calculations'!$A$19:$Z$288,23,FALSE)</f>
        <v>80.290000000000006</v>
      </c>
      <c r="H23" s="184"/>
      <c r="I23" s="179">
        <f>VLOOKUP($B$11:$B$49,'Constr. Wage Rate Calculations'!$A$19:$Z$288,24,FALSE)</f>
        <v>107.05</v>
      </c>
      <c r="J23" s="20">
        <f>VLOOKUP($B$11:$B$49,'Constr. Wage Rate Calculations'!$A$19:$Z$288,25,FALSE)</f>
        <v>85</v>
      </c>
      <c r="K23" s="179">
        <f t="shared" si="0"/>
        <v>754.03000000000009</v>
      </c>
      <c r="M23" s="1">
        <v>1</v>
      </c>
    </row>
    <row r="24" spans="1:13" ht="15" customHeight="1">
      <c r="A24" s="48"/>
      <c r="B24" s="49" t="str">
        <f>VLOOKUP($C$11:$C$49,Personnel!$A$1:$B$1234,2,FALSE)</f>
        <v>FRONT-END/TIE-IN WELDER  ON STICK WELD SPREAD (QI APPLIES)</v>
      </c>
      <c r="C24" s="36" t="s">
        <v>1538</v>
      </c>
      <c r="D24" s="184">
        <v>8</v>
      </c>
      <c r="E24" s="179">
        <f>VLOOKUP($B$11:$B$49,'Constr. Wage Rate Calculations'!$A$19:$Z$288,22,FALSE)</f>
        <v>82.2</v>
      </c>
      <c r="F24" s="184">
        <v>4</v>
      </c>
      <c r="G24" s="179">
        <f>VLOOKUP($B$11:$B$49,'Constr. Wage Rate Calculations'!$A$19:$Z$288,23,FALSE)</f>
        <v>123.3</v>
      </c>
      <c r="H24" s="184"/>
      <c r="I24" s="179">
        <f>VLOOKUP($B$11:$B$49,'Constr. Wage Rate Calculations'!$A$19:$Z$288,24,FALSE)</f>
        <v>164.4</v>
      </c>
      <c r="J24" s="20">
        <f>VLOOKUP($B$11:$B$49,'Constr. Wage Rate Calculations'!$A$19:$Z$288,25,FALSE)</f>
        <v>85</v>
      </c>
      <c r="K24" s="179">
        <f t="shared" si="0"/>
        <v>1235.8</v>
      </c>
      <c r="M24" s="1">
        <v>2</v>
      </c>
    </row>
    <row r="25" spans="1:13" ht="15" customHeight="1">
      <c r="A25" s="48"/>
      <c r="B25" s="49" t="str">
        <f>VLOOKUP($C$11:$C$49,Personnel!$A$1:$B$1234,2,FALSE)</f>
        <v>FRONT-END/TIE-IN WELDER  ON AUTO WELD SPREAD (QI APPLIES)</v>
      </c>
      <c r="C25" s="36" t="s">
        <v>2626</v>
      </c>
      <c r="D25" s="184">
        <v>8</v>
      </c>
      <c r="E25" s="179">
        <f>VLOOKUP($B$11:$B$49,'Constr. Wage Rate Calculations'!$A$19:$Z$288,22,FALSE)</f>
        <v>83.42</v>
      </c>
      <c r="F25" s="184">
        <v>3</v>
      </c>
      <c r="G25" s="179">
        <f>VLOOKUP($B$11:$B$49,'Constr. Wage Rate Calculations'!$A$19:$Z$288,23,FALSE)</f>
        <v>125.12</v>
      </c>
      <c r="H25" s="184"/>
      <c r="I25" s="179">
        <f>VLOOKUP($B$11:$B$49,'Constr. Wage Rate Calculations'!$A$19:$Z$288,24,FALSE)</f>
        <v>166.83</v>
      </c>
      <c r="J25" s="20">
        <f>VLOOKUP($B$11:$B$49,'Constr. Wage Rate Calculations'!$A$19:$Z$288,25,FALSE)</f>
        <v>85</v>
      </c>
      <c r="K25" s="179">
        <f t="shared" si="0"/>
        <v>1127.72</v>
      </c>
      <c r="M25" s="1">
        <v>1</v>
      </c>
    </row>
    <row r="26" spans="1:13" ht="15" customHeight="1">
      <c r="A26" s="48"/>
      <c r="B26" s="49" t="str">
        <f>VLOOKUP($C$11:$C$49,Personnel!$A$1:$B$1234,2,FALSE)</f>
        <v>WELDER HELPER</v>
      </c>
      <c r="C26" s="36" t="s">
        <v>2796</v>
      </c>
      <c r="D26" s="184">
        <v>8</v>
      </c>
      <c r="E26" s="179">
        <f>VLOOKUP($B$11:$B$49,'Constr. Wage Rate Calculations'!$A$19:$Z$288,22,FALSE)</f>
        <v>53.52</v>
      </c>
      <c r="F26" s="184">
        <v>3</v>
      </c>
      <c r="G26" s="179">
        <f>VLOOKUP($B$11:$B$49,'Constr. Wage Rate Calculations'!$A$19:$Z$288,23,FALSE)</f>
        <v>80.290000000000006</v>
      </c>
      <c r="H26" s="184"/>
      <c r="I26" s="179">
        <f>VLOOKUP($B$11:$B$49,'Constr. Wage Rate Calculations'!$A$19:$Z$288,24,FALSE)</f>
        <v>107.05</v>
      </c>
      <c r="J26" s="20">
        <f>VLOOKUP($B$11:$B$49,'Constr. Wage Rate Calculations'!$A$19:$Z$288,25,FALSE)</f>
        <v>85</v>
      </c>
      <c r="K26" s="179">
        <f t="shared" si="0"/>
        <v>754.03000000000009</v>
      </c>
      <c r="M26" s="1">
        <v>1</v>
      </c>
    </row>
    <row r="27" spans="1:13" ht="15" customHeight="1">
      <c r="A27" s="48"/>
      <c r="B27" s="49" t="str">
        <f>VLOOKUP($C$11:$C$49,Personnel!$A$1:$B$1234,2,FALSE)</f>
        <v>FRONT-END/TIE-IN WELDER  ON AUTO WELD SPREAD (QI APPLIES)</v>
      </c>
      <c r="C27" s="36" t="s">
        <v>1158</v>
      </c>
      <c r="D27" s="184">
        <v>8</v>
      </c>
      <c r="E27" s="179">
        <f>VLOOKUP($B$11:$B$49,'Constr. Wage Rate Calculations'!$A$19:$Z$288,22,FALSE)</f>
        <v>83.42</v>
      </c>
      <c r="F27" s="184">
        <v>2</v>
      </c>
      <c r="G27" s="179">
        <f>VLOOKUP($B$11:$B$49,'Constr. Wage Rate Calculations'!$A$19:$Z$288,23,FALSE)</f>
        <v>125.12</v>
      </c>
      <c r="H27" s="184"/>
      <c r="I27" s="179">
        <f>VLOOKUP($B$11:$B$49,'Constr. Wage Rate Calculations'!$A$19:$Z$288,24,FALSE)</f>
        <v>166.83</v>
      </c>
      <c r="J27" s="20">
        <f>VLOOKUP($B$11:$B$49,'Constr. Wage Rate Calculations'!$A$19:$Z$288,25,FALSE)</f>
        <v>85</v>
      </c>
      <c r="K27" s="179">
        <f t="shared" si="0"/>
        <v>1002.6</v>
      </c>
    </row>
    <row r="28" spans="1:13" ht="15" customHeight="1">
      <c r="A28" s="48"/>
      <c r="B28" s="49" t="str">
        <f>VLOOKUP($C$11:$C$49,Personnel!$A$1:$B$1234,2,FALSE)</f>
        <v>FRONT-END/TIE-IN WELDER  ON STICK WELD SPREAD (QI APPLIES)</v>
      </c>
      <c r="C28" s="36" t="s">
        <v>2545</v>
      </c>
      <c r="D28" s="184">
        <v>8</v>
      </c>
      <c r="E28" s="179">
        <f>VLOOKUP($B$11:$B$49,'Constr. Wage Rate Calculations'!$A$19:$Z$288,22,FALSE)</f>
        <v>82.2</v>
      </c>
      <c r="F28" s="184">
        <v>4</v>
      </c>
      <c r="G28" s="179">
        <f>VLOOKUP($B$11:$B$49,'Constr. Wage Rate Calculations'!$A$19:$Z$288,23,FALSE)</f>
        <v>123.3</v>
      </c>
      <c r="H28" s="184"/>
      <c r="I28" s="179">
        <f>VLOOKUP($B$11:$B$49,'Constr. Wage Rate Calculations'!$A$19:$Z$288,24,FALSE)</f>
        <v>164.4</v>
      </c>
      <c r="J28" s="20">
        <f>VLOOKUP($B$11:$B$49,'Constr. Wage Rate Calculations'!$A$19:$Z$288,25,FALSE)</f>
        <v>85</v>
      </c>
      <c r="K28" s="179">
        <f t="shared" si="0"/>
        <v>1235.8</v>
      </c>
      <c r="M28" s="1">
        <v>2</v>
      </c>
    </row>
    <row r="29" spans="1:13" ht="15" customHeight="1">
      <c r="A29" s="48"/>
      <c r="B29" s="49" t="str">
        <f>VLOOKUP($C$11:$C$49,Personnel!$A$1:$B$1234,2,FALSE)</f>
        <v>WELDER HELPER</v>
      </c>
      <c r="C29" s="36" t="s">
        <v>1531</v>
      </c>
      <c r="D29" s="184">
        <v>8</v>
      </c>
      <c r="E29" s="179">
        <f>VLOOKUP($B$11:$B$49,'Constr. Wage Rate Calculations'!$A$19:$Z$288,22,FALSE)</f>
        <v>53.52</v>
      </c>
      <c r="F29" s="184">
        <v>2</v>
      </c>
      <c r="G29" s="179">
        <f>VLOOKUP($B$11:$B$49,'Constr. Wage Rate Calculations'!$A$19:$Z$288,23,FALSE)</f>
        <v>80.290000000000006</v>
      </c>
      <c r="H29" s="184"/>
      <c r="I29" s="179">
        <f>VLOOKUP($B$11:$B$49,'Constr. Wage Rate Calculations'!$A$19:$Z$288,24,FALSE)</f>
        <v>107.05</v>
      </c>
      <c r="J29" s="20">
        <f>VLOOKUP($B$11:$B$49,'Constr. Wage Rate Calculations'!$A$19:$Z$288,25,FALSE)</f>
        <v>85</v>
      </c>
      <c r="K29" s="179">
        <f t="shared" si="0"/>
        <v>673.74000000000012</v>
      </c>
    </row>
    <row r="30" spans="1:13" ht="15" customHeight="1">
      <c r="A30" s="48"/>
      <c r="B30" s="49" t="str">
        <f>VLOOKUP($C$11:$C$49,Personnel!$A$1:$B$1234,2,FALSE)</f>
        <v>WELDER HELPER</v>
      </c>
      <c r="C30" s="36" t="s">
        <v>1421</v>
      </c>
      <c r="D30" s="184">
        <v>8</v>
      </c>
      <c r="E30" s="179">
        <f>VLOOKUP($B$11:$B$49,'Constr. Wage Rate Calculations'!$A$19:$Z$288,22,FALSE)</f>
        <v>53.52</v>
      </c>
      <c r="F30" s="184">
        <v>2</v>
      </c>
      <c r="G30" s="179">
        <f>VLOOKUP($B$11:$B$49,'Constr. Wage Rate Calculations'!$A$19:$Z$288,23,FALSE)</f>
        <v>80.290000000000006</v>
      </c>
      <c r="H30" s="184"/>
      <c r="I30" s="179">
        <f>VLOOKUP($B$11:$B$49,'Constr. Wage Rate Calculations'!$A$19:$Z$288,24,FALSE)</f>
        <v>107.05</v>
      </c>
      <c r="J30" s="20">
        <f>VLOOKUP($B$11:$B$49,'Constr. Wage Rate Calculations'!$A$19:$Z$288,25,FALSE)</f>
        <v>85</v>
      </c>
      <c r="K30" s="179">
        <f t="shared" si="0"/>
        <v>673.74000000000012</v>
      </c>
    </row>
    <row r="31" spans="1:13" ht="15" customHeight="1">
      <c r="A31" s="48"/>
      <c r="B31" s="49" t="str">
        <f>VLOOKUP($C$11:$C$49,Personnel!$A$1:$B$1234,2,FALSE)</f>
        <v>QUALITY CONTROL TECHNICIAN</v>
      </c>
      <c r="C31" s="36" t="s">
        <v>2707</v>
      </c>
      <c r="D31" s="184">
        <v>1</v>
      </c>
      <c r="E31" s="179">
        <f>VLOOKUP($B$11:$B$49,'Constr. Wage Rate Calculations'!$A$19:$Z$288,22,FALSE)</f>
        <v>1186.32</v>
      </c>
      <c r="F31" s="184">
        <v>9</v>
      </c>
      <c r="G31" s="179">
        <f>VLOOKUP($B$11:$B$49,'Constr. Wage Rate Calculations'!$A$19:$Z$288,23,FALSE)</f>
        <v>0</v>
      </c>
      <c r="H31" s="184"/>
      <c r="I31" s="179">
        <f>VLOOKUP($B$11:$B$49,'Constr. Wage Rate Calculations'!$A$19:$Z$288,24,FALSE)</f>
        <v>0</v>
      </c>
      <c r="J31" s="20">
        <f>VLOOKUP($B$11:$B$49,'Constr. Wage Rate Calculations'!$A$19:$Z$288,25,FALSE)</f>
        <v>230</v>
      </c>
      <c r="K31" s="179">
        <f t="shared" si="0"/>
        <v>1416.32</v>
      </c>
    </row>
    <row r="32" spans="1:13" ht="15" customHeight="1">
      <c r="A32" s="48"/>
      <c r="B32" s="49" t="str">
        <f>VLOOKUP($C$11:$C$49,Personnel!$A$1:$B$1234,2,FALSE)</f>
        <v>STRAW  - FITTER ON AUTO WELD SPREAD (QI APPLIES)</v>
      </c>
      <c r="C32" s="36" t="s">
        <v>619</v>
      </c>
      <c r="D32" s="184">
        <v>8</v>
      </c>
      <c r="E32" s="179">
        <f>VLOOKUP($B$11:$B$49,'Constr. Wage Rate Calculations'!$A$19:$Z$288,22,FALSE)</f>
        <v>82.81</v>
      </c>
      <c r="F32" s="184">
        <v>4</v>
      </c>
      <c r="G32" s="179">
        <f>VLOOKUP($B$11:$B$49,'Constr. Wage Rate Calculations'!$A$19:$Z$288,23,FALSE)</f>
        <v>124.21</v>
      </c>
      <c r="H32" s="184"/>
      <c r="I32" s="179">
        <f>VLOOKUP($B$11:$B$49,'Constr. Wage Rate Calculations'!$A$19:$Z$288,24,FALSE)</f>
        <v>165.62</v>
      </c>
      <c r="J32" s="20">
        <f>VLOOKUP($B$11:$B$49,'Constr. Wage Rate Calculations'!$A$19:$Z$288,25,FALSE)</f>
        <v>85</v>
      </c>
      <c r="K32" s="179">
        <f t="shared" si="0"/>
        <v>1244.32</v>
      </c>
      <c r="M32" s="1">
        <v>2</v>
      </c>
    </row>
    <row r="33" spans="1:11" ht="15" customHeight="1">
      <c r="A33" s="48"/>
      <c r="B33" s="49" t="str">
        <f>VLOOKUP($C$11:$C$49,Personnel!$A$1:$B$1234,2,FALSE)</f>
        <v>WELDER HELPER</v>
      </c>
      <c r="C33" s="36" t="s">
        <v>2845</v>
      </c>
      <c r="D33" s="184">
        <v>8</v>
      </c>
      <c r="E33" s="179">
        <f>VLOOKUP($B$11:$B$49,'Constr. Wage Rate Calculations'!$A$19:$Z$288,22,FALSE)</f>
        <v>53.52</v>
      </c>
      <c r="F33" s="184">
        <v>2</v>
      </c>
      <c r="G33" s="179">
        <f>VLOOKUP($B$11:$B$49,'Constr. Wage Rate Calculations'!$A$19:$Z$288,23,FALSE)</f>
        <v>80.290000000000006</v>
      </c>
      <c r="H33" s="184"/>
      <c r="I33" s="179">
        <f>VLOOKUP($B$11:$B$49,'Constr. Wage Rate Calculations'!$A$19:$Z$288,24,FALSE)</f>
        <v>107.05</v>
      </c>
      <c r="J33" s="20">
        <f>VLOOKUP($B$11:$B$49,'Constr. Wage Rate Calculations'!$A$19:$Z$288,25,FALSE)</f>
        <v>85</v>
      </c>
      <c r="K33" s="179">
        <f t="shared" si="0"/>
        <v>673.74000000000012</v>
      </c>
    </row>
    <row r="34" spans="1:11" ht="15" customHeight="1">
      <c r="A34" s="48"/>
      <c r="B34" s="49" t="str">
        <f>VLOOKUP($C$11:$C$49,Personnel!$A$1:$B$1234,2,FALSE)</f>
        <v>BUS/ CREWCAB DRIVER</v>
      </c>
      <c r="C34" s="36" t="s">
        <v>937</v>
      </c>
      <c r="D34" s="184">
        <v>8</v>
      </c>
      <c r="E34" s="179">
        <f>VLOOKUP($B$11:$B$49,'Constr. Wage Rate Calculations'!$A$19:$Z$288,22,FALSE)</f>
        <v>56.73</v>
      </c>
      <c r="F34" s="184">
        <v>3</v>
      </c>
      <c r="G34" s="179">
        <f>VLOOKUP($B$11:$B$49,'Constr. Wage Rate Calculations'!$A$19:$Z$288,23,FALSE)</f>
        <v>85.1</v>
      </c>
      <c r="H34" s="184"/>
      <c r="I34" s="179">
        <f>VLOOKUP($B$11:$B$49,'Constr. Wage Rate Calculations'!$A$19:$Z$288,24,FALSE)</f>
        <v>113.46</v>
      </c>
      <c r="J34" s="20">
        <f>VLOOKUP($B$11:$B$49,'Constr. Wage Rate Calculations'!$A$19:$Z$288,25,FALSE)</f>
        <v>85</v>
      </c>
      <c r="K34" s="179">
        <f t="shared" si="0"/>
        <v>794.13999999999987</v>
      </c>
    </row>
    <row r="35" spans="1:11" ht="15" customHeight="1">
      <c r="A35" s="48"/>
      <c r="B35" s="49">
        <f>VLOOKUP($C$11:$C$49,Personnel!$A$1:$B$1234,2,FALSE)</f>
        <v>0</v>
      </c>
      <c r="C35" s="36"/>
      <c r="D35" s="184"/>
      <c r="E35" s="179">
        <f>VLOOKUP($B$11:$B$49,'Constr. Wage Rate Calculations'!$A$19:$Z$288,22,FALSE)</f>
        <v>0</v>
      </c>
      <c r="F35" s="184"/>
      <c r="G35" s="179">
        <f>VLOOKUP($B$11:$B$49,'Constr. Wage Rate Calculations'!$A$19:$Z$288,23,FALSE)</f>
        <v>0</v>
      </c>
      <c r="H35" s="184"/>
      <c r="I35" s="179">
        <f>VLOOKUP($B$11:$B$49,'Constr. Wage Rate Calculations'!$A$19:$Z$288,24,FALSE)</f>
        <v>0</v>
      </c>
      <c r="J35" s="20">
        <f>VLOOKUP($B$11:$B$49,'Constr. Wage Rate Calculations'!$A$19:$Z$288,25,FALSE)</f>
        <v>0</v>
      </c>
      <c r="K35" s="179" t="str">
        <f t="shared" si="0"/>
        <v/>
      </c>
    </row>
    <row r="36" spans="1:11" ht="15" customHeight="1">
      <c r="A36" s="48"/>
      <c r="B36" s="49">
        <f>VLOOKUP($C$11:$C$49,Personnel!$A$1:$B$1234,2,FALSE)</f>
        <v>0</v>
      </c>
      <c r="C36" s="36"/>
      <c r="D36" s="184"/>
      <c r="E36" s="179">
        <f>VLOOKUP($B$11:$B$49,'Constr. Wage Rate Calculations'!$A$19:$Z$288,22,FALSE)</f>
        <v>0</v>
      </c>
      <c r="F36" s="184"/>
      <c r="G36" s="179">
        <f>VLOOKUP($B$11:$B$49,'Constr. Wage Rate Calculations'!$A$19:$Z$288,23,FALSE)</f>
        <v>0</v>
      </c>
      <c r="H36" s="184"/>
      <c r="I36" s="179">
        <f>VLOOKUP($B$11:$B$49,'Constr. Wage Rate Calculations'!$A$19:$Z$288,24,FALSE)</f>
        <v>0</v>
      </c>
      <c r="J36" s="20">
        <f>VLOOKUP($B$11:$B$49,'Constr. Wage Rate Calculations'!$A$19:$Z$288,25,FALSE)</f>
        <v>0</v>
      </c>
      <c r="K36" s="179" t="str">
        <f t="shared" si="0"/>
        <v/>
      </c>
    </row>
    <row r="37" spans="1:11" ht="15" customHeight="1">
      <c r="A37" s="48"/>
      <c r="B37" s="49">
        <f>VLOOKUP($C$11:$C$49,Personnel!$A$1:$B$1234,2,FALSE)</f>
        <v>0</v>
      </c>
      <c r="C37" s="36"/>
      <c r="D37" s="184"/>
      <c r="E37" s="179">
        <f>VLOOKUP($B$11:$B$49,'Constr. Wage Rate Calculations'!$A$19:$Z$288,22,FALSE)</f>
        <v>0</v>
      </c>
      <c r="F37" s="184"/>
      <c r="G37" s="179">
        <f>VLOOKUP($B$11:$B$49,'Constr. Wage Rate Calculations'!$A$19:$Z$288,23,FALSE)</f>
        <v>0</v>
      </c>
      <c r="H37" s="184"/>
      <c r="I37" s="179">
        <f>VLOOKUP($B$11:$B$49,'Constr. Wage Rate Calculations'!$A$19:$Z$288,24,FALSE)</f>
        <v>0</v>
      </c>
      <c r="J37" s="20">
        <f>VLOOKUP($B$11:$B$49,'Constr. Wage Rate Calculations'!$A$19:$Z$288,25,FALSE)</f>
        <v>0</v>
      </c>
      <c r="K37" s="179" t="str">
        <f t="shared" ref="K37:K38" si="1">IF($D37&gt;=1,$J37+(D37*E37)+(F37*G37)+(H37*I37),IF($F37&gt;=1,$J37+(D37*E37)+(F37*G37)+(H37*I37),IF($H37&gt;=1,$J37+(D37*E37)+(F37*G37)+(H37*I37),"")))</f>
        <v/>
      </c>
    </row>
    <row r="38" spans="1:11" ht="15" customHeight="1">
      <c r="A38" s="48"/>
      <c r="B38" s="49">
        <f>VLOOKUP($C$11:$C$49,Personnel!$A$1:$B$1234,2,FALSE)</f>
        <v>0</v>
      </c>
      <c r="C38" s="36"/>
      <c r="D38" s="184"/>
      <c r="E38" s="179">
        <f>VLOOKUP($B$11:$B$49,'Constr. Wage Rate Calculations'!$A$19:$Z$288,22,FALSE)</f>
        <v>0</v>
      </c>
      <c r="F38" s="184"/>
      <c r="G38" s="179">
        <f>VLOOKUP($B$11:$B$49,'Constr. Wage Rate Calculations'!$A$19:$Z$288,23,FALSE)</f>
        <v>0</v>
      </c>
      <c r="H38" s="184"/>
      <c r="I38" s="179">
        <f>VLOOKUP($B$11:$B$49,'Constr. Wage Rate Calculations'!$A$19:$Z$288,24,FALSE)</f>
        <v>0</v>
      </c>
      <c r="J38" s="20">
        <f>VLOOKUP($B$11:$B$49,'Constr. Wage Rate Calculations'!$A$19:$Z$288,25,FALSE)</f>
        <v>0</v>
      </c>
      <c r="K38" s="179" t="str">
        <f t="shared" si="1"/>
        <v/>
      </c>
    </row>
    <row r="39" spans="1:11" ht="15" customHeight="1">
      <c r="A39" s="48"/>
      <c r="B39" s="49">
        <f>VLOOKUP($C$11:$C$49,Personnel!$A$1:$B$1234,2,FALSE)</f>
        <v>0</v>
      </c>
      <c r="C39" s="36"/>
      <c r="D39" s="184"/>
      <c r="E39" s="179">
        <f>VLOOKUP($B$11:$B$49,'Constr. Wage Rate Calculations'!$A$19:$Z$288,22,FALSE)</f>
        <v>0</v>
      </c>
      <c r="F39" s="184"/>
      <c r="G39" s="179">
        <f>VLOOKUP($B$11:$B$49,'Constr. Wage Rate Calculations'!$A$19:$Z$288,23,FALSE)</f>
        <v>0</v>
      </c>
      <c r="H39" s="184"/>
      <c r="I39" s="179">
        <f>VLOOKUP($B$11:$B$49,'Constr. Wage Rate Calculations'!$A$19:$Z$288,24,FALSE)</f>
        <v>0</v>
      </c>
      <c r="J39" s="20">
        <f>VLOOKUP($B$11:$B$49,'Constr. Wage Rate Calculations'!$A$19:$Z$288,25,FALSE)</f>
        <v>0</v>
      </c>
      <c r="K39" s="179" t="str">
        <f t="shared" ref="K39:K47" si="2">IF($D39&gt;=1,$J39+(D39*E39)+(F39*G39)+(H39*I39),IF($F39&gt;=1,$J39+(D39*E39)+(F39*G39)+(H39*I39),IF($H39&gt;=1,$J39+(D39*E39)+(F39*G39)+(H39*I39),"")))</f>
        <v/>
      </c>
    </row>
    <row r="40" spans="1:11" ht="15" customHeight="1">
      <c r="A40" s="48"/>
      <c r="B40" s="49">
        <f>VLOOKUP($C$11:$C$49,Personnel!$A$1:$B$1234,2,FALSE)</f>
        <v>0</v>
      </c>
      <c r="C40" s="36"/>
      <c r="D40" s="184"/>
      <c r="E40" s="179">
        <f>VLOOKUP($B$11:$B$49,'Constr. Wage Rate Calculations'!$A$19:$Z$288,22,FALSE)</f>
        <v>0</v>
      </c>
      <c r="F40" s="184"/>
      <c r="G40" s="179">
        <f>VLOOKUP($B$11:$B$49,'Constr. Wage Rate Calculations'!$A$19:$Z$288,23,FALSE)</f>
        <v>0</v>
      </c>
      <c r="H40" s="184"/>
      <c r="I40" s="179">
        <f>VLOOKUP($B$11:$B$49,'Constr. Wage Rate Calculations'!$A$19:$Z$288,24,FALSE)</f>
        <v>0</v>
      </c>
      <c r="J40" s="20">
        <f>VLOOKUP($B$11:$B$49,'Constr. Wage Rate Calculations'!$A$19:$Z$288,25,FALSE)</f>
        <v>0</v>
      </c>
      <c r="K40" s="179" t="str">
        <f>IF($D40&gt;=1,$J40+(D40*E40)+(F40*G40)+(H40*I40),IF($F40&gt;=1,$J40+(D40*E40)+(F40*G40)+(H40*I40),IF($H40&gt;=1,$J40+(D40*E40)+(F40*G40)+(H40*I40),"")))</f>
        <v/>
      </c>
    </row>
    <row r="41" spans="1:11" ht="17.25" customHeight="1">
      <c r="A41" s="48"/>
      <c r="B41" s="49">
        <f>VLOOKUP($C$11:$C$49,Personnel!$A$1:$B$1234,2,FALSE)</f>
        <v>0</v>
      </c>
      <c r="C41" s="36"/>
      <c r="D41" s="184"/>
      <c r="E41" s="179">
        <f>VLOOKUP($B$11:$B$49,'Constr. Wage Rate Calculations'!$A$19:$Z$288,22,FALSE)</f>
        <v>0</v>
      </c>
      <c r="F41" s="184"/>
      <c r="G41" s="179">
        <f>VLOOKUP($B$11:$B$49,'Constr. Wage Rate Calculations'!$A$19:$Z$288,23,FALSE)</f>
        <v>0</v>
      </c>
      <c r="H41" s="184"/>
      <c r="I41" s="179">
        <f>VLOOKUP($B$11:$B$49,'Constr. Wage Rate Calculations'!$A$19:$Z$288,24,FALSE)</f>
        <v>0</v>
      </c>
      <c r="J41" s="20">
        <f>VLOOKUP($B$11:$B$49,'Constr. Wage Rate Calculations'!$A$19:$Z$288,25,FALSE)</f>
        <v>0</v>
      </c>
      <c r="K41" s="179" t="str">
        <f>IF($D41&gt;=1,$J41+(D41*E41)+(F41*G41)+(H41*I41),IF($F41&gt;=1,$J41+(D41*E41)+(F41*G41)+(H41*I41),IF($H41&gt;=1,$J41+(D41*E41)+(F41*G41)+(H41*I41),"")))</f>
        <v/>
      </c>
    </row>
    <row r="42" spans="1:11" ht="15" customHeight="1">
      <c r="A42" s="48"/>
      <c r="B42" s="49">
        <f>VLOOKUP($C$11:$C$49,Personnel!$A$1:$B$1234,2,FALSE)</f>
        <v>0</v>
      </c>
      <c r="C42" s="36"/>
      <c r="D42" s="184"/>
      <c r="E42" s="179">
        <f>VLOOKUP($B$11:$B$49,'Constr. Wage Rate Calculations'!$A$19:$Z$288,22,FALSE)</f>
        <v>0</v>
      </c>
      <c r="F42" s="184"/>
      <c r="G42" s="179">
        <f>VLOOKUP($B$11:$B$49,'Constr. Wage Rate Calculations'!$A$19:$Z$288,23,FALSE)</f>
        <v>0</v>
      </c>
      <c r="H42" s="184"/>
      <c r="I42" s="179">
        <f>VLOOKUP($B$11:$B$49,'Constr. Wage Rate Calculations'!$A$19:$Z$288,24,FALSE)</f>
        <v>0</v>
      </c>
      <c r="J42" s="20">
        <f>VLOOKUP($B$11:$B$49,'Constr. Wage Rate Calculations'!$A$19:$Z$288,25,FALSE)</f>
        <v>0</v>
      </c>
      <c r="K42" s="179" t="str">
        <f>IF($D42&gt;=1,$J42+(D42*E42)+(F42*G42)+(H42*I42),IF($F42&gt;=1,$J42+(D42*E42)+(F42*G42)+(H42*I42),IF($H42&gt;=1,$J42+(D42*E42)+(F42*G42)+(H42*I42),"")))</f>
        <v/>
      </c>
    </row>
    <row r="43" spans="1:11" ht="15" customHeight="1">
      <c r="A43" s="48"/>
      <c r="B43" s="49">
        <f>VLOOKUP($C$11:$C$49,Personnel!$A$1:$B$1234,2,FALSE)</f>
        <v>0</v>
      </c>
      <c r="C43" s="36"/>
      <c r="D43" s="184"/>
      <c r="E43" s="179">
        <f>VLOOKUP($B$11:$B$49,'Constr. Wage Rate Calculations'!$A$19:$Z$288,22,FALSE)</f>
        <v>0</v>
      </c>
      <c r="F43" s="184"/>
      <c r="G43" s="179">
        <f>VLOOKUP($B$11:$B$49,'Constr. Wage Rate Calculations'!$A$19:$Z$288,23,FALSE)</f>
        <v>0</v>
      </c>
      <c r="H43" s="184"/>
      <c r="I43" s="179">
        <f>VLOOKUP($B$11:$B$49,'Constr. Wage Rate Calculations'!$A$19:$Z$288,24,FALSE)</f>
        <v>0</v>
      </c>
      <c r="J43" s="20">
        <f>VLOOKUP($B$11:$B$49,'Constr. Wage Rate Calculations'!$A$19:$Z$288,25,FALSE)</f>
        <v>0</v>
      </c>
      <c r="K43" s="179" t="str">
        <f>IF($D43&gt;=1,$J43+(D43*E43)+(F43*G43)+(H43*I43),IF($F43&gt;=1,$J43+(D43*E43)+(F43*G43)+(H43*I43),IF($H43&gt;=1,$J43+(D43*E43)+(F43*G43)+(H43*I43),"")))</f>
        <v/>
      </c>
    </row>
    <row r="44" spans="1:11" ht="15" customHeight="1">
      <c r="A44" s="48"/>
      <c r="B44" s="49">
        <f>VLOOKUP($C$11:$C$49,Personnel!$A$1:$B$1234,2,FALSE)</f>
        <v>0</v>
      </c>
      <c r="C44" s="36"/>
      <c r="D44" s="184"/>
      <c r="E44" s="179">
        <f>VLOOKUP($B$11:$B$49,'Constr. Wage Rate Calculations'!$A$19:$Z$288,22,FALSE)</f>
        <v>0</v>
      </c>
      <c r="F44" s="184"/>
      <c r="G44" s="179">
        <f>VLOOKUP($B$11:$B$49,'Constr. Wage Rate Calculations'!$A$19:$Z$288,23,FALSE)</f>
        <v>0</v>
      </c>
      <c r="H44" s="184"/>
      <c r="I44" s="179">
        <f>VLOOKUP($B$11:$B$49,'Constr. Wage Rate Calculations'!$A$19:$Z$288,24,FALSE)</f>
        <v>0</v>
      </c>
      <c r="J44" s="20">
        <f>VLOOKUP($B$11:$B$49,'Constr. Wage Rate Calculations'!$A$19:$Z$288,25,FALSE)</f>
        <v>0</v>
      </c>
      <c r="K44" s="179" t="str">
        <f t="shared" ref="K44:K45" si="3">IF($D44&gt;=1,$J44+(D44*E44)+(F44*G44)+(H44*I44),IF($F44&gt;=1,$J44+(D44*E44)+(F44*G44)+(H44*I44),IF($H44&gt;=1,$J44+(D44*E44)+(F44*G44)+(H44*I44),"")))</f>
        <v/>
      </c>
    </row>
    <row r="45" spans="1:11" ht="15" customHeight="1">
      <c r="A45" s="48"/>
      <c r="B45" s="49">
        <f>VLOOKUP($C$11:$C$49,Personnel!$A$1:$B$1234,2,FALSE)</f>
        <v>0</v>
      </c>
      <c r="C45" s="36"/>
      <c r="D45" s="184"/>
      <c r="E45" s="179">
        <f>VLOOKUP($B$11:$B$49,'Constr. Wage Rate Calculations'!$A$19:$Z$288,22,FALSE)</f>
        <v>0</v>
      </c>
      <c r="F45" s="184"/>
      <c r="G45" s="179">
        <f>VLOOKUP($B$11:$B$49,'Constr. Wage Rate Calculations'!$A$19:$Z$288,23,FALSE)</f>
        <v>0</v>
      </c>
      <c r="H45" s="184"/>
      <c r="I45" s="179">
        <f>VLOOKUP($B$11:$B$49,'Constr. Wage Rate Calculations'!$A$19:$Z$288,24,FALSE)</f>
        <v>0</v>
      </c>
      <c r="J45" s="20">
        <f>VLOOKUP($B$11:$B$49,'Constr. Wage Rate Calculations'!$A$19:$Z$288,25,FALSE)</f>
        <v>0</v>
      </c>
      <c r="K45" s="179" t="str">
        <f t="shared" si="3"/>
        <v/>
      </c>
    </row>
    <row r="46" spans="1:11" ht="15" customHeight="1">
      <c r="A46" s="48"/>
      <c r="B46" s="49">
        <f>VLOOKUP($C$11:$C$49,Personnel!$A$1:$B$1234,2,FALSE)</f>
        <v>0</v>
      </c>
      <c r="C46" s="36"/>
      <c r="D46" s="184"/>
      <c r="E46" s="179">
        <f>VLOOKUP($B$11:$B$49,'Constr. Wage Rate Calculations'!$A$19:$Z$288,22,FALSE)</f>
        <v>0</v>
      </c>
      <c r="F46" s="184"/>
      <c r="G46" s="179">
        <f>VLOOKUP($B$11:$B$49,'Constr. Wage Rate Calculations'!$A$19:$Z$288,23,FALSE)</f>
        <v>0</v>
      </c>
      <c r="H46" s="184"/>
      <c r="I46" s="179">
        <f>VLOOKUP($B$11:$B$49,'Constr. Wage Rate Calculations'!$A$19:$Z$288,24,FALSE)</f>
        <v>0</v>
      </c>
      <c r="J46" s="20">
        <f>VLOOKUP($B$11:$B$49,'Constr. Wage Rate Calculations'!$A$19:$Z$288,25,FALSE)</f>
        <v>0</v>
      </c>
      <c r="K46" s="179" t="str">
        <f t="shared" si="2"/>
        <v/>
      </c>
    </row>
    <row r="47" spans="1:11" ht="15" customHeight="1">
      <c r="A47" s="48"/>
      <c r="B47" s="49">
        <f>VLOOKUP($C$11:$C$49,Personnel!$A$1:$B$1234,2,FALSE)</f>
        <v>0</v>
      </c>
      <c r="C47" s="36"/>
      <c r="D47" s="184"/>
      <c r="E47" s="179">
        <f>VLOOKUP($B$11:$B$49,'Constr. Wage Rate Calculations'!$A$19:$Z$288,22,FALSE)</f>
        <v>0</v>
      </c>
      <c r="F47" s="184"/>
      <c r="G47" s="179">
        <f>VLOOKUP($B$11:$B$49,'Constr. Wage Rate Calculations'!$A$19:$Z$288,23,FALSE)</f>
        <v>0</v>
      </c>
      <c r="H47" s="184"/>
      <c r="I47" s="179">
        <f>VLOOKUP($B$11:$B$49,'Constr. Wage Rate Calculations'!$A$19:$Z$288,24,FALSE)</f>
        <v>0</v>
      </c>
      <c r="J47" s="20">
        <f>VLOOKUP($B$11:$B$49,'Constr. Wage Rate Calculations'!$A$19:$Z$288,25,FALSE)</f>
        <v>0</v>
      </c>
      <c r="K47" s="179" t="str">
        <f t="shared" si="2"/>
        <v/>
      </c>
    </row>
    <row r="48" spans="1:11" ht="15" customHeight="1">
      <c r="A48" s="48"/>
      <c r="B48" s="49">
        <f>VLOOKUP($C$11:$C$49,Personnel!$A$1:$B$1234,2,FALSE)</f>
        <v>0</v>
      </c>
      <c r="C48" s="36"/>
      <c r="D48" s="184"/>
      <c r="E48" s="179">
        <f>VLOOKUP($B$11:$B$49,'Constr. Wage Rate Calculations'!$A$19:$Z$288,22,FALSE)</f>
        <v>0</v>
      </c>
      <c r="F48" s="184"/>
      <c r="G48" s="179">
        <f>VLOOKUP($B$11:$B$49,'Constr. Wage Rate Calculations'!$A$19:$Z$288,23,FALSE)</f>
        <v>0</v>
      </c>
      <c r="H48" s="184"/>
      <c r="I48" s="179">
        <f>VLOOKUP($B$11:$B$49,'Constr. Wage Rate Calculations'!$A$19:$Z$288,24,FALSE)</f>
        <v>0</v>
      </c>
      <c r="J48" s="20">
        <f>VLOOKUP($B$11:$B$49,'Constr. Wage Rate Calculations'!$A$19:$Z$288,25,FALSE)</f>
        <v>0</v>
      </c>
      <c r="K48" s="179" t="str">
        <f t="shared" ref="K48" si="4">IF($D48&gt;=1,$J48+(D48*E48)+(F48*G48)+(H48*I48),IF($F48&gt;=1,$J48+(D48*E48)+(F48*G48)+(H48*I48),IF($H48&gt;=1,$J48+(D48*E48)+(F48*G48)+(H48*I48),"")))</f>
        <v/>
      </c>
    </row>
    <row r="49" spans="1:15" ht="15" customHeight="1" thickBot="1">
      <c r="A49" s="48"/>
      <c r="B49" s="49">
        <f>VLOOKUP($C$11:$C$49,Personnel!$A$1:$B$1234,2,FALSE)</f>
        <v>0</v>
      </c>
      <c r="C49" s="36"/>
      <c r="D49" s="184"/>
      <c r="E49" s="179">
        <f>VLOOKUP($B$11:$B$49,'Constr. Wage Rate Calculations'!$A$19:$Z$288,22,FALSE)</f>
        <v>0</v>
      </c>
      <c r="F49" s="184"/>
      <c r="G49" s="179">
        <f>VLOOKUP($B$11:$B$49,'Constr. Wage Rate Calculations'!$A$19:$Z$288,23,FALSE)</f>
        <v>0</v>
      </c>
      <c r="H49" s="184"/>
      <c r="I49" s="179">
        <f>VLOOKUP($B$11:$B$49,'Constr. Wage Rate Calculations'!$A$19:$Z$288,24,FALSE)</f>
        <v>0</v>
      </c>
      <c r="J49" s="20">
        <f>VLOOKUP($B$11:$B$49,'Constr. Wage Rate Calculations'!$A$19:$Z$288,25,FALSE)</f>
        <v>0</v>
      </c>
      <c r="K49" s="179" t="str">
        <f>IF($D49&gt;=1,$J49+(D49*E49)+(F49*G49)+(H49*I49),IF($F49&gt;=1,$J49+(D49*E49)+(F49*G49)+(H49*I49),IF($H49&gt;=1,$J49+(D49*E49)+(F49*G49)+(H49*I49),"")))</f>
        <v/>
      </c>
      <c r="M49" s="1">
        <f>SUM(M11:M48)</f>
        <v>20</v>
      </c>
    </row>
    <row r="50" spans="1:15" ht="15" customHeight="1" thickBot="1">
      <c r="A50"/>
      <c r="B50"/>
      <c r="C50"/>
      <c r="D50" s="21">
        <f>SUM(D11:D49)</f>
        <v>177</v>
      </c>
      <c r="E50" s="21"/>
      <c r="F50" s="21">
        <f>SUM(F11:F49)</f>
        <v>74</v>
      </c>
      <c r="G50" s="21"/>
      <c r="H50" s="21"/>
      <c r="I50" s="360" t="s">
        <v>18</v>
      </c>
      <c r="J50" s="361"/>
      <c r="K50" s="183">
        <f>SUM(K11:K49)</f>
        <v>21487.54</v>
      </c>
      <c r="M50" s="1">
        <f>SUMIFS(D11:D49,D11:D49,"&lt;3",D11:D49,"&lt;5")</f>
        <v>1</v>
      </c>
      <c r="N50" s="1">
        <f>SUMIFS(D11:D49,D11:D49,"&gt;3",D11:D49,"&gt;5")</f>
        <v>176</v>
      </c>
      <c r="O50" s="1">
        <f>SUM(F11:F49,H11:H49,M50,N50)-M49</f>
        <v>231</v>
      </c>
    </row>
    <row r="51" spans="1:15" ht="10" customHeight="1" thickBot="1"/>
    <row r="52" spans="1:15" s="19" customFormat="1" ht="15" customHeight="1" thickBot="1">
      <c r="A52" s="22" t="s">
        <v>19</v>
      </c>
      <c r="B52" s="23" t="s">
        <v>20</v>
      </c>
      <c r="C52" s="23"/>
      <c r="D52" s="23"/>
      <c r="E52" s="23"/>
      <c r="F52" s="23"/>
      <c r="G52" s="23"/>
      <c r="H52" s="18" t="s">
        <v>21</v>
      </c>
      <c r="I52" s="18" t="s">
        <v>22</v>
      </c>
      <c r="J52" s="18" t="s">
        <v>23</v>
      </c>
      <c r="K52" s="18" t="s">
        <v>17</v>
      </c>
    </row>
    <row r="53" spans="1:15" ht="19.5" customHeight="1">
      <c r="A53" s="43"/>
      <c r="B53" s="49">
        <f>VLOOKUP($C$53:$C$90,Equipment!$A$1:$B$2322,2,FALSE)</f>
        <v>0</v>
      </c>
      <c r="C53" s="24"/>
      <c r="D53" s="24"/>
      <c r="E53" s="24"/>
      <c r="F53" s="24"/>
      <c r="G53" s="24"/>
      <c r="H53" s="36"/>
      <c r="I53" s="20"/>
      <c r="J53" s="42">
        <f>VLOOKUP($B$53:$B$90,'Alberta Equip. Rates Year 3'!$B$13:$K$314,10,FALSE)</f>
        <v>0</v>
      </c>
      <c r="K53" s="181">
        <f t="shared" ref="K53:K57" si="5">(H53+I53)*J53</f>
        <v>0</v>
      </c>
    </row>
    <row r="54" spans="1:15" ht="15" customHeight="1">
      <c r="A54" s="43"/>
      <c r="B54" s="49">
        <f>VLOOKUP($C$53:$C$90,Equipment!$A$1:$B$2322,2,FALSE)</f>
        <v>0</v>
      </c>
      <c r="C54" s="24"/>
      <c r="D54" s="24"/>
      <c r="E54" s="24"/>
      <c r="F54" s="24"/>
      <c r="G54" s="24"/>
      <c r="H54" s="36"/>
      <c r="I54" s="20"/>
      <c r="J54" s="42">
        <f>VLOOKUP($B$53:$B$90,'Alberta Equip. Rates Year 3'!$B$13:$K$314,10,FALSE)</f>
        <v>0</v>
      </c>
      <c r="K54" s="181">
        <f>(H54+I54)*J54</f>
        <v>0</v>
      </c>
    </row>
    <row r="55" spans="1:15" ht="18" customHeight="1">
      <c r="A55" s="43"/>
      <c r="B55" s="49" t="str">
        <f>VLOOKUP($C$53:$C$90,Equipment!$A$1:$B$2322,2,FALSE)</f>
        <v>Automatic Welding Tractor</v>
      </c>
      <c r="C55" s="24" t="s">
        <v>2431</v>
      </c>
      <c r="D55" s="24"/>
      <c r="E55" s="24"/>
      <c r="F55" s="24"/>
      <c r="G55" s="24"/>
      <c r="H55" s="36">
        <v>1</v>
      </c>
      <c r="I55" s="20"/>
      <c r="J55" s="42">
        <f>VLOOKUP($B$53:$B$90,'Alberta Equip. Rates Year 3'!$B$13:$K$314,10,FALSE)</f>
        <v>1345</v>
      </c>
      <c r="K55" s="181">
        <f>(H55+I55)*J55</f>
        <v>1345</v>
      </c>
    </row>
    <row r="56" spans="1:15" ht="15" customHeight="1">
      <c r="A56" s="43"/>
      <c r="B56" s="49" t="str">
        <f>VLOOKUP($C$53:$C$90,Equipment!$A$1:$B$2322,2,FALSE)</f>
        <v>Automatic Welding Tractor</v>
      </c>
      <c r="C56" s="24" t="s">
        <v>2193</v>
      </c>
      <c r="D56" s="24"/>
      <c r="E56" s="24"/>
      <c r="F56" s="24"/>
      <c r="G56" s="24"/>
      <c r="H56" s="36">
        <v>1</v>
      </c>
      <c r="I56" s="20"/>
      <c r="J56" s="42">
        <f>VLOOKUP($B$53:$B$90,'Alberta Equip. Rates Year 3'!$B$13:$K$314,10,FALSE)</f>
        <v>1345</v>
      </c>
      <c r="K56" s="181">
        <f>(H56+I56)*J56</f>
        <v>1345</v>
      </c>
    </row>
    <row r="57" spans="1:15" ht="15" customHeight="1">
      <c r="A57" s="43"/>
      <c r="B57" s="49" t="str">
        <f>VLOOKUP($C$53:$C$90,Equipment!$A$1:$B$2322,2,FALSE)</f>
        <v>Bus</v>
      </c>
      <c r="C57" s="24" t="s">
        <v>2915</v>
      </c>
      <c r="D57" s="24"/>
      <c r="E57" s="24"/>
      <c r="F57" s="24"/>
      <c r="G57" s="24"/>
      <c r="H57" s="36">
        <v>1</v>
      </c>
      <c r="I57" s="20"/>
      <c r="J57" s="42">
        <f>VLOOKUP($B$53:$B$90,'Alberta Equip. Rates Year 3'!$B$13:$K$314,10,FALSE)</f>
        <v>254</v>
      </c>
      <c r="K57" s="181">
        <f t="shared" si="5"/>
        <v>254</v>
      </c>
    </row>
    <row r="58" spans="1:15" ht="15" customHeight="1">
      <c r="A58" s="43"/>
      <c r="B58" s="49" t="str">
        <f>VLOOKUP($C$53:$C$90,Equipment!$A$1:$B$2322,2,FALSE)</f>
        <v>Crewcab - 1 Ton</v>
      </c>
      <c r="C58" s="24" t="s">
        <v>4187</v>
      </c>
      <c r="D58" s="24"/>
      <c r="E58" s="24"/>
      <c r="F58" s="24"/>
      <c r="G58" s="24"/>
      <c r="H58" s="36">
        <v>1</v>
      </c>
      <c r="I58" s="20"/>
      <c r="J58" s="42">
        <f>VLOOKUP($B$53:$B$90,'Alberta Equip. Rates Year 3'!$B$13:$K$314,10,FALSE)</f>
        <v>163</v>
      </c>
      <c r="K58" s="181">
        <f t="shared" ref="K58:K67" si="6">(H58+I58)*J58</f>
        <v>163</v>
      </c>
    </row>
    <row r="59" spans="1:15" ht="15" customHeight="1">
      <c r="A59" s="43"/>
      <c r="B59" s="49" t="str">
        <f>VLOOKUP($C$53:$C$90,Equipment!$A$1:$B$2322,2,FALSE)</f>
        <v>Weld - Welding Shack</v>
      </c>
      <c r="C59" s="24" t="s">
        <v>2594</v>
      </c>
      <c r="D59" s="24"/>
      <c r="E59" s="24"/>
      <c r="F59" s="24"/>
      <c r="G59" s="24"/>
      <c r="H59" s="36">
        <v>1</v>
      </c>
      <c r="I59" s="20"/>
      <c r="J59" s="42">
        <f>VLOOKUP($B$53:$B$90,'Alberta Equip. Rates Year 3'!$B$13:$K$314,10,FALSE)</f>
        <v>149</v>
      </c>
      <c r="K59" s="181">
        <f t="shared" si="6"/>
        <v>149</v>
      </c>
    </row>
    <row r="60" spans="1:15" ht="15" customHeight="1">
      <c r="A60" s="43"/>
      <c r="B60" s="49">
        <f>VLOOKUP($C$53:$C$90,Equipment!$A$1:$B$2322,2,FALSE)</f>
        <v>0</v>
      </c>
      <c r="C60" s="24"/>
      <c r="D60" s="24"/>
      <c r="E60" s="24"/>
      <c r="F60" s="24"/>
      <c r="G60" s="24"/>
      <c r="H60" s="36"/>
      <c r="I60" s="20"/>
      <c r="J60" s="42">
        <f>VLOOKUP($B$53:$B$90,'Alberta Equip. Rates Year 3'!$B$13:$K$314,10,FALSE)</f>
        <v>0</v>
      </c>
      <c r="K60" s="181">
        <f t="shared" ref="K60" si="7">(H60+I60)*J60</f>
        <v>0</v>
      </c>
    </row>
    <row r="61" spans="1:15" ht="15" customHeight="1">
      <c r="A61" s="43"/>
      <c r="B61" s="49" t="str">
        <f>VLOOKUP($C$53:$C$90,Equipment!$A$1:$B$2322,2,FALSE)</f>
        <v>Welding Rig</v>
      </c>
      <c r="C61" s="24" t="s">
        <v>2157</v>
      </c>
      <c r="D61" s="24"/>
      <c r="E61" s="24"/>
      <c r="F61" s="24"/>
      <c r="G61" s="24"/>
      <c r="H61" s="36"/>
      <c r="I61" s="20">
        <v>12</v>
      </c>
      <c r="J61" s="42">
        <f>VLOOKUP($B$53:$B$90,'Alberta Equip. Rates Year 3'!$B$13:$K$314,10,FALSE)</f>
        <v>48</v>
      </c>
      <c r="K61" s="181">
        <f t="shared" ref="K61" si="8">(H61+I61)*J61</f>
        <v>576</v>
      </c>
    </row>
    <row r="62" spans="1:15" ht="15" customHeight="1">
      <c r="A62" s="43"/>
      <c r="B62" s="49" t="str">
        <f>VLOOKUP($C$53:$C$90,Equipment!$A$1:$B$2322,2,FALSE)</f>
        <v>Welding Rig</v>
      </c>
      <c r="C62" s="24" t="s">
        <v>3297</v>
      </c>
      <c r="D62" s="24"/>
      <c r="E62" s="24"/>
      <c r="F62" s="24"/>
      <c r="G62" s="24"/>
      <c r="H62" s="36"/>
      <c r="I62" s="20">
        <v>12</v>
      </c>
      <c r="J62" s="42">
        <f>VLOOKUP($B$53:$B$90,'Alberta Equip. Rates Year 3'!$B$13:$K$314,10,FALSE)</f>
        <v>48</v>
      </c>
      <c r="K62" s="181">
        <f t="shared" ref="K62:K63" si="9">(H62+I62)*J62</f>
        <v>576</v>
      </c>
    </row>
    <row r="63" spans="1:15" ht="15" customHeight="1">
      <c r="A63" s="43"/>
      <c r="B63" s="49" t="str">
        <f>VLOOKUP($C$53:$C$90,Equipment!$A$1:$B$2322,2,FALSE)</f>
        <v>Welding Rig</v>
      </c>
      <c r="C63" s="24" t="s">
        <v>2557</v>
      </c>
      <c r="D63" s="24"/>
      <c r="E63" s="24"/>
      <c r="F63" s="24"/>
      <c r="G63" s="24"/>
      <c r="H63" s="36"/>
      <c r="I63" s="20">
        <v>12</v>
      </c>
      <c r="J63" s="42">
        <f>VLOOKUP($B$53:$B$90,'Alberta Equip. Rates Year 3'!$B$13:$K$314,10,FALSE)</f>
        <v>48</v>
      </c>
      <c r="K63" s="181">
        <f t="shared" si="9"/>
        <v>576</v>
      </c>
    </row>
    <row r="64" spans="1:15" ht="15" customHeight="1">
      <c r="A64" s="43"/>
      <c r="B64" s="49" t="str">
        <f>VLOOKUP($C$53:$C$90,Equipment!$A$1:$B$2322,2,FALSE)</f>
        <v>Welding Rig</v>
      </c>
      <c r="C64" s="24" t="s">
        <v>2810</v>
      </c>
      <c r="D64" s="24"/>
      <c r="E64" s="24"/>
      <c r="F64" s="24"/>
      <c r="G64" s="24"/>
      <c r="H64" s="36"/>
      <c r="I64" s="20">
        <v>12</v>
      </c>
      <c r="J64" s="42">
        <f>VLOOKUP($B$53:$B$90,'Alberta Equip. Rates Year 3'!$B$13:$K$314,10,FALSE)</f>
        <v>48</v>
      </c>
      <c r="K64" s="181">
        <f t="shared" si="6"/>
        <v>576</v>
      </c>
    </row>
    <row r="65" spans="1:11" ht="15" customHeight="1">
      <c r="A65" s="43"/>
      <c r="B65" s="49">
        <f>VLOOKUP($C$53:$C$90,Equipment!$A$1:$B$2322,2,FALSE)</f>
        <v>0</v>
      </c>
      <c r="C65" s="24"/>
      <c r="D65" s="24"/>
      <c r="E65" s="24"/>
      <c r="F65" s="24"/>
      <c r="G65" s="24"/>
      <c r="H65" s="36"/>
      <c r="I65" s="20"/>
      <c r="J65" s="42">
        <f>VLOOKUP($B$53:$B$90,'Alberta Equip. Rates Year 3'!$B$13:$K$314,10,FALSE)</f>
        <v>0</v>
      </c>
      <c r="K65" s="181">
        <f t="shared" si="6"/>
        <v>0</v>
      </c>
    </row>
    <row r="66" spans="1:11" ht="15" customHeight="1">
      <c r="A66" s="43"/>
      <c r="B66" s="49">
        <f>VLOOKUP($C$53:$C$90,Equipment!$A$1:$B$2322,2,FALSE)</f>
        <v>0</v>
      </c>
      <c r="C66" s="24"/>
      <c r="D66" s="24"/>
      <c r="E66" s="24"/>
      <c r="F66" s="24"/>
      <c r="G66" s="24"/>
      <c r="H66" s="36"/>
      <c r="I66" s="20"/>
      <c r="J66" s="42">
        <f>VLOOKUP($B$53:$B$90,'Alberta Equip. Rates Year 3'!$B$13:$K$314,10,FALSE)</f>
        <v>0</v>
      </c>
      <c r="K66" s="181">
        <f t="shared" ref="K66" si="10">(H66+I66)*J66</f>
        <v>0</v>
      </c>
    </row>
    <row r="67" spans="1:11" ht="15" customHeight="1">
      <c r="A67" s="43"/>
      <c r="B67" s="49">
        <f>VLOOKUP($C$53:$C$90,Equipment!$A$1:$B$2322,2,FALSE)</f>
        <v>0</v>
      </c>
      <c r="C67" s="24"/>
      <c r="D67" s="24"/>
      <c r="E67" s="24"/>
      <c r="F67" s="24"/>
      <c r="G67" s="24"/>
      <c r="H67" s="36"/>
      <c r="I67" s="20"/>
      <c r="J67" s="42">
        <f>VLOOKUP($B$53:$B$90,'Alberta Equip. Rates Year 3'!$B$13:$K$314,10,FALSE)</f>
        <v>0</v>
      </c>
      <c r="K67" s="181">
        <f t="shared" si="6"/>
        <v>0</v>
      </c>
    </row>
    <row r="68" spans="1:11" ht="15" customHeight="1">
      <c r="A68" s="43"/>
      <c r="B68" s="49">
        <f>VLOOKUP($C$53:$C$90,Equipment!$A$1:$B$2322,2,FALSE)</f>
        <v>0</v>
      </c>
      <c r="C68" s="24"/>
      <c r="D68" s="24"/>
      <c r="E68" s="24"/>
      <c r="F68" s="24"/>
      <c r="G68" s="24"/>
      <c r="H68" s="36"/>
      <c r="I68" s="20"/>
      <c r="J68" s="42">
        <f>VLOOKUP($B$53:$B$90,'Alberta Equip. Rates Year 3'!$B$13:$K$314,10,FALSE)</f>
        <v>0</v>
      </c>
      <c r="K68" s="181">
        <f t="shared" ref="K68:K75" si="11">(H68+I68)*J68</f>
        <v>0</v>
      </c>
    </row>
    <row r="69" spans="1:11" ht="15" customHeight="1">
      <c r="A69" s="43"/>
      <c r="B69" s="49">
        <f>VLOOKUP($C$53:$C$90,Equipment!$A$1:$B$2322,2,FALSE)</f>
        <v>0</v>
      </c>
      <c r="C69" s="24"/>
      <c r="D69" s="24"/>
      <c r="E69" s="24"/>
      <c r="F69" s="24"/>
      <c r="G69" s="24"/>
      <c r="H69" s="36"/>
      <c r="I69" s="20"/>
      <c r="J69" s="42">
        <f>VLOOKUP($B$53:$B$90,'Alberta Equip. Rates Year 3'!$B$13:$K$314,10,FALSE)</f>
        <v>0</v>
      </c>
      <c r="K69" s="181">
        <f t="shared" ref="K69:K70" si="12">(H69+I69)*J69</f>
        <v>0</v>
      </c>
    </row>
    <row r="70" spans="1:11" ht="15" customHeight="1">
      <c r="A70" s="43"/>
      <c r="B70" s="49">
        <f>VLOOKUP($C$53:$C$90,Equipment!$A$1:$B$2322,2,FALSE)</f>
        <v>0</v>
      </c>
      <c r="C70" s="24"/>
      <c r="D70" s="24"/>
      <c r="E70" s="24"/>
      <c r="F70" s="24"/>
      <c r="G70" s="24"/>
      <c r="H70" s="36"/>
      <c r="I70" s="20"/>
      <c r="J70" s="42">
        <f>VLOOKUP($B$53:$B$90,'Alberta Equip. Rates Year 3'!$B$13:$K$314,10,FALSE)</f>
        <v>0</v>
      </c>
      <c r="K70" s="181">
        <f t="shared" si="12"/>
        <v>0</v>
      </c>
    </row>
    <row r="71" spans="1:11" ht="15" customHeight="1">
      <c r="A71" s="43"/>
      <c r="B71" s="49">
        <f>VLOOKUP($C$53:$C$90,Equipment!$A$1:$B$2322,2,FALSE)</f>
        <v>0</v>
      </c>
      <c r="C71" s="24"/>
      <c r="D71" s="24"/>
      <c r="E71" s="24"/>
      <c r="F71" s="24"/>
      <c r="G71" s="24"/>
      <c r="H71" s="36"/>
      <c r="I71" s="20"/>
      <c r="J71" s="42">
        <f>VLOOKUP($B$53:$B$90,'Alberta Equip. Rates Year 3'!$B$13:$K$314,10,FALSE)</f>
        <v>0</v>
      </c>
      <c r="K71" s="181">
        <f t="shared" si="11"/>
        <v>0</v>
      </c>
    </row>
    <row r="72" spans="1:11" ht="15" customHeight="1">
      <c r="A72" s="43"/>
      <c r="B72" s="49">
        <f>VLOOKUP($C$53:$C$90,Equipment!$A$1:$B$2322,2,FALSE)</f>
        <v>0</v>
      </c>
      <c r="C72" s="24"/>
      <c r="D72" s="24"/>
      <c r="E72" s="24"/>
      <c r="F72" s="24"/>
      <c r="G72" s="24"/>
      <c r="H72" s="36"/>
      <c r="I72" s="20"/>
      <c r="J72" s="42">
        <f>VLOOKUP($B$53:$B$90,'Alberta Equip. Rates Year 3'!$B$13:$K$314,10,FALSE)</f>
        <v>0</v>
      </c>
      <c r="K72" s="181">
        <f t="shared" si="11"/>
        <v>0</v>
      </c>
    </row>
    <row r="73" spans="1:11" ht="15" customHeight="1">
      <c r="A73" s="43"/>
      <c r="B73" s="49">
        <f>VLOOKUP($C$53:$C$90,Equipment!$A$1:$B$2322,2,FALSE)</f>
        <v>0</v>
      </c>
      <c r="C73" s="24"/>
      <c r="D73" s="24"/>
      <c r="E73" s="24"/>
      <c r="F73" s="24"/>
      <c r="G73" s="24"/>
      <c r="H73" s="36"/>
      <c r="I73" s="20"/>
      <c r="J73" s="42">
        <f>VLOOKUP($B$53:$B$90,'Alberta Equip. Rates Year 3'!$B$13:$K$314,10,FALSE)</f>
        <v>0</v>
      </c>
      <c r="K73" s="181">
        <f t="shared" si="11"/>
        <v>0</v>
      </c>
    </row>
    <row r="74" spans="1:11" ht="15" customHeight="1">
      <c r="A74" s="43"/>
      <c r="B74" s="49">
        <f>VLOOKUP($C$53:$C$90,Equipment!$A$1:$B$2322,2,FALSE)</f>
        <v>0</v>
      </c>
      <c r="C74" s="24"/>
      <c r="D74" s="24"/>
      <c r="E74" s="24"/>
      <c r="F74" s="24"/>
      <c r="G74" s="24"/>
      <c r="H74" s="36"/>
      <c r="I74" s="20"/>
      <c r="J74" s="42">
        <f>VLOOKUP($B$53:$B$90,'Alberta Equip. Rates Year 3'!$B$13:$K$314,10,FALSE)</f>
        <v>0</v>
      </c>
      <c r="K74" s="181">
        <f t="shared" si="11"/>
        <v>0</v>
      </c>
    </row>
    <row r="75" spans="1:11" ht="15" customHeight="1">
      <c r="A75" s="43"/>
      <c r="B75" s="49">
        <f>VLOOKUP($C$53:$C$90,Equipment!$A$1:$B$2322,2,FALSE)</f>
        <v>0</v>
      </c>
      <c r="C75" s="24"/>
      <c r="D75" s="24"/>
      <c r="E75" s="24"/>
      <c r="F75" s="24"/>
      <c r="G75" s="24"/>
      <c r="H75" s="36"/>
      <c r="I75" s="20"/>
      <c r="J75" s="42">
        <f>VLOOKUP($B$53:$B$90,'Alberta Equip. Rates Year 3'!$B$13:$K$314,10,FALSE)</f>
        <v>0</v>
      </c>
      <c r="K75" s="181">
        <f t="shared" si="11"/>
        <v>0</v>
      </c>
    </row>
    <row r="76" spans="1:11" ht="15" customHeight="1">
      <c r="A76" s="43"/>
      <c r="B76" s="49">
        <f>VLOOKUP($C$53:$C$90,Equipment!$A$1:$B$2322,2,FALSE)</f>
        <v>0</v>
      </c>
      <c r="C76" s="24"/>
      <c r="D76" s="24"/>
      <c r="E76" s="24"/>
      <c r="F76" s="24"/>
      <c r="G76" s="24"/>
      <c r="H76" s="36"/>
      <c r="I76" s="20"/>
      <c r="J76" s="42">
        <f>VLOOKUP($B$53:$B$90,'Alberta Equip. Rates Year 3'!$B$13:$K$314,10,FALSE)</f>
        <v>0</v>
      </c>
      <c r="K76" s="181">
        <f t="shared" ref="K76:K80" si="13">(H76+I76)*J76</f>
        <v>0</v>
      </c>
    </row>
    <row r="77" spans="1:11" ht="15" customHeight="1">
      <c r="A77" s="43"/>
      <c r="B77" s="49">
        <f>VLOOKUP($C$53:$C$90,Equipment!$A$1:$B$2322,2,FALSE)</f>
        <v>0</v>
      </c>
      <c r="C77" s="24"/>
      <c r="D77" s="24"/>
      <c r="E77" s="24"/>
      <c r="F77" s="24"/>
      <c r="G77" s="24"/>
      <c r="H77" s="36"/>
      <c r="I77" s="20"/>
      <c r="J77" s="42">
        <f>VLOOKUP($B$53:$B$90,'Alberta Equip. Rates Year 3'!$B$13:$K$314,10,FALSE)</f>
        <v>0</v>
      </c>
      <c r="K77" s="181">
        <f t="shared" si="13"/>
        <v>0</v>
      </c>
    </row>
    <row r="78" spans="1:11" ht="15" customHeight="1">
      <c r="A78" s="43"/>
      <c r="B78" s="49">
        <f>VLOOKUP($C$53:$C$90,Equipment!$A$1:$B$2322,2,FALSE)</f>
        <v>0</v>
      </c>
      <c r="C78" s="24"/>
      <c r="D78" s="24"/>
      <c r="E78" s="24"/>
      <c r="F78" s="24"/>
      <c r="G78" s="24"/>
      <c r="H78" s="36"/>
      <c r="I78" s="20"/>
      <c r="J78" s="42">
        <f>VLOOKUP($B$53:$B$90,'Alberta Equip. Rates Year 3'!$B$13:$K$314,10,FALSE)</f>
        <v>0</v>
      </c>
      <c r="K78" s="181">
        <f>(H78+I78)*J78</f>
        <v>0</v>
      </c>
    </row>
    <row r="79" spans="1:11" ht="15" customHeight="1">
      <c r="A79" s="43"/>
      <c r="B79" s="49">
        <f>VLOOKUP($C$53:$C$90,Equipment!$A$1:$B$2322,2,FALSE)</f>
        <v>0</v>
      </c>
      <c r="C79" s="24"/>
      <c r="D79" s="24"/>
      <c r="E79" s="24"/>
      <c r="F79" s="24"/>
      <c r="G79" s="24"/>
      <c r="H79" s="36"/>
      <c r="I79" s="20"/>
      <c r="J79" s="42">
        <f>VLOOKUP($B$53:$B$90,'Alberta Equip. Rates Year 3'!$B$13:$K$314,10,FALSE)</f>
        <v>0</v>
      </c>
      <c r="K79" s="181">
        <f t="shared" si="13"/>
        <v>0</v>
      </c>
    </row>
    <row r="80" spans="1:11" ht="15" customHeight="1">
      <c r="A80" s="43"/>
      <c r="B80" s="49">
        <f>VLOOKUP($C$53:$C$90,Equipment!$A$1:$B$2322,2,FALSE)</f>
        <v>0</v>
      </c>
      <c r="C80" s="24"/>
      <c r="D80" s="24"/>
      <c r="E80" s="24"/>
      <c r="F80" s="24"/>
      <c r="G80" s="24"/>
      <c r="H80" s="36"/>
      <c r="I80" s="20"/>
      <c r="J80" s="42">
        <f>VLOOKUP($B$53:$B$90,'Alberta Equip. Rates Year 3'!$B$13:$K$314,10,FALSE)</f>
        <v>0</v>
      </c>
      <c r="K80" s="181">
        <f t="shared" si="13"/>
        <v>0</v>
      </c>
    </row>
    <row r="81" spans="1:11" ht="15" customHeight="1">
      <c r="A81" s="43"/>
      <c r="B81" s="49">
        <f>VLOOKUP($C$53:$C$90,Equipment!$A$1:$B$2322,2,FALSE)</f>
        <v>0</v>
      </c>
      <c r="C81" s="24"/>
      <c r="D81" s="24"/>
      <c r="E81" s="24"/>
      <c r="F81" s="24"/>
      <c r="G81" s="24"/>
      <c r="H81" s="36"/>
      <c r="I81" s="20"/>
      <c r="J81" s="42">
        <f>VLOOKUP($B$53:$B$90,'Alberta Equip. Rates Year 3'!$B$13:$K$314,10,FALSE)</f>
        <v>0</v>
      </c>
      <c r="K81" s="181">
        <f t="shared" ref="K81:K87" si="14">(H81+I81)*J81</f>
        <v>0</v>
      </c>
    </row>
    <row r="82" spans="1:11" ht="15" customHeight="1">
      <c r="A82" s="43"/>
      <c r="B82" s="49">
        <f>VLOOKUP($C$53:$C$90,Equipment!$A$1:$B$2322,2,FALSE)</f>
        <v>0</v>
      </c>
      <c r="C82" s="24"/>
      <c r="D82" s="24"/>
      <c r="E82" s="24"/>
      <c r="F82" s="24"/>
      <c r="G82" s="24"/>
      <c r="H82" s="36"/>
      <c r="I82" s="20"/>
      <c r="J82" s="42">
        <f>VLOOKUP($B$53:$B$90,'Alberta Equip. Rates Year 3'!$B$13:$K$314,10,FALSE)</f>
        <v>0</v>
      </c>
      <c r="K82" s="181">
        <f t="shared" si="14"/>
        <v>0</v>
      </c>
    </row>
    <row r="83" spans="1:11" ht="15" customHeight="1">
      <c r="A83" s="43"/>
      <c r="B83" s="49">
        <f>VLOOKUP($C$53:$C$90,Equipment!$A$1:$B$2322,2,FALSE)</f>
        <v>0</v>
      </c>
      <c r="C83" s="24"/>
      <c r="D83" s="24"/>
      <c r="E83" s="24"/>
      <c r="F83" s="24"/>
      <c r="G83" s="24"/>
      <c r="H83" s="36"/>
      <c r="I83" s="20"/>
      <c r="J83" s="42">
        <f>VLOOKUP($B$53:$B$90,'Alberta Equip. Rates Year 3'!$B$13:$K$314,10,FALSE)</f>
        <v>0</v>
      </c>
      <c r="K83" s="181">
        <f t="shared" si="14"/>
        <v>0</v>
      </c>
    </row>
    <row r="84" spans="1:11" ht="15" customHeight="1">
      <c r="A84" s="43"/>
      <c r="B84" s="49">
        <f>VLOOKUP($C$53:$C$90,Equipment!$A$1:$B$2322,2,FALSE)</f>
        <v>0</v>
      </c>
      <c r="C84" s="24"/>
      <c r="D84" s="24"/>
      <c r="E84" s="24"/>
      <c r="F84" s="24"/>
      <c r="G84" s="24"/>
      <c r="H84" s="36"/>
      <c r="I84" s="20"/>
      <c r="J84" s="42">
        <f>VLOOKUP($B$53:$B$90,'Alberta Equip. Rates Year 3'!$B$13:$K$314,10,FALSE)</f>
        <v>0</v>
      </c>
      <c r="K84" s="181">
        <f t="shared" si="14"/>
        <v>0</v>
      </c>
    </row>
    <row r="85" spans="1:11" ht="15" customHeight="1">
      <c r="A85" s="43"/>
      <c r="B85" s="49">
        <f>VLOOKUP($C$53:$C$90,Equipment!$A$1:$B$2322,2,FALSE)</f>
        <v>0</v>
      </c>
      <c r="C85" s="24"/>
      <c r="D85" s="24"/>
      <c r="E85" s="24"/>
      <c r="F85" s="24"/>
      <c r="G85" s="24"/>
      <c r="H85" s="36"/>
      <c r="I85" s="20"/>
      <c r="J85" s="42">
        <f>VLOOKUP($B$53:$B$90,'Alberta Equip. Rates Year 3'!$B$13:$K$314,10,FALSE)</f>
        <v>0</v>
      </c>
      <c r="K85" s="181">
        <f t="shared" si="14"/>
        <v>0</v>
      </c>
    </row>
    <row r="86" spans="1:11" ht="15" customHeight="1">
      <c r="A86" s="43"/>
      <c r="B86" s="49">
        <f>VLOOKUP($C$53:$C$90,Equipment!$A$1:$B$2322,2,FALSE)</f>
        <v>0</v>
      </c>
      <c r="C86" s="24"/>
      <c r="D86" s="24"/>
      <c r="E86" s="24"/>
      <c r="F86" s="24"/>
      <c r="G86" s="24"/>
      <c r="H86" s="36"/>
      <c r="I86" s="20"/>
      <c r="J86" s="42">
        <f>VLOOKUP($B$53:$B$90,'Alberta Equip. Rates Year 3'!$B$13:$K$314,10,FALSE)</f>
        <v>0</v>
      </c>
      <c r="K86" s="181">
        <f t="shared" si="14"/>
        <v>0</v>
      </c>
    </row>
    <row r="87" spans="1:11" ht="15" customHeight="1">
      <c r="A87" s="43"/>
      <c r="B87" s="49">
        <f>VLOOKUP($C$53:$C$90,Equipment!$A$1:$B$2322,2,FALSE)</f>
        <v>0</v>
      </c>
      <c r="C87" s="24"/>
      <c r="D87" s="24"/>
      <c r="E87" s="24"/>
      <c r="F87" s="24"/>
      <c r="G87" s="24"/>
      <c r="H87" s="36"/>
      <c r="I87" s="20"/>
      <c r="J87" s="42">
        <f>VLOOKUP($B$53:$B$90,'Alberta Equip. Rates Year 3'!$B$13:$K$314,10,FALSE)</f>
        <v>0</v>
      </c>
      <c r="K87" s="181">
        <f t="shared" si="14"/>
        <v>0</v>
      </c>
    </row>
    <row r="88" spans="1:11" ht="15" customHeight="1">
      <c r="A88" s="43"/>
      <c r="B88" s="49">
        <f>VLOOKUP($C$53:$C$90,Equipment!$A$1:$B$2322,2,FALSE)</f>
        <v>0</v>
      </c>
      <c r="C88" s="24"/>
      <c r="D88" s="24"/>
      <c r="E88" s="24"/>
      <c r="F88" s="24"/>
      <c r="G88" s="24"/>
      <c r="H88" s="36"/>
      <c r="I88" s="20"/>
      <c r="J88" s="42">
        <f>VLOOKUP($B$53:$B$90,'Alberta Equip. Rates Year 3'!$B$13:$K$314,10,FALSE)</f>
        <v>0</v>
      </c>
      <c r="K88" s="181">
        <f t="shared" ref="K88:K89" si="15">(H88+I88)*J88</f>
        <v>0</v>
      </c>
    </row>
    <row r="89" spans="1:11" ht="15" customHeight="1">
      <c r="A89" s="43"/>
      <c r="B89" s="49">
        <f>VLOOKUP($C$53:$C$90,Equipment!$A$1:$B$2322,2,FALSE)</f>
        <v>0</v>
      </c>
      <c r="C89" s="24"/>
      <c r="D89" s="24"/>
      <c r="E89" s="24"/>
      <c r="F89" s="24"/>
      <c r="G89" s="24"/>
      <c r="H89" s="36"/>
      <c r="I89" s="20"/>
      <c r="J89" s="42">
        <f>VLOOKUP($B$53:$B$90,'Alberta Equip. Rates Year 3'!$B$13:$K$314,10,FALSE)</f>
        <v>0</v>
      </c>
      <c r="K89" s="181">
        <f t="shared" si="15"/>
        <v>0</v>
      </c>
    </row>
    <row r="90" spans="1:11" ht="15" customHeight="1" thickBot="1">
      <c r="A90" s="43"/>
      <c r="B90" s="49">
        <f>VLOOKUP($C$53:$C$90,Equipment!$A$1:$B$2322,2,FALSE)</f>
        <v>0</v>
      </c>
      <c r="C90" s="24"/>
      <c r="D90" s="24"/>
      <c r="E90" s="24"/>
      <c r="F90" s="24"/>
      <c r="G90" s="24"/>
      <c r="H90" s="185"/>
      <c r="I90" s="184"/>
      <c r="J90" s="42">
        <f>VLOOKUP($B$53:$B$90,'Alberta Equip. Rates Year 3'!$B$13:$K$314,10,FALSE)</f>
        <v>0</v>
      </c>
      <c r="K90" s="181">
        <f>(H90+I90)*J90</f>
        <v>0</v>
      </c>
    </row>
    <row r="91" spans="1:11" ht="12" thickBot="1">
      <c r="A91" s="25"/>
      <c r="B91" s="25"/>
      <c r="C91" s="25"/>
      <c r="D91" s="21"/>
      <c r="E91" s="21"/>
      <c r="F91" s="21"/>
      <c r="G91" s="21"/>
      <c r="H91" s="21"/>
      <c r="I91" s="360" t="s">
        <v>24</v>
      </c>
      <c r="J91" s="361"/>
      <c r="K91" s="182">
        <f>SUM(K53:K90)</f>
        <v>5560</v>
      </c>
    </row>
    <row r="92" spans="1:11" ht="12" thickBot="1">
      <c r="A92" s="26"/>
      <c r="D92" s="26"/>
      <c r="I92" s="27"/>
      <c r="J92" s="27"/>
      <c r="K92" s="28"/>
    </row>
    <row r="93" spans="1:11">
      <c r="A93" s="1" t="s">
        <v>25</v>
      </c>
      <c r="B93" s="29"/>
      <c r="D93" s="1"/>
      <c r="E93" s="1"/>
      <c r="F93" s="1"/>
      <c r="G93" s="1"/>
      <c r="H93" s="1"/>
      <c r="I93" s="362" t="s">
        <v>26</v>
      </c>
      <c r="J93" s="362"/>
      <c r="K93" s="37">
        <f>K50</f>
        <v>21487.54</v>
      </c>
    </row>
    <row r="94" spans="1:11">
      <c r="D94" s="1"/>
      <c r="E94" s="1"/>
      <c r="F94" s="1"/>
      <c r="G94" s="1"/>
      <c r="H94" s="1"/>
      <c r="I94" s="362" t="s">
        <v>27</v>
      </c>
      <c r="J94" s="362"/>
      <c r="K94" s="38">
        <f>K91</f>
        <v>5560</v>
      </c>
    </row>
    <row r="95" spans="1:11">
      <c r="D95" s="1"/>
      <c r="E95" s="1"/>
      <c r="F95" s="1"/>
      <c r="G95" s="1"/>
      <c r="H95" s="1"/>
      <c r="I95" s="27" t="s">
        <v>28</v>
      </c>
      <c r="J95" s="27"/>
      <c r="K95" s="38">
        <f>(O50)*14.15</f>
        <v>3268.65</v>
      </c>
    </row>
    <row r="96" spans="1:11">
      <c r="D96" s="1"/>
      <c r="E96" s="1"/>
      <c r="F96" s="1"/>
      <c r="G96" s="1"/>
      <c r="H96" s="1"/>
      <c r="I96" s="30" t="s">
        <v>29</v>
      </c>
      <c r="J96" s="30"/>
      <c r="K96" s="39"/>
    </row>
    <row r="97" spans="1:11">
      <c r="D97" s="1"/>
      <c r="E97" s="1"/>
      <c r="F97" s="1"/>
      <c r="G97" s="1"/>
      <c r="H97" s="1"/>
      <c r="I97" s="30" t="s">
        <v>30</v>
      </c>
      <c r="J97" s="30"/>
      <c r="K97" s="39"/>
    </row>
    <row r="98" spans="1:11">
      <c r="D98" s="1"/>
      <c r="E98" s="1"/>
      <c r="F98" s="1"/>
      <c r="G98" s="1"/>
      <c r="H98" s="1"/>
      <c r="I98" s="30" t="s">
        <v>31</v>
      </c>
      <c r="J98" s="30"/>
      <c r="K98" s="39"/>
    </row>
    <row r="99" spans="1:11" ht="12" thickBot="1">
      <c r="D99" s="1"/>
      <c r="E99" s="1"/>
      <c r="F99" s="1"/>
      <c r="G99" s="1"/>
      <c r="H99" s="1"/>
      <c r="I99" s="362" t="s">
        <v>32</v>
      </c>
      <c r="J99" s="362"/>
      <c r="K99" s="40">
        <f>SUM(K93:K98)</f>
        <v>30316.190000000002</v>
      </c>
    </row>
    <row r="100" spans="1:11">
      <c r="D100" s="1"/>
      <c r="E100" s="1"/>
      <c r="F100" s="1"/>
      <c r="G100" s="1"/>
      <c r="H100" s="1"/>
      <c r="I100" s="27"/>
      <c r="J100" s="27"/>
    </row>
    <row r="101" spans="1:11">
      <c r="A101" s="31" t="s">
        <v>33</v>
      </c>
      <c r="B101" s="32"/>
      <c r="C101" s="32"/>
      <c r="D101" s="1"/>
      <c r="H101" s="33" t="s">
        <v>34</v>
      </c>
      <c r="I101" s="32"/>
      <c r="J101" s="32"/>
      <c r="K101" s="32"/>
    </row>
    <row r="102" spans="1:11" ht="15">
      <c r="A102" s="34"/>
      <c r="E102" s="8"/>
      <c r="F102" s="8"/>
      <c r="G102" s="8"/>
      <c r="H102" s="35"/>
      <c r="I102" s="35"/>
      <c r="J102" s="35"/>
      <c r="K102" s="35"/>
    </row>
    <row r="103" spans="1:11" ht="15">
      <c r="A103" s="34" t="s">
        <v>35</v>
      </c>
      <c r="E103" s="8"/>
      <c r="F103" s="8"/>
      <c r="G103" s="8"/>
      <c r="H103" s="35"/>
      <c r="I103" s="35"/>
      <c r="J103" s="35"/>
      <c r="K103" s="35"/>
    </row>
    <row r="104" spans="1:11" s="34" customFormat="1">
      <c r="A104" s="363">
        <v>41218.479166666664</v>
      </c>
      <c r="B104" s="363"/>
      <c r="C104" s="364"/>
      <c r="D104" s="364"/>
      <c r="E104" s="364"/>
      <c r="F104" s="364"/>
      <c r="G104" s="364"/>
      <c r="H104" s="364"/>
      <c r="I104" s="364"/>
      <c r="J104" s="364"/>
      <c r="K104" s="8"/>
    </row>
    <row r="114" s="1" customFormat="1"/>
    <row r="115" s="1" customFormat="1"/>
    <row r="116" s="1" customFormat="1"/>
    <row r="117" s="1" customFormat="1"/>
    <row r="118" s="1" customFormat="1"/>
    <row r="119" s="1" customFormat="1"/>
    <row r="120" s="1" customFormat="1"/>
    <row r="121" s="1" customFormat="1"/>
    <row r="122" s="1" customFormat="1"/>
    <row r="123" s="1" customFormat="1"/>
    <row r="124" s="1" customFormat="1"/>
    <row r="125" s="1" customFormat="1"/>
    <row r="126" s="1" customFormat="1"/>
    <row r="127" s="1" customFormat="1"/>
    <row r="132" s="1" customFormat="1"/>
    <row r="160" s="1" customFormat="1"/>
    <row r="161" s="1" customFormat="1"/>
    <row r="162" s="1" customFormat="1"/>
    <row r="163" s="1" customFormat="1"/>
  </sheetData>
  <mergeCells count="12">
    <mergeCell ref="I91:J91"/>
    <mergeCell ref="I93:J93"/>
    <mergeCell ref="I94:J94"/>
    <mergeCell ref="I99:J99"/>
    <mergeCell ref="A104:B104"/>
    <mergeCell ref="C104:J104"/>
    <mergeCell ref="I50:J50"/>
    <mergeCell ref="C1:H1"/>
    <mergeCell ref="C2:H2"/>
    <mergeCell ref="C3:H3"/>
    <mergeCell ref="H6:I6"/>
    <mergeCell ref="H7:I7"/>
  </mergeCells>
  <printOptions horizontalCentered="1"/>
  <pageMargins left="0.19685039370078741" right="0.19685039370078741" top="0.39370078740157483" bottom="0.39370078740157483" header="0" footer="0"/>
  <pageSetup orientation="portrait" horizontalDpi="4294967292" verticalDpi="4294967292"/>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1400-000000000000}">
          <x14:formula1>
            <xm:f>Accounts!$A$4:$A$60</xm:f>
          </x14:formula1>
          <xm:sqref>K7</xm:sqref>
        </x14:dataValidation>
        <x14:dataValidation type="list" allowBlank="1" showInputMessage="1" showErrorMessage="1" xr:uid="{00000000-0002-0000-1400-000001000000}">
          <x14:formula1>
            <xm:f>'Constr. Wage Rate Calculations'!$A$19:$A$288</xm:f>
          </x14:formula1>
          <xm:sqref>B11:B49</xm:sqref>
        </x14:dataValidation>
        <x14:dataValidation type="list" allowBlank="1" showInputMessage="1" showErrorMessage="1" xr:uid="{00000000-0002-0000-1400-000002000000}">
          <x14:formula1>
            <xm:f>Personnel!$A:$A</xm:f>
          </x14:formula1>
          <xm:sqref>C11:C49</xm:sqref>
        </x14:dataValidation>
        <x14:dataValidation type="list" allowBlank="1" showInputMessage="1" showErrorMessage="1" xr:uid="{00000000-0002-0000-1400-000004000000}">
          <x14:formula1>
            <xm:f>Equipment!$A:$A</xm:f>
          </x14:formula1>
          <xm:sqref>C53:C90</xm:sqref>
        </x14:dataValidation>
      </x14:dataValidations>
    </ext>
    <ext xmlns:mx="http://schemas.microsoft.com/office/mac/excel/2008/main" uri="{64002731-A6B0-56B0-2670-7721B7C09600}">
      <mx:PLV Mode="0" OnePage="0" WScale="0"/>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CCFFCC"/>
    <pageSetUpPr fitToPage="1"/>
  </sheetPr>
  <dimension ref="A1:O246"/>
  <sheetViews>
    <sheetView zoomScale="120" zoomScaleNormal="120" zoomScalePageLayoutView="120" workbookViewId="0">
      <selection activeCell="D13" sqref="D13"/>
    </sheetView>
  </sheetViews>
  <sheetFormatPr baseColWidth="10" defaultColWidth="8.83203125" defaultRowHeight="11"/>
  <cols>
    <col min="1" max="1" width="13" style="1" customWidth="1"/>
    <col min="2" max="2" width="30" style="1" customWidth="1"/>
    <col min="3" max="3" width="24.5" style="1" customWidth="1"/>
    <col min="4" max="4" width="8.6640625" style="2" customWidth="1"/>
    <col min="5" max="6" width="8.33203125" style="2" customWidth="1"/>
    <col min="7" max="8" width="8.6640625" style="2" customWidth="1"/>
    <col min="9" max="9" width="9.33203125" style="2" customWidth="1"/>
    <col min="10" max="10" width="8.6640625" style="2" customWidth="1"/>
    <col min="11" max="11" width="20.33203125" style="1" customWidth="1"/>
    <col min="12" max="12" width="3.5" style="1" hidden="1" customWidth="1"/>
    <col min="13" max="16384" width="8.83203125" style="1"/>
  </cols>
  <sheetData>
    <row r="1" spans="1:13" ht="15">
      <c r="C1" s="364"/>
      <c r="D1" s="365"/>
      <c r="E1" s="365"/>
      <c r="F1" s="365"/>
      <c r="G1" s="365"/>
      <c r="H1" s="366"/>
      <c r="J1" s="2" t="s">
        <v>0</v>
      </c>
      <c r="K1" s="197">
        <v>41659</v>
      </c>
      <c r="M1" s="45"/>
    </row>
    <row r="2" spans="1:13" ht="15">
      <c r="C2" s="367"/>
      <c r="D2" s="367"/>
      <c r="E2" s="367"/>
      <c r="F2" s="367"/>
      <c r="G2" s="367"/>
      <c r="H2" s="366"/>
      <c r="K2" s="41"/>
    </row>
    <row r="3" spans="1:13" ht="15">
      <c r="C3" s="368"/>
      <c r="D3" s="369"/>
      <c r="E3" s="369"/>
      <c r="F3" s="369"/>
      <c r="G3" s="369"/>
      <c r="H3" s="366"/>
    </row>
    <row r="4" spans="1:13">
      <c r="C4" s="3"/>
      <c r="D4" s="4"/>
      <c r="E4" s="4"/>
      <c r="F4" s="4"/>
      <c r="G4" s="4"/>
    </row>
    <row r="5" spans="1:13">
      <c r="C5" s="3"/>
      <c r="D5" s="4"/>
      <c r="E5" s="4"/>
      <c r="F5" s="4"/>
      <c r="G5" s="4"/>
    </row>
    <row r="6" spans="1:13" ht="12">
      <c r="B6" s="5"/>
      <c r="C6" s="6"/>
      <c r="D6" s="7"/>
      <c r="E6" s="8"/>
      <c r="F6" s="8"/>
      <c r="G6" s="1" t="s">
        <v>1</v>
      </c>
      <c r="H6" s="370">
        <v>18238</v>
      </c>
      <c r="I6" s="370"/>
      <c r="J6" s="1" t="s">
        <v>2</v>
      </c>
      <c r="K6" s="47"/>
    </row>
    <row r="7" spans="1:13" ht="12">
      <c r="A7" s="1" t="s">
        <v>3</v>
      </c>
      <c r="B7" s="9"/>
      <c r="C7" s="10"/>
      <c r="D7" s="11"/>
      <c r="E7" s="8"/>
      <c r="F7" s="8"/>
      <c r="G7" s="1" t="s">
        <v>4</v>
      </c>
      <c r="H7" s="371"/>
      <c r="I7" s="371"/>
      <c r="J7" s="1" t="s">
        <v>5</v>
      </c>
      <c r="K7" s="46"/>
    </row>
    <row r="8" spans="1:13" ht="12">
      <c r="B8" s="12"/>
      <c r="C8" s="13"/>
      <c r="D8" s="14"/>
      <c r="E8" s="8"/>
      <c r="F8" s="8"/>
      <c r="G8" s="1" t="s">
        <v>6</v>
      </c>
      <c r="H8" s="187"/>
      <c r="I8" s="188"/>
      <c r="J8" s="44"/>
    </row>
    <row r="9" spans="1:13" ht="16" thickBot="1">
      <c r="B9" s="15"/>
      <c r="C9" s="16"/>
      <c r="D9" s="16"/>
      <c r="E9" s="8"/>
      <c r="F9" s="8"/>
      <c r="G9" s="8"/>
    </row>
    <row r="10" spans="1:13" s="19" customFormat="1" ht="12" thickBot="1">
      <c r="A10" s="17" t="s">
        <v>7</v>
      </c>
      <c r="B10" s="17" t="s">
        <v>8</v>
      </c>
      <c r="C10" s="17" t="s">
        <v>9</v>
      </c>
      <c r="D10" s="18" t="s">
        <v>10</v>
      </c>
      <c r="E10" s="18" t="s">
        <v>11</v>
      </c>
      <c r="F10" s="18" t="s">
        <v>12</v>
      </c>
      <c r="G10" s="180" t="s">
        <v>13</v>
      </c>
      <c r="H10" s="18" t="s">
        <v>14</v>
      </c>
      <c r="I10" s="18" t="s">
        <v>15</v>
      </c>
      <c r="J10" s="18" t="s">
        <v>16</v>
      </c>
      <c r="K10" s="18" t="s">
        <v>17</v>
      </c>
      <c r="M10" s="19" t="s">
        <v>1797</v>
      </c>
    </row>
    <row r="11" spans="1:13" ht="24" customHeight="1">
      <c r="A11" s="48"/>
      <c r="B11" s="49"/>
      <c r="C11" s="36"/>
      <c r="D11" s="20"/>
      <c r="E11" s="179">
        <f>VLOOKUP($B$11:$B$25,'Constr. Wage Rate Calculations'!$A$19:$Z$288,22,FALSE)</f>
        <v>0</v>
      </c>
      <c r="F11" s="20"/>
      <c r="G11" s="179">
        <f>VLOOKUP($B$11:$B$25,'Constr. Wage Rate Calculations'!$A$19:$Z$288,23,FALSE)</f>
        <v>0</v>
      </c>
      <c r="H11" s="184"/>
      <c r="I11" s="179">
        <f>VLOOKUP($B$11:$B$25,'Constr. Wage Rate Calculations'!$A$19:$Z$288,24,FALSE)</f>
        <v>0</v>
      </c>
      <c r="J11" s="20">
        <f>VLOOKUP($B$11:$B$25,'Constr. Wage Rate Calculations'!$A$19:$Z$288,25,FALSE)</f>
        <v>0</v>
      </c>
      <c r="K11" s="179" t="str">
        <f>IF($D11&gt;=1,$J11+(D11*E11)+(F11*G11)+(H11*I11),IF($F11&gt;=1,$J11+(D11*E11)+(F11*G11)+(H11*I11),IF($H11&gt;=1,$J11+(D11*E11)+(F11*G11)+(H11*I11),"")))</f>
        <v/>
      </c>
    </row>
    <row r="12" spans="1:13" ht="15" customHeight="1">
      <c r="A12" s="48"/>
      <c r="B12" s="49" t="str">
        <f>VLOOKUP($C$11:$C$25,Personnel!$A$1:$B$1234,2,FALSE)</f>
        <v>PRINCIPAL OPER 1</v>
      </c>
      <c r="C12" s="36" t="s">
        <v>1131</v>
      </c>
      <c r="D12" s="20">
        <v>8</v>
      </c>
      <c r="E12" s="179">
        <f>VLOOKUP($B$11:$B$25,'Constr. Wage Rate Calculations'!$A$19:$Z$288,22,FALSE)</f>
        <v>64.239999999999995</v>
      </c>
      <c r="F12" s="20">
        <v>4</v>
      </c>
      <c r="G12" s="179">
        <f>VLOOKUP($B$11:$B$25,'Constr. Wage Rate Calculations'!$A$19:$Z$288,23,FALSE)</f>
        <v>96.36</v>
      </c>
      <c r="H12" s="184"/>
      <c r="I12" s="179">
        <f>VLOOKUP($B$11:$B$25,'Constr. Wage Rate Calculations'!$A$19:$Z$288,24,FALSE)</f>
        <v>128.47</v>
      </c>
      <c r="J12" s="20">
        <f>VLOOKUP($B$11:$B$25,'Constr. Wage Rate Calculations'!$A$19:$Z$288,25,FALSE)</f>
        <v>85</v>
      </c>
      <c r="K12" s="179">
        <f t="shared" ref="K12:K16" si="0">IF($D12&gt;=1,$J12+(D12*E12)+(F12*G12)+(H12*I12),IF($F12&gt;=1,$J12+(D12*E12)+(F12*G12)+(H12*I12),IF($H12&gt;=1,$J12+(D12*E12)+(F12*G12)+(H12*I12),"")))</f>
        <v>984.3599999999999</v>
      </c>
    </row>
    <row r="13" spans="1:13" ht="15" customHeight="1">
      <c r="A13" s="48"/>
      <c r="B13" s="49" t="str">
        <f>VLOOKUP($C$11:$C$25,Personnel!$A$1:$B$1234,2,FALSE)</f>
        <v>EQUIPMENT MANAGER</v>
      </c>
      <c r="C13" s="36" t="s">
        <v>1600</v>
      </c>
      <c r="D13" s="20">
        <v>1</v>
      </c>
      <c r="E13" s="179">
        <f>VLOOKUP($B$11:$B$25,'Constr. Wage Rate Calculations'!$A$19:$Z$288,22,FALSE)</f>
        <v>1707.18</v>
      </c>
      <c r="F13" s="20">
        <v>9</v>
      </c>
      <c r="G13" s="179">
        <f>VLOOKUP($B$11:$B$25,'Constr. Wage Rate Calculations'!$A$19:$Z$288,23,FALSE)</f>
        <v>0</v>
      </c>
      <c r="H13" s="184"/>
      <c r="I13" s="179">
        <f>VLOOKUP($B$11:$B$25,'Constr. Wage Rate Calculations'!$A$19:$Z$288,24,FALSE)</f>
        <v>0</v>
      </c>
      <c r="J13" s="20">
        <v>230</v>
      </c>
      <c r="K13" s="179">
        <f t="shared" si="0"/>
        <v>1937.18</v>
      </c>
    </row>
    <row r="14" spans="1:13" ht="15" customHeight="1">
      <c r="A14" s="48"/>
      <c r="B14" s="49" t="str">
        <f>VLOOKUP($C$11:$C$25,Personnel!$A$1:$B$1234,2,FALSE)</f>
        <v>OFFICE CLERK (LOCAL HIRE)</v>
      </c>
      <c r="C14" s="36" t="s">
        <v>4006</v>
      </c>
      <c r="D14" s="20">
        <v>8</v>
      </c>
      <c r="E14" s="179">
        <f>VLOOKUP($B$11:$B$25,'Constr. Wage Rate Calculations'!$A$19:$Z$288,22,FALSE)</f>
        <v>42.48</v>
      </c>
      <c r="F14" s="20">
        <v>4</v>
      </c>
      <c r="G14" s="179">
        <f>VLOOKUP($B$11:$B$25,'Constr. Wage Rate Calculations'!$A$19:$Z$288,23,FALSE)</f>
        <v>63.72</v>
      </c>
      <c r="H14" s="184"/>
      <c r="I14" s="179">
        <f>VLOOKUP($B$11:$B$25,'Constr. Wage Rate Calculations'!$A$19:$Z$288,24,FALSE)</f>
        <v>84.96</v>
      </c>
      <c r="J14" s="20">
        <f>VLOOKUP($B$11:$B$25,'Constr. Wage Rate Calculations'!$A$19:$Z$288,25,FALSE)</f>
        <v>230</v>
      </c>
      <c r="K14" s="179">
        <f t="shared" si="0"/>
        <v>824.71999999999991</v>
      </c>
    </row>
    <row r="15" spans="1:13" ht="15" customHeight="1">
      <c r="A15" s="48"/>
      <c r="B15" s="49" t="str">
        <f>VLOOKUP($C$11:$C$25,Personnel!$A$1:$B$1234,2,FALSE)</f>
        <v>QUALITY CONTROL SUPERVISOR</v>
      </c>
      <c r="C15" s="36" t="s">
        <v>2627</v>
      </c>
      <c r="D15" s="20">
        <v>1</v>
      </c>
      <c r="E15" s="179">
        <f>VLOOKUP($B$11:$B$25,'Constr. Wage Rate Calculations'!$A$19:$Z$288,22,FALSE)</f>
        <v>1332.16</v>
      </c>
      <c r="F15" s="20">
        <v>9</v>
      </c>
      <c r="G15" s="179">
        <f>VLOOKUP($B$11:$B$25,'Constr. Wage Rate Calculations'!$A$19:$Z$288,23,FALSE)</f>
        <v>0</v>
      </c>
      <c r="H15" s="184"/>
      <c r="I15" s="179">
        <f>VLOOKUP($B$11:$B$25,'Constr. Wage Rate Calculations'!$A$19:$Z$288,24,FALSE)</f>
        <v>0</v>
      </c>
      <c r="J15" s="20">
        <v>85</v>
      </c>
      <c r="K15" s="179">
        <f t="shared" si="0"/>
        <v>1417.16</v>
      </c>
    </row>
    <row r="16" spans="1:13" ht="15" customHeight="1">
      <c r="A16" s="48"/>
      <c r="B16" s="49">
        <f>VLOOKUP($C$11:$C$25,Personnel!$A$1:$B$1234,2,FALSE)</f>
        <v>0</v>
      </c>
      <c r="C16" s="36"/>
      <c r="D16" s="20"/>
      <c r="E16" s="179">
        <f>VLOOKUP($B$11:$B$25,'Constr. Wage Rate Calculations'!$A$19:$Z$288,22,FALSE)</f>
        <v>0</v>
      </c>
      <c r="F16" s="20"/>
      <c r="G16" s="179">
        <f>VLOOKUP($B$11:$B$25,'Constr. Wage Rate Calculations'!$A$19:$Z$288,23,FALSE)</f>
        <v>0</v>
      </c>
      <c r="H16" s="184"/>
      <c r="I16" s="179">
        <f>VLOOKUP($B$11:$B$25,'Constr. Wage Rate Calculations'!$A$19:$Z$288,24,FALSE)</f>
        <v>0</v>
      </c>
      <c r="J16" s="20">
        <f>VLOOKUP($B$11:$B$25,'Constr. Wage Rate Calculations'!$A$19:$Z$288,25,FALSE)</f>
        <v>0</v>
      </c>
      <c r="K16" s="179" t="str">
        <f t="shared" si="0"/>
        <v/>
      </c>
    </row>
    <row r="17" spans="1:15" ht="15" customHeight="1">
      <c r="A17" s="48"/>
      <c r="B17" s="49">
        <f>VLOOKUP($C$11:$C$25,Personnel!$A$1:$B$1234,2,FALSE)</f>
        <v>0</v>
      </c>
      <c r="C17" s="36"/>
      <c r="D17" s="20"/>
      <c r="E17" s="179">
        <f>VLOOKUP($B$11:$B$25,'Constr. Wage Rate Calculations'!$A$19:$Z$288,22,FALSE)</f>
        <v>0</v>
      </c>
      <c r="F17" s="20"/>
      <c r="G17" s="179">
        <f>VLOOKUP($B$11:$B$25,'Constr. Wage Rate Calculations'!$A$19:$Z$288,23,FALSE)</f>
        <v>0</v>
      </c>
      <c r="H17" s="184"/>
      <c r="I17" s="179">
        <f>VLOOKUP($B$11:$B$25,'Constr. Wage Rate Calculations'!$A$19:$Z$288,24,FALSE)</f>
        <v>0</v>
      </c>
      <c r="J17" s="20">
        <f>VLOOKUP($B$11:$B$25,'Constr. Wage Rate Calculations'!$A$19:$Z$288,25,FALSE)</f>
        <v>0</v>
      </c>
      <c r="K17" s="179" t="str">
        <f t="shared" ref="K17:K18" si="1">IF($D17&gt;=1,$J17+(D17*E17)+(F17*G17)+(H17*I17),IF($F17&gt;=1,$J17+(D17*E17)+(F17*G17)+(H17*I17),IF($H17&gt;=1,$J17+(D17*E17)+(F17*G17)+(H17*I17),"")))</f>
        <v/>
      </c>
    </row>
    <row r="18" spans="1:15" ht="15" customHeight="1">
      <c r="A18" s="48"/>
      <c r="B18" s="49">
        <f>VLOOKUP($C$11:$C$25,Personnel!$A$1:$B$1234,2,FALSE)</f>
        <v>0</v>
      </c>
      <c r="C18" s="36"/>
      <c r="D18" s="20"/>
      <c r="E18" s="179">
        <f>VLOOKUP($B$11:$B$25,'Constr. Wage Rate Calculations'!$A$19:$Z$288,22,FALSE)</f>
        <v>0</v>
      </c>
      <c r="F18" s="20"/>
      <c r="G18" s="179">
        <f>VLOOKUP($B$11:$B$25,'Constr. Wage Rate Calculations'!$A$19:$Z$288,23,FALSE)</f>
        <v>0</v>
      </c>
      <c r="H18" s="184"/>
      <c r="I18" s="179">
        <f>VLOOKUP($B$11:$B$25,'Constr. Wage Rate Calculations'!$A$19:$Z$288,24,FALSE)</f>
        <v>0</v>
      </c>
      <c r="J18" s="20">
        <f>VLOOKUP($B$11:$B$25,'Constr. Wage Rate Calculations'!$A$19:$Z$288,25,FALSE)</f>
        <v>0</v>
      </c>
      <c r="K18" s="179" t="str">
        <f t="shared" si="1"/>
        <v/>
      </c>
    </row>
    <row r="19" spans="1:15" ht="15" customHeight="1">
      <c r="A19" s="48"/>
      <c r="B19" s="49">
        <f>VLOOKUP($C$11:$C$25,Personnel!$A$1:$B$1234,2,FALSE)</f>
        <v>0</v>
      </c>
      <c r="C19" s="36"/>
      <c r="D19" s="20"/>
      <c r="E19" s="179">
        <f>VLOOKUP($B$11:$B$25,'Constr. Wage Rate Calculations'!$A$19:$Z$288,22,FALSE)</f>
        <v>0</v>
      </c>
      <c r="F19" s="20"/>
      <c r="G19" s="179">
        <f>VLOOKUP($B$11:$B$25,'Constr. Wage Rate Calculations'!$A$19:$Z$288,23,FALSE)</f>
        <v>0</v>
      </c>
      <c r="H19" s="184"/>
      <c r="I19" s="179">
        <f>VLOOKUP($B$11:$B$25,'Constr. Wage Rate Calculations'!$A$19:$Z$288,24,FALSE)</f>
        <v>0</v>
      </c>
      <c r="J19" s="20">
        <f>VLOOKUP($B$11:$B$25,'Constr. Wage Rate Calculations'!$A$19:$Z$288,25,FALSE)</f>
        <v>0</v>
      </c>
      <c r="K19" s="179" t="str">
        <f t="shared" ref="K19" si="2">IF($D19&gt;=1,$J19+(D19*E19)+(F19*G19)+(H19*I19),IF($F19&gt;=1,$J19+(D19*E19)+(F19*G19)+(H19*I19),IF($H19&gt;=1,$J19+(D19*E19)+(F19*G19)+(H19*I19),"")))</f>
        <v/>
      </c>
    </row>
    <row r="20" spans="1:15" ht="15" customHeight="1">
      <c r="A20" s="48"/>
      <c r="B20" s="49">
        <f>VLOOKUP($C$11:$C$25,Personnel!$A$1:$B$1234,2,FALSE)</f>
        <v>0</v>
      </c>
      <c r="C20" s="36"/>
      <c r="D20" s="20"/>
      <c r="E20" s="179">
        <f>VLOOKUP($B$11:$B$25,'Constr. Wage Rate Calculations'!$A$19:$Z$288,22,FALSE)</f>
        <v>0</v>
      </c>
      <c r="F20" s="20"/>
      <c r="G20" s="179">
        <f>VLOOKUP($B$11:$B$25,'Constr. Wage Rate Calculations'!$A$19:$Z$288,23,FALSE)</f>
        <v>0</v>
      </c>
      <c r="H20" s="184"/>
      <c r="I20" s="179">
        <f>VLOOKUP($B$11:$B$25,'Constr. Wage Rate Calculations'!$A$19:$Z$288,24,FALSE)</f>
        <v>0</v>
      </c>
      <c r="J20" s="20">
        <f>VLOOKUP($B$11:$B$25,'Constr. Wage Rate Calculations'!$A$19:$Z$288,25,FALSE)</f>
        <v>0</v>
      </c>
      <c r="K20" s="179" t="str">
        <f t="shared" ref="K20:K25" si="3">IF($D20&gt;=1,$J20+(D20*E20)+(F20*G20)+(H20*I20),IF($F20&gt;=1,$J20+(D20*E20)+(F20*G20)+(H20*I20),IF($H20&gt;=1,$J20+(D20*E20)+(F20*G20)+(H20*I20),"")))</f>
        <v/>
      </c>
    </row>
    <row r="21" spans="1:15" ht="15" customHeight="1">
      <c r="A21" s="48"/>
      <c r="B21" s="49">
        <f>VLOOKUP($C$11:$C$25,Personnel!$A$1:$B$1234,2,FALSE)</f>
        <v>0</v>
      </c>
      <c r="C21" s="36"/>
      <c r="D21" s="20"/>
      <c r="E21" s="179">
        <f>VLOOKUP($B$11:$B$25,'Constr. Wage Rate Calculations'!$A$19:$Z$288,22,FALSE)</f>
        <v>0</v>
      </c>
      <c r="F21" s="20"/>
      <c r="G21" s="179">
        <f>VLOOKUP($B$11:$B$25,'Constr. Wage Rate Calculations'!$A$19:$Z$288,23,FALSE)</f>
        <v>0</v>
      </c>
      <c r="H21" s="184"/>
      <c r="I21" s="179">
        <f>VLOOKUP($B$11:$B$25,'Constr. Wage Rate Calculations'!$A$19:$Z$288,24,FALSE)</f>
        <v>0</v>
      </c>
      <c r="J21" s="20">
        <f>VLOOKUP($B$11:$B$25,'Constr. Wage Rate Calculations'!$A$19:$Z$288,25,FALSE)</f>
        <v>0</v>
      </c>
      <c r="K21" s="179" t="str">
        <f t="shared" si="3"/>
        <v/>
      </c>
    </row>
    <row r="22" spans="1:15" ht="15" customHeight="1">
      <c r="A22" s="48"/>
      <c r="B22" s="49">
        <f>VLOOKUP($C$11:$C$25,Personnel!$A$1:$B$1234,2,FALSE)</f>
        <v>0</v>
      </c>
      <c r="C22" s="36"/>
      <c r="D22" s="20"/>
      <c r="E22" s="179">
        <f>VLOOKUP($B$11:$B$25,'Constr. Wage Rate Calculations'!$A$19:$Z$288,22,FALSE)</f>
        <v>0</v>
      </c>
      <c r="F22" s="20"/>
      <c r="G22" s="179">
        <f>VLOOKUP($B$11:$B$25,'Constr. Wage Rate Calculations'!$A$19:$Z$288,23,FALSE)</f>
        <v>0</v>
      </c>
      <c r="H22" s="184"/>
      <c r="I22" s="179">
        <f>VLOOKUP($B$11:$B$25,'Constr. Wage Rate Calculations'!$A$19:$Z$288,24,FALSE)</f>
        <v>0</v>
      </c>
      <c r="J22" s="20">
        <f>VLOOKUP($B$11:$B$25,'Constr. Wage Rate Calculations'!$A$19:$Z$288,25,FALSE)</f>
        <v>0</v>
      </c>
      <c r="K22" s="179" t="str">
        <f t="shared" si="3"/>
        <v/>
      </c>
    </row>
    <row r="23" spans="1:15" ht="15" customHeight="1">
      <c r="A23" s="48"/>
      <c r="B23" s="49">
        <f>VLOOKUP($C$11:$C$25,Personnel!$A$1:$B$1234,2,FALSE)</f>
        <v>0</v>
      </c>
      <c r="C23" s="36"/>
      <c r="D23" s="184"/>
      <c r="E23" s="179">
        <f>VLOOKUP($B$11:$B$25,'Constr. Wage Rate Calculations'!$A$19:$Z$288,22,FALSE)</f>
        <v>0</v>
      </c>
      <c r="F23" s="184"/>
      <c r="G23" s="179">
        <f>VLOOKUP($B$11:$B$25,'Constr. Wage Rate Calculations'!$A$19:$Z$288,23,FALSE)</f>
        <v>0</v>
      </c>
      <c r="H23" s="184"/>
      <c r="I23" s="179">
        <f>VLOOKUP($B$11:$B$25,'Constr. Wage Rate Calculations'!$A$19:$Z$288,24,FALSE)</f>
        <v>0</v>
      </c>
      <c r="J23" s="20">
        <f>VLOOKUP($B$11:$B$25,'Constr. Wage Rate Calculations'!$A$19:$Z$288,25,FALSE)</f>
        <v>0</v>
      </c>
      <c r="K23" s="179" t="str">
        <f t="shared" si="3"/>
        <v/>
      </c>
    </row>
    <row r="24" spans="1:15" ht="15" customHeight="1">
      <c r="A24" s="48"/>
      <c r="B24" s="49">
        <f>VLOOKUP($C$11:$C$25,Personnel!$A$1:$B$1234,2,FALSE)</f>
        <v>0</v>
      </c>
      <c r="C24" s="36"/>
      <c r="D24" s="184"/>
      <c r="E24" s="179">
        <f>VLOOKUP($B$11:$B$25,'Constr. Wage Rate Calculations'!$A$19:$Z$288,22,FALSE)</f>
        <v>0</v>
      </c>
      <c r="F24" s="184"/>
      <c r="G24" s="179">
        <f>VLOOKUP($B$11:$B$25,'Constr. Wage Rate Calculations'!$A$19:$Z$288,23,FALSE)</f>
        <v>0</v>
      </c>
      <c r="H24" s="184"/>
      <c r="I24" s="179">
        <f>VLOOKUP($B$11:$B$25,'Constr. Wage Rate Calculations'!$A$19:$Z$288,24,FALSE)</f>
        <v>0</v>
      </c>
      <c r="J24" s="20">
        <f>VLOOKUP($B$11:$B$25,'Constr. Wage Rate Calculations'!$A$19:$Z$288,25,FALSE)</f>
        <v>0</v>
      </c>
      <c r="K24" s="179" t="str">
        <f t="shared" si="3"/>
        <v/>
      </c>
    </row>
    <row r="25" spans="1:15" ht="15" customHeight="1" thickBot="1">
      <c r="A25" s="48"/>
      <c r="B25" s="49">
        <f>VLOOKUP($C$11:$C$25,Personnel!$A$1:$B$1234,2,FALSE)</f>
        <v>0</v>
      </c>
      <c r="C25" s="36"/>
      <c r="D25" s="184"/>
      <c r="E25" s="179">
        <f>VLOOKUP($B$11:$B$25,'Constr. Wage Rate Calculations'!$A$19:$Z$288,22,FALSE)</f>
        <v>0</v>
      </c>
      <c r="F25" s="184"/>
      <c r="G25" s="179">
        <f>VLOOKUP($B$11:$B$25,'Constr. Wage Rate Calculations'!$A$19:$Z$288,23,FALSE)</f>
        <v>0</v>
      </c>
      <c r="H25" s="184"/>
      <c r="I25" s="179">
        <f>VLOOKUP($B$11:$B$25,'Constr. Wage Rate Calculations'!$A$19:$Z$288,24,FALSE)</f>
        <v>0</v>
      </c>
      <c r="J25" s="20">
        <f>VLOOKUP($B$11:$B$25,'Constr. Wage Rate Calculations'!$A$19:$Z$288,25,FALSE)</f>
        <v>0</v>
      </c>
      <c r="K25" s="179" t="str">
        <f t="shared" si="3"/>
        <v/>
      </c>
      <c r="M25" s="1">
        <f>SUM(M11:M24)</f>
        <v>0</v>
      </c>
    </row>
    <row r="26" spans="1:15" ht="15" customHeight="1" thickBot="1">
      <c r="A26"/>
      <c r="B26"/>
      <c r="C26"/>
      <c r="D26" s="21"/>
      <c r="E26" s="21"/>
      <c r="F26" s="21"/>
      <c r="G26" s="21"/>
      <c r="H26" s="21"/>
      <c r="I26" s="360" t="s">
        <v>18</v>
      </c>
      <c r="J26" s="361"/>
      <c r="K26" s="206">
        <f>SUM(K11:K25)</f>
        <v>5163.42</v>
      </c>
      <c r="M26" s="1">
        <f>SUMIFS(D11:D25,D11:D25,"&lt;3",D11:D25,"&lt;5")</f>
        <v>2</v>
      </c>
      <c r="N26" s="1">
        <f>SUMIFS(D11:D25,D11:D25,"&gt;3",D11:D25,"&gt;5")</f>
        <v>16</v>
      </c>
      <c r="O26" s="1">
        <f>SUM(F11:F25,H11:H25,M26,N26)-M25</f>
        <v>44</v>
      </c>
    </row>
    <row r="27" spans="1:15" ht="10" customHeight="1" thickBot="1"/>
    <row r="28" spans="1:15" s="19" customFormat="1" ht="15" customHeight="1" thickBot="1">
      <c r="A28" s="22" t="s">
        <v>19</v>
      </c>
      <c r="B28" s="23" t="s">
        <v>20</v>
      </c>
      <c r="C28" s="23"/>
      <c r="D28" s="23"/>
      <c r="E28" s="23"/>
      <c r="F28" s="23"/>
      <c r="G28" s="23"/>
      <c r="H28" s="18" t="s">
        <v>21</v>
      </c>
      <c r="I28" s="18" t="s">
        <v>22</v>
      </c>
      <c r="J28" s="18" t="s">
        <v>23</v>
      </c>
      <c r="K28" s="18" t="s">
        <v>17</v>
      </c>
    </row>
    <row r="29" spans="1:15" ht="15" customHeight="1">
      <c r="A29" s="43"/>
      <c r="B29" s="49">
        <f>VLOOKUP($C$29:$C$173,Equipment!$A$1:$B$2322,2,FALSE)</f>
        <v>0</v>
      </c>
      <c r="C29" s="24"/>
      <c r="D29" s="24"/>
      <c r="E29" s="24"/>
      <c r="F29" s="24"/>
      <c r="G29" s="24"/>
      <c r="H29" s="185"/>
      <c r="I29" s="184"/>
      <c r="J29" s="42">
        <f>VLOOKUP($B$29:$B$173,'Alberta Equip. Rates Year 3'!$B$13:$K$314,10,FALSE)</f>
        <v>0</v>
      </c>
      <c r="K29" s="181">
        <f t="shared" ref="K29:K34" si="4">(H29+I29)*J29</f>
        <v>0</v>
      </c>
    </row>
    <row r="30" spans="1:15" ht="15" customHeight="1">
      <c r="A30" s="43"/>
      <c r="B30" s="49" t="str">
        <f>VLOOKUP($C$29:$C$173,Equipment!$A$1:$B$2322,2,FALSE)</f>
        <v>Flow Through</v>
      </c>
      <c r="C30" s="24" t="s">
        <v>2323</v>
      </c>
      <c r="D30" s="24"/>
      <c r="E30" s="24"/>
      <c r="F30" s="24"/>
      <c r="G30" s="24"/>
      <c r="H30" s="36">
        <v>1</v>
      </c>
      <c r="I30" s="20"/>
      <c r="J30" s="42">
        <f>VLOOKUP($B$29:$B$173,'Alberta Equip. Rates Year 3'!$B$13:$K$314,10,FALSE)</f>
        <v>0</v>
      </c>
      <c r="K30" s="181">
        <f t="shared" si="4"/>
        <v>0</v>
      </c>
    </row>
    <row r="31" spans="1:15" ht="15" customHeight="1">
      <c r="A31" s="43"/>
      <c r="B31" s="49" t="str">
        <f>VLOOKUP($C$29:$C$173,Equipment!$A$1:$B$2322,2,FALSE)</f>
        <v>Flow Through</v>
      </c>
      <c r="C31" s="24" t="s">
        <v>3598</v>
      </c>
      <c r="D31" s="24"/>
      <c r="E31" s="24"/>
      <c r="F31" s="24"/>
      <c r="G31" s="24"/>
      <c r="H31" s="36">
        <v>1</v>
      </c>
      <c r="I31" s="20"/>
      <c r="J31" s="42">
        <f>VLOOKUP($B$29:$B$173,'Alberta Equip. Rates Year 3'!$B$13:$K$314,10,FALSE)</f>
        <v>0</v>
      </c>
      <c r="K31" s="181">
        <f t="shared" ref="K31" si="5">(H31+I31)*J31</f>
        <v>0</v>
      </c>
    </row>
    <row r="32" spans="1:15" ht="15" customHeight="1">
      <c r="A32" s="43"/>
      <c r="B32" s="49" t="str">
        <f>VLOOKUP($C$29:$C$173,Equipment!$A$1:$B$2322,2,FALSE)</f>
        <v>ARGO ATV Side By Side</v>
      </c>
      <c r="C32" s="24" t="s">
        <v>3856</v>
      </c>
      <c r="D32" s="24"/>
      <c r="E32" s="24"/>
      <c r="F32" s="24"/>
      <c r="G32" s="24"/>
      <c r="H32" s="36">
        <v>1</v>
      </c>
      <c r="I32" s="20"/>
      <c r="J32" s="42">
        <f>VLOOKUP($B$29:$B$173,'Alberta Equip. Rates Year 3'!$B$13:$K$314,10,FALSE)</f>
        <v>238.13</v>
      </c>
      <c r="K32" s="181">
        <f t="shared" ref="K32" si="6">(H32+I32)*J32</f>
        <v>238.13</v>
      </c>
    </row>
    <row r="33" spans="1:11" ht="15" customHeight="1">
      <c r="A33" s="43"/>
      <c r="B33" s="49" t="str">
        <f>VLOOKUP($C$29:$C$173,Equipment!$A$1:$B$2322,2,FALSE)</f>
        <v>ARGO ATV Side By Side</v>
      </c>
      <c r="C33" s="24" t="s">
        <v>2649</v>
      </c>
      <c r="D33" s="24"/>
      <c r="E33" s="24"/>
      <c r="F33" s="24"/>
      <c r="G33" s="24"/>
      <c r="H33" s="36">
        <v>1</v>
      </c>
      <c r="I33" s="20"/>
      <c r="J33" s="42">
        <f>VLOOKUP($B$29:$B$173,'Alberta Equip. Rates Year 3'!$B$13:$K$314,10,FALSE)</f>
        <v>238.13</v>
      </c>
      <c r="K33" s="181">
        <f>(H33+I33)*J33</f>
        <v>238.13</v>
      </c>
    </row>
    <row r="34" spans="1:11" ht="15" customHeight="1">
      <c r="A34" s="43"/>
      <c r="B34" s="49" t="str">
        <f>VLOOKUP($C$29:$C$173,Equipment!$A$1:$B$2322,2,FALSE)</f>
        <v>Articulated Dump Truck - Cat/Volvo 30 Ton</v>
      </c>
      <c r="C34" s="24" t="s">
        <v>3603</v>
      </c>
      <c r="D34" s="24"/>
      <c r="E34" s="24"/>
      <c r="F34" s="24"/>
      <c r="G34" s="24"/>
      <c r="H34" s="36">
        <v>1</v>
      </c>
      <c r="I34" s="20"/>
      <c r="J34" s="42">
        <f>VLOOKUP($B$29:$B$173,'Alberta Equip. Rates Year 3'!$B$13:$K$314,10,FALSE)</f>
        <v>900</v>
      </c>
      <c r="K34" s="181">
        <f t="shared" si="4"/>
        <v>900</v>
      </c>
    </row>
    <row r="35" spans="1:11" ht="15" customHeight="1">
      <c r="A35" s="43"/>
      <c r="B35" s="49" t="str">
        <f>VLOOKUP($C$29:$C$173,Equipment!$A$1:$B$2322,2,FALSE)</f>
        <v>Backfill Blade Attach. for Cat 330 - Cat 345 Size Hoes</v>
      </c>
      <c r="C35" s="24" t="s">
        <v>3231</v>
      </c>
      <c r="D35" s="24"/>
      <c r="E35" s="24"/>
      <c r="F35" s="24"/>
      <c r="G35" s="24"/>
      <c r="H35" s="36">
        <v>1</v>
      </c>
      <c r="I35" s="20"/>
      <c r="J35" s="42">
        <f>VLOOKUP($B$29:$B$173,'Alberta Equip. Rates Year 3'!$B$13:$K$314,10,FALSE)</f>
        <v>211</v>
      </c>
      <c r="K35" s="181">
        <f>(H35+I35)*J35</f>
        <v>211</v>
      </c>
    </row>
    <row r="36" spans="1:11" ht="15" customHeight="1">
      <c r="A36" s="43"/>
      <c r="B36" s="49" t="str">
        <f>VLOOKUP($C$29:$C$173,Equipment!$A$1:$B$2322,2,FALSE)</f>
        <v>Cradle Bore Machine &amp; Auger</v>
      </c>
      <c r="C36" s="24" t="s">
        <v>1898</v>
      </c>
      <c r="D36" s="24"/>
      <c r="E36" s="24"/>
      <c r="F36" s="24"/>
      <c r="G36" s="24"/>
      <c r="H36" s="36">
        <v>1</v>
      </c>
      <c r="I36" s="20"/>
      <c r="J36" s="42">
        <f>VLOOKUP($B$29:$B$173,'Alberta Equip. Rates Year 3'!$B$13:$K$314,10,FALSE)</f>
        <v>1059</v>
      </c>
      <c r="K36" s="181">
        <f>(H36+I36)*J36</f>
        <v>1059</v>
      </c>
    </row>
    <row r="37" spans="1:11" ht="15" customHeight="1">
      <c r="A37" s="43"/>
      <c r="B37" s="49" t="str">
        <f>VLOOKUP($C$29:$C$173,Equipment!$A$1:$B$2322,2,FALSE)</f>
        <v>Crewcab - 1 Ton</v>
      </c>
      <c r="C37" s="24" t="s">
        <v>1851</v>
      </c>
      <c r="D37" s="24"/>
      <c r="E37" s="24"/>
      <c r="F37" s="24"/>
      <c r="G37" s="24"/>
      <c r="H37" s="36">
        <v>1</v>
      </c>
      <c r="I37" s="20"/>
      <c r="J37" s="42">
        <f>VLOOKUP($B$29:$B$173,'Alberta Equip. Rates Year 3'!$B$13:$K$314,10,FALSE)</f>
        <v>163</v>
      </c>
      <c r="K37" s="181">
        <f>(H37+I37)*J37</f>
        <v>163</v>
      </c>
    </row>
    <row r="38" spans="1:11" ht="15" customHeight="1">
      <c r="A38" s="43"/>
      <c r="B38" s="49" t="str">
        <f>VLOOKUP($C$29:$C$173,Equipment!$A$1:$B$2322,2,FALSE)</f>
        <v>Crewcab - 1 Ton</v>
      </c>
      <c r="C38" s="24" t="s">
        <v>1963</v>
      </c>
      <c r="D38" s="24"/>
      <c r="E38" s="24"/>
      <c r="F38" s="24"/>
      <c r="G38" s="24"/>
      <c r="H38" s="36">
        <v>1</v>
      </c>
      <c r="I38" s="20"/>
      <c r="J38" s="42">
        <f>VLOOKUP($B$29:$B$173,'Alberta Equip. Rates Year 3'!$B$13:$K$314,10,FALSE)</f>
        <v>163</v>
      </c>
      <c r="K38" s="181">
        <f>(H38+I38)*J38</f>
        <v>163</v>
      </c>
    </row>
    <row r="39" spans="1:11" ht="15" customHeight="1">
      <c r="A39" s="43"/>
      <c r="B39" s="49" t="str">
        <f>VLOOKUP($C$29:$C$173,Equipment!$A$1:$B$2322,2,FALSE)</f>
        <v>Crewcab - 1 Ton</v>
      </c>
      <c r="C39" s="24" t="s">
        <v>2835</v>
      </c>
      <c r="D39" s="24"/>
      <c r="E39" s="24"/>
      <c r="F39" s="24"/>
      <c r="G39" s="24"/>
      <c r="H39" s="36">
        <v>1</v>
      </c>
      <c r="I39" s="20"/>
      <c r="J39" s="42">
        <f>VLOOKUP($B$29:$B$173,'Alberta Equip. Rates Year 3'!$B$13:$K$314,10,FALSE)</f>
        <v>163</v>
      </c>
      <c r="K39" s="181">
        <f t="shared" ref="K39:K41" si="7">(H39+I39)*J39</f>
        <v>163</v>
      </c>
    </row>
    <row r="40" spans="1:11" ht="15" customHeight="1">
      <c r="A40" s="43"/>
      <c r="B40" s="49" t="str">
        <f>VLOOKUP($C$29:$C$173,Equipment!$A$1:$B$2322,2,FALSE)</f>
        <v>Crewcab - 1 Ton</v>
      </c>
      <c r="C40" s="24" t="s">
        <v>2928</v>
      </c>
      <c r="D40" s="24"/>
      <c r="E40" s="24"/>
      <c r="F40" s="24"/>
      <c r="G40" s="24"/>
      <c r="H40" s="36">
        <v>1</v>
      </c>
      <c r="I40" s="20"/>
      <c r="J40" s="42">
        <f>VLOOKUP($B$29:$B$173,'Alberta Equip. Rates Year 3'!$B$13:$K$314,10,FALSE)</f>
        <v>163</v>
      </c>
      <c r="K40" s="181">
        <f>(H40+I40)*J40</f>
        <v>163</v>
      </c>
    </row>
    <row r="41" spans="1:11" ht="15" customHeight="1">
      <c r="A41" s="43"/>
      <c r="B41" s="49" t="str">
        <f>VLOOKUP($C$29:$C$173,Equipment!$A$1:$B$2322,2,FALSE)</f>
        <v>Crewcab - 1 Ton</v>
      </c>
      <c r="C41" s="24" t="s">
        <v>2731</v>
      </c>
      <c r="D41" s="24"/>
      <c r="E41" s="24"/>
      <c r="F41" s="24"/>
      <c r="G41" s="24"/>
      <c r="H41" s="36">
        <v>1</v>
      </c>
      <c r="I41" s="20"/>
      <c r="J41" s="42">
        <f>VLOOKUP($B$29:$B$173,'Alberta Equip. Rates Year 3'!$B$13:$K$314,10,FALSE)</f>
        <v>163</v>
      </c>
      <c r="K41" s="181">
        <f t="shared" si="7"/>
        <v>163</v>
      </c>
    </row>
    <row r="42" spans="1:11" ht="15" customHeight="1">
      <c r="A42" s="43"/>
      <c r="B42" s="49" t="str">
        <f>VLOOKUP($C$29:$C$173,Equipment!$A$1:$B$2322,2,FALSE)</f>
        <v>Crewcab - 1 Ton</v>
      </c>
      <c r="C42" s="24" t="s">
        <v>2732</v>
      </c>
      <c r="D42" s="24"/>
      <c r="E42" s="24"/>
      <c r="F42" s="24"/>
      <c r="G42" s="24"/>
      <c r="H42" s="36">
        <v>1</v>
      </c>
      <c r="I42" s="20"/>
      <c r="J42" s="42">
        <f>VLOOKUP($B$29:$B$173,'Alberta Equip. Rates Year 3'!$B$13:$K$314,10,FALSE)</f>
        <v>163</v>
      </c>
      <c r="K42" s="181">
        <f t="shared" ref="K42" si="8">(H42+I42)*J42</f>
        <v>163</v>
      </c>
    </row>
    <row r="43" spans="1:11" ht="15" customHeight="1">
      <c r="A43" s="43"/>
      <c r="B43" s="49" t="str">
        <f>VLOOKUP($C$29:$C$173,Equipment!$A$1:$B$2322,2,FALSE)</f>
        <v>Crewcab - 1 Ton</v>
      </c>
      <c r="C43" s="24" t="s">
        <v>4061</v>
      </c>
      <c r="D43" s="24"/>
      <c r="E43" s="24"/>
      <c r="F43" s="24"/>
      <c r="G43" s="24"/>
      <c r="H43" s="36">
        <v>1</v>
      </c>
      <c r="I43" s="20"/>
      <c r="J43" s="42">
        <f>VLOOKUP($B$29:$B$173,'Alberta Equip. Rates Year 3'!$B$13:$K$314,10,FALSE)</f>
        <v>163</v>
      </c>
      <c r="K43" s="181">
        <f>(H43+I43)*J43</f>
        <v>163</v>
      </c>
    </row>
    <row r="44" spans="1:11" ht="15" customHeight="1">
      <c r="A44" s="43"/>
      <c r="B44" s="49" t="str">
        <f>VLOOKUP($C$29:$C$173,Equipment!$A$1:$B$2322,2,FALSE)</f>
        <v>Crewcab - 1 Ton</v>
      </c>
      <c r="C44" s="24" t="s">
        <v>4178</v>
      </c>
      <c r="D44" s="24"/>
      <c r="E44" s="24"/>
      <c r="F44" s="24"/>
      <c r="G44" s="24"/>
      <c r="H44" s="36">
        <v>1</v>
      </c>
      <c r="I44" s="20"/>
      <c r="J44" s="42">
        <f>VLOOKUP($B$29:$B$173,'Alberta Equip. Rates Year 3'!$B$13:$K$314,10,FALSE)</f>
        <v>163</v>
      </c>
      <c r="K44" s="181">
        <f t="shared" ref="K44:K155" si="9">(H44+I44)*J44</f>
        <v>163</v>
      </c>
    </row>
    <row r="45" spans="1:11" ht="15" customHeight="1">
      <c r="A45" s="43"/>
      <c r="B45" s="49" t="str">
        <f>VLOOKUP($C$29:$C$173,Equipment!$A$1:$B$2322,2,FALSE)</f>
        <v>Crewcab - 1 Ton</v>
      </c>
      <c r="C45" s="357" t="s">
        <v>4179</v>
      </c>
      <c r="D45" s="24"/>
      <c r="E45" s="24"/>
      <c r="F45" s="24"/>
      <c r="G45" s="24"/>
      <c r="H45" s="36">
        <v>1</v>
      </c>
      <c r="I45" s="20"/>
      <c r="J45" s="42">
        <f>VLOOKUP($B$29:$B$173,'Alberta Equip. Rates Year 3'!$B$13:$K$314,10,FALSE)</f>
        <v>163</v>
      </c>
      <c r="K45" s="181">
        <f t="shared" si="9"/>
        <v>163</v>
      </c>
    </row>
    <row r="46" spans="1:11" ht="15" customHeight="1">
      <c r="A46" s="43"/>
      <c r="B46" s="49" t="str">
        <f>VLOOKUP($C$29:$C$173,Equipment!$A$1:$B$2322,2,FALSE)</f>
        <v>Crewcab - 3/4 Ton</v>
      </c>
      <c r="C46" s="24" t="s">
        <v>3120</v>
      </c>
      <c r="D46" s="24"/>
      <c r="E46" s="24"/>
      <c r="F46" s="24"/>
      <c r="G46" s="24"/>
      <c r="H46" s="36">
        <v>1</v>
      </c>
      <c r="I46" s="184"/>
      <c r="J46" s="42">
        <f>VLOOKUP($B$29:$B$173,'Alberta Equip. Rates Year 3'!$B$13:$K$314,10,FALSE)</f>
        <v>153</v>
      </c>
      <c r="K46" s="181">
        <f>(H46+I46)*J46</f>
        <v>153</v>
      </c>
    </row>
    <row r="47" spans="1:11" ht="15" customHeight="1">
      <c r="A47" s="43"/>
      <c r="B47" s="49" t="str">
        <f>VLOOKUP($C$29:$C$173,Equipment!$A$1:$B$2322,2,FALSE)</f>
        <v>Crewcab - 3/4 Ton</v>
      </c>
      <c r="C47" s="24" t="s">
        <v>3121</v>
      </c>
      <c r="D47" s="24"/>
      <c r="E47" s="24"/>
      <c r="F47" s="24"/>
      <c r="G47" s="24"/>
      <c r="H47" s="36">
        <v>1</v>
      </c>
      <c r="I47" s="184"/>
      <c r="J47" s="42">
        <f>VLOOKUP($B$29:$B$173,'Alberta Equip. Rates Year 3'!$B$13:$K$314,10,FALSE)</f>
        <v>153</v>
      </c>
      <c r="K47" s="181">
        <f>(H47+I47)*J47</f>
        <v>153</v>
      </c>
    </row>
    <row r="48" spans="1:11" ht="15" customHeight="1">
      <c r="A48" s="43"/>
      <c r="B48" s="49" t="str">
        <f>VLOOKUP($C$29:$C$173,Equipment!$A$1:$B$2322,2,FALSE)</f>
        <v>Crewcab - 3/4 Ton</v>
      </c>
      <c r="C48" s="24" t="s">
        <v>3123</v>
      </c>
      <c r="D48" s="24"/>
      <c r="E48" s="24"/>
      <c r="F48" s="24"/>
      <c r="G48" s="24"/>
      <c r="H48" s="36">
        <v>1</v>
      </c>
      <c r="I48" s="20"/>
      <c r="J48" s="42">
        <f>VLOOKUP($B$29:$B$173,'Alberta Equip. Rates Year 3'!$B$13:$K$314,10,FALSE)</f>
        <v>153</v>
      </c>
      <c r="K48" s="181">
        <f t="shared" ref="K48" si="10">(H48+I48)*J48</f>
        <v>153</v>
      </c>
    </row>
    <row r="49" spans="1:11" ht="15" customHeight="1">
      <c r="A49" s="43"/>
      <c r="B49" s="49" t="str">
        <f>VLOOKUP($C$29:$C$173,Equipment!$A$1:$B$2322,2,FALSE)</f>
        <v>Crewcab - 3/4 Ton</v>
      </c>
      <c r="C49" s="24" t="s">
        <v>3358</v>
      </c>
      <c r="D49" s="24"/>
      <c r="E49" s="24"/>
      <c r="F49" s="24"/>
      <c r="G49" s="24"/>
      <c r="H49" s="36">
        <v>1</v>
      </c>
      <c r="I49" s="184"/>
      <c r="J49" s="42">
        <f>VLOOKUP($B$29:$B$173,'Alberta Equip. Rates Year 3'!$B$13:$K$314,10,FALSE)</f>
        <v>153</v>
      </c>
      <c r="K49" s="181">
        <f>(H49+I49)*J49</f>
        <v>153</v>
      </c>
    </row>
    <row r="50" spans="1:11" ht="15" customHeight="1">
      <c r="A50" s="43"/>
      <c r="B50" s="49" t="str">
        <f>VLOOKUP($C$29:$C$173,Equipment!$A$1:$B$2322,2,FALSE)</f>
        <v>Crewcab - 3/4 Ton</v>
      </c>
      <c r="C50" s="24" t="s">
        <v>2827</v>
      </c>
      <c r="D50" s="24"/>
      <c r="E50" s="24"/>
      <c r="F50" s="24"/>
      <c r="G50" s="24"/>
      <c r="H50" s="36">
        <v>1</v>
      </c>
      <c r="I50" s="184"/>
      <c r="J50" s="42">
        <f>VLOOKUP($B$29:$B$173,'Alberta Equip. Rates Year 3'!$B$13:$K$314,10,FALSE)</f>
        <v>153</v>
      </c>
      <c r="K50" s="181">
        <f>(H50+I50)*J50</f>
        <v>153</v>
      </c>
    </row>
    <row r="51" spans="1:11" ht="15" customHeight="1">
      <c r="A51" s="43"/>
      <c r="B51" s="49" t="str">
        <f>VLOOKUP($C$29:$C$173,Equipment!$A$1:$B$2322,2,FALSE)</f>
        <v>Crewcab - 3/4 Ton</v>
      </c>
      <c r="C51" s="24" t="s">
        <v>2728</v>
      </c>
      <c r="D51" s="24"/>
      <c r="E51" s="24"/>
      <c r="F51" s="24"/>
      <c r="G51" s="24"/>
      <c r="H51" s="36">
        <v>1</v>
      </c>
      <c r="I51" s="20"/>
      <c r="J51" s="42">
        <f>VLOOKUP($B$29:$B$173,'Alberta Equip. Rates Year 3'!$B$13:$K$314,10,FALSE)</f>
        <v>153</v>
      </c>
      <c r="K51" s="181">
        <f t="shared" ref="K51" si="11">(H51+I51)*J51</f>
        <v>153</v>
      </c>
    </row>
    <row r="52" spans="1:11" ht="15" customHeight="1">
      <c r="A52" s="43"/>
      <c r="B52" s="49" t="str">
        <f>VLOOKUP($C$29:$C$173,Equipment!$A$1:$B$2322,2,FALSE)</f>
        <v>Crewcab - 3/4 Ton</v>
      </c>
      <c r="C52" s="24" t="s">
        <v>2541</v>
      </c>
      <c r="D52" s="24"/>
      <c r="E52" s="24"/>
      <c r="F52" s="24"/>
      <c r="G52" s="24"/>
      <c r="H52" s="36">
        <v>1</v>
      </c>
      <c r="I52" s="184"/>
      <c r="J52" s="42">
        <f>VLOOKUP($B$29:$B$173,'Alberta Equip. Rates Year 3'!$B$13:$K$314,10,FALSE)</f>
        <v>153</v>
      </c>
      <c r="K52" s="181">
        <f t="shared" ref="K52" si="12">(H52+I52)*J52</f>
        <v>153</v>
      </c>
    </row>
    <row r="53" spans="1:11" ht="15" customHeight="1">
      <c r="A53" s="43"/>
      <c r="B53" s="49" t="str">
        <f>VLOOKUP($C$29:$C$173,Equipment!$A$1:$B$2322,2,FALSE)</f>
        <v>Crewcab - 3/4 Ton</v>
      </c>
      <c r="C53" s="24" t="s">
        <v>1901</v>
      </c>
      <c r="D53" s="24"/>
      <c r="E53" s="24"/>
      <c r="F53" s="24"/>
      <c r="G53" s="24"/>
      <c r="H53" s="36">
        <v>1</v>
      </c>
      <c r="I53" s="184"/>
      <c r="J53" s="42">
        <f>VLOOKUP($B$29:$B$173,'Alberta Equip. Rates Year 3'!$B$13:$K$314,10,FALSE)</f>
        <v>153</v>
      </c>
      <c r="K53" s="181">
        <f t="shared" ref="K53" si="13">(H53+I53)*J53</f>
        <v>153</v>
      </c>
    </row>
    <row r="54" spans="1:11" ht="15" customHeight="1">
      <c r="A54" s="43"/>
      <c r="B54" s="49" t="str">
        <f>VLOOKUP($C$29:$C$173,Equipment!$A$1:$B$2322,2,FALSE)</f>
        <v>Diesel Heater 390,000 BTU</v>
      </c>
      <c r="C54" s="24" t="s">
        <v>4109</v>
      </c>
      <c r="D54" s="24"/>
      <c r="E54" s="24"/>
      <c r="F54" s="24"/>
      <c r="G54" s="24"/>
      <c r="H54" s="36">
        <v>1</v>
      </c>
      <c r="I54" s="184"/>
      <c r="J54" s="42">
        <f>VLOOKUP($B$29:$B$173,'Alberta Equip. Rates Year 3'!$B$13:$K$314,10,FALSE)</f>
        <v>41.43</v>
      </c>
      <c r="K54" s="181">
        <f t="shared" ref="K54" si="14">(H54+I54)*J54</f>
        <v>41.43</v>
      </c>
    </row>
    <row r="55" spans="1:11" ht="15" customHeight="1">
      <c r="A55" s="43"/>
      <c r="B55" s="49" t="str">
        <f>VLOOKUP($C$29:$C$173,Equipment!$A$1:$B$2322,2,FALSE)</f>
        <v>Dozer - D6T LGP (or equivalent)</v>
      </c>
      <c r="C55" s="24" t="s">
        <v>2101</v>
      </c>
      <c r="D55" s="24"/>
      <c r="E55" s="24"/>
      <c r="F55" s="24"/>
      <c r="G55" s="24"/>
      <c r="H55" s="36">
        <v>1</v>
      </c>
      <c r="I55" s="184"/>
      <c r="J55" s="42">
        <f>VLOOKUP($B$29:$B$173,'Alberta Equip. Rates Year 3'!$B$13:$K$314,10,FALSE)</f>
        <v>964</v>
      </c>
      <c r="K55" s="181">
        <f>(H55+I55)*J55</f>
        <v>964</v>
      </c>
    </row>
    <row r="56" spans="1:11" ht="15" customHeight="1">
      <c r="A56" s="43"/>
      <c r="B56" s="49" t="str">
        <f>VLOOKUP($C$29:$C$173,Equipment!$A$1:$B$2322,2,FALSE)</f>
        <v>Farm Tractor - Wheel &gt; 100 HP</v>
      </c>
      <c r="C56" s="24" t="s">
        <v>3565</v>
      </c>
      <c r="D56" s="24"/>
      <c r="E56" s="24"/>
      <c r="F56" s="24"/>
      <c r="G56" s="24"/>
      <c r="H56" s="36">
        <v>1</v>
      </c>
      <c r="I56" s="184"/>
      <c r="J56" s="42">
        <f>VLOOKUP($B$29:$B$173,'Alberta Equip. Rates Year 3'!$B$13:$K$314,10,FALSE)</f>
        <v>635</v>
      </c>
      <c r="K56" s="181">
        <f>(H56+I56)*J56</f>
        <v>635</v>
      </c>
    </row>
    <row r="57" spans="1:11" ht="15" customHeight="1">
      <c r="A57" s="43"/>
      <c r="B57" s="49" t="str">
        <f>VLOOKUP($C$29:$C$173,Equipment!$A$1:$B$2322,2,FALSE)</f>
        <v>Farm Tractor - Wheel &gt; 100 HP</v>
      </c>
      <c r="C57" s="24" t="s">
        <v>3567</v>
      </c>
      <c r="D57" s="24"/>
      <c r="E57" s="24"/>
      <c r="F57" s="24"/>
      <c r="G57" s="24"/>
      <c r="H57" s="36">
        <v>1</v>
      </c>
      <c r="I57" s="184"/>
      <c r="J57" s="42">
        <f>VLOOKUP($B$29:$B$173,'Alberta Equip. Rates Year 3'!$B$13:$K$314,10,FALSE)</f>
        <v>635</v>
      </c>
      <c r="K57" s="181">
        <f>(H57+I57)*J57</f>
        <v>635</v>
      </c>
    </row>
    <row r="58" spans="1:11" ht="15" customHeight="1">
      <c r="A58" s="43"/>
      <c r="B58" s="49" t="str">
        <f>VLOOKUP($C$29:$C$173,Equipment!$A$1:$B$2322,2,FALSE)</f>
        <v>Farm Tractor - Wheel &gt; 100 HP</v>
      </c>
      <c r="C58" s="24" t="s">
        <v>4014</v>
      </c>
      <c r="D58" s="24"/>
      <c r="E58" s="24"/>
      <c r="F58" s="24"/>
      <c r="G58" s="24"/>
      <c r="H58" s="36">
        <v>1</v>
      </c>
      <c r="I58" s="184"/>
      <c r="J58" s="42">
        <f>VLOOKUP($B$29:$B$173,'Alberta Equip. Rates Year 3'!$B$13:$K$314,10,FALSE)</f>
        <v>635</v>
      </c>
      <c r="K58" s="181">
        <f t="shared" ref="K58:K61" si="15">(H58+I58)*J58</f>
        <v>635</v>
      </c>
    </row>
    <row r="59" spans="1:11" ht="15" customHeight="1">
      <c r="A59" s="43"/>
      <c r="B59" s="49" t="str">
        <f>VLOOKUP($C$29:$C$173,Equipment!$A$1:$B$2322,2,FALSE)</f>
        <v>Farm Tractor - Wheel &gt; 100 HP</v>
      </c>
      <c r="C59" s="24" t="s">
        <v>4015</v>
      </c>
      <c r="D59" s="24"/>
      <c r="E59" s="24"/>
      <c r="F59" s="24"/>
      <c r="G59" s="24"/>
      <c r="H59" s="36">
        <v>1</v>
      </c>
      <c r="I59" s="184"/>
      <c r="J59" s="42">
        <f>VLOOKUP($B$29:$B$173,'Alberta Equip. Rates Year 3'!$B$13:$K$314,10,FALSE)</f>
        <v>635</v>
      </c>
      <c r="K59" s="181">
        <f t="shared" si="15"/>
        <v>635</v>
      </c>
    </row>
    <row r="60" spans="1:11" ht="15" customHeight="1">
      <c r="A60" s="43"/>
      <c r="B60" s="49" t="str">
        <f>VLOOKUP($C$29:$C$173,Equipment!$A$1:$B$2322,2,FALSE)</f>
        <v>Farm Tractor - Wheel &gt; 100 HP</v>
      </c>
      <c r="C60" s="24" t="s">
        <v>3864</v>
      </c>
      <c r="D60" s="24"/>
      <c r="E60" s="24"/>
      <c r="F60" s="24"/>
      <c r="G60" s="24"/>
      <c r="H60" s="36">
        <v>1</v>
      </c>
      <c r="I60" s="184"/>
      <c r="J60" s="42">
        <f>VLOOKUP($B$29:$B$173,'Alberta Equip. Rates Year 3'!$B$13:$K$314,10,FALSE)</f>
        <v>635</v>
      </c>
      <c r="K60" s="181">
        <f t="shared" si="15"/>
        <v>635</v>
      </c>
    </row>
    <row r="61" spans="1:11" ht="15" customHeight="1">
      <c r="A61" s="43"/>
      <c r="B61" s="49" t="str">
        <f>VLOOKUP($C$29:$C$173,Equipment!$A$1:$B$2322,2,FALSE)</f>
        <v>Farm Tractor - Wheel &gt; 100 HP</v>
      </c>
      <c r="C61" s="24" t="s">
        <v>3873</v>
      </c>
      <c r="D61" s="24"/>
      <c r="E61" s="24"/>
      <c r="F61" s="24"/>
      <c r="G61" s="24"/>
      <c r="H61" s="36">
        <v>1</v>
      </c>
      <c r="I61" s="184"/>
      <c r="J61" s="42">
        <f>VLOOKUP($B$29:$B$173,'Alberta Equip. Rates Year 3'!$B$13:$K$314,10,FALSE)</f>
        <v>635</v>
      </c>
      <c r="K61" s="181">
        <f t="shared" si="15"/>
        <v>635</v>
      </c>
    </row>
    <row r="62" spans="1:11" ht="15" customHeight="1">
      <c r="A62" s="43"/>
      <c r="B62" s="49" t="str">
        <f>VLOOKUP($C$29:$C$173,Equipment!$A$1:$B$2322,2,FALSE)</f>
        <v>Farm Tractor - Wheel &gt; 100 HP</v>
      </c>
      <c r="C62" s="24" t="s">
        <v>3868</v>
      </c>
      <c r="D62" s="24"/>
      <c r="E62" s="24"/>
      <c r="F62" s="24"/>
      <c r="G62" s="24"/>
      <c r="H62" s="36">
        <v>1</v>
      </c>
      <c r="I62" s="184"/>
      <c r="J62" s="42">
        <f>VLOOKUP($B$29:$B$173,'Alberta Equip. Rates Year 3'!$B$13:$K$314,10,FALSE)</f>
        <v>635</v>
      </c>
      <c r="K62" s="181">
        <f t="shared" ref="K62:K65" si="16">(H62+I62)*J62</f>
        <v>635</v>
      </c>
    </row>
    <row r="63" spans="1:11" ht="15" customHeight="1">
      <c r="A63" s="43"/>
      <c r="B63" s="49" t="str">
        <f>VLOOKUP($C$29:$C$173,Equipment!$A$1:$B$2322,2,FALSE)</f>
        <v>Farm Tractor - Wheel &gt; 100 HP</v>
      </c>
      <c r="C63" s="24" t="s">
        <v>4121</v>
      </c>
      <c r="D63" s="24"/>
      <c r="E63" s="24"/>
      <c r="F63" s="24"/>
      <c r="G63" s="24"/>
      <c r="H63" s="36">
        <v>1</v>
      </c>
      <c r="I63" s="184"/>
      <c r="J63" s="42">
        <f>VLOOKUP($B$29:$B$173,'Alberta Equip. Rates Year 3'!$B$13:$K$314,10,FALSE)</f>
        <v>635</v>
      </c>
      <c r="K63" s="181">
        <f t="shared" si="16"/>
        <v>635</v>
      </c>
    </row>
    <row r="64" spans="1:11" ht="15" customHeight="1">
      <c r="A64" s="43"/>
      <c r="B64" s="49" t="str">
        <f>VLOOKUP($C$29:$C$173,Equipment!$A$1:$B$2322,2,FALSE)</f>
        <v>Farm Tractor - Challenger 75</v>
      </c>
      <c r="C64" s="24" t="s">
        <v>3941</v>
      </c>
      <c r="D64" s="24"/>
      <c r="E64" s="24"/>
      <c r="F64" s="24"/>
      <c r="G64" s="24"/>
      <c r="H64" s="36">
        <v>1</v>
      </c>
      <c r="I64" s="184"/>
      <c r="J64" s="42">
        <f>VLOOKUP($B$29:$B$173,'Alberta Equip. Rates Year 3'!$B$13:$K$314,10,FALSE)</f>
        <v>741</v>
      </c>
      <c r="K64" s="181">
        <f t="shared" si="16"/>
        <v>741</v>
      </c>
    </row>
    <row r="65" spans="1:11" ht="15" customHeight="1">
      <c r="A65" s="43"/>
      <c r="B65" s="49" t="str">
        <f>VLOOKUP($C$29:$C$173,Equipment!$A$1:$B$2322,2,FALSE)</f>
        <v>Flatdeck - 1 Ton</v>
      </c>
      <c r="C65" s="24" t="s">
        <v>1966</v>
      </c>
      <c r="D65" s="24"/>
      <c r="E65" s="24"/>
      <c r="F65" s="24"/>
      <c r="G65" s="24"/>
      <c r="H65" s="36">
        <v>1</v>
      </c>
      <c r="I65" s="184"/>
      <c r="J65" s="42">
        <f>VLOOKUP($B$29:$B$173,'Alberta Equip. Rates Year 3'!$B$13:$K$314,10,FALSE)</f>
        <v>153</v>
      </c>
      <c r="K65" s="181">
        <f t="shared" si="16"/>
        <v>153</v>
      </c>
    </row>
    <row r="66" spans="1:11" ht="15" customHeight="1">
      <c r="A66" s="43"/>
      <c r="B66" s="49" t="str">
        <f>VLOOKUP($C$29:$C$173,Equipment!$A$1:$B$2322,2,FALSE)</f>
        <v>Flatdeck - 2 Ton</v>
      </c>
      <c r="C66" s="259" t="s">
        <v>1975</v>
      </c>
      <c r="D66" s="24"/>
      <c r="E66" s="24"/>
      <c r="F66" s="24"/>
      <c r="G66" s="24"/>
      <c r="H66" s="36">
        <v>1</v>
      </c>
      <c r="I66" s="184"/>
      <c r="J66" s="42">
        <f>VLOOKUP($B$29:$B$173,'Alberta Equip. Rates Year 3'!$B$13:$K$314,10,FALSE)</f>
        <v>165</v>
      </c>
      <c r="K66" s="181">
        <f t="shared" ref="K66" si="17">(H66+I66)*J66</f>
        <v>165</v>
      </c>
    </row>
    <row r="67" spans="1:11" ht="15" customHeight="1">
      <c r="A67" s="43"/>
      <c r="B67" s="49" t="str">
        <f>VLOOKUP($C$29:$C$173,Equipment!$A$1:$B$2322,2,FALSE)</f>
        <v>Flatdeck - 2 Ton</v>
      </c>
      <c r="C67" s="24" t="s">
        <v>2738</v>
      </c>
      <c r="D67" s="24"/>
      <c r="E67" s="24"/>
      <c r="F67" s="24"/>
      <c r="G67" s="24"/>
      <c r="H67" s="36">
        <v>1</v>
      </c>
      <c r="I67" s="184"/>
      <c r="J67" s="42">
        <f>VLOOKUP($B$29:$B$173,'Alberta Equip. Rates Year 3'!$B$13:$K$314,10,FALSE)</f>
        <v>165</v>
      </c>
      <c r="K67" s="181">
        <f t="shared" ref="K67:K68" si="18">(H67+I67)*J67</f>
        <v>165</v>
      </c>
    </row>
    <row r="68" spans="1:11" ht="15" customHeight="1">
      <c r="A68" s="43"/>
      <c r="B68" s="49" t="str">
        <f>VLOOKUP($C$29:$C$173,Equipment!$A$1:$B$2322,2,FALSE)</f>
        <v>Flatdeck - 2 Ton</v>
      </c>
      <c r="C68" s="24" t="s">
        <v>2892</v>
      </c>
      <c r="D68" s="24"/>
      <c r="E68" s="24"/>
      <c r="F68" s="24"/>
      <c r="G68" s="24"/>
      <c r="H68" s="36">
        <v>1</v>
      </c>
      <c r="I68" s="184"/>
      <c r="J68" s="42">
        <f>VLOOKUP($B$29:$B$173,'Alberta Equip. Rates Year 3'!$B$13:$K$314,10,FALSE)</f>
        <v>165</v>
      </c>
      <c r="K68" s="181">
        <f t="shared" si="18"/>
        <v>165</v>
      </c>
    </row>
    <row r="69" spans="1:11" ht="15" customHeight="1">
      <c r="A69" s="43"/>
      <c r="B69" s="49" t="str">
        <f>VLOOKUP($C$29:$C$173,Equipment!$A$1:$B$2322,2,FALSE)</f>
        <v>Generator - 5 kW</v>
      </c>
      <c r="C69" s="24" t="s">
        <v>2764</v>
      </c>
      <c r="D69" s="24"/>
      <c r="E69" s="24"/>
      <c r="F69" s="24"/>
      <c r="G69" s="24"/>
      <c r="H69" s="36">
        <v>1</v>
      </c>
      <c r="I69" s="184"/>
      <c r="J69" s="42">
        <f>VLOOKUP($B$29:$B$173,'Alberta Equip. Rates Year 3'!$B$13:$K$314,10,FALSE)</f>
        <v>79</v>
      </c>
      <c r="K69" s="181">
        <f t="shared" si="9"/>
        <v>79</v>
      </c>
    </row>
    <row r="70" spans="1:11" ht="15" customHeight="1">
      <c r="A70" s="43"/>
      <c r="B70" s="49" t="str">
        <f>VLOOKUP($C$29:$C$173,Equipment!$A$1:$B$2322,2,FALSE)</f>
        <v>Generator - 5 kW</v>
      </c>
      <c r="C70" s="24" t="s">
        <v>2952</v>
      </c>
      <c r="D70" s="24"/>
      <c r="E70" s="24"/>
      <c r="F70" s="24"/>
      <c r="G70" s="24"/>
      <c r="H70" s="36">
        <v>1</v>
      </c>
      <c r="I70" s="184"/>
      <c r="J70" s="42">
        <f>VLOOKUP($B$29:$B$173,'Alberta Equip. Rates Year 3'!$B$13:$K$314,10,FALSE)</f>
        <v>79</v>
      </c>
      <c r="K70" s="181">
        <f t="shared" si="9"/>
        <v>79</v>
      </c>
    </row>
    <row r="71" spans="1:11" ht="15" customHeight="1">
      <c r="A71" s="43"/>
      <c r="B71" s="49" t="str">
        <f>VLOOKUP($C$29:$C$173,Equipment!$A$1:$B$2322,2,FALSE)</f>
        <v>Generator - 5 kW</v>
      </c>
      <c r="C71" s="24" t="s">
        <v>2953</v>
      </c>
      <c r="D71" s="24"/>
      <c r="E71" s="24"/>
      <c r="F71" s="24"/>
      <c r="G71" s="24"/>
      <c r="H71" s="36">
        <v>1</v>
      </c>
      <c r="I71" s="184"/>
      <c r="J71" s="42">
        <f>VLOOKUP($B$29:$B$173,'Alberta Equip. Rates Year 3'!$B$13:$K$314,10,FALSE)</f>
        <v>79</v>
      </c>
      <c r="K71" s="181">
        <f t="shared" si="9"/>
        <v>79</v>
      </c>
    </row>
    <row r="72" spans="1:11" ht="15" customHeight="1">
      <c r="A72" s="43"/>
      <c r="B72" s="49" t="str">
        <f>VLOOKUP($C$29:$C$173,Equipment!$A$1:$B$2322,2,FALSE)</f>
        <v>Generator - 5 kW</v>
      </c>
      <c r="C72" s="24" t="s">
        <v>2358</v>
      </c>
      <c r="D72" s="24"/>
      <c r="E72" s="24"/>
      <c r="F72" s="24"/>
      <c r="G72" s="24"/>
      <c r="H72" s="36">
        <v>1</v>
      </c>
      <c r="I72" s="184"/>
      <c r="J72" s="42">
        <f>VLOOKUP($B$29:$B$173,'Alberta Equip. Rates Year 3'!$B$13:$K$314,10,FALSE)</f>
        <v>79</v>
      </c>
      <c r="K72" s="181">
        <f t="shared" ref="K72" si="19">(H72+I72)*J72</f>
        <v>79</v>
      </c>
    </row>
    <row r="73" spans="1:11" ht="15" customHeight="1">
      <c r="A73" s="43"/>
      <c r="B73" s="49" t="str">
        <f>VLOOKUP($C$29:$C$173,Equipment!$A$1:$B$2322,2,FALSE)</f>
        <v>Generator - 5 kW</v>
      </c>
      <c r="C73" s="24" t="s">
        <v>2359</v>
      </c>
      <c r="D73" s="24"/>
      <c r="E73" s="24"/>
      <c r="F73" s="24"/>
      <c r="G73" s="24"/>
      <c r="H73" s="36">
        <v>1</v>
      </c>
      <c r="I73" s="184"/>
      <c r="J73" s="42">
        <f>VLOOKUP($B$29:$B$173,'Alberta Equip. Rates Year 3'!$B$13:$K$314,10,FALSE)</f>
        <v>79</v>
      </c>
      <c r="K73" s="181">
        <f t="shared" si="9"/>
        <v>79</v>
      </c>
    </row>
    <row r="74" spans="1:11" ht="15" customHeight="1">
      <c r="A74" s="43"/>
      <c r="B74" s="49" t="str">
        <f>VLOOKUP($C$29:$C$173,Equipment!$A$1:$B$2322,2,FALSE)</f>
        <v>Generator - 5 kW</v>
      </c>
      <c r="C74" s="24" t="s">
        <v>2653</v>
      </c>
      <c r="D74" s="24"/>
      <c r="E74" s="24"/>
      <c r="F74" s="24"/>
      <c r="G74" s="24"/>
      <c r="H74" s="36">
        <v>1</v>
      </c>
      <c r="I74" s="184"/>
      <c r="J74" s="42">
        <f>VLOOKUP($B$29:$B$173,'Alberta Equip. Rates Year 3'!$B$13:$K$314,10,FALSE)</f>
        <v>79</v>
      </c>
      <c r="K74" s="181">
        <f t="shared" si="9"/>
        <v>79</v>
      </c>
    </row>
    <row r="75" spans="1:11" ht="15" customHeight="1">
      <c r="A75" s="43"/>
      <c r="B75" s="49" t="str">
        <f>VLOOKUP($C$29:$C$173,Equipment!$A$1:$B$2322,2,FALSE)</f>
        <v>Generator - 5 kW</v>
      </c>
      <c r="C75" s="24" t="s">
        <v>2654</v>
      </c>
      <c r="D75" s="24"/>
      <c r="E75" s="24"/>
      <c r="F75" s="24"/>
      <c r="G75" s="24"/>
      <c r="H75" s="36">
        <v>1</v>
      </c>
      <c r="I75" s="184"/>
      <c r="J75" s="42">
        <f>VLOOKUP($B$29:$B$173,'Alberta Equip. Rates Year 3'!$B$13:$K$314,10,FALSE)</f>
        <v>79</v>
      </c>
      <c r="K75" s="181">
        <f t="shared" si="9"/>
        <v>79</v>
      </c>
    </row>
    <row r="76" spans="1:11" ht="15" customHeight="1">
      <c r="A76" s="43"/>
      <c r="B76" s="49" t="str">
        <f>VLOOKUP($C$29:$C$173,Equipment!$A$1:$B$2322,2,FALSE)</f>
        <v>Generator - 5 kW</v>
      </c>
      <c r="C76" s="24" t="s">
        <v>2655</v>
      </c>
      <c r="D76" s="24"/>
      <c r="E76" s="24"/>
      <c r="F76" s="24"/>
      <c r="G76" s="24"/>
      <c r="H76" s="36">
        <v>1</v>
      </c>
      <c r="I76" s="184"/>
      <c r="J76" s="42">
        <f>VLOOKUP($B$29:$B$173,'Alberta Equip. Rates Year 3'!$B$13:$K$314,10,FALSE)</f>
        <v>79</v>
      </c>
      <c r="K76" s="181">
        <f t="shared" si="9"/>
        <v>79</v>
      </c>
    </row>
    <row r="77" spans="1:11" ht="15" customHeight="1">
      <c r="A77" s="43"/>
      <c r="B77" s="49" t="str">
        <f>VLOOKUP($C$29:$C$173,Equipment!$A$1:$B$2322,2,FALSE)</f>
        <v>Generator - 20 kW</v>
      </c>
      <c r="C77" s="24" t="s">
        <v>3184</v>
      </c>
      <c r="D77" s="24"/>
      <c r="E77" s="24"/>
      <c r="F77" s="24"/>
      <c r="G77" s="24"/>
      <c r="H77" s="36">
        <v>1</v>
      </c>
      <c r="I77" s="184"/>
      <c r="J77" s="42">
        <f>VLOOKUP($B$29:$B$173,'Alberta Equip. Rates Year 3'!$B$13:$K$314,10,FALSE)</f>
        <v>149</v>
      </c>
      <c r="K77" s="181">
        <f t="shared" si="9"/>
        <v>149</v>
      </c>
    </row>
    <row r="78" spans="1:11" ht="15" customHeight="1">
      <c r="A78" s="43"/>
      <c r="B78" s="49" t="str">
        <f>VLOOKUP($C$29:$C$173,Equipment!$A$1:$B$2322,2,FALSE)</f>
        <v>Generator Pump &amp; Light 15-20kW</v>
      </c>
      <c r="C78" s="357" t="s">
        <v>4180</v>
      </c>
      <c r="D78" s="24"/>
      <c r="E78" s="24"/>
      <c r="F78" s="24"/>
      <c r="G78" s="24"/>
      <c r="H78" s="36">
        <v>1</v>
      </c>
      <c r="I78" s="184"/>
      <c r="J78" s="42">
        <f>VLOOKUP($B$29:$B$173,'Alberta Equip. Rates Year 3'!$B$13:$K$314,10,FALSE)</f>
        <v>230.19</v>
      </c>
      <c r="K78" s="181">
        <f t="shared" si="9"/>
        <v>230.19</v>
      </c>
    </row>
    <row r="79" spans="1:11" ht="15" customHeight="1">
      <c r="A79" s="43"/>
      <c r="B79" s="49" t="str">
        <f>VLOOKUP($C$29:$C$173,Equipment!$A$1:$B$2322,2,FALSE)</f>
        <v>Generator Pump &amp; Light 8-10kW</v>
      </c>
      <c r="C79" s="24" t="s">
        <v>4215</v>
      </c>
      <c r="D79" s="24"/>
      <c r="E79" s="24"/>
      <c r="F79" s="24"/>
      <c r="G79" s="24"/>
      <c r="H79" s="36">
        <v>1</v>
      </c>
      <c r="I79" s="184"/>
      <c r="J79" s="42">
        <f>VLOOKUP($B$29:$B$173,'Alberta Equip. Rates Year 3'!$B$13:$K$314,10,FALSE)</f>
        <v>193.41</v>
      </c>
      <c r="K79" s="181">
        <f t="shared" ref="K79" si="20">(H79+I79)*J79</f>
        <v>193.41</v>
      </c>
    </row>
    <row r="80" spans="1:11" ht="15" customHeight="1">
      <c r="A80" s="43"/>
      <c r="B80" s="49" t="str">
        <f>VLOOKUP($C$29:$C$173,Equipment!$A$1:$B$2322,2,FALSE)</f>
        <v>Generator Pump &amp; Light 8-10kW</v>
      </c>
      <c r="C80" s="24" t="s">
        <v>4181</v>
      </c>
      <c r="D80" s="24"/>
      <c r="E80" s="24"/>
      <c r="F80" s="24"/>
      <c r="G80" s="24"/>
      <c r="H80" s="36">
        <v>1</v>
      </c>
      <c r="I80" s="184"/>
      <c r="J80" s="42">
        <f>VLOOKUP($B$29:$B$173,'Alberta Equip. Rates Year 3'!$B$13:$K$314,10,FALSE)</f>
        <v>193.41</v>
      </c>
      <c r="K80" s="181">
        <f t="shared" si="9"/>
        <v>193.41</v>
      </c>
    </row>
    <row r="81" spans="1:11" ht="15" customHeight="1">
      <c r="A81" s="43"/>
      <c r="B81" s="49" t="str">
        <f>VLOOKUP($C$29:$C$173,Equipment!$A$1:$B$2322,2,FALSE)</f>
        <v>Generator Pump &amp; Light 8-10kW</v>
      </c>
      <c r="C81" s="24" t="s">
        <v>4182</v>
      </c>
      <c r="D81" s="24"/>
      <c r="E81" s="24"/>
      <c r="F81" s="24"/>
      <c r="G81" s="24"/>
      <c r="H81" s="36">
        <v>1</v>
      </c>
      <c r="I81" s="184"/>
      <c r="J81" s="42">
        <f>VLOOKUP($B$29:$B$173,'Alberta Equip. Rates Year 3'!$B$13:$K$314,10,FALSE)</f>
        <v>193.41</v>
      </c>
      <c r="K81" s="181">
        <f t="shared" si="9"/>
        <v>193.41</v>
      </c>
    </row>
    <row r="82" spans="1:11" ht="15" customHeight="1">
      <c r="A82" s="43"/>
      <c r="B82" s="49" t="str">
        <f>VLOOKUP($C$29:$C$173,Equipment!$A$1:$B$2322,2,FALSE)</f>
        <v>Grader - Cat G16</v>
      </c>
      <c r="C82" s="24" t="s">
        <v>2113</v>
      </c>
      <c r="D82" s="24"/>
      <c r="E82" s="24"/>
      <c r="F82" s="24"/>
      <c r="G82" s="24"/>
      <c r="H82" s="36">
        <v>1</v>
      </c>
      <c r="I82" s="184"/>
      <c r="J82" s="42">
        <f>VLOOKUP($B$29:$B$173,'Alberta Equip. Rates Year 3'!$B$13:$K$314,10,FALSE)</f>
        <v>1270</v>
      </c>
      <c r="K82" s="181">
        <f t="shared" ref="K82" si="21">(H82+I82)*J82</f>
        <v>1270</v>
      </c>
    </row>
    <row r="83" spans="1:11" ht="15" customHeight="1">
      <c r="A83" s="43"/>
      <c r="B83" s="49" t="str">
        <f>VLOOKUP($C$29:$C$173,Equipment!$A$1:$B$2322,2,FALSE)</f>
        <v>Highboy Trailer</v>
      </c>
      <c r="C83" s="24" t="s">
        <v>2437</v>
      </c>
      <c r="D83" s="24"/>
      <c r="E83" s="24"/>
      <c r="F83" s="24"/>
      <c r="G83" s="24"/>
      <c r="H83" s="36">
        <v>1</v>
      </c>
      <c r="I83" s="184"/>
      <c r="J83" s="42">
        <f>VLOOKUP($B$29:$B$173,'Alberta Equip. Rates Year 3'!$B$13:$K$314,10,FALSE)</f>
        <v>149</v>
      </c>
      <c r="K83" s="181">
        <f t="shared" si="9"/>
        <v>149</v>
      </c>
    </row>
    <row r="84" spans="1:11" ht="15" customHeight="1">
      <c r="A84" s="43"/>
      <c r="B84" s="49" t="str">
        <f>VLOOKUP($C$29:$C$173,Equipment!$A$1:$B$2322,2,FALSE)</f>
        <v>Hoe - Bucket Rake Attachment</v>
      </c>
      <c r="C84" s="24" t="s">
        <v>3112</v>
      </c>
      <c r="D84" s="24"/>
      <c r="E84" s="24"/>
      <c r="F84" s="24"/>
      <c r="G84" s="24"/>
      <c r="H84" s="36">
        <v>1</v>
      </c>
      <c r="I84" s="184"/>
      <c r="J84" s="42">
        <f>VLOOKUP($B$29:$B$173,'Alberta Equip. Rates Year 3'!$B$13:$K$314,10,FALSE)</f>
        <v>39.69</v>
      </c>
      <c r="K84" s="181">
        <f t="shared" si="9"/>
        <v>39.69</v>
      </c>
    </row>
    <row r="85" spans="1:11" ht="15" customHeight="1">
      <c r="A85" s="43"/>
      <c r="B85" s="49" t="str">
        <f>VLOOKUP($C$29:$C$173,Equipment!$A$1:$B$2322,2,FALSE)</f>
        <v>Hydraulic Road Sweeper</v>
      </c>
      <c r="C85" s="24" t="s">
        <v>2603</v>
      </c>
      <c r="D85" s="24"/>
      <c r="E85" s="24"/>
      <c r="F85" s="24"/>
      <c r="G85" s="24"/>
      <c r="H85" s="36">
        <v>1</v>
      </c>
      <c r="I85" s="184"/>
      <c r="J85" s="42">
        <f>VLOOKUP($B$29:$B$173,'Alberta Equip. Rates Year 3'!$B$13:$K$314,10,FALSE)</f>
        <v>141.71</v>
      </c>
      <c r="K85" s="181">
        <f t="shared" si="9"/>
        <v>141.71</v>
      </c>
    </row>
    <row r="86" spans="1:11" ht="15" customHeight="1">
      <c r="A86" s="43"/>
      <c r="B86" s="49" t="str">
        <f>VLOOKUP($C$29:$C$173,Equipment!$A$1:$B$2322,2,FALSE)</f>
        <v>Light Tower - 20 kW</v>
      </c>
      <c r="C86" s="24" t="s">
        <v>3648</v>
      </c>
      <c r="D86" s="24"/>
      <c r="E86" s="24"/>
      <c r="F86" s="24"/>
      <c r="G86" s="24"/>
      <c r="H86" s="36">
        <v>1</v>
      </c>
      <c r="I86" s="184"/>
      <c r="J86" s="42">
        <f>VLOOKUP($B$29:$B$173,'Alberta Equip. Rates Year 3'!$B$13:$K$314,10,FALSE)</f>
        <v>318</v>
      </c>
      <c r="K86" s="181">
        <f t="shared" si="9"/>
        <v>318</v>
      </c>
    </row>
    <row r="87" spans="1:11" ht="15" customHeight="1">
      <c r="A87" s="43"/>
      <c r="B87" s="49" t="str">
        <f>VLOOKUP($C$29:$C$173,Equipment!$A$1:$B$2322,2,FALSE)</f>
        <v>Light Tower - 20 kW</v>
      </c>
      <c r="C87" s="24" t="s">
        <v>3652</v>
      </c>
      <c r="D87" s="24"/>
      <c r="E87" s="24"/>
      <c r="F87" s="24"/>
      <c r="G87" s="24"/>
      <c r="H87" s="36">
        <v>1</v>
      </c>
      <c r="I87" s="184"/>
      <c r="J87" s="42">
        <f>VLOOKUP($B$29:$B$173,'Alberta Equip. Rates Year 3'!$B$13:$K$314,10,FALSE)</f>
        <v>318</v>
      </c>
      <c r="K87" s="181">
        <f t="shared" si="9"/>
        <v>318</v>
      </c>
    </row>
    <row r="88" spans="1:11" ht="15" customHeight="1">
      <c r="A88" s="43"/>
      <c r="B88" s="49" t="str">
        <f>VLOOKUP($C$29:$C$173,Equipment!$A$1:$B$2322,2,FALSE)</f>
        <v>Light Tower - 20 kW</v>
      </c>
      <c r="C88" s="24" t="s">
        <v>3654</v>
      </c>
      <c r="D88" s="24"/>
      <c r="E88" s="24"/>
      <c r="F88" s="24"/>
      <c r="G88" s="24"/>
      <c r="H88" s="36">
        <v>1</v>
      </c>
      <c r="I88" s="184"/>
      <c r="J88" s="42">
        <f>VLOOKUP($B$29:$B$173,'Alberta Equip. Rates Year 3'!$B$13:$K$314,10,FALSE)</f>
        <v>318</v>
      </c>
      <c r="K88" s="181">
        <f t="shared" si="9"/>
        <v>318</v>
      </c>
    </row>
    <row r="89" spans="1:11" ht="15" customHeight="1">
      <c r="A89" s="43"/>
      <c r="B89" s="49" t="str">
        <f>VLOOKUP($C$29:$C$173,Equipment!$A$1:$B$2322,2,FALSE)</f>
        <v>Light Tower  - 6 kW</v>
      </c>
      <c r="C89" s="24" t="s">
        <v>3754</v>
      </c>
      <c r="D89" s="24"/>
      <c r="E89" s="24"/>
      <c r="F89" s="24"/>
      <c r="G89" s="24"/>
      <c r="H89" s="36">
        <v>1</v>
      </c>
      <c r="I89" s="184"/>
      <c r="J89" s="42">
        <f>VLOOKUP($B$29:$B$173,'Alberta Equip. Rates Year 3'!$B$13:$K$314,10,FALSE)</f>
        <v>212</v>
      </c>
      <c r="K89" s="181">
        <f>(H89+I89)*J89</f>
        <v>212</v>
      </c>
    </row>
    <row r="90" spans="1:11" ht="15" customHeight="1">
      <c r="A90" s="43"/>
      <c r="B90" s="49" t="str">
        <f>VLOOKUP($C$29:$C$173,Equipment!$A$1:$B$2322,2,FALSE)</f>
        <v>Light Tower  - 6 kW</v>
      </c>
      <c r="C90" s="24" t="s">
        <v>3649</v>
      </c>
      <c r="D90" s="24"/>
      <c r="E90" s="24"/>
      <c r="F90" s="24"/>
      <c r="G90" s="24"/>
      <c r="H90" s="36">
        <v>1</v>
      </c>
      <c r="I90" s="184"/>
      <c r="J90" s="42">
        <f>VLOOKUP($B$29:$B$173,'Alberta Equip. Rates Year 3'!$B$13:$K$314,10,FALSE)</f>
        <v>212</v>
      </c>
      <c r="K90" s="181">
        <f>(H90+I90)*J90</f>
        <v>212</v>
      </c>
    </row>
    <row r="91" spans="1:11" ht="15" customHeight="1">
      <c r="A91" s="43"/>
      <c r="B91" s="49" t="str">
        <f>VLOOKUP($C$29:$C$173,Equipment!$A$1:$B$2322,2,FALSE)</f>
        <v>Light Tower  - 6 kW</v>
      </c>
      <c r="C91" s="24" t="s">
        <v>4034</v>
      </c>
      <c r="D91" s="24"/>
      <c r="E91" s="24"/>
      <c r="F91" s="24"/>
      <c r="G91" s="24"/>
      <c r="H91" s="36">
        <v>1</v>
      </c>
      <c r="I91" s="184"/>
      <c r="J91" s="42">
        <f>VLOOKUP($B$29:$B$173,'Alberta Equip. Rates Year 3'!$B$13:$K$314,10,FALSE)</f>
        <v>212</v>
      </c>
      <c r="K91" s="181">
        <f t="shared" ref="K91:K95" si="22">(H91+I91)*J91</f>
        <v>212</v>
      </c>
    </row>
    <row r="92" spans="1:11" ht="15" customHeight="1">
      <c r="A92" s="43"/>
      <c r="B92" s="49" t="str">
        <f>VLOOKUP($C$29:$C$173,Equipment!$A$1:$B$2322,2,FALSE)</f>
        <v>Light Tower  - 6 kW</v>
      </c>
      <c r="C92" s="24" t="s">
        <v>4035</v>
      </c>
      <c r="D92" s="24"/>
      <c r="E92" s="24"/>
      <c r="F92" s="24"/>
      <c r="G92" s="24"/>
      <c r="H92" s="36">
        <v>1</v>
      </c>
      <c r="I92" s="184"/>
      <c r="J92" s="42">
        <f>VLOOKUP($B$29:$B$173,'Alberta Equip. Rates Year 3'!$B$13:$K$314,10,FALSE)</f>
        <v>212</v>
      </c>
      <c r="K92" s="181">
        <f t="shared" si="22"/>
        <v>212</v>
      </c>
    </row>
    <row r="93" spans="1:11" ht="15" customHeight="1">
      <c r="A93" s="43"/>
      <c r="B93" s="49" t="str">
        <f>VLOOKUP($C$29:$C$173,Equipment!$A$1:$B$2322,2,FALSE)</f>
        <v>Light Tower  - 6 kW</v>
      </c>
      <c r="C93" s="24" t="s">
        <v>4036</v>
      </c>
      <c r="D93" s="24"/>
      <c r="E93" s="24"/>
      <c r="F93" s="24"/>
      <c r="G93" s="24"/>
      <c r="H93" s="36">
        <v>1</v>
      </c>
      <c r="I93" s="184"/>
      <c r="J93" s="42">
        <f>VLOOKUP($B$29:$B$173,'Alberta Equip. Rates Year 3'!$B$13:$K$314,10,FALSE)</f>
        <v>212</v>
      </c>
      <c r="K93" s="181">
        <f t="shared" si="22"/>
        <v>212</v>
      </c>
    </row>
    <row r="94" spans="1:11" ht="15" customHeight="1">
      <c r="A94" s="43"/>
      <c r="B94" s="49" t="str">
        <f>VLOOKUP($C$29:$C$173,Equipment!$A$1:$B$2322,2,FALSE)</f>
        <v>Light Tower  - 6 kW</v>
      </c>
      <c r="C94" s="24" t="s">
        <v>4065</v>
      </c>
      <c r="D94" s="24"/>
      <c r="E94" s="24"/>
      <c r="F94" s="24"/>
      <c r="G94" s="24"/>
      <c r="H94" s="36">
        <v>1</v>
      </c>
      <c r="I94" s="184"/>
      <c r="J94" s="42">
        <f>VLOOKUP($B$29:$B$173,'Alberta Equip. Rates Year 3'!$B$13:$K$314,10,FALSE)</f>
        <v>212</v>
      </c>
      <c r="K94" s="181">
        <f t="shared" si="22"/>
        <v>212</v>
      </c>
    </row>
    <row r="95" spans="1:11" ht="15" customHeight="1">
      <c r="A95" s="43"/>
      <c r="B95" s="49" t="str">
        <f>VLOOKUP($C$29:$C$173,Equipment!$A$1:$B$2322,2,FALSE)</f>
        <v>Light Tower  - 6 kW</v>
      </c>
      <c r="C95" s="24" t="s">
        <v>4057</v>
      </c>
      <c r="D95" s="24"/>
      <c r="E95" s="24"/>
      <c r="F95" s="24"/>
      <c r="G95" s="24"/>
      <c r="H95" s="36">
        <v>1</v>
      </c>
      <c r="I95" s="184"/>
      <c r="J95" s="42">
        <f>VLOOKUP($B$29:$B$173,'Alberta Equip. Rates Year 3'!$B$13:$K$314,10,FALSE)</f>
        <v>212</v>
      </c>
      <c r="K95" s="181">
        <f t="shared" si="22"/>
        <v>212</v>
      </c>
    </row>
    <row r="96" spans="1:11" ht="15" customHeight="1">
      <c r="A96" s="43"/>
      <c r="B96" s="49" t="str">
        <f>VLOOKUP($C$29:$C$173,Equipment!$A$1:$B$2322,2,FALSE)</f>
        <v>Light Tower  - 6 kW</v>
      </c>
      <c r="C96" s="24" t="s">
        <v>4068</v>
      </c>
      <c r="D96" s="24"/>
      <c r="E96" s="24"/>
      <c r="F96" s="24"/>
      <c r="G96" s="24"/>
      <c r="H96" s="36">
        <v>1</v>
      </c>
      <c r="I96" s="184"/>
      <c r="J96" s="42">
        <f>VLOOKUP($B$29:$B$173,'Alberta Equip. Rates Year 3'!$B$13:$K$314,10,FALSE)</f>
        <v>212</v>
      </c>
      <c r="K96" s="181">
        <f t="shared" si="9"/>
        <v>212</v>
      </c>
    </row>
    <row r="97" spans="1:12" ht="15" customHeight="1">
      <c r="A97" s="43"/>
      <c r="B97" s="49" t="str">
        <f>VLOOKUP($C$29:$C$173,Equipment!$A$1:$B$2322,2,FALSE)</f>
        <v>Light Tower  - 6 kW</v>
      </c>
      <c r="C97" s="24" t="s">
        <v>4069</v>
      </c>
      <c r="D97" s="24"/>
      <c r="E97" s="24"/>
      <c r="F97" s="24"/>
      <c r="G97" s="24"/>
      <c r="H97" s="36">
        <v>1</v>
      </c>
      <c r="I97" s="184"/>
      <c r="J97" s="42">
        <f>VLOOKUP($B$29:$B$173,'Alberta Equip. Rates Year 3'!$B$13:$K$314,10,FALSE)</f>
        <v>212</v>
      </c>
      <c r="K97" s="181">
        <f t="shared" si="9"/>
        <v>212</v>
      </c>
    </row>
    <row r="98" spans="1:12" ht="15" customHeight="1">
      <c r="A98" s="43"/>
      <c r="B98" s="49" t="str">
        <f>VLOOKUP($C$29:$C$173,Equipment!$A$1:$B$2322,2,FALSE)</f>
        <v>Light Tower  - 6 kW</v>
      </c>
      <c r="C98" s="24" t="s">
        <v>2858</v>
      </c>
      <c r="D98" s="24"/>
      <c r="E98" s="24"/>
      <c r="F98" s="24"/>
      <c r="G98" s="24"/>
      <c r="H98" s="36">
        <v>1</v>
      </c>
      <c r="I98" s="184"/>
      <c r="J98" s="42">
        <f>VLOOKUP($B$29:$B$173,'Alberta Equip. Rates Year 3'!$B$13:$K$314,10,FALSE)</f>
        <v>212</v>
      </c>
      <c r="K98" s="181">
        <f t="shared" ref="K98:K139" si="23">(H98+I98)*J98</f>
        <v>212</v>
      </c>
      <c r="L98" s="42">
        <f>VLOOKUP($B$29:$B$173,'Alberta Equip. Rates Year 3'!$B$13:$K$314,10,FALSE)</f>
        <v>212</v>
      </c>
    </row>
    <row r="99" spans="1:12" ht="15" customHeight="1">
      <c r="A99" s="43"/>
      <c r="B99" s="49" t="str">
        <f>VLOOKUP($C$29:$C$173,Equipment!$A$1:$B$2322,2,FALSE)</f>
        <v>Loader Attachment - Pipe/Pole Grapple</v>
      </c>
      <c r="C99" s="24" t="s">
        <v>3733</v>
      </c>
      <c r="D99" s="24"/>
      <c r="E99" s="24"/>
      <c r="F99" s="24"/>
      <c r="G99" s="24"/>
      <c r="H99" s="36">
        <v>1</v>
      </c>
      <c r="I99" s="184"/>
      <c r="J99" s="42">
        <f>VLOOKUP($B$29:$B$173,'Alberta Equip. Rates Year 3'!$B$13:$K$314,10,FALSE)</f>
        <v>317.5</v>
      </c>
      <c r="K99" s="181">
        <f t="shared" ref="K99" si="24">(H99+I99)*J99</f>
        <v>317.5</v>
      </c>
      <c r="L99" s="355"/>
    </row>
    <row r="100" spans="1:12" ht="15" customHeight="1">
      <c r="A100" s="43"/>
      <c r="B100" s="49" t="str">
        <f>VLOOKUP($C$29:$C$173,Equipment!$A$1:$B$2322,2,FALSE)</f>
        <v>Loader Attachment - Pipe/Pole Grapple</v>
      </c>
      <c r="C100" s="24" t="s">
        <v>4038</v>
      </c>
      <c r="D100" s="24"/>
      <c r="E100" s="24"/>
      <c r="F100" s="24"/>
      <c r="G100" s="24"/>
      <c r="H100" s="36">
        <v>1</v>
      </c>
      <c r="I100" s="184"/>
      <c r="J100" s="42">
        <f>VLOOKUP($B$29:$B$173,'Alberta Equip. Rates Year 3'!$B$13:$K$314,10,FALSE)</f>
        <v>317.5</v>
      </c>
      <c r="K100" s="181">
        <f t="shared" ref="K100" si="25">(H100+I100)*J100</f>
        <v>317.5</v>
      </c>
      <c r="L100" s="355"/>
    </row>
    <row r="101" spans="1:12" ht="15" customHeight="1">
      <c r="A101" s="43"/>
      <c r="B101" s="49" t="str">
        <f>VLOOKUP($C$29:$C$173,Equipment!$A$1:$B$2322,2,FALSE)</f>
        <v>Loader Attachment - Pipe/Pole Grapple</v>
      </c>
      <c r="C101" s="24" t="s">
        <v>4183</v>
      </c>
      <c r="D101" s="24"/>
      <c r="E101" s="24"/>
      <c r="F101" s="24"/>
      <c r="G101" s="24"/>
      <c r="H101" s="36">
        <v>1</v>
      </c>
      <c r="I101" s="184"/>
      <c r="J101" s="42">
        <f>VLOOKUP($B$29:$B$173,'Alberta Equip. Rates Year 3'!$B$13:$K$314,10,FALSE)</f>
        <v>317.5</v>
      </c>
      <c r="K101" s="181">
        <f t="shared" ref="K101" si="26">(H101+I101)*J101</f>
        <v>317.5</v>
      </c>
      <c r="L101" s="355"/>
    </row>
    <row r="102" spans="1:12" ht="15" customHeight="1">
      <c r="A102" s="43"/>
      <c r="B102" s="49" t="str">
        <f>VLOOKUP($C$29:$C$173,Equipment!$A$1:$B$2322,2,FALSE)</f>
        <v>Pickup - 1/2 Ton</v>
      </c>
      <c r="C102" s="24" t="s">
        <v>4037</v>
      </c>
      <c r="D102" s="24"/>
      <c r="E102" s="24"/>
      <c r="F102" s="24"/>
      <c r="G102" s="24"/>
      <c r="H102" s="36">
        <v>1</v>
      </c>
      <c r="I102" s="184"/>
      <c r="J102" s="42">
        <f>VLOOKUP($B$29:$B$173,'Alberta Equip. Rates Year 3'!$B$13:$K$314,10,FALSE)</f>
        <v>125</v>
      </c>
      <c r="K102" s="181">
        <f t="shared" ref="K102" si="27">(H102+I102)*J102</f>
        <v>125</v>
      </c>
      <c r="L102" s="355"/>
    </row>
    <row r="103" spans="1:12" ht="15" customHeight="1">
      <c r="A103" s="43"/>
      <c r="B103" s="49" t="str">
        <f>VLOOKUP($C$29:$C$173,Equipment!$A$1:$B$2322,2,FALSE)</f>
        <v>Pickup - 1/2 Ton</v>
      </c>
      <c r="C103" s="24" t="s">
        <v>2722</v>
      </c>
      <c r="D103" s="24"/>
      <c r="E103" s="24"/>
      <c r="F103" s="24"/>
      <c r="G103" s="24"/>
      <c r="H103" s="36">
        <v>1</v>
      </c>
      <c r="I103" s="184"/>
      <c r="J103" s="42">
        <f>VLOOKUP($B$29:$B$173,'Alberta Equip. Rates Year 3'!$B$13:$K$314,10,FALSE)</f>
        <v>125</v>
      </c>
      <c r="K103" s="181">
        <f t="shared" ref="K103" si="28">(H103+I103)*J103</f>
        <v>125</v>
      </c>
      <c r="L103" s="355"/>
    </row>
    <row r="104" spans="1:12" ht="15" customHeight="1">
      <c r="A104" s="43"/>
      <c r="B104" s="49" t="str">
        <f>VLOOKUP($C$29:$C$173,Equipment!$A$1:$B$2322,2,FALSE)</f>
        <v>Pickup - 1/2 Ton</v>
      </c>
      <c r="C104" s="24" t="s">
        <v>1815</v>
      </c>
      <c r="D104" s="24"/>
      <c r="E104" s="24"/>
      <c r="F104" s="24"/>
      <c r="G104" s="24"/>
      <c r="H104" s="36">
        <v>1</v>
      </c>
      <c r="I104" s="184"/>
      <c r="J104" s="42">
        <f>VLOOKUP($B$29:$B$173,'Alberta Equip. Rates Year 3'!$B$13:$K$314,10,FALSE)</f>
        <v>125</v>
      </c>
      <c r="K104" s="181">
        <f t="shared" ref="K104" si="29">(H104+I104)*J104</f>
        <v>125</v>
      </c>
      <c r="L104" s="355"/>
    </row>
    <row r="105" spans="1:12" ht="15" customHeight="1">
      <c r="A105" s="43"/>
      <c r="B105" s="49" t="str">
        <f>VLOOKUP($C$29:$C$173,Equipment!$A$1:$B$2322,2,FALSE)</f>
        <v>Pickup - 1/2 Ton</v>
      </c>
      <c r="C105" s="24" t="s">
        <v>1808</v>
      </c>
      <c r="D105" s="24"/>
      <c r="E105" s="24"/>
      <c r="F105" s="24"/>
      <c r="G105" s="24"/>
      <c r="H105" s="36">
        <v>1</v>
      </c>
      <c r="I105" s="184"/>
      <c r="J105" s="42">
        <f>VLOOKUP($B$29:$B$173,'Alberta Equip. Rates Year 3'!$B$13:$K$314,10,FALSE)</f>
        <v>125</v>
      </c>
      <c r="K105" s="181">
        <f t="shared" ref="K105" si="30">(H105+I105)*J105</f>
        <v>125</v>
      </c>
      <c r="L105" s="355"/>
    </row>
    <row r="106" spans="1:12" ht="15" customHeight="1">
      <c r="A106" s="43"/>
      <c r="B106" s="49" t="str">
        <f>VLOOKUP($C$29:$C$173,Equipment!$A$1:$B$2322,2,FALSE)</f>
        <v>Pickup - 3/4 Ton</v>
      </c>
      <c r="C106" s="24" t="s">
        <v>663</v>
      </c>
      <c r="D106" s="24"/>
      <c r="E106" s="24"/>
      <c r="F106" s="24"/>
      <c r="G106" s="24"/>
      <c r="H106" s="36">
        <v>1</v>
      </c>
      <c r="I106" s="184"/>
      <c r="J106" s="42">
        <f>VLOOKUP($B$29:$B$173,'Alberta Equip. Rates Year 3'!$B$13:$K$314,10,FALSE)</f>
        <v>145</v>
      </c>
      <c r="K106" s="181">
        <f t="shared" ref="K106:K113" si="31">(H106+I106)*J106</f>
        <v>145</v>
      </c>
      <c r="L106" s="355"/>
    </row>
    <row r="107" spans="1:12" ht="15" customHeight="1">
      <c r="A107" s="43"/>
      <c r="B107" s="49" t="str">
        <f>VLOOKUP($C$29:$C$173,Equipment!$A$1:$B$2322,2,FALSE)</f>
        <v>Pickup - 3/4 Ton</v>
      </c>
      <c r="C107" s="24" t="s">
        <v>698</v>
      </c>
      <c r="D107" s="24"/>
      <c r="E107" s="24"/>
      <c r="F107" s="24"/>
      <c r="G107" s="24"/>
      <c r="H107" s="36">
        <v>1</v>
      </c>
      <c r="I107" s="184"/>
      <c r="J107" s="42">
        <f>VLOOKUP($B$29:$B$173,'Alberta Equip. Rates Year 3'!$B$13:$K$314,10,FALSE)</f>
        <v>145</v>
      </c>
      <c r="K107" s="181">
        <f t="shared" si="31"/>
        <v>145</v>
      </c>
      <c r="L107" s="355"/>
    </row>
    <row r="108" spans="1:12" ht="15" customHeight="1">
      <c r="A108" s="43"/>
      <c r="B108" s="49" t="str">
        <f>VLOOKUP($C$29:$C$173,Equipment!$A$1:$B$2322,2,FALSE)</f>
        <v>Pickup - 3/4 Ton</v>
      </c>
      <c r="C108" s="24" t="s">
        <v>1817</v>
      </c>
      <c r="D108" s="24"/>
      <c r="E108" s="24"/>
      <c r="F108" s="24"/>
      <c r="G108" s="24"/>
      <c r="H108" s="36">
        <v>1</v>
      </c>
      <c r="I108" s="184"/>
      <c r="J108" s="42">
        <f>VLOOKUP($B$29:$B$173,'Alberta Equip. Rates Year 3'!$B$13:$K$314,10,FALSE)</f>
        <v>145</v>
      </c>
      <c r="K108" s="181">
        <f t="shared" si="31"/>
        <v>145</v>
      </c>
      <c r="L108" s="355"/>
    </row>
    <row r="109" spans="1:12" ht="15" customHeight="1">
      <c r="A109" s="43"/>
      <c r="B109" s="49" t="str">
        <f>VLOOKUP($C$29:$C$173,Equipment!$A$1:$B$2322,2,FALSE)</f>
        <v>Pipeline Roller Cradles (Each)</v>
      </c>
      <c r="C109" s="24" t="s">
        <v>2967</v>
      </c>
      <c r="D109" s="24"/>
      <c r="E109" s="24"/>
      <c r="F109" s="24"/>
      <c r="G109" s="24"/>
      <c r="H109" s="36">
        <v>1</v>
      </c>
      <c r="I109" s="184"/>
      <c r="J109" s="42">
        <f>VLOOKUP($B$29:$B$173,'Alberta Equip. Rates Year 3'!$B$13:$K$314,10,FALSE)</f>
        <v>105.83</v>
      </c>
      <c r="K109" s="181">
        <f t="shared" si="31"/>
        <v>105.83</v>
      </c>
      <c r="L109" s="355"/>
    </row>
    <row r="110" spans="1:12" ht="15" customHeight="1">
      <c r="A110" s="43"/>
      <c r="B110" s="49" t="str">
        <f>VLOOKUP($C$29:$C$173,Equipment!$A$1:$B$2322,2,FALSE)</f>
        <v>Pipeline Roller Cradles (Each)</v>
      </c>
      <c r="C110" s="24" t="s">
        <v>2969</v>
      </c>
      <c r="D110" s="24"/>
      <c r="E110" s="24"/>
      <c r="F110" s="24"/>
      <c r="G110" s="24"/>
      <c r="H110" s="36">
        <v>1</v>
      </c>
      <c r="I110" s="184"/>
      <c r="J110" s="42">
        <f>VLOOKUP($B$29:$B$173,'Alberta Equip. Rates Year 3'!$B$13:$K$314,10,FALSE)</f>
        <v>105.83</v>
      </c>
      <c r="K110" s="181">
        <f t="shared" si="31"/>
        <v>105.83</v>
      </c>
      <c r="L110" s="355"/>
    </row>
    <row r="111" spans="1:12" ht="15" customHeight="1">
      <c r="A111" s="43"/>
      <c r="B111" s="49" t="str">
        <f>VLOOKUP($C$29:$C$173,Equipment!$A$1:$B$2322,2,FALSE)</f>
        <v>Pipeline Roller Cradles (Each)</v>
      </c>
      <c r="C111" s="24" t="s">
        <v>2970</v>
      </c>
      <c r="D111" s="24"/>
      <c r="E111" s="24"/>
      <c r="F111" s="24"/>
      <c r="G111" s="24"/>
      <c r="H111" s="36">
        <v>1</v>
      </c>
      <c r="I111" s="184"/>
      <c r="J111" s="42">
        <f>VLOOKUP($B$29:$B$173,'Alberta Equip. Rates Year 3'!$B$13:$K$314,10,FALSE)</f>
        <v>105.83</v>
      </c>
      <c r="K111" s="181">
        <f t="shared" si="31"/>
        <v>105.83</v>
      </c>
      <c r="L111" s="355"/>
    </row>
    <row r="112" spans="1:12" ht="15" customHeight="1">
      <c r="A112" s="43"/>
      <c r="B112" s="49" t="str">
        <f>VLOOKUP($C$29:$C$173,Equipment!$A$1:$B$2322,2,FALSE)</f>
        <v>Pipeline Roller Cradles (Each)</v>
      </c>
      <c r="C112" s="24" t="s">
        <v>2971</v>
      </c>
      <c r="D112" s="24"/>
      <c r="E112" s="24"/>
      <c r="F112" s="24"/>
      <c r="G112" s="24"/>
      <c r="H112" s="36">
        <v>1</v>
      </c>
      <c r="I112" s="184"/>
      <c r="J112" s="42">
        <f>VLOOKUP($B$29:$B$173,'Alberta Equip. Rates Year 3'!$B$13:$K$314,10,FALSE)</f>
        <v>105.83</v>
      </c>
      <c r="K112" s="181">
        <f t="shared" si="31"/>
        <v>105.83</v>
      </c>
      <c r="L112" s="355"/>
    </row>
    <row r="113" spans="1:11" ht="15" customHeight="1">
      <c r="A113" s="43"/>
      <c r="B113" s="49" t="str">
        <f>VLOOKUP($C$29:$C$173,Equipment!$A$1:$B$2322,2,FALSE)</f>
        <v>Rubber Tired Hoe - Cat 420/430 (or equivalent)</v>
      </c>
      <c r="C113" s="24" t="s">
        <v>2549</v>
      </c>
      <c r="D113" s="24"/>
      <c r="E113" s="24"/>
      <c r="F113" s="24"/>
      <c r="G113" s="24"/>
      <c r="H113" s="36">
        <v>1</v>
      </c>
      <c r="I113" s="184"/>
      <c r="J113" s="42">
        <f>VLOOKUP($B$29:$B$173,'Alberta Equip. Rates Year 3'!$B$13:$K$314,10,FALSE)</f>
        <v>212</v>
      </c>
      <c r="K113" s="181">
        <f t="shared" si="31"/>
        <v>212</v>
      </c>
    </row>
    <row r="114" spans="1:11" ht="15" customHeight="1">
      <c r="A114" s="43"/>
      <c r="B114" s="49" t="str">
        <f>VLOOKUP($C$29:$C$173,Equipment!$A$1:$B$2322,2,FALSE)</f>
        <v>Sheep's Foot Drum Packer</v>
      </c>
      <c r="C114" s="357" t="s">
        <v>3334</v>
      </c>
      <c r="D114" s="24"/>
      <c r="E114" s="24"/>
      <c r="F114" s="24"/>
      <c r="G114" s="24"/>
      <c r="H114" s="36">
        <v>1</v>
      </c>
      <c r="I114" s="184"/>
      <c r="J114" s="42">
        <f>VLOOKUP($B$29:$B$173,'Alberta Equip. Rates Year 3'!$B$13:$K$314,10,FALSE)</f>
        <v>244.79</v>
      </c>
      <c r="K114" s="181">
        <f t="shared" si="23"/>
        <v>244.79</v>
      </c>
    </row>
    <row r="115" spans="1:11" ht="15" customHeight="1">
      <c r="A115" s="43"/>
      <c r="B115" s="49" t="str">
        <f>VLOOKUP($C$29:$C$173,Equipment!$A$1:$B$2322,2,FALSE)</f>
        <v>Skid Sloop</v>
      </c>
      <c r="C115" s="24" t="s">
        <v>2741</v>
      </c>
      <c r="D115" s="24"/>
      <c r="E115" s="24"/>
      <c r="F115" s="24"/>
      <c r="G115" s="24"/>
      <c r="H115" s="36">
        <v>1</v>
      </c>
      <c r="I115" s="184"/>
      <c r="J115" s="42">
        <f>VLOOKUP($B$29:$B$173,'Alberta Equip. Rates Year 3'!$B$13:$K$314,10,FALSE)</f>
        <v>22</v>
      </c>
      <c r="K115" s="181">
        <f t="shared" ref="K115" si="32">(H115+I115)*J115</f>
        <v>22</v>
      </c>
    </row>
    <row r="116" spans="1:11" ht="15" customHeight="1">
      <c r="A116" s="43"/>
      <c r="B116" s="49" t="str">
        <f>VLOOKUP($C$29:$C$173,Equipment!$A$1:$B$2322,2,FALSE)</f>
        <v>Skid Sloop</v>
      </c>
      <c r="C116" s="24" t="s">
        <v>2742</v>
      </c>
      <c r="D116" s="24"/>
      <c r="E116" s="24"/>
      <c r="F116" s="24"/>
      <c r="G116" s="24"/>
      <c r="H116" s="36">
        <v>1</v>
      </c>
      <c r="I116" s="184"/>
      <c r="J116" s="42">
        <f>VLOOKUP($B$29:$B$173,'Alberta Equip. Rates Year 3'!$B$13:$K$314,10,FALSE)</f>
        <v>22</v>
      </c>
      <c r="K116" s="181">
        <f t="shared" ref="K116" si="33">(H116+I116)*J116</f>
        <v>22</v>
      </c>
    </row>
    <row r="117" spans="1:11" ht="15" customHeight="1">
      <c r="A117" s="43"/>
      <c r="B117" s="49" t="str">
        <f>VLOOKUP($C$29:$C$173,Equipment!$A$1:$B$2322,2,FALSE)</f>
        <v>Skid Sloop</v>
      </c>
      <c r="C117" s="24" t="s">
        <v>2743</v>
      </c>
      <c r="D117" s="24"/>
      <c r="E117" s="24"/>
      <c r="F117" s="24"/>
      <c r="G117" s="24"/>
      <c r="H117" s="36">
        <v>1</v>
      </c>
      <c r="I117" s="184"/>
      <c r="J117" s="42">
        <f>VLOOKUP($B$29:$B$173,'Alberta Equip. Rates Year 3'!$B$13:$K$314,10,FALSE)</f>
        <v>22</v>
      </c>
      <c r="K117" s="181">
        <f t="shared" ref="K117" si="34">(H117+I117)*J117</f>
        <v>22</v>
      </c>
    </row>
    <row r="118" spans="1:11" ht="15" customHeight="1">
      <c r="A118" s="43"/>
      <c r="B118" s="49" t="str">
        <f>VLOOKUP($C$29:$C$173,Equipment!$A$1:$B$2322,2,FALSE)</f>
        <v>Skid Sloop</v>
      </c>
      <c r="C118" s="24" t="s">
        <v>2744</v>
      </c>
      <c r="D118" s="24"/>
      <c r="E118" s="24"/>
      <c r="F118" s="24"/>
      <c r="G118" s="24"/>
      <c r="H118" s="36">
        <v>1</v>
      </c>
      <c r="I118" s="184"/>
      <c r="J118" s="42">
        <f>VLOOKUP($B$29:$B$173,'Alberta Equip. Rates Year 3'!$B$13:$K$314,10,FALSE)</f>
        <v>22</v>
      </c>
      <c r="K118" s="181">
        <f t="shared" ref="K118" si="35">(H118+I118)*J118</f>
        <v>22</v>
      </c>
    </row>
    <row r="119" spans="1:11" ht="15" customHeight="1">
      <c r="A119" s="43"/>
      <c r="B119" s="49" t="str">
        <f>VLOOKUP($C$29:$C$173,Equipment!$A$1:$B$2322,2,FALSE)</f>
        <v>Skid Sloop</v>
      </c>
      <c r="C119" s="24" t="s">
        <v>2745</v>
      </c>
      <c r="D119" s="24"/>
      <c r="E119" s="24"/>
      <c r="F119" s="24"/>
      <c r="G119" s="24"/>
      <c r="H119" s="36">
        <v>1</v>
      </c>
      <c r="I119" s="184"/>
      <c r="J119" s="42">
        <f>VLOOKUP($B$29:$B$173,'Alberta Equip. Rates Year 3'!$B$13:$K$314,10,FALSE)</f>
        <v>22</v>
      </c>
      <c r="K119" s="181">
        <f t="shared" ref="K119" si="36">(H119+I119)*J119</f>
        <v>22</v>
      </c>
    </row>
    <row r="120" spans="1:11" ht="15" customHeight="1">
      <c r="A120" s="43"/>
      <c r="B120" s="49" t="str">
        <f>VLOOKUP($C$29:$C$173,Equipment!$A$1:$B$2322,2,FALSE)</f>
        <v>Skid Sloop</v>
      </c>
      <c r="C120" s="24" t="s">
        <v>2029</v>
      </c>
      <c r="D120" s="24"/>
      <c r="E120" s="24"/>
      <c r="F120" s="24"/>
      <c r="G120" s="24"/>
      <c r="H120" s="36">
        <v>1</v>
      </c>
      <c r="I120" s="184"/>
      <c r="J120" s="42">
        <f>VLOOKUP($B$29:$B$173,'Alberta Equip. Rates Year 3'!$B$13:$K$314,10,FALSE)</f>
        <v>22</v>
      </c>
      <c r="K120" s="181">
        <f t="shared" si="23"/>
        <v>22</v>
      </c>
    </row>
    <row r="121" spans="1:11" ht="15" customHeight="1">
      <c r="A121" s="43"/>
      <c r="B121" s="49" t="str">
        <f>VLOOKUP($C$29:$C$173,Equipment!$A$1:$B$2322,2,FALSE)</f>
        <v>Skid Sloop</v>
      </c>
      <c r="C121" s="24" t="s">
        <v>2030</v>
      </c>
      <c r="D121" s="24"/>
      <c r="E121" s="24"/>
      <c r="F121" s="24"/>
      <c r="G121" s="24"/>
      <c r="H121" s="36">
        <v>1</v>
      </c>
      <c r="I121" s="184"/>
      <c r="J121" s="42">
        <f>VLOOKUP($B$29:$B$173,'Alberta Equip. Rates Year 3'!$B$13:$K$314,10,FALSE)</f>
        <v>22</v>
      </c>
      <c r="K121" s="181">
        <f t="shared" si="23"/>
        <v>22</v>
      </c>
    </row>
    <row r="122" spans="1:11" ht="15" customHeight="1">
      <c r="A122" s="43"/>
      <c r="B122" s="49" t="str">
        <f>VLOOKUP($C$29:$C$173,Equipment!$A$1:$B$2322,2,FALSE)</f>
        <v>Skid Sloop</v>
      </c>
      <c r="C122" s="24" t="s">
        <v>2031</v>
      </c>
      <c r="D122" s="24"/>
      <c r="E122" s="24"/>
      <c r="F122" s="24"/>
      <c r="G122" s="24"/>
      <c r="H122" s="36">
        <v>1</v>
      </c>
      <c r="I122" s="184"/>
      <c r="J122" s="42">
        <f>VLOOKUP($B$29:$B$173,'Alberta Equip. Rates Year 3'!$B$13:$K$314,10,FALSE)</f>
        <v>22</v>
      </c>
      <c r="K122" s="181">
        <f t="shared" ref="K122:K123" si="37">(H122+I122)*J122</f>
        <v>22</v>
      </c>
    </row>
    <row r="123" spans="1:11" ht="15" customHeight="1">
      <c r="A123" s="43"/>
      <c r="B123" s="49" t="str">
        <f>VLOOKUP($C$29:$C$173,Equipment!$A$1:$B$2322,2,FALSE)</f>
        <v>Skid Sloop</v>
      </c>
      <c r="C123" s="24" t="s">
        <v>2032</v>
      </c>
      <c r="D123" s="24"/>
      <c r="E123" s="24"/>
      <c r="F123" s="24"/>
      <c r="G123" s="24"/>
      <c r="H123" s="36">
        <v>1</v>
      </c>
      <c r="I123" s="184"/>
      <c r="J123" s="42">
        <f>VLOOKUP($B$29:$B$173,'Alberta Equip. Rates Year 3'!$B$13:$K$314,10,FALSE)</f>
        <v>22</v>
      </c>
      <c r="K123" s="181">
        <f t="shared" si="37"/>
        <v>22</v>
      </c>
    </row>
    <row r="124" spans="1:11" ht="15" customHeight="1">
      <c r="A124" s="43"/>
      <c r="B124" s="49" t="str">
        <f>VLOOKUP($C$29:$C$173,Equipment!$A$1:$B$2322,2,FALSE)</f>
        <v>Skid Sloop</v>
      </c>
      <c r="C124" s="24" t="s">
        <v>2033</v>
      </c>
      <c r="D124" s="24"/>
      <c r="E124" s="24"/>
      <c r="F124" s="24"/>
      <c r="G124" s="24"/>
      <c r="H124" s="36">
        <v>1</v>
      </c>
      <c r="I124" s="184"/>
      <c r="J124" s="42">
        <f>VLOOKUP($B$29:$B$173,'Alberta Equip. Rates Year 3'!$B$13:$K$314,10,FALSE)</f>
        <v>22</v>
      </c>
      <c r="K124" s="181">
        <f t="shared" si="23"/>
        <v>22</v>
      </c>
    </row>
    <row r="125" spans="1:11" ht="15" customHeight="1">
      <c r="A125" s="43"/>
      <c r="B125" s="49" t="str">
        <f>VLOOKUP($C$29:$C$173,Equipment!$A$1:$B$2322,2,FALSE)</f>
        <v>Skid Sloop</v>
      </c>
      <c r="C125" s="24" t="s">
        <v>2034</v>
      </c>
      <c r="D125" s="24"/>
      <c r="E125" s="24"/>
      <c r="F125" s="24"/>
      <c r="G125" s="24"/>
      <c r="H125" s="36">
        <v>1</v>
      </c>
      <c r="I125" s="184"/>
      <c r="J125" s="42">
        <f>VLOOKUP($B$29:$B$173,'Alberta Equip. Rates Year 3'!$B$13:$K$314,10,FALSE)</f>
        <v>22</v>
      </c>
      <c r="K125" s="181">
        <f t="shared" si="23"/>
        <v>22</v>
      </c>
    </row>
    <row r="126" spans="1:11" ht="15" customHeight="1">
      <c r="A126" s="43"/>
      <c r="B126" s="49" t="str">
        <f>VLOOKUP($C$29:$C$173,Equipment!$A$1:$B$2322,2,FALSE)</f>
        <v>Skid Sloop</v>
      </c>
      <c r="C126" s="24" t="s">
        <v>2035</v>
      </c>
      <c r="D126" s="24"/>
      <c r="E126" s="24"/>
      <c r="F126" s="24"/>
      <c r="G126" s="24"/>
      <c r="H126" s="36">
        <v>1</v>
      </c>
      <c r="I126" s="184"/>
      <c r="J126" s="42">
        <f>VLOOKUP($B$29:$B$173,'Alberta Equip. Rates Year 3'!$B$13:$K$314,10,FALSE)</f>
        <v>22</v>
      </c>
      <c r="K126" s="181">
        <f t="shared" si="23"/>
        <v>22</v>
      </c>
    </row>
    <row r="127" spans="1:11" ht="15" customHeight="1">
      <c r="A127" s="43"/>
      <c r="B127" s="49" t="str">
        <f>VLOOKUP($C$29:$C$173,Equipment!$A$1:$B$2322,2,FALSE)</f>
        <v>Skid Sloop</v>
      </c>
      <c r="C127" s="24" t="s">
        <v>2036</v>
      </c>
      <c r="D127" s="24"/>
      <c r="E127" s="24"/>
      <c r="F127" s="24"/>
      <c r="G127" s="24"/>
      <c r="H127" s="36">
        <v>1</v>
      </c>
      <c r="I127" s="184"/>
      <c r="J127" s="42">
        <f>VLOOKUP($B$29:$B$173,'Alberta Equip. Rates Year 3'!$B$13:$K$314,10,FALSE)</f>
        <v>22</v>
      </c>
      <c r="K127" s="181">
        <f t="shared" si="23"/>
        <v>22</v>
      </c>
    </row>
    <row r="128" spans="1:11" ht="15" customHeight="1">
      <c r="A128" s="43"/>
      <c r="B128" s="49" t="str">
        <f>VLOOKUP($C$29:$C$173,Equipment!$A$1:$B$2322,2,FALSE)</f>
        <v>Sled</v>
      </c>
      <c r="C128" s="24" t="s">
        <v>2746</v>
      </c>
      <c r="D128" s="24"/>
      <c r="E128" s="24"/>
      <c r="F128" s="24"/>
      <c r="G128" s="24"/>
      <c r="H128" s="36">
        <v>1</v>
      </c>
      <c r="I128" s="184"/>
      <c r="J128" s="42">
        <f>VLOOKUP($B$29:$B$173,'Alberta Equip. Rates Year 3'!$B$13:$K$314,10,FALSE)</f>
        <v>22</v>
      </c>
      <c r="K128" s="181">
        <f t="shared" si="23"/>
        <v>22</v>
      </c>
    </row>
    <row r="129" spans="1:11" ht="15" customHeight="1">
      <c r="A129" s="43"/>
      <c r="B129" s="49" t="str">
        <f>VLOOKUP($C$29:$C$173,Equipment!$A$1:$B$2322,2,FALSE)</f>
        <v>Sled</v>
      </c>
      <c r="C129" s="24" t="s">
        <v>2748</v>
      </c>
      <c r="D129" s="24"/>
      <c r="E129" s="24"/>
      <c r="F129" s="24"/>
      <c r="G129" s="24"/>
      <c r="H129" s="36">
        <v>1</v>
      </c>
      <c r="I129" s="184"/>
      <c r="J129" s="42">
        <f>VLOOKUP($B$29:$B$173,'Alberta Equip. Rates Year 3'!$B$13:$K$314,10,FALSE)</f>
        <v>22</v>
      </c>
      <c r="K129" s="181">
        <f t="shared" si="23"/>
        <v>22</v>
      </c>
    </row>
    <row r="130" spans="1:11" ht="15" customHeight="1">
      <c r="A130" s="43"/>
      <c r="B130" s="49" t="str">
        <f>VLOOKUP($C$29:$C$173,Equipment!$A$1:$B$2322,2,FALSE)</f>
        <v>Sled</v>
      </c>
      <c r="C130" s="24" t="s">
        <v>2749</v>
      </c>
      <c r="D130" s="24"/>
      <c r="E130" s="24"/>
      <c r="F130" s="24"/>
      <c r="G130" s="24"/>
      <c r="H130" s="36">
        <v>1</v>
      </c>
      <c r="I130" s="184"/>
      <c r="J130" s="42">
        <f>VLOOKUP($B$29:$B$173,'Alberta Equip. Rates Year 3'!$B$13:$K$314,10,FALSE)</f>
        <v>22</v>
      </c>
      <c r="K130" s="181">
        <f t="shared" si="23"/>
        <v>22</v>
      </c>
    </row>
    <row r="131" spans="1:11" ht="15" customHeight="1">
      <c r="A131" s="43"/>
      <c r="B131" s="49" t="str">
        <f>VLOOKUP($C$29:$C$173,Equipment!$A$1:$B$2322,2,FALSE)</f>
        <v>Sled</v>
      </c>
      <c r="C131" s="24" t="s">
        <v>2747</v>
      </c>
      <c r="D131" s="24"/>
      <c r="E131" s="24"/>
      <c r="F131" s="24"/>
      <c r="G131" s="24"/>
      <c r="H131" s="36">
        <v>1</v>
      </c>
      <c r="I131" s="184"/>
      <c r="J131" s="42">
        <f>VLOOKUP($B$29:$B$173,'Alberta Equip. Rates Year 3'!$B$13:$K$314,10,FALSE)</f>
        <v>22</v>
      </c>
      <c r="K131" s="181">
        <f t="shared" si="23"/>
        <v>22</v>
      </c>
    </row>
    <row r="132" spans="1:11" ht="15" customHeight="1">
      <c r="A132" s="43"/>
      <c r="B132" s="49" t="str">
        <f>VLOOKUP($C$29:$C$173,Equipment!$A$1:$B$2322,2,FALSE)</f>
        <v>Sled</v>
      </c>
      <c r="C132" s="24" t="s">
        <v>2750</v>
      </c>
      <c r="D132" s="24"/>
      <c r="E132" s="24"/>
      <c r="F132" s="24"/>
      <c r="G132" s="24"/>
      <c r="H132" s="36">
        <v>1</v>
      </c>
      <c r="I132" s="184"/>
      <c r="J132" s="42">
        <f>VLOOKUP($B$29:$B$173,'Alberta Equip. Rates Year 3'!$B$13:$K$314,10,FALSE)</f>
        <v>22</v>
      </c>
      <c r="K132" s="181">
        <f t="shared" si="23"/>
        <v>22</v>
      </c>
    </row>
    <row r="133" spans="1:11" ht="15" customHeight="1">
      <c r="A133" s="43"/>
      <c r="B133" s="49" t="str">
        <f>VLOOKUP($C$29:$C$173,Equipment!$A$1:$B$2322,2,FALSE)</f>
        <v>Sled</v>
      </c>
      <c r="C133" s="24" t="s">
        <v>2751</v>
      </c>
      <c r="D133" s="24"/>
      <c r="E133" s="24"/>
      <c r="F133" s="24"/>
      <c r="G133" s="24"/>
      <c r="H133" s="36">
        <v>1</v>
      </c>
      <c r="I133" s="184"/>
      <c r="J133" s="42">
        <f>VLOOKUP($B$29:$B$173,'Alberta Equip. Rates Year 3'!$B$13:$K$314,10,FALSE)</f>
        <v>22</v>
      </c>
      <c r="K133" s="181">
        <f t="shared" ref="K133:K137" si="38">(H133+I133)*J133</f>
        <v>22</v>
      </c>
    </row>
    <row r="134" spans="1:11" ht="15" customHeight="1">
      <c r="A134" s="43"/>
      <c r="B134" s="49" t="str">
        <f>VLOOKUP($C$29:$C$173,Equipment!$A$1:$B$2322,2,FALSE)</f>
        <v>Sled</v>
      </c>
      <c r="C134" s="24" t="s">
        <v>2752</v>
      </c>
      <c r="D134" s="24"/>
      <c r="E134" s="24"/>
      <c r="F134" s="24"/>
      <c r="G134" s="24"/>
      <c r="H134" s="36">
        <v>1</v>
      </c>
      <c r="I134" s="184"/>
      <c r="J134" s="42">
        <f>VLOOKUP($B$29:$B$173,'Alberta Equip. Rates Year 3'!$B$13:$K$314,10,FALSE)</f>
        <v>22</v>
      </c>
      <c r="K134" s="181">
        <f t="shared" si="38"/>
        <v>22</v>
      </c>
    </row>
    <row r="135" spans="1:11" ht="15" customHeight="1">
      <c r="A135" s="43"/>
      <c r="B135" s="49" t="str">
        <f>VLOOKUP($C$29:$C$173,Equipment!$A$1:$B$2322,2,FALSE)</f>
        <v>Sled</v>
      </c>
      <c r="C135" s="24" t="s">
        <v>2753</v>
      </c>
      <c r="D135" s="24"/>
      <c r="E135" s="24"/>
      <c r="F135" s="24"/>
      <c r="G135" s="24"/>
      <c r="H135" s="36">
        <v>1</v>
      </c>
      <c r="I135" s="184"/>
      <c r="J135" s="42">
        <f>VLOOKUP($B$29:$B$173,'Alberta Equip. Rates Year 3'!$B$13:$K$314,10,FALSE)</f>
        <v>22</v>
      </c>
      <c r="K135" s="181">
        <f t="shared" si="38"/>
        <v>22</v>
      </c>
    </row>
    <row r="136" spans="1:11" ht="15" customHeight="1">
      <c r="A136" s="43"/>
      <c r="B136" s="49" t="str">
        <f>VLOOKUP($C$29:$C$173,Equipment!$A$1:$B$2322,2,FALSE)</f>
        <v>Sled</v>
      </c>
      <c r="C136" s="24" t="s">
        <v>2754</v>
      </c>
      <c r="D136" s="24"/>
      <c r="E136" s="24"/>
      <c r="F136" s="24"/>
      <c r="G136" s="24"/>
      <c r="H136" s="36">
        <v>1</v>
      </c>
      <c r="I136" s="184"/>
      <c r="J136" s="42">
        <f>VLOOKUP($B$29:$B$173,'Alberta Equip. Rates Year 3'!$B$13:$K$314,10,FALSE)</f>
        <v>22</v>
      </c>
      <c r="K136" s="181">
        <f t="shared" si="38"/>
        <v>22</v>
      </c>
    </row>
    <row r="137" spans="1:11" ht="15" customHeight="1">
      <c r="A137" s="43"/>
      <c r="B137" s="49" t="str">
        <f>VLOOKUP($C$29:$C$173,Equipment!$A$1:$B$2322,2,FALSE)</f>
        <v>Sled</v>
      </c>
      <c r="C137" s="24" t="s">
        <v>2755</v>
      </c>
      <c r="D137" s="24"/>
      <c r="E137" s="24"/>
      <c r="F137" s="24"/>
      <c r="G137" s="24"/>
      <c r="H137" s="36">
        <v>1</v>
      </c>
      <c r="I137" s="184"/>
      <c r="J137" s="42">
        <f>VLOOKUP($B$29:$B$173,'Alberta Equip. Rates Year 3'!$B$13:$K$314,10,FALSE)</f>
        <v>22</v>
      </c>
      <c r="K137" s="181">
        <f t="shared" si="38"/>
        <v>22</v>
      </c>
    </row>
    <row r="138" spans="1:11" ht="15" customHeight="1">
      <c r="A138" s="43"/>
      <c r="B138" s="49" t="str">
        <f>VLOOKUP($C$29:$C$173,Equipment!$A$1:$B$2322,2,FALSE)</f>
        <v>Sled</v>
      </c>
      <c r="C138" s="24" t="s">
        <v>2756</v>
      </c>
      <c r="D138" s="24"/>
      <c r="E138" s="24"/>
      <c r="F138" s="24"/>
      <c r="G138" s="24"/>
      <c r="H138" s="36">
        <v>1</v>
      </c>
      <c r="I138" s="184"/>
      <c r="J138" s="42">
        <f>VLOOKUP($B$29:$B$173,'Alberta Equip. Rates Year 3'!$B$13:$K$314,10,FALSE)</f>
        <v>22</v>
      </c>
      <c r="K138" s="181">
        <f t="shared" si="23"/>
        <v>22</v>
      </c>
    </row>
    <row r="139" spans="1:11" ht="15" customHeight="1">
      <c r="A139" s="43"/>
      <c r="B139" s="49" t="str">
        <f>VLOOKUP($C$29:$C$173,Equipment!$A$1:$B$2322,2,FALSE)</f>
        <v>Sled</v>
      </c>
      <c r="C139" s="24" t="s">
        <v>2757</v>
      </c>
      <c r="D139" s="24"/>
      <c r="E139" s="24"/>
      <c r="F139" s="24"/>
      <c r="G139" s="24"/>
      <c r="H139" s="36">
        <v>1</v>
      </c>
      <c r="I139" s="184"/>
      <c r="J139" s="42">
        <f>VLOOKUP($B$29:$B$173,'Alberta Equip. Rates Year 3'!$B$13:$K$314,10,FALSE)</f>
        <v>22</v>
      </c>
      <c r="K139" s="181">
        <f t="shared" si="23"/>
        <v>22</v>
      </c>
    </row>
    <row r="140" spans="1:11" ht="15" customHeight="1">
      <c r="A140" s="43"/>
      <c r="B140" s="49" t="str">
        <f>VLOOKUP($C$29:$C$173,Equipment!$A$1:$B$2322,2,FALSE)</f>
        <v>Snow Making Equipment, Sled, Snow Guns, Compressor, Generator Pumps</v>
      </c>
      <c r="C140" s="24" t="s">
        <v>4070</v>
      </c>
      <c r="D140" s="24"/>
      <c r="E140" s="24"/>
      <c r="F140" s="24"/>
      <c r="G140" s="24"/>
      <c r="H140" s="36">
        <v>1</v>
      </c>
      <c r="I140" s="184"/>
      <c r="J140" s="42">
        <f>VLOOKUP($B$29:$B$173,'Alberta Equip. Rates Year 3'!$B$13:$K$314,10,FALSE)</f>
        <v>617.33000000000004</v>
      </c>
      <c r="K140" s="181">
        <f t="shared" si="9"/>
        <v>617.33000000000004</v>
      </c>
    </row>
    <row r="141" spans="1:11" ht="15" customHeight="1">
      <c r="A141" s="43"/>
      <c r="B141" s="49" t="str">
        <f>VLOOKUP($C$29:$C$173,Equipment!$A$1:$B$2322,2,FALSE)</f>
        <v>Solar Road Sign Boards</v>
      </c>
      <c r="C141" s="24" t="s">
        <v>3986</v>
      </c>
      <c r="D141" s="24"/>
      <c r="E141" s="24"/>
      <c r="F141" s="24"/>
      <c r="G141" s="24"/>
      <c r="H141" s="36">
        <v>1</v>
      </c>
      <c r="I141" s="184"/>
      <c r="J141" s="42">
        <f>VLOOKUP($B$29:$B$173,'Alberta Equip. Rates Year 3'!$B$13:$K$314,10,FALSE)</f>
        <v>140.76</v>
      </c>
      <c r="K141" s="181">
        <f t="shared" si="9"/>
        <v>140.76</v>
      </c>
    </row>
    <row r="142" spans="1:11" ht="15" customHeight="1">
      <c r="A142" s="43"/>
      <c r="B142" s="49" t="str">
        <f>VLOOKUP($C$29:$C$173,Equipment!$A$1:$B$2322,2,FALSE)</f>
        <v>Tag-A-Long Trailer (Utility)</v>
      </c>
      <c r="C142" s="24" t="s">
        <v>4039</v>
      </c>
      <c r="D142" s="24"/>
      <c r="E142" s="24"/>
      <c r="F142" s="24"/>
      <c r="G142" s="24"/>
      <c r="H142" s="36">
        <v>1</v>
      </c>
      <c r="I142" s="184"/>
      <c r="J142" s="42">
        <f>VLOOKUP($B$29:$B$173,'Alberta Equip. Rates Year 3'!$B$13:$K$314,10,FALSE)</f>
        <v>64</v>
      </c>
      <c r="K142" s="181">
        <f t="shared" ref="K142:K154" si="39">(H142+I142)*J142</f>
        <v>64</v>
      </c>
    </row>
    <row r="143" spans="1:11" ht="15" customHeight="1">
      <c r="A143" s="43"/>
      <c r="B143" s="49" t="str">
        <f>VLOOKUP($C$29:$C$173,Equipment!$A$1:$B$2322,2,FALSE)</f>
        <v>Tag-A-Long Trailer (Utility)</v>
      </c>
      <c r="C143" s="24" t="s">
        <v>2584</v>
      </c>
      <c r="D143" s="24"/>
      <c r="E143" s="24"/>
      <c r="F143" s="24"/>
      <c r="G143" s="24"/>
      <c r="H143" s="36">
        <v>1</v>
      </c>
      <c r="I143" s="184"/>
      <c r="J143" s="42">
        <f>VLOOKUP($B$29:$B$173,'Alberta Equip. Rates Year 3'!$B$13:$K$314,10,FALSE)</f>
        <v>64</v>
      </c>
      <c r="K143" s="181">
        <f>(H143+I143)*J143</f>
        <v>64</v>
      </c>
    </row>
    <row r="144" spans="1:11" ht="15" customHeight="1">
      <c r="A144" s="43"/>
      <c r="B144" s="49" t="str">
        <f>VLOOKUP($C$29:$C$173,Equipment!$A$1:$B$2322,2,FALSE)</f>
        <v>Tag-A-Long Trailer (Utility)</v>
      </c>
      <c r="C144" s="24" t="s">
        <v>2435</v>
      </c>
      <c r="D144" s="24"/>
      <c r="E144" s="24"/>
      <c r="F144" s="24"/>
      <c r="G144" s="24"/>
      <c r="H144" s="36">
        <v>1</v>
      </c>
      <c r="I144" s="184"/>
      <c r="J144" s="42">
        <f>VLOOKUP($B$29:$B$173,'Alberta Equip. Rates Year 3'!$B$13:$K$314,10,FALSE)</f>
        <v>64</v>
      </c>
      <c r="K144" s="181">
        <f>(H144+I144)*J144</f>
        <v>64</v>
      </c>
    </row>
    <row r="145" spans="1:11" ht="15" customHeight="1">
      <c r="A145" s="43"/>
      <c r="B145" s="49" t="str">
        <f>VLOOKUP($C$29:$C$173,Equipment!$A$1:$B$2322,2,FALSE)</f>
        <v>Tag-A-Long Trailer (Utility)</v>
      </c>
      <c r="C145" s="24" t="s">
        <v>2954</v>
      </c>
      <c r="D145" s="24"/>
      <c r="E145" s="24"/>
      <c r="F145" s="24"/>
      <c r="G145" s="24"/>
      <c r="H145" s="36">
        <v>1</v>
      </c>
      <c r="I145" s="184"/>
      <c r="J145" s="42">
        <f>VLOOKUP($B$29:$B$173,'Alberta Equip. Rates Year 3'!$B$13:$K$314,10,FALSE)</f>
        <v>64</v>
      </c>
      <c r="K145" s="181">
        <f t="shared" ref="K145:K148" si="40">(H145+I145)*J145</f>
        <v>64</v>
      </c>
    </row>
    <row r="146" spans="1:11" ht="15" customHeight="1">
      <c r="A146" s="43"/>
      <c r="B146" s="49" t="str">
        <f>VLOOKUP($C$29:$C$173,Equipment!$A$1:$B$2322,2,FALSE)</f>
        <v>Tag-A-Long Trailer (Utility)</v>
      </c>
      <c r="C146" s="24" t="s">
        <v>2955</v>
      </c>
      <c r="D146" s="24"/>
      <c r="E146" s="24"/>
      <c r="F146" s="24"/>
      <c r="G146" s="24"/>
      <c r="H146" s="36">
        <v>1</v>
      </c>
      <c r="I146" s="184"/>
      <c r="J146" s="42">
        <f>VLOOKUP($B$29:$B$173,'Alberta Equip. Rates Year 3'!$B$13:$K$314,10,FALSE)</f>
        <v>64</v>
      </c>
      <c r="K146" s="181">
        <f t="shared" si="40"/>
        <v>64</v>
      </c>
    </row>
    <row r="147" spans="1:11" ht="15" customHeight="1">
      <c r="A147" s="43"/>
      <c r="B147" s="49" t="str">
        <f>VLOOKUP($C$29:$C$173,Equipment!$A$1:$B$2322,2,FALSE)</f>
        <v>Tag-A-Long Trailer (Utility)</v>
      </c>
      <c r="C147" s="24" t="s">
        <v>2866</v>
      </c>
      <c r="D147" s="24"/>
      <c r="E147" s="24"/>
      <c r="F147" s="24"/>
      <c r="G147" s="24"/>
      <c r="H147" s="36">
        <v>1</v>
      </c>
      <c r="I147" s="184"/>
      <c r="J147" s="42">
        <f>VLOOKUP($B$29:$B$173,'Alberta Equip. Rates Year 3'!$B$13:$K$314,10,FALSE)</f>
        <v>64</v>
      </c>
      <c r="K147" s="181">
        <f t="shared" si="40"/>
        <v>64</v>
      </c>
    </row>
    <row r="148" spans="1:11" ht="15" customHeight="1">
      <c r="A148" s="43"/>
      <c r="B148" s="49" t="str">
        <f>VLOOKUP($C$29:$C$173,Equipment!$A$1:$B$2322,2,FALSE)</f>
        <v>Tag-A-Long Trailer (Utility)</v>
      </c>
      <c r="C148" s="24" t="s">
        <v>2867</v>
      </c>
      <c r="D148" s="24"/>
      <c r="E148" s="24"/>
      <c r="F148" s="24"/>
      <c r="G148" s="24"/>
      <c r="H148" s="36">
        <v>1</v>
      </c>
      <c r="I148" s="184"/>
      <c r="J148" s="42">
        <f>VLOOKUP($B$29:$B$173,'Alberta Equip. Rates Year 3'!$B$13:$K$314,10,FALSE)</f>
        <v>64</v>
      </c>
      <c r="K148" s="181">
        <f t="shared" si="40"/>
        <v>64</v>
      </c>
    </row>
    <row r="149" spans="1:11" ht="15" customHeight="1">
      <c r="A149" s="43"/>
      <c r="B149" s="49" t="str">
        <f>VLOOKUP($C$29:$C$173,Equipment!$A$1:$B$2322,2,FALSE)</f>
        <v>Tag-A-Long Trailer (Utility)</v>
      </c>
      <c r="C149" s="24" t="s">
        <v>2868</v>
      </c>
      <c r="D149" s="24"/>
      <c r="E149" s="24"/>
      <c r="F149" s="24"/>
      <c r="G149" s="24"/>
      <c r="H149" s="36">
        <v>1</v>
      </c>
      <c r="I149" s="184"/>
      <c r="J149" s="42">
        <f>VLOOKUP($B$29:$B$173,'Alberta Equip. Rates Year 3'!$B$13:$K$314,10,FALSE)</f>
        <v>64</v>
      </c>
      <c r="K149" s="181">
        <f t="shared" si="39"/>
        <v>64</v>
      </c>
    </row>
    <row r="150" spans="1:11" ht="15" customHeight="1">
      <c r="A150" s="43"/>
      <c r="B150" s="49" t="str">
        <f>VLOOKUP($C$29:$C$173,Equipment!$A$1:$B$2322,2,FALSE)</f>
        <v>Tag-A-Long Trailer (6 Ton)</v>
      </c>
      <c r="C150" s="24" t="s">
        <v>2453</v>
      </c>
      <c r="D150" s="24"/>
      <c r="E150" s="24"/>
      <c r="F150" s="24"/>
      <c r="G150" s="24"/>
      <c r="H150" s="36">
        <v>1</v>
      </c>
      <c r="I150" s="184"/>
      <c r="J150" s="42">
        <f>VLOOKUP($B$29:$B$173,'Alberta Equip. Rates Year 3'!$B$13:$K$314,10,FALSE)</f>
        <v>96</v>
      </c>
      <c r="K150" s="181">
        <f t="shared" si="39"/>
        <v>96</v>
      </c>
    </row>
    <row r="151" spans="1:11" ht="15" customHeight="1">
      <c r="A151" s="43"/>
      <c r="B151" s="49" t="str">
        <f>VLOOKUP($C$29:$C$173,Equipment!$A$1:$B$2322,2,FALSE)</f>
        <v>Tag-A-Long Trailer (6 Ton)</v>
      </c>
      <c r="C151" s="24" t="s">
        <v>2531</v>
      </c>
      <c r="D151" s="24"/>
      <c r="E151" s="24"/>
      <c r="F151" s="24"/>
      <c r="G151" s="24"/>
      <c r="H151" s="36">
        <v>1</v>
      </c>
      <c r="I151" s="184"/>
      <c r="J151" s="42">
        <f>VLOOKUP($B$29:$B$173,'Alberta Equip. Rates Year 3'!$B$13:$K$314,10,FALSE)</f>
        <v>96</v>
      </c>
      <c r="K151" s="181">
        <f t="shared" si="39"/>
        <v>96</v>
      </c>
    </row>
    <row r="152" spans="1:11" ht="15" customHeight="1">
      <c r="A152" s="43"/>
      <c r="B152" s="49" t="str">
        <f>VLOOKUP($C$29:$C$173,Equipment!$A$1:$B$2322,2,FALSE)</f>
        <v>Tag-A-Long Trailer (6 Ton)</v>
      </c>
      <c r="C152" s="24" t="s">
        <v>2060</v>
      </c>
      <c r="D152" s="24"/>
      <c r="E152" s="24"/>
      <c r="F152" s="24"/>
      <c r="G152" s="24"/>
      <c r="H152" s="36">
        <v>1</v>
      </c>
      <c r="I152" s="184"/>
      <c r="J152" s="42">
        <f>VLOOKUP($B$29:$B$173,'Alberta Equip. Rates Year 3'!$B$13:$K$314,10,FALSE)</f>
        <v>96</v>
      </c>
      <c r="K152" s="181">
        <f t="shared" si="39"/>
        <v>96</v>
      </c>
    </row>
    <row r="153" spans="1:11" ht="15" customHeight="1">
      <c r="A153" s="43"/>
      <c r="B153" s="49" t="str">
        <f>VLOOKUP($C$29:$C$173,Equipment!$A$1:$B$2322,2,FALSE)</f>
        <v>Tag-A-Long Trailer (6 Ton)</v>
      </c>
      <c r="C153" s="24" t="s">
        <v>3388</v>
      </c>
      <c r="D153" s="24"/>
      <c r="E153" s="24"/>
      <c r="F153" s="24"/>
      <c r="G153" s="24"/>
      <c r="H153" s="36">
        <v>1</v>
      </c>
      <c r="I153" s="184"/>
      <c r="J153" s="42">
        <f>VLOOKUP($B$29:$B$173,'Alberta Equip. Rates Year 3'!$B$13:$K$314,10,FALSE)</f>
        <v>96</v>
      </c>
      <c r="K153" s="181">
        <f t="shared" si="39"/>
        <v>96</v>
      </c>
    </row>
    <row r="154" spans="1:11" ht="15" customHeight="1">
      <c r="A154" s="43"/>
      <c r="B154" s="49" t="str">
        <f>VLOOKUP($C$29:$C$173,Equipment!$A$1:$B$2322,2,FALSE)</f>
        <v>Tag-A-Long Trailer (6 Ton)</v>
      </c>
      <c r="C154" s="24" t="s">
        <v>2583</v>
      </c>
      <c r="D154" s="24"/>
      <c r="E154" s="24"/>
      <c r="F154" s="24"/>
      <c r="G154" s="24"/>
      <c r="H154" s="36">
        <v>1</v>
      </c>
      <c r="I154" s="184"/>
      <c r="J154" s="42">
        <f>VLOOKUP($B$29:$B$173,'Alberta Equip. Rates Year 3'!$B$13:$K$314,10,FALSE)</f>
        <v>96</v>
      </c>
      <c r="K154" s="181">
        <f t="shared" si="39"/>
        <v>96</v>
      </c>
    </row>
    <row r="155" spans="1:11" ht="15" customHeight="1">
      <c r="A155" s="43"/>
      <c r="B155" s="49">
        <f>VLOOKUP($C$29:$C$173,Equipment!$A$1:$B$2322,2,FALSE)</f>
        <v>0</v>
      </c>
      <c r="C155" s="24"/>
      <c r="D155" s="24" t="s">
        <v>3981</v>
      </c>
      <c r="E155" s="24"/>
      <c r="F155" s="24"/>
      <c r="G155" s="24"/>
      <c r="H155" s="36">
        <v>1</v>
      </c>
      <c r="I155" s="184"/>
      <c r="J155" s="42">
        <f>VLOOKUP($B$29:$B$173,'Alberta Equip. Rates Year 3'!$B$13:$K$314,10,FALSE)</f>
        <v>0</v>
      </c>
      <c r="K155" s="181">
        <f t="shared" si="9"/>
        <v>0</v>
      </c>
    </row>
    <row r="156" spans="1:11" ht="15" customHeight="1">
      <c r="A156" s="43"/>
      <c r="B156" s="49">
        <f>VLOOKUP($C$29:$C$173,Equipment!$A$1:$B$2322,2,FALSE)</f>
        <v>0</v>
      </c>
      <c r="C156" s="24"/>
      <c r="D156" s="24" t="s">
        <v>3982</v>
      </c>
      <c r="E156" s="24"/>
      <c r="F156" s="24"/>
      <c r="G156" s="24"/>
      <c r="H156" s="36">
        <v>1</v>
      </c>
      <c r="I156" s="184"/>
      <c r="J156" s="42">
        <f>VLOOKUP($B$29:$B$173,'Alberta Equip. Rates Year 3'!$B$13:$K$314,10,FALSE)</f>
        <v>0</v>
      </c>
      <c r="K156" s="181">
        <f t="shared" ref="K156" si="41">(H156+I156)*J156</f>
        <v>0</v>
      </c>
    </row>
    <row r="157" spans="1:11" ht="15" customHeight="1">
      <c r="A157" s="43"/>
      <c r="B157" s="49">
        <f>VLOOKUP($C$29:$C$173,Equipment!$A$1:$B$2322,2,FALSE)</f>
        <v>0</v>
      </c>
      <c r="C157" s="24"/>
      <c r="D157" s="24" t="s">
        <v>3983</v>
      </c>
      <c r="E157" s="24"/>
      <c r="F157" s="24"/>
      <c r="G157" s="24"/>
      <c r="H157" s="36">
        <v>1</v>
      </c>
      <c r="I157" s="184"/>
      <c r="J157" s="42">
        <f>VLOOKUP($B$29:$B$173,'Alberta Equip. Rates Year 3'!$B$13:$K$314,10,FALSE)</f>
        <v>0</v>
      </c>
      <c r="K157" s="181">
        <f t="shared" ref="K157" si="42">(H157+I157)*J157</f>
        <v>0</v>
      </c>
    </row>
    <row r="158" spans="1:11" ht="15" customHeight="1">
      <c r="A158" s="43"/>
      <c r="B158" s="49">
        <f>VLOOKUP($C$29:$C$173,Equipment!$A$1:$B$2322,2,FALSE)</f>
        <v>0</v>
      </c>
      <c r="C158" s="24"/>
      <c r="D158" s="24" t="s">
        <v>3984</v>
      </c>
      <c r="E158" s="24"/>
      <c r="F158" s="24"/>
      <c r="G158" s="24"/>
      <c r="H158" s="36">
        <v>1</v>
      </c>
      <c r="I158" s="20"/>
      <c r="J158" s="42">
        <f>VLOOKUP($B$29:$B$173,'Alberta Equip. Rates Year 3'!$B$13:$K$314,10,FALSE)</f>
        <v>0</v>
      </c>
      <c r="K158" s="181">
        <f t="shared" ref="K158:K171" si="43">(H158+I158)*J158</f>
        <v>0</v>
      </c>
    </row>
    <row r="159" spans="1:11" ht="15" customHeight="1">
      <c r="A159" s="43"/>
      <c r="B159" s="49">
        <f>VLOOKUP($C$29:$C$173,Equipment!$A$1:$B$2322,2,FALSE)</f>
        <v>0</v>
      </c>
      <c r="C159" s="24"/>
      <c r="D159" s="24" t="s">
        <v>3985</v>
      </c>
      <c r="E159" s="24"/>
      <c r="F159" s="24"/>
      <c r="G159" s="24"/>
      <c r="H159" s="36">
        <v>1</v>
      </c>
      <c r="I159" s="20"/>
      <c r="J159" s="42">
        <f>VLOOKUP($B$29:$B$173,'Alberta Equip. Rates Year 3'!$B$13:$K$314,10,FALSE)</f>
        <v>0</v>
      </c>
      <c r="K159" s="181">
        <f t="shared" si="43"/>
        <v>0</v>
      </c>
    </row>
    <row r="160" spans="1:11" ht="15" customHeight="1">
      <c r="A160" s="43"/>
      <c r="B160" s="49" t="str">
        <f>VLOOKUP($C$29:$C$173,Equipment!$A$1:$B$2322,2,FALSE)</f>
        <v>Water Pump - 3"</v>
      </c>
      <c r="C160" s="24" t="s">
        <v>3056</v>
      </c>
      <c r="D160" s="24"/>
      <c r="E160" s="24"/>
      <c r="F160" s="24"/>
      <c r="G160" s="24"/>
      <c r="H160" s="36">
        <v>1</v>
      </c>
      <c r="I160" s="20"/>
      <c r="J160" s="42">
        <f>VLOOKUP($B$29:$B$173,'Alberta Equip. Rates Year 3'!$B$13:$K$314,10,FALSE)</f>
        <v>75</v>
      </c>
      <c r="K160" s="181">
        <f t="shared" si="43"/>
        <v>75</v>
      </c>
    </row>
    <row r="161" spans="1:11" ht="15" customHeight="1">
      <c r="A161" s="43"/>
      <c r="B161" s="49" t="str">
        <f>VLOOKUP($C$29:$C$173,Equipment!$A$1:$B$2322,2,FALSE)</f>
        <v>Water Pump - 3"</v>
      </c>
      <c r="C161" s="24" t="s">
        <v>3057</v>
      </c>
      <c r="D161" s="24"/>
      <c r="E161" s="24"/>
      <c r="F161" s="24"/>
      <c r="G161" s="24"/>
      <c r="H161" s="36">
        <v>1</v>
      </c>
      <c r="I161" s="20"/>
      <c r="J161" s="42">
        <f>VLOOKUP($B$29:$B$173,'Alberta Equip. Rates Year 3'!$B$13:$K$314,10,FALSE)</f>
        <v>75</v>
      </c>
      <c r="K161" s="181">
        <f t="shared" si="43"/>
        <v>75</v>
      </c>
    </row>
    <row r="162" spans="1:11" ht="15" customHeight="1">
      <c r="A162" s="43"/>
      <c r="B162" s="49" t="str">
        <f>VLOOKUP($C$29:$C$173,Equipment!$A$1:$B$2322,2,FALSE)</f>
        <v>Water Pump - 3"</v>
      </c>
      <c r="C162" s="24" t="s">
        <v>2360</v>
      </c>
      <c r="D162" s="24"/>
      <c r="E162" s="24"/>
      <c r="F162" s="24"/>
      <c r="G162" s="24"/>
      <c r="H162" s="36">
        <v>1</v>
      </c>
      <c r="I162" s="20"/>
      <c r="J162" s="42">
        <f>VLOOKUP($B$29:$B$173,'Alberta Equip. Rates Year 3'!$B$13:$K$314,10,FALSE)</f>
        <v>75</v>
      </c>
      <c r="K162" s="181">
        <f t="shared" ref="K162:K163" si="44">(H162+I162)*J162</f>
        <v>75</v>
      </c>
    </row>
    <row r="163" spans="1:11" ht="15" customHeight="1">
      <c r="A163" s="43"/>
      <c r="B163" s="49" t="str">
        <f>VLOOKUP($C$29:$C$173,Equipment!$A$1:$B$2322,2,FALSE)</f>
        <v>Water Pump - 4"</v>
      </c>
      <c r="C163" s="24" t="s">
        <v>4184</v>
      </c>
      <c r="D163" s="24"/>
      <c r="E163" s="24"/>
      <c r="F163" s="24"/>
      <c r="G163" s="24"/>
      <c r="H163" s="36">
        <v>1</v>
      </c>
      <c r="I163" s="20"/>
      <c r="J163" s="42">
        <f>VLOOKUP($B$29:$B$173,'Alberta Equip. Rates Year 3'!$B$13:$K$314,10,FALSE)</f>
        <v>170</v>
      </c>
      <c r="K163" s="181">
        <f t="shared" si="44"/>
        <v>170</v>
      </c>
    </row>
    <row r="164" spans="1:11" ht="15" customHeight="1">
      <c r="A164" s="43"/>
      <c r="B164" s="49" t="str">
        <f>VLOOKUP($C$29:$C$173,Equipment!$A$1:$B$2322,2,FALSE)</f>
        <v>Water Pump - 4"</v>
      </c>
      <c r="C164" s="24" t="s">
        <v>4185</v>
      </c>
      <c r="D164" s="24"/>
      <c r="E164" s="24"/>
      <c r="F164" s="24"/>
      <c r="G164" s="24"/>
      <c r="H164" s="36">
        <v>1</v>
      </c>
      <c r="I164" s="184"/>
      <c r="J164" s="42">
        <f>VLOOKUP($B$29:$B$173,'Alberta Equip. Rates Year 3'!$B$13:$K$314,10,FALSE)</f>
        <v>170</v>
      </c>
      <c r="K164" s="181">
        <f t="shared" si="43"/>
        <v>170</v>
      </c>
    </row>
    <row r="165" spans="1:11" ht="15" customHeight="1">
      <c r="A165" s="43"/>
      <c r="B165" s="49" t="str">
        <f>VLOOKUP($C$29:$C$173,Equipment!$A$1:$B$2322,2,FALSE)</f>
        <v>Water Pump - 4"</v>
      </c>
      <c r="C165" s="24" t="s">
        <v>4186</v>
      </c>
      <c r="D165" s="24"/>
      <c r="E165" s="24"/>
      <c r="F165" s="24"/>
      <c r="G165" s="24"/>
      <c r="H165" s="36">
        <v>1</v>
      </c>
      <c r="I165" s="184"/>
      <c r="J165" s="42">
        <f>VLOOKUP($B$29:$B$173,'Alberta Equip. Rates Year 3'!$B$13:$K$314,10,FALSE)</f>
        <v>170</v>
      </c>
      <c r="K165" s="181">
        <f t="shared" si="43"/>
        <v>170</v>
      </c>
    </row>
    <row r="166" spans="1:11" ht="15" customHeight="1">
      <c r="A166" s="43"/>
      <c r="B166" s="49" t="str">
        <f>VLOOKUP($C$29:$C$173,Equipment!$A$1:$B$2322,2,FALSE)</f>
        <v xml:space="preserve">Weld - Quad Welder/Tack Rig </v>
      </c>
      <c r="C166" s="24" t="s">
        <v>1351</v>
      </c>
      <c r="D166" s="24"/>
      <c r="E166" s="24"/>
      <c r="F166" s="24"/>
      <c r="G166" s="24"/>
      <c r="H166" s="36">
        <v>1</v>
      </c>
      <c r="I166" s="184"/>
      <c r="J166" s="42">
        <f>VLOOKUP($B$29:$B$173,'Alberta Equip. Rates Year 3'!$B$13:$K$314,10,FALSE)</f>
        <v>768</v>
      </c>
      <c r="K166" s="181">
        <f t="shared" si="43"/>
        <v>768</v>
      </c>
    </row>
    <row r="167" spans="1:11" ht="15" customHeight="1">
      <c r="A167" s="43"/>
      <c r="B167" s="49" t="str">
        <f>VLOOKUP($C$29:$C$173,Equipment!$A$1:$B$2322,2,FALSE)</f>
        <v>Water Pump - 4"</v>
      </c>
      <c r="C167" s="24" t="s">
        <v>4212</v>
      </c>
      <c r="D167" s="24"/>
      <c r="E167" s="24"/>
      <c r="F167" s="24"/>
      <c r="G167" s="24"/>
      <c r="H167" s="36">
        <v>1</v>
      </c>
      <c r="I167" s="184"/>
      <c r="J167" s="42">
        <f>VLOOKUP($B$29:$B$173,'Alberta Equip. Rates Year 3'!$B$13:$K$314,10,FALSE)</f>
        <v>170</v>
      </c>
      <c r="K167" s="181">
        <f t="shared" si="43"/>
        <v>170</v>
      </c>
    </row>
    <row r="168" spans="1:11" ht="15" customHeight="1">
      <c r="A168" s="43"/>
      <c r="B168" s="49" t="str">
        <f>VLOOKUP($C$29:$C$173,Equipment!$A$1:$B$2322,2,FALSE)</f>
        <v>Water Pump - 4"</v>
      </c>
      <c r="C168" s="24" t="s">
        <v>4213</v>
      </c>
      <c r="D168" s="24"/>
      <c r="E168" s="24"/>
      <c r="F168" s="24"/>
      <c r="G168" s="24"/>
      <c r="H168" s="36">
        <v>1</v>
      </c>
      <c r="I168" s="184"/>
      <c r="J168" s="42">
        <f>VLOOKUP($B$29:$B$173,'Alberta Equip. Rates Year 3'!$B$13:$K$314,10,FALSE)</f>
        <v>170</v>
      </c>
      <c r="K168" s="181">
        <f t="shared" si="43"/>
        <v>170</v>
      </c>
    </row>
    <row r="169" spans="1:11" ht="15" customHeight="1">
      <c r="A169" s="43"/>
      <c r="B169" s="49" t="str">
        <f>VLOOKUP($C$29:$C$173,Equipment!$A$1:$B$2322,2,FALSE)</f>
        <v>Water Pump - 4"</v>
      </c>
      <c r="C169" s="24" t="s">
        <v>4214</v>
      </c>
      <c r="D169" s="24"/>
      <c r="E169" s="24"/>
      <c r="F169" s="24"/>
      <c r="G169" s="24"/>
      <c r="H169" s="36">
        <v>1</v>
      </c>
      <c r="I169" s="184"/>
      <c r="J169" s="42">
        <f>VLOOKUP($B$29:$B$173,'Alberta Equip. Rates Year 3'!$B$13:$K$314,10,FALSE)</f>
        <v>170</v>
      </c>
      <c r="K169" s="181">
        <f t="shared" si="43"/>
        <v>170</v>
      </c>
    </row>
    <row r="170" spans="1:11" ht="15" customHeight="1">
      <c r="A170" s="43"/>
      <c r="B170" s="49" t="str">
        <f>VLOOKUP($C$29:$C$173,Equipment!$A$1:$B$2322,2,FALSE)</f>
        <v>Backhoe - Cat 345 (or Equivalent)</v>
      </c>
      <c r="C170" s="24" t="s">
        <v>1659</v>
      </c>
      <c r="D170" s="24"/>
      <c r="E170" s="24"/>
      <c r="F170" s="24"/>
      <c r="G170" s="24"/>
      <c r="H170" s="36">
        <v>1</v>
      </c>
      <c r="I170" s="184"/>
      <c r="J170" s="42">
        <f>VLOOKUP($B$29:$B$173,'Alberta Equip. Rates Year 3'!$B$13:$K$314,10,FALSE)</f>
        <v>1006</v>
      </c>
      <c r="K170" s="181">
        <f t="shared" si="43"/>
        <v>1006</v>
      </c>
    </row>
    <row r="171" spans="1:11" ht="15" customHeight="1">
      <c r="A171" s="43"/>
      <c r="B171" s="49" t="str">
        <f>VLOOKUP($C$29:$C$173,Equipment!$A$1:$B$2322,2,FALSE)</f>
        <v>Dozer - D8T (or equivalent)</v>
      </c>
      <c r="C171" s="24" t="s">
        <v>1663</v>
      </c>
      <c r="D171" s="24"/>
      <c r="E171" s="24"/>
      <c r="F171" s="24"/>
      <c r="G171" s="24"/>
      <c r="H171" s="185">
        <v>1</v>
      </c>
      <c r="I171" s="184"/>
      <c r="J171" s="42">
        <f>VLOOKUP($B$29:$B$173,'Alberta Equip. Rates Year 3'!$B$13:$K$314,10,FALSE)</f>
        <v>1165</v>
      </c>
      <c r="K171" s="181">
        <f t="shared" si="43"/>
        <v>1165</v>
      </c>
    </row>
    <row r="172" spans="1:11" ht="15" customHeight="1">
      <c r="A172" s="43"/>
      <c r="B172" s="49">
        <f>VLOOKUP($C$29:$C$173,Equipment!$A$1:$B$2322,2,FALSE)</f>
        <v>0</v>
      </c>
      <c r="C172" s="24"/>
      <c r="D172" s="24"/>
      <c r="E172" s="24"/>
      <c r="F172" s="24"/>
      <c r="G172" s="24"/>
      <c r="H172" s="185"/>
      <c r="I172" s="184"/>
      <c r="J172" s="42">
        <f>VLOOKUP($B$29:$B$173,'Alberta Equip. Rates Year 3'!$B$13:$K$314,10,FALSE)</f>
        <v>0</v>
      </c>
      <c r="K172" s="181">
        <f t="shared" ref="K172" si="45">(H172+I172)*J172</f>
        <v>0</v>
      </c>
    </row>
    <row r="173" spans="1:11" ht="15" customHeight="1" thickBot="1">
      <c r="A173" s="43"/>
      <c r="B173" s="49">
        <f>VLOOKUP($C$29:$C$173,Equipment!$A$1:$B$2322,2,FALSE)</f>
        <v>0</v>
      </c>
      <c r="C173" s="24"/>
      <c r="D173" s="24"/>
      <c r="E173" s="24"/>
      <c r="F173" s="24"/>
      <c r="G173" s="24"/>
      <c r="H173" s="185"/>
      <c r="I173" s="184"/>
      <c r="J173" s="42">
        <f>VLOOKUP($B$29:$B$173,'Alberta Equip. Rates Year 3'!$B$13:$K$314,10,FALSE)</f>
        <v>0</v>
      </c>
      <c r="K173" s="181">
        <f>(H173+I173)*J173</f>
        <v>0</v>
      </c>
    </row>
    <row r="174" spans="1:11" ht="12" thickBot="1">
      <c r="A174" s="25"/>
      <c r="B174" s="25"/>
      <c r="C174" s="25"/>
      <c r="D174" s="21"/>
      <c r="E174" s="21"/>
      <c r="F174" s="21"/>
      <c r="G174" s="21"/>
      <c r="H174" s="21"/>
      <c r="I174" s="360" t="s">
        <v>24</v>
      </c>
      <c r="J174" s="361"/>
      <c r="K174" s="182">
        <f>SUM(K29:K173)</f>
        <v>28329.21000000001</v>
      </c>
    </row>
    <row r="175" spans="1:11" ht="12" thickBot="1">
      <c r="A175" s="26"/>
      <c r="D175" s="26"/>
      <c r="I175" s="27"/>
      <c r="J175" s="27"/>
      <c r="K175" s="28"/>
    </row>
    <row r="176" spans="1:11">
      <c r="A176" s="1" t="s">
        <v>25</v>
      </c>
      <c r="B176" s="29"/>
      <c r="D176" s="1"/>
      <c r="E176" s="1"/>
      <c r="F176" s="1"/>
      <c r="G176" s="1"/>
      <c r="H176" s="1"/>
      <c r="I176" s="362" t="s">
        <v>26</v>
      </c>
      <c r="J176" s="362"/>
      <c r="K176" s="37">
        <f>K26</f>
        <v>5163.42</v>
      </c>
    </row>
    <row r="177" spans="1:11">
      <c r="D177" s="1"/>
      <c r="E177" s="1"/>
      <c r="F177" s="1"/>
      <c r="G177" s="1"/>
      <c r="H177" s="1"/>
      <c r="I177" s="362" t="s">
        <v>27</v>
      </c>
      <c r="J177" s="362"/>
      <c r="K177" s="38">
        <f>K174</f>
        <v>28329.21000000001</v>
      </c>
    </row>
    <row r="178" spans="1:11">
      <c r="D178" s="1"/>
      <c r="E178" s="1"/>
      <c r="F178" s="1"/>
      <c r="G178" s="1"/>
      <c r="H178" s="1"/>
      <c r="I178" s="27" t="s">
        <v>28</v>
      </c>
      <c r="J178" s="27"/>
      <c r="K178" s="38">
        <f>(O26)*14.15</f>
        <v>622.6</v>
      </c>
    </row>
    <row r="179" spans="1:11">
      <c r="D179" s="1"/>
      <c r="E179" s="1"/>
      <c r="F179" s="1"/>
      <c r="G179" s="1"/>
      <c r="H179" s="1"/>
      <c r="I179" s="30" t="s">
        <v>29</v>
      </c>
      <c r="J179" s="30"/>
      <c r="K179" s="39"/>
    </row>
    <row r="180" spans="1:11">
      <c r="D180" s="1"/>
      <c r="E180" s="1"/>
      <c r="F180" s="1"/>
      <c r="G180" s="1"/>
      <c r="H180" s="1"/>
      <c r="I180" s="30" t="s">
        <v>30</v>
      </c>
      <c r="J180" s="30"/>
      <c r="K180" s="39"/>
    </row>
    <row r="181" spans="1:11">
      <c r="D181" s="1"/>
      <c r="E181" s="1"/>
      <c r="F181" s="1"/>
      <c r="G181" s="1"/>
      <c r="H181" s="1"/>
      <c r="I181" s="30" t="s">
        <v>31</v>
      </c>
      <c r="J181" s="30"/>
      <c r="K181" s="39"/>
    </row>
    <row r="182" spans="1:11" ht="12" thickBot="1">
      <c r="D182" s="1"/>
      <c r="E182" s="1"/>
      <c r="F182" s="1"/>
      <c r="G182" s="1"/>
      <c r="H182" s="1"/>
      <c r="I182" s="362" t="s">
        <v>32</v>
      </c>
      <c r="J182" s="362"/>
      <c r="K182" s="40">
        <f>SUM(K176:K181)</f>
        <v>34115.23000000001</v>
      </c>
    </row>
    <row r="183" spans="1:11">
      <c r="D183" s="1"/>
      <c r="E183" s="1"/>
      <c r="F183" s="1"/>
      <c r="G183" s="1"/>
      <c r="H183" s="1"/>
      <c r="I183" s="27"/>
      <c r="J183" s="27"/>
    </row>
    <row r="184" spans="1:11">
      <c r="A184" s="31" t="s">
        <v>33</v>
      </c>
      <c r="B184" s="32"/>
      <c r="C184" s="32"/>
      <c r="D184" s="1"/>
      <c r="H184" s="33" t="s">
        <v>34</v>
      </c>
      <c r="I184" s="32"/>
      <c r="J184" s="32"/>
      <c r="K184" s="32"/>
    </row>
    <row r="185" spans="1:11" ht="15">
      <c r="A185" s="34"/>
      <c r="E185" s="8"/>
      <c r="F185" s="8"/>
      <c r="G185" s="8"/>
      <c r="H185" s="35"/>
      <c r="I185" s="35"/>
      <c r="J185" s="35"/>
      <c r="K185" s="35"/>
    </row>
    <row r="186" spans="1:11" ht="15">
      <c r="A186" s="34" t="s">
        <v>35</v>
      </c>
      <c r="E186" s="8"/>
      <c r="F186" s="8"/>
      <c r="G186" s="8"/>
      <c r="H186" s="35"/>
      <c r="I186" s="35"/>
      <c r="J186" s="35"/>
      <c r="K186" s="35"/>
    </row>
    <row r="187" spans="1:11" s="34" customFormat="1">
      <c r="A187" s="363">
        <v>41218.479166666664</v>
      </c>
      <c r="B187" s="363"/>
      <c r="C187" s="364"/>
      <c r="D187" s="364"/>
      <c r="E187" s="364"/>
      <c r="F187" s="364"/>
      <c r="G187" s="364"/>
      <c r="H187" s="364"/>
      <c r="I187" s="364"/>
      <c r="J187" s="364"/>
      <c r="K187" s="8"/>
    </row>
    <row r="197" s="1" customFormat="1"/>
    <row r="198" s="1" customFormat="1"/>
    <row r="199" s="1" customFormat="1"/>
    <row r="200" s="1" customFormat="1"/>
    <row r="201" s="1" customFormat="1"/>
    <row r="202" s="1" customFormat="1"/>
    <row r="203" s="1" customFormat="1"/>
    <row r="204" s="1" customFormat="1"/>
    <row r="205" s="1" customFormat="1"/>
    <row r="206" s="1" customFormat="1"/>
    <row r="207" s="1" customFormat="1"/>
    <row r="208" s="1" customFormat="1"/>
    <row r="209" s="1" customFormat="1"/>
    <row r="210" s="1" customFormat="1"/>
    <row r="215" s="1" customFormat="1"/>
    <row r="243" s="1" customFormat="1"/>
    <row r="244" s="1" customFormat="1"/>
    <row r="245" s="1" customFormat="1"/>
    <row r="246" s="1" customFormat="1"/>
  </sheetData>
  <mergeCells count="12">
    <mergeCell ref="I174:J174"/>
    <mergeCell ref="I176:J176"/>
    <mergeCell ref="I177:J177"/>
    <mergeCell ref="I182:J182"/>
    <mergeCell ref="A187:B187"/>
    <mergeCell ref="C187:J187"/>
    <mergeCell ref="I26:J26"/>
    <mergeCell ref="C1:H1"/>
    <mergeCell ref="C2:H2"/>
    <mergeCell ref="C3:H3"/>
    <mergeCell ref="H6:I6"/>
    <mergeCell ref="H7:I7"/>
  </mergeCells>
  <conditionalFormatting sqref="C1:C11 C13:C1048576">
    <cfRule type="duplicateValues" dxfId="96" priority="1"/>
  </conditionalFormatting>
  <conditionalFormatting sqref="M11">
    <cfRule type="expression" dxfId="95" priority="40246">
      <formula>ISTEXT(A11:A24)</formula>
    </cfRule>
  </conditionalFormatting>
  <conditionalFormatting sqref="M12">
    <cfRule type="expression" dxfId="94" priority="40248">
      <formula>ISTEXT(A12:A28)</formula>
    </cfRule>
  </conditionalFormatting>
  <conditionalFormatting sqref="M13:M15">
    <cfRule type="expression" dxfId="93" priority="40249">
      <formula>ISTEXT(A13:A25)</formula>
    </cfRule>
  </conditionalFormatting>
  <conditionalFormatting sqref="M16:M24">
    <cfRule type="expression" dxfId="92" priority="32464">
      <formula>ISTEXT(A16:A29)</formula>
    </cfRule>
  </conditionalFormatting>
  <printOptions horizontalCentered="1"/>
  <pageMargins left="0.19685039370078741" right="0.19685039370078741" top="0.39370078740157483" bottom="0.39370078740157483" header="0" footer="0"/>
  <pageSetup orientation="portrait" horizontalDpi="4294967292" verticalDpi="4294967292"/>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1500-000000000000}">
          <x14:formula1>
            <xm:f>Accounts!$A$4:$A$60</xm:f>
          </x14:formula1>
          <xm:sqref>K7</xm:sqref>
        </x14:dataValidation>
        <x14:dataValidation type="list" allowBlank="1" showInputMessage="1" showErrorMessage="1" xr:uid="{00000000-0002-0000-1500-000001000000}">
          <x14:formula1>
            <xm:f>'Constr. Wage Rate Calculations'!$A$19:$A$288</xm:f>
          </x14:formula1>
          <xm:sqref>B11:B25</xm:sqref>
        </x14:dataValidation>
        <x14:dataValidation type="list" allowBlank="1" showInputMessage="1" showErrorMessage="1" xr:uid="{00000000-0002-0000-1500-000002000000}">
          <x14:formula1>
            <xm:f>Personnel!$A:$A</xm:f>
          </x14:formula1>
          <xm:sqref>C11:C25</xm:sqref>
        </x14:dataValidation>
        <x14:dataValidation type="list" allowBlank="1" showInputMessage="1" showErrorMessage="1" xr:uid="{00000000-0002-0000-1500-000003000000}">
          <x14:formula1>
            <xm:f>Equipment!$A:$A</xm:f>
          </x14:formula1>
          <xm:sqref>C29:C173</xm:sqref>
        </x14:dataValidation>
      </x14:dataValidations>
    </ext>
    <ext xmlns:mx="http://schemas.microsoft.com/office/mac/excel/2008/main" uri="{64002731-A6B0-56B0-2670-7721B7C09600}">
      <mx:PLV Mode="0" OnePage="0" WScale="0"/>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CCFFCC"/>
    <pageSetUpPr fitToPage="1"/>
  </sheetPr>
  <dimension ref="A1:O143"/>
  <sheetViews>
    <sheetView zoomScale="120" zoomScaleNormal="120" zoomScalePageLayoutView="120" workbookViewId="0">
      <selection activeCell="D13" sqref="D13"/>
    </sheetView>
  </sheetViews>
  <sheetFormatPr baseColWidth="10" defaultColWidth="8.83203125" defaultRowHeight="11"/>
  <cols>
    <col min="1" max="1" width="13" style="1" customWidth="1"/>
    <col min="2" max="2" width="30" style="1" customWidth="1"/>
    <col min="3" max="3" width="24.5" style="1" customWidth="1"/>
    <col min="4" max="4" width="8.6640625" style="2" customWidth="1"/>
    <col min="5" max="6" width="8.33203125" style="2" customWidth="1"/>
    <col min="7" max="8" width="8.6640625" style="2" customWidth="1"/>
    <col min="9" max="9" width="9.33203125" style="2" customWidth="1"/>
    <col min="10" max="10" width="8.6640625" style="2" customWidth="1"/>
    <col min="11" max="11" width="20.5" style="1" customWidth="1"/>
    <col min="12" max="12" width="3.5" style="1" hidden="1" customWidth="1"/>
    <col min="13" max="16384" width="8.83203125" style="1"/>
  </cols>
  <sheetData>
    <row r="1" spans="1:13" ht="15">
      <c r="C1" s="364"/>
      <c r="D1" s="365"/>
      <c r="E1" s="365"/>
      <c r="F1" s="365"/>
      <c r="G1" s="365"/>
      <c r="H1" s="366"/>
      <c r="J1" s="2" t="s">
        <v>0</v>
      </c>
      <c r="K1" s="197">
        <v>41659</v>
      </c>
      <c r="M1" s="45"/>
    </row>
    <row r="2" spans="1:13" ht="15">
      <c r="C2" s="367"/>
      <c r="D2" s="367"/>
      <c r="E2" s="367"/>
      <c r="F2" s="367"/>
      <c r="G2" s="367"/>
      <c r="H2" s="366"/>
      <c r="K2" s="41"/>
    </row>
    <row r="3" spans="1:13" ht="15">
      <c r="C3" s="368"/>
      <c r="D3" s="369"/>
      <c r="E3" s="369"/>
      <c r="F3" s="369"/>
      <c r="G3" s="369"/>
      <c r="H3" s="366"/>
    </row>
    <row r="4" spans="1:13">
      <c r="C4" s="3"/>
      <c r="D4" s="4"/>
      <c r="E4" s="4"/>
      <c r="F4" s="4"/>
      <c r="G4" s="4"/>
    </row>
    <row r="5" spans="1:13">
      <c r="C5" s="3"/>
      <c r="D5" s="4"/>
      <c r="E5" s="4"/>
      <c r="F5" s="4"/>
      <c r="G5" s="4"/>
    </row>
    <row r="6" spans="1:13" ht="12">
      <c r="B6" s="5"/>
      <c r="C6" s="6"/>
      <c r="D6" s="7"/>
      <c r="E6" s="8"/>
      <c r="F6" s="8"/>
      <c r="G6" s="1" t="s">
        <v>1</v>
      </c>
      <c r="H6" s="370">
        <v>18234</v>
      </c>
      <c r="I6" s="370"/>
      <c r="J6" s="1" t="s">
        <v>2</v>
      </c>
      <c r="K6" s="47"/>
    </row>
    <row r="7" spans="1:13" ht="12">
      <c r="A7" s="1" t="s">
        <v>3</v>
      </c>
      <c r="B7" s="9"/>
      <c r="C7" s="10"/>
      <c r="D7" s="11"/>
      <c r="E7" s="8"/>
      <c r="F7" s="8"/>
      <c r="G7" s="1" t="s">
        <v>4</v>
      </c>
      <c r="H7" s="371"/>
      <c r="I7" s="371"/>
      <c r="J7" s="1" t="s">
        <v>5</v>
      </c>
      <c r="K7" s="46"/>
    </row>
    <row r="8" spans="1:13" ht="12">
      <c r="B8" s="12"/>
      <c r="C8" s="13"/>
      <c r="D8" s="14"/>
      <c r="E8" s="8"/>
      <c r="F8" s="8"/>
      <c r="G8" s="1" t="s">
        <v>6</v>
      </c>
      <c r="H8" s="189"/>
      <c r="I8" s="190"/>
      <c r="J8" s="44"/>
    </row>
    <row r="9" spans="1:13" ht="16" thickBot="1">
      <c r="B9" s="15"/>
      <c r="C9" s="16"/>
      <c r="D9" s="16"/>
      <c r="E9" s="8"/>
      <c r="F9" s="8"/>
      <c r="G9" s="8"/>
    </row>
    <row r="10" spans="1:13" s="19" customFormat="1" ht="12" thickBot="1">
      <c r="A10" s="17" t="s">
        <v>7</v>
      </c>
      <c r="B10" s="17" t="s">
        <v>8</v>
      </c>
      <c r="C10" s="17" t="s">
        <v>9</v>
      </c>
      <c r="D10" s="18" t="s">
        <v>10</v>
      </c>
      <c r="E10" s="18" t="s">
        <v>11</v>
      </c>
      <c r="F10" s="18" t="s">
        <v>12</v>
      </c>
      <c r="G10" s="180" t="s">
        <v>13</v>
      </c>
      <c r="H10" s="18" t="s">
        <v>14</v>
      </c>
      <c r="I10" s="18" t="s">
        <v>15</v>
      </c>
      <c r="J10" s="18" t="s">
        <v>16</v>
      </c>
      <c r="K10" s="18" t="s">
        <v>17</v>
      </c>
      <c r="M10" s="19" t="s">
        <v>1797</v>
      </c>
    </row>
    <row r="11" spans="1:13" ht="15" customHeight="1">
      <c r="A11" s="48"/>
      <c r="B11" s="49">
        <f>VLOOKUP($C$11:$C$20,Personnel!$A$1:$B$1234,2,FALSE)</f>
        <v>0</v>
      </c>
      <c r="C11" s="36"/>
      <c r="D11" s="184"/>
      <c r="E11" s="179">
        <f>VLOOKUP($B$11:$B$20,'Constr. Wage Rate Calculations'!$A$19:$Z$288,22,FALSE)</f>
        <v>0</v>
      </c>
      <c r="F11" s="184"/>
      <c r="G11" s="179">
        <f>VLOOKUP($B$11:$B$20,'Constr. Wage Rate Calculations'!$A$19:$Z$288,23,FALSE)</f>
        <v>0</v>
      </c>
      <c r="H11" s="184"/>
      <c r="I11" s="179">
        <f>VLOOKUP($B$11:$B$20,'Constr. Wage Rate Calculations'!$A$19:$Z$288,24,FALSE)</f>
        <v>0</v>
      </c>
      <c r="J11" s="20">
        <f>VLOOKUP($B$11:$B$30,'Constr. Wage Rate Calculations'!$A$19:$Z$288,25,FALSE)</f>
        <v>0</v>
      </c>
      <c r="K11" s="179" t="str">
        <f t="shared" ref="K11:K30" si="0">IF($D11&gt;=1,$J11+(D11*E11)+(F11*G11)+(H11*I11),IF($F11&gt;=1,$J11+(D11*E11)+(F11*G11)+(H11*I11),IF($H11&gt;=1,$J11+(D11*E11)+(F11*G11)+(H11*I11),"")))</f>
        <v/>
      </c>
    </row>
    <row r="12" spans="1:13" ht="15" customHeight="1">
      <c r="A12" s="48"/>
      <c r="B12" s="49" t="str">
        <f>VLOOKUP($C$11:$C$20,Personnel!$A$1:$B$1234,2,FALSE)</f>
        <v>STRAW  - FITTER ON AUTO WELD SPREAD (QI APPLIES)</v>
      </c>
      <c r="C12" s="36" t="s">
        <v>964</v>
      </c>
      <c r="D12" s="184">
        <v>8</v>
      </c>
      <c r="E12" s="179">
        <f>VLOOKUP($B$11:$B$20,'Constr. Wage Rate Calculations'!$A$19:$Z$288,22,FALSE)</f>
        <v>82.81</v>
      </c>
      <c r="F12" s="184">
        <v>6</v>
      </c>
      <c r="G12" s="179">
        <f>VLOOKUP($B$11:$B$20,'Constr. Wage Rate Calculations'!$A$19:$Z$288,23,FALSE)</f>
        <v>124.21</v>
      </c>
      <c r="H12" s="184"/>
      <c r="I12" s="179">
        <f>VLOOKUP($B$11:$B$20,'Constr. Wage Rate Calculations'!$A$19:$Z$288,24,FALSE)</f>
        <v>165.62</v>
      </c>
      <c r="J12" s="20">
        <f>VLOOKUP($B$11:$B$30,'Constr. Wage Rate Calculations'!$A$19:$Z$288,25,FALSE)</f>
        <v>85</v>
      </c>
      <c r="K12" s="179">
        <f t="shared" si="0"/>
        <v>1492.74</v>
      </c>
      <c r="M12" s="1">
        <v>2</v>
      </c>
    </row>
    <row r="13" spans="1:13" ht="15" customHeight="1">
      <c r="A13" s="48"/>
      <c r="B13" s="49" t="str">
        <f>VLOOKUP($C$11:$C$20,Personnel!$A$1:$B$1234,2,FALSE)</f>
        <v>FRONT-END/TIE-IN WELDER  ON STICK WELD SPREAD (QI APPLIES)</v>
      </c>
      <c r="C13" s="36" t="s">
        <v>1579</v>
      </c>
      <c r="D13" s="184">
        <v>8</v>
      </c>
      <c r="E13" s="179">
        <f>VLOOKUP($B$11:$B$20,'Constr. Wage Rate Calculations'!$A$19:$Z$288,22,FALSE)</f>
        <v>82.2</v>
      </c>
      <c r="F13" s="184">
        <v>4</v>
      </c>
      <c r="G13" s="179">
        <f>VLOOKUP($B$11:$B$20,'Constr. Wage Rate Calculations'!$A$19:$Z$288,23,FALSE)</f>
        <v>123.3</v>
      </c>
      <c r="H13" s="20"/>
      <c r="I13" s="179">
        <f>VLOOKUP($B$11:$B$20,'Constr. Wage Rate Calculations'!$A$19:$Z$288,24,FALSE)</f>
        <v>164.4</v>
      </c>
      <c r="J13" s="20">
        <f>VLOOKUP($B$11:$B$30,'Constr. Wage Rate Calculations'!$A$19:$Z$288,25,FALSE)</f>
        <v>85</v>
      </c>
      <c r="K13" s="179">
        <f t="shared" si="0"/>
        <v>1235.8</v>
      </c>
      <c r="L13" s="20">
        <f>VLOOKUP($B$11:$B$30,'Constr. Wage Rate Calculations'!$A$19:$Z$288,25,FALSE)</f>
        <v>85</v>
      </c>
    </row>
    <row r="14" spans="1:13" ht="16.5" customHeight="1">
      <c r="A14" s="48"/>
      <c r="B14" s="49" t="str">
        <f>VLOOKUP($C$11:$C$20,Personnel!$A$1:$B$1234,2,FALSE)</f>
        <v>UA JOB STEWARD ON AUTO WELD SPREAD (QI APPLIES)</v>
      </c>
      <c r="C14" s="36" t="s">
        <v>2302</v>
      </c>
      <c r="D14" s="184">
        <v>8</v>
      </c>
      <c r="E14" s="179">
        <f>VLOOKUP($B$11:$B$20,'Constr. Wage Rate Calculations'!$A$19:$Z$288,22,FALSE)</f>
        <v>82.81</v>
      </c>
      <c r="F14" s="184">
        <v>6</v>
      </c>
      <c r="G14" s="179">
        <f>VLOOKUP($B$11:$B$20,'Constr. Wage Rate Calculations'!$A$19:$Z$288,23,FALSE)</f>
        <v>124.21</v>
      </c>
      <c r="H14" s="20"/>
      <c r="I14" s="179">
        <f>VLOOKUP($B$11:$B$20,'Constr. Wage Rate Calculations'!$A$19:$Z$288,24,FALSE)</f>
        <v>165.62</v>
      </c>
      <c r="J14" s="20">
        <f>VLOOKUP($B$11:$B$30,'Constr. Wage Rate Calculations'!$A$19:$Z$288,25,FALSE)</f>
        <v>85</v>
      </c>
      <c r="K14" s="179">
        <f t="shared" si="0"/>
        <v>1492.74</v>
      </c>
      <c r="L14" s="20">
        <f>VLOOKUP($B$11:$B$30,'Constr. Wage Rate Calculations'!$A$19:$Z$288,25,FALSE)</f>
        <v>85</v>
      </c>
      <c r="M14" s="1">
        <v>2</v>
      </c>
    </row>
    <row r="15" spans="1:13" ht="15" customHeight="1">
      <c r="A15" s="48"/>
      <c r="B15" s="49" t="str">
        <f>VLOOKUP($C$11:$C$20,Personnel!$A$1:$B$1234,2,FALSE)</f>
        <v>PRINCIPAL OPER 1</v>
      </c>
      <c r="C15" s="36" t="s">
        <v>2676</v>
      </c>
      <c r="D15" s="184">
        <v>8</v>
      </c>
      <c r="E15" s="179">
        <f>VLOOKUP($B$11:$B$20,'Constr. Wage Rate Calculations'!$A$19:$Z$288,22,FALSE)</f>
        <v>64.239999999999995</v>
      </c>
      <c r="F15" s="184">
        <v>3</v>
      </c>
      <c r="G15" s="179">
        <f>VLOOKUP($B$11:$B$20,'Constr. Wage Rate Calculations'!$A$19:$Z$288,23,FALSE)</f>
        <v>96.36</v>
      </c>
      <c r="H15" s="184"/>
      <c r="I15" s="179">
        <f>VLOOKUP($B$11:$B$20,'Constr. Wage Rate Calculations'!$A$19:$Z$288,24,FALSE)</f>
        <v>128.47</v>
      </c>
      <c r="J15" s="20">
        <f>VLOOKUP($B$11:$B$30,'Constr. Wage Rate Calculations'!$A$19:$Z$288,25,FALSE)</f>
        <v>85</v>
      </c>
      <c r="K15" s="179">
        <f t="shared" si="0"/>
        <v>888</v>
      </c>
      <c r="L15" s="20">
        <f>VLOOKUP($B$11:$B$30,'Constr. Wage Rate Calculations'!$A$19:$Z$288,25,FALSE)</f>
        <v>85</v>
      </c>
    </row>
    <row r="16" spans="1:13" ht="15" customHeight="1">
      <c r="A16" s="48"/>
      <c r="B16" s="49" t="str">
        <f>VLOOKUP($C$11:$C$30,Personnel!$A$1:$B$1234,2,FALSE)</f>
        <v>UA TIE-IN FOREMAN</v>
      </c>
      <c r="C16" s="36" t="s">
        <v>965</v>
      </c>
      <c r="D16" s="184">
        <v>1</v>
      </c>
      <c r="E16" s="179">
        <f>VLOOKUP($B$11:$B$20,'Constr. Wage Rate Calculations'!$A$19:$Z$288,22,FALSE)</f>
        <v>1952.31</v>
      </c>
      <c r="F16" s="184">
        <v>9</v>
      </c>
      <c r="G16" s="179">
        <f>VLOOKUP($B$11:$B$30,'Constr. Wage Rate Calculations'!$A$19:$Z$288,23,FALSE)</f>
        <v>0</v>
      </c>
      <c r="H16" s="184"/>
      <c r="I16" s="179">
        <f>VLOOKUP($B$11:$B$30,'Constr. Wage Rate Calculations'!$A$19:$Z$288,24,FALSE)</f>
        <v>0</v>
      </c>
      <c r="J16" s="20">
        <f>VLOOKUP($B$11:$B$30,'Constr. Wage Rate Calculations'!$A$19:$Z$288,25,FALSE)</f>
        <v>230</v>
      </c>
      <c r="K16" s="179">
        <f t="shared" si="0"/>
        <v>2182.31</v>
      </c>
    </row>
    <row r="17" spans="1:15" ht="15" customHeight="1">
      <c r="A17" s="48"/>
      <c r="B17" s="49" t="str">
        <f>VLOOKUP($C$11:$C$30,Personnel!$A$1:$B$1234,2,FALSE)</f>
        <v>WELDER HELPER</v>
      </c>
      <c r="C17" s="36" t="s">
        <v>803</v>
      </c>
      <c r="D17" s="184">
        <v>8</v>
      </c>
      <c r="E17" s="179">
        <f>VLOOKUP($B$11:$B$20,'Constr. Wage Rate Calculations'!$A$19:$Z$288,22,FALSE)</f>
        <v>53.52</v>
      </c>
      <c r="F17" s="184">
        <v>4</v>
      </c>
      <c r="G17" s="179">
        <f>VLOOKUP($B$11:$B$30,'Constr. Wage Rate Calculations'!$A$19:$Z$288,23,FALSE)</f>
        <v>80.290000000000006</v>
      </c>
      <c r="H17" s="184"/>
      <c r="I17" s="179">
        <f>VLOOKUP($B$11:$B$30,'Constr. Wage Rate Calculations'!$A$19:$Z$288,24,FALSE)</f>
        <v>107.05</v>
      </c>
      <c r="J17" s="20">
        <f>VLOOKUP($B$11:$B$30,'Constr. Wage Rate Calculations'!$A$19:$Z$288,25,FALSE)</f>
        <v>85</v>
      </c>
      <c r="K17" s="179">
        <f t="shared" si="0"/>
        <v>834.32000000000016</v>
      </c>
    </row>
    <row r="18" spans="1:15" ht="15" customHeight="1">
      <c r="A18" s="48"/>
      <c r="B18" s="49" t="str">
        <f>VLOOKUP($C$11:$C$30,Personnel!$A$1:$B$1234,2,FALSE)</f>
        <v>PRINCIPAL OPER 1</v>
      </c>
      <c r="C18" s="36" t="s">
        <v>2966</v>
      </c>
      <c r="D18" s="184">
        <v>8</v>
      </c>
      <c r="E18" s="179">
        <f>VLOOKUP($B$11:$B$20,'Constr. Wage Rate Calculations'!$A$19:$Z$288,22,FALSE)</f>
        <v>64.239999999999995</v>
      </c>
      <c r="F18" s="184">
        <v>3</v>
      </c>
      <c r="G18" s="179">
        <f>VLOOKUP($B$11:$B$30,'Constr. Wage Rate Calculations'!$A$19:$Z$288,23,FALSE)</f>
        <v>96.36</v>
      </c>
      <c r="H18" s="184"/>
      <c r="I18" s="179">
        <f>VLOOKUP($B$11:$B$30,'Constr. Wage Rate Calculations'!$A$19:$Z$288,24,FALSE)</f>
        <v>128.47</v>
      </c>
      <c r="J18" s="20">
        <f>VLOOKUP($B$11:$B$30,'Constr. Wage Rate Calculations'!$A$19:$Z$288,25,FALSE)</f>
        <v>85</v>
      </c>
      <c r="K18" s="179">
        <f t="shared" si="0"/>
        <v>888</v>
      </c>
    </row>
    <row r="19" spans="1:15" ht="15" customHeight="1">
      <c r="A19" s="48"/>
      <c r="B19" s="49" t="str">
        <f>VLOOKUP($C$11:$C$30,Personnel!$A$1:$B$1234,2,FALSE)</f>
        <v>PRINCIPAL OPER 1</v>
      </c>
      <c r="C19" s="36" t="s">
        <v>966</v>
      </c>
      <c r="D19" s="184">
        <v>8</v>
      </c>
      <c r="E19" s="179">
        <f>VLOOKUP($B$11:$B$30,'Constr. Wage Rate Calculations'!$A$19:$Z$288,22,FALSE)</f>
        <v>64.239999999999995</v>
      </c>
      <c r="F19" s="184">
        <v>3</v>
      </c>
      <c r="G19" s="179">
        <f>VLOOKUP($B$11:$B$30,'Constr. Wage Rate Calculations'!$A$19:$Z$288,23,FALSE)</f>
        <v>96.36</v>
      </c>
      <c r="H19" s="184"/>
      <c r="I19" s="179">
        <f>VLOOKUP($B$11:$B$30,'Constr. Wage Rate Calculations'!$A$19:$Z$288,24,FALSE)</f>
        <v>128.47</v>
      </c>
      <c r="J19" s="20">
        <f>VLOOKUP($B$11:$B$30,'Constr. Wage Rate Calculations'!$A$19:$Z$288,25,FALSE)</f>
        <v>85</v>
      </c>
      <c r="K19" s="179">
        <f t="shared" si="0"/>
        <v>888</v>
      </c>
    </row>
    <row r="20" spans="1:15" ht="15" customHeight="1">
      <c r="A20" s="48"/>
      <c r="B20" s="49" t="str">
        <f>VLOOKUP($C$11:$C$30,Personnel!$A$1:$B$1234,2,FALSE)</f>
        <v>GENERAL LABOURER</v>
      </c>
      <c r="C20" s="36" t="s">
        <v>3504</v>
      </c>
      <c r="D20" s="184"/>
      <c r="E20" s="179">
        <f>VLOOKUP($B$11:$B$30,'Constr. Wage Rate Calculations'!$A$19:$Z$288,22,FALSE)</f>
        <v>48.1</v>
      </c>
      <c r="F20" s="184"/>
      <c r="G20" s="179">
        <f>VLOOKUP($B$11:$B$30,'Constr. Wage Rate Calculations'!$A$19:$Z$288,23,FALSE)</f>
        <v>72.150000000000006</v>
      </c>
      <c r="H20" s="184"/>
      <c r="I20" s="179">
        <f>VLOOKUP($B$11:$B$30,'Constr. Wage Rate Calculations'!$A$19:$Z$288,24,FALSE)</f>
        <v>96.2</v>
      </c>
      <c r="J20" s="20">
        <f>VLOOKUP($B$11:$B$30,'Constr. Wage Rate Calculations'!$A$19:$Z$288,25,FALSE)</f>
        <v>85</v>
      </c>
      <c r="K20" s="179">
        <v>85</v>
      </c>
    </row>
    <row r="21" spans="1:15" ht="14" customHeight="1">
      <c r="A21" s="48"/>
      <c r="B21" s="49" t="str">
        <f>VLOOKUP($C$11:$C$30,Personnel!$A$1:$B$1234,2,FALSE)</f>
        <v>WELDER HELPER</v>
      </c>
      <c r="C21" s="36" t="s">
        <v>1535</v>
      </c>
      <c r="D21" s="184">
        <v>8</v>
      </c>
      <c r="E21" s="179">
        <f>VLOOKUP($B$11:$B$30,'Constr. Wage Rate Calculations'!$A$19:$Z$288,22,FALSE)</f>
        <v>53.52</v>
      </c>
      <c r="F21" s="184">
        <v>4</v>
      </c>
      <c r="G21" s="179">
        <f>VLOOKUP($B$11:$B$30,'Constr. Wage Rate Calculations'!$A$19:$Z$288,23,FALSE)</f>
        <v>80.290000000000006</v>
      </c>
      <c r="H21" s="184"/>
      <c r="I21" s="179">
        <f>VLOOKUP($B$11:$B$30,'Constr. Wage Rate Calculations'!$A$19:$Z$288,24,FALSE)</f>
        <v>107.05</v>
      </c>
      <c r="J21" s="20">
        <f>VLOOKUP($B$11:$B$30,'Constr. Wage Rate Calculations'!$A$19:$Z$288,25,FALSE)</f>
        <v>85</v>
      </c>
      <c r="K21" s="179">
        <f t="shared" si="0"/>
        <v>834.32000000000016</v>
      </c>
    </row>
    <row r="22" spans="1:15" ht="15" customHeight="1">
      <c r="A22" s="48"/>
      <c r="B22" s="49">
        <f>VLOOKUP($C$11:$C$30,Personnel!$A$1:$B$1234,2,FALSE)</f>
        <v>0</v>
      </c>
      <c r="C22" s="36"/>
      <c r="D22" s="184"/>
      <c r="E22" s="179">
        <f>VLOOKUP($B$11:$B$30,'Constr. Wage Rate Calculations'!$A$19:$Z$288,22,FALSE)</f>
        <v>0</v>
      </c>
      <c r="F22" s="184"/>
      <c r="G22" s="179">
        <f>VLOOKUP($B$11:$B$30,'Constr. Wage Rate Calculations'!$A$19:$Z$288,23,FALSE)</f>
        <v>0</v>
      </c>
      <c r="H22" s="184"/>
      <c r="I22" s="179">
        <f>VLOOKUP($B$11:$B$30,'Constr. Wage Rate Calculations'!$A$19:$Z$288,24,FALSE)</f>
        <v>0</v>
      </c>
      <c r="J22" s="20">
        <f>VLOOKUP($B$11:$B$30,'Constr. Wage Rate Calculations'!$A$19:$Z$288,25,FALSE)</f>
        <v>0</v>
      </c>
      <c r="K22" s="179" t="str">
        <f t="shared" si="0"/>
        <v/>
      </c>
    </row>
    <row r="23" spans="1:15" ht="15" customHeight="1">
      <c r="A23" s="48"/>
      <c r="B23" s="49">
        <f>VLOOKUP($C$11:$C$30,Personnel!$A$1:$B$1234,2,FALSE)</f>
        <v>0</v>
      </c>
      <c r="C23" s="36"/>
      <c r="D23" s="184"/>
      <c r="E23" s="179">
        <f>VLOOKUP($B$11:$B$30,'Constr. Wage Rate Calculations'!$A$19:$Z$288,22,FALSE)</f>
        <v>0</v>
      </c>
      <c r="F23" s="184"/>
      <c r="G23" s="179">
        <f>VLOOKUP($B$11:$B$30,'Constr. Wage Rate Calculations'!$A$19:$Z$288,23,FALSE)</f>
        <v>0</v>
      </c>
      <c r="H23" s="184"/>
      <c r="I23" s="179">
        <f>VLOOKUP($B$11:$B$30,'Constr. Wage Rate Calculations'!$A$19:$Z$288,24,FALSE)</f>
        <v>0</v>
      </c>
      <c r="J23" s="20">
        <f>VLOOKUP($B$11:$B$30,'Constr. Wage Rate Calculations'!$A$19:$Z$288,25,FALSE)</f>
        <v>0</v>
      </c>
      <c r="K23" s="179" t="str">
        <f t="shared" si="0"/>
        <v/>
      </c>
    </row>
    <row r="24" spans="1:15" ht="15" customHeight="1">
      <c r="A24" s="48"/>
      <c r="B24" s="49">
        <f>VLOOKUP($C$11:$C$30,Personnel!$A$1:$B$1234,2,FALSE)</f>
        <v>0</v>
      </c>
      <c r="C24" s="36"/>
      <c r="D24" s="184"/>
      <c r="E24" s="179">
        <f>VLOOKUP($B$11:$B$30,'Constr. Wage Rate Calculations'!$A$19:$Z$288,22,FALSE)</f>
        <v>0</v>
      </c>
      <c r="F24" s="184"/>
      <c r="G24" s="179">
        <f>VLOOKUP($B$11:$B$30,'Constr. Wage Rate Calculations'!$A$19:$Z$288,23,FALSE)</f>
        <v>0</v>
      </c>
      <c r="H24" s="184"/>
      <c r="I24" s="179">
        <f>VLOOKUP($B$11:$B$30,'Constr. Wage Rate Calculations'!$A$19:$Z$288,24,FALSE)</f>
        <v>0</v>
      </c>
      <c r="J24" s="20">
        <f>VLOOKUP($B$11:$B$30,'Constr. Wage Rate Calculations'!$A$19:$Z$288,25,FALSE)</f>
        <v>0</v>
      </c>
      <c r="K24" s="179" t="str">
        <f t="shared" si="0"/>
        <v/>
      </c>
    </row>
    <row r="25" spans="1:15" ht="15" customHeight="1">
      <c r="A25" s="48"/>
      <c r="B25" s="49">
        <f>VLOOKUP($C$11:$C$30,Personnel!$A$1:$B$1234,2,FALSE)</f>
        <v>0</v>
      </c>
      <c r="C25" s="36"/>
      <c r="D25" s="184"/>
      <c r="E25" s="179">
        <f>VLOOKUP($B$11:$B$30,'Constr. Wage Rate Calculations'!$A$19:$Z$288,22,FALSE)</f>
        <v>0</v>
      </c>
      <c r="F25" s="184"/>
      <c r="G25" s="179">
        <f>VLOOKUP($B$11:$B$30,'Constr. Wage Rate Calculations'!$A$19:$Z$288,23,FALSE)</f>
        <v>0</v>
      </c>
      <c r="H25" s="184"/>
      <c r="I25" s="179">
        <f>VLOOKUP($B$11:$B$30,'Constr. Wage Rate Calculations'!$A$19:$Z$288,24,FALSE)</f>
        <v>0</v>
      </c>
      <c r="J25" s="20">
        <f>VLOOKUP($B$11:$B$30,'Constr. Wage Rate Calculations'!$A$19:$Z$288,25,FALSE)</f>
        <v>0</v>
      </c>
      <c r="K25" s="179" t="str">
        <f t="shared" si="0"/>
        <v/>
      </c>
    </row>
    <row r="26" spans="1:15" ht="15" customHeight="1">
      <c r="A26" s="48"/>
      <c r="B26" s="49">
        <f>VLOOKUP($C$11:$C$30,Personnel!$A$1:$B$1234,2,FALSE)</f>
        <v>0</v>
      </c>
      <c r="C26" s="36"/>
      <c r="D26" s="184"/>
      <c r="E26" s="179">
        <f>VLOOKUP($B$11:$B$30,'Constr. Wage Rate Calculations'!$A$19:$Z$288,22,FALSE)</f>
        <v>0</v>
      </c>
      <c r="F26" s="184"/>
      <c r="G26" s="179">
        <f>VLOOKUP($B$11:$B$30,'Constr. Wage Rate Calculations'!$A$19:$Z$288,23,FALSE)</f>
        <v>0</v>
      </c>
      <c r="H26" s="184"/>
      <c r="I26" s="179">
        <f>VLOOKUP($B$11:$B$30,'Constr. Wage Rate Calculations'!$A$19:$Z$288,24,FALSE)</f>
        <v>0</v>
      </c>
      <c r="J26" s="20">
        <f>VLOOKUP($B$11:$B$30,'Constr. Wage Rate Calculations'!$A$19:$Z$288,25,FALSE)</f>
        <v>0</v>
      </c>
      <c r="K26" s="179" t="str">
        <f t="shared" si="0"/>
        <v/>
      </c>
    </row>
    <row r="27" spans="1:15" ht="15" customHeight="1">
      <c r="A27" s="48"/>
      <c r="B27" s="49">
        <f>VLOOKUP($C$11:$C$30,Personnel!$A$1:$B$1234,2,FALSE)</f>
        <v>0</v>
      </c>
      <c r="C27" s="36"/>
      <c r="D27" s="184"/>
      <c r="E27" s="179">
        <f>VLOOKUP($B$11:$B$30,'Constr. Wage Rate Calculations'!$A$19:$Z$288,22,FALSE)</f>
        <v>0</v>
      </c>
      <c r="F27" s="184"/>
      <c r="G27" s="179">
        <f>VLOOKUP($B$11:$B$30,'Constr. Wage Rate Calculations'!$A$19:$Z$288,23,FALSE)</f>
        <v>0</v>
      </c>
      <c r="H27" s="184"/>
      <c r="I27" s="179">
        <f>VLOOKUP($B$11:$B$30,'Constr. Wage Rate Calculations'!$A$19:$Z$288,24,FALSE)</f>
        <v>0</v>
      </c>
      <c r="J27" s="20">
        <f>VLOOKUP($B$11:$B$30,'Constr. Wage Rate Calculations'!$A$19:$Z$288,25,FALSE)</f>
        <v>0</v>
      </c>
      <c r="K27" s="179" t="str">
        <f t="shared" si="0"/>
        <v/>
      </c>
    </row>
    <row r="28" spans="1:15" ht="15" customHeight="1">
      <c r="A28" s="48"/>
      <c r="B28" s="49">
        <f>VLOOKUP($C$11:$C$30,Personnel!$A$1:$B$1234,2,FALSE)</f>
        <v>0</v>
      </c>
      <c r="C28" s="36"/>
      <c r="D28" s="184"/>
      <c r="E28" s="179">
        <f>VLOOKUP($B$11:$B$30,'Constr. Wage Rate Calculations'!$A$19:$Z$288,22,FALSE)</f>
        <v>0</v>
      </c>
      <c r="F28" s="184"/>
      <c r="G28" s="179">
        <f>VLOOKUP($B$11:$B$30,'Constr. Wage Rate Calculations'!$A$19:$Z$288,23,FALSE)</f>
        <v>0</v>
      </c>
      <c r="H28" s="184"/>
      <c r="I28" s="179">
        <f>VLOOKUP($B$11:$B$30,'Constr. Wage Rate Calculations'!$A$19:$Z$288,24,FALSE)</f>
        <v>0</v>
      </c>
      <c r="J28" s="20">
        <f>VLOOKUP($B$11:$B$30,'Constr. Wage Rate Calculations'!$A$19:$Z$288,25,FALSE)</f>
        <v>0</v>
      </c>
      <c r="K28" s="179" t="str">
        <f t="shared" si="0"/>
        <v/>
      </c>
    </row>
    <row r="29" spans="1:15" ht="15" customHeight="1">
      <c r="A29" s="48"/>
      <c r="B29" s="49">
        <f>VLOOKUP($C$11:$C$30,Personnel!$A$1:$B$1234,2,FALSE)</f>
        <v>0</v>
      </c>
      <c r="C29" s="36"/>
      <c r="D29" s="184"/>
      <c r="E29" s="179">
        <f>VLOOKUP($B$11:$B$30,'Constr. Wage Rate Calculations'!$A$19:$Z$288,22,FALSE)</f>
        <v>0</v>
      </c>
      <c r="F29" s="184"/>
      <c r="G29" s="179">
        <f>VLOOKUP($B$11:$B$30,'Constr. Wage Rate Calculations'!$A$19:$Z$288,23,FALSE)</f>
        <v>0</v>
      </c>
      <c r="H29" s="184"/>
      <c r="I29" s="179">
        <f>VLOOKUP($B$11:$B$30,'Constr. Wage Rate Calculations'!$A$19:$Z$288,24,FALSE)</f>
        <v>0</v>
      </c>
      <c r="J29" s="20">
        <f>VLOOKUP($B$11:$B$30,'Constr. Wage Rate Calculations'!$A$19:$Z$288,25,FALSE)</f>
        <v>0</v>
      </c>
      <c r="K29" s="179" t="str">
        <f t="shared" si="0"/>
        <v/>
      </c>
    </row>
    <row r="30" spans="1:15" ht="15" customHeight="1" thickBot="1">
      <c r="A30" s="48"/>
      <c r="B30" s="49">
        <f>VLOOKUP($C$11:$C$30,Personnel!$A$1:$B$1234,2,FALSE)</f>
        <v>0</v>
      </c>
      <c r="C30" s="36"/>
      <c r="D30" s="184"/>
      <c r="E30" s="179">
        <f>VLOOKUP($B$11:$B$30,'Constr. Wage Rate Calculations'!$A$19:$Z$288,22,FALSE)</f>
        <v>0</v>
      </c>
      <c r="F30" s="184"/>
      <c r="G30" s="179">
        <f>VLOOKUP($B$11:$B$30,'Constr. Wage Rate Calculations'!$A$19:$Z$288,23,FALSE)</f>
        <v>0</v>
      </c>
      <c r="H30" s="184"/>
      <c r="I30" s="179">
        <f>VLOOKUP($B$11:$B$30,'Constr. Wage Rate Calculations'!$A$19:$Z$288,24,FALSE)</f>
        <v>0</v>
      </c>
      <c r="J30" s="20">
        <f>VLOOKUP($B$11:$B$30,'Constr. Wage Rate Calculations'!$A$19:$Z$288,25,FALSE)</f>
        <v>0</v>
      </c>
      <c r="K30" s="179" t="str">
        <f t="shared" si="0"/>
        <v/>
      </c>
      <c r="M30" s="1">
        <f>SUM(M11:M29)</f>
        <v>4</v>
      </c>
    </row>
    <row r="31" spans="1:15" ht="15" customHeight="1" thickBot="1">
      <c r="A31"/>
      <c r="B31"/>
      <c r="C31"/>
      <c r="D31" s="21"/>
      <c r="E31" s="21"/>
      <c r="F31" s="21"/>
      <c r="G31" s="21"/>
      <c r="H31" s="21"/>
      <c r="I31" s="360" t="s">
        <v>18</v>
      </c>
      <c r="J31" s="361"/>
      <c r="K31" s="183">
        <f>SUM(K11:K30)</f>
        <v>10821.23</v>
      </c>
      <c r="M31" s="1">
        <f>SUMIFS(D11:D30,D11:D30,"&lt;3",D11:D30,"&lt;5")</f>
        <v>1</v>
      </c>
      <c r="N31" s="1">
        <f>SUMIFS(D11:D30,D11:D30,"&gt;3",D11:D30,"&gt;5")</f>
        <v>64</v>
      </c>
      <c r="O31" s="1">
        <f>SUM(F11:F30,H11:H30,M31,N31)-M30</f>
        <v>103</v>
      </c>
    </row>
    <row r="32" spans="1:15" ht="10" customHeight="1" thickBot="1"/>
    <row r="33" spans="1:11" s="19" customFormat="1" ht="15" customHeight="1" thickBot="1">
      <c r="A33" s="22" t="s">
        <v>19</v>
      </c>
      <c r="B33" s="23" t="s">
        <v>20</v>
      </c>
      <c r="C33" s="23"/>
      <c r="D33" s="23"/>
      <c r="E33" s="23"/>
      <c r="F33" s="23"/>
      <c r="G33" s="23"/>
      <c r="H33" s="18" t="s">
        <v>21</v>
      </c>
      <c r="I33" s="18" t="s">
        <v>22</v>
      </c>
      <c r="J33" s="18" t="s">
        <v>23</v>
      </c>
      <c r="K33" s="18" t="s">
        <v>17</v>
      </c>
    </row>
    <row r="34" spans="1:11" ht="15" customHeight="1">
      <c r="A34" s="43"/>
      <c r="B34" s="49">
        <f>VLOOKUP($C$34:$C$70,Equipment!$A$1:$B$2322,2,FALSE)</f>
        <v>0</v>
      </c>
      <c r="C34" s="24"/>
      <c r="D34" s="24"/>
      <c r="E34" s="24"/>
      <c r="F34" s="24"/>
      <c r="G34" s="24"/>
      <c r="H34" s="36"/>
      <c r="I34" s="20"/>
      <c r="J34" s="42">
        <f>VLOOKUP($B$24:$B$57,'Alberta Equip. Rates Year 3'!$B$13:$K$314,10,FALSE)</f>
        <v>0</v>
      </c>
      <c r="K34" s="181">
        <f t="shared" ref="K34:K45" si="1">(H34+I34)*J34</f>
        <v>0</v>
      </c>
    </row>
    <row r="35" spans="1:11" ht="15" customHeight="1">
      <c r="A35" s="43"/>
      <c r="B35" s="49" t="str">
        <f>VLOOKUP($C$34:$C$70,Equipment!$A$1:$B$2322,2,FALSE)</f>
        <v>Crewcab - 1 Ton</v>
      </c>
      <c r="C35" s="24" t="s">
        <v>4108</v>
      </c>
      <c r="D35" s="24"/>
      <c r="E35" s="24"/>
      <c r="F35" s="24"/>
      <c r="G35" s="24"/>
      <c r="H35" s="36">
        <v>1</v>
      </c>
      <c r="I35" s="20"/>
      <c r="J35" s="42">
        <f>VLOOKUP($B$24:$B$57,'Alberta Equip. Rates Year 3'!$B$13:$K$314,10,FALSE)</f>
        <v>163</v>
      </c>
      <c r="K35" s="181">
        <f t="shared" si="1"/>
        <v>163</v>
      </c>
    </row>
    <row r="36" spans="1:11" ht="15" customHeight="1">
      <c r="A36" s="43"/>
      <c r="B36" s="49" t="str">
        <f>VLOOKUP($C$34:$C$70,Equipment!$A$1:$B$2322,2,FALSE)</f>
        <v>Flatdeck - 2 Ton</v>
      </c>
      <c r="C36" s="24" t="s">
        <v>1321</v>
      </c>
      <c r="D36" s="24"/>
      <c r="E36" s="24"/>
      <c r="F36" s="24"/>
      <c r="G36" s="24"/>
      <c r="H36" s="36">
        <v>1</v>
      </c>
      <c r="I36" s="20"/>
      <c r="J36" s="42">
        <f>VLOOKUP($B$24:$B$57,'Alberta Equip. Rates Year 3'!$B$13:$K$314,10,FALSE)</f>
        <v>165</v>
      </c>
      <c r="K36" s="181">
        <f t="shared" si="1"/>
        <v>165</v>
      </c>
    </row>
    <row r="37" spans="1:11" ht="15" customHeight="1">
      <c r="A37" s="43"/>
      <c r="B37" s="49" t="str">
        <f>VLOOKUP($C$34:$C$70,Equipment!$A$1:$B$2322,2,FALSE)</f>
        <v>Flatdeck - 2 Ton</v>
      </c>
      <c r="C37" s="24" t="s">
        <v>1965</v>
      </c>
      <c r="D37" s="24"/>
      <c r="E37" s="24"/>
      <c r="F37" s="24"/>
      <c r="G37" s="24"/>
      <c r="H37" s="36">
        <v>1</v>
      </c>
      <c r="I37" s="20"/>
      <c r="J37" s="42">
        <f>VLOOKUP($B$24:$B$57,'Alberta Equip. Rates Year 3'!$B$13:$K$314,10,FALSE)</f>
        <v>165</v>
      </c>
      <c r="K37" s="181">
        <f t="shared" si="1"/>
        <v>165</v>
      </c>
    </row>
    <row r="38" spans="1:11" ht="15" customHeight="1">
      <c r="A38" s="43"/>
      <c r="B38" s="49" t="str">
        <f>VLOOKUP($C$34:$C$70,Equipment!$A$1:$B$2322,2,FALSE)</f>
        <v>Sideboom - Cat 583T</v>
      </c>
      <c r="C38" s="24" t="s">
        <v>2022</v>
      </c>
      <c r="D38" s="24"/>
      <c r="E38" s="24"/>
      <c r="F38" s="24"/>
      <c r="G38" s="24"/>
      <c r="H38" s="36">
        <v>1</v>
      </c>
      <c r="I38" s="20"/>
      <c r="J38" s="42">
        <f>VLOOKUP($B$24:$B$57,'Alberta Equip. Rates Year 3'!$B$13:$K$314,10,FALSE)</f>
        <v>1218</v>
      </c>
      <c r="K38" s="181">
        <f t="shared" si="1"/>
        <v>1218</v>
      </c>
    </row>
    <row r="39" spans="1:11" ht="15" customHeight="1">
      <c r="A39" s="43"/>
      <c r="B39" s="49" t="str">
        <f>VLOOKUP($C$34:$C$70,Equipment!$A$1:$B$2322,2,FALSE)</f>
        <v>Sideboom - Cat 583T</v>
      </c>
      <c r="C39" s="24" t="s">
        <v>1673</v>
      </c>
      <c r="D39" s="24"/>
      <c r="E39" s="24"/>
      <c r="F39" s="24"/>
      <c r="G39" s="24"/>
      <c r="H39" s="36">
        <v>1</v>
      </c>
      <c r="I39" s="20"/>
      <c r="J39" s="42">
        <f>VLOOKUP($B$24:$B$57,'Alberta Equip. Rates Year 3'!$B$13:$K$314,10,FALSE)</f>
        <v>1218</v>
      </c>
      <c r="K39" s="181">
        <f t="shared" si="1"/>
        <v>1218</v>
      </c>
    </row>
    <row r="40" spans="1:11" ht="15" customHeight="1">
      <c r="A40" s="43"/>
      <c r="B40" s="49" t="str">
        <f>VLOOKUP($C$34:$C$70,Equipment!$A$1:$B$2322,2,FALSE)</f>
        <v>Welding Rig</v>
      </c>
      <c r="C40" s="24" t="s">
        <v>2295</v>
      </c>
      <c r="D40" s="24"/>
      <c r="E40" s="24"/>
      <c r="F40" s="24"/>
      <c r="G40" s="24"/>
      <c r="H40" s="36"/>
      <c r="I40" s="20">
        <v>14</v>
      </c>
      <c r="J40" s="42">
        <f>VLOOKUP($B$24:$B$57,'Alberta Equip. Rates Year 3'!$B$13:$K$314,10,FALSE)</f>
        <v>48</v>
      </c>
      <c r="K40" s="181">
        <f t="shared" si="1"/>
        <v>672</v>
      </c>
    </row>
    <row r="41" spans="1:11" ht="15" customHeight="1">
      <c r="A41" s="43"/>
      <c r="B41" s="49" t="str">
        <f>VLOOKUP($C$34:$C$70,Equipment!$A$1:$B$2322,2,FALSE)</f>
        <v>Welding Rig</v>
      </c>
      <c r="C41" s="24" t="s">
        <v>2811</v>
      </c>
      <c r="D41" s="24"/>
      <c r="E41" s="24"/>
      <c r="F41" s="24"/>
      <c r="G41" s="24"/>
      <c r="H41" s="36"/>
      <c r="I41" s="20">
        <v>12</v>
      </c>
      <c r="J41" s="42">
        <f>VLOOKUP($B$24:$B$57,'Alberta Equip. Rates Year 3'!$B$13:$K$314,10,FALSE)</f>
        <v>48</v>
      </c>
      <c r="K41" s="181">
        <f t="shared" si="1"/>
        <v>576</v>
      </c>
    </row>
    <row r="42" spans="1:11" ht="15" customHeight="1">
      <c r="A42" s="43"/>
      <c r="B42" s="49">
        <f>VLOOKUP($C$34:$C$70,Equipment!$A$1:$B$2322,2,FALSE)</f>
        <v>0</v>
      </c>
      <c r="C42" s="24"/>
      <c r="D42" s="24"/>
      <c r="E42" s="24"/>
      <c r="F42" s="24"/>
      <c r="G42" s="24"/>
      <c r="H42" s="36"/>
      <c r="I42" s="20"/>
      <c r="J42" s="42">
        <f>VLOOKUP($B$24:$B$57,'Alberta Equip. Rates Year 3'!$B$13:$K$314,10,FALSE)</f>
        <v>0</v>
      </c>
      <c r="K42" s="181">
        <f t="shared" si="1"/>
        <v>0</v>
      </c>
    </row>
    <row r="43" spans="1:11" ht="15" customHeight="1">
      <c r="A43" s="43"/>
      <c r="B43" s="49">
        <f>VLOOKUP($C$34:$C$70,Equipment!$A$1:$B$2322,2,FALSE)</f>
        <v>0</v>
      </c>
      <c r="C43" s="24"/>
      <c r="D43" s="24"/>
      <c r="E43" s="24"/>
      <c r="F43" s="24"/>
      <c r="G43" s="24"/>
      <c r="H43" s="36"/>
      <c r="I43" s="20"/>
      <c r="J43" s="42">
        <f>VLOOKUP($B$24:$B$57,'Alberta Equip. Rates Year 3'!$B$13:$K$314,10,FALSE)</f>
        <v>0</v>
      </c>
      <c r="K43" s="181">
        <f t="shared" si="1"/>
        <v>0</v>
      </c>
    </row>
    <row r="44" spans="1:11" ht="15" customHeight="1">
      <c r="A44" s="43"/>
      <c r="B44" s="49">
        <f>VLOOKUP($C$34:$C$70,Equipment!$A$1:$B$2322,2,FALSE)</f>
        <v>0</v>
      </c>
      <c r="C44" s="24"/>
      <c r="D44" s="24"/>
      <c r="E44" s="24"/>
      <c r="F44" s="24"/>
      <c r="G44" s="24"/>
      <c r="H44" s="36"/>
      <c r="I44" s="20"/>
      <c r="J44" s="42">
        <f>VLOOKUP($B$24:$B$57,'Alberta Equip. Rates Year 3'!$B$13:$K$314,10,FALSE)</f>
        <v>0</v>
      </c>
      <c r="K44" s="181">
        <f t="shared" si="1"/>
        <v>0</v>
      </c>
    </row>
    <row r="45" spans="1:11" ht="15" customHeight="1">
      <c r="A45" s="43"/>
      <c r="B45" s="49">
        <f>VLOOKUP($C$34:$C$70,Equipment!$A$1:$B$2322,2,FALSE)</f>
        <v>0</v>
      </c>
      <c r="C45" s="24"/>
      <c r="D45" s="24"/>
      <c r="E45" s="24"/>
      <c r="F45" s="24"/>
      <c r="G45" s="24"/>
      <c r="H45" s="36"/>
      <c r="I45" s="20"/>
      <c r="J45" s="42">
        <f>VLOOKUP($B$24:$B$57,'Alberta Equip. Rates Year 3'!$B$13:$K$314,10,FALSE)</f>
        <v>0</v>
      </c>
      <c r="K45" s="181">
        <f t="shared" si="1"/>
        <v>0</v>
      </c>
    </row>
    <row r="46" spans="1:11" ht="15" customHeight="1">
      <c r="A46" s="43"/>
      <c r="B46" s="49">
        <f>VLOOKUP($C$34:$C$70,Equipment!$A$1:$B$2322,2,FALSE)</f>
        <v>0</v>
      </c>
      <c r="C46" s="24"/>
      <c r="D46" s="24"/>
      <c r="E46" s="24"/>
      <c r="F46" s="24"/>
      <c r="G46" s="24"/>
      <c r="H46" s="36"/>
      <c r="I46" s="20"/>
      <c r="J46" s="42">
        <f>VLOOKUP($B$24:$B$57,'Alberta Equip. Rates Year 3'!$B$13:$K$314,10,FALSE)</f>
        <v>0</v>
      </c>
      <c r="K46" s="181">
        <f t="shared" ref="K46:K69" si="2">(H46+I46)*J46</f>
        <v>0</v>
      </c>
    </row>
    <row r="47" spans="1:11" ht="15" customHeight="1">
      <c r="A47" s="43"/>
      <c r="B47" s="49">
        <f>VLOOKUP($C$34:$C$70,Equipment!$A$1:$B$2322,2,FALSE)</f>
        <v>0</v>
      </c>
      <c r="C47" s="24"/>
      <c r="D47" s="24"/>
      <c r="E47" s="24"/>
      <c r="F47" s="24"/>
      <c r="G47" s="24"/>
      <c r="H47" s="36"/>
      <c r="I47" s="20"/>
      <c r="J47" s="42">
        <f>VLOOKUP($B$24:$B$57,'Alberta Equip. Rates Year 3'!$B$13:$K$314,10,FALSE)</f>
        <v>0</v>
      </c>
      <c r="K47" s="181">
        <f t="shared" si="2"/>
        <v>0</v>
      </c>
    </row>
    <row r="48" spans="1:11" ht="15" customHeight="1">
      <c r="A48" s="43"/>
      <c r="B48" s="49">
        <f>VLOOKUP($C$34:$C$70,Equipment!$A$1:$B$2322,2,FALSE)</f>
        <v>0</v>
      </c>
      <c r="C48" s="24"/>
      <c r="D48" s="24"/>
      <c r="E48" s="24"/>
      <c r="F48" s="24"/>
      <c r="G48" s="24"/>
      <c r="H48" s="36"/>
      <c r="I48" s="20"/>
      <c r="J48" s="42">
        <f>VLOOKUP($B$24:$B$57,'Alberta Equip. Rates Year 3'!$B$13:$K$314,10,FALSE)</f>
        <v>0</v>
      </c>
      <c r="K48" s="181">
        <f t="shared" si="2"/>
        <v>0</v>
      </c>
    </row>
    <row r="49" spans="1:11" ht="15" customHeight="1">
      <c r="A49" s="43"/>
      <c r="B49" s="49">
        <f>VLOOKUP($C$34:$C$70,Equipment!$A$1:$B$2322,2,FALSE)</f>
        <v>0</v>
      </c>
      <c r="C49" s="24"/>
      <c r="D49" s="24"/>
      <c r="E49" s="24"/>
      <c r="F49" s="24"/>
      <c r="G49" s="24"/>
      <c r="H49" s="36"/>
      <c r="I49" s="20"/>
      <c r="J49" s="42">
        <f>VLOOKUP($B$24:$B$57,'Alberta Equip. Rates Year 3'!$B$13:$K$314,10,FALSE)</f>
        <v>0</v>
      </c>
      <c r="K49" s="181">
        <f t="shared" si="2"/>
        <v>0</v>
      </c>
    </row>
    <row r="50" spans="1:11" ht="15" customHeight="1">
      <c r="A50" s="43"/>
      <c r="B50" s="49">
        <f>VLOOKUP($C$34:$C$70,Equipment!$A$1:$B$2322,2,FALSE)</f>
        <v>0</v>
      </c>
      <c r="C50" s="24"/>
      <c r="D50" s="24"/>
      <c r="E50" s="24"/>
      <c r="F50" s="24"/>
      <c r="G50" s="24"/>
      <c r="H50" s="36"/>
      <c r="I50" s="20"/>
      <c r="J50" s="42">
        <f>VLOOKUP($B$24:$B$57,'Alberta Equip. Rates Year 3'!$B$13:$K$314,10,FALSE)</f>
        <v>0</v>
      </c>
      <c r="K50" s="181">
        <f t="shared" si="2"/>
        <v>0</v>
      </c>
    </row>
    <row r="51" spans="1:11" ht="15" customHeight="1">
      <c r="A51" s="43"/>
      <c r="B51" s="49">
        <f>VLOOKUP($C$34:$C$70,Equipment!$A$1:$B$2322,2,FALSE)</f>
        <v>0</v>
      </c>
      <c r="C51" s="24"/>
      <c r="D51" s="24"/>
      <c r="E51" s="24"/>
      <c r="F51" s="24"/>
      <c r="G51" s="24"/>
      <c r="H51" s="36"/>
      <c r="I51" s="20"/>
      <c r="J51" s="42">
        <f>VLOOKUP($B$24:$B$57,'Alberta Equip. Rates Year 3'!$B$13:$K$314,10,FALSE)</f>
        <v>0</v>
      </c>
      <c r="K51" s="181">
        <f t="shared" si="2"/>
        <v>0</v>
      </c>
    </row>
    <row r="52" spans="1:11" ht="15" customHeight="1">
      <c r="A52" s="43"/>
      <c r="B52" s="49">
        <f>VLOOKUP($C$34:$C$70,Equipment!$A$1:$B$2322,2,FALSE)</f>
        <v>0</v>
      </c>
      <c r="C52" s="24"/>
      <c r="D52" s="24"/>
      <c r="E52" s="24"/>
      <c r="F52" s="24"/>
      <c r="G52" s="24"/>
      <c r="H52" s="36"/>
      <c r="I52" s="20"/>
      <c r="J52" s="42">
        <f>VLOOKUP($B$24:$B$57,'Alberta Equip. Rates Year 3'!$B$13:$K$314,10,FALSE)</f>
        <v>0</v>
      </c>
      <c r="K52" s="181">
        <f t="shared" si="2"/>
        <v>0</v>
      </c>
    </row>
    <row r="53" spans="1:11" ht="15" customHeight="1">
      <c r="A53" s="43"/>
      <c r="B53" s="49">
        <f>VLOOKUP($C$34:$C$70,Equipment!$A$1:$B$2322,2,FALSE)</f>
        <v>0</v>
      </c>
      <c r="C53" s="24"/>
      <c r="D53" s="24"/>
      <c r="E53" s="24"/>
      <c r="F53" s="24"/>
      <c r="G53" s="24"/>
      <c r="H53" s="36"/>
      <c r="I53" s="20"/>
      <c r="J53" s="42">
        <f>VLOOKUP($B$24:$B$57,'Alberta Equip. Rates Year 3'!$B$13:$K$314,10,FALSE)</f>
        <v>0</v>
      </c>
      <c r="K53" s="181">
        <f t="shared" si="2"/>
        <v>0</v>
      </c>
    </row>
    <row r="54" spans="1:11" ht="15" customHeight="1">
      <c r="A54" s="43"/>
      <c r="B54" s="49">
        <f>VLOOKUP($C$34:$C$70,Equipment!$A$1:$B$2322,2,FALSE)</f>
        <v>0</v>
      </c>
      <c r="C54" s="24"/>
      <c r="D54" s="24"/>
      <c r="E54" s="24"/>
      <c r="F54" s="24"/>
      <c r="G54" s="24"/>
      <c r="H54" s="36"/>
      <c r="I54" s="20"/>
      <c r="J54" s="42">
        <f>VLOOKUP($B$24:$B$57,'Alberta Equip. Rates Year 3'!$B$13:$K$314,10,FALSE)</f>
        <v>0</v>
      </c>
      <c r="K54" s="181">
        <f t="shared" si="2"/>
        <v>0</v>
      </c>
    </row>
    <row r="55" spans="1:11" ht="15" customHeight="1">
      <c r="A55" s="43"/>
      <c r="B55" s="49">
        <f>VLOOKUP($C$34:$C$70,Equipment!$A$1:$B$2322,2,FALSE)</f>
        <v>0</v>
      </c>
      <c r="C55" s="24"/>
      <c r="D55" s="24"/>
      <c r="E55" s="24"/>
      <c r="F55" s="24"/>
      <c r="G55" s="24"/>
      <c r="H55" s="36"/>
      <c r="I55" s="20"/>
      <c r="J55" s="42">
        <f>VLOOKUP($B$24:$B$57,'Alberta Equip. Rates Year 3'!$B$13:$K$314,10,FALSE)</f>
        <v>0</v>
      </c>
      <c r="K55" s="181">
        <f t="shared" si="2"/>
        <v>0</v>
      </c>
    </row>
    <row r="56" spans="1:11" ht="15" customHeight="1">
      <c r="A56" s="43"/>
      <c r="B56" s="49">
        <f>VLOOKUP($C$34:$C$70,Equipment!$A$1:$B$2322,2,FALSE)</f>
        <v>0</v>
      </c>
      <c r="C56" s="24"/>
      <c r="D56" s="24"/>
      <c r="E56" s="24"/>
      <c r="F56" s="24"/>
      <c r="G56" s="24"/>
      <c r="H56" s="36"/>
      <c r="I56" s="20"/>
      <c r="J56" s="42">
        <f>VLOOKUP($B$24:$B$57,'Alberta Equip. Rates Year 3'!$B$13:$K$314,10,FALSE)</f>
        <v>0</v>
      </c>
      <c r="K56" s="181">
        <f t="shared" si="2"/>
        <v>0</v>
      </c>
    </row>
    <row r="57" spans="1:11" ht="15" customHeight="1">
      <c r="A57" s="43"/>
      <c r="B57" s="49">
        <f>VLOOKUP($C$34:$C$70,Equipment!$A$1:$B$2322,2,FALSE)</f>
        <v>0</v>
      </c>
      <c r="C57" s="24"/>
      <c r="D57" s="24"/>
      <c r="E57" s="24"/>
      <c r="F57" s="24"/>
      <c r="G57" s="24"/>
      <c r="H57" s="36"/>
      <c r="I57" s="20"/>
      <c r="J57" s="42">
        <f>VLOOKUP($B$24:$B$57,'Alberta Equip. Rates Year 3'!$B$13:$K$314,10,FALSE)</f>
        <v>0</v>
      </c>
      <c r="K57" s="181">
        <f t="shared" si="2"/>
        <v>0</v>
      </c>
    </row>
    <row r="58" spans="1:11" ht="15" customHeight="1">
      <c r="A58" s="43"/>
      <c r="B58" s="49">
        <f>VLOOKUP($C$34:$C$70,Equipment!$A$1:$B$2322,2,FALSE)</f>
        <v>0</v>
      </c>
      <c r="C58" s="24"/>
      <c r="D58" s="24"/>
      <c r="E58" s="24"/>
      <c r="F58" s="24"/>
      <c r="G58" s="24"/>
      <c r="H58" s="36"/>
      <c r="I58" s="20"/>
      <c r="J58" s="42">
        <f>VLOOKUP($B$34:$B$70,'Alberta Equip. Rates Year 3'!$B$13:$K$314,10,FALSE)</f>
        <v>0</v>
      </c>
      <c r="K58" s="181">
        <f t="shared" si="2"/>
        <v>0</v>
      </c>
    </row>
    <row r="59" spans="1:11" ht="15" customHeight="1">
      <c r="A59" s="43"/>
      <c r="B59" s="49">
        <f>VLOOKUP($C$34:$C$70,Equipment!$A$1:$B$2322,2,FALSE)</f>
        <v>0</v>
      </c>
      <c r="C59" s="24"/>
      <c r="D59" s="24"/>
      <c r="E59" s="24"/>
      <c r="F59" s="24"/>
      <c r="G59" s="24"/>
      <c r="H59" s="36"/>
      <c r="I59" s="20"/>
      <c r="J59" s="42">
        <f>VLOOKUP($B$34:$B$70,'Alberta Equip. Rates Year 3'!$B$13:$K$314,10,FALSE)</f>
        <v>0</v>
      </c>
      <c r="K59" s="181">
        <f>(H59+I59)*J59</f>
        <v>0</v>
      </c>
    </row>
    <row r="60" spans="1:11" ht="15" customHeight="1">
      <c r="A60" s="43"/>
      <c r="B60" s="49">
        <f>VLOOKUP($C$34:$C$70,Equipment!$A$1:$B$2322,2,FALSE)</f>
        <v>0</v>
      </c>
      <c r="C60" s="24"/>
      <c r="D60" s="24"/>
      <c r="E60" s="24"/>
      <c r="F60" s="24"/>
      <c r="G60" s="24"/>
      <c r="H60" s="36"/>
      <c r="I60" s="20"/>
      <c r="J60" s="42">
        <f>VLOOKUP($B$34:$B$70,'Alberta Equip. Rates Year 3'!$B$13:$K$314,10,FALSE)</f>
        <v>0</v>
      </c>
      <c r="K60" s="181">
        <f>(H60+I60)*J60</f>
        <v>0</v>
      </c>
    </row>
    <row r="61" spans="1:11" ht="15" customHeight="1">
      <c r="A61" s="43"/>
      <c r="B61" s="49">
        <f>VLOOKUP($C$34:$C$70,Equipment!$A$1:$B$2322,2,FALSE)</f>
        <v>0</v>
      </c>
      <c r="C61" s="24"/>
      <c r="D61" s="24"/>
      <c r="E61" s="24"/>
      <c r="F61" s="24"/>
      <c r="G61" s="24"/>
      <c r="H61" s="36"/>
      <c r="I61" s="20"/>
      <c r="J61" s="42">
        <f>VLOOKUP($B$34:$B$70,'Alberta Equip. Rates Year 3'!$B$13:$K$314,10,FALSE)</f>
        <v>0</v>
      </c>
      <c r="K61" s="181">
        <f>(H61+I61)*J61</f>
        <v>0</v>
      </c>
    </row>
    <row r="62" spans="1:11" ht="15" customHeight="1">
      <c r="A62" s="43"/>
      <c r="B62" s="49">
        <f>VLOOKUP($C$34:$C$70,Equipment!$A$1:$B$2322,2,FALSE)</f>
        <v>0</v>
      </c>
      <c r="C62" s="24"/>
      <c r="D62" s="24"/>
      <c r="E62" s="24"/>
      <c r="F62" s="24"/>
      <c r="G62" s="24"/>
      <c r="H62" s="36"/>
      <c r="I62" s="20"/>
      <c r="J62" s="42">
        <f>VLOOKUP($B$34:$B$70,'Alberta Equip. Rates Year 3'!$B$13:$K$314,10,FALSE)</f>
        <v>0</v>
      </c>
      <c r="K62" s="181">
        <f t="shared" si="2"/>
        <v>0</v>
      </c>
    </row>
    <row r="63" spans="1:11" ht="15" customHeight="1">
      <c r="A63" s="43"/>
      <c r="B63" s="49">
        <f>VLOOKUP($C$34:$C$70,Equipment!$A$1:$B$2322,2,FALSE)</f>
        <v>0</v>
      </c>
      <c r="C63" s="24"/>
      <c r="D63" s="24"/>
      <c r="E63" s="24"/>
      <c r="F63" s="24"/>
      <c r="G63" s="24"/>
      <c r="H63" s="36"/>
      <c r="I63" s="20"/>
      <c r="J63" s="42">
        <f>VLOOKUP($B$34:$B$70,'Alberta Equip. Rates Year 3'!$B$13:$K$314,10,FALSE)</f>
        <v>0</v>
      </c>
      <c r="K63" s="181">
        <f t="shared" si="2"/>
        <v>0</v>
      </c>
    </row>
    <row r="64" spans="1:11" ht="15" customHeight="1">
      <c r="A64" s="43"/>
      <c r="B64" s="49">
        <f>VLOOKUP($C$34:$C$70,Equipment!$A$1:$B$2322,2,FALSE)</f>
        <v>0</v>
      </c>
      <c r="C64" s="24"/>
      <c r="D64" s="24"/>
      <c r="E64" s="24"/>
      <c r="F64" s="24"/>
      <c r="G64" s="24"/>
      <c r="H64" s="36"/>
      <c r="I64" s="20"/>
      <c r="J64" s="42">
        <f>VLOOKUP($B$34:$B$70,'Alberta Equip. Rates Year 3'!$B$13:$K$314,10,FALSE)</f>
        <v>0</v>
      </c>
      <c r="K64" s="181">
        <f>(H64+I64)*J64</f>
        <v>0</v>
      </c>
    </row>
    <row r="65" spans="1:11" ht="15" customHeight="1">
      <c r="A65" s="43"/>
      <c r="B65" s="49">
        <f>VLOOKUP($C$34:$C$70,Equipment!$A$1:$B$2322,2,FALSE)</f>
        <v>0</v>
      </c>
      <c r="C65" s="24"/>
      <c r="D65" s="24"/>
      <c r="E65" s="24"/>
      <c r="F65" s="24"/>
      <c r="G65" s="24"/>
      <c r="H65" s="36"/>
      <c r="I65" s="20"/>
      <c r="J65" s="42">
        <f>VLOOKUP($B$34:$B$70,'Alberta Equip. Rates Year 3'!$B$13:$K$314,10,FALSE)</f>
        <v>0</v>
      </c>
      <c r="K65" s="181">
        <f>(H65+I65)*J65</f>
        <v>0</v>
      </c>
    </row>
    <row r="66" spans="1:11" ht="15" customHeight="1">
      <c r="A66" s="43"/>
      <c r="B66" s="49">
        <f>VLOOKUP($C$34:$C$70,Equipment!$A$1:$B$2322,2,FALSE)</f>
        <v>0</v>
      </c>
      <c r="C66" s="24"/>
      <c r="D66" s="24"/>
      <c r="E66" s="24"/>
      <c r="F66" s="24"/>
      <c r="G66" s="24"/>
      <c r="H66" s="36"/>
      <c r="I66" s="20"/>
      <c r="J66" s="42">
        <f>VLOOKUP($B$34:$B$70,'Alberta Equip. Rates Year 3'!$B$13:$K$314,10,FALSE)</f>
        <v>0</v>
      </c>
      <c r="K66" s="181">
        <f>(H66+I66)*J66</f>
        <v>0</v>
      </c>
    </row>
    <row r="67" spans="1:11" ht="15" customHeight="1">
      <c r="A67" s="43"/>
      <c r="B67" s="49">
        <f>VLOOKUP($C$34:$C$70,Equipment!$A$1:$B$2322,2,FALSE)</f>
        <v>0</v>
      </c>
      <c r="C67" s="24"/>
      <c r="D67" s="24"/>
      <c r="E67" s="24"/>
      <c r="F67" s="24"/>
      <c r="G67" s="24"/>
      <c r="H67" s="36"/>
      <c r="I67" s="20"/>
      <c r="J67" s="42">
        <f>VLOOKUP($B$34:$B$70,'Alberta Equip. Rates Year 3'!$B$13:$K$314,10,FALSE)</f>
        <v>0</v>
      </c>
      <c r="K67" s="181">
        <f>(H67+I67)*J67</f>
        <v>0</v>
      </c>
    </row>
    <row r="68" spans="1:11" ht="15" customHeight="1">
      <c r="A68" s="43"/>
      <c r="B68" s="49">
        <f>VLOOKUP($C$34:$C$70,Equipment!$A$1:$B$2322,2,FALSE)</f>
        <v>0</v>
      </c>
      <c r="C68" s="24"/>
      <c r="D68" s="24"/>
      <c r="E68" s="24"/>
      <c r="F68" s="24"/>
      <c r="G68" s="24"/>
      <c r="H68" s="36"/>
      <c r="I68" s="20"/>
      <c r="J68" s="42">
        <f>VLOOKUP($B$34:$B$70,'Alberta Equip. Rates Year 3'!$B$13:$K$314,10,FALSE)</f>
        <v>0</v>
      </c>
      <c r="K68" s="181">
        <f t="shared" si="2"/>
        <v>0</v>
      </c>
    </row>
    <row r="69" spans="1:11" ht="15" customHeight="1">
      <c r="A69" s="43"/>
      <c r="B69" s="49">
        <f>VLOOKUP($C$34:$C$70,Equipment!$A$1:$B$2322,2,FALSE)</f>
        <v>0</v>
      </c>
      <c r="C69" s="24"/>
      <c r="D69" s="24"/>
      <c r="E69" s="24"/>
      <c r="F69" s="24"/>
      <c r="G69" s="24"/>
      <c r="H69" s="36"/>
      <c r="I69" s="20"/>
      <c r="J69" s="42">
        <f>VLOOKUP($B$34:$B$70,'Alberta Equip. Rates Year 3'!$B$13:$K$314,10,FALSE)</f>
        <v>0</v>
      </c>
      <c r="K69" s="181">
        <f t="shared" si="2"/>
        <v>0</v>
      </c>
    </row>
    <row r="70" spans="1:11" ht="15" customHeight="1" thickBot="1">
      <c r="A70" s="43"/>
      <c r="B70" s="49">
        <f>VLOOKUP($C$34:$C$70,Equipment!$A$1:$B$2322,2,FALSE)</f>
        <v>0</v>
      </c>
      <c r="C70" s="24"/>
      <c r="D70" s="24"/>
      <c r="E70" s="24"/>
      <c r="F70" s="24"/>
      <c r="G70" s="24"/>
      <c r="H70" s="36"/>
      <c r="I70" s="20"/>
      <c r="J70" s="42">
        <f>VLOOKUP($B$34:$B$70,'Alberta Equip. Rates Year 3'!$B$13:$K$314,10,FALSE)</f>
        <v>0</v>
      </c>
      <c r="K70" s="181">
        <f>(H70+I70)*J70</f>
        <v>0</v>
      </c>
    </row>
    <row r="71" spans="1:11" ht="12" thickBot="1">
      <c r="A71" s="25"/>
      <c r="B71" s="25"/>
      <c r="C71" s="25"/>
      <c r="D71" s="21"/>
      <c r="E71" s="21"/>
      <c r="F71" s="21"/>
      <c r="G71" s="21"/>
      <c r="H71" s="21"/>
      <c r="I71" s="360" t="s">
        <v>24</v>
      </c>
      <c r="J71" s="361"/>
      <c r="K71" s="182">
        <f>SUM(K34:K70)</f>
        <v>4177</v>
      </c>
    </row>
    <row r="72" spans="1:11" ht="12" thickBot="1">
      <c r="A72" s="26"/>
      <c r="D72" s="26"/>
      <c r="I72" s="27"/>
      <c r="J72" s="27"/>
      <c r="K72" s="28"/>
    </row>
    <row r="73" spans="1:11">
      <c r="A73" s="1" t="s">
        <v>25</v>
      </c>
      <c r="B73" s="29"/>
      <c r="D73" s="1"/>
      <c r="E73" s="1"/>
      <c r="F73" s="1"/>
      <c r="G73" s="1"/>
      <c r="H73" s="1"/>
      <c r="I73" s="362" t="s">
        <v>26</v>
      </c>
      <c r="J73" s="362"/>
      <c r="K73" s="37">
        <f>K31</f>
        <v>10821.23</v>
      </c>
    </row>
    <row r="74" spans="1:11">
      <c r="D74" s="1"/>
      <c r="E74" s="1"/>
      <c r="F74" s="1"/>
      <c r="G74" s="1"/>
      <c r="H74" s="1"/>
      <c r="I74" s="362" t="s">
        <v>27</v>
      </c>
      <c r="J74" s="362"/>
      <c r="K74" s="38">
        <f>K71</f>
        <v>4177</v>
      </c>
    </row>
    <row r="75" spans="1:11">
      <c r="D75" s="1"/>
      <c r="E75" s="1"/>
      <c r="F75" s="1"/>
      <c r="G75" s="1"/>
      <c r="H75" s="1"/>
      <c r="I75" s="27" t="s">
        <v>28</v>
      </c>
      <c r="J75" s="27"/>
      <c r="K75" s="38">
        <f>(O31)*14.15</f>
        <v>1457.45</v>
      </c>
    </row>
    <row r="76" spans="1:11">
      <c r="D76" s="1"/>
      <c r="E76" s="1"/>
      <c r="F76" s="1"/>
      <c r="G76" s="1"/>
      <c r="H76" s="1"/>
      <c r="I76" s="30" t="s">
        <v>29</v>
      </c>
      <c r="J76" s="30"/>
      <c r="K76" s="39"/>
    </row>
    <row r="77" spans="1:11">
      <c r="D77" s="1"/>
      <c r="E77" s="1"/>
      <c r="F77" s="1"/>
      <c r="G77" s="1"/>
      <c r="H77" s="1"/>
      <c r="I77" s="30" t="s">
        <v>30</v>
      </c>
      <c r="J77" s="30"/>
      <c r="K77" s="39"/>
    </row>
    <row r="78" spans="1:11">
      <c r="D78" s="1"/>
      <c r="E78" s="1"/>
      <c r="F78" s="1"/>
      <c r="G78" s="1"/>
      <c r="H78" s="1"/>
      <c r="I78" s="30" t="s">
        <v>31</v>
      </c>
      <c r="J78" s="30"/>
      <c r="K78" s="39"/>
    </row>
    <row r="79" spans="1:11" ht="12" thickBot="1">
      <c r="D79" s="1"/>
      <c r="E79" s="1"/>
      <c r="F79" s="1"/>
      <c r="G79" s="1"/>
      <c r="H79" s="1"/>
      <c r="I79" s="362" t="s">
        <v>32</v>
      </c>
      <c r="J79" s="362"/>
      <c r="K79" s="40">
        <f>SUM(K73:K78)</f>
        <v>16455.68</v>
      </c>
    </row>
    <row r="80" spans="1:11">
      <c r="D80" s="1"/>
      <c r="E80" s="1"/>
      <c r="F80" s="1"/>
      <c r="G80" s="1"/>
      <c r="H80" s="1"/>
      <c r="I80" s="27"/>
      <c r="J80" s="27"/>
    </row>
    <row r="81" spans="1:11">
      <c r="A81" s="31" t="s">
        <v>33</v>
      </c>
      <c r="B81" s="32"/>
      <c r="C81" s="32"/>
      <c r="D81" s="1"/>
      <c r="H81" s="33" t="s">
        <v>34</v>
      </c>
      <c r="I81" s="32"/>
      <c r="J81" s="32"/>
      <c r="K81" s="32"/>
    </row>
    <row r="82" spans="1:11" ht="15">
      <c r="A82" s="34"/>
      <c r="E82" s="8"/>
      <c r="F82" s="8"/>
      <c r="G82" s="8"/>
      <c r="H82" s="35"/>
      <c r="I82" s="35"/>
      <c r="J82" s="35"/>
      <c r="K82" s="35"/>
    </row>
    <row r="83" spans="1:11" ht="15">
      <c r="A83" s="34" t="s">
        <v>35</v>
      </c>
      <c r="E83" s="8"/>
      <c r="F83" s="8"/>
      <c r="G83" s="8"/>
      <c r="H83" s="35"/>
      <c r="I83" s="35"/>
      <c r="J83" s="35"/>
      <c r="K83" s="35"/>
    </row>
    <row r="84" spans="1:11" s="34" customFormat="1">
      <c r="A84" s="363">
        <v>41218.479166666664</v>
      </c>
      <c r="B84" s="363"/>
      <c r="C84" s="364"/>
      <c r="D84" s="364"/>
      <c r="E84" s="364"/>
      <c r="F84" s="364"/>
      <c r="G84" s="364"/>
      <c r="H84" s="364"/>
      <c r="I84" s="364"/>
      <c r="J84" s="364"/>
      <c r="K84" s="8"/>
    </row>
    <row r="94" spans="1:11">
      <c r="D94" s="1"/>
      <c r="E94" s="1"/>
      <c r="F94" s="1"/>
      <c r="G94" s="1"/>
      <c r="H94" s="1"/>
      <c r="I94" s="1"/>
      <c r="J94" s="1"/>
    </row>
    <row r="95" spans="1:11">
      <c r="D95" s="1"/>
      <c r="E95" s="1"/>
      <c r="F95" s="1"/>
      <c r="G95" s="1"/>
      <c r="H95" s="1"/>
      <c r="I95" s="1"/>
      <c r="J95" s="1"/>
    </row>
    <row r="96" spans="1:11">
      <c r="D96" s="1"/>
      <c r="E96" s="1"/>
      <c r="F96" s="1"/>
      <c r="G96" s="1"/>
      <c r="H96" s="1"/>
      <c r="I96" s="1"/>
      <c r="J96" s="1"/>
    </row>
    <row r="97" s="1" customFormat="1"/>
    <row r="98" s="1" customFormat="1"/>
    <row r="99" s="1" customFormat="1"/>
    <row r="100" s="1" customFormat="1"/>
    <row r="101" s="1" customFormat="1"/>
    <row r="102" s="1" customFormat="1"/>
    <row r="103" s="1" customFormat="1"/>
    <row r="104" s="1" customFormat="1"/>
    <row r="105" s="1" customFormat="1"/>
    <row r="106" s="1" customFormat="1"/>
    <row r="107" s="1" customFormat="1"/>
    <row r="112" s="1" customFormat="1"/>
    <row r="140" s="1" customFormat="1"/>
    <row r="141" s="1" customFormat="1"/>
    <row r="142" s="1" customFormat="1"/>
    <row r="143" s="1" customFormat="1"/>
  </sheetData>
  <mergeCells count="12">
    <mergeCell ref="I71:J71"/>
    <mergeCell ref="I73:J73"/>
    <mergeCell ref="I74:J74"/>
    <mergeCell ref="I79:J79"/>
    <mergeCell ref="A84:B84"/>
    <mergeCell ref="C84:J84"/>
    <mergeCell ref="I31:J31"/>
    <mergeCell ref="C1:H1"/>
    <mergeCell ref="C2:H2"/>
    <mergeCell ref="C3:H3"/>
    <mergeCell ref="H6:I6"/>
    <mergeCell ref="H7:I7"/>
  </mergeCells>
  <printOptions horizontalCentered="1"/>
  <pageMargins left="0.19685039370078741" right="0.19685039370078741" top="0.39370078740157483" bottom="0.39370078740157483" header="0" footer="0"/>
  <pageSetup orientation="portrait" horizontalDpi="4294967292" verticalDpi="4294967292"/>
  <extLst>
    <ext xmlns:x14="http://schemas.microsoft.com/office/spreadsheetml/2009/9/main" uri="{78C0D931-6437-407d-A8EE-F0AAD7539E65}">
      <x14:conditionalFormattings>
        <x14:conditionalFormatting xmlns:xm="http://schemas.microsoft.com/office/excel/2006/main">
          <x14:cfRule type="expression" priority="40202" id="{9C7A5DFE-9793-4869-939A-EEE8C055FA53}">
            <xm:f>ISTEX('Field Log (5)'!A11:A32)</xm:f>
            <x14:dxf>
              <fill>
                <patternFill>
                  <bgColor theme="8" tint="0.59996337778862885"/>
                </patternFill>
              </fill>
            </x14:dxf>
          </x14:cfRule>
          <xm:sqref>M11:M15</xm:sqref>
        </x14:conditionalFormatting>
        <x14:conditionalFormatting xmlns:xm="http://schemas.microsoft.com/office/excel/2006/main">
          <x14:cfRule type="expression" priority="40245" id="{9C7A5DFE-9793-4869-939A-EEE8C055FA53}">
            <xm:f>ISTEX('Field Log (5)'!A17:A38)</xm:f>
            <x14:dxf>
              <fill>
                <patternFill>
                  <bgColor theme="8" tint="0.59996337778862885"/>
                </patternFill>
              </fill>
            </x14:dxf>
          </x14:cfRule>
          <xm:sqref>M16:M19</xm:sqref>
        </x14:conditionalFormatting>
        <x14:conditionalFormatting xmlns:xm="http://schemas.microsoft.com/office/excel/2006/main">
          <x14:cfRule type="expression" priority="40201" id="{9C7A5DFE-9793-4869-939A-EEE8C055FA53}">
            <xm:f>ISTEX('Field Log (5)'!A23:A43)</xm:f>
            <x14:dxf>
              <fill>
                <patternFill>
                  <bgColor theme="8" tint="0.59996337778862885"/>
                </patternFill>
              </fill>
            </x14:dxf>
          </x14:cfRule>
          <xm:sqref>M20:M30</xm:sqref>
        </x14:conditionalFormatting>
      </x14:conditionalFormattings>
    </ext>
    <ext xmlns:x14="http://schemas.microsoft.com/office/spreadsheetml/2009/9/main" uri="{CCE6A557-97BC-4b89-ADB6-D9C93CAAB3DF}">
      <x14:dataValidations xmlns:xm="http://schemas.microsoft.com/office/excel/2006/main" count="4">
        <x14:dataValidation type="list" allowBlank="1" showInputMessage="1" showErrorMessage="1" xr:uid="{00000000-0002-0000-1600-000000000000}">
          <x14:formula1>
            <xm:f>Accounts!$A$4:$A$60</xm:f>
          </x14:formula1>
          <xm:sqref>K7</xm:sqref>
        </x14:dataValidation>
        <x14:dataValidation type="list" allowBlank="1" showInputMessage="1" showErrorMessage="1" xr:uid="{00000000-0002-0000-1600-000001000000}">
          <x14:formula1>
            <xm:f>'Constr. Wage Rate Calculations'!$A$19:$A$288</xm:f>
          </x14:formula1>
          <xm:sqref>B11:B30</xm:sqref>
        </x14:dataValidation>
        <x14:dataValidation type="list" allowBlank="1" showInputMessage="1" showErrorMessage="1" xr:uid="{00000000-0002-0000-1600-000002000000}">
          <x14:formula1>
            <xm:f>Personnel!$A:$A</xm:f>
          </x14:formula1>
          <xm:sqref>C11:C30</xm:sqref>
        </x14:dataValidation>
        <x14:dataValidation type="list" allowBlank="1" showInputMessage="1" showErrorMessage="1" xr:uid="{00000000-0002-0000-1600-000003000000}">
          <x14:formula1>
            <xm:f>Equipment!$A:$A</xm:f>
          </x14:formula1>
          <xm:sqref>C34:C70</xm:sqref>
        </x14:dataValidation>
      </x14:dataValidations>
    </ext>
    <ext xmlns:mx="http://schemas.microsoft.com/office/mac/excel/2008/main" uri="{64002731-A6B0-56B0-2670-7721B7C09600}">
      <mx:PLV Mode="0" OnePage="0" WScale="0"/>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CCFFCC"/>
    <pageSetUpPr fitToPage="1"/>
  </sheetPr>
  <dimension ref="A1:O153"/>
  <sheetViews>
    <sheetView zoomScale="120" zoomScaleNormal="120" zoomScalePageLayoutView="120" workbookViewId="0">
      <selection activeCell="D18" sqref="D18"/>
    </sheetView>
  </sheetViews>
  <sheetFormatPr baseColWidth="10" defaultColWidth="8.83203125" defaultRowHeight="11"/>
  <cols>
    <col min="1" max="1" width="13" style="1" customWidth="1"/>
    <col min="2" max="2" width="30" style="1" customWidth="1"/>
    <col min="3" max="3" width="24.5" style="1" customWidth="1"/>
    <col min="4" max="4" width="8.6640625" style="2" customWidth="1"/>
    <col min="5" max="6" width="8.33203125" style="2" customWidth="1"/>
    <col min="7" max="8" width="8.6640625" style="2" customWidth="1"/>
    <col min="9" max="9" width="9.33203125" style="2" customWidth="1"/>
    <col min="10" max="10" width="8.6640625" style="2" customWidth="1"/>
    <col min="11" max="11" width="19.5" style="1" customWidth="1"/>
    <col min="12" max="12" width="3.5" style="1" hidden="1" customWidth="1"/>
    <col min="13" max="16384" width="8.83203125" style="1"/>
  </cols>
  <sheetData>
    <row r="1" spans="1:13" ht="15">
      <c r="C1" s="364"/>
      <c r="D1" s="365"/>
      <c r="E1" s="365"/>
      <c r="F1" s="365"/>
      <c r="G1" s="365"/>
      <c r="H1" s="366"/>
      <c r="J1" s="2" t="s">
        <v>0</v>
      </c>
      <c r="K1" s="197">
        <v>41659</v>
      </c>
      <c r="M1" s="45"/>
    </row>
    <row r="2" spans="1:13" ht="15">
      <c r="C2" s="367"/>
      <c r="D2" s="367"/>
      <c r="E2" s="367"/>
      <c r="F2" s="367"/>
      <c r="G2" s="367"/>
      <c r="H2" s="366"/>
      <c r="K2" s="41"/>
    </row>
    <row r="3" spans="1:13" ht="15">
      <c r="C3" s="368"/>
      <c r="D3" s="369"/>
      <c r="E3" s="369"/>
      <c r="F3" s="369"/>
      <c r="G3" s="369"/>
      <c r="H3" s="366"/>
    </row>
    <row r="4" spans="1:13">
      <c r="C4" s="3"/>
      <c r="D4" s="4"/>
      <c r="E4" s="4"/>
      <c r="F4" s="4"/>
      <c r="G4" s="4"/>
    </row>
    <row r="5" spans="1:13">
      <c r="C5" s="3"/>
      <c r="D5" s="4"/>
      <c r="E5" s="4"/>
      <c r="F5" s="4"/>
      <c r="G5" s="4"/>
    </row>
    <row r="6" spans="1:13" ht="12">
      <c r="B6" s="5"/>
      <c r="C6" s="6"/>
      <c r="D6" s="7"/>
      <c r="E6" s="8"/>
      <c r="F6" s="8"/>
      <c r="G6" s="1" t="s">
        <v>1</v>
      </c>
      <c r="H6" s="370">
        <v>18230</v>
      </c>
      <c r="I6" s="370"/>
      <c r="J6" s="1" t="s">
        <v>2</v>
      </c>
      <c r="K6" s="47"/>
    </row>
    <row r="7" spans="1:13" ht="12">
      <c r="A7" s="1" t="s">
        <v>3</v>
      </c>
      <c r="B7" s="9"/>
      <c r="C7" s="10"/>
      <c r="D7" s="11"/>
      <c r="E7" s="8"/>
      <c r="F7" s="8"/>
      <c r="G7" s="1" t="s">
        <v>4</v>
      </c>
      <c r="H7" s="371"/>
      <c r="I7" s="371"/>
      <c r="J7" s="1" t="s">
        <v>5</v>
      </c>
      <c r="K7" s="46" t="s">
        <v>511</v>
      </c>
    </row>
    <row r="8" spans="1:13" ht="12">
      <c r="B8" s="12"/>
      <c r="C8" s="13"/>
      <c r="D8" s="14"/>
      <c r="E8" s="8"/>
      <c r="F8" s="8"/>
      <c r="G8" s="1" t="s">
        <v>6</v>
      </c>
      <c r="H8" s="187"/>
      <c r="I8" s="188"/>
      <c r="J8" s="44"/>
    </row>
    <row r="9" spans="1:13" ht="16" thickBot="1">
      <c r="B9" s="15"/>
      <c r="C9" s="16"/>
      <c r="D9" s="16"/>
      <c r="E9" s="8"/>
      <c r="F9" s="8"/>
      <c r="G9" s="8"/>
    </row>
    <row r="10" spans="1:13" s="19" customFormat="1" ht="12" thickBot="1">
      <c r="A10" s="17" t="s">
        <v>7</v>
      </c>
      <c r="B10" s="17" t="s">
        <v>8</v>
      </c>
      <c r="C10" s="17" t="s">
        <v>9</v>
      </c>
      <c r="D10" s="18" t="s">
        <v>10</v>
      </c>
      <c r="E10" s="18" t="s">
        <v>11</v>
      </c>
      <c r="F10" s="18" t="s">
        <v>12</v>
      </c>
      <c r="G10" s="180" t="s">
        <v>13</v>
      </c>
      <c r="H10" s="18" t="s">
        <v>14</v>
      </c>
      <c r="I10" s="18" t="s">
        <v>15</v>
      </c>
      <c r="J10" s="18" t="s">
        <v>16</v>
      </c>
      <c r="K10" s="18" t="s">
        <v>17</v>
      </c>
      <c r="M10" s="19" t="s">
        <v>1797</v>
      </c>
    </row>
    <row r="11" spans="1:13" ht="24" customHeight="1">
      <c r="A11" s="48"/>
      <c r="B11" s="49">
        <f>VLOOKUP($C$11:$C$39,Personnel!$A$1:$B$1234,2,FALSE)</f>
        <v>0</v>
      </c>
      <c r="C11" s="36"/>
      <c r="D11" s="184"/>
      <c r="E11" s="179">
        <f>VLOOKUP($B$11:$B$39,'Constr. Wage Rate Calculations'!$A$19:$Z$288,22,FALSE)</f>
        <v>0</v>
      </c>
      <c r="F11" s="184"/>
      <c r="G11" s="179">
        <f>VLOOKUP($B$11:$B$39,'Constr. Wage Rate Calculations'!$A$19:$Z$288,23,FALSE)</f>
        <v>0</v>
      </c>
      <c r="H11" s="184"/>
      <c r="I11" s="179">
        <f>VLOOKUP($B$11:$B$39,'Constr. Wage Rate Calculations'!$A$19:$Z$288,24,FALSE)</f>
        <v>0</v>
      </c>
      <c r="J11" s="20">
        <f>VLOOKUP($B$11:$B$39,'Constr. Wage Rate Calculations'!$A$19:$Z$288,25,FALSE)</f>
        <v>0</v>
      </c>
      <c r="K11" s="179" t="str">
        <f t="shared" ref="K11:K22" si="0">IF($D11&gt;=1,$J11+(D11*E11)+(F11*G11)+(H11*I11),IF($F11&gt;=1,$J11+(D11*E11)+(F11*G11)+(H11*I11),IF($H11&gt;=1,$J11+(D11*E11)+(F11*G11)+(H11*I11),"")))</f>
        <v/>
      </c>
    </row>
    <row r="12" spans="1:13" ht="15" customHeight="1">
      <c r="A12" s="48"/>
      <c r="B12" s="49" t="str">
        <f>VLOOKUP($C$11:$C$39,Personnel!$A$1:$B$1234,2,FALSE)</f>
        <v>ENGINEERING MANAGER</v>
      </c>
      <c r="C12" s="36" t="s">
        <v>686</v>
      </c>
      <c r="D12" s="184">
        <v>1</v>
      </c>
      <c r="E12" s="179">
        <f>VLOOKUP($B$11:$B$39,'Constr. Wage Rate Calculations'!$A$19:$Z$288,22,FALSE)</f>
        <v>2019.69</v>
      </c>
      <c r="F12" s="184">
        <v>9</v>
      </c>
      <c r="G12" s="179">
        <f>VLOOKUP($B$11:$B$39,'Constr. Wage Rate Calculations'!$A$19:$Z$288,23,FALSE)</f>
        <v>0</v>
      </c>
      <c r="H12" s="184"/>
      <c r="I12" s="179"/>
      <c r="J12" s="20">
        <f>VLOOKUP($B$11:$B$39,'Constr. Wage Rate Calculations'!$A$19:$Z$288,25,FALSE)</f>
        <v>295</v>
      </c>
      <c r="K12" s="179">
        <f t="shared" si="0"/>
        <v>2314.69</v>
      </c>
    </row>
    <row r="13" spans="1:13" ht="15" customHeight="1">
      <c r="A13" s="48"/>
      <c r="B13" s="49" t="str">
        <f>VLOOKUP($C$11:$C$39,Personnel!$A$1:$B$1234,2,FALSE)</f>
        <v>ASSISTANT SUPERINTENDENT</v>
      </c>
      <c r="C13" s="36" t="s">
        <v>709</v>
      </c>
      <c r="D13" s="184">
        <v>1</v>
      </c>
      <c r="E13" s="179">
        <f>VLOOKUP($B$11:$B$39,'Constr. Wage Rate Calculations'!$A$19:$Z$288,22,FALSE)</f>
        <v>2019.69</v>
      </c>
      <c r="F13" s="184">
        <v>9</v>
      </c>
      <c r="G13" s="179">
        <f>VLOOKUP($B$11:$B$39,'Constr. Wage Rate Calculations'!$A$19:$Z$288,23,FALSE)</f>
        <v>0</v>
      </c>
      <c r="H13" s="184"/>
      <c r="I13" s="179">
        <f>VLOOKUP($B$11:$B$39,'Constr. Wage Rate Calculations'!$A$19:$Z$288,24,FALSE)</f>
        <v>0</v>
      </c>
      <c r="J13" s="20">
        <f>VLOOKUP($B$11:$B$39,'Constr. Wage Rate Calculations'!$A$19:$Z$288,25,FALSE)</f>
        <v>295</v>
      </c>
      <c r="K13" s="179">
        <f t="shared" si="0"/>
        <v>2314.69</v>
      </c>
    </row>
    <row r="14" spans="1:13" ht="15" customHeight="1">
      <c r="A14" s="48"/>
      <c r="B14" s="49" t="str">
        <f>VLOOKUP($C$11:$C$39,Personnel!$A$1:$B$1234,2,FALSE)</f>
        <v>SPEC LABOUR (CARPENTER, ETC.)</v>
      </c>
      <c r="C14" s="36" t="s">
        <v>969</v>
      </c>
      <c r="D14" s="184">
        <v>8</v>
      </c>
      <c r="E14" s="179">
        <f>VLOOKUP($B$11:$B$39,'Constr. Wage Rate Calculations'!$A$19:$Z$288,22,FALSE)</f>
        <v>49.84</v>
      </c>
      <c r="F14" s="184">
        <v>4</v>
      </c>
      <c r="G14" s="179">
        <f>VLOOKUP($B$11:$B$39,'Constr. Wage Rate Calculations'!$A$19:$Z$288,23,FALSE)</f>
        <v>74.75</v>
      </c>
      <c r="H14" s="184"/>
      <c r="I14" s="179">
        <f>VLOOKUP($B$11:$B$39,'Constr. Wage Rate Calculations'!$A$19:$Z$288,24,FALSE)</f>
        <v>99.67</v>
      </c>
      <c r="J14" s="20">
        <f>VLOOKUP($B$11:$B$39,'Constr. Wage Rate Calculations'!$A$19:$Z$288,25,FALSE)</f>
        <v>85</v>
      </c>
      <c r="K14" s="179">
        <f t="shared" si="0"/>
        <v>782.72</v>
      </c>
    </row>
    <row r="15" spans="1:13" ht="15" customHeight="1">
      <c r="A15" s="48"/>
      <c r="B15" s="49" t="str">
        <f>VLOOKUP($C$11:$C$39,Personnel!$A$1:$B$1234,2,FALSE)</f>
        <v>SUPERINTENDENT</v>
      </c>
      <c r="C15" s="36" t="s">
        <v>685</v>
      </c>
      <c r="D15" s="184">
        <v>1</v>
      </c>
      <c r="E15" s="179">
        <f>VLOOKUP($B$11:$B$39,'Constr. Wage Rate Calculations'!$A$19:$Z$288,22,FALSE)</f>
        <v>2644.72</v>
      </c>
      <c r="F15" s="184">
        <v>9</v>
      </c>
      <c r="G15" s="179">
        <f>VLOOKUP($B$11:$B$39,'Constr. Wage Rate Calculations'!$A$19:$Z$288,23,FALSE)</f>
        <v>0</v>
      </c>
      <c r="H15" s="184"/>
      <c r="I15" s="179">
        <f>VLOOKUP($B$11:$B$39,'Constr. Wage Rate Calculations'!$A$19:$Z$288,24,FALSE)</f>
        <v>0</v>
      </c>
      <c r="J15" s="20">
        <f>VLOOKUP($B$11:$B$39,'Constr. Wage Rate Calculations'!$A$19:$Z$288,25,FALSE)</f>
        <v>295</v>
      </c>
      <c r="K15" s="179">
        <f t="shared" si="0"/>
        <v>2939.72</v>
      </c>
    </row>
    <row r="16" spans="1:13" ht="15" customHeight="1">
      <c r="A16" s="48"/>
      <c r="B16" s="49" t="str">
        <f>VLOOKUP($C$11:$C$39,Personnel!$A$1:$B$1234,2,FALSE)</f>
        <v>ASSISTANT SUPERINTENDENT</v>
      </c>
      <c r="C16" s="36" t="s">
        <v>734</v>
      </c>
      <c r="D16" s="184">
        <v>1</v>
      </c>
      <c r="E16" s="179">
        <f>VLOOKUP($B$11:$B$39,'Constr. Wage Rate Calculations'!$A$19:$Z$288,22,FALSE)</f>
        <v>2019.69</v>
      </c>
      <c r="F16" s="184">
        <v>9</v>
      </c>
      <c r="G16" s="179">
        <f>VLOOKUP($B$11:$B$39,'Constr. Wage Rate Calculations'!$A$19:$Z$288,23,FALSE)</f>
        <v>0</v>
      </c>
      <c r="H16" s="184"/>
      <c r="I16" s="179">
        <f>VLOOKUP($B$11:$B$39,'Constr. Wage Rate Calculations'!$A$19:$Z$288,24,FALSE)</f>
        <v>0</v>
      </c>
      <c r="J16" s="20">
        <f>VLOOKUP($B$11:$B$39,'Constr. Wage Rate Calculations'!$A$19:$Z$288,25,FALSE)</f>
        <v>295</v>
      </c>
      <c r="K16" s="179">
        <f t="shared" si="0"/>
        <v>2314.69</v>
      </c>
    </row>
    <row r="17" spans="1:11" ht="15" customHeight="1">
      <c r="A17" s="48"/>
      <c r="B17" s="49" t="str">
        <f>VLOOKUP($C$11:$C$39,Personnel!$A$1:$B$1234,2,FALSE)</f>
        <v>OFFICE CLERK</v>
      </c>
      <c r="C17" s="36" t="s">
        <v>797</v>
      </c>
      <c r="D17" s="184">
        <v>1</v>
      </c>
      <c r="E17" s="179">
        <f>VLOOKUP($B$11:$B$39,'Constr. Wage Rate Calculations'!$A$19:$Z$288,22,FALSE)</f>
        <v>825.8</v>
      </c>
      <c r="F17" s="184">
        <v>9</v>
      </c>
      <c r="G17" s="179">
        <f>VLOOKUP($B$11:$B$39,'Constr. Wage Rate Calculations'!$A$19:$Z$288,23,FALSE)</f>
        <v>0</v>
      </c>
      <c r="H17" s="184"/>
      <c r="I17" s="179">
        <f>VLOOKUP($B$11:$B$39,'Constr. Wage Rate Calculations'!$A$19:$Z$288,24,FALSE)</f>
        <v>0</v>
      </c>
      <c r="J17" s="20">
        <f>VLOOKUP($B$11:$B$39,'Constr. Wage Rate Calculations'!$A$19:$Z$288,25,FALSE)</f>
        <v>230</v>
      </c>
      <c r="K17" s="179">
        <f t="shared" si="0"/>
        <v>1055.8</v>
      </c>
    </row>
    <row r="18" spans="1:11" ht="15" customHeight="1">
      <c r="A18" s="48"/>
      <c r="B18" s="49" t="str">
        <f>VLOOKUP($C$11:$C$39,Personnel!$A$1:$B$1234,2,FALSE)</f>
        <v>PROJECT PLANNER</v>
      </c>
      <c r="C18" s="36" t="s">
        <v>2680</v>
      </c>
      <c r="D18" s="184">
        <v>1</v>
      </c>
      <c r="E18" s="179">
        <f>VLOOKUP($B$11:$B$39,'Constr. Wage Rate Calculations'!$A$19:$Z$288,22,FALSE)</f>
        <v>1186.32</v>
      </c>
      <c r="F18" s="184">
        <v>9</v>
      </c>
      <c r="G18" s="179">
        <f>VLOOKUP($B$11:$B$39,'Constr. Wage Rate Calculations'!$A$19:$Z$288,23,FALSE)</f>
        <v>0</v>
      </c>
      <c r="H18" s="184"/>
      <c r="I18" s="179">
        <f>VLOOKUP($B$11:$B$39,'Constr. Wage Rate Calculations'!$A$19:$Z$288,24,FALSE)</f>
        <v>0</v>
      </c>
      <c r="J18" s="20">
        <f>VLOOKUP($B$11:$B$39,'Constr. Wage Rate Calculations'!$A$19:$Z$288,25,FALSE)</f>
        <v>230</v>
      </c>
      <c r="K18" s="179">
        <f t="shared" si="0"/>
        <v>1416.32</v>
      </c>
    </row>
    <row r="19" spans="1:11" ht="15" customHeight="1">
      <c r="A19" s="48"/>
      <c r="B19" s="49">
        <f>VLOOKUP($C$11:$C$39,Personnel!$A$1:$B$1234,2,FALSE)</f>
        <v>0</v>
      </c>
      <c r="C19" s="36"/>
      <c r="D19" s="184"/>
      <c r="E19" s="179">
        <f>VLOOKUP($B$11:$B$39,'Constr. Wage Rate Calculations'!$A$19:$Z$288,22,FALSE)</f>
        <v>0</v>
      </c>
      <c r="F19" s="184"/>
      <c r="G19" s="179">
        <f>VLOOKUP($B$11:$B$39,'Constr. Wage Rate Calculations'!$A$19:$Z$288,23,FALSE)</f>
        <v>0</v>
      </c>
      <c r="H19" s="184"/>
      <c r="I19" s="179">
        <f>VLOOKUP($B$11:$B$39,'Constr. Wage Rate Calculations'!$A$19:$Z$288,24,FALSE)</f>
        <v>0</v>
      </c>
      <c r="J19" s="20">
        <f>VLOOKUP($B$11:$B$39,'Constr. Wage Rate Calculations'!$A$19:$Z$288,25,FALSE)</f>
        <v>0</v>
      </c>
      <c r="K19" s="179" t="str">
        <f t="shared" si="0"/>
        <v/>
      </c>
    </row>
    <row r="20" spans="1:11" ht="15" customHeight="1">
      <c r="A20" s="48"/>
      <c r="B20" s="49">
        <f>VLOOKUP($C$11:$C$39,Personnel!$A$1:$B$1234,2,FALSE)</f>
        <v>0</v>
      </c>
      <c r="C20" s="36"/>
      <c r="D20" s="184"/>
      <c r="E20" s="179">
        <f>VLOOKUP($B$11:$B$39,'Constr. Wage Rate Calculations'!$A$19:$Z$288,22,FALSE)</f>
        <v>0</v>
      </c>
      <c r="F20" s="184"/>
      <c r="G20" s="179">
        <f>VLOOKUP($B$11:$B$39,'Constr. Wage Rate Calculations'!$A$19:$Z$288,23,FALSE)</f>
        <v>0</v>
      </c>
      <c r="H20" s="184"/>
      <c r="I20" s="179">
        <f>VLOOKUP($B$11:$B$39,'Constr. Wage Rate Calculations'!$A$19:$Z$288,24,FALSE)</f>
        <v>0</v>
      </c>
      <c r="J20" s="20">
        <f>VLOOKUP($B$11:$B$39,'Constr. Wage Rate Calculations'!$A$19:$Z$288,25,FALSE)</f>
        <v>0</v>
      </c>
      <c r="K20" s="179" t="str">
        <f t="shared" si="0"/>
        <v/>
      </c>
    </row>
    <row r="21" spans="1:11" ht="15" customHeight="1">
      <c r="A21" s="48"/>
      <c r="B21" s="49">
        <f>VLOOKUP($C$11:$C$39,Personnel!$A$1:$B$1234,2,FALSE)</f>
        <v>0</v>
      </c>
      <c r="C21" s="36"/>
      <c r="D21" s="184"/>
      <c r="E21" s="179">
        <f>VLOOKUP($B$11:$B$39,'Constr. Wage Rate Calculations'!$A$19:$Z$288,22,FALSE)</f>
        <v>0</v>
      </c>
      <c r="F21" s="184"/>
      <c r="G21" s="179">
        <f>VLOOKUP($B$11:$B$39,'Constr. Wage Rate Calculations'!$A$19:$Z$288,23,FALSE)</f>
        <v>0</v>
      </c>
      <c r="H21" s="184"/>
      <c r="I21" s="179">
        <f>VLOOKUP($B$11:$B$39,'Constr. Wage Rate Calculations'!$A$19:$Z$288,24,FALSE)</f>
        <v>0</v>
      </c>
      <c r="J21" s="20">
        <f>VLOOKUP($B$11:$B$39,'Constr. Wage Rate Calculations'!$A$19:$Z$288,25,FALSE)</f>
        <v>0</v>
      </c>
      <c r="K21" s="179" t="str">
        <f t="shared" si="0"/>
        <v/>
      </c>
    </row>
    <row r="22" spans="1:11" ht="15" customHeight="1">
      <c r="A22" s="48"/>
      <c r="B22" s="49">
        <f>VLOOKUP($C$11:$C$39,Personnel!$A$1:$B$1234,2,FALSE)</f>
        <v>0</v>
      </c>
      <c r="C22" s="36"/>
      <c r="D22" s="184"/>
      <c r="E22" s="179">
        <f>VLOOKUP($B$11:$B$39,'Constr. Wage Rate Calculations'!$A$19:$Z$288,22,FALSE)</f>
        <v>0</v>
      </c>
      <c r="F22" s="184"/>
      <c r="G22" s="179">
        <f>VLOOKUP($B$11:$B$39,'Constr. Wage Rate Calculations'!$A$19:$Z$288,23,FALSE)</f>
        <v>0</v>
      </c>
      <c r="H22" s="184"/>
      <c r="I22" s="179">
        <f>VLOOKUP($B$11:$B$39,'Constr. Wage Rate Calculations'!$A$19:$Z$288,24,FALSE)</f>
        <v>0</v>
      </c>
      <c r="J22" s="20">
        <f>VLOOKUP($B$11:$B$39,'Constr. Wage Rate Calculations'!$A$19:$Z$288,25,FALSE)</f>
        <v>0</v>
      </c>
      <c r="K22" s="179" t="str">
        <f t="shared" si="0"/>
        <v/>
      </c>
    </row>
    <row r="23" spans="1:11" ht="15" customHeight="1">
      <c r="A23" s="48"/>
      <c r="B23" s="49">
        <f>VLOOKUP($C$11:$C$39,Personnel!$A$1:$B$1234,2,FALSE)</f>
        <v>0</v>
      </c>
      <c r="C23" s="36"/>
      <c r="D23" s="184"/>
      <c r="E23" s="179">
        <f>VLOOKUP($B$11:$B$39,'Constr. Wage Rate Calculations'!$A$19:$Z$288,22,FALSE)</f>
        <v>0</v>
      </c>
      <c r="F23" s="184"/>
      <c r="G23" s="179">
        <f>VLOOKUP($B$11:$B$39,'Constr. Wage Rate Calculations'!$A$19:$Z$288,23,FALSE)</f>
        <v>0</v>
      </c>
      <c r="H23" s="184"/>
      <c r="I23" s="179">
        <f>VLOOKUP($B$11:$B$39,'Constr. Wage Rate Calculations'!$A$19:$Z$288,24,FALSE)</f>
        <v>0</v>
      </c>
      <c r="J23" s="20">
        <f>VLOOKUP($B$11:$B$39,'Constr. Wage Rate Calculations'!$A$19:$Z$288,25,FALSE)</f>
        <v>0</v>
      </c>
      <c r="K23" s="179" t="str">
        <f t="shared" ref="K23:K37" si="1">IF($D23&gt;=1,$J23+(D23*E23)+(F23*G23)+(H23*I23),IF($F23&gt;=1,$J23+(D23*E23)+(F23*G23)+(H23*I23),IF($H23&gt;=1,$J23+(D23*E23)+(F23*G23)+(H23*I23),"")))</f>
        <v/>
      </c>
    </row>
    <row r="24" spans="1:11" ht="15" customHeight="1">
      <c r="A24" s="48"/>
      <c r="B24" s="49">
        <f>VLOOKUP($C$11:$C$39,Personnel!$A$1:$B$1234,2,FALSE)</f>
        <v>0</v>
      </c>
      <c r="C24" s="36"/>
      <c r="D24" s="184"/>
      <c r="E24" s="179">
        <f>VLOOKUP($B$11:$B$39,'Constr. Wage Rate Calculations'!$A$19:$Z$288,22,FALSE)</f>
        <v>0</v>
      </c>
      <c r="F24" s="184"/>
      <c r="G24" s="179">
        <f>VLOOKUP($B$11:$B$39,'Constr. Wage Rate Calculations'!$A$19:$Z$288,23,FALSE)</f>
        <v>0</v>
      </c>
      <c r="H24" s="184"/>
      <c r="I24" s="179">
        <f>VLOOKUP($B$11:$B$39,'Constr. Wage Rate Calculations'!$A$19:$Z$288,24,FALSE)</f>
        <v>0</v>
      </c>
      <c r="J24" s="20">
        <f>VLOOKUP($B$11:$B$39,'Constr. Wage Rate Calculations'!$A$19:$Z$288,25,FALSE)</f>
        <v>0</v>
      </c>
      <c r="K24" s="179" t="str">
        <f t="shared" ref="K24:K33" si="2">IF($D24&gt;=1,$J24+(D24*E24)+(F24*G24)+(H24*I24),IF($F24&gt;=1,$J24+(D24*E24)+(F24*G24)+(H24*I24),IF($H24&gt;=1,$J24+(D24*E24)+(F24*G24)+(H24*I24),"")))</f>
        <v/>
      </c>
    </row>
    <row r="25" spans="1:11" ht="15" customHeight="1">
      <c r="A25" s="48"/>
      <c r="B25" s="49">
        <f>VLOOKUP($C$11:$C$39,Personnel!$A$1:$B$1234,2,FALSE)</f>
        <v>0</v>
      </c>
      <c r="C25" s="36"/>
      <c r="D25" s="184"/>
      <c r="E25" s="179">
        <f>VLOOKUP($B$11:$B$39,'Constr. Wage Rate Calculations'!$A$19:$Z$288,22,FALSE)</f>
        <v>0</v>
      </c>
      <c r="F25" s="184"/>
      <c r="G25" s="179">
        <f>VLOOKUP($B$11:$B$39,'Constr. Wage Rate Calculations'!$A$19:$Z$288,23,FALSE)</f>
        <v>0</v>
      </c>
      <c r="H25" s="184"/>
      <c r="I25" s="179">
        <f>VLOOKUP($B$11:$B$39,'Constr. Wage Rate Calculations'!$A$19:$Z$288,24,FALSE)</f>
        <v>0</v>
      </c>
      <c r="J25" s="20">
        <f>VLOOKUP($B$11:$B$39,'Constr. Wage Rate Calculations'!$A$19:$Z$288,25,FALSE)</f>
        <v>0</v>
      </c>
      <c r="K25" s="179" t="str">
        <f t="shared" si="2"/>
        <v/>
      </c>
    </row>
    <row r="26" spans="1:11" ht="15" customHeight="1">
      <c r="A26" s="48"/>
      <c r="B26" s="49">
        <f>VLOOKUP($C$11:$C$39,Personnel!$A$1:$B$1234,2,FALSE)</f>
        <v>0</v>
      </c>
      <c r="C26" s="36"/>
      <c r="D26" s="184"/>
      <c r="E26" s="179">
        <f>VLOOKUP($B$11:$B$39,'Constr. Wage Rate Calculations'!$A$19:$Z$288,22,FALSE)</f>
        <v>0</v>
      </c>
      <c r="F26" s="184"/>
      <c r="G26" s="179">
        <f>VLOOKUP($B$11:$B$39,'Constr. Wage Rate Calculations'!$A$19:$Z$288,23,FALSE)</f>
        <v>0</v>
      </c>
      <c r="H26" s="184"/>
      <c r="I26" s="179">
        <f>VLOOKUP($B$11:$B$39,'Constr. Wage Rate Calculations'!$A$19:$Z$288,24,FALSE)</f>
        <v>0</v>
      </c>
      <c r="J26" s="20">
        <f>VLOOKUP($B$11:$B$39,'Constr. Wage Rate Calculations'!$A$19:$Z$288,25,FALSE)</f>
        <v>0</v>
      </c>
      <c r="K26" s="179" t="str">
        <f t="shared" si="2"/>
        <v/>
      </c>
    </row>
    <row r="27" spans="1:11" ht="15" customHeight="1">
      <c r="A27" s="48"/>
      <c r="B27" s="49">
        <f>VLOOKUP($C$11:$C$39,Personnel!$A$1:$B$1234,2,FALSE)</f>
        <v>0</v>
      </c>
      <c r="C27" s="36"/>
      <c r="D27" s="184"/>
      <c r="E27" s="179">
        <f>VLOOKUP($B$11:$B$39,'Constr. Wage Rate Calculations'!$A$19:$Z$288,22,FALSE)</f>
        <v>0</v>
      </c>
      <c r="F27" s="184"/>
      <c r="G27" s="179">
        <f>VLOOKUP($B$11:$B$39,'Constr. Wage Rate Calculations'!$A$19:$Z$288,23,FALSE)</f>
        <v>0</v>
      </c>
      <c r="H27" s="184"/>
      <c r="I27" s="179">
        <f>VLOOKUP($B$11:$B$39,'Constr. Wage Rate Calculations'!$A$19:$Z$288,24,FALSE)</f>
        <v>0</v>
      </c>
      <c r="J27" s="20">
        <f>VLOOKUP($B$11:$B$39,'Constr. Wage Rate Calculations'!$A$19:$Z$288,25,FALSE)</f>
        <v>0</v>
      </c>
      <c r="K27" s="179" t="str">
        <f t="shared" si="2"/>
        <v/>
      </c>
    </row>
    <row r="28" spans="1:11" ht="15" customHeight="1">
      <c r="A28" s="48"/>
      <c r="B28" s="49">
        <f>VLOOKUP($C$11:$C$39,Personnel!$A$1:$B$1234,2,FALSE)</f>
        <v>0</v>
      </c>
      <c r="C28" s="36"/>
      <c r="D28" s="184"/>
      <c r="E28" s="179">
        <f>VLOOKUP($B$11:$B$39,'Constr. Wage Rate Calculations'!$A$19:$Z$288,22,FALSE)</f>
        <v>0</v>
      </c>
      <c r="F28" s="184"/>
      <c r="G28" s="179">
        <f>VLOOKUP($B$11:$B$39,'Constr. Wage Rate Calculations'!$A$19:$Z$288,23,FALSE)</f>
        <v>0</v>
      </c>
      <c r="H28" s="184"/>
      <c r="I28" s="179">
        <f>VLOOKUP($B$11:$B$39,'Constr. Wage Rate Calculations'!$A$19:$Z$288,24,FALSE)</f>
        <v>0</v>
      </c>
      <c r="J28" s="20">
        <f>VLOOKUP($B$11:$B$39,'Constr. Wage Rate Calculations'!$A$19:$Z$288,25,FALSE)</f>
        <v>0</v>
      </c>
      <c r="K28" s="179" t="str">
        <f t="shared" si="2"/>
        <v/>
      </c>
    </row>
    <row r="29" spans="1:11" ht="15" customHeight="1">
      <c r="A29" s="48"/>
      <c r="B29" s="49">
        <f>VLOOKUP($C$11:$C$39,Personnel!$A$1:$B$1234,2,FALSE)</f>
        <v>0</v>
      </c>
      <c r="C29" s="36"/>
      <c r="D29" s="184"/>
      <c r="E29" s="179">
        <f>VLOOKUP($B$11:$B$39,'Constr. Wage Rate Calculations'!$A$19:$Z$288,22,FALSE)</f>
        <v>0</v>
      </c>
      <c r="F29" s="184"/>
      <c r="G29" s="179">
        <f>VLOOKUP($B$11:$B$39,'Constr. Wage Rate Calculations'!$A$19:$Z$288,23,FALSE)</f>
        <v>0</v>
      </c>
      <c r="H29" s="184"/>
      <c r="I29" s="179">
        <f>VLOOKUP($B$11:$B$39,'Constr. Wage Rate Calculations'!$A$19:$Z$288,24,FALSE)</f>
        <v>0</v>
      </c>
      <c r="J29" s="20">
        <f>VLOOKUP($B$11:$B$39,'Constr. Wage Rate Calculations'!$A$19:$Z$288,25,FALSE)</f>
        <v>0</v>
      </c>
      <c r="K29" s="179" t="str">
        <f t="shared" si="2"/>
        <v/>
      </c>
    </row>
    <row r="30" spans="1:11" ht="15" customHeight="1">
      <c r="A30" s="48"/>
      <c r="B30" s="49">
        <f>VLOOKUP($C$11:$C$39,Personnel!$A$1:$B$1234,2,FALSE)</f>
        <v>0</v>
      </c>
      <c r="C30" s="36"/>
      <c r="D30" s="184"/>
      <c r="E30" s="179">
        <f>VLOOKUP($B$11:$B$39,'Constr. Wage Rate Calculations'!$A$19:$Z$288,22,FALSE)</f>
        <v>0</v>
      </c>
      <c r="F30" s="184"/>
      <c r="G30" s="179">
        <f>VLOOKUP($B$11:$B$39,'Constr. Wage Rate Calculations'!$A$19:$Z$288,23,FALSE)</f>
        <v>0</v>
      </c>
      <c r="H30" s="184"/>
      <c r="I30" s="179">
        <f>VLOOKUP($B$11:$B$39,'Constr. Wage Rate Calculations'!$A$19:$Z$288,24,FALSE)</f>
        <v>0</v>
      </c>
      <c r="J30" s="20">
        <f>VLOOKUP($B$11:$B$39,'Constr. Wage Rate Calculations'!$A$19:$Z$288,25,FALSE)</f>
        <v>0</v>
      </c>
      <c r="K30" s="179" t="str">
        <f t="shared" si="2"/>
        <v/>
      </c>
    </row>
    <row r="31" spans="1:11" ht="15" customHeight="1">
      <c r="A31" s="48"/>
      <c r="B31" s="49">
        <f>VLOOKUP($C$11:$C$39,Personnel!$A$1:$B$1234,2,FALSE)</f>
        <v>0</v>
      </c>
      <c r="C31" s="36"/>
      <c r="D31" s="184"/>
      <c r="E31" s="179">
        <f>VLOOKUP($B$11:$B$39,'Constr. Wage Rate Calculations'!$A$19:$Z$288,22,FALSE)</f>
        <v>0</v>
      </c>
      <c r="F31" s="184"/>
      <c r="G31" s="179">
        <f>VLOOKUP($B$11:$B$39,'Constr. Wage Rate Calculations'!$A$19:$Z$288,23,FALSE)</f>
        <v>0</v>
      </c>
      <c r="H31" s="184"/>
      <c r="I31" s="179">
        <f>VLOOKUP($B$11:$B$39,'Constr. Wage Rate Calculations'!$A$19:$Z$288,24,FALSE)</f>
        <v>0</v>
      </c>
      <c r="J31" s="20">
        <f>VLOOKUP($B$11:$B$39,'Constr. Wage Rate Calculations'!$A$19:$Z$288,25,FALSE)</f>
        <v>0</v>
      </c>
      <c r="K31" s="179" t="str">
        <f t="shared" si="2"/>
        <v/>
      </c>
    </row>
    <row r="32" spans="1:11" ht="15" customHeight="1">
      <c r="A32" s="48"/>
      <c r="B32" s="49">
        <f>VLOOKUP($C$11:$C$39,Personnel!$A$1:$B$1234,2,FALSE)</f>
        <v>0</v>
      </c>
      <c r="C32" s="36"/>
      <c r="D32" s="184"/>
      <c r="E32" s="179">
        <f>VLOOKUP($B$11:$B$39,'Constr. Wage Rate Calculations'!$A$19:$Z$288,22,FALSE)</f>
        <v>0</v>
      </c>
      <c r="F32" s="184"/>
      <c r="G32" s="179">
        <f>VLOOKUP($B$11:$B$39,'Constr. Wage Rate Calculations'!$A$19:$Z$288,23,FALSE)</f>
        <v>0</v>
      </c>
      <c r="H32" s="184"/>
      <c r="I32" s="179">
        <f>VLOOKUP($B$11:$B$39,'Constr. Wage Rate Calculations'!$A$19:$Z$288,24,FALSE)</f>
        <v>0</v>
      </c>
      <c r="J32" s="20">
        <f>VLOOKUP($B$11:$B$39,'Constr. Wage Rate Calculations'!$A$19:$Z$288,25,FALSE)</f>
        <v>0</v>
      </c>
      <c r="K32" s="179" t="str">
        <f t="shared" si="2"/>
        <v/>
      </c>
    </row>
    <row r="33" spans="1:15" ht="15" customHeight="1">
      <c r="A33" s="48"/>
      <c r="B33" s="49">
        <f>VLOOKUP($C$11:$C$39,Personnel!$A$1:$B$1234,2,FALSE)</f>
        <v>0</v>
      </c>
      <c r="C33" s="36"/>
      <c r="D33" s="184"/>
      <c r="E33" s="179">
        <f>VLOOKUP($B$11:$B$39,'Constr. Wage Rate Calculations'!$A$19:$Z$288,22,FALSE)</f>
        <v>0</v>
      </c>
      <c r="F33" s="184"/>
      <c r="G33" s="179">
        <f>VLOOKUP($B$11:$B$39,'Constr. Wage Rate Calculations'!$A$19:$Z$288,23,FALSE)</f>
        <v>0</v>
      </c>
      <c r="H33" s="184"/>
      <c r="I33" s="179">
        <f>VLOOKUP($B$11:$B$39,'Constr. Wage Rate Calculations'!$A$19:$Z$288,24,FALSE)</f>
        <v>0</v>
      </c>
      <c r="J33" s="20">
        <f>VLOOKUP($B$11:$B$39,'Constr. Wage Rate Calculations'!$A$19:$Z$288,25,FALSE)</f>
        <v>0</v>
      </c>
      <c r="K33" s="179" t="str">
        <f t="shared" si="2"/>
        <v/>
      </c>
    </row>
    <row r="34" spans="1:15" ht="15" customHeight="1">
      <c r="A34" s="48"/>
      <c r="B34" s="49">
        <f>VLOOKUP($C$11:$C$39,Personnel!$A$1:$B$1234,2,FALSE)</f>
        <v>0</v>
      </c>
      <c r="C34" s="36"/>
      <c r="D34" s="184"/>
      <c r="E34" s="179">
        <f>VLOOKUP($B$11:$B$39,'Constr. Wage Rate Calculations'!$A$19:$Z$288,22,FALSE)</f>
        <v>0</v>
      </c>
      <c r="F34" s="184"/>
      <c r="G34" s="179">
        <f>VLOOKUP($B$11:$B$39,'Constr. Wage Rate Calculations'!$A$19:$Z$288,23,FALSE)</f>
        <v>0</v>
      </c>
      <c r="H34" s="184"/>
      <c r="I34" s="179">
        <f>VLOOKUP($B$11:$B$39,'Constr. Wage Rate Calculations'!$A$19:$Z$288,24,FALSE)</f>
        <v>0</v>
      </c>
      <c r="J34" s="20">
        <f>VLOOKUP($B$11:$B$39,'Constr. Wage Rate Calculations'!$A$19:$Z$288,25,FALSE)</f>
        <v>0</v>
      </c>
      <c r="K34" s="179" t="str">
        <f t="shared" si="1"/>
        <v/>
      </c>
    </row>
    <row r="35" spans="1:15" ht="15" customHeight="1">
      <c r="A35" s="48"/>
      <c r="B35" s="49">
        <f>VLOOKUP($C$11:$C$39,Personnel!$A$1:$B$1234,2,FALSE)</f>
        <v>0</v>
      </c>
      <c r="C35" s="36"/>
      <c r="D35" s="184"/>
      <c r="E35" s="179">
        <f>VLOOKUP($B$11:$B$39,'Constr. Wage Rate Calculations'!$A$19:$Z$288,22,FALSE)</f>
        <v>0</v>
      </c>
      <c r="F35" s="184"/>
      <c r="G35" s="179">
        <f>VLOOKUP($B$11:$B$39,'Constr. Wage Rate Calculations'!$A$19:$Z$288,23,FALSE)</f>
        <v>0</v>
      </c>
      <c r="H35" s="184"/>
      <c r="I35" s="179">
        <f>VLOOKUP($B$11:$B$39,'Constr. Wage Rate Calculations'!$A$19:$Z$288,24,FALSE)</f>
        <v>0</v>
      </c>
      <c r="J35" s="20">
        <f>VLOOKUP($B$11:$B$39,'Constr. Wage Rate Calculations'!$A$19:$Z$288,25,FALSE)</f>
        <v>0</v>
      </c>
      <c r="K35" s="179" t="str">
        <f t="shared" si="1"/>
        <v/>
      </c>
    </row>
    <row r="36" spans="1:15" ht="15" customHeight="1">
      <c r="A36" s="48"/>
      <c r="B36" s="49">
        <f>VLOOKUP($C$11:$C$39,Personnel!$A$1:$B$1234,2,FALSE)</f>
        <v>0</v>
      </c>
      <c r="C36" s="36"/>
      <c r="D36" s="184"/>
      <c r="E36" s="179">
        <f>VLOOKUP($B$11:$B$39,'Constr. Wage Rate Calculations'!$A$19:$Z$288,22,FALSE)</f>
        <v>0</v>
      </c>
      <c r="F36" s="184"/>
      <c r="G36" s="179">
        <f>VLOOKUP($B$11:$B$39,'Constr. Wage Rate Calculations'!$A$19:$Z$288,23,FALSE)</f>
        <v>0</v>
      </c>
      <c r="H36" s="184"/>
      <c r="I36" s="179">
        <f>VLOOKUP($B$11:$B$39,'Constr. Wage Rate Calculations'!$A$19:$Z$288,24,FALSE)</f>
        <v>0</v>
      </c>
      <c r="J36" s="20">
        <f>VLOOKUP($B$11:$B$39,'Constr. Wage Rate Calculations'!$A$19:$Z$288,25,FALSE)</f>
        <v>0</v>
      </c>
      <c r="K36" s="179" t="str">
        <f t="shared" si="1"/>
        <v/>
      </c>
    </row>
    <row r="37" spans="1:15" ht="15" customHeight="1">
      <c r="A37" s="48"/>
      <c r="B37" s="49">
        <f>VLOOKUP($C$11:$C$39,Personnel!$A$1:$B$1234,2,FALSE)</f>
        <v>0</v>
      </c>
      <c r="C37" s="36"/>
      <c r="D37" s="184"/>
      <c r="E37" s="179">
        <f>VLOOKUP($B$11:$B$39,'Constr. Wage Rate Calculations'!$A$19:$Z$288,22,FALSE)</f>
        <v>0</v>
      </c>
      <c r="F37" s="184"/>
      <c r="G37" s="179">
        <f>VLOOKUP($B$11:$B$39,'Constr. Wage Rate Calculations'!$A$19:$Z$288,23,FALSE)</f>
        <v>0</v>
      </c>
      <c r="H37" s="184"/>
      <c r="I37" s="179">
        <f>VLOOKUP($B$11:$B$39,'Constr. Wage Rate Calculations'!$A$19:$Z$288,24,FALSE)</f>
        <v>0</v>
      </c>
      <c r="J37" s="20">
        <f>VLOOKUP($B$11:$B$39,'Constr. Wage Rate Calculations'!$A$19:$Z$288,25,FALSE)</f>
        <v>0</v>
      </c>
      <c r="K37" s="179" t="str">
        <f t="shared" si="1"/>
        <v/>
      </c>
    </row>
    <row r="38" spans="1:15" ht="15" customHeight="1">
      <c r="A38" s="48"/>
      <c r="B38" s="49">
        <f>VLOOKUP($C$11:$C$39,Personnel!$A$1:$B$1234,2,FALSE)</f>
        <v>0</v>
      </c>
      <c r="C38" s="36"/>
      <c r="D38" s="184"/>
      <c r="E38" s="179">
        <f>VLOOKUP($B$11:$B$39,'Constr. Wage Rate Calculations'!$A$19:$Z$288,22,FALSE)</f>
        <v>0</v>
      </c>
      <c r="F38" s="184"/>
      <c r="G38" s="179">
        <f>VLOOKUP($B$11:$B$39,'Constr. Wage Rate Calculations'!$A$19:$Z$288,23,FALSE)</f>
        <v>0</v>
      </c>
      <c r="H38" s="184"/>
      <c r="I38" s="179">
        <f>VLOOKUP($B$11:$B$39,'Constr. Wage Rate Calculations'!$A$19:$Z$288,24,FALSE)</f>
        <v>0</v>
      </c>
      <c r="J38" s="20">
        <f>VLOOKUP($B$11:$B$39,'Constr. Wage Rate Calculations'!$A$19:$Z$288,25,FALSE)</f>
        <v>0</v>
      </c>
      <c r="K38" s="179" t="str">
        <f t="shared" ref="K38:K39" si="3">IF($D38&gt;=1,$J38+(D38*E38)+(F38*G38)+(H38*I38),IF($F38&gt;=1,$J38+(D38*E38)+(F38*G38)+(H38*I38),IF($H38&gt;=1,$J38+(D38*E38)+(F38*G38)+(H38*I38),"")))</f>
        <v/>
      </c>
    </row>
    <row r="39" spans="1:15" ht="15" customHeight="1" thickBot="1">
      <c r="A39" s="48"/>
      <c r="B39" s="49">
        <f>VLOOKUP($C$11:$C$39,Personnel!$A$1:$B$1234,2,FALSE)</f>
        <v>0</v>
      </c>
      <c r="C39" s="36"/>
      <c r="D39" s="184"/>
      <c r="E39" s="179">
        <f>VLOOKUP($B$11:$B$39,'Constr. Wage Rate Calculations'!$A$19:$Z$288,22,FALSE)</f>
        <v>0</v>
      </c>
      <c r="F39" s="184"/>
      <c r="G39" s="179">
        <f>VLOOKUP($B$11:$B$39,'Constr. Wage Rate Calculations'!$A$19:$Z$288,23,FALSE)</f>
        <v>0</v>
      </c>
      <c r="H39" s="184"/>
      <c r="I39" s="179">
        <f>VLOOKUP($B$11:$B$39,'Constr. Wage Rate Calculations'!$A$19:$Z$288,24,FALSE)</f>
        <v>0</v>
      </c>
      <c r="J39" s="20">
        <f>VLOOKUP($B$11:$B$39,'Constr. Wage Rate Calculations'!$A$19:$Z$288,25,FALSE)</f>
        <v>0</v>
      </c>
      <c r="K39" s="179" t="str">
        <f t="shared" si="3"/>
        <v/>
      </c>
      <c r="M39" s="1">
        <f>SUM(M11:M38)</f>
        <v>0</v>
      </c>
    </row>
    <row r="40" spans="1:15" ht="15" customHeight="1" thickBot="1">
      <c r="A40"/>
      <c r="B40"/>
      <c r="C40"/>
      <c r="D40" s="21"/>
      <c r="E40" s="21"/>
      <c r="F40" s="21"/>
      <c r="G40" s="21"/>
      <c r="H40" s="21"/>
      <c r="I40" s="360" t="s">
        <v>18</v>
      </c>
      <c r="J40" s="361"/>
      <c r="K40" s="183">
        <f>SUM(K11:K39)</f>
        <v>13138.63</v>
      </c>
      <c r="M40" s="1">
        <f>SUMIFS(D11:D39,D11:D39,"&lt;3",D11:D39,"&lt;5")</f>
        <v>6</v>
      </c>
      <c r="N40" s="1">
        <f>SUMIFS(D11:D39,D11:D39,"&gt;3",D11:D39,"&gt;5")</f>
        <v>8</v>
      </c>
      <c r="O40" s="1">
        <f>SUM(F11:F39,H11:H39,M40,N40)-M39</f>
        <v>72</v>
      </c>
    </row>
    <row r="41" spans="1:15" ht="10" customHeight="1" thickBot="1"/>
    <row r="42" spans="1:15" s="19" customFormat="1" ht="15" customHeight="1" thickBot="1">
      <c r="A42" s="22" t="s">
        <v>19</v>
      </c>
      <c r="B42" s="23" t="s">
        <v>20</v>
      </c>
      <c r="C42" s="23"/>
      <c r="D42" s="23"/>
      <c r="E42" s="23"/>
      <c r="F42" s="23"/>
      <c r="G42" s="23"/>
      <c r="H42" s="18" t="s">
        <v>21</v>
      </c>
      <c r="I42" s="18" t="s">
        <v>22</v>
      </c>
      <c r="J42" s="18" t="s">
        <v>23</v>
      </c>
      <c r="K42" s="18" t="s">
        <v>17</v>
      </c>
    </row>
    <row r="43" spans="1:15" ht="15" customHeight="1">
      <c r="A43" s="43"/>
      <c r="B43" s="49">
        <f>VLOOKUP($C$43:$C$80,Equipment!$A$1:$B$2322,2,FALSE)</f>
        <v>0</v>
      </c>
      <c r="C43" s="24"/>
      <c r="D43" s="24"/>
      <c r="E43" s="24"/>
      <c r="F43" s="24"/>
      <c r="G43" s="24"/>
      <c r="H43" s="185"/>
      <c r="I43" s="184"/>
      <c r="J43" s="42">
        <f>VLOOKUP($B$43:$B$80,'Alberta Equip. Rates Year 3'!$B$13:$K$314,10,FALSE)</f>
        <v>0</v>
      </c>
      <c r="K43" s="181">
        <f t="shared" ref="K43:K50" si="4">(H43+I43)*J43</f>
        <v>0</v>
      </c>
    </row>
    <row r="44" spans="1:15" ht="15" customHeight="1">
      <c r="A44" s="43"/>
      <c r="B44" s="49" t="str">
        <f>VLOOKUP($C$43:$C$80,Equipment!$A$1:$B$2322,2,FALSE)</f>
        <v>ARGO ATV Side By Side</v>
      </c>
      <c r="C44" s="24" t="s">
        <v>691</v>
      </c>
      <c r="D44" s="24"/>
      <c r="E44" s="24"/>
      <c r="F44" s="24"/>
      <c r="G44" s="24"/>
      <c r="H44" s="185">
        <v>1</v>
      </c>
      <c r="I44" s="184"/>
      <c r="J44" s="42">
        <f>VLOOKUP($B$43:$B$80,'Alberta Equip. Rates Year 3'!$B$13:$K$314,10,FALSE)</f>
        <v>238.13</v>
      </c>
      <c r="K44" s="181">
        <f t="shared" si="4"/>
        <v>238.13</v>
      </c>
    </row>
    <row r="45" spans="1:15" ht="15" customHeight="1">
      <c r="A45" s="43"/>
      <c r="B45" s="49" t="str">
        <f>VLOOKUP($C$43:$C$80,Equipment!$A$1:$B$2322,2,FALSE)</f>
        <v>ATV/Gator</v>
      </c>
      <c r="C45" s="24" t="s">
        <v>693</v>
      </c>
      <c r="D45" s="24"/>
      <c r="E45" s="24"/>
      <c r="F45" s="24"/>
      <c r="G45" s="24"/>
      <c r="H45" s="185">
        <v>1</v>
      </c>
      <c r="I45" s="184"/>
      <c r="J45" s="42">
        <f>VLOOKUP($B$43:$B$80,'Alberta Equip. Rates Year 3'!$B$13:$K$314,10,FALSE)</f>
        <v>127</v>
      </c>
      <c r="K45" s="181">
        <f t="shared" si="4"/>
        <v>127</v>
      </c>
    </row>
    <row r="46" spans="1:15" ht="15" customHeight="1">
      <c r="A46" s="43"/>
      <c r="B46" s="49" t="str">
        <f>VLOOKUP($C$43:$C$80,Equipment!$A$1:$B$2322,2,FALSE)</f>
        <v>ATV/Gator</v>
      </c>
      <c r="C46" s="24" t="s">
        <v>689</v>
      </c>
      <c r="D46" s="24"/>
      <c r="E46" s="24"/>
      <c r="F46" s="24"/>
      <c r="G46" s="24"/>
      <c r="H46" s="185">
        <v>1</v>
      </c>
      <c r="I46" s="184"/>
      <c r="J46" s="42">
        <f>VLOOKUP($B$43:$B$80,'Alberta Equip. Rates Year 3'!$B$13:$K$314,10,FALSE)</f>
        <v>127</v>
      </c>
      <c r="K46" s="181">
        <f t="shared" si="4"/>
        <v>127</v>
      </c>
    </row>
    <row r="47" spans="1:15" ht="15" customHeight="1">
      <c r="A47" s="43"/>
      <c r="B47" s="49" t="str">
        <f>VLOOKUP($C$43:$C$80,Equipment!$A$1:$B$2322,2,FALSE)</f>
        <v>ATV/Gator</v>
      </c>
      <c r="C47" s="24" t="s">
        <v>2331</v>
      </c>
      <c r="D47" s="24"/>
      <c r="E47" s="24"/>
      <c r="F47" s="24"/>
      <c r="G47" s="24"/>
      <c r="H47" s="185">
        <v>1</v>
      </c>
      <c r="I47" s="184"/>
      <c r="J47" s="42">
        <f>VLOOKUP($B$43:$B$80,'Alberta Equip. Rates Year 3'!$B$13:$K$314,10,FALSE)</f>
        <v>127</v>
      </c>
      <c r="K47" s="181">
        <f t="shared" si="4"/>
        <v>127</v>
      </c>
    </row>
    <row r="48" spans="1:15" ht="15" customHeight="1">
      <c r="A48" s="43"/>
      <c r="B48" s="49" t="str">
        <f>VLOOKUP($C$43:$C$80,Equipment!$A$1:$B$2322,2,FALSE)</f>
        <v>Crewcab - 1 Ton</v>
      </c>
      <c r="C48" s="24" t="s">
        <v>695</v>
      </c>
      <c r="D48" s="24"/>
      <c r="E48" s="24"/>
      <c r="F48" s="24"/>
      <c r="G48" s="24"/>
      <c r="H48" s="185">
        <v>1</v>
      </c>
      <c r="I48" s="184"/>
      <c r="J48" s="42">
        <f>VLOOKUP($B$43:$B$80,'Alberta Equip. Rates Year 3'!$B$13:$K$314,10,FALSE)</f>
        <v>163</v>
      </c>
      <c r="K48" s="181">
        <f t="shared" si="4"/>
        <v>163</v>
      </c>
    </row>
    <row r="49" spans="1:11" ht="15" customHeight="1">
      <c r="A49" s="43"/>
      <c r="B49" s="49" t="str">
        <f>VLOOKUP($C$43:$C$80,Equipment!$A$1:$B$2322,2,FALSE)</f>
        <v>Crewcab - 3/4 Ton</v>
      </c>
      <c r="C49" s="24" t="s">
        <v>696</v>
      </c>
      <c r="D49" s="24"/>
      <c r="E49" s="24"/>
      <c r="F49" s="24"/>
      <c r="G49" s="24"/>
      <c r="H49" s="185">
        <v>1</v>
      </c>
      <c r="I49" s="184"/>
      <c r="J49" s="42">
        <f>VLOOKUP($B$43:$B$80,'Alberta Equip. Rates Year 3'!$B$13:$K$314,10,FALSE)</f>
        <v>153</v>
      </c>
      <c r="K49" s="181">
        <f t="shared" si="4"/>
        <v>153</v>
      </c>
    </row>
    <row r="50" spans="1:11" ht="15" customHeight="1">
      <c r="A50" s="43"/>
      <c r="B50" s="49" t="str">
        <f>VLOOKUP($C$43:$C$80,Equipment!$A$1:$B$2322,2,FALSE)</f>
        <v>Crewcab - 3/4 Ton</v>
      </c>
      <c r="C50" s="24" t="s">
        <v>755</v>
      </c>
      <c r="D50" s="24"/>
      <c r="E50" s="24"/>
      <c r="F50" s="24"/>
      <c r="G50" s="24"/>
      <c r="H50" s="185">
        <v>1</v>
      </c>
      <c r="I50" s="184"/>
      <c r="J50" s="42">
        <f>VLOOKUP($B$43:$B$80,'Alberta Equip. Rates Year 3'!$B$13:$K$314,10,FALSE)</f>
        <v>153</v>
      </c>
      <c r="K50" s="181">
        <f t="shared" si="4"/>
        <v>153</v>
      </c>
    </row>
    <row r="51" spans="1:11" ht="15" customHeight="1">
      <c r="A51" s="43"/>
      <c r="B51" s="49" t="str">
        <f>VLOOKUP($C$43:$C$80,Equipment!$A$1:$B$2322,2,FALSE)</f>
        <v>Pickup - 3/4 Ton</v>
      </c>
      <c r="C51" s="24" t="s">
        <v>664</v>
      </c>
      <c r="D51" s="24"/>
      <c r="E51" s="24"/>
      <c r="F51" s="24"/>
      <c r="G51" s="24"/>
      <c r="H51" s="185">
        <v>1</v>
      </c>
      <c r="I51" s="184"/>
      <c r="J51" s="42">
        <f>VLOOKUP($B$43:$B$80,'Alberta Equip. Rates Year 3'!$B$13:$K$314,10,FALSE)</f>
        <v>145</v>
      </c>
      <c r="K51" s="181">
        <f t="shared" ref="K51:K79" si="5">(H51+I51)*J51</f>
        <v>145</v>
      </c>
    </row>
    <row r="52" spans="1:11" ht="15" customHeight="1">
      <c r="A52" s="43"/>
      <c r="B52" s="49" t="str">
        <f>VLOOKUP($C$43:$C$80,Equipment!$A$1:$B$2322,2,FALSE)</f>
        <v>Pickup - 3/4 Ton</v>
      </c>
      <c r="C52" s="24" t="s">
        <v>2126</v>
      </c>
      <c r="D52" s="24"/>
      <c r="E52" s="24"/>
      <c r="F52" s="24"/>
      <c r="G52" s="24"/>
      <c r="H52" s="185">
        <v>1</v>
      </c>
      <c r="I52" s="184"/>
      <c r="J52" s="42">
        <f>VLOOKUP($B$43:$B$80,'Alberta Equip. Rates Year 3'!$B$13:$K$314,10,FALSE)</f>
        <v>145</v>
      </c>
      <c r="K52" s="181">
        <f>(H52+I52)*J52</f>
        <v>145</v>
      </c>
    </row>
    <row r="53" spans="1:11" ht="15" customHeight="1">
      <c r="A53" s="43"/>
      <c r="B53" s="49" t="str">
        <f>VLOOKUP($C$43:$C$80,Equipment!$A$1:$B$2322,2,FALSE)</f>
        <v>Tag-A-Long Trailer (6 Ton)</v>
      </c>
      <c r="C53" s="24" t="s">
        <v>694</v>
      </c>
      <c r="D53" s="24"/>
      <c r="E53" s="24"/>
      <c r="F53" s="24"/>
      <c r="G53" s="24"/>
      <c r="H53" s="185">
        <v>1</v>
      </c>
      <c r="I53" s="184"/>
      <c r="J53" s="42">
        <f>VLOOKUP($B$43:$B$80,'Alberta Equip. Rates Year 3'!$B$13:$K$314,10,FALSE)</f>
        <v>96</v>
      </c>
      <c r="K53" s="181">
        <f t="shared" si="5"/>
        <v>96</v>
      </c>
    </row>
    <row r="54" spans="1:11" ht="15" customHeight="1">
      <c r="A54" s="43"/>
      <c r="B54" s="49">
        <f>VLOOKUP($C$43:$C$80,Equipment!$A$1:$B$2322,2,FALSE)</f>
        <v>0</v>
      </c>
      <c r="C54" s="24"/>
      <c r="D54" s="24"/>
      <c r="E54" s="24"/>
      <c r="F54" s="24"/>
      <c r="G54" s="24"/>
      <c r="H54" s="185"/>
      <c r="I54" s="184"/>
      <c r="J54" s="42">
        <f>VLOOKUP($B$43:$B$80,'Alberta Equip. Rates Year 3'!$B$13:$K$314,10,FALSE)</f>
        <v>0</v>
      </c>
      <c r="K54" s="181">
        <f t="shared" si="5"/>
        <v>0</v>
      </c>
    </row>
    <row r="55" spans="1:11" ht="15" customHeight="1">
      <c r="A55" s="43"/>
      <c r="B55" s="49">
        <f>VLOOKUP($C$43:$C$80,Equipment!$A$1:$B$2322,2,FALSE)</f>
        <v>0</v>
      </c>
      <c r="C55" s="24"/>
      <c r="D55" s="24"/>
      <c r="E55" s="24"/>
      <c r="F55" s="24"/>
      <c r="G55" s="24"/>
      <c r="H55" s="185"/>
      <c r="I55" s="184"/>
      <c r="J55" s="42">
        <f>VLOOKUP($B$43:$B$80,'Alberta Equip. Rates Year 3'!$B$13:$K$314,10,FALSE)</f>
        <v>0</v>
      </c>
      <c r="K55" s="181">
        <f t="shared" si="5"/>
        <v>0</v>
      </c>
    </row>
    <row r="56" spans="1:11" ht="15" customHeight="1">
      <c r="A56" s="43"/>
      <c r="B56" s="49">
        <f>VLOOKUP($C$43:$C$80,Equipment!$A$1:$B$2322,2,FALSE)</f>
        <v>0</v>
      </c>
      <c r="C56" s="24"/>
      <c r="D56" s="24"/>
      <c r="E56" s="24"/>
      <c r="F56" s="24"/>
      <c r="G56" s="24"/>
      <c r="H56" s="185"/>
      <c r="I56" s="184"/>
      <c r="J56" s="42">
        <f>VLOOKUP($B$43:$B$80,'Alberta Equip. Rates Year 3'!$B$13:$K$314,10,FALSE)</f>
        <v>0</v>
      </c>
      <c r="K56" s="181">
        <f t="shared" si="5"/>
        <v>0</v>
      </c>
    </row>
    <row r="57" spans="1:11" ht="15" customHeight="1">
      <c r="A57" s="43"/>
      <c r="B57" s="49">
        <f>VLOOKUP($C$43:$C$80,Equipment!$A$1:$B$2322,2,FALSE)</f>
        <v>0</v>
      </c>
      <c r="C57" s="24"/>
      <c r="D57" s="24"/>
      <c r="E57" s="24"/>
      <c r="F57" s="24"/>
      <c r="G57" s="24"/>
      <c r="H57" s="185"/>
      <c r="I57" s="184"/>
      <c r="J57" s="42">
        <f>VLOOKUP($B$43:$B$80,'Alberta Equip. Rates Year 3'!$B$13:$K$314,10,FALSE)</f>
        <v>0</v>
      </c>
      <c r="K57" s="181">
        <f t="shared" si="5"/>
        <v>0</v>
      </c>
    </row>
    <row r="58" spans="1:11" ht="15" customHeight="1">
      <c r="A58" s="43"/>
      <c r="B58" s="49">
        <f>VLOOKUP($C$43:$C$80,Equipment!$A$1:$B$2322,2,FALSE)</f>
        <v>0</v>
      </c>
      <c r="C58" s="24"/>
      <c r="D58" s="24"/>
      <c r="E58" s="24"/>
      <c r="F58" s="24"/>
      <c r="G58" s="24"/>
      <c r="H58" s="185"/>
      <c r="I58" s="184"/>
      <c r="J58" s="42">
        <f>VLOOKUP($B$43:$B$80,'Alberta Equip. Rates Year 3'!$B$13:$K$314,10,FALSE)</f>
        <v>0</v>
      </c>
      <c r="K58" s="181">
        <f t="shared" si="5"/>
        <v>0</v>
      </c>
    </row>
    <row r="59" spans="1:11" ht="15" customHeight="1">
      <c r="A59" s="43"/>
      <c r="B59" s="49">
        <f>VLOOKUP($C$43:$C$80,Equipment!$A$1:$B$2322,2,FALSE)</f>
        <v>0</v>
      </c>
      <c r="C59" s="24"/>
      <c r="D59" s="24"/>
      <c r="E59" s="24"/>
      <c r="F59" s="24"/>
      <c r="G59" s="24"/>
      <c r="H59" s="185"/>
      <c r="I59" s="184"/>
      <c r="J59" s="42">
        <f>VLOOKUP($B$43:$B$80,'Alberta Equip. Rates Year 3'!$B$13:$K$314,10,FALSE)</f>
        <v>0</v>
      </c>
      <c r="K59" s="181">
        <f t="shared" si="5"/>
        <v>0</v>
      </c>
    </row>
    <row r="60" spans="1:11" ht="15" customHeight="1">
      <c r="A60" s="43"/>
      <c r="B60" s="49">
        <f>VLOOKUP($C$43:$C$80,Equipment!$A$1:$B$2322,2,FALSE)</f>
        <v>0</v>
      </c>
      <c r="C60" s="24"/>
      <c r="D60" s="24"/>
      <c r="E60" s="24"/>
      <c r="F60" s="24"/>
      <c r="G60" s="24"/>
      <c r="H60" s="185"/>
      <c r="I60" s="184"/>
      <c r="J60" s="42">
        <f>VLOOKUP($B$43:$B$80,'Alberta Equip. Rates Year 3'!$B$13:$K$314,10,FALSE)</f>
        <v>0</v>
      </c>
      <c r="K60" s="181">
        <f t="shared" si="5"/>
        <v>0</v>
      </c>
    </row>
    <row r="61" spans="1:11" ht="15" customHeight="1">
      <c r="A61" s="43"/>
      <c r="B61" s="49">
        <f>VLOOKUP($C$43:$C$80,Equipment!$A$1:$B$2322,2,FALSE)</f>
        <v>0</v>
      </c>
      <c r="C61" s="24"/>
      <c r="D61" s="24"/>
      <c r="E61" s="24"/>
      <c r="F61" s="24"/>
      <c r="G61" s="24"/>
      <c r="H61" s="185"/>
      <c r="I61" s="184"/>
      <c r="J61" s="42">
        <f>VLOOKUP($B$43:$B$80,'Alberta Equip. Rates Year 3'!$B$13:$K$314,10,FALSE)</f>
        <v>0</v>
      </c>
      <c r="K61" s="181">
        <f t="shared" si="5"/>
        <v>0</v>
      </c>
    </row>
    <row r="62" spans="1:11" ht="15" customHeight="1">
      <c r="A62" s="43"/>
      <c r="B62" s="49">
        <f>VLOOKUP($C$43:$C$80,Equipment!$A$1:$B$2322,2,FALSE)</f>
        <v>0</v>
      </c>
      <c r="C62" s="24"/>
      <c r="D62" s="24"/>
      <c r="E62" s="24"/>
      <c r="F62" s="24"/>
      <c r="G62" s="24"/>
      <c r="H62" s="185"/>
      <c r="I62" s="184"/>
      <c r="J62" s="42">
        <f>VLOOKUP($B$43:$B$80,'Alberta Equip. Rates Year 3'!$B$13:$K$314,10,FALSE)</f>
        <v>0</v>
      </c>
      <c r="K62" s="181">
        <f t="shared" si="5"/>
        <v>0</v>
      </c>
    </row>
    <row r="63" spans="1:11" ht="15" customHeight="1">
      <c r="A63" s="43"/>
      <c r="B63" s="49">
        <f>VLOOKUP($C$43:$C$80,Equipment!$A$1:$B$2322,2,FALSE)</f>
        <v>0</v>
      </c>
      <c r="C63" s="24"/>
      <c r="D63" s="24"/>
      <c r="E63" s="24"/>
      <c r="F63" s="24"/>
      <c r="G63" s="24"/>
      <c r="H63" s="185"/>
      <c r="I63" s="184"/>
      <c r="J63" s="42">
        <f>VLOOKUP($B$43:$B$80,'Alberta Equip. Rates Year 3'!$B$13:$K$314,10,FALSE)</f>
        <v>0</v>
      </c>
      <c r="K63" s="181">
        <f t="shared" si="5"/>
        <v>0</v>
      </c>
    </row>
    <row r="64" spans="1:11" ht="15" customHeight="1">
      <c r="A64" s="43"/>
      <c r="B64" s="49">
        <f>VLOOKUP($C$43:$C$80,Equipment!$A$1:$B$2322,2,FALSE)</f>
        <v>0</v>
      </c>
      <c r="C64" s="24"/>
      <c r="D64" s="24"/>
      <c r="E64" s="24"/>
      <c r="F64" s="24"/>
      <c r="G64" s="24"/>
      <c r="H64" s="185"/>
      <c r="I64" s="184"/>
      <c r="J64" s="42">
        <f>VLOOKUP($B$43:$B$80,'Alberta Equip. Rates Year 3'!$B$13:$K$314,10,FALSE)</f>
        <v>0</v>
      </c>
      <c r="K64" s="181">
        <f t="shared" si="5"/>
        <v>0</v>
      </c>
    </row>
    <row r="65" spans="1:11" ht="15" customHeight="1">
      <c r="A65" s="43"/>
      <c r="B65" s="49">
        <f>VLOOKUP($C$43:$C$80,Equipment!$A$1:$B$2322,2,FALSE)</f>
        <v>0</v>
      </c>
      <c r="C65" s="24"/>
      <c r="D65" s="24"/>
      <c r="E65" s="24"/>
      <c r="F65" s="24"/>
      <c r="G65" s="24"/>
      <c r="H65" s="185"/>
      <c r="I65" s="184"/>
      <c r="J65" s="42">
        <f>VLOOKUP($B$43:$B$80,'Alberta Equip. Rates Year 3'!$B$13:$K$314,10,FALSE)</f>
        <v>0</v>
      </c>
      <c r="K65" s="181">
        <f t="shared" si="5"/>
        <v>0</v>
      </c>
    </row>
    <row r="66" spans="1:11" ht="15" customHeight="1">
      <c r="A66" s="43"/>
      <c r="B66" s="49">
        <f>VLOOKUP($C$43:$C$80,Equipment!$A$1:$B$2322,2,FALSE)</f>
        <v>0</v>
      </c>
      <c r="C66" s="24"/>
      <c r="D66" s="24"/>
      <c r="E66" s="24"/>
      <c r="F66" s="24"/>
      <c r="G66" s="24"/>
      <c r="H66" s="185"/>
      <c r="I66" s="184"/>
      <c r="J66" s="42">
        <f>VLOOKUP($B$43:$B$80,'Alberta Equip. Rates Year 3'!$B$13:$K$314,10,FALSE)</f>
        <v>0</v>
      </c>
      <c r="K66" s="181">
        <f t="shared" si="5"/>
        <v>0</v>
      </c>
    </row>
    <row r="67" spans="1:11" ht="15" customHeight="1">
      <c r="A67" s="43"/>
      <c r="B67" s="49">
        <f>VLOOKUP($C$43:$C$80,Equipment!$A$1:$B$2322,2,FALSE)</f>
        <v>0</v>
      </c>
      <c r="C67" s="24"/>
      <c r="D67" s="24"/>
      <c r="E67" s="24"/>
      <c r="F67" s="24"/>
      <c r="G67" s="24"/>
      <c r="H67" s="185"/>
      <c r="I67" s="184"/>
      <c r="J67" s="42">
        <f>VLOOKUP($B$43:$B$80,'Alberta Equip. Rates Year 3'!$B$13:$K$314,10,FALSE)</f>
        <v>0</v>
      </c>
      <c r="K67" s="181">
        <f t="shared" si="5"/>
        <v>0</v>
      </c>
    </row>
    <row r="68" spans="1:11" ht="15" customHeight="1">
      <c r="A68" s="43"/>
      <c r="B68" s="49">
        <f>VLOOKUP($C$43:$C$80,Equipment!$A$1:$B$2322,2,FALSE)</f>
        <v>0</v>
      </c>
      <c r="C68" s="24"/>
      <c r="D68" s="24"/>
      <c r="E68" s="24"/>
      <c r="F68" s="24"/>
      <c r="G68" s="24"/>
      <c r="H68" s="185"/>
      <c r="I68" s="184"/>
      <c r="J68" s="42">
        <f>VLOOKUP($B$43:$B$80,'Alberta Equip. Rates Year 3'!$B$13:$K$314,10,FALSE)</f>
        <v>0</v>
      </c>
      <c r="K68" s="181">
        <f t="shared" si="5"/>
        <v>0</v>
      </c>
    </row>
    <row r="69" spans="1:11" ht="15" customHeight="1">
      <c r="A69" s="43"/>
      <c r="B69" s="49">
        <f>VLOOKUP($C$43:$C$80,Equipment!$A$1:$B$2322,2,FALSE)</f>
        <v>0</v>
      </c>
      <c r="C69" s="24"/>
      <c r="D69" s="24"/>
      <c r="E69" s="24"/>
      <c r="F69" s="24"/>
      <c r="G69" s="24"/>
      <c r="H69" s="185"/>
      <c r="I69" s="184"/>
      <c r="J69" s="42">
        <f>VLOOKUP($B$43:$B$80,'Alberta Equip. Rates Year 3'!$B$13:$K$314,10,FALSE)</f>
        <v>0</v>
      </c>
      <c r="K69" s="181">
        <f t="shared" si="5"/>
        <v>0</v>
      </c>
    </row>
    <row r="70" spans="1:11" ht="15" customHeight="1">
      <c r="A70" s="43"/>
      <c r="B70" s="49">
        <f>VLOOKUP($C$43:$C$80,Equipment!$A$1:$B$2322,2,FALSE)</f>
        <v>0</v>
      </c>
      <c r="C70" s="24"/>
      <c r="D70" s="24"/>
      <c r="E70" s="24"/>
      <c r="F70" s="24"/>
      <c r="G70" s="24"/>
      <c r="H70" s="185"/>
      <c r="I70" s="184"/>
      <c r="J70" s="42">
        <f>VLOOKUP($B$43:$B$80,'Alberta Equip. Rates Year 3'!$B$13:$K$314,10,FALSE)</f>
        <v>0</v>
      </c>
      <c r="K70" s="181">
        <f t="shared" si="5"/>
        <v>0</v>
      </c>
    </row>
    <row r="71" spans="1:11" ht="15" customHeight="1">
      <c r="A71" s="43"/>
      <c r="B71" s="49">
        <f>VLOOKUP($C$43:$C$80,Equipment!$A$1:$B$2322,2,FALSE)</f>
        <v>0</v>
      </c>
      <c r="C71" s="24"/>
      <c r="D71" s="24"/>
      <c r="E71" s="24"/>
      <c r="F71" s="24"/>
      <c r="G71" s="24"/>
      <c r="H71" s="185"/>
      <c r="I71" s="184"/>
      <c r="J71" s="42">
        <f>VLOOKUP($B$43:$B$80,'Alberta Equip. Rates Year 3'!$B$13:$K$314,10,FALSE)</f>
        <v>0</v>
      </c>
      <c r="K71" s="181">
        <f t="shared" si="5"/>
        <v>0</v>
      </c>
    </row>
    <row r="72" spans="1:11" ht="15" customHeight="1">
      <c r="A72" s="43"/>
      <c r="B72" s="49">
        <f>VLOOKUP($C$43:$C$80,Equipment!$A$1:$B$2322,2,FALSE)</f>
        <v>0</v>
      </c>
      <c r="C72" s="24"/>
      <c r="D72" s="24"/>
      <c r="E72" s="24"/>
      <c r="F72" s="24"/>
      <c r="G72" s="24"/>
      <c r="H72" s="185"/>
      <c r="I72" s="184"/>
      <c r="J72" s="42">
        <f>VLOOKUP($B$43:$B$80,'Alberta Equip. Rates Year 3'!$B$13:$K$314,10,FALSE)</f>
        <v>0</v>
      </c>
      <c r="K72" s="181">
        <f t="shared" si="5"/>
        <v>0</v>
      </c>
    </row>
    <row r="73" spans="1:11" ht="15" customHeight="1">
      <c r="A73" s="43"/>
      <c r="B73" s="49">
        <f>VLOOKUP($C$43:$C$80,Equipment!$A$1:$B$2322,2,FALSE)</f>
        <v>0</v>
      </c>
      <c r="C73" s="24"/>
      <c r="D73" s="24"/>
      <c r="E73" s="24"/>
      <c r="F73" s="24"/>
      <c r="G73" s="24"/>
      <c r="H73" s="185"/>
      <c r="I73" s="184"/>
      <c r="J73" s="42">
        <f>VLOOKUP($B$43:$B$80,'Alberta Equip. Rates Year 3'!$B$13:$K$314,10,FALSE)</f>
        <v>0</v>
      </c>
      <c r="K73" s="181">
        <f t="shared" si="5"/>
        <v>0</v>
      </c>
    </row>
    <row r="74" spans="1:11" ht="15" customHeight="1">
      <c r="A74" s="43"/>
      <c r="B74" s="49">
        <f>VLOOKUP($C$43:$C$80,Equipment!$A$1:$B$2322,2,FALSE)</f>
        <v>0</v>
      </c>
      <c r="C74" s="24"/>
      <c r="D74" s="24"/>
      <c r="E74" s="24"/>
      <c r="F74" s="24"/>
      <c r="G74" s="24"/>
      <c r="H74" s="185"/>
      <c r="I74" s="184"/>
      <c r="J74" s="42">
        <f>VLOOKUP($B$43:$B$80,'Alberta Equip. Rates Year 3'!$B$13:$K$314,10,FALSE)</f>
        <v>0</v>
      </c>
      <c r="K74" s="181">
        <f t="shared" si="5"/>
        <v>0</v>
      </c>
    </row>
    <row r="75" spans="1:11" ht="15" customHeight="1">
      <c r="A75" s="43"/>
      <c r="B75" s="49">
        <f>VLOOKUP($C$43:$C$80,Equipment!$A$1:$B$2322,2,FALSE)</f>
        <v>0</v>
      </c>
      <c r="C75" s="24"/>
      <c r="D75" s="24"/>
      <c r="E75" s="24"/>
      <c r="F75" s="24"/>
      <c r="G75" s="24"/>
      <c r="H75" s="185"/>
      <c r="I75" s="184"/>
      <c r="J75" s="42">
        <f>VLOOKUP($B$43:$B$80,'Alberta Equip. Rates Year 3'!$B$13:$K$314,10,FALSE)</f>
        <v>0</v>
      </c>
      <c r="K75" s="181">
        <f t="shared" si="5"/>
        <v>0</v>
      </c>
    </row>
    <row r="76" spans="1:11" ht="15" customHeight="1">
      <c r="A76" s="43"/>
      <c r="B76" s="49">
        <f>VLOOKUP($C$43:$C$80,Equipment!$A$1:$B$2322,2,FALSE)</f>
        <v>0</v>
      </c>
      <c r="C76" s="24"/>
      <c r="D76" s="24"/>
      <c r="E76" s="24"/>
      <c r="F76" s="24"/>
      <c r="G76" s="24"/>
      <c r="H76" s="185"/>
      <c r="I76" s="184"/>
      <c r="J76" s="42">
        <f>VLOOKUP($B$43:$B$80,'Alberta Equip. Rates Year 3'!$B$13:$K$314,10,FALSE)</f>
        <v>0</v>
      </c>
      <c r="K76" s="181">
        <f t="shared" si="5"/>
        <v>0</v>
      </c>
    </row>
    <row r="77" spans="1:11" ht="15" customHeight="1">
      <c r="A77" s="43"/>
      <c r="B77" s="49">
        <f>VLOOKUP($C$43:$C$80,Equipment!$A$1:$B$2322,2,FALSE)</f>
        <v>0</v>
      </c>
      <c r="C77" s="24"/>
      <c r="D77" s="24"/>
      <c r="E77" s="24"/>
      <c r="F77" s="24"/>
      <c r="G77" s="24"/>
      <c r="H77" s="185"/>
      <c r="I77" s="184"/>
      <c r="J77" s="42">
        <f>VLOOKUP($B$43:$B$80,'Alberta Equip. Rates Year 3'!$B$13:$K$314,10,FALSE)</f>
        <v>0</v>
      </c>
      <c r="K77" s="181">
        <f t="shared" si="5"/>
        <v>0</v>
      </c>
    </row>
    <row r="78" spans="1:11" ht="15" customHeight="1">
      <c r="A78" s="43"/>
      <c r="B78" s="49">
        <f>VLOOKUP($C$43:$C$80,Equipment!$A$1:$B$2322,2,FALSE)</f>
        <v>0</v>
      </c>
      <c r="C78" s="24"/>
      <c r="D78" s="24"/>
      <c r="E78" s="24"/>
      <c r="F78" s="24"/>
      <c r="G78" s="24"/>
      <c r="H78" s="185"/>
      <c r="I78" s="184"/>
      <c r="J78" s="42">
        <f>VLOOKUP($B$43:$B$80,'Alberta Equip. Rates Year 3'!$B$13:$K$314,10,FALSE)</f>
        <v>0</v>
      </c>
      <c r="K78" s="181">
        <f t="shared" si="5"/>
        <v>0</v>
      </c>
    </row>
    <row r="79" spans="1:11" ht="15" customHeight="1">
      <c r="A79" s="43"/>
      <c r="B79" s="49">
        <f>VLOOKUP($C$43:$C$80,Equipment!$A$1:$B$2322,2,FALSE)</f>
        <v>0</v>
      </c>
      <c r="C79" s="24"/>
      <c r="D79" s="24"/>
      <c r="E79" s="24"/>
      <c r="F79" s="24"/>
      <c r="G79" s="24"/>
      <c r="H79" s="185"/>
      <c r="I79" s="184"/>
      <c r="J79" s="42">
        <f>VLOOKUP($B$43:$B$80,'Alberta Equip. Rates Year 3'!$B$13:$K$314,10,FALSE)</f>
        <v>0</v>
      </c>
      <c r="K79" s="181">
        <f t="shared" si="5"/>
        <v>0</v>
      </c>
    </row>
    <row r="80" spans="1:11" ht="15" customHeight="1" thickBot="1">
      <c r="A80" s="43"/>
      <c r="B80" s="49">
        <f>VLOOKUP($C$43:$C$80,Equipment!$A$1:$B$2322,2,FALSE)</f>
        <v>0</v>
      </c>
      <c r="C80" s="24"/>
      <c r="D80" s="24"/>
      <c r="E80" s="24"/>
      <c r="F80" s="24"/>
      <c r="G80" s="24"/>
      <c r="H80" s="185"/>
      <c r="I80" s="184"/>
      <c r="J80" s="42">
        <f>VLOOKUP($B$43:$B$80,'Alberta Equip. Rates Year 3'!$B$13:$K$314,10,FALSE)</f>
        <v>0</v>
      </c>
      <c r="K80" s="181">
        <f>(H80+I80)*J80</f>
        <v>0</v>
      </c>
    </row>
    <row r="81" spans="1:11" ht="12" thickBot="1">
      <c r="A81" s="25"/>
      <c r="B81" s="25"/>
      <c r="C81" s="25"/>
      <c r="D81" s="21"/>
      <c r="E81" s="21"/>
      <c r="F81" s="21"/>
      <c r="G81" s="21"/>
      <c r="H81" s="21"/>
      <c r="I81" s="360" t="s">
        <v>24</v>
      </c>
      <c r="J81" s="361"/>
      <c r="K81" s="182">
        <f>SUM(K43:K80)</f>
        <v>1474.13</v>
      </c>
    </row>
    <row r="82" spans="1:11" ht="12" thickBot="1">
      <c r="A82" s="26"/>
      <c r="D82" s="26"/>
      <c r="I82" s="27"/>
      <c r="J82" s="27"/>
      <c r="K82" s="28"/>
    </row>
    <row r="83" spans="1:11">
      <c r="A83" s="1" t="s">
        <v>25</v>
      </c>
      <c r="B83" s="29"/>
      <c r="D83" s="1"/>
      <c r="E83" s="1"/>
      <c r="F83" s="1"/>
      <c r="G83" s="1"/>
      <c r="H83" s="1"/>
      <c r="I83" s="362" t="s">
        <v>26</v>
      </c>
      <c r="J83" s="362"/>
      <c r="K83" s="37">
        <f>K40</f>
        <v>13138.63</v>
      </c>
    </row>
    <row r="84" spans="1:11">
      <c r="D84" s="1"/>
      <c r="E84" s="1"/>
      <c r="F84" s="1"/>
      <c r="G84" s="1"/>
      <c r="H84" s="1"/>
      <c r="I84" s="362" t="s">
        <v>27</v>
      </c>
      <c r="J84" s="362"/>
      <c r="K84" s="38">
        <f>K81</f>
        <v>1474.13</v>
      </c>
    </row>
    <row r="85" spans="1:11">
      <c r="D85" s="1"/>
      <c r="E85" s="1"/>
      <c r="F85" s="1"/>
      <c r="G85" s="1"/>
      <c r="H85" s="1"/>
      <c r="I85" s="27" t="s">
        <v>28</v>
      </c>
      <c r="J85" s="27"/>
      <c r="K85" s="38">
        <f>O40*14.15</f>
        <v>1018.8000000000001</v>
      </c>
    </row>
    <row r="86" spans="1:11">
      <c r="D86" s="1"/>
      <c r="E86" s="1"/>
      <c r="F86" s="1"/>
      <c r="G86" s="1"/>
      <c r="H86" s="1"/>
      <c r="I86" s="30" t="s">
        <v>29</v>
      </c>
      <c r="J86" s="30"/>
      <c r="K86" s="39"/>
    </row>
    <row r="87" spans="1:11">
      <c r="D87" s="1"/>
      <c r="E87" s="1"/>
      <c r="F87" s="1"/>
      <c r="G87" s="1"/>
      <c r="H87" s="1"/>
      <c r="I87" s="30" t="s">
        <v>30</v>
      </c>
      <c r="J87" s="30"/>
      <c r="K87" s="39"/>
    </row>
    <row r="88" spans="1:11">
      <c r="D88" s="1"/>
      <c r="E88" s="1"/>
      <c r="F88" s="1"/>
      <c r="G88" s="1"/>
      <c r="H88" s="1"/>
      <c r="I88" s="30" t="s">
        <v>31</v>
      </c>
      <c r="J88" s="30"/>
      <c r="K88" s="39"/>
    </row>
    <row r="89" spans="1:11" ht="12" thickBot="1">
      <c r="D89" s="1"/>
      <c r="E89" s="1"/>
      <c r="F89" s="1"/>
      <c r="G89" s="1"/>
      <c r="H89" s="1"/>
      <c r="I89" s="362" t="s">
        <v>32</v>
      </c>
      <c r="J89" s="362"/>
      <c r="K89" s="40">
        <f>SUM(K83:K88)</f>
        <v>15631.559999999998</v>
      </c>
    </row>
    <row r="90" spans="1:11">
      <c r="D90" s="1"/>
      <c r="E90" s="1"/>
      <c r="F90" s="1"/>
      <c r="G90" s="1"/>
      <c r="H90" s="1"/>
      <c r="I90" s="27"/>
      <c r="J90" s="27"/>
    </row>
    <row r="91" spans="1:11">
      <c r="A91" s="31" t="s">
        <v>33</v>
      </c>
      <c r="B91" s="32"/>
      <c r="C91" s="32"/>
      <c r="D91" s="1"/>
      <c r="H91" s="33" t="s">
        <v>34</v>
      </c>
      <c r="I91" s="32"/>
      <c r="J91" s="32"/>
      <c r="K91" s="32"/>
    </row>
    <row r="92" spans="1:11" ht="15">
      <c r="A92" s="34"/>
      <c r="E92" s="8"/>
      <c r="F92" s="8"/>
      <c r="G92" s="8"/>
      <c r="H92" s="35"/>
      <c r="I92" s="35"/>
      <c r="J92" s="35"/>
      <c r="K92" s="35"/>
    </row>
    <row r="93" spans="1:11" ht="15">
      <c r="A93" s="34" t="s">
        <v>35</v>
      </c>
      <c r="E93" s="8"/>
      <c r="F93" s="8"/>
      <c r="G93" s="8"/>
      <c r="H93" s="35"/>
      <c r="I93" s="35"/>
      <c r="J93" s="35"/>
      <c r="K93" s="35"/>
    </row>
    <row r="94" spans="1:11" s="34" customFormat="1">
      <c r="A94" s="363">
        <v>41218.479166666664</v>
      </c>
      <c r="B94" s="363"/>
      <c r="C94" s="364"/>
      <c r="D94" s="364"/>
      <c r="E94" s="364"/>
      <c r="F94" s="364"/>
      <c r="G94" s="364"/>
      <c r="H94" s="364"/>
      <c r="I94" s="364"/>
      <c r="J94" s="364"/>
      <c r="K94" s="8"/>
    </row>
    <row r="104" s="1" customFormat="1"/>
    <row r="105" s="1" customFormat="1"/>
    <row r="106" s="1" customFormat="1"/>
    <row r="107" s="1" customFormat="1"/>
    <row r="108" s="1" customFormat="1"/>
    <row r="109" s="1" customFormat="1"/>
    <row r="110" s="1" customFormat="1"/>
    <row r="111" s="1" customFormat="1"/>
    <row r="112" s="1" customFormat="1"/>
    <row r="113" s="1" customFormat="1"/>
    <row r="114" s="1" customFormat="1"/>
    <row r="115" s="1" customFormat="1"/>
    <row r="116" s="1" customFormat="1"/>
    <row r="117" s="1" customFormat="1"/>
    <row r="122" s="1" customFormat="1"/>
    <row r="150" s="1" customFormat="1"/>
    <row r="151" s="1" customFormat="1"/>
    <row r="152" s="1" customFormat="1"/>
    <row r="153" s="1" customFormat="1"/>
  </sheetData>
  <mergeCells count="12">
    <mergeCell ref="I81:J81"/>
    <mergeCell ref="I83:J83"/>
    <mergeCell ref="I84:J84"/>
    <mergeCell ref="I89:J89"/>
    <mergeCell ref="A94:B94"/>
    <mergeCell ref="C94:J94"/>
    <mergeCell ref="I40:J40"/>
    <mergeCell ref="C1:H1"/>
    <mergeCell ref="C2:H2"/>
    <mergeCell ref="C3:H3"/>
    <mergeCell ref="H6:I6"/>
    <mergeCell ref="H7:I7"/>
  </mergeCells>
  <printOptions horizontalCentered="1"/>
  <pageMargins left="0.19685039370078741" right="0.19685039370078741" top="0.39370078740157483" bottom="0.39370078740157483" header="0" footer="0"/>
  <pageSetup orientation="portrait" horizontalDpi="4294967292" verticalDpi="4294967292"/>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1700-000000000000}">
          <x14:formula1>
            <xm:f>Accounts!$A$4:$A$60</xm:f>
          </x14:formula1>
          <xm:sqref>K7</xm:sqref>
        </x14:dataValidation>
        <x14:dataValidation type="list" allowBlank="1" showInputMessage="1" showErrorMessage="1" xr:uid="{00000000-0002-0000-1700-000001000000}">
          <x14:formula1>
            <xm:f>'Constr. Wage Rate Calculations'!$A$19:$A$288</xm:f>
          </x14:formula1>
          <xm:sqref>B11:B39</xm:sqref>
        </x14:dataValidation>
        <x14:dataValidation type="list" allowBlank="1" showInputMessage="1" showErrorMessage="1" xr:uid="{00000000-0002-0000-1700-000002000000}">
          <x14:formula1>
            <xm:f>Personnel!$A:$A</xm:f>
          </x14:formula1>
          <xm:sqref>C11:C39</xm:sqref>
        </x14:dataValidation>
        <x14:dataValidation type="list" allowBlank="1" showInputMessage="1" showErrorMessage="1" xr:uid="{00000000-0002-0000-1700-000004000000}">
          <x14:formula1>
            <xm:f>Equipment!$A:$A</xm:f>
          </x14:formula1>
          <xm:sqref>C43:C80</xm:sqref>
        </x14:dataValidation>
      </x14:dataValidations>
    </ext>
    <ext xmlns:mx="http://schemas.microsoft.com/office/mac/excel/2008/main" uri="{64002731-A6B0-56B0-2670-7721B7C09600}">
      <mx:PLV Mode="0" OnePage="0" WScale="0"/>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CCFFCC"/>
    <pageSetUpPr fitToPage="1"/>
  </sheetPr>
  <dimension ref="A1:O182"/>
  <sheetViews>
    <sheetView zoomScale="115" zoomScaleNormal="115" zoomScalePageLayoutView="115" workbookViewId="0">
      <selection activeCell="C10" sqref="C10"/>
    </sheetView>
  </sheetViews>
  <sheetFormatPr baseColWidth="10" defaultColWidth="8.83203125" defaultRowHeight="11"/>
  <cols>
    <col min="1" max="1" width="13" style="1" customWidth="1"/>
    <col min="2" max="2" width="30" style="1" customWidth="1"/>
    <col min="3" max="3" width="24.5" style="1" customWidth="1"/>
    <col min="4" max="4" width="8.6640625" style="2" customWidth="1"/>
    <col min="5" max="6" width="8.33203125" style="2" customWidth="1"/>
    <col min="7" max="8" width="8.6640625" style="2" customWidth="1"/>
    <col min="9" max="9" width="9.33203125" style="2" customWidth="1"/>
    <col min="10" max="10" width="8.6640625" style="2" customWidth="1"/>
    <col min="11" max="11" width="19.5" style="1" customWidth="1"/>
    <col min="12" max="12" width="3" style="1" hidden="1" customWidth="1"/>
    <col min="13" max="16384" width="8.83203125" style="1"/>
  </cols>
  <sheetData>
    <row r="1" spans="1:13" ht="15">
      <c r="C1" s="364"/>
      <c r="D1" s="365"/>
      <c r="E1" s="365"/>
      <c r="F1" s="365"/>
      <c r="G1" s="365"/>
      <c r="H1" s="366"/>
      <c r="J1" s="2" t="s">
        <v>0</v>
      </c>
      <c r="K1" s="197">
        <v>41659</v>
      </c>
      <c r="M1" s="45"/>
    </row>
    <row r="2" spans="1:13" ht="15">
      <c r="C2" s="367"/>
      <c r="D2" s="367"/>
      <c r="E2" s="367"/>
      <c r="F2" s="367"/>
      <c r="G2" s="367"/>
      <c r="H2" s="366"/>
      <c r="K2" s="41"/>
    </row>
    <row r="3" spans="1:13" ht="15">
      <c r="C3" s="368"/>
      <c r="D3" s="369"/>
      <c r="E3" s="369"/>
      <c r="F3" s="369"/>
      <c r="G3" s="369"/>
      <c r="H3" s="366"/>
    </row>
    <row r="4" spans="1:13">
      <c r="C4" s="3"/>
      <c r="D4" s="4"/>
      <c r="E4" s="4"/>
      <c r="F4" s="4"/>
      <c r="G4" s="4"/>
    </row>
    <row r="5" spans="1:13">
      <c r="C5" s="3"/>
      <c r="D5" s="4"/>
      <c r="E5" s="4"/>
      <c r="F5" s="4"/>
      <c r="G5" s="4"/>
    </row>
    <row r="6" spans="1:13" ht="12">
      <c r="B6" s="5"/>
      <c r="C6" s="6"/>
      <c r="D6" s="7"/>
      <c r="E6" s="8"/>
      <c r="F6" s="8"/>
      <c r="G6" s="1" t="s">
        <v>1</v>
      </c>
      <c r="H6" s="370">
        <v>18229</v>
      </c>
      <c r="I6" s="370"/>
      <c r="J6" s="1" t="s">
        <v>2</v>
      </c>
      <c r="K6" s="47"/>
    </row>
    <row r="7" spans="1:13" ht="12">
      <c r="A7" s="1" t="s">
        <v>3</v>
      </c>
      <c r="B7" s="9"/>
      <c r="C7" s="10"/>
      <c r="D7" s="11"/>
      <c r="E7" s="8"/>
      <c r="F7" s="8"/>
      <c r="G7" s="1" t="s">
        <v>4</v>
      </c>
      <c r="H7" s="371"/>
      <c r="I7" s="371"/>
      <c r="J7" s="1" t="s">
        <v>5</v>
      </c>
      <c r="K7" s="46"/>
    </row>
    <row r="8" spans="1:13" ht="12">
      <c r="B8" s="12"/>
      <c r="C8" s="13"/>
      <c r="D8" s="14"/>
      <c r="E8" s="8"/>
      <c r="F8" s="8"/>
      <c r="G8" s="1" t="s">
        <v>6</v>
      </c>
      <c r="H8" s="187"/>
      <c r="I8" s="188"/>
      <c r="J8" s="44"/>
    </row>
    <row r="9" spans="1:13" ht="16" thickBot="1">
      <c r="B9" s="15"/>
      <c r="C9" s="16"/>
      <c r="D9" s="16"/>
      <c r="E9" s="8"/>
      <c r="F9" s="8"/>
      <c r="G9" s="8"/>
    </row>
    <row r="10" spans="1:13" s="19" customFormat="1" ht="12" thickBot="1">
      <c r="A10" s="17" t="s">
        <v>7</v>
      </c>
      <c r="B10" s="17" t="s">
        <v>8</v>
      </c>
      <c r="C10" s="17" t="s">
        <v>9</v>
      </c>
      <c r="D10" s="18" t="s">
        <v>10</v>
      </c>
      <c r="E10" s="18" t="s">
        <v>11</v>
      </c>
      <c r="F10" s="18" t="s">
        <v>12</v>
      </c>
      <c r="G10" s="180" t="s">
        <v>13</v>
      </c>
      <c r="H10" s="18" t="s">
        <v>14</v>
      </c>
      <c r="I10" s="18" t="s">
        <v>15</v>
      </c>
      <c r="J10" s="18" t="s">
        <v>16</v>
      </c>
      <c r="K10" s="18" t="s">
        <v>17</v>
      </c>
      <c r="M10" s="19" t="s">
        <v>1797</v>
      </c>
    </row>
    <row r="11" spans="1:13" ht="15" customHeight="1">
      <c r="A11" s="48"/>
      <c r="B11" s="49">
        <f>VLOOKUP($C$11:$C$37,Personnel!$A$1:$B$1234,2,FALSE)</f>
        <v>0</v>
      </c>
      <c r="C11" s="36"/>
      <c r="D11" s="184"/>
      <c r="E11" s="179">
        <f>VLOOKUP($B$11:$B$37,'Constr. Wage Rate Calculations'!$A$19:$Z$288,22,FALSE)</f>
        <v>0</v>
      </c>
      <c r="F11" s="184"/>
      <c r="G11" s="179">
        <f>VLOOKUP($B$11:$B$37,'Constr. Wage Rate Calculations'!$A$19:$Z$288,23,FALSE)</f>
        <v>0</v>
      </c>
      <c r="H11" s="184"/>
      <c r="I11" s="179">
        <f>VLOOKUP($B$11:$B$37,'Constr. Wage Rate Calculations'!$A$19:$Z$288,24,FALSE)</f>
        <v>0</v>
      </c>
      <c r="J11" s="20">
        <f>VLOOKUP($B$11:$B$37,'Constr. Wage Rate Calculations'!$A$19:$Z$288,25,FALSE)</f>
        <v>0</v>
      </c>
      <c r="K11" s="179" t="str">
        <f t="shared" ref="K11:K37" si="0">IF($D11&gt;=1,$J11+(D11*E11)+(F11*G11)+(H11*I11),IF($F11&gt;=1,$J11+(D11*E11)+(F11*G11)+(H11*I11),IF($H11&gt;=1,$J11+(D11*E11)+(F11*G11)+(H11*I11),"")))</f>
        <v/>
      </c>
    </row>
    <row r="12" spans="1:13" ht="15" customHeight="1">
      <c r="A12" s="48"/>
      <c r="B12" s="49" t="str">
        <f>VLOOKUP($C$11:$C$37,Personnel!$A$1:$B$1234,2,FALSE)</f>
        <v>PICKER TRUCK DRIVER &gt; 12 TON</v>
      </c>
      <c r="C12" s="36" t="s">
        <v>714</v>
      </c>
      <c r="D12" s="184">
        <v>8</v>
      </c>
      <c r="E12" s="179">
        <f>VLOOKUP($B$11:$B$37,'Constr. Wage Rate Calculations'!$A$19:$Z$288,22,FALSE)</f>
        <v>64.239999999999995</v>
      </c>
      <c r="F12" s="184">
        <v>5</v>
      </c>
      <c r="G12" s="179">
        <f>VLOOKUP($B$11:$B$37,'Constr. Wage Rate Calculations'!$A$19:$Z$288,23,FALSE)</f>
        <v>96.37</v>
      </c>
      <c r="H12" s="184"/>
      <c r="I12" s="179">
        <f>VLOOKUP($B$11:$B$37,'Constr. Wage Rate Calculations'!$A$19:$Z$288,24,FALSE)</f>
        <v>128.49</v>
      </c>
      <c r="J12" s="20">
        <f>VLOOKUP($B$11:$B$37,'Constr. Wage Rate Calculations'!$A$19:$Z$288,25,FALSE)</f>
        <v>85</v>
      </c>
      <c r="K12" s="179">
        <f t="shared" si="0"/>
        <v>1080.77</v>
      </c>
    </row>
    <row r="13" spans="1:13" ht="15" customHeight="1">
      <c r="A13" s="48"/>
      <c r="B13" s="49" t="str">
        <f>VLOOKUP($C$11:$C$37,Personnel!$A$1:$B$1234,2,FALSE)</f>
        <v>LOWBED/MULTIPURPOSE DRIVER</v>
      </c>
      <c r="C13" s="36" t="s">
        <v>2522</v>
      </c>
      <c r="D13" s="184">
        <v>8</v>
      </c>
      <c r="E13" s="179">
        <f>VLOOKUP($B$11:$B$37,'Constr. Wage Rate Calculations'!$A$19:$Z$288,22,FALSE)</f>
        <v>64.239999999999995</v>
      </c>
      <c r="F13" s="184">
        <v>4</v>
      </c>
      <c r="G13" s="179">
        <f>VLOOKUP($B$11:$B$37,'Constr. Wage Rate Calculations'!$A$19:$Z$288,23,FALSE)</f>
        <v>96.37</v>
      </c>
      <c r="H13" s="184"/>
      <c r="I13" s="179">
        <f>VLOOKUP($B$11:$B$37,'Constr. Wage Rate Calculations'!$A$19:$Z$288,24,FALSE)</f>
        <v>128.49</v>
      </c>
      <c r="J13" s="20">
        <f>VLOOKUP($B$11:$B$37,'Constr. Wage Rate Calculations'!$A$19:$Z$288,25,FALSE)</f>
        <v>85</v>
      </c>
      <c r="K13" s="179">
        <f t="shared" si="0"/>
        <v>984.4</v>
      </c>
    </row>
    <row r="14" spans="1:13" ht="15" customHeight="1">
      <c r="A14" s="48"/>
      <c r="B14" s="49" t="str">
        <f>VLOOKUP($C$11:$C$37,Personnel!$A$1:$B$1234,2,FALSE)</f>
        <v>PICKUP/ PILOT CAR DRIVER</v>
      </c>
      <c r="C14" s="36" t="s">
        <v>2678</v>
      </c>
      <c r="D14" s="184">
        <v>8</v>
      </c>
      <c r="E14" s="179">
        <f>VLOOKUP($B$11:$B$37,'Constr. Wage Rate Calculations'!$A$19:$Z$288,22,FALSE)</f>
        <v>56.73</v>
      </c>
      <c r="F14" s="184">
        <v>6</v>
      </c>
      <c r="G14" s="179">
        <f>VLOOKUP($B$11:$B$37,'Constr. Wage Rate Calculations'!$A$19:$Z$288,23,FALSE)</f>
        <v>85.1</v>
      </c>
      <c r="H14" s="184"/>
      <c r="I14" s="179">
        <f>VLOOKUP($B$11:$B$37,'Constr. Wage Rate Calculations'!$A$19:$Z$288,24,FALSE)</f>
        <v>113.46</v>
      </c>
      <c r="J14" s="20">
        <f>VLOOKUP($B$11:$B$37,'Constr. Wage Rate Calculations'!$A$19:$Z$288,25,FALSE)</f>
        <v>85</v>
      </c>
      <c r="K14" s="179">
        <f t="shared" si="0"/>
        <v>1049.4399999999998</v>
      </c>
    </row>
    <row r="15" spans="1:13" ht="15" customHeight="1">
      <c r="A15" s="48"/>
      <c r="B15" s="49" t="str">
        <f>VLOOKUP($C$11:$C$37,Personnel!$A$1:$B$1234,2,FALSE)</f>
        <v>LOWBED/MULTIPURPOSE DRIVER</v>
      </c>
      <c r="C15" s="36" t="s">
        <v>4000</v>
      </c>
      <c r="D15" s="184">
        <v>8</v>
      </c>
      <c r="E15" s="179">
        <f>VLOOKUP($B$11:$B$37,'Constr. Wage Rate Calculations'!$A$19:$Z$288,22,FALSE)</f>
        <v>64.239999999999995</v>
      </c>
      <c r="F15" s="184">
        <v>5</v>
      </c>
      <c r="G15" s="179">
        <f>VLOOKUP($B$11:$B$37,'Constr. Wage Rate Calculations'!$A$19:$Z$288,23,FALSE)</f>
        <v>96.37</v>
      </c>
      <c r="H15" s="184"/>
      <c r="I15" s="179">
        <f>VLOOKUP($B$11:$B$37,'Constr. Wage Rate Calculations'!$A$19:$Z$288,24,FALSE)</f>
        <v>128.49</v>
      </c>
      <c r="J15" s="20">
        <f>VLOOKUP($B$11:$B$37,'Constr. Wage Rate Calculations'!$A$19:$Z$288,25,FALSE)</f>
        <v>85</v>
      </c>
      <c r="K15" s="179">
        <f t="shared" si="0"/>
        <v>1080.77</v>
      </c>
    </row>
    <row r="16" spans="1:13" ht="18" customHeight="1">
      <c r="A16" s="48"/>
      <c r="B16" s="49" t="str">
        <f>VLOOKUP($C$11:$C$37,Personnel!$A$1:$B$1234,2,FALSE)</f>
        <v>SWAMPER/DRILL HELPER</v>
      </c>
      <c r="C16" s="36" t="s">
        <v>2091</v>
      </c>
      <c r="D16" s="184">
        <v>8</v>
      </c>
      <c r="E16" s="179">
        <f>VLOOKUP($B$11:$B$37,'Constr. Wage Rate Calculations'!$A$19:$Z$288,22,FALSE)</f>
        <v>48.45</v>
      </c>
      <c r="F16" s="184">
        <v>5</v>
      </c>
      <c r="G16" s="179">
        <f>VLOOKUP($B$11:$B$37,'Constr. Wage Rate Calculations'!$A$19:$Z$288,23,FALSE)</f>
        <v>72.680000000000007</v>
      </c>
      <c r="H16" s="184"/>
      <c r="I16" s="179">
        <f>VLOOKUP($B$11:$B$37,'Constr. Wage Rate Calculations'!$A$19:$Z$288,24,FALSE)</f>
        <v>96.9</v>
      </c>
      <c r="J16" s="20">
        <f>VLOOKUP($B$11:$B$37,'Constr. Wage Rate Calculations'!$A$19:$Z$288,25,FALSE)</f>
        <v>85</v>
      </c>
      <c r="K16" s="179">
        <f t="shared" si="0"/>
        <v>836</v>
      </c>
    </row>
    <row r="17" spans="1:11" ht="15" customHeight="1">
      <c r="A17" s="48"/>
      <c r="B17" s="49" t="str">
        <f>VLOOKUP($C$11:$C$37,Personnel!$A$1:$B$1234,2,FALSE)</f>
        <v>PICKER TRUCK DRIVER &gt; 12 TON</v>
      </c>
      <c r="C17" s="36" t="s">
        <v>3336</v>
      </c>
      <c r="D17" s="184">
        <v>8</v>
      </c>
      <c r="E17" s="179">
        <f>VLOOKUP($B$11:$B$37,'Constr. Wage Rate Calculations'!$A$19:$Z$288,22,FALSE)</f>
        <v>64.239999999999995</v>
      </c>
      <c r="F17" s="184">
        <v>4</v>
      </c>
      <c r="G17" s="179">
        <f>VLOOKUP($B$11:$B$37,'Constr. Wage Rate Calculations'!$A$19:$Z$288,23,FALSE)</f>
        <v>96.37</v>
      </c>
      <c r="H17" s="184"/>
      <c r="I17" s="179">
        <f>VLOOKUP($B$11:$B$37,'Constr. Wage Rate Calculations'!$A$19:$Z$288,24,FALSE)</f>
        <v>128.49</v>
      </c>
      <c r="J17" s="20">
        <f>VLOOKUP($B$11:$B$37,'Constr. Wage Rate Calculations'!$A$19:$Z$288,25,FALSE)</f>
        <v>85</v>
      </c>
      <c r="K17" s="179">
        <f t="shared" si="0"/>
        <v>984.4</v>
      </c>
    </row>
    <row r="18" spans="1:11" ht="15" customHeight="1">
      <c r="A18" s="48"/>
      <c r="B18" s="49" t="str">
        <f>VLOOKUP($C$11:$C$37,Personnel!$A$1:$B$1234,2,FALSE)</f>
        <v>SWAMPER/DRILL HELPER</v>
      </c>
      <c r="C18" s="36" t="s">
        <v>3509</v>
      </c>
      <c r="D18" s="184">
        <v>8</v>
      </c>
      <c r="E18" s="179">
        <f>VLOOKUP($B$11:$B$37,'Constr. Wage Rate Calculations'!$A$19:$Z$288,22,FALSE)</f>
        <v>48.45</v>
      </c>
      <c r="F18" s="184">
        <v>4</v>
      </c>
      <c r="G18" s="179">
        <f>VLOOKUP($B$11:$B$37,'Constr. Wage Rate Calculations'!$A$19:$Z$288,23,FALSE)</f>
        <v>72.680000000000007</v>
      </c>
      <c r="H18" s="184"/>
      <c r="I18" s="179">
        <f>VLOOKUP($B$11:$B$37,'Constr. Wage Rate Calculations'!$A$19:$Z$288,24,FALSE)</f>
        <v>96.9</v>
      </c>
      <c r="J18" s="20">
        <f>VLOOKUP($B$11:$B$37,'Constr. Wage Rate Calculations'!$A$19:$Z$288,25,FALSE)</f>
        <v>85</v>
      </c>
      <c r="K18" s="179">
        <f t="shared" si="0"/>
        <v>763.32</v>
      </c>
    </row>
    <row r="19" spans="1:11" ht="15" customHeight="1">
      <c r="A19" s="48"/>
      <c r="B19" s="49" t="str">
        <f>VLOOKUP($C$11:$C$37,Personnel!$A$1:$B$1234,2,FALSE)</f>
        <v>TEAMSTER - STEWARD</v>
      </c>
      <c r="C19" s="36" t="s">
        <v>711</v>
      </c>
      <c r="D19" s="184">
        <v>8</v>
      </c>
      <c r="E19" s="179">
        <f>VLOOKUP($B$11:$B$37,'Constr. Wage Rate Calculations'!$A$19:$Z$288,22,FALSE)</f>
        <v>64.849999999999994</v>
      </c>
      <c r="F19" s="184">
        <v>4</v>
      </c>
      <c r="G19" s="179">
        <f>VLOOKUP($B$11:$B$37,'Constr. Wage Rate Calculations'!$A$19:$Z$288,23,FALSE)</f>
        <v>97.28</v>
      </c>
      <c r="H19" s="184"/>
      <c r="I19" s="179">
        <f>VLOOKUP($B$11:$B$37,'Constr. Wage Rate Calculations'!$A$19:$Z$288,24,FALSE)</f>
        <v>129.69999999999999</v>
      </c>
      <c r="J19" s="20">
        <f>VLOOKUP($B$11:$B$37,'Constr. Wage Rate Calculations'!$A$19:$Z$288,25,FALSE)</f>
        <v>85</v>
      </c>
      <c r="K19" s="179">
        <f t="shared" si="0"/>
        <v>992.92</v>
      </c>
    </row>
    <row r="20" spans="1:11" ht="15" customHeight="1">
      <c r="A20" s="48"/>
      <c r="B20" s="49" t="str">
        <f>VLOOKUP($C$11:$C$37,Personnel!$A$1:$B$1234,2,FALSE)</f>
        <v>GENERAL LABOURER</v>
      </c>
      <c r="C20" s="36" t="s">
        <v>4001</v>
      </c>
      <c r="D20" s="184">
        <v>8</v>
      </c>
      <c r="E20" s="179">
        <f>VLOOKUP($B$11:$B$37,'Constr. Wage Rate Calculations'!$A$19:$Z$288,22,FALSE)</f>
        <v>48.1</v>
      </c>
      <c r="F20" s="184">
        <v>5</v>
      </c>
      <c r="G20" s="179">
        <f>VLOOKUP($B$11:$B$37,'Constr. Wage Rate Calculations'!$A$19:$Z$288,23,FALSE)</f>
        <v>72.150000000000006</v>
      </c>
      <c r="H20" s="184"/>
      <c r="I20" s="179">
        <f>VLOOKUP($B$11:$B$37,'Constr. Wage Rate Calculations'!$A$19:$Z$288,24,FALSE)</f>
        <v>96.2</v>
      </c>
      <c r="J20" s="20">
        <f>VLOOKUP($B$11:$B$37,'Constr. Wage Rate Calculations'!$A$19:$Z$288,25,FALSE)</f>
        <v>85</v>
      </c>
      <c r="K20" s="179">
        <f t="shared" si="0"/>
        <v>830.55</v>
      </c>
    </row>
    <row r="21" spans="1:11" ht="15" customHeight="1">
      <c r="A21" s="48"/>
      <c r="B21" s="49" t="str">
        <f>VLOOKUP($C$11:$C$37,Personnel!$A$1:$B$1234,2,FALSE)</f>
        <v>FLAT DECK &lt; 5 TON</v>
      </c>
      <c r="C21" s="36" t="s">
        <v>2804</v>
      </c>
      <c r="D21" s="184">
        <v>8</v>
      </c>
      <c r="E21" s="179">
        <f>VLOOKUP($B$11:$B$37,'Constr. Wage Rate Calculations'!$A$19:$Z$288,22,FALSE)</f>
        <v>59.79</v>
      </c>
      <c r="F21" s="184">
        <v>6</v>
      </c>
      <c r="G21" s="179">
        <f>VLOOKUP($B$11:$B$37,'Constr. Wage Rate Calculations'!$A$19:$Z$288,23,FALSE)</f>
        <v>89.69</v>
      </c>
      <c r="H21" s="184"/>
      <c r="I21" s="179">
        <f>VLOOKUP($B$11:$B$37,'Constr. Wage Rate Calculations'!$A$19:$Z$288,24,FALSE)</f>
        <v>119.58</v>
      </c>
      <c r="J21" s="20">
        <f>VLOOKUP($B$11:$B$37,'Constr. Wage Rate Calculations'!$A$19:$Z$288,25,FALSE)</f>
        <v>85</v>
      </c>
      <c r="K21" s="179">
        <f t="shared" si="0"/>
        <v>1101.46</v>
      </c>
    </row>
    <row r="22" spans="1:11" ht="15" customHeight="1">
      <c r="A22" s="48"/>
      <c r="B22" s="49" t="str">
        <f>VLOOKUP($C$11:$C$37,Personnel!$A$1:$B$1234,2,FALSE)</f>
        <v>LOWBED/MULTIPURPOSE DRIVER</v>
      </c>
      <c r="C22" s="36" t="s">
        <v>2252</v>
      </c>
      <c r="D22" s="184">
        <v>8</v>
      </c>
      <c r="E22" s="179">
        <f>VLOOKUP($B$11:$B$37,'Constr. Wage Rate Calculations'!$A$19:$Z$288,22,FALSE)</f>
        <v>64.239999999999995</v>
      </c>
      <c r="F22" s="184">
        <v>5</v>
      </c>
      <c r="G22" s="179">
        <f>VLOOKUP($B$11:$B$37,'Constr. Wage Rate Calculations'!$A$19:$Z$288,23,FALSE)</f>
        <v>96.37</v>
      </c>
      <c r="H22" s="184"/>
      <c r="I22" s="179">
        <f>VLOOKUP($B$11:$B$37,'Constr. Wage Rate Calculations'!$A$19:$Z$288,24,FALSE)</f>
        <v>128.49</v>
      </c>
      <c r="J22" s="20">
        <f>VLOOKUP($B$11:$B$37,'Constr. Wage Rate Calculations'!$A$19:$Z$288,25,FALSE)</f>
        <v>85</v>
      </c>
      <c r="K22" s="179">
        <f t="shared" si="0"/>
        <v>1080.77</v>
      </c>
    </row>
    <row r="23" spans="1:11" ht="15" customHeight="1">
      <c r="A23" s="48"/>
      <c r="B23" s="49" t="str">
        <f>VLOOKUP($C$11:$C$37,Personnel!$A$1:$B$1234,2,FALSE)</f>
        <v>LOWBED/MULTIPURPOSE DRIVER</v>
      </c>
      <c r="C23" s="36" t="s">
        <v>3478</v>
      </c>
      <c r="D23" s="184">
        <v>8</v>
      </c>
      <c r="E23" s="179">
        <f>VLOOKUP($B$11:$B$37,'Constr. Wage Rate Calculations'!$A$19:$Z$288,22,FALSE)</f>
        <v>64.239999999999995</v>
      </c>
      <c r="F23" s="184">
        <v>4</v>
      </c>
      <c r="G23" s="179">
        <f>VLOOKUP($B$11:$B$37,'Constr. Wage Rate Calculations'!$A$19:$Z$288,23,FALSE)</f>
        <v>96.37</v>
      </c>
      <c r="H23" s="184"/>
      <c r="I23" s="179">
        <f>VLOOKUP($B$11:$B$37,'Constr. Wage Rate Calculations'!$A$19:$Z$288,24,FALSE)</f>
        <v>128.49</v>
      </c>
      <c r="J23" s="20">
        <f>VLOOKUP($B$11:$B$37,'Constr. Wage Rate Calculations'!$A$19:$Z$288,25,FALSE)</f>
        <v>85</v>
      </c>
      <c r="K23" s="179">
        <f t="shared" si="0"/>
        <v>984.4</v>
      </c>
    </row>
    <row r="24" spans="1:11" ht="15" customHeight="1">
      <c r="A24" s="48"/>
      <c r="B24" s="49" t="str">
        <f>VLOOKUP($C$11:$C$37,Personnel!$A$1:$B$1234,2,FALSE)</f>
        <v>GENERAL FOREMAN</v>
      </c>
      <c r="C24" s="36" t="s">
        <v>1645</v>
      </c>
      <c r="D24" s="184">
        <v>1</v>
      </c>
      <c r="E24" s="179">
        <f>VLOOKUP($B$11:$B$37,'Constr. Wage Rate Calculations'!$A$19:$Z$288,22,FALSE)</f>
        <v>1332.16</v>
      </c>
      <c r="F24" s="184">
        <v>9</v>
      </c>
      <c r="G24" s="179">
        <f>VLOOKUP($B$11:$B$37,'Constr. Wage Rate Calculations'!$A$19:$Z$288,23,FALSE)</f>
        <v>0</v>
      </c>
      <c r="H24" s="184"/>
      <c r="I24" s="179">
        <f>VLOOKUP($B$11:$B$37,'Constr. Wage Rate Calculations'!$A$19:$Z$288,24,FALSE)</f>
        <v>0</v>
      </c>
      <c r="J24" s="20">
        <f>VLOOKUP($B$11:$B$37,'Constr. Wage Rate Calculations'!$A$19:$Z$288,25,FALSE)</f>
        <v>230</v>
      </c>
      <c r="K24" s="179">
        <f t="shared" si="0"/>
        <v>1562.16</v>
      </c>
    </row>
    <row r="25" spans="1:11" ht="15" customHeight="1">
      <c r="A25" s="48"/>
      <c r="B25" s="49" t="str">
        <f>VLOOKUP($C$11:$C$37,Personnel!$A$1:$B$1234,2,FALSE)</f>
        <v>SWAMPER/DRILL HELPER</v>
      </c>
      <c r="C25" s="36" t="s">
        <v>2619</v>
      </c>
      <c r="D25" s="184">
        <v>8</v>
      </c>
      <c r="E25" s="179">
        <f>VLOOKUP($B$11:$B$37,'Constr. Wage Rate Calculations'!$A$19:$Z$288,22,FALSE)</f>
        <v>48.45</v>
      </c>
      <c r="F25" s="184">
        <v>5</v>
      </c>
      <c r="G25" s="179">
        <f>VLOOKUP($B$11:$B$37,'Constr. Wage Rate Calculations'!$A$19:$Z$288,23,FALSE)</f>
        <v>72.680000000000007</v>
      </c>
      <c r="H25" s="184"/>
      <c r="I25" s="179">
        <f>VLOOKUP($B$11:$B$37,'Constr. Wage Rate Calculations'!$A$19:$Z$288,24,FALSE)</f>
        <v>96.9</v>
      </c>
      <c r="J25" s="20">
        <f>VLOOKUP($B$11:$B$37,'Constr. Wage Rate Calculations'!$A$19:$Z$288,25,FALSE)</f>
        <v>85</v>
      </c>
      <c r="K25" s="179">
        <f t="shared" si="0"/>
        <v>836</v>
      </c>
    </row>
    <row r="26" spans="1:11" ht="15" customHeight="1">
      <c r="A26" s="48"/>
      <c r="B26" s="49" t="str">
        <f>VLOOKUP($C$11:$C$37,Personnel!$A$1:$B$1234,2,FALSE)</f>
        <v>LOWBED/MULTIPURPOSE DRIVER</v>
      </c>
      <c r="C26" s="36" t="s">
        <v>1424</v>
      </c>
      <c r="D26" s="184">
        <v>8</v>
      </c>
      <c r="E26" s="179">
        <f>VLOOKUP($B$11:$B$37,'Constr. Wage Rate Calculations'!$A$19:$Z$288,22,FALSE)</f>
        <v>64.239999999999995</v>
      </c>
      <c r="F26" s="184">
        <v>6</v>
      </c>
      <c r="G26" s="179">
        <f>VLOOKUP($B$11:$B$37,'Constr. Wage Rate Calculations'!$A$19:$Z$288,23,FALSE)</f>
        <v>96.37</v>
      </c>
      <c r="H26" s="184"/>
      <c r="I26" s="179">
        <f>VLOOKUP($B$11:$B$37,'Constr. Wage Rate Calculations'!$A$19:$Z$288,24,FALSE)</f>
        <v>128.49</v>
      </c>
      <c r="J26" s="20">
        <f>VLOOKUP($B$11:$B$37,'Constr. Wage Rate Calculations'!$A$19:$Z$288,25,FALSE)</f>
        <v>85</v>
      </c>
      <c r="K26" s="179">
        <f t="shared" si="0"/>
        <v>1177.1399999999999</v>
      </c>
    </row>
    <row r="27" spans="1:11" ht="15" customHeight="1">
      <c r="A27" s="48"/>
      <c r="B27" s="49" t="str">
        <f>VLOOKUP($C$11:$C$37,Personnel!$A$1:$B$1234,2,FALSE)</f>
        <v>LOWBED/MULTIPURPOSE DRIVER</v>
      </c>
      <c r="C27" s="36" t="s">
        <v>1186</v>
      </c>
      <c r="D27" s="184">
        <v>8</v>
      </c>
      <c r="E27" s="179">
        <f>VLOOKUP($B$11:$B$37,'Constr. Wage Rate Calculations'!$A$19:$Z$288,22,FALSE)</f>
        <v>64.239999999999995</v>
      </c>
      <c r="F27" s="184">
        <v>6</v>
      </c>
      <c r="G27" s="179">
        <f>VLOOKUP($B$11:$B$37,'Constr. Wage Rate Calculations'!$A$19:$Z$288,23,FALSE)</f>
        <v>96.37</v>
      </c>
      <c r="H27" s="184"/>
      <c r="I27" s="179">
        <f>VLOOKUP($B$11:$B$37,'Constr. Wage Rate Calculations'!$A$19:$Z$288,24,FALSE)</f>
        <v>128.49</v>
      </c>
      <c r="J27" s="20">
        <f>VLOOKUP($B$11:$B$37,'Constr. Wage Rate Calculations'!$A$19:$Z$288,25,FALSE)</f>
        <v>85</v>
      </c>
      <c r="K27" s="179">
        <f t="shared" si="0"/>
        <v>1177.1399999999999</v>
      </c>
    </row>
    <row r="28" spans="1:11" ht="15" customHeight="1">
      <c r="A28" s="48"/>
      <c r="B28" s="49" t="str">
        <f>VLOOKUP($C$11:$C$37,Personnel!$A$1:$B$1234,2,FALSE)</f>
        <v>LOWBED/MULTIPURPOSE DRIVER</v>
      </c>
      <c r="C28" s="36" t="s">
        <v>854</v>
      </c>
      <c r="D28" s="184">
        <v>8</v>
      </c>
      <c r="E28" s="179">
        <f>VLOOKUP($B$11:$B$37,'Constr. Wage Rate Calculations'!$A$19:$Z$288,22,FALSE)</f>
        <v>64.239999999999995</v>
      </c>
      <c r="F28" s="184">
        <v>4</v>
      </c>
      <c r="G28" s="179">
        <f>VLOOKUP($B$11:$B$37,'Constr. Wage Rate Calculations'!$A$19:$Z$288,23,FALSE)</f>
        <v>96.37</v>
      </c>
      <c r="H28" s="184"/>
      <c r="I28" s="179">
        <f>VLOOKUP($B$11:$B$37,'Constr. Wage Rate Calculations'!$A$19:$Z$288,24,FALSE)</f>
        <v>128.49</v>
      </c>
      <c r="J28" s="20">
        <f>VLOOKUP($B$11:$B$37,'Constr. Wage Rate Calculations'!$A$19:$Z$288,25,FALSE)</f>
        <v>85</v>
      </c>
      <c r="K28" s="179">
        <f t="shared" si="0"/>
        <v>984.4</v>
      </c>
    </row>
    <row r="29" spans="1:11" ht="15" customHeight="1">
      <c r="A29" s="48"/>
      <c r="B29" s="49" t="str">
        <f>VLOOKUP($C$11:$C$37,Personnel!$A$1:$B$1234,2,FALSE)</f>
        <v>LOWBED/MULTIPURPOSE DRIVER</v>
      </c>
      <c r="C29" s="36" t="s">
        <v>2406</v>
      </c>
      <c r="D29" s="184">
        <v>8</v>
      </c>
      <c r="E29" s="179">
        <f>VLOOKUP($B$11:$B$37,'Constr. Wage Rate Calculations'!$A$19:$Z$288,22,FALSE)</f>
        <v>64.239999999999995</v>
      </c>
      <c r="F29" s="184">
        <v>6</v>
      </c>
      <c r="G29" s="179">
        <f>VLOOKUP($B$11:$B$37,'Constr. Wage Rate Calculations'!$A$19:$Z$288,23,FALSE)</f>
        <v>96.37</v>
      </c>
      <c r="H29" s="184"/>
      <c r="I29" s="179">
        <f>VLOOKUP($B$11:$B$37,'Constr. Wage Rate Calculations'!$A$19:$Z$288,24,FALSE)</f>
        <v>128.49</v>
      </c>
      <c r="J29" s="20">
        <f>VLOOKUP($B$11:$B$37,'Constr. Wage Rate Calculations'!$A$19:$Z$288,25,FALSE)</f>
        <v>85</v>
      </c>
      <c r="K29" s="179">
        <f t="shared" si="0"/>
        <v>1177.1399999999999</v>
      </c>
    </row>
    <row r="30" spans="1:11" ht="15" customHeight="1">
      <c r="A30" s="48"/>
      <c r="B30" s="49" t="str">
        <f>VLOOKUP($C$11:$C$37,Personnel!$A$1:$B$1234,2,FALSE)</f>
        <v>FUEL TRUCK DRIVER'S HELPER</v>
      </c>
      <c r="C30" s="36" t="s">
        <v>3885</v>
      </c>
      <c r="D30" s="184">
        <v>8</v>
      </c>
      <c r="E30" s="179">
        <f>VLOOKUP($B$11:$B$37,'Constr. Wage Rate Calculations'!$A$19:$Z$288,22,FALSE)</f>
        <v>56.88</v>
      </c>
      <c r="F30" s="184">
        <v>6</v>
      </c>
      <c r="G30" s="179">
        <f>VLOOKUP($B$11:$B$37,'Constr. Wage Rate Calculations'!$A$19:$Z$288,23,FALSE)</f>
        <v>85.25</v>
      </c>
      <c r="H30" s="184"/>
      <c r="I30" s="179">
        <f>VLOOKUP($B$11:$B$37,'Constr. Wage Rate Calculations'!$A$19:$Z$288,24,FALSE)</f>
        <v>113.61</v>
      </c>
      <c r="J30" s="20">
        <f>VLOOKUP($B$11:$B$37,'Constr. Wage Rate Calculations'!$A$19:$Z$288,25,FALSE)</f>
        <v>85</v>
      </c>
      <c r="K30" s="179">
        <f t="shared" si="0"/>
        <v>1051.54</v>
      </c>
    </row>
    <row r="31" spans="1:11" ht="15" customHeight="1">
      <c r="A31" s="48"/>
      <c r="B31" s="49" t="str">
        <f>VLOOKUP($C$11:$C$37,Personnel!$A$1:$B$1234,2,FALSE)</f>
        <v>PICKER TRUCK DRIVER &gt; 12 TON</v>
      </c>
      <c r="C31" s="36" t="s">
        <v>2702</v>
      </c>
      <c r="D31" s="184">
        <v>8</v>
      </c>
      <c r="E31" s="179">
        <f>VLOOKUP($B$11:$B$37,'Constr. Wage Rate Calculations'!$A$19:$Z$288,22,FALSE)</f>
        <v>64.239999999999995</v>
      </c>
      <c r="F31" s="184">
        <v>5</v>
      </c>
      <c r="G31" s="179">
        <f>VLOOKUP($B$11:$B$37,'Constr. Wage Rate Calculations'!$A$19:$Z$288,23,FALSE)</f>
        <v>96.37</v>
      </c>
      <c r="H31" s="184"/>
      <c r="I31" s="179">
        <f>VLOOKUP($B$11:$B$37,'Constr. Wage Rate Calculations'!$A$19:$Z$288,24,FALSE)</f>
        <v>128.49</v>
      </c>
      <c r="J31" s="20">
        <f>VLOOKUP($B$11:$B$37,'Constr. Wage Rate Calculations'!$A$19:$Z$288,25,FALSE)</f>
        <v>85</v>
      </c>
      <c r="K31" s="179">
        <f t="shared" si="0"/>
        <v>1080.77</v>
      </c>
    </row>
    <row r="32" spans="1:11" ht="15" customHeight="1">
      <c r="A32" s="48"/>
      <c r="B32" s="49" t="str">
        <f>VLOOKUP($C$11:$C$37,Personnel!$A$1:$B$1234,2,FALSE)</f>
        <v>FUEL/ WATER TRUCK DRIVER</v>
      </c>
      <c r="C32" s="36" t="s">
        <v>2906</v>
      </c>
      <c r="D32" s="184">
        <v>8</v>
      </c>
      <c r="E32" s="179">
        <f>VLOOKUP($B$11:$B$37,'Constr. Wage Rate Calculations'!$A$19:$Z$288,22,FALSE)</f>
        <v>59.94</v>
      </c>
      <c r="F32" s="184">
        <v>6</v>
      </c>
      <c r="G32" s="179">
        <f>VLOOKUP($B$11:$B$37,'Constr. Wage Rate Calculations'!$A$19:$Z$288,23,FALSE)</f>
        <v>89.84</v>
      </c>
      <c r="H32" s="184"/>
      <c r="I32" s="179">
        <f>VLOOKUP($B$11:$B$37,'Constr. Wage Rate Calculations'!$A$19:$Z$288,24,FALSE)</f>
        <v>119.73</v>
      </c>
      <c r="J32" s="20">
        <f>VLOOKUP($B$11:$B$37,'Constr. Wage Rate Calculations'!$A$19:$Z$288,25,FALSE)</f>
        <v>85</v>
      </c>
      <c r="K32" s="179">
        <f t="shared" si="0"/>
        <v>1103.56</v>
      </c>
    </row>
    <row r="33" spans="1:15" ht="15" customHeight="1">
      <c r="A33" s="48"/>
      <c r="B33" s="49" t="str">
        <f>VLOOKUP($C$11:$C$37,Personnel!$A$1:$B$1234,2,FALSE)</f>
        <v>LOWBED/MULTIPURPOSE DRIVER</v>
      </c>
      <c r="C33" s="36" t="s">
        <v>1513</v>
      </c>
      <c r="D33" s="184">
        <v>8</v>
      </c>
      <c r="E33" s="179">
        <f>VLOOKUP($B$11:$B$37,'Constr. Wage Rate Calculations'!$A$19:$Z$288,22,FALSE)</f>
        <v>64.239999999999995</v>
      </c>
      <c r="F33" s="184">
        <v>5</v>
      </c>
      <c r="G33" s="179">
        <f>VLOOKUP($B$11:$B$37,'Constr. Wage Rate Calculations'!$A$19:$Z$288,23,FALSE)</f>
        <v>96.37</v>
      </c>
      <c r="H33" s="184"/>
      <c r="I33" s="179">
        <f>VLOOKUP($B$11:$B$37,'Constr. Wage Rate Calculations'!$A$19:$Z$288,24,FALSE)</f>
        <v>128.49</v>
      </c>
      <c r="J33" s="20">
        <f>VLOOKUP($B$11:$B$37,'Constr. Wage Rate Calculations'!$A$19:$Z$288,25,FALSE)</f>
        <v>85</v>
      </c>
      <c r="K33" s="179">
        <f t="shared" si="0"/>
        <v>1080.77</v>
      </c>
    </row>
    <row r="34" spans="1:15" ht="15" customHeight="1">
      <c r="A34" s="48"/>
      <c r="B34" s="49" t="str">
        <f>VLOOKUP($C$11:$C$37,Personnel!$A$1:$B$1234,2,FALSE)</f>
        <v>SWAMPER/DRILL HELPER</v>
      </c>
      <c r="C34" s="36" t="s">
        <v>4130</v>
      </c>
      <c r="D34" s="184">
        <v>8</v>
      </c>
      <c r="E34" s="179">
        <f>VLOOKUP($B$11:$B$37,'Constr. Wage Rate Calculations'!$A$19:$Z$288,22,FALSE)</f>
        <v>48.45</v>
      </c>
      <c r="F34" s="184">
        <v>6</v>
      </c>
      <c r="G34" s="179">
        <f>VLOOKUP($B$11:$B$37,'Constr. Wage Rate Calculations'!$A$19:$Z$288,23,FALSE)</f>
        <v>72.680000000000007</v>
      </c>
      <c r="H34" s="184"/>
      <c r="I34" s="179">
        <f>VLOOKUP($B$11:$B$37,'Constr. Wage Rate Calculations'!$A$19:$Z$288,24,FALSE)</f>
        <v>96.9</v>
      </c>
      <c r="J34" s="20">
        <f>VLOOKUP($B$11:$B$37,'Constr. Wage Rate Calculations'!$A$19:$Z$288,25,FALSE)</f>
        <v>85</v>
      </c>
      <c r="K34" s="179">
        <f t="shared" si="0"/>
        <v>908.68000000000006</v>
      </c>
    </row>
    <row r="35" spans="1:15" ht="15" customHeight="1">
      <c r="A35" s="48"/>
      <c r="B35" s="49">
        <f>VLOOKUP($C$11:$C$37,Personnel!$A$1:$B$1234,2,FALSE)</f>
        <v>0</v>
      </c>
      <c r="C35" s="36"/>
      <c r="D35" s="184"/>
      <c r="E35" s="179">
        <f>VLOOKUP($B$11:$B$37,'Constr. Wage Rate Calculations'!$A$19:$Z$288,22,FALSE)</f>
        <v>0</v>
      </c>
      <c r="F35" s="184"/>
      <c r="G35" s="179">
        <f>VLOOKUP($B$11:$B$37,'Constr. Wage Rate Calculations'!$A$19:$Z$288,23,FALSE)</f>
        <v>0</v>
      </c>
      <c r="H35" s="184"/>
      <c r="I35" s="179">
        <f>VLOOKUP($B$11:$B$37,'Constr. Wage Rate Calculations'!$A$19:$Z$288,24,FALSE)</f>
        <v>0</v>
      </c>
      <c r="J35" s="20">
        <f>VLOOKUP($B$11:$B$37,'Constr. Wage Rate Calculations'!$A$19:$Z$288,25,FALSE)</f>
        <v>0</v>
      </c>
      <c r="K35" s="179" t="str">
        <f t="shared" si="0"/>
        <v/>
      </c>
    </row>
    <row r="36" spans="1:15" ht="15" customHeight="1">
      <c r="A36" s="48"/>
      <c r="B36" s="49">
        <f>VLOOKUP($C$11:$C$37,Personnel!$A$1:$B$1234,2,FALSE)</f>
        <v>0</v>
      </c>
      <c r="C36" s="36"/>
      <c r="D36" s="184"/>
      <c r="E36" s="179">
        <f>VLOOKUP($B$11:$B$37,'Constr. Wage Rate Calculations'!$A$19:$Z$288,22,FALSE)</f>
        <v>0</v>
      </c>
      <c r="F36" s="184"/>
      <c r="G36" s="179">
        <f>VLOOKUP($B$11:$B$37,'Constr. Wage Rate Calculations'!$A$19:$Z$288,23,FALSE)</f>
        <v>0</v>
      </c>
      <c r="H36" s="184"/>
      <c r="I36" s="179">
        <f>VLOOKUP($B$11:$B$37,'Constr. Wage Rate Calculations'!$A$19:$Z$288,24,FALSE)</f>
        <v>0</v>
      </c>
      <c r="J36" s="20">
        <f>VLOOKUP($B$11:$B$37,'Constr. Wage Rate Calculations'!$A$19:$Z$288,25,FALSE)</f>
        <v>0</v>
      </c>
      <c r="K36" s="179" t="str">
        <f>IF($D36&gt;=1,$J36+(D36*E36)+(F36*G36)+(H36*I36),IF($F36&gt;=1,$J36+(D36*E36)+(F36*G36)+(H36*I36),IF($H36&gt;=1,$J36+(D36*E36)+(F36*G36)+(H36*I36),"")))</f>
        <v/>
      </c>
    </row>
    <row r="37" spans="1:15" ht="15" customHeight="1" thickBot="1">
      <c r="A37" s="48"/>
      <c r="B37" s="49">
        <f>VLOOKUP($C$11:$C$37,Personnel!$A$1:$B$1234,2,FALSE)</f>
        <v>0</v>
      </c>
      <c r="C37" s="36"/>
      <c r="D37" s="184"/>
      <c r="E37" s="179">
        <f>VLOOKUP($B$11:$B$37,'Constr. Wage Rate Calculations'!$A$19:$Z$288,22,FALSE)</f>
        <v>0</v>
      </c>
      <c r="F37" s="184"/>
      <c r="G37" s="179">
        <f>VLOOKUP($B$11:$B$37,'Constr. Wage Rate Calculations'!$A$19:$Z$288,23,FALSE)</f>
        <v>0</v>
      </c>
      <c r="H37" s="184"/>
      <c r="I37" s="179">
        <f>VLOOKUP($B$11:$B$37,'Constr. Wage Rate Calculations'!$A$19:$Z$288,24,FALSE)</f>
        <v>0</v>
      </c>
      <c r="J37" s="20">
        <f>VLOOKUP($B$11:$B$37,'Constr. Wage Rate Calculations'!$A$19:$Z$288,25,FALSE)</f>
        <v>0</v>
      </c>
      <c r="K37" s="179" t="str">
        <f t="shared" si="0"/>
        <v/>
      </c>
      <c r="M37" s="1">
        <f>SUM(M11:M36)</f>
        <v>0</v>
      </c>
    </row>
    <row r="38" spans="1:15" ht="15" customHeight="1" thickBot="1">
      <c r="A38"/>
      <c r="B38"/>
      <c r="C38"/>
      <c r="D38" s="21"/>
      <c r="E38" s="21"/>
      <c r="F38" s="21"/>
      <c r="G38" s="21"/>
      <c r="H38" s="21"/>
      <c r="I38" s="360" t="s">
        <v>18</v>
      </c>
      <c r="J38" s="361"/>
      <c r="K38" s="183">
        <f>SUM(K11:K37)</f>
        <v>23908.500000000004</v>
      </c>
      <c r="M38" s="1">
        <f>SUMIFS(D11:D37,D11:D37,"&lt;3",D11:D37,"&lt;5")</f>
        <v>1</v>
      </c>
      <c r="N38" s="1">
        <f>SUMIFS(D11:D37,D11:D37,"&gt;3",D11:D37,"&gt;5")</f>
        <v>176</v>
      </c>
      <c r="O38" s="1">
        <f>SUM(F11:F37,H11:H37,M38,N38)-M37</f>
        <v>298</v>
      </c>
    </row>
    <row r="39" spans="1:15" ht="10" customHeight="1" thickBot="1"/>
    <row r="40" spans="1:15" s="19" customFormat="1" ht="15" customHeight="1" thickBot="1">
      <c r="A40" s="22" t="s">
        <v>19</v>
      </c>
      <c r="B40" s="23" t="s">
        <v>20</v>
      </c>
      <c r="C40" s="23"/>
      <c r="D40" s="23"/>
      <c r="E40" s="23"/>
      <c r="F40" s="23"/>
      <c r="G40" s="23"/>
      <c r="H40" s="18" t="s">
        <v>21</v>
      </c>
      <c r="I40" s="18" t="s">
        <v>22</v>
      </c>
      <c r="J40" s="18" t="s">
        <v>23</v>
      </c>
      <c r="K40" s="18" t="s">
        <v>17</v>
      </c>
    </row>
    <row r="41" spans="1:15" ht="15" customHeight="1">
      <c r="A41" s="43"/>
      <c r="B41" s="49">
        <f>VLOOKUP($C$41:$C$109,Equipment!$A$1:$B$2322,2,FALSE)</f>
        <v>0</v>
      </c>
      <c r="C41" s="24"/>
      <c r="D41" s="24"/>
      <c r="E41" s="24"/>
      <c r="F41" s="24"/>
      <c r="G41" s="24"/>
      <c r="H41" s="185"/>
      <c r="I41" s="184"/>
      <c r="J41" s="42">
        <f>VLOOKUP($B$41:$B$109,'Alberta Equip. Rates Year 3'!$B$13:$K$314,10,FALSE)</f>
        <v>0</v>
      </c>
      <c r="K41" s="181">
        <f>(H41+I41)*J41</f>
        <v>0</v>
      </c>
    </row>
    <row r="42" spans="1:15" ht="15" customHeight="1">
      <c r="A42" s="43"/>
      <c r="B42" s="49" t="str">
        <f>VLOOKUP($C$41:$C$109,Equipment!$A$1:$B$2322,2,FALSE)</f>
        <v>Flow Through</v>
      </c>
      <c r="C42" s="24" t="s">
        <v>2236</v>
      </c>
      <c r="D42" s="24"/>
      <c r="E42" s="24"/>
      <c r="F42" s="24"/>
      <c r="G42" s="24"/>
      <c r="H42" s="185">
        <v>1</v>
      </c>
      <c r="I42" s="184"/>
      <c r="J42" s="42">
        <f>VLOOKUP($B$41:$B$109,'Alberta Equip. Rates Year 3'!$B$13:$K$314,10,FALSE)</f>
        <v>0</v>
      </c>
      <c r="K42" s="181">
        <f>(H42+I42)*J42</f>
        <v>0</v>
      </c>
    </row>
    <row r="43" spans="1:15" ht="15" customHeight="1">
      <c r="A43" s="43"/>
      <c r="B43" s="49" t="str">
        <f>VLOOKUP($C$41:$C$109,Equipment!$A$1:$B$2322,2,FALSE)</f>
        <v>Booster for Lowboy</v>
      </c>
      <c r="C43" s="24" t="s">
        <v>1838</v>
      </c>
      <c r="D43" s="24"/>
      <c r="E43" s="24"/>
      <c r="F43" s="24"/>
      <c r="G43" s="24"/>
      <c r="H43" s="185">
        <v>1</v>
      </c>
      <c r="I43" s="184"/>
      <c r="J43" s="42">
        <f>VLOOKUP($B$41:$B$109,'Alberta Equip. Rates Year 3'!$B$13:$K$314,10,FALSE)</f>
        <v>127</v>
      </c>
      <c r="K43" s="181">
        <f t="shared" ref="K43:K46" si="1">(H43+I43)*J43</f>
        <v>127</v>
      </c>
    </row>
    <row r="44" spans="1:15" ht="15" customHeight="1">
      <c r="A44" s="43"/>
      <c r="B44" s="49" t="str">
        <f>VLOOKUP($C$41:$C$109,Equipment!$A$1:$B$2322,2,FALSE)</f>
        <v>Booster for Lowboy</v>
      </c>
      <c r="C44" s="24" t="s">
        <v>4002</v>
      </c>
      <c r="D44" s="24"/>
      <c r="E44" s="24"/>
      <c r="F44" s="24"/>
      <c r="G44" s="24"/>
      <c r="H44" s="185">
        <v>1</v>
      </c>
      <c r="I44" s="184"/>
      <c r="J44" s="42">
        <f>VLOOKUP($B$41:$B$109,'Alberta Equip. Rates Year 3'!$B$13:$K$314,10,FALSE)</f>
        <v>127</v>
      </c>
      <c r="K44" s="181">
        <f>(H44+I44)*J44</f>
        <v>127</v>
      </c>
    </row>
    <row r="45" spans="1:15" ht="15" customHeight="1">
      <c r="A45" s="43"/>
      <c r="B45" s="49" t="str">
        <f>VLOOKUP($C$41:$C$109,Equipment!$A$1:$B$2322,2,FALSE)</f>
        <v>Booster for Lowboy</v>
      </c>
      <c r="C45" s="24" t="s">
        <v>1837</v>
      </c>
      <c r="D45" s="24"/>
      <c r="E45" s="24"/>
      <c r="F45" s="24"/>
      <c r="G45" s="24"/>
      <c r="H45" s="185">
        <v>1</v>
      </c>
      <c r="I45" s="184"/>
      <c r="J45" s="42">
        <f>VLOOKUP($B$41:$B$109,'Alberta Equip. Rates Year 3'!$B$13:$K$314,10,FALSE)</f>
        <v>127</v>
      </c>
      <c r="K45" s="181">
        <f t="shared" si="1"/>
        <v>127</v>
      </c>
    </row>
    <row r="46" spans="1:15" ht="18" customHeight="1">
      <c r="A46" s="43"/>
      <c r="B46" s="49" t="str">
        <f>VLOOKUP($C$41:$C$109,Equipment!$A$1:$B$2322,2,FALSE)</f>
        <v>Booster for Lowboy</v>
      </c>
      <c r="C46" s="24" t="s">
        <v>871</v>
      </c>
      <c r="D46" s="24"/>
      <c r="E46" s="24"/>
      <c r="F46" s="24"/>
      <c r="G46" s="24"/>
      <c r="H46" s="185">
        <v>1</v>
      </c>
      <c r="I46" s="184"/>
      <c r="J46" s="42">
        <f>VLOOKUP($B$41:$B$109,'Alberta Equip. Rates Year 3'!$B$13:$K$314,10,FALSE)</f>
        <v>127</v>
      </c>
      <c r="K46" s="181">
        <f t="shared" si="1"/>
        <v>127</v>
      </c>
    </row>
    <row r="47" spans="1:15" ht="15" customHeight="1">
      <c r="A47" s="43"/>
      <c r="B47" s="49" t="str">
        <f>VLOOKUP($C$41:$C$109,Equipment!$A$1:$B$2322,2,FALSE)</f>
        <v>Booster for Lowboy</v>
      </c>
      <c r="C47" s="24" t="s">
        <v>2255</v>
      </c>
      <c r="D47" s="24"/>
      <c r="E47" s="24"/>
      <c r="F47" s="24"/>
      <c r="G47" s="24"/>
      <c r="H47" s="185">
        <v>1</v>
      </c>
      <c r="I47" s="184"/>
      <c r="J47" s="42">
        <f>VLOOKUP($B$41:$B$109,'Alberta Equip. Rates Year 3'!$B$13:$K$314,10,FALSE)</f>
        <v>127</v>
      </c>
      <c r="K47" s="181">
        <f t="shared" ref="K47:K53" si="2">(H47+I47)*J47</f>
        <v>127</v>
      </c>
    </row>
    <row r="48" spans="1:15" ht="15" customHeight="1">
      <c r="A48" s="43"/>
      <c r="B48" s="49" t="str">
        <f>VLOOKUP($C$41:$C$109,Equipment!$A$1:$B$2322,2,FALSE)</f>
        <v>Booster for Lowboy</v>
      </c>
      <c r="C48" s="24" t="s">
        <v>2540</v>
      </c>
      <c r="D48" s="24"/>
      <c r="E48" s="24"/>
      <c r="F48" s="24"/>
      <c r="G48" s="24"/>
      <c r="H48" s="185">
        <v>1</v>
      </c>
      <c r="I48" s="184"/>
      <c r="J48" s="42">
        <f>VLOOKUP($B$41:$B$109,'Alberta Equip. Rates Year 3'!$B$13:$K$314,10,FALSE)</f>
        <v>127</v>
      </c>
      <c r="K48" s="181">
        <f t="shared" si="2"/>
        <v>127</v>
      </c>
    </row>
    <row r="49" spans="1:11" ht="15" customHeight="1">
      <c r="A49" s="43"/>
      <c r="B49" s="49" t="str">
        <f>VLOOKUP($C$41:$C$109,Equipment!$A$1:$B$2322,2,FALSE)</f>
        <v>Trailer - B - Train</v>
      </c>
      <c r="C49" s="24" t="s">
        <v>3538</v>
      </c>
      <c r="D49" s="24"/>
      <c r="E49" s="24"/>
      <c r="F49" s="24"/>
      <c r="G49" s="24"/>
      <c r="H49" s="185">
        <v>1</v>
      </c>
      <c r="I49" s="184"/>
      <c r="J49" s="42">
        <f>VLOOKUP($B$41:$B$109,'Alberta Equip. Rates Year 3'!$B$13:$K$314,10,FALSE)</f>
        <v>148.16999999999999</v>
      </c>
      <c r="K49" s="181">
        <f t="shared" si="2"/>
        <v>148.16999999999999</v>
      </c>
    </row>
    <row r="50" spans="1:11" ht="15" customHeight="1">
      <c r="A50" s="43"/>
      <c r="B50" s="49" t="str">
        <f>VLOOKUP($C$41:$C$109,Equipment!$A$1:$B$2322,2,FALSE)</f>
        <v>Forklift - Zoom Boom</v>
      </c>
      <c r="C50" s="24" t="s">
        <v>3900</v>
      </c>
      <c r="D50" s="24"/>
      <c r="E50" s="24"/>
      <c r="F50" s="24"/>
      <c r="G50" s="24"/>
      <c r="H50" s="185">
        <v>1</v>
      </c>
      <c r="I50" s="184"/>
      <c r="J50" s="42">
        <f>VLOOKUP($B$41:$B$109,'Alberta Equip. Rates Year 3'!$B$13:$K$314,10,FALSE)</f>
        <v>503</v>
      </c>
      <c r="K50" s="181">
        <f t="shared" ref="K50" si="3">(H50+I50)*J50</f>
        <v>503</v>
      </c>
    </row>
    <row r="51" spans="1:11" ht="15" customHeight="1">
      <c r="A51" s="43"/>
      <c r="B51" s="49" t="str">
        <f>VLOOKUP($C$41:$C$109,Equipment!$A$1:$B$2322,2,FALSE)</f>
        <v>Forklift - Zoom Boom</v>
      </c>
      <c r="C51" s="24" t="s">
        <v>2158</v>
      </c>
      <c r="D51" s="24"/>
      <c r="E51" s="24"/>
      <c r="F51" s="24"/>
      <c r="G51" s="24"/>
      <c r="H51" s="185">
        <v>1</v>
      </c>
      <c r="I51" s="184"/>
      <c r="J51" s="42">
        <f>VLOOKUP($B$41:$B$109,'Alberta Equip. Rates Year 3'!$B$13:$K$314,10,FALSE)</f>
        <v>503</v>
      </c>
      <c r="K51" s="181">
        <f t="shared" si="2"/>
        <v>503</v>
      </c>
    </row>
    <row r="52" spans="1:11" ht="15" customHeight="1">
      <c r="A52" s="43"/>
      <c r="B52" s="49" t="str">
        <f>VLOOKUP($C$41:$C$109,Equipment!$A$1:$B$2322,2,FALSE)</f>
        <v>Fuel Truck - Tandem</v>
      </c>
      <c r="C52" s="24" t="s">
        <v>1683</v>
      </c>
      <c r="D52" s="24"/>
      <c r="E52" s="24"/>
      <c r="F52" s="24"/>
      <c r="G52" s="24"/>
      <c r="H52" s="185">
        <v>1</v>
      </c>
      <c r="I52" s="184"/>
      <c r="J52" s="42">
        <f>VLOOKUP($B$41:$B$109,'Alberta Equip. Rates Year 3'!$B$13:$K$314,10,FALSE)</f>
        <v>741</v>
      </c>
      <c r="K52" s="181">
        <f t="shared" si="2"/>
        <v>741</v>
      </c>
    </row>
    <row r="53" spans="1:11" ht="15" customHeight="1">
      <c r="A53" s="43"/>
      <c r="B53" s="49" t="str">
        <f>VLOOKUP($C$41:$C$109,Equipment!$A$1:$B$2322,2,FALSE)</f>
        <v>Fuel Truck - Tandem</v>
      </c>
      <c r="C53" s="24" t="s">
        <v>2907</v>
      </c>
      <c r="D53" s="24"/>
      <c r="E53" s="24"/>
      <c r="F53" s="24"/>
      <c r="G53" s="24"/>
      <c r="H53" s="185">
        <v>1</v>
      </c>
      <c r="I53" s="184"/>
      <c r="J53" s="42">
        <f>VLOOKUP($B$41:$B$109,'Alberta Equip. Rates Year 3'!$B$13:$K$314,10,FALSE)</f>
        <v>741</v>
      </c>
      <c r="K53" s="181">
        <f t="shared" si="2"/>
        <v>741</v>
      </c>
    </row>
    <row r="54" spans="1:11" ht="15" customHeight="1">
      <c r="A54" s="43"/>
      <c r="B54" s="49" t="str">
        <f>VLOOKUP($C$41:$C$109,Equipment!$A$1:$B$2322,2,FALSE)</f>
        <v>Highboy Trailer</v>
      </c>
      <c r="C54" s="24" t="s">
        <v>1248</v>
      </c>
      <c r="D54" s="24"/>
      <c r="E54" s="24"/>
      <c r="F54" s="24"/>
      <c r="G54" s="24"/>
      <c r="H54" s="185">
        <v>1</v>
      </c>
      <c r="I54" s="184"/>
      <c r="J54" s="42">
        <f>VLOOKUP($B$41:$B$109,'Alberta Equip. Rates Year 3'!$B$13:$K$314,10,FALSE)</f>
        <v>149</v>
      </c>
      <c r="K54" s="181">
        <f>(H54+I54)*J54</f>
        <v>149</v>
      </c>
    </row>
    <row r="55" spans="1:11" ht="15" customHeight="1">
      <c r="A55" s="43"/>
      <c r="B55" s="49" t="str">
        <f>VLOOKUP($C$41:$C$109,Equipment!$A$1:$B$2322,2,FALSE)</f>
        <v>Highboy Trailer</v>
      </c>
      <c r="C55" s="24" t="s">
        <v>1249</v>
      </c>
      <c r="D55" s="24"/>
      <c r="E55" s="24"/>
      <c r="F55" s="24"/>
      <c r="G55" s="24"/>
      <c r="H55" s="185">
        <v>1</v>
      </c>
      <c r="I55" s="184"/>
      <c r="J55" s="42">
        <f>VLOOKUP($B$41:$B$109,'Alberta Equip. Rates Year 3'!$B$13:$K$314,10,FALSE)</f>
        <v>149</v>
      </c>
      <c r="K55" s="181">
        <f>(H55+I55)*J55</f>
        <v>149</v>
      </c>
    </row>
    <row r="56" spans="1:11" ht="15" customHeight="1">
      <c r="A56" s="43"/>
      <c r="B56" s="49" t="str">
        <f>VLOOKUP($C$41:$C$109,Equipment!$A$1:$B$2322,2,FALSE)</f>
        <v>Highboy Trailer</v>
      </c>
      <c r="C56" s="24" t="s">
        <v>2226</v>
      </c>
      <c r="D56" s="24"/>
      <c r="E56" s="24"/>
      <c r="F56" s="24"/>
      <c r="G56" s="24"/>
      <c r="H56" s="185">
        <v>1</v>
      </c>
      <c r="I56" s="184"/>
      <c r="J56" s="42">
        <f>VLOOKUP($B$41:$B$109,'Alberta Equip. Rates Year 3'!$B$13:$K$314,10,FALSE)</f>
        <v>149</v>
      </c>
      <c r="K56" s="181">
        <f>(H56+I56)*J56</f>
        <v>149</v>
      </c>
    </row>
    <row r="57" spans="1:11" ht="15" customHeight="1">
      <c r="A57" s="43"/>
      <c r="B57" s="49" t="str">
        <f>VLOOKUP($C$41:$C$109,Equipment!$A$1:$B$2322,2,FALSE)</f>
        <v>Highboy Trailer</v>
      </c>
      <c r="C57" s="24" t="s">
        <v>611</v>
      </c>
      <c r="D57" s="24"/>
      <c r="E57" s="24"/>
      <c r="F57" s="24"/>
      <c r="G57" s="24"/>
      <c r="H57" s="185">
        <v>1</v>
      </c>
      <c r="I57" s="184"/>
      <c r="J57" s="42">
        <f>VLOOKUP($B$41:$B$109,'Alberta Equip. Rates Year 3'!$B$13:$K$314,10,FALSE)</f>
        <v>149</v>
      </c>
      <c r="K57" s="181">
        <f t="shared" ref="K57:K64" si="4">(H57+I57)*J57</f>
        <v>149</v>
      </c>
    </row>
    <row r="58" spans="1:11" ht="15" customHeight="1">
      <c r="A58" s="43"/>
      <c r="B58" s="49" t="str">
        <f>VLOOKUP($C$41:$C$109,Equipment!$A$1:$B$2322,2,FALSE)</f>
        <v>Highboy Trailer</v>
      </c>
      <c r="C58" s="24" t="s">
        <v>1324</v>
      </c>
      <c r="D58" s="24"/>
      <c r="E58" s="24"/>
      <c r="F58" s="24"/>
      <c r="G58" s="24"/>
      <c r="H58" s="185">
        <v>1</v>
      </c>
      <c r="I58" s="184"/>
      <c r="J58" s="42">
        <f>VLOOKUP($B$41:$B$109,'Alberta Equip. Rates Year 3'!$B$13:$K$314,10,FALSE)</f>
        <v>149</v>
      </c>
      <c r="K58" s="181">
        <f t="shared" si="4"/>
        <v>149</v>
      </c>
    </row>
    <row r="59" spans="1:11" ht="15" customHeight="1">
      <c r="A59" s="43"/>
      <c r="B59" s="49" t="str">
        <f>VLOOKUP($C$41:$C$109,Equipment!$A$1:$B$2322,2,FALSE)</f>
        <v>Jeep for Lowboy</v>
      </c>
      <c r="C59" s="24" t="s">
        <v>4003</v>
      </c>
      <c r="D59" s="24"/>
      <c r="E59" s="24"/>
      <c r="F59" s="24"/>
      <c r="G59" s="24"/>
      <c r="H59" s="185">
        <v>1</v>
      </c>
      <c r="I59" s="184"/>
      <c r="J59" s="42">
        <f>VLOOKUP($B$41:$B$109,'Alberta Equip. Rates Year 3'!$B$13:$K$314,10,FALSE)</f>
        <v>127</v>
      </c>
      <c r="K59" s="181">
        <f t="shared" si="4"/>
        <v>127</v>
      </c>
    </row>
    <row r="60" spans="1:11" ht="15" customHeight="1">
      <c r="A60" s="43"/>
      <c r="B60" s="49" t="str">
        <f>VLOOKUP($C$41:$C$109,Equipment!$A$1:$B$2322,2,FALSE)</f>
        <v>Jeep for Lowboy</v>
      </c>
      <c r="C60" s="24" t="s">
        <v>1841</v>
      </c>
      <c r="D60" s="24"/>
      <c r="E60" s="24"/>
      <c r="F60" s="24"/>
      <c r="G60" s="24"/>
      <c r="H60" s="185">
        <v>1</v>
      </c>
      <c r="I60" s="184"/>
      <c r="J60" s="42">
        <f>VLOOKUP($B$41:$B$109,'Alberta Equip. Rates Year 3'!$B$13:$K$314,10,FALSE)</f>
        <v>127</v>
      </c>
      <c r="K60" s="181">
        <f t="shared" si="4"/>
        <v>127</v>
      </c>
    </row>
    <row r="61" spans="1:11" ht="15" customHeight="1">
      <c r="A61" s="43"/>
      <c r="B61" s="49" t="str">
        <f>VLOOKUP($C$41:$C$109,Equipment!$A$1:$B$2322,2,FALSE)</f>
        <v>Jeep for Lowboy</v>
      </c>
      <c r="C61" s="24" t="s">
        <v>1842</v>
      </c>
      <c r="D61" s="24"/>
      <c r="E61" s="24"/>
      <c r="F61" s="24"/>
      <c r="G61" s="24"/>
      <c r="H61" s="185">
        <v>1</v>
      </c>
      <c r="I61" s="184"/>
      <c r="J61" s="42">
        <f>VLOOKUP($B$41:$B$109,'Alberta Equip. Rates Year 3'!$B$13:$K$314,10,FALSE)</f>
        <v>127</v>
      </c>
      <c r="K61" s="181">
        <f t="shared" si="4"/>
        <v>127</v>
      </c>
    </row>
    <row r="62" spans="1:11" ht="15" customHeight="1">
      <c r="A62" s="43"/>
      <c r="B62" s="49" t="str">
        <f>VLOOKUP($C$41:$C$109,Equipment!$A$1:$B$2322,2,FALSE)</f>
        <v>Jeep for Lowboy</v>
      </c>
      <c r="C62" s="24" t="s">
        <v>2256</v>
      </c>
      <c r="D62" s="24"/>
      <c r="E62" s="24"/>
      <c r="F62" s="24"/>
      <c r="G62" s="24"/>
      <c r="H62" s="185">
        <v>1</v>
      </c>
      <c r="I62" s="184"/>
      <c r="J62" s="42">
        <f>VLOOKUP($B$41:$B$109,'Alberta Equip. Rates Year 3'!$B$13:$K$314,10,FALSE)</f>
        <v>127</v>
      </c>
      <c r="K62" s="181">
        <f t="shared" si="4"/>
        <v>127</v>
      </c>
    </row>
    <row r="63" spans="1:11" ht="15" customHeight="1">
      <c r="A63" s="43"/>
      <c r="B63" s="49" t="str">
        <f>VLOOKUP($C$41:$C$109,Equipment!$A$1:$B$2322,2,FALSE)</f>
        <v>Jeep for Lowboy</v>
      </c>
      <c r="C63" s="24" t="s">
        <v>2538</v>
      </c>
      <c r="D63" s="24"/>
      <c r="E63" s="24"/>
      <c r="F63" s="24"/>
      <c r="G63" s="24"/>
      <c r="H63" s="185">
        <v>1</v>
      </c>
      <c r="I63" s="184"/>
      <c r="J63" s="42">
        <f>VLOOKUP($B$41:$B$109,'Alberta Equip. Rates Year 3'!$B$13:$K$314,10,FALSE)</f>
        <v>127</v>
      </c>
      <c r="K63" s="181">
        <f t="shared" si="4"/>
        <v>127</v>
      </c>
    </row>
    <row r="64" spans="1:11" ht="15" customHeight="1">
      <c r="A64" s="43"/>
      <c r="B64" s="49" t="str">
        <f>VLOOKUP($C$41:$C$109,Equipment!$A$1:$B$2322,2,FALSE)</f>
        <v>Jeep for Lowboy</v>
      </c>
      <c r="C64" s="24" t="s">
        <v>872</v>
      </c>
      <c r="D64" s="24"/>
      <c r="E64" s="24"/>
      <c r="F64" s="24"/>
      <c r="G64" s="24"/>
      <c r="H64" s="185">
        <v>1</v>
      </c>
      <c r="I64" s="184"/>
      <c r="J64" s="42">
        <f>VLOOKUP($B$41:$B$109,'Alberta Equip. Rates Year 3'!$B$13:$K$314,10,FALSE)</f>
        <v>127</v>
      </c>
      <c r="K64" s="181">
        <f t="shared" si="4"/>
        <v>127</v>
      </c>
    </row>
    <row r="65" spans="1:11" ht="15" customHeight="1">
      <c r="A65" s="43"/>
      <c r="B65" s="49" t="str">
        <f>VLOOKUP($C$41:$C$109,Equipment!$A$1:$B$2322,2,FALSE)</f>
        <v>Loader - Cat 930</v>
      </c>
      <c r="C65" s="24" t="s">
        <v>657</v>
      </c>
      <c r="D65" s="24"/>
      <c r="E65" s="24"/>
      <c r="F65" s="24"/>
      <c r="G65" s="24"/>
      <c r="H65" s="185">
        <v>1</v>
      </c>
      <c r="I65" s="184"/>
      <c r="J65" s="42">
        <f>VLOOKUP($B$41:$B$109,'Alberta Equip. Rates Year 3'!$B$13:$K$314,10,FALSE)</f>
        <v>477</v>
      </c>
      <c r="K65" s="181">
        <f t="shared" ref="K65" si="5">(H65+I65)*J65</f>
        <v>477</v>
      </c>
    </row>
    <row r="66" spans="1:11" ht="15" customHeight="1">
      <c r="A66" s="43"/>
      <c r="B66" s="49" t="str">
        <f>VLOOKUP($C$41:$C$109,Equipment!$A$1:$B$2322,2,FALSE)</f>
        <v>Lowboy/Highboy Truck Tractor</v>
      </c>
      <c r="C66" s="24" t="s">
        <v>623</v>
      </c>
      <c r="D66" s="24"/>
      <c r="E66" s="24"/>
      <c r="F66" s="24"/>
      <c r="G66" s="24"/>
      <c r="H66" s="185">
        <v>1</v>
      </c>
      <c r="I66" s="184"/>
      <c r="J66" s="42">
        <f>VLOOKUP($B$41:$B$109,'Alberta Equip. Rates Year 3'!$B$13:$K$314,10,FALSE)</f>
        <v>424</v>
      </c>
      <c r="K66" s="181">
        <f>(H66+I66)*J66</f>
        <v>424</v>
      </c>
    </row>
    <row r="67" spans="1:11" ht="15" customHeight="1">
      <c r="A67" s="43"/>
      <c r="B67" s="49" t="str">
        <f>VLOOKUP($C$41:$C$109,Equipment!$A$1:$B$2322,2,FALSE)</f>
        <v>Lowboy/Highboy Truck Tractor</v>
      </c>
      <c r="C67" s="24" t="s">
        <v>3497</v>
      </c>
      <c r="D67" s="24"/>
      <c r="E67" s="24"/>
      <c r="F67" s="24"/>
      <c r="G67" s="24"/>
      <c r="H67" s="185">
        <v>1</v>
      </c>
      <c r="I67" s="184"/>
      <c r="J67" s="42">
        <f>VLOOKUP($B$41:$B$109,'Alberta Equip. Rates Year 3'!$B$13:$K$314,10,FALSE)</f>
        <v>424</v>
      </c>
      <c r="K67" s="181">
        <f>(H67+I67)*J67</f>
        <v>424</v>
      </c>
    </row>
    <row r="68" spans="1:11" ht="15" customHeight="1">
      <c r="A68" s="43"/>
      <c r="B68" s="49" t="str">
        <f>VLOOKUP($C$41:$C$109,Equipment!$A$1:$B$2322,2,FALSE)</f>
        <v>Lowboy/Highboy Truck Tractor</v>
      </c>
      <c r="C68" s="24" t="s">
        <v>2116</v>
      </c>
      <c r="D68" s="24"/>
      <c r="E68" s="24"/>
      <c r="F68" s="24"/>
      <c r="G68" s="24"/>
      <c r="H68" s="185">
        <v>1</v>
      </c>
      <c r="I68" s="184"/>
      <c r="J68" s="42">
        <f>VLOOKUP($B$41:$B$109,'Alberta Equip. Rates Year 3'!$B$13:$K$314,10,FALSE)</f>
        <v>424</v>
      </c>
      <c r="K68" s="181">
        <f t="shared" ref="K68:K109" si="6">(H68+I68)*J68</f>
        <v>424</v>
      </c>
    </row>
    <row r="69" spans="1:11" ht="15" customHeight="1">
      <c r="A69" s="43"/>
      <c r="B69" s="49" t="str">
        <f>VLOOKUP($C$41:$C$109,Equipment!$A$1:$B$2322,2,FALSE)</f>
        <v>Lowboy/Highboy Truck Tractor</v>
      </c>
      <c r="C69" s="24" t="s">
        <v>2144</v>
      </c>
      <c r="D69" s="24"/>
      <c r="E69" s="24"/>
      <c r="F69" s="24"/>
      <c r="G69" s="24"/>
      <c r="H69" s="185">
        <v>1</v>
      </c>
      <c r="I69" s="184"/>
      <c r="J69" s="42">
        <f>VLOOKUP($B$41:$B$109,'Alberta Equip. Rates Year 3'!$B$13:$K$314,10,FALSE)</f>
        <v>424</v>
      </c>
      <c r="K69" s="181">
        <f t="shared" si="6"/>
        <v>424</v>
      </c>
    </row>
    <row r="70" spans="1:11" ht="15" customHeight="1">
      <c r="A70" s="43"/>
      <c r="B70" s="49" t="str">
        <f>VLOOKUP($C$41:$C$109,Equipment!$A$1:$B$2322,2,FALSE)</f>
        <v>Lowboy/Highboy Truck Tractor</v>
      </c>
      <c r="C70" s="24" t="s">
        <v>2019</v>
      </c>
      <c r="D70" s="24"/>
      <c r="E70" s="24"/>
      <c r="F70" s="24"/>
      <c r="G70" s="24"/>
      <c r="H70" s="185">
        <v>1</v>
      </c>
      <c r="I70" s="184"/>
      <c r="J70" s="42">
        <f>VLOOKUP($B$41:$B$109,'Alberta Equip. Rates Year 3'!$B$13:$K$314,10,FALSE)</f>
        <v>424</v>
      </c>
      <c r="K70" s="181">
        <f t="shared" ref="K70:K105" si="7">(H70+I70)*J70</f>
        <v>424</v>
      </c>
    </row>
    <row r="71" spans="1:11" ht="15" customHeight="1">
      <c r="A71" s="43"/>
      <c r="B71" s="49" t="str">
        <f>VLOOKUP($C$41:$C$109,Equipment!$A$1:$B$2322,2,FALSE)</f>
        <v>Lowboy Trailer</v>
      </c>
      <c r="C71" s="24" t="s">
        <v>4033</v>
      </c>
      <c r="D71" s="24"/>
      <c r="E71" s="24"/>
      <c r="F71" s="24"/>
      <c r="G71" s="24"/>
      <c r="H71" s="185">
        <v>1</v>
      </c>
      <c r="I71" s="184"/>
      <c r="J71" s="42">
        <f>VLOOKUP($B$41:$B$109,'Alberta Equip. Rates Year 3'!$B$13:$K$314,10,FALSE)</f>
        <v>667</v>
      </c>
      <c r="K71" s="181">
        <f t="shared" si="7"/>
        <v>667</v>
      </c>
    </row>
    <row r="72" spans="1:11" ht="15" customHeight="1">
      <c r="A72" s="43"/>
      <c r="B72" s="49" t="str">
        <f>VLOOKUP($C$41:$C$109,Equipment!$A$1:$B$2322,2,FALSE)</f>
        <v>Lowboy Trailer</v>
      </c>
      <c r="C72" s="24" t="s">
        <v>1840</v>
      </c>
      <c r="D72" s="24"/>
      <c r="E72" s="24"/>
      <c r="F72" s="24"/>
      <c r="G72" s="24"/>
      <c r="H72" s="185">
        <v>1</v>
      </c>
      <c r="I72" s="184"/>
      <c r="J72" s="42">
        <f>VLOOKUP($B$41:$B$109,'Alberta Equip. Rates Year 3'!$B$13:$K$314,10,FALSE)</f>
        <v>667</v>
      </c>
      <c r="K72" s="181">
        <f t="shared" si="7"/>
        <v>667</v>
      </c>
    </row>
    <row r="73" spans="1:11" ht="15" customHeight="1">
      <c r="A73" s="43"/>
      <c r="B73" s="49" t="str">
        <f>VLOOKUP($C$41:$C$109,Equipment!$A$1:$B$2322,2,FALSE)</f>
        <v>Lowboy Trailer</v>
      </c>
      <c r="C73" s="24" t="s">
        <v>1839</v>
      </c>
      <c r="D73" s="24"/>
      <c r="E73" s="24"/>
      <c r="F73" s="24"/>
      <c r="G73" s="24"/>
      <c r="H73" s="185">
        <v>1</v>
      </c>
      <c r="I73" s="184"/>
      <c r="J73" s="42">
        <f>VLOOKUP($B$41:$B$109,'Alberta Equip. Rates Year 3'!$B$13:$K$314,10,FALSE)</f>
        <v>667</v>
      </c>
      <c r="K73" s="181">
        <f t="shared" si="7"/>
        <v>667</v>
      </c>
    </row>
    <row r="74" spans="1:11" ht="15" customHeight="1">
      <c r="A74" s="43"/>
      <c r="B74" s="49" t="str">
        <f>VLOOKUP($C$41:$C$109,Equipment!$A$1:$B$2322,2,FALSE)</f>
        <v>Lowboy Trailer</v>
      </c>
      <c r="C74" s="24" t="s">
        <v>4004</v>
      </c>
      <c r="D74" s="24"/>
      <c r="E74" s="24"/>
      <c r="F74" s="24"/>
      <c r="G74" s="24"/>
      <c r="H74" s="185">
        <v>1</v>
      </c>
      <c r="I74" s="184"/>
      <c r="J74" s="42">
        <f>VLOOKUP($B$41:$B$109,'Alberta Equip. Rates Year 3'!$B$13:$K$314,10,FALSE)</f>
        <v>667</v>
      </c>
      <c r="K74" s="181">
        <f t="shared" si="7"/>
        <v>667</v>
      </c>
    </row>
    <row r="75" spans="1:11" ht="15" customHeight="1">
      <c r="A75" s="43"/>
      <c r="B75" s="49" t="str">
        <f>VLOOKUP($C$41:$C$109,Equipment!$A$1:$B$2322,2,FALSE)</f>
        <v>Lowboy Trailer</v>
      </c>
      <c r="C75" s="24" t="s">
        <v>873</v>
      </c>
      <c r="D75" s="24"/>
      <c r="E75" s="24"/>
      <c r="F75" s="24"/>
      <c r="G75" s="24"/>
      <c r="H75" s="185">
        <v>1</v>
      </c>
      <c r="I75" s="184"/>
      <c r="J75" s="42">
        <f>VLOOKUP($B$41:$B$109,'Alberta Equip. Rates Year 3'!$B$13:$K$314,10,FALSE)</f>
        <v>667</v>
      </c>
      <c r="K75" s="181">
        <f t="shared" si="7"/>
        <v>667</v>
      </c>
    </row>
    <row r="76" spans="1:11" ht="15" customHeight="1">
      <c r="A76" s="43"/>
      <c r="B76" s="49" t="str">
        <f>VLOOKUP($C$41:$C$109,Equipment!$A$1:$B$2322,2,FALSE)</f>
        <v>Lowboy Trailer</v>
      </c>
      <c r="C76" s="24" t="s">
        <v>2539</v>
      </c>
      <c r="D76" s="24"/>
      <c r="E76" s="24"/>
      <c r="F76" s="24"/>
      <c r="G76" s="24"/>
      <c r="H76" s="185">
        <v>1</v>
      </c>
      <c r="I76" s="184"/>
      <c r="J76" s="42">
        <f>VLOOKUP($B$41:$B$109,'Alberta Equip. Rates Year 3'!$B$13:$K$314,10,FALSE)</f>
        <v>667</v>
      </c>
      <c r="K76" s="181">
        <f t="shared" si="7"/>
        <v>667</v>
      </c>
    </row>
    <row r="77" spans="1:11" ht="15" customHeight="1">
      <c r="A77" s="43"/>
      <c r="B77" s="49" t="str">
        <f>VLOOKUP($C$41:$C$109,Equipment!$A$1:$B$2322,2,FALSE)</f>
        <v>Lowboy Trailer</v>
      </c>
      <c r="C77" s="24" t="s">
        <v>2257</v>
      </c>
      <c r="D77" s="24"/>
      <c r="E77" s="24"/>
      <c r="F77" s="24"/>
      <c r="G77" s="24"/>
      <c r="H77" s="185">
        <v>1</v>
      </c>
      <c r="I77" s="184"/>
      <c r="J77" s="42">
        <f>VLOOKUP($B$41:$B$109,'Alberta Equip. Rates Year 3'!$B$13:$K$314,10,FALSE)</f>
        <v>667</v>
      </c>
      <c r="K77" s="181">
        <f t="shared" si="7"/>
        <v>667</v>
      </c>
    </row>
    <row r="78" spans="1:11" ht="15" customHeight="1">
      <c r="A78" s="43"/>
      <c r="B78" s="49" t="str">
        <f>VLOOKUP($C$41:$C$109,Equipment!$A$1:$B$2322,2,FALSE)</f>
        <v>Office Trailer</v>
      </c>
      <c r="C78" s="24" t="s">
        <v>4032</v>
      </c>
      <c r="D78" s="24"/>
      <c r="E78" s="24"/>
      <c r="F78" s="24"/>
      <c r="G78" s="24"/>
      <c r="H78" s="185">
        <v>1</v>
      </c>
      <c r="I78" s="184"/>
      <c r="J78" s="42">
        <f>VLOOKUP($B$41:$B$109,'Alberta Equip. Rates Year 3'!$B$13:$K$314,10,FALSE)</f>
        <v>133</v>
      </c>
      <c r="K78" s="181">
        <f t="shared" si="7"/>
        <v>133</v>
      </c>
    </row>
    <row r="79" spans="1:11" ht="15" customHeight="1">
      <c r="A79" s="43"/>
      <c r="B79" s="49" t="str">
        <f>VLOOKUP($C$41:$C$109,Equipment!$A$1:$B$2322,2,FALSE)</f>
        <v>Picker Truck - 30 Ton</v>
      </c>
      <c r="C79" s="24" t="s">
        <v>1247</v>
      </c>
      <c r="D79" s="24"/>
      <c r="E79" s="24"/>
      <c r="F79" s="24"/>
      <c r="G79" s="24"/>
      <c r="H79" s="185">
        <v>1</v>
      </c>
      <c r="I79" s="184"/>
      <c r="J79" s="42">
        <f>VLOOKUP($B$41:$B$109,'Alberta Equip. Rates Year 3'!$B$13:$K$314,10,FALSE)</f>
        <v>1482</v>
      </c>
      <c r="K79" s="181">
        <f t="shared" si="7"/>
        <v>1482</v>
      </c>
    </row>
    <row r="80" spans="1:11" ht="15" customHeight="1">
      <c r="A80" s="43"/>
      <c r="B80" s="49" t="str">
        <f>VLOOKUP($C$41:$C$109,Equipment!$A$1:$B$2322,2,FALSE)</f>
        <v>Picker Truck - 30 Ton</v>
      </c>
      <c r="C80" s="24" t="s">
        <v>1846</v>
      </c>
      <c r="D80" s="24"/>
      <c r="E80" s="24"/>
      <c r="F80" s="24"/>
      <c r="G80" s="24"/>
      <c r="H80" s="185">
        <v>1</v>
      </c>
      <c r="I80" s="184"/>
      <c r="J80" s="42">
        <f>VLOOKUP($B$41:$B$109,'Alberta Equip. Rates Year 3'!$B$13:$K$314,10,FALSE)</f>
        <v>1482</v>
      </c>
      <c r="K80" s="181">
        <f t="shared" si="7"/>
        <v>1482</v>
      </c>
    </row>
    <row r="81" spans="1:11" ht="15" customHeight="1">
      <c r="A81" s="43"/>
      <c r="B81" s="49" t="str">
        <f>VLOOKUP($C$41:$C$109,Equipment!$A$1:$B$2322,2,FALSE)</f>
        <v>Picker Truck - 8 Ton</v>
      </c>
      <c r="C81" s="24" t="s">
        <v>1328</v>
      </c>
      <c r="D81" s="24"/>
      <c r="E81" s="24"/>
      <c r="F81" s="24"/>
      <c r="G81" s="24"/>
      <c r="H81" s="185">
        <v>1</v>
      </c>
      <c r="I81" s="184"/>
      <c r="J81" s="42">
        <f>VLOOKUP($B$41:$B$109,'Alberta Equip. Rates Year 3'!$B$13:$K$314,10,FALSE)</f>
        <v>307</v>
      </c>
      <c r="K81" s="181">
        <f t="shared" si="7"/>
        <v>307</v>
      </c>
    </row>
    <row r="82" spans="1:11" ht="15" customHeight="1">
      <c r="A82" s="43"/>
      <c r="B82" s="49" t="str">
        <f>VLOOKUP($C$41:$C$109,Equipment!$A$1:$B$2322,2,FALSE)</f>
        <v>Pickup - 1/2 Ton</v>
      </c>
      <c r="C82" s="24" t="s">
        <v>1847</v>
      </c>
      <c r="D82" s="24"/>
      <c r="E82" s="24"/>
      <c r="F82" s="24"/>
      <c r="G82" s="24"/>
      <c r="H82" s="185">
        <v>1</v>
      </c>
      <c r="I82" s="184"/>
      <c r="J82" s="42">
        <f>VLOOKUP($B$41:$B$109,'Alberta Equip. Rates Year 3'!$B$13:$K$314,10,FALSE)</f>
        <v>125</v>
      </c>
      <c r="K82" s="181">
        <f t="shared" si="7"/>
        <v>125</v>
      </c>
    </row>
    <row r="83" spans="1:11" ht="15" customHeight="1">
      <c r="A83" s="43"/>
      <c r="B83" s="49" t="str">
        <f>VLOOKUP($C$41:$C$109,Equipment!$A$1:$B$2322,2,FALSE)</f>
        <v>Pickup - 1/2 Ton</v>
      </c>
      <c r="C83" s="24" t="s">
        <v>2429</v>
      </c>
      <c r="D83" s="24"/>
      <c r="E83" s="24"/>
      <c r="F83" s="24"/>
      <c r="G83" s="24"/>
      <c r="H83" s="185">
        <v>1</v>
      </c>
      <c r="I83" s="184"/>
      <c r="J83" s="42">
        <f>VLOOKUP($B$41:$B$109,'Alberta Equip. Rates Year 3'!$B$13:$K$314,10,FALSE)</f>
        <v>125</v>
      </c>
      <c r="K83" s="181">
        <f t="shared" si="7"/>
        <v>125</v>
      </c>
    </row>
    <row r="84" spans="1:11" ht="15" customHeight="1">
      <c r="A84" s="43"/>
      <c r="B84" s="49" t="str">
        <f>VLOOKUP($C$41:$C$109,Equipment!$A$1:$B$2322,2,FALSE)</f>
        <v>Pickup - 3/4 Ton</v>
      </c>
      <c r="C84" s="24" t="s">
        <v>1686</v>
      </c>
      <c r="D84" s="24"/>
      <c r="E84" s="24"/>
      <c r="F84" s="24"/>
      <c r="G84" s="24"/>
      <c r="H84" s="185">
        <v>1</v>
      </c>
      <c r="I84" s="184"/>
      <c r="J84" s="42">
        <f>VLOOKUP($B$41:$B$109,'Alberta Equip. Rates Year 3'!$B$13:$K$314,10,FALSE)</f>
        <v>145</v>
      </c>
      <c r="K84" s="181">
        <f t="shared" si="7"/>
        <v>145</v>
      </c>
    </row>
    <row r="85" spans="1:11" ht="15" customHeight="1">
      <c r="A85" s="43"/>
      <c r="B85" s="49" t="str">
        <f>VLOOKUP($C$41:$C$109,Equipment!$A$1:$B$2322,2,FALSE)</f>
        <v>Pickup - 3/4 Ton</v>
      </c>
      <c r="C85" s="24" t="s">
        <v>659</v>
      </c>
      <c r="D85" s="24"/>
      <c r="E85" s="24"/>
      <c r="F85" s="24"/>
      <c r="G85" s="24"/>
      <c r="H85" s="185">
        <v>1</v>
      </c>
      <c r="I85" s="184"/>
      <c r="J85" s="42">
        <f>VLOOKUP($B$41:$B$109,'Alberta Equip. Rates Year 3'!$B$13:$K$314,10,FALSE)</f>
        <v>145</v>
      </c>
      <c r="K85" s="181">
        <f t="shared" si="7"/>
        <v>145</v>
      </c>
    </row>
    <row r="86" spans="1:11" ht="15" customHeight="1">
      <c r="A86" s="43"/>
      <c r="B86" s="49" t="str">
        <f>VLOOKUP($C$41:$C$109,Equipment!$A$1:$B$2322,2,FALSE)</f>
        <v>Pickup - 3/4 Ton</v>
      </c>
      <c r="C86" s="24" t="s">
        <v>754</v>
      </c>
      <c r="D86" s="24"/>
      <c r="E86" s="24"/>
      <c r="F86" s="24"/>
      <c r="G86" s="24"/>
      <c r="H86" s="185">
        <v>1</v>
      </c>
      <c r="I86" s="184"/>
      <c r="J86" s="42">
        <f>VLOOKUP($B$41:$B$109,'Alberta Equip. Rates Year 3'!$B$13:$K$314,10,FALSE)</f>
        <v>145</v>
      </c>
      <c r="K86" s="181">
        <f t="shared" si="7"/>
        <v>145</v>
      </c>
    </row>
    <row r="87" spans="1:11" ht="15" customHeight="1">
      <c r="A87" s="43"/>
      <c r="B87" s="49" t="str">
        <f>VLOOKUP($C$41:$C$109,Equipment!$A$1:$B$2322,2,FALSE)</f>
        <v>Pole Trailer</v>
      </c>
      <c r="C87" s="24" t="s">
        <v>2017</v>
      </c>
      <c r="D87" s="24"/>
      <c r="E87" s="24"/>
      <c r="F87" s="24"/>
      <c r="G87" s="24"/>
      <c r="H87" s="185">
        <v>1</v>
      </c>
      <c r="I87" s="184"/>
      <c r="J87" s="42">
        <f>VLOOKUP($B$41:$B$109,'Alberta Equip. Rates Year 3'!$B$13:$K$314,10,FALSE)</f>
        <v>170</v>
      </c>
      <c r="K87" s="181">
        <f t="shared" si="7"/>
        <v>170</v>
      </c>
    </row>
    <row r="88" spans="1:11" ht="15" customHeight="1">
      <c r="A88" s="43"/>
      <c r="B88" s="49" t="str">
        <f>VLOOKUP($C$41:$C$109,Equipment!$A$1:$B$2322,2,FALSE)</f>
        <v>Scissor Neck Trailer</v>
      </c>
      <c r="C88" s="24" t="s">
        <v>624</v>
      </c>
      <c r="D88" s="24"/>
      <c r="E88" s="24"/>
      <c r="F88" s="24"/>
      <c r="G88" s="24"/>
      <c r="H88" s="185">
        <v>1</v>
      </c>
      <c r="I88" s="184"/>
      <c r="J88" s="42">
        <f>VLOOKUP($B$41:$B$109,'Alberta Equip. Rates Year 3'!$B$13:$K$314,10,FALSE)</f>
        <v>239</v>
      </c>
      <c r="K88" s="181">
        <f t="shared" si="7"/>
        <v>239</v>
      </c>
    </row>
    <row r="89" spans="1:11" ht="15" customHeight="1">
      <c r="A89" s="43"/>
      <c r="B89" s="49" t="str">
        <f>VLOOKUP($C$41:$C$109,Equipment!$A$1:$B$2322,2,FALSE)</f>
        <v>Scissor Neck Trailer</v>
      </c>
      <c r="C89" s="24" t="s">
        <v>672</v>
      </c>
      <c r="D89" s="24"/>
      <c r="E89" s="24"/>
      <c r="F89" s="24"/>
      <c r="G89" s="24"/>
      <c r="H89" s="185">
        <v>1</v>
      </c>
      <c r="I89" s="184"/>
      <c r="J89" s="42">
        <f>VLOOKUP($B$41:$B$109,'Alberta Equip. Rates Year 3'!$B$13:$K$314,10,FALSE)</f>
        <v>239</v>
      </c>
      <c r="K89" s="181">
        <f t="shared" si="7"/>
        <v>239</v>
      </c>
    </row>
    <row r="90" spans="1:11" ht="15" customHeight="1">
      <c r="A90" s="43"/>
      <c r="B90" s="49" t="str">
        <f>VLOOKUP($C$41:$C$109,Equipment!$A$1:$B$2322,2,FALSE)</f>
        <v>Sideboom - Cat 583</v>
      </c>
      <c r="C90" s="24" t="s">
        <v>1667</v>
      </c>
      <c r="D90" s="24"/>
      <c r="E90" s="24"/>
      <c r="F90" s="24"/>
      <c r="G90" s="24"/>
      <c r="H90" s="185">
        <v>1</v>
      </c>
      <c r="I90" s="184"/>
      <c r="J90" s="42">
        <f>VLOOKUP($B$41:$B$109,'Alberta Equip. Rates Year 3'!$B$13:$K$314,10,FALSE)</f>
        <v>927</v>
      </c>
      <c r="K90" s="181">
        <f t="shared" si="7"/>
        <v>927</v>
      </c>
    </row>
    <row r="91" spans="1:11" ht="15" customHeight="1">
      <c r="A91" s="43"/>
      <c r="B91" s="49" t="str">
        <f>VLOOKUP($C$41:$C$109,Equipment!$A$1:$B$2322,2,FALSE)</f>
        <v>Stepdeck Trailer</v>
      </c>
      <c r="C91" s="24" t="s">
        <v>866</v>
      </c>
      <c r="D91" s="24"/>
      <c r="E91" s="24"/>
      <c r="F91" s="24"/>
      <c r="G91" s="24"/>
      <c r="H91" s="185">
        <v>1</v>
      </c>
      <c r="I91" s="184"/>
      <c r="J91" s="42">
        <f>VLOOKUP($B$41:$B$109,'Alberta Equip. Rates Year 3'!$B$13:$K$314,10,FALSE)</f>
        <v>170</v>
      </c>
      <c r="K91" s="181">
        <f t="shared" si="7"/>
        <v>170</v>
      </c>
    </row>
    <row r="92" spans="1:11" ht="15" customHeight="1">
      <c r="A92" s="43"/>
      <c r="B92" s="49" t="str">
        <f>VLOOKUP($C$41:$C$109,Equipment!$A$1:$B$2322,2,FALSE)</f>
        <v>Stepdeck Trailer</v>
      </c>
      <c r="C92" s="24" t="s">
        <v>867</v>
      </c>
      <c r="D92" s="24"/>
      <c r="E92" s="24"/>
      <c r="F92" s="24"/>
      <c r="G92" s="24"/>
      <c r="H92" s="185">
        <v>1</v>
      </c>
      <c r="I92" s="184"/>
      <c r="J92" s="42">
        <f>VLOOKUP($B$41:$B$109,'Alberta Equip. Rates Year 3'!$B$13:$K$314,10,FALSE)</f>
        <v>170</v>
      </c>
      <c r="K92" s="181">
        <f t="shared" si="7"/>
        <v>170</v>
      </c>
    </row>
    <row r="93" spans="1:11" ht="15" customHeight="1">
      <c r="A93" s="43"/>
      <c r="B93" s="49" t="str">
        <f>VLOOKUP($C$41:$C$109,Equipment!$A$1:$B$2322,2,FALSE)</f>
        <v>Stepdeck Trailer</v>
      </c>
      <c r="C93" s="24" t="s">
        <v>868</v>
      </c>
      <c r="D93" s="24"/>
      <c r="E93" s="24"/>
      <c r="F93" s="24"/>
      <c r="G93" s="24"/>
      <c r="H93" s="185">
        <v>1</v>
      </c>
      <c r="I93" s="184"/>
      <c r="J93" s="42">
        <f>VLOOKUP($B$41:$B$109,'Alberta Equip. Rates Year 3'!$B$13:$K$314,10,FALSE)</f>
        <v>170</v>
      </c>
      <c r="K93" s="181">
        <f t="shared" si="7"/>
        <v>170</v>
      </c>
    </row>
    <row r="94" spans="1:11" ht="15" customHeight="1">
      <c r="A94" s="43"/>
      <c r="B94" s="49" t="str">
        <f>VLOOKUP($C$41:$C$109,Equipment!$A$1:$B$2322,2,FALSE)</f>
        <v>Stepdeck Trailer</v>
      </c>
      <c r="C94" s="24" t="s">
        <v>1250</v>
      </c>
      <c r="D94" s="24"/>
      <c r="E94" s="24"/>
      <c r="F94" s="24"/>
      <c r="G94" s="24"/>
      <c r="H94" s="185">
        <v>1</v>
      </c>
      <c r="I94" s="184"/>
      <c r="J94" s="42">
        <f>VLOOKUP($B$41:$B$109,'Alberta Equip. Rates Year 3'!$B$13:$K$314,10,FALSE)</f>
        <v>170</v>
      </c>
      <c r="K94" s="181">
        <f t="shared" si="7"/>
        <v>170</v>
      </c>
    </row>
    <row r="95" spans="1:11" ht="15" customHeight="1">
      <c r="A95" s="43"/>
      <c r="B95" s="49" t="str">
        <f>VLOOKUP($C$41:$C$109,Equipment!$A$1:$B$2322,2,FALSE)</f>
        <v>Stepdeck Trailer</v>
      </c>
      <c r="C95" s="24" t="s">
        <v>636</v>
      </c>
      <c r="D95" s="24"/>
      <c r="E95" s="24"/>
      <c r="F95" s="24"/>
      <c r="G95" s="24"/>
      <c r="H95" s="185">
        <v>1</v>
      </c>
      <c r="I95" s="184"/>
      <c r="J95" s="42">
        <f>VLOOKUP($B$41:$B$109,'Alberta Equip. Rates Year 3'!$B$13:$K$314,10,FALSE)</f>
        <v>170</v>
      </c>
      <c r="K95" s="181">
        <f t="shared" si="7"/>
        <v>170</v>
      </c>
    </row>
    <row r="96" spans="1:11" ht="15" customHeight="1">
      <c r="A96" s="43"/>
      <c r="B96" s="49" t="str">
        <f>VLOOKUP($C$41:$C$109,Equipment!$A$1:$B$2322,2,FALSE)</f>
        <v>Stepdeck Trailer</v>
      </c>
      <c r="C96" s="24" t="s">
        <v>1863</v>
      </c>
      <c r="D96" s="24"/>
      <c r="E96" s="24"/>
      <c r="F96" s="24"/>
      <c r="G96" s="24"/>
      <c r="H96" s="185">
        <v>1</v>
      </c>
      <c r="I96" s="184"/>
      <c r="J96" s="42">
        <f>VLOOKUP($B$41:$B$109,'Alberta Equip. Rates Year 3'!$B$13:$K$314,10,FALSE)</f>
        <v>170</v>
      </c>
      <c r="K96" s="181">
        <f t="shared" si="7"/>
        <v>170</v>
      </c>
    </row>
    <row r="97" spans="1:11" ht="15" customHeight="1">
      <c r="A97" s="43"/>
      <c r="B97" s="49" t="str">
        <f>VLOOKUP($C$41:$C$109,Equipment!$A$1:$B$2322,2,FALSE)</f>
        <v>Stepdeck Trailer</v>
      </c>
      <c r="C97" s="24" t="s">
        <v>1862</v>
      </c>
      <c r="D97" s="24"/>
      <c r="E97" s="24"/>
      <c r="F97" s="24"/>
      <c r="G97" s="24"/>
      <c r="H97" s="185">
        <v>1</v>
      </c>
      <c r="I97" s="184"/>
      <c r="J97" s="42">
        <f>VLOOKUP($B$41:$B$109,'Alberta Equip. Rates Year 3'!$B$13:$K$314,10,FALSE)</f>
        <v>170</v>
      </c>
      <c r="K97" s="181">
        <f t="shared" si="7"/>
        <v>170</v>
      </c>
    </row>
    <row r="98" spans="1:11" ht="15" customHeight="1">
      <c r="A98" s="43"/>
      <c r="B98" s="49" t="str">
        <f>VLOOKUP($C$41:$C$109,Equipment!$A$1:$B$2322,2,FALSE)</f>
        <v>Stepdeck Trailer</v>
      </c>
      <c r="C98" s="24" t="s">
        <v>3044</v>
      </c>
      <c r="D98" s="24"/>
      <c r="E98" s="24"/>
      <c r="F98" s="24"/>
      <c r="G98" s="24"/>
      <c r="H98" s="185">
        <v>1</v>
      </c>
      <c r="I98" s="184"/>
      <c r="J98" s="42">
        <f>VLOOKUP($B$41:$B$109,'Alberta Equip. Rates Year 3'!$B$13:$K$314,10,FALSE)</f>
        <v>170</v>
      </c>
      <c r="K98" s="181">
        <f t="shared" si="7"/>
        <v>170</v>
      </c>
    </row>
    <row r="99" spans="1:11" ht="15" customHeight="1">
      <c r="A99" s="43"/>
      <c r="B99" s="49" t="str">
        <f>VLOOKUP($C$41:$C$109,Equipment!$A$1:$B$2322,2,FALSE)</f>
        <v>Stepdeck Trailer</v>
      </c>
      <c r="C99" s="24" t="s">
        <v>3462</v>
      </c>
      <c r="D99" s="24"/>
      <c r="E99" s="24"/>
      <c r="F99" s="24"/>
      <c r="G99" s="24"/>
      <c r="H99" s="185">
        <v>1</v>
      </c>
      <c r="I99" s="184"/>
      <c r="J99" s="42">
        <f>VLOOKUP($B$41:$B$109,'Alberta Equip. Rates Year 3'!$B$13:$K$314,10,FALSE)</f>
        <v>170</v>
      </c>
      <c r="K99" s="181">
        <f t="shared" si="7"/>
        <v>170</v>
      </c>
    </row>
    <row r="100" spans="1:11" ht="15" customHeight="1">
      <c r="A100" s="43"/>
      <c r="B100" s="49" t="str">
        <f>VLOOKUP($C$41:$C$109,Equipment!$A$1:$B$2322,2,FALSE)</f>
        <v>Stepdeck Trailer</v>
      </c>
      <c r="C100" s="24" t="s">
        <v>3510</v>
      </c>
      <c r="D100" s="24"/>
      <c r="E100" s="24"/>
      <c r="F100" s="24"/>
      <c r="G100" s="24"/>
      <c r="H100" s="185">
        <v>1</v>
      </c>
      <c r="I100" s="184"/>
      <c r="J100" s="42">
        <f>VLOOKUP($B$41:$B$109,'Alberta Equip. Rates Year 3'!$B$13:$K$314,10,FALSE)</f>
        <v>170</v>
      </c>
      <c r="K100" s="181">
        <f t="shared" si="7"/>
        <v>170</v>
      </c>
    </row>
    <row r="101" spans="1:11" ht="15" customHeight="1">
      <c r="A101" s="43"/>
      <c r="B101" s="49" t="str">
        <f>VLOOKUP($C$41:$C$109,Equipment!$A$1:$B$2322,2,FALSE)</f>
        <v>Texas Winch Truck</v>
      </c>
      <c r="C101" s="24" t="s">
        <v>3511</v>
      </c>
      <c r="D101" s="24"/>
      <c r="E101" s="24"/>
      <c r="F101" s="24"/>
      <c r="G101" s="24"/>
      <c r="H101" s="185">
        <v>1</v>
      </c>
      <c r="I101" s="184"/>
      <c r="J101" s="42">
        <f>VLOOKUP($B$41:$B$109,'Alberta Equip. Rates Year 3'!$B$13:$K$314,10,FALSE)</f>
        <v>740.83</v>
      </c>
      <c r="K101" s="181">
        <f t="shared" si="7"/>
        <v>740.83</v>
      </c>
    </row>
    <row r="102" spans="1:11" ht="15" customHeight="1">
      <c r="A102" s="43"/>
      <c r="B102" s="49" t="str">
        <f>VLOOKUP($C$41:$C$109,Equipment!$A$1:$B$2322,2,FALSE)</f>
        <v>Texas Winch Truck</v>
      </c>
      <c r="C102" s="24" t="s">
        <v>2438</v>
      </c>
      <c r="D102" s="24"/>
      <c r="E102" s="24"/>
      <c r="F102" s="24"/>
      <c r="G102" s="24"/>
      <c r="H102" s="185">
        <v>1</v>
      </c>
      <c r="I102" s="184"/>
      <c r="J102" s="42">
        <f>VLOOKUP($B$41:$B$109,'Alberta Equip. Rates Year 3'!$B$13:$K$314,10,FALSE)</f>
        <v>740.83</v>
      </c>
      <c r="K102" s="181">
        <f t="shared" si="7"/>
        <v>740.83</v>
      </c>
    </row>
    <row r="103" spans="1:11" ht="15" customHeight="1">
      <c r="A103" s="43"/>
      <c r="B103" s="49" t="str">
        <f>VLOOKUP($C$41:$C$109,Equipment!$A$1:$B$2322,2,FALSE)</f>
        <v>Texas Winch Truck</v>
      </c>
      <c r="C103" s="24" t="s">
        <v>1844</v>
      </c>
      <c r="D103" s="24"/>
      <c r="E103" s="24"/>
      <c r="F103" s="24"/>
      <c r="G103" s="24"/>
      <c r="H103" s="185">
        <v>1</v>
      </c>
      <c r="I103" s="184"/>
      <c r="J103" s="42">
        <f>VLOOKUP($B$41:$B$109,'Alberta Equip. Rates Year 3'!$B$13:$K$314,10,FALSE)</f>
        <v>740.83</v>
      </c>
      <c r="K103" s="181">
        <f t="shared" si="7"/>
        <v>740.83</v>
      </c>
    </row>
    <row r="104" spans="1:11" ht="15" customHeight="1">
      <c r="A104" s="43"/>
      <c r="B104" s="49" t="str">
        <f>VLOOKUP($C$41:$C$109,Equipment!$A$1:$B$2322,2,FALSE)</f>
        <v>Texas Winch Truck</v>
      </c>
      <c r="C104" s="24" t="s">
        <v>612</v>
      </c>
      <c r="D104" s="24"/>
      <c r="E104" s="24"/>
      <c r="F104" s="24"/>
      <c r="G104" s="24"/>
      <c r="H104" s="185">
        <v>1</v>
      </c>
      <c r="I104" s="184"/>
      <c r="J104" s="42">
        <f>VLOOKUP($B$41:$B$109,'Alberta Equip. Rates Year 3'!$B$13:$K$314,10,FALSE)</f>
        <v>740.83</v>
      </c>
      <c r="K104" s="181">
        <f t="shared" si="7"/>
        <v>740.83</v>
      </c>
    </row>
    <row r="105" spans="1:11" ht="15" customHeight="1">
      <c r="A105" s="43"/>
      <c r="B105" s="49" t="str">
        <f>VLOOKUP($C$41:$C$109,Equipment!$A$1:$B$2322,2,FALSE)</f>
        <v>Texas Winch Truck</v>
      </c>
      <c r="C105" s="24" t="s">
        <v>1326</v>
      </c>
      <c r="D105" s="24"/>
      <c r="E105" s="24"/>
      <c r="F105" s="24"/>
      <c r="G105" s="24"/>
      <c r="H105" s="185">
        <v>1</v>
      </c>
      <c r="I105" s="184"/>
      <c r="J105" s="42">
        <f>VLOOKUP($B$41:$B$109,'Alberta Equip. Rates Year 3'!$B$13:$K$314,10,FALSE)</f>
        <v>740.83</v>
      </c>
      <c r="K105" s="181">
        <f t="shared" si="7"/>
        <v>740.83</v>
      </c>
    </row>
    <row r="106" spans="1:11" ht="15" customHeight="1">
      <c r="A106" s="43"/>
      <c r="B106" s="49" t="str">
        <f>VLOOKUP($C$41:$C$109,Equipment!$A$1:$B$2322,2,FALSE)</f>
        <v>Trombone Trailer</v>
      </c>
      <c r="C106" s="24" t="s">
        <v>644</v>
      </c>
      <c r="D106" s="24"/>
      <c r="E106" s="24"/>
      <c r="F106" s="24"/>
      <c r="G106" s="24"/>
      <c r="H106" s="185">
        <v>1</v>
      </c>
      <c r="I106" s="184"/>
      <c r="J106" s="42">
        <f>VLOOKUP($B$41:$B$109,'Alberta Equip. Rates Year 3'!$B$13:$K$314,10,FALSE)</f>
        <v>170</v>
      </c>
      <c r="K106" s="181">
        <f t="shared" ref="K106:K108" si="8">(H106+I106)*J106</f>
        <v>170</v>
      </c>
    </row>
    <row r="107" spans="1:11" ht="15" customHeight="1">
      <c r="A107" s="43"/>
      <c r="B107" s="49" t="str">
        <f>VLOOKUP($C$41:$C$109,Equipment!$A$1:$B$2322,2,FALSE)</f>
        <v>Warehouse Trailer/ Van</v>
      </c>
      <c r="C107" s="24" t="s">
        <v>1859</v>
      </c>
      <c r="D107" s="24"/>
      <c r="E107" s="24"/>
      <c r="F107" s="24"/>
      <c r="G107" s="24"/>
      <c r="H107" s="185">
        <v>1</v>
      </c>
      <c r="I107" s="184"/>
      <c r="J107" s="42">
        <f>VLOOKUP($B$41:$B$109,'Alberta Equip. Rates Year 3'!$B$13:$K$314,10,FALSE)</f>
        <v>159</v>
      </c>
      <c r="K107" s="181">
        <f t="shared" si="8"/>
        <v>159</v>
      </c>
    </row>
    <row r="108" spans="1:11" ht="15" customHeight="1">
      <c r="A108" s="43"/>
      <c r="B108" s="49">
        <f>VLOOKUP($C$41:$C$109,Equipment!$A$1:$B$2322,2,FALSE)</f>
        <v>0</v>
      </c>
      <c r="C108" s="24"/>
      <c r="D108" s="24"/>
      <c r="E108" s="24"/>
      <c r="F108" s="24"/>
      <c r="G108" s="24"/>
      <c r="H108" s="185"/>
      <c r="I108" s="184"/>
      <c r="J108" s="42">
        <f>VLOOKUP($B$41:$B$109,'Alberta Equip. Rates Year 3'!$B$13:$K$314,10,FALSE)</f>
        <v>0</v>
      </c>
      <c r="K108" s="181">
        <f t="shared" si="8"/>
        <v>0</v>
      </c>
    </row>
    <row r="109" spans="1:11" ht="15" customHeight="1" thickBot="1">
      <c r="A109" s="43"/>
      <c r="B109" s="49">
        <f>VLOOKUP($C$41:$C$109,Equipment!$A$1:$B$2322,2,FALSE)</f>
        <v>0</v>
      </c>
      <c r="C109" s="24"/>
      <c r="D109" s="24"/>
      <c r="E109" s="24"/>
      <c r="F109" s="24"/>
      <c r="G109" s="24"/>
      <c r="H109" s="185"/>
      <c r="I109" s="184"/>
      <c r="J109" s="42">
        <f>VLOOKUP($B$41:$B$109,'Alberta Equip. Rates Year 3'!$B$13:$K$314,10,FALSE)</f>
        <v>0</v>
      </c>
      <c r="K109" s="181">
        <f t="shared" si="6"/>
        <v>0</v>
      </c>
    </row>
    <row r="110" spans="1:11" ht="12" thickBot="1">
      <c r="A110" s="25"/>
      <c r="B110" s="25"/>
      <c r="C110" s="25"/>
      <c r="D110" s="21"/>
      <c r="E110" s="21"/>
      <c r="F110" s="21"/>
      <c r="G110" s="21"/>
      <c r="H110" s="21"/>
      <c r="I110" s="360" t="s">
        <v>24</v>
      </c>
      <c r="J110" s="361"/>
      <c r="K110" s="182">
        <f>SUM(K41:K109)</f>
        <v>23568.320000000007</v>
      </c>
    </row>
    <row r="111" spans="1:11" ht="12" thickBot="1">
      <c r="A111" s="26"/>
      <c r="D111" s="26"/>
      <c r="I111" s="27"/>
      <c r="J111" s="27"/>
      <c r="K111" s="28"/>
    </row>
    <row r="112" spans="1:11">
      <c r="A112" s="1" t="s">
        <v>25</v>
      </c>
      <c r="B112" s="29"/>
      <c r="D112" s="1"/>
      <c r="E112" s="1"/>
      <c r="F112" s="1"/>
      <c r="G112" s="1"/>
      <c r="H112" s="1"/>
      <c r="I112" s="362" t="s">
        <v>26</v>
      </c>
      <c r="J112" s="362"/>
      <c r="K112" s="37">
        <f>K38</f>
        <v>23908.500000000004</v>
      </c>
    </row>
    <row r="113" spans="1:11">
      <c r="D113" s="1"/>
      <c r="E113" s="1"/>
      <c r="F113" s="1"/>
      <c r="G113" s="1"/>
      <c r="H113" s="1"/>
      <c r="I113" s="362" t="s">
        <v>27</v>
      </c>
      <c r="J113" s="362"/>
      <c r="K113" s="38">
        <f>K110</f>
        <v>23568.320000000007</v>
      </c>
    </row>
    <row r="114" spans="1:11">
      <c r="D114" s="1"/>
      <c r="E114" s="1"/>
      <c r="F114" s="1"/>
      <c r="G114" s="1"/>
      <c r="H114" s="1"/>
      <c r="I114" s="27" t="s">
        <v>28</v>
      </c>
      <c r="J114" s="27"/>
      <c r="K114" s="38">
        <f>(O38)*14.15</f>
        <v>4216.7</v>
      </c>
    </row>
    <row r="115" spans="1:11">
      <c r="D115" s="1"/>
      <c r="E115" s="1"/>
      <c r="F115" s="1"/>
      <c r="G115" s="1"/>
      <c r="H115" s="1"/>
      <c r="I115" s="30" t="s">
        <v>29</v>
      </c>
      <c r="J115" s="30"/>
      <c r="K115" s="39"/>
    </row>
    <row r="116" spans="1:11">
      <c r="D116" s="1"/>
      <c r="E116" s="1"/>
      <c r="F116" s="1"/>
      <c r="G116" s="1"/>
      <c r="H116" s="1"/>
      <c r="I116" s="30" t="s">
        <v>30</v>
      </c>
      <c r="J116" s="30"/>
      <c r="K116" s="39"/>
    </row>
    <row r="117" spans="1:11">
      <c r="D117" s="1"/>
      <c r="E117" s="1"/>
      <c r="F117" s="1"/>
      <c r="G117" s="1"/>
      <c r="H117" s="1"/>
      <c r="I117" s="30" t="s">
        <v>31</v>
      </c>
      <c r="J117" s="30"/>
      <c r="K117" s="39"/>
    </row>
    <row r="118" spans="1:11" ht="12" thickBot="1">
      <c r="D118" s="1"/>
      <c r="E118" s="1"/>
      <c r="F118" s="1"/>
      <c r="G118" s="1"/>
      <c r="H118" s="1"/>
      <c r="I118" s="362" t="s">
        <v>32</v>
      </c>
      <c r="J118" s="362"/>
      <c r="K118" s="40">
        <f>SUM(K112:K117)</f>
        <v>51693.520000000004</v>
      </c>
    </row>
    <row r="119" spans="1:11">
      <c r="D119" s="1"/>
      <c r="E119" s="1"/>
      <c r="F119" s="1"/>
      <c r="G119" s="1"/>
      <c r="H119" s="1"/>
      <c r="I119" s="27"/>
      <c r="J119" s="27"/>
    </row>
    <row r="120" spans="1:11">
      <c r="A120" s="31" t="s">
        <v>33</v>
      </c>
      <c r="B120" s="32"/>
      <c r="C120" s="32"/>
      <c r="D120" s="1"/>
      <c r="H120" s="33" t="s">
        <v>34</v>
      </c>
      <c r="I120" s="32"/>
      <c r="J120" s="32"/>
      <c r="K120" s="32"/>
    </row>
    <row r="121" spans="1:11" ht="15">
      <c r="A121" s="34"/>
      <c r="E121" s="8"/>
      <c r="F121" s="8"/>
      <c r="G121" s="8"/>
      <c r="H121" s="35"/>
      <c r="I121" s="35"/>
      <c r="J121" s="35"/>
      <c r="K121" s="35"/>
    </row>
    <row r="122" spans="1:11" ht="15">
      <c r="A122" s="34" t="s">
        <v>35</v>
      </c>
      <c r="E122" s="8"/>
      <c r="F122" s="8"/>
      <c r="G122" s="8"/>
      <c r="H122" s="35"/>
      <c r="I122" s="35"/>
      <c r="J122" s="35"/>
      <c r="K122" s="35"/>
    </row>
    <row r="123" spans="1:11" s="34" customFormat="1">
      <c r="A123" s="363">
        <v>41218.479166666664</v>
      </c>
      <c r="B123" s="363"/>
      <c r="C123" s="364"/>
      <c r="D123" s="364"/>
      <c r="E123" s="364"/>
      <c r="F123" s="364"/>
      <c r="G123" s="364"/>
      <c r="H123" s="364"/>
      <c r="I123" s="364"/>
      <c r="J123" s="364"/>
      <c r="K123" s="8"/>
    </row>
    <row r="133" s="1" customFormat="1"/>
    <row r="134" s="1" customFormat="1"/>
    <row r="135" s="1" customFormat="1"/>
    <row r="136" s="1" customFormat="1"/>
    <row r="137" s="1" customFormat="1"/>
    <row r="138" s="1" customFormat="1"/>
    <row r="139" s="1" customFormat="1"/>
    <row r="140" s="1" customFormat="1"/>
    <row r="141" s="1" customFormat="1"/>
    <row r="142" s="1" customFormat="1"/>
    <row r="143" s="1" customFormat="1"/>
    <row r="144" s="1" customFormat="1"/>
    <row r="145" s="1" customFormat="1"/>
    <row r="146" s="1" customFormat="1"/>
    <row r="151" s="1" customFormat="1"/>
    <row r="179" s="1" customFormat="1"/>
    <row r="180" s="1" customFormat="1"/>
    <row r="181" s="1" customFormat="1"/>
    <row r="182" s="1" customFormat="1"/>
  </sheetData>
  <mergeCells count="12">
    <mergeCell ref="I110:J110"/>
    <mergeCell ref="I112:J112"/>
    <mergeCell ref="I113:J113"/>
    <mergeCell ref="I118:J118"/>
    <mergeCell ref="A123:B123"/>
    <mergeCell ref="C123:J123"/>
    <mergeCell ref="I38:J38"/>
    <mergeCell ref="C1:H1"/>
    <mergeCell ref="C2:H2"/>
    <mergeCell ref="C3:H3"/>
    <mergeCell ref="H6:I6"/>
    <mergeCell ref="H7:I7"/>
  </mergeCells>
  <conditionalFormatting sqref="M11:M23 M37">
    <cfRule type="expression" dxfId="88" priority="36933">
      <formula>ISTEXT(A11:A37)</formula>
    </cfRule>
  </conditionalFormatting>
  <conditionalFormatting sqref="M24:M28">
    <cfRule type="expression" dxfId="87" priority="39909">
      <formula>ISTEXT(A24:A51)</formula>
    </cfRule>
  </conditionalFormatting>
  <conditionalFormatting sqref="M29:M34">
    <cfRule type="expression" dxfId="86" priority="40008">
      <formula>ISTEXT(A29:A57)</formula>
    </cfRule>
  </conditionalFormatting>
  <conditionalFormatting sqref="M35">
    <cfRule type="expression" dxfId="85" priority="40012">
      <formula>ISTEXT(A24:A50)</formula>
    </cfRule>
  </conditionalFormatting>
  <conditionalFormatting sqref="M36">
    <cfRule type="expression" dxfId="84" priority="39923">
      <formula>ISTEXT(A29:A56)</formula>
    </cfRule>
  </conditionalFormatting>
  <printOptions horizontalCentered="1"/>
  <pageMargins left="0.19685039370078741" right="0.19685039370078741" top="0.39370078740157483" bottom="0.39370078740157483" header="0" footer="0"/>
  <pageSetup orientation="portrait" horizontalDpi="4294967292" verticalDpi="4294967292"/>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1800-000000000000}">
          <x14:formula1>
            <xm:f>Accounts!$A$4:$A$60</xm:f>
          </x14:formula1>
          <xm:sqref>K7</xm:sqref>
        </x14:dataValidation>
        <x14:dataValidation type="list" allowBlank="1" showInputMessage="1" showErrorMessage="1" xr:uid="{00000000-0002-0000-1800-000001000000}">
          <x14:formula1>
            <xm:f>'Constr. Wage Rate Calculations'!$A$19:$A$288</xm:f>
          </x14:formula1>
          <xm:sqref>B11:B37</xm:sqref>
        </x14:dataValidation>
        <x14:dataValidation type="list" allowBlank="1" showInputMessage="1" showErrorMessage="1" xr:uid="{00000000-0002-0000-1800-000002000000}">
          <x14:formula1>
            <xm:f>Personnel!$A:$A</xm:f>
          </x14:formula1>
          <xm:sqref>C11:C37</xm:sqref>
        </x14:dataValidation>
        <x14:dataValidation type="list" allowBlank="1" showInputMessage="1" showErrorMessage="1" xr:uid="{00000000-0002-0000-1800-000003000000}">
          <x14:formula1>
            <xm:f>Equipment!$A:$A</xm:f>
          </x14:formula1>
          <xm:sqref>C41:C109</xm:sqref>
        </x14:dataValidation>
      </x14:dataValidations>
    </ext>
    <ext xmlns:mx="http://schemas.microsoft.com/office/mac/excel/2008/main" uri="{64002731-A6B0-56B0-2670-7721B7C09600}">
      <mx:PLV Mode="0" OnePage="0" WScale="0"/>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CCFFCC"/>
    <pageSetUpPr fitToPage="1"/>
  </sheetPr>
  <dimension ref="A1:O177"/>
  <sheetViews>
    <sheetView zoomScale="120" zoomScaleNormal="120" zoomScalePageLayoutView="120" workbookViewId="0">
      <selection activeCell="D13" sqref="D13"/>
    </sheetView>
  </sheetViews>
  <sheetFormatPr baseColWidth="10" defaultColWidth="8.83203125" defaultRowHeight="11"/>
  <cols>
    <col min="1" max="1" width="13" style="1" customWidth="1"/>
    <col min="2" max="2" width="30" style="1" customWidth="1"/>
    <col min="3" max="3" width="24.5" style="1" customWidth="1"/>
    <col min="4" max="4" width="8.6640625" style="2" customWidth="1"/>
    <col min="5" max="6" width="8.33203125" style="2" customWidth="1"/>
    <col min="7" max="8" width="8.6640625" style="2" customWidth="1"/>
    <col min="9" max="9" width="9.33203125" style="2" customWidth="1"/>
    <col min="10" max="10" width="8.6640625" style="2" customWidth="1"/>
    <col min="11" max="11" width="21.6640625" style="1" customWidth="1"/>
    <col min="12" max="12" width="3.5" style="1" hidden="1" customWidth="1"/>
    <col min="13" max="16384" width="8.83203125" style="1"/>
  </cols>
  <sheetData>
    <row r="1" spans="1:13" ht="15">
      <c r="C1" s="364"/>
      <c r="D1" s="365"/>
      <c r="E1" s="365"/>
      <c r="F1" s="365"/>
      <c r="G1" s="365"/>
      <c r="H1" s="366"/>
      <c r="J1" s="2" t="s">
        <v>0</v>
      </c>
      <c r="K1" s="197">
        <v>41659</v>
      </c>
      <c r="M1" s="45"/>
    </row>
    <row r="2" spans="1:13" ht="15">
      <c r="C2" s="367"/>
      <c r="D2" s="367"/>
      <c r="E2" s="367"/>
      <c r="F2" s="367"/>
      <c r="G2" s="367"/>
      <c r="H2" s="366"/>
      <c r="K2" s="41"/>
    </row>
    <row r="3" spans="1:13" ht="15">
      <c r="C3" s="368"/>
      <c r="D3" s="369"/>
      <c r="E3" s="369"/>
      <c r="F3" s="369"/>
      <c r="G3" s="369"/>
      <c r="H3" s="366"/>
    </row>
    <row r="4" spans="1:13">
      <c r="C4" s="3"/>
      <c r="D4" s="4"/>
      <c r="E4" s="4"/>
      <c r="F4" s="4"/>
      <c r="G4" s="4"/>
    </row>
    <row r="5" spans="1:13">
      <c r="C5" s="3"/>
      <c r="D5" s="4"/>
      <c r="E5" s="4"/>
      <c r="F5" s="4"/>
      <c r="G5" s="4"/>
    </row>
    <row r="6" spans="1:13" ht="12">
      <c r="B6" s="5"/>
      <c r="C6" s="6"/>
      <c r="D6" s="7"/>
      <c r="E6" s="8"/>
      <c r="F6" s="8"/>
      <c r="G6" s="1" t="s">
        <v>1</v>
      </c>
      <c r="H6" s="370">
        <v>18226</v>
      </c>
      <c r="I6" s="370"/>
      <c r="J6" s="1" t="s">
        <v>2</v>
      </c>
      <c r="K6" s="47"/>
    </row>
    <row r="7" spans="1:13" ht="12">
      <c r="A7" s="1" t="s">
        <v>3</v>
      </c>
      <c r="B7" s="9"/>
      <c r="C7" s="10"/>
      <c r="D7" s="11"/>
      <c r="E7" s="8"/>
      <c r="F7" s="8"/>
      <c r="G7" s="1" t="s">
        <v>4</v>
      </c>
      <c r="H7" s="371"/>
      <c r="I7" s="371"/>
      <c r="J7" s="1" t="s">
        <v>5</v>
      </c>
      <c r="K7" s="46"/>
    </row>
    <row r="8" spans="1:13" ht="12">
      <c r="B8" s="12"/>
      <c r="C8" s="13"/>
      <c r="D8" s="14"/>
      <c r="E8" s="8"/>
      <c r="F8" s="8"/>
      <c r="G8" s="1" t="s">
        <v>6</v>
      </c>
      <c r="H8" s="187"/>
      <c r="I8" s="188"/>
      <c r="J8" s="44"/>
    </row>
    <row r="9" spans="1:13" ht="16" thickBot="1">
      <c r="B9" s="15"/>
      <c r="C9" s="16"/>
      <c r="D9" s="16"/>
      <c r="E9" s="8"/>
      <c r="F9" s="8"/>
      <c r="G9" s="8"/>
    </row>
    <row r="10" spans="1:13" s="19" customFormat="1" ht="12" thickBot="1">
      <c r="A10" s="17" t="s">
        <v>7</v>
      </c>
      <c r="B10" s="17" t="s">
        <v>8</v>
      </c>
      <c r="C10" s="17" t="s">
        <v>9</v>
      </c>
      <c r="D10" s="18" t="s">
        <v>10</v>
      </c>
      <c r="E10" s="18" t="s">
        <v>11</v>
      </c>
      <c r="F10" s="18" t="s">
        <v>12</v>
      </c>
      <c r="G10" s="180" t="s">
        <v>13</v>
      </c>
      <c r="H10" s="18" t="s">
        <v>14</v>
      </c>
      <c r="I10" s="18" t="s">
        <v>15</v>
      </c>
      <c r="J10" s="18" t="s">
        <v>16</v>
      </c>
      <c r="K10" s="18" t="s">
        <v>17</v>
      </c>
      <c r="M10" s="19" t="s">
        <v>1797</v>
      </c>
    </row>
    <row r="11" spans="1:13" ht="15" customHeight="1">
      <c r="A11" s="48"/>
      <c r="B11" s="49">
        <f>VLOOKUP($C$11:$C$26,Personnel!$A$1:$B$1234,2,FALSE)</f>
        <v>0</v>
      </c>
      <c r="C11" s="36"/>
      <c r="D11" s="184"/>
      <c r="E11" s="179">
        <f>VLOOKUP($B$11:$B$26,'Constr. Wage Rate Calculations'!$A$19:$Z$288,22,FALSE)</f>
        <v>0</v>
      </c>
      <c r="F11" s="184"/>
      <c r="G11" s="179">
        <f>VLOOKUP($B$11:$B$26,'Constr. Wage Rate Calculations'!$A$19:$Z$288,23,FALSE)</f>
        <v>0</v>
      </c>
      <c r="H11" s="184"/>
      <c r="I11" s="179">
        <f>VLOOKUP($B$11:$B$26,'Constr. Wage Rate Calculations'!$A$19:$Z$288,24,FALSE)</f>
        <v>0</v>
      </c>
      <c r="J11" s="20">
        <f>VLOOKUP($B$11:$B$26,'Constr. Wage Rate Calculations'!$A$19:$Z$288,25,FALSE)</f>
        <v>0</v>
      </c>
      <c r="K11" s="179" t="str">
        <f t="shared" ref="K11:K20" si="0">IF($D11&gt;=1,$J11+(D11*E11)+(F11*G11)+(H11*I11),IF($F11&gt;=1,$J11+(D11*E11)+(F11*G11)+(H11*I11),IF($H11&gt;=1,$J11+(D11*E11)+(F11*G11)+(H11*I11),"")))</f>
        <v/>
      </c>
    </row>
    <row r="12" spans="1:13" ht="15" customHeight="1">
      <c r="A12" s="48"/>
      <c r="B12" s="49" t="str">
        <f>VLOOKUP($C$11:$C$26,Personnel!$A$1:$B$1234,2,FALSE)</f>
        <v>GENERAL LABOURER</v>
      </c>
      <c r="C12" s="36" t="s">
        <v>3874</v>
      </c>
      <c r="D12" s="184">
        <v>8</v>
      </c>
      <c r="E12" s="179">
        <f>VLOOKUP($B$11:$B$26,'Constr. Wage Rate Calculations'!$A$19:$Z$288,22,FALSE)</f>
        <v>48.1</v>
      </c>
      <c r="F12" s="184">
        <v>4</v>
      </c>
      <c r="G12" s="179">
        <f>VLOOKUP($B$11:$B$26,'Constr. Wage Rate Calculations'!$A$19:$Z$288,23,FALSE)</f>
        <v>72.150000000000006</v>
      </c>
      <c r="H12" s="184"/>
      <c r="I12" s="179">
        <f>VLOOKUP($B$11:$B$26,'Constr. Wage Rate Calculations'!$A$19:$Z$288,24,FALSE)</f>
        <v>96.2</v>
      </c>
      <c r="J12" s="20">
        <f>VLOOKUP($B$11:$B$26,'Constr. Wage Rate Calculations'!$A$19:$Z$288,25,FALSE)</f>
        <v>85</v>
      </c>
      <c r="K12" s="179">
        <f t="shared" si="0"/>
        <v>758.40000000000009</v>
      </c>
    </row>
    <row r="13" spans="1:13" ht="15" customHeight="1">
      <c r="A13" s="48" t="s">
        <v>3999</v>
      </c>
      <c r="B13" s="49" t="str">
        <f>VLOOKUP($C$11:$C$26,Personnel!$A$1:$B$1234,2,FALSE)</f>
        <v>LABOURER JOB STEWARD</v>
      </c>
      <c r="C13" s="36" t="s">
        <v>722</v>
      </c>
      <c r="D13" s="184">
        <v>3</v>
      </c>
      <c r="E13" s="179">
        <f>VLOOKUP($B$11:$B$26,'Constr. Wage Rate Calculations'!$A$19:$Z$288,22,FALSE)</f>
        <v>48.71</v>
      </c>
      <c r="F13" s="184"/>
      <c r="G13" s="179">
        <f>VLOOKUP($B$11:$B$26,'Constr. Wage Rate Calculations'!$A$19:$Z$288,23,FALSE)</f>
        <v>73.06</v>
      </c>
      <c r="H13" s="184"/>
      <c r="I13" s="179">
        <f>VLOOKUP($B$11:$B$26,'Constr. Wage Rate Calculations'!$A$19:$Z$288,24,FALSE)</f>
        <v>97.41</v>
      </c>
      <c r="J13" s="20">
        <f>VLOOKUP($B$11:$B$26,'Constr. Wage Rate Calculations'!$A$19:$Z$288,25,FALSE)</f>
        <v>85</v>
      </c>
      <c r="K13" s="179">
        <f t="shared" si="0"/>
        <v>231.13</v>
      </c>
    </row>
    <row r="14" spans="1:13" ht="15" customHeight="1">
      <c r="A14" s="48"/>
      <c r="B14" s="49" t="str">
        <f>VLOOKUP($C$11:$C$26,Personnel!$A$1:$B$1234,2,FALSE)</f>
        <v>GENERAL FOREMAN</v>
      </c>
      <c r="C14" s="36" t="s">
        <v>957</v>
      </c>
      <c r="D14" s="184">
        <v>1</v>
      </c>
      <c r="E14" s="179">
        <f>VLOOKUP($B$11:$B$26,'Constr. Wage Rate Calculations'!$A$19:$Z$288,22,FALSE)</f>
        <v>1332.16</v>
      </c>
      <c r="F14" s="184">
        <v>9</v>
      </c>
      <c r="G14" s="179">
        <f>VLOOKUP($B$11:$B$26,'Constr. Wage Rate Calculations'!$A$19:$Z$288,23,FALSE)</f>
        <v>0</v>
      </c>
      <c r="H14" s="184"/>
      <c r="I14" s="179">
        <f>VLOOKUP($B$11:$B$26,'Constr. Wage Rate Calculations'!$A$19:$Z$288,24,FALSE)</f>
        <v>0</v>
      </c>
      <c r="J14" s="20">
        <f>VLOOKUP($B$11:$B$26,'Constr. Wage Rate Calculations'!$A$19:$Z$288,25,FALSE)</f>
        <v>230</v>
      </c>
      <c r="K14" s="179">
        <f t="shared" si="0"/>
        <v>1562.16</v>
      </c>
    </row>
    <row r="15" spans="1:13" ht="15" customHeight="1">
      <c r="A15" s="48"/>
      <c r="B15" s="49" t="str">
        <f>VLOOKUP($C$11:$C$26,Personnel!$A$1:$B$1234,2,FALSE)</f>
        <v>GENERAL LABOURER</v>
      </c>
      <c r="C15" s="36" t="s">
        <v>3607</v>
      </c>
      <c r="D15" s="184">
        <v>8</v>
      </c>
      <c r="E15" s="179">
        <f>VLOOKUP($B$11:$B$26,'Constr. Wage Rate Calculations'!$A$19:$Z$288,22,FALSE)</f>
        <v>48.1</v>
      </c>
      <c r="F15" s="184">
        <v>4</v>
      </c>
      <c r="G15" s="179">
        <f>VLOOKUP($B$11:$B$26,'Constr. Wage Rate Calculations'!$A$19:$Z$288,23,FALSE)</f>
        <v>72.150000000000006</v>
      </c>
      <c r="H15" s="184"/>
      <c r="I15" s="179">
        <f>VLOOKUP($B$11:$B$26,'Constr. Wage Rate Calculations'!$A$19:$Z$288,24,FALSE)</f>
        <v>96.2</v>
      </c>
      <c r="J15" s="20">
        <f>VLOOKUP($B$11:$B$26,'Constr. Wage Rate Calculations'!$A$19:$Z$288,25,FALSE)</f>
        <v>85</v>
      </c>
      <c r="K15" s="179">
        <f t="shared" si="0"/>
        <v>758.40000000000009</v>
      </c>
    </row>
    <row r="16" spans="1:13" ht="15" customHeight="1">
      <c r="A16" s="48"/>
      <c r="B16" s="49" t="str">
        <f>VLOOKUP($C$11:$C$26,Personnel!$A$1:$B$1234,2,FALSE)</f>
        <v>FLAT DECK &lt; 5 TON</v>
      </c>
      <c r="C16" s="36" t="s">
        <v>2207</v>
      </c>
      <c r="D16" s="184">
        <v>8</v>
      </c>
      <c r="E16" s="179">
        <f>VLOOKUP($B$11:$B$26,'Constr. Wage Rate Calculations'!$A$19:$Z$288,22,FALSE)</f>
        <v>59.79</v>
      </c>
      <c r="F16" s="184">
        <v>4</v>
      </c>
      <c r="G16" s="179">
        <f>VLOOKUP($B$11:$B$26,'Constr. Wage Rate Calculations'!$A$19:$Z$288,23,FALSE)</f>
        <v>89.69</v>
      </c>
      <c r="H16" s="184"/>
      <c r="I16" s="179">
        <f>VLOOKUP($B$11:$B$26,'Constr. Wage Rate Calculations'!$A$19:$Z$288,24,FALSE)</f>
        <v>119.58</v>
      </c>
      <c r="J16" s="20">
        <f>VLOOKUP($B$11:$B$26,'Constr. Wage Rate Calculations'!$A$19:$Z$288,25,FALSE)</f>
        <v>85</v>
      </c>
      <c r="K16" s="179">
        <f t="shared" si="0"/>
        <v>922.07999999999993</v>
      </c>
    </row>
    <row r="17" spans="1:15" ht="15" customHeight="1">
      <c r="A17" s="48"/>
      <c r="B17" s="49" t="str">
        <f>VLOOKUP($C$11:$C$26,Personnel!$A$1:$B$1234,2,FALSE)</f>
        <v>GENERAL LABOURER</v>
      </c>
      <c r="C17" s="36" t="s">
        <v>3351</v>
      </c>
      <c r="D17" s="184">
        <v>8</v>
      </c>
      <c r="E17" s="179">
        <f>VLOOKUP($B$11:$B$26,'Constr. Wage Rate Calculations'!$A$19:$Z$288,22,FALSE)</f>
        <v>48.1</v>
      </c>
      <c r="F17" s="184">
        <v>4</v>
      </c>
      <c r="G17" s="179">
        <f>VLOOKUP($B$11:$B$26,'Constr. Wage Rate Calculations'!$A$19:$Z$288,23,FALSE)</f>
        <v>72.150000000000006</v>
      </c>
      <c r="H17" s="184"/>
      <c r="I17" s="179">
        <f>VLOOKUP($B$11:$B$26,'Constr. Wage Rate Calculations'!$A$19:$Z$288,24,FALSE)</f>
        <v>96.2</v>
      </c>
      <c r="J17" s="20">
        <f>VLOOKUP($B$11:$B$26,'Constr. Wage Rate Calculations'!$A$19:$Z$288,25,FALSE)</f>
        <v>85</v>
      </c>
      <c r="K17" s="179">
        <f t="shared" si="0"/>
        <v>758.40000000000009</v>
      </c>
    </row>
    <row r="18" spans="1:15" ht="15" customHeight="1">
      <c r="A18" s="48"/>
      <c r="B18" s="49">
        <f>VLOOKUP($C$11:$C$26,Personnel!$A$1:$B$1234,2,FALSE)</f>
        <v>0</v>
      </c>
      <c r="C18" s="36"/>
      <c r="D18" s="184"/>
      <c r="E18" s="179">
        <f>VLOOKUP($B$11:$B$26,'Constr. Wage Rate Calculations'!$A$19:$Z$288,22,FALSE)</f>
        <v>0</v>
      </c>
      <c r="F18" s="184"/>
      <c r="G18" s="179">
        <f>VLOOKUP($B$11:$B$26,'Constr. Wage Rate Calculations'!$A$19:$Z$288,23,FALSE)</f>
        <v>0</v>
      </c>
      <c r="H18" s="184"/>
      <c r="I18" s="179">
        <f>VLOOKUP($B$11:$B$26,'Constr. Wage Rate Calculations'!$A$19:$Z$288,24,FALSE)</f>
        <v>0</v>
      </c>
      <c r="J18" s="20">
        <f>VLOOKUP($B$11:$B$26,'Constr. Wage Rate Calculations'!$A$19:$Z$288,25,FALSE)</f>
        <v>0</v>
      </c>
      <c r="K18" s="179" t="str">
        <f t="shared" si="0"/>
        <v/>
      </c>
    </row>
    <row r="19" spans="1:15" ht="15" customHeight="1">
      <c r="A19" s="48"/>
      <c r="B19" s="49">
        <f>VLOOKUP($C$11:$C$26,Personnel!$A$1:$B$1234,2,FALSE)</f>
        <v>0</v>
      </c>
      <c r="C19" s="36"/>
      <c r="D19" s="184"/>
      <c r="E19" s="179">
        <f>VLOOKUP($B$11:$B$26,'Constr. Wage Rate Calculations'!$A$19:$Z$288,22,FALSE)</f>
        <v>0</v>
      </c>
      <c r="F19" s="184"/>
      <c r="G19" s="179">
        <f>VLOOKUP($B$11:$B$26,'Constr. Wage Rate Calculations'!$A$19:$Z$288,23,FALSE)</f>
        <v>0</v>
      </c>
      <c r="H19" s="184"/>
      <c r="I19" s="179">
        <f>VLOOKUP($B$11:$B$26,'Constr. Wage Rate Calculations'!$A$19:$Z$288,24,FALSE)</f>
        <v>0</v>
      </c>
      <c r="J19" s="20">
        <f>VLOOKUP($B$11:$B$26,'Constr. Wage Rate Calculations'!$A$19:$Z$288,25,FALSE)</f>
        <v>0</v>
      </c>
      <c r="K19" s="179" t="str">
        <f t="shared" si="0"/>
        <v/>
      </c>
    </row>
    <row r="20" spans="1:15" ht="14.25" customHeight="1">
      <c r="A20" s="48"/>
      <c r="B20" s="49">
        <f>VLOOKUP($C$11:$C$26,Personnel!$A$1:$B$1234,2,FALSE)</f>
        <v>0</v>
      </c>
      <c r="C20" s="36"/>
      <c r="D20" s="184"/>
      <c r="E20" s="179">
        <f>VLOOKUP($B$11:$B$26,'Constr. Wage Rate Calculations'!$A$19:$Z$288,22,FALSE)</f>
        <v>0</v>
      </c>
      <c r="F20" s="184"/>
      <c r="G20" s="179">
        <f>VLOOKUP($B$11:$B$26,'Constr. Wage Rate Calculations'!$A$19:$Z$288,23,FALSE)</f>
        <v>0</v>
      </c>
      <c r="H20" s="184"/>
      <c r="I20" s="179">
        <f>VLOOKUP($B$11:$B$26,'Constr. Wage Rate Calculations'!$A$19:$Z$288,24,FALSE)</f>
        <v>0</v>
      </c>
      <c r="J20" s="20">
        <f>VLOOKUP($B$11:$B$26,'Constr. Wage Rate Calculations'!$A$19:$Z$288,25,FALSE)</f>
        <v>0</v>
      </c>
      <c r="K20" s="179" t="str">
        <f t="shared" si="0"/>
        <v/>
      </c>
    </row>
    <row r="21" spans="1:15" ht="15" customHeight="1">
      <c r="A21" s="48"/>
      <c r="B21" s="49">
        <f>VLOOKUP($C$11:$C$26,Personnel!$A$1:$B$1234,2,FALSE)</f>
        <v>0</v>
      </c>
      <c r="C21" s="36"/>
      <c r="D21" s="184"/>
      <c r="E21" s="179">
        <f>VLOOKUP($B$11:$B$26,'Constr. Wage Rate Calculations'!$A$19:$Z$288,22,FALSE)</f>
        <v>0</v>
      </c>
      <c r="F21" s="184"/>
      <c r="G21" s="179">
        <f>VLOOKUP($B$11:$B$26,'Constr. Wage Rate Calculations'!$A$19:$Z$288,23,FALSE)</f>
        <v>0</v>
      </c>
      <c r="H21" s="184"/>
      <c r="I21" s="179">
        <f>VLOOKUP($B$11:$B$26,'Constr. Wage Rate Calculations'!$A$19:$Z$288,24,FALSE)</f>
        <v>0</v>
      </c>
      <c r="J21" s="20">
        <f>VLOOKUP($B$11:$B$26,'Constr. Wage Rate Calculations'!$A$19:$Z$288,25,FALSE)</f>
        <v>0</v>
      </c>
      <c r="K21" s="179" t="str">
        <f t="shared" ref="K21:K26" si="1">IF($D21&gt;=1,$J21+(D21*E21)+(F21*G21)+(H21*I21),IF($F21&gt;=1,$J21+(D21*E21)+(F21*G21)+(H21*I21),IF($H21&gt;=1,$J21+(D21*E21)+(F21*G21)+(H21*I21),"")))</f>
        <v/>
      </c>
    </row>
    <row r="22" spans="1:15" ht="15" customHeight="1">
      <c r="A22" s="48"/>
      <c r="B22" s="49">
        <f>VLOOKUP($C$11:$C$26,Personnel!$A$1:$B$1234,2,FALSE)</f>
        <v>0</v>
      </c>
      <c r="C22" s="36"/>
      <c r="D22" s="184"/>
      <c r="E22" s="179">
        <f>VLOOKUP($B$11:$B$26,'Constr. Wage Rate Calculations'!$A$19:$Z$288,22,FALSE)</f>
        <v>0</v>
      </c>
      <c r="F22" s="184"/>
      <c r="G22" s="179">
        <f>VLOOKUP($B$11:$B$26,'Constr. Wage Rate Calculations'!$A$19:$Z$288,23,FALSE)</f>
        <v>0</v>
      </c>
      <c r="H22" s="184"/>
      <c r="I22" s="179">
        <f>VLOOKUP($B$11:$B$26,'Constr. Wage Rate Calculations'!$A$19:$Z$288,24,FALSE)</f>
        <v>0</v>
      </c>
      <c r="J22" s="20">
        <f>VLOOKUP($B$11:$B$26,'Constr. Wage Rate Calculations'!$A$19:$Z$288,25,FALSE)</f>
        <v>0</v>
      </c>
      <c r="K22" s="179" t="str">
        <f t="shared" si="1"/>
        <v/>
      </c>
    </row>
    <row r="23" spans="1:15" ht="15" customHeight="1">
      <c r="A23" s="48"/>
      <c r="B23" s="49">
        <f>VLOOKUP($C$11:$C$26,Personnel!$A$1:$B$1234,2,FALSE)</f>
        <v>0</v>
      </c>
      <c r="C23" s="36"/>
      <c r="D23" s="184"/>
      <c r="E23" s="179">
        <f>VLOOKUP($B$11:$B$26,'Constr. Wage Rate Calculations'!$A$19:$Z$288,22,FALSE)</f>
        <v>0</v>
      </c>
      <c r="F23" s="184"/>
      <c r="G23" s="179">
        <f>VLOOKUP($B$11:$B$26,'Constr. Wage Rate Calculations'!$A$19:$Z$288,23,FALSE)</f>
        <v>0</v>
      </c>
      <c r="H23" s="184"/>
      <c r="I23" s="179">
        <f>VLOOKUP($B$11:$B$26,'Constr. Wage Rate Calculations'!$A$19:$Z$288,24,FALSE)</f>
        <v>0</v>
      </c>
      <c r="J23" s="20">
        <f>VLOOKUP($B$11:$B$26,'Constr. Wage Rate Calculations'!$A$19:$Z$288,25,FALSE)</f>
        <v>0</v>
      </c>
      <c r="K23" s="179" t="str">
        <f>IF($D23&gt;=1,$J23+(D23*E23)+(F23*G23)+(H23*I23),IF($F23&gt;=1,$J23+(D23*E23)+(F23*G23)+(H23*I23),IF($H23&gt;=1,$J23+(D23*E23)+(F23*G23)+(H23*I23),"")))</f>
        <v/>
      </c>
    </row>
    <row r="24" spans="1:15" ht="15" customHeight="1">
      <c r="A24" s="48"/>
      <c r="B24" s="49">
        <f>VLOOKUP($C$11:$C$26,Personnel!$A$1:$B$1234,2,FALSE)</f>
        <v>0</v>
      </c>
      <c r="C24" s="36"/>
      <c r="D24" s="184"/>
      <c r="E24" s="179">
        <f>VLOOKUP($B$11:$B$26,'Constr. Wage Rate Calculations'!$A$19:$Z$288,22,FALSE)</f>
        <v>0</v>
      </c>
      <c r="F24" s="184"/>
      <c r="G24" s="179">
        <f>VLOOKUP($B$11:$B$26,'Constr. Wage Rate Calculations'!$A$19:$Z$288,23,FALSE)</f>
        <v>0</v>
      </c>
      <c r="H24" s="184"/>
      <c r="I24" s="179">
        <f>VLOOKUP($B$11:$B$26,'Constr. Wage Rate Calculations'!$A$19:$Z$288,24,FALSE)</f>
        <v>0</v>
      </c>
      <c r="J24" s="20">
        <f>VLOOKUP($B$11:$B$26,'Constr. Wage Rate Calculations'!$A$19:$Z$288,25,FALSE)</f>
        <v>0</v>
      </c>
      <c r="K24" s="179" t="str">
        <f t="shared" si="1"/>
        <v/>
      </c>
    </row>
    <row r="25" spans="1:15" ht="15" customHeight="1">
      <c r="A25" s="48"/>
      <c r="B25" s="49">
        <f>VLOOKUP($C$11:$C$26,Personnel!$A$1:$B$1234,2,FALSE)</f>
        <v>0</v>
      </c>
      <c r="C25" s="36"/>
      <c r="D25" s="184"/>
      <c r="E25" s="179">
        <f>VLOOKUP($B$11:$B$26,'Constr. Wage Rate Calculations'!$A$19:$Z$288,22,FALSE)</f>
        <v>0</v>
      </c>
      <c r="F25" s="184"/>
      <c r="G25" s="179">
        <f>VLOOKUP($B$11:$B$26,'Constr. Wage Rate Calculations'!$A$19:$Z$288,23,FALSE)</f>
        <v>0</v>
      </c>
      <c r="H25" s="184"/>
      <c r="I25" s="179">
        <f>VLOOKUP($B$11:$B$26,'Constr. Wage Rate Calculations'!$A$19:$Z$288,24,FALSE)</f>
        <v>0</v>
      </c>
      <c r="J25" s="20">
        <f>VLOOKUP($B$11:$B$26,'Constr. Wage Rate Calculations'!$A$19:$Z$288,25,FALSE)</f>
        <v>0</v>
      </c>
      <c r="K25" s="179" t="str">
        <f t="shared" si="1"/>
        <v/>
      </c>
    </row>
    <row r="26" spans="1:15" ht="15" customHeight="1" thickBot="1">
      <c r="A26" s="48"/>
      <c r="B26" s="49">
        <f>VLOOKUP($C$11:$C$26,Personnel!$A$1:$B$1234,2,FALSE)</f>
        <v>0</v>
      </c>
      <c r="C26" s="36"/>
      <c r="D26" s="184"/>
      <c r="E26" s="179">
        <f>VLOOKUP($B$11:$B$26,'Constr. Wage Rate Calculations'!$A$19:$Z$288,22,FALSE)</f>
        <v>0</v>
      </c>
      <c r="F26" s="184"/>
      <c r="G26" s="179">
        <f>VLOOKUP($B$11:$B$26,'Constr. Wage Rate Calculations'!$A$19:$Z$288,23,FALSE)</f>
        <v>0</v>
      </c>
      <c r="H26" s="184"/>
      <c r="I26" s="179">
        <f>VLOOKUP($B$11:$B$26,'Constr. Wage Rate Calculations'!$A$19:$Z$288,24,FALSE)</f>
        <v>0</v>
      </c>
      <c r="J26" s="20">
        <f>VLOOKUP($B$11:$B$26,'Constr. Wage Rate Calculations'!$A$19:$Z$288,25,FALSE)</f>
        <v>0</v>
      </c>
      <c r="K26" s="179" t="str">
        <f t="shared" si="1"/>
        <v/>
      </c>
      <c r="M26" s="1">
        <f>SUM(M11:M25)</f>
        <v>0</v>
      </c>
    </row>
    <row r="27" spans="1:15" ht="15" customHeight="1" thickBot="1">
      <c r="A27"/>
      <c r="B27"/>
      <c r="C27"/>
      <c r="D27" s="21"/>
      <c r="E27" s="21"/>
      <c r="F27" s="21"/>
      <c r="G27" s="21"/>
      <c r="H27" s="21"/>
      <c r="I27" s="360" t="s">
        <v>18</v>
      </c>
      <c r="J27" s="361"/>
      <c r="K27" s="183">
        <f>SUM(K11:K26)</f>
        <v>4990.57</v>
      </c>
      <c r="M27" s="1">
        <f>SUMIFS(D11:D26,D11:D26,"&lt;3",D11:D26,"&lt;5")</f>
        <v>1</v>
      </c>
      <c r="N27" s="1">
        <f>SUMIFS(D11:D26,D11:D26,"&gt;3",D11:D26,"&gt;5")</f>
        <v>32</v>
      </c>
      <c r="O27" s="1">
        <f>SUM(F11:F26,H11:H26,M27,N27)-M26</f>
        <v>58</v>
      </c>
    </row>
    <row r="28" spans="1:15" ht="10" customHeight="1" thickBot="1"/>
    <row r="29" spans="1:15" s="19" customFormat="1" ht="15" customHeight="1" thickBot="1">
      <c r="A29" s="22" t="s">
        <v>19</v>
      </c>
      <c r="B29" s="23" t="s">
        <v>20</v>
      </c>
      <c r="C29" s="23"/>
      <c r="D29" s="23"/>
      <c r="E29" s="23"/>
      <c r="F29" s="23"/>
      <c r="G29" s="23"/>
      <c r="H29" s="18" t="s">
        <v>21</v>
      </c>
      <c r="I29" s="18" t="s">
        <v>22</v>
      </c>
      <c r="J29" s="18" t="s">
        <v>23</v>
      </c>
      <c r="K29" s="18" t="s">
        <v>17</v>
      </c>
    </row>
    <row r="30" spans="1:15" ht="15" customHeight="1">
      <c r="A30" s="43"/>
      <c r="B30" s="49">
        <f>VLOOKUP($C$30:$C$104,Equipment!$A$1:$B$2327,2,FALSE)</f>
        <v>0</v>
      </c>
      <c r="C30" s="24"/>
      <c r="D30" s="24"/>
      <c r="E30" s="24"/>
      <c r="F30" s="24"/>
      <c r="G30" s="24"/>
      <c r="H30" s="185"/>
      <c r="I30" s="184"/>
      <c r="J30" s="42">
        <f>VLOOKUP($B$30:$B$104,'Alberta Equip. Rates Year 3'!$B$13:$K$314,10,FALSE)</f>
        <v>0</v>
      </c>
      <c r="K30" s="181">
        <f>(H30+I30)*J30</f>
        <v>0</v>
      </c>
    </row>
    <row r="31" spans="1:15" ht="15" customHeight="1">
      <c r="A31" s="43"/>
      <c r="B31" s="49" t="str">
        <f>VLOOKUP($C$30:$C$104,Equipment!$A$1:$B$2327,2,FALSE)</f>
        <v>Crewcab - 1 Ton</v>
      </c>
      <c r="C31" s="24" t="s">
        <v>1900</v>
      </c>
      <c r="D31" s="24"/>
      <c r="E31" s="24"/>
      <c r="F31" s="24"/>
      <c r="G31" s="24"/>
      <c r="H31" s="185">
        <v>1</v>
      </c>
      <c r="I31" s="184"/>
      <c r="J31" s="42">
        <f>VLOOKUP($B$30:$B$104,'Alberta Equip. Rates Year 3'!$B$13:$K$314,10,FALSE)</f>
        <v>163</v>
      </c>
      <c r="K31" s="181">
        <f t="shared" ref="K31:K55" si="2">(H31+I31)*J31</f>
        <v>163</v>
      </c>
    </row>
    <row r="32" spans="1:15" ht="15" customHeight="1">
      <c r="A32" s="43"/>
      <c r="B32" s="49" t="str">
        <f>VLOOKUP($C$30:$C$104,Equipment!$A$1:$B$2327,2,FALSE)</f>
        <v>Crewcab - 3/4 Ton</v>
      </c>
      <c r="C32" s="24" t="s">
        <v>2836</v>
      </c>
      <c r="D32" s="24"/>
      <c r="E32" s="24"/>
      <c r="F32" s="24"/>
      <c r="G32" s="24"/>
      <c r="H32" s="185">
        <v>1</v>
      </c>
      <c r="I32" s="184"/>
      <c r="J32" s="42">
        <f>VLOOKUP($B$30:$B$104,'Alberta Equip. Rates Year 3'!$B$13:$K$314,10,FALSE)</f>
        <v>153</v>
      </c>
      <c r="K32" s="181">
        <f t="shared" ref="K32" si="3">(H32+I32)*J32</f>
        <v>153</v>
      </c>
    </row>
    <row r="33" spans="1:11" ht="15" customHeight="1">
      <c r="A33" s="43"/>
      <c r="B33" s="49" t="str">
        <f>VLOOKUP($C$30:$C$104,Equipment!$A$1:$B$2327,2,FALSE)</f>
        <v>Flatdeck - 2 Ton</v>
      </c>
      <c r="C33" s="24" t="s">
        <v>622</v>
      </c>
      <c r="D33" s="24"/>
      <c r="E33" s="24"/>
      <c r="F33" s="24"/>
      <c r="G33" s="24"/>
      <c r="H33" s="185">
        <v>1</v>
      </c>
      <c r="I33" s="184"/>
      <c r="J33" s="42">
        <f>VLOOKUP($B$30:$B$104,'Alberta Equip. Rates Year 3'!$B$13:$K$314,10,FALSE)</f>
        <v>165</v>
      </c>
      <c r="K33" s="181">
        <f t="shared" ref="K33:K36" si="4">(H33+I33)*J33</f>
        <v>165</v>
      </c>
    </row>
    <row r="34" spans="1:11" ht="15" customHeight="1">
      <c r="A34" s="43"/>
      <c r="B34" s="49" t="str">
        <f>VLOOKUP($C$30:$C$104,Equipment!$A$1:$B$2327,2,FALSE)</f>
        <v>Generator Pump &amp; Light 15-20kW</v>
      </c>
      <c r="C34" s="24" t="s">
        <v>4144</v>
      </c>
      <c r="D34" s="24"/>
      <c r="E34" s="24"/>
      <c r="F34" s="24"/>
      <c r="G34" s="24"/>
      <c r="H34" s="185">
        <v>1</v>
      </c>
      <c r="I34" s="184"/>
      <c r="J34" s="42">
        <f>VLOOKUP($B$30:$B$104,'Alberta Equip. Rates Year 3'!$B$13:$K$314,10,FALSE)</f>
        <v>230.19</v>
      </c>
      <c r="K34" s="181">
        <f t="shared" si="4"/>
        <v>230.19</v>
      </c>
    </row>
    <row r="35" spans="1:11" ht="15" customHeight="1">
      <c r="A35" s="43"/>
      <c r="B35" s="49" t="str">
        <f>VLOOKUP($C$30:$C$104,Equipment!$A$1:$B$2327,2,FALSE)</f>
        <v>Light Tower  - 6 kW</v>
      </c>
      <c r="C35" s="24" t="s">
        <v>3859</v>
      </c>
      <c r="D35" s="24"/>
      <c r="E35" s="24"/>
      <c r="F35" s="24"/>
      <c r="G35" s="24"/>
      <c r="H35" s="185">
        <v>1</v>
      </c>
      <c r="I35" s="184"/>
      <c r="J35" s="42">
        <f>VLOOKUP($B$30:$B$104,'Alberta Equip. Rates Year 3'!$B$13:$K$314,10,FALSE)</f>
        <v>212</v>
      </c>
      <c r="K35" s="181">
        <f t="shared" si="4"/>
        <v>212</v>
      </c>
    </row>
    <row r="36" spans="1:11" ht="15" customHeight="1">
      <c r="A36" s="43"/>
      <c r="B36" s="49" t="str">
        <f>VLOOKUP($C$30:$C$104,Equipment!$A$1:$B$2327,2,FALSE)</f>
        <v>Light Tower  - 6 kW</v>
      </c>
      <c r="C36" s="24" t="s">
        <v>3877</v>
      </c>
      <c r="D36" s="24"/>
      <c r="E36" s="24"/>
      <c r="F36" s="24"/>
      <c r="G36" s="24"/>
      <c r="H36" s="185">
        <v>1</v>
      </c>
      <c r="I36" s="184"/>
      <c r="J36" s="42">
        <f>VLOOKUP($B$30:$B$104,'Alberta Equip. Rates Year 3'!$B$13:$K$314,10,FALSE)</f>
        <v>212</v>
      </c>
      <c r="K36" s="181">
        <f t="shared" si="4"/>
        <v>212</v>
      </c>
    </row>
    <row r="37" spans="1:11" ht="15" customHeight="1">
      <c r="A37" s="43"/>
      <c r="B37" s="49">
        <f>VLOOKUP($C$30:$C$104,Equipment!$A$1:$B$2327,2,FALSE)</f>
        <v>0</v>
      </c>
      <c r="C37" s="24"/>
      <c r="D37" s="24"/>
      <c r="E37" s="24"/>
      <c r="F37" s="24"/>
      <c r="G37" s="24"/>
      <c r="H37" s="185"/>
      <c r="I37" s="184"/>
      <c r="J37" s="42">
        <f>VLOOKUP($B$30:$B$104,'Alberta Equip. Rates Year 3'!$B$13:$K$314,10,FALSE)</f>
        <v>0</v>
      </c>
      <c r="K37" s="181">
        <f>(H37+I37)*J37</f>
        <v>0</v>
      </c>
    </row>
    <row r="38" spans="1:11" ht="15" customHeight="1">
      <c r="A38" s="43"/>
      <c r="B38" s="49">
        <f>VLOOKUP($C$30:$C$104,Equipment!$A$1:$B$2327,2,FALSE)</f>
        <v>0</v>
      </c>
      <c r="C38" s="24"/>
      <c r="D38" s="24"/>
      <c r="E38" s="24"/>
      <c r="F38" s="24"/>
      <c r="G38" s="24"/>
      <c r="H38" s="185"/>
      <c r="I38" s="184"/>
      <c r="J38" s="42">
        <f>VLOOKUP($B$30:$B$104,'Alberta Equip. Rates Year 3'!$B$13:$K$314,10,FALSE)</f>
        <v>0</v>
      </c>
      <c r="K38" s="181">
        <f>(H38+I38)*J38</f>
        <v>0</v>
      </c>
    </row>
    <row r="39" spans="1:11" ht="15" customHeight="1">
      <c r="A39" s="43"/>
      <c r="B39" s="49">
        <f>VLOOKUP($C$30:$C$104,Equipment!$A$1:$B$2327,2,FALSE)</f>
        <v>0</v>
      </c>
      <c r="C39" s="24"/>
      <c r="D39" s="24"/>
      <c r="E39" s="24"/>
      <c r="F39" s="24"/>
      <c r="G39" s="24"/>
      <c r="H39" s="185"/>
      <c r="I39" s="184"/>
      <c r="J39" s="42">
        <f>VLOOKUP($B$30:$B$104,'Alberta Equip. Rates Year 3'!$B$13:$K$314,10,FALSE)</f>
        <v>0</v>
      </c>
      <c r="K39" s="181">
        <f>(H39+I39)*J39</f>
        <v>0</v>
      </c>
    </row>
    <row r="40" spans="1:11" ht="15" customHeight="1">
      <c r="A40" s="43"/>
      <c r="B40" s="49">
        <f>VLOOKUP($C$30:$C$104,Equipment!$A$1:$B$2327,2,FALSE)</f>
        <v>0</v>
      </c>
      <c r="C40" s="24"/>
      <c r="D40" s="24"/>
      <c r="E40" s="24"/>
      <c r="F40" s="24"/>
      <c r="G40" s="24"/>
      <c r="H40" s="185"/>
      <c r="I40" s="184"/>
      <c r="J40" s="42">
        <f>VLOOKUP($B$30:$B$104,'Alberta Equip. Rates Year 3'!$B$13:$K$314,10,FALSE)</f>
        <v>0</v>
      </c>
      <c r="K40" s="181">
        <f>(H40+I40)*J40</f>
        <v>0</v>
      </c>
    </row>
    <row r="41" spans="1:11" ht="15" customHeight="1">
      <c r="A41" s="43"/>
      <c r="B41" s="49">
        <f>VLOOKUP($C$30:$C$104,Equipment!$A$1:$B$2327,2,FALSE)</f>
        <v>0</v>
      </c>
      <c r="C41" s="24"/>
      <c r="D41" s="24"/>
      <c r="E41" s="24"/>
      <c r="F41" s="24"/>
      <c r="G41" s="24"/>
      <c r="H41" s="185"/>
      <c r="I41" s="184"/>
      <c r="J41" s="42">
        <f>VLOOKUP($B$30:$B$104,'Alberta Equip. Rates Year 3'!$B$13:$K$314,10,FALSE)</f>
        <v>0</v>
      </c>
      <c r="K41" s="181">
        <f t="shared" ref="K41" si="5">(H41+I41)*J41</f>
        <v>0</v>
      </c>
    </row>
    <row r="42" spans="1:11" ht="15" customHeight="1">
      <c r="A42" s="43"/>
      <c r="B42" s="49">
        <f>VLOOKUP($C$30:$C$104,Equipment!$A$1:$B$2327,2,FALSE)</f>
        <v>0</v>
      </c>
      <c r="C42" s="24"/>
      <c r="D42" s="24"/>
      <c r="E42" s="24"/>
      <c r="F42" s="24"/>
      <c r="G42" s="24"/>
      <c r="H42" s="185"/>
      <c r="I42" s="184"/>
      <c r="J42" s="42">
        <f>VLOOKUP($B$30:$B$104,'Alberta Equip. Rates Year 3'!$B$13:$K$314,10,FALSE)</f>
        <v>0</v>
      </c>
      <c r="K42" s="181">
        <f t="shared" ref="K42" si="6">(H42+I42)*J42</f>
        <v>0</v>
      </c>
    </row>
    <row r="43" spans="1:11" ht="15" customHeight="1">
      <c r="A43" s="43"/>
      <c r="B43" s="49">
        <f>VLOOKUP($C$30:$C$104,Equipment!$A$1:$B$2327,2,FALSE)</f>
        <v>0</v>
      </c>
      <c r="C43" s="24"/>
      <c r="D43" s="24"/>
      <c r="E43" s="24"/>
      <c r="F43" s="24"/>
      <c r="G43" s="24"/>
      <c r="H43" s="185"/>
      <c r="I43" s="184"/>
      <c r="J43" s="42">
        <f>VLOOKUP($B$30:$B$104,'Alberta Equip. Rates Year 3'!$B$13:$K$314,10,FALSE)</f>
        <v>0</v>
      </c>
      <c r="K43" s="181">
        <f>(H43+I43)*J43</f>
        <v>0</v>
      </c>
    </row>
    <row r="44" spans="1:11" ht="15" customHeight="1">
      <c r="A44" s="43"/>
      <c r="B44" s="49">
        <f>VLOOKUP($C$30:$C$104,Equipment!$A$1:$B$2327,2,FALSE)</f>
        <v>0</v>
      </c>
      <c r="C44" s="24"/>
      <c r="D44" s="24"/>
      <c r="E44" s="24"/>
      <c r="F44" s="24"/>
      <c r="G44" s="24"/>
      <c r="H44" s="185"/>
      <c r="I44" s="184"/>
      <c r="J44" s="42">
        <f>VLOOKUP($B$30:$B$104,'Alberta Equip. Rates Year 3'!$B$13:$K$314,10,FALSE)</f>
        <v>0</v>
      </c>
      <c r="K44" s="181">
        <f>(H44+I44)*J44</f>
        <v>0</v>
      </c>
    </row>
    <row r="45" spans="1:11" ht="15" customHeight="1">
      <c r="A45" s="43"/>
      <c r="B45" s="49">
        <f>VLOOKUP($C$30:$C$104,Equipment!$A$1:$B$2327,2,FALSE)</f>
        <v>0</v>
      </c>
      <c r="C45" s="24"/>
      <c r="D45" s="24"/>
      <c r="E45" s="24"/>
      <c r="F45" s="24"/>
      <c r="G45" s="24"/>
      <c r="H45" s="185"/>
      <c r="I45" s="184"/>
      <c r="J45" s="42">
        <f>VLOOKUP($B$30:$B$104,'Alberta Equip. Rates Year 3'!$B$13:$K$314,10,FALSE)</f>
        <v>0</v>
      </c>
      <c r="K45" s="181">
        <f>(H45+I45)*J45</f>
        <v>0</v>
      </c>
    </row>
    <row r="46" spans="1:11" ht="15" customHeight="1">
      <c r="A46" s="43"/>
      <c r="B46" s="49">
        <f>VLOOKUP($C$30:$C$104,Equipment!$A$1:$B$2327,2,FALSE)</f>
        <v>0</v>
      </c>
      <c r="C46" s="24"/>
      <c r="D46" s="24"/>
      <c r="E46" s="24"/>
      <c r="F46" s="24"/>
      <c r="G46" s="24"/>
      <c r="H46" s="185"/>
      <c r="I46" s="184"/>
      <c r="J46" s="42">
        <f>VLOOKUP($B$30:$B$104,'Alberta Equip. Rates Year 3'!$B$13:$K$314,10,FALSE)</f>
        <v>0</v>
      </c>
      <c r="K46" s="181">
        <f>(H46+I46)*J46</f>
        <v>0</v>
      </c>
    </row>
    <row r="47" spans="1:11" ht="15" customHeight="1">
      <c r="A47" s="43"/>
      <c r="B47" s="49">
        <f>VLOOKUP($C$30:$C$104,Equipment!$A$1:$B$2327,2,FALSE)</f>
        <v>0</v>
      </c>
      <c r="C47" s="24"/>
      <c r="D47" s="24"/>
      <c r="E47" s="24"/>
      <c r="F47" s="24"/>
      <c r="G47" s="24"/>
      <c r="H47" s="185"/>
      <c r="I47" s="184"/>
      <c r="J47" s="42">
        <f>VLOOKUP($B$30:$B$104,'Alberta Equip. Rates Year 3'!$B$13:$K$314,10,FALSE)</f>
        <v>0</v>
      </c>
      <c r="K47" s="181">
        <f t="shared" si="2"/>
        <v>0</v>
      </c>
    </row>
    <row r="48" spans="1:11" ht="15" customHeight="1">
      <c r="A48" s="43"/>
      <c r="B48" s="49">
        <f>VLOOKUP($C$30:$C$104,Equipment!$A$1:$B$2327,2,FALSE)</f>
        <v>0</v>
      </c>
      <c r="C48" s="24"/>
      <c r="D48" s="24"/>
      <c r="E48" s="24"/>
      <c r="F48" s="24"/>
      <c r="G48" s="24"/>
      <c r="H48" s="185"/>
      <c r="I48" s="184"/>
      <c r="J48" s="42">
        <f>VLOOKUP($B$30:$B$104,'Alberta Equip. Rates Year 3'!$B$13:$K$314,10,FALSE)</f>
        <v>0</v>
      </c>
      <c r="K48" s="181">
        <f t="shared" si="2"/>
        <v>0</v>
      </c>
    </row>
    <row r="49" spans="1:11" ht="15" customHeight="1">
      <c r="A49" s="43"/>
      <c r="B49" s="49">
        <f>VLOOKUP($C$30:$C$104,Equipment!$A$1:$B$2327,2,FALSE)</f>
        <v>0</v>
      </c>
      <c r="C49" s="24"/>
      <c r="D49" s="24"/>
      <c r="E49" s="24"/>
      <c r="F49" s="24"/>
      <c r="G49" s="24"/>
      <c r="H49" s="185"/>
      <c r="I49" s="184"/>
      <c r="J49" s="42">
        <f>VLOOKUP($B$30:$B$104,'Alberta Equip. Rates Year 3'!$B$13:$K$314,10,FALSE)</f>
        <v>0</v>
      </c>
      <c r="K49" s="181">
        <f t="shared" si="2"/>
        <v>0</v>
      </c>
    </row>
    <row r="50" spans="1:11" ht="15" customHeight="1">
      <c r="A50" s="43"/>
      <c r="B50" s="49">
        <f>VLOOKUP($C$30:$C$104,Equipment!$A$1:$B$2327,2,FALSE)</f>
        <v>0</v>
      </c>
      <c r="C50" s="24"/>
      <c r="D50" s="24"/>
      <c r="E50" s="24"/>
      <c r="F50" s="24"/>
      <c r="G50" s="24"/>
      <c r="H50" s="185"/>
      <c r="I50" s="184"/>
      <c r="J50" s="42">
        <f>VLOOKUP($B$30:$B$104,'Alberta Equip. Rates Year 3'!$B$13:$K$314,10,FALSE)</f>
        <v>0</v>
      </c>
      <c r="K50" s="181">
        <f t="shared" si="2"/>
        <v>0</v>
      </c>
    </row>
    <row r="51" spans="1:11" ht="15" customHeight="1">
      <c r="A51" s="43"/>
      <c r="B51" s="49">
        <f>VLOOKUP($C$30:$C$104,Equipment!$A$1:$B$2327,2,FALSE)</f>
        <v>0</v>
      </c>
      <c r="C51" s="24"/>
      <c r="D51" s="24"/>
      <c r="E51" s="24"/>
      <c r="F51" s="24"/>
      <c r="G51" s="24"/>
      <c r="H51" s="185"/>
      <c r="I51" s="184"/>
      <c r="J51" s="42">
        <f>VLOOKUP($B$30:$B$104,'Alberta Equip. Rates Year 3'!$B$13:$K$314,10,FALSE)</f>
        <v>0</v>
      </c>
      <c r="K51" s="181">
        <f t="shared" si="2"/>
        <v>0</v>
      </c>
    </row>
    <row r="52" spans="1:11" ht="15" customHeight="1">
      <c r="A52" s="43"/>
      <c r="B52" s="49">
        <f>VLOOKUP($C$30:$C$104,Equipment!$A$1:$B$2327,2,FALSE)</f>
        <v>0</v>
      </c>
      <c r="C52" s="24"/>
      <c r="D52" s="24"/>
      <c r="E52" s="24"/>
      <c r="F52" s="24"/>
      <c r="G52" s="24"/>
      <c r="H52" s="185"/>
      <c r="I52" s="184"/>
      <c r="J52" s="42">
        <f>VLOOKUP($B$30:$B$104,'Alberta Equip. Rates Year 3'!$B$13:$K$314,10,FALSE)</f>
        <v>0</v>
      </c>
      <c r="K52" s="181">
        <f t="shared" si="2"/>
        <v>0</v>
      </c>
    </row>
    <row r="53" spans="1:11" ht="15" customHeight="1">
      <c r="A53" s="43"/>
      <c r="B53" s="49">
        <f>VLOOKUP($C$30:$C$104,Equipment!$A$1:$B$2327,2,FALSE)</f>
        <v>0</v>
      </c>
      <c r="C53" s="24"/>
      <c r="D53" s="24"/>
      <c r="E53" s="24"/>
      <c r="F53" s="24"/>
      <c r="G53" s="24"/>
      <c r="H53" s="185"/>
      <c r="I53" s="184"/>
      <c r="J53" s="42">
        <f>VLOOKUP($B$30:$B$104,'Alberta Equip. Rates Year 3'!$B$13:$K$314,10,FALSE)</f>
        <v>0</v>
      </c>
      <c r="K53" s="181">
        <f t="shared" ref="K53" si="7">(H53+I53)*J53</f>
        <v>0</v>
      </c>
    </row>
    <row r="54" spans="1:11" ht="15" customHeight="1">
      <c r="A54" s="43"/>
      <c r="B54" s="49">
        <f>VLOOKUP($C$30:$C$104,Equipment!$A$1:$B$2327,2,FALSE)</f>
        <v>0</v>
      </c>
      <c r="C54" s="24"/>
      <c r="D54" s="24"/>
      <c r="E54" s="24"/>
      <c r="F54" s="24"/>
      <c r="G54" s="24"/>
      <c r="H54" s="185"/>
      <c r="I54" s="184"/>
      <c r="J54" s="42">
        <f>VLOOKUP($B$30:$B$104,'Alberta Equip. Rates Year 3'!$B$13:$K$314,10,FALSE)</f>
        <v>0</v>
      </c>
      <c r="K54" s="181">
        <f t="shared" ref="K54" si="8">(H54+I54)*J54</f>
        <v>0</v>
      </c>
    </row>
    <row r="55" spans="1:11" ht="15" customHeight="1">
      <c r="A55" s="43"/>
      <c r="B55" s="49">
        <f>VLOOKUP($C$30:$C$104,Equipment!$A$1:$B$2327,2,FALSE)</f>
        <v>0</v>
      </c>
      <c r="C55" s="24"/>
      <c r="D55" s="24"/>
      <c r="E55" s="24"/>
      <c r="F55" s="24"/>
      <c r="G55" s="24"/>
      <c r="H55" s="185"/>
      <c r="I55" s="184"/>
      <c r="J55" s="42">
        <f>VLOOKUP($B$30:$B$104,'Alberta Equip. Rates Year 3'!$B$13:$K$314,10,FALSE)</f>
        <v>0</v>
      </c>
      <c r="K55" s="181">
        <f t="shared" si="2"/>
        <v>0</v>
      </c>
    </row>
    <row r="56" spans="1:11" ht="15" customHeight="1">
      <c r="A56" s="43"/>
      <c r="B56" s="49">
        <f>VLOOKUP($C$30:$C$104,Equipment!$A$1:$B$2327,2,FALSE)</f>
        <v>0</v>
      </c>
      <c r="C56" s="24"/>
      <c r="D56" s="24"/>
      <c r="E56" s="24"/>
      <c r="F56" s="24"/>
      <c r="G56" s="24"/>
      <c r="H56" s="185"/>
      <c r="I56" s="184"/>
      <c r="J56" s="42">
        <f>VLOOKUP($B$30:$B$104,'Alberta Equip. Rates Year 3'!$B$13:$K$314,10,FALSE)</f>
        <v>0</v>
      </c>
      <c r="K56" s="181">
        <f t="shared" ref="K56:K71" si="9">(H56+I56)*J56</f>
        <v>0</v>
      </c>
    </row>
    <row r="57" spans="1:11" ht="15" customHeight="1">
      <c r="A57" s="43"/>
      <c r="B57" s="49">
        <f>VLOOKUP($C$30:$C$104,Equipment!$A$1:$B$2327,2,FALSE)</f>
        <v>0</v>
      </c>
      <c r="C57" s="24"/>
      <c r="D57" s="24"/>
      <c r="E57" s="24"/>
      <c r="F57" s="24"/>
      <c r="G57" s="24"/>
      <c r="H57" s="185"/>
      <c r="I57" s="184"/>
      <c r="J57" s="42">
        <f>VLOOKUP($B$30:$B$104,'Alberta Equip. Rates Year 3'!$B$13:$K$314,10,FALSE)</f>
        <v>0</v>
      </c>
      <c r="K57" s="181">
        <f t="shared" ref="K57" si="10">(H57+I57)*J57</f>
        <v>0</v>
      </c>
    </row>
    <row r="58" spans="1:11" ht="15" customHeight="1">
      <c r="A58" s="43"/>
      <c r="B58" s="49">
        <f>VLOOKUP($C$30:$C$104,Equipment!$A$1:$B$2327,2,FALSE)</f>
        <v>0</v>
      </c>
      <c r="C58" s="24"/>
      <c r="D58" s="24"/>
      <c r="E58" s="24"/>
      <c r="F58" s="24"/>
      <c r="G58" s="24"/>
      <c r="H58" s="185"/>
      <c r="I58" s="184"/>
      <c r="J58" s="42">
        <f>VLOOKUP($B$30:$B$104,'Alberta Equip. Rates Year 3'!$B$13:$K$314,10,FALSE)</f>
        <v>0</v>
      </c>
      <c r="K58" s="181">
        <f>(H58+I58)*J58</f>
        <v>0</v>
      </c>
    </row>
    <row r="59" spans="1:11" ht="15" customHeight="1">
      <c r="A59" s="43"/>
      <c r="B59" s="49">
        <f>VLOOKUP($C$30:$C$104,Equipment!$A$1:$B$2327,2,FALSE)</f>
        <v>0</v>
      </c>
      <c r="C59" s="24"/>
      <c r="D59" s="24"/>
      <c r="E59" s="24"/>
      <c r="F59" s="24"/>
      <c r="G59" s="24"/>
      <c r="H59" s="185"/>
      <c r="I59" s="184"/>
      <c r="J59" s="42">
        <f>VLOOKUP($B$30:$B$104,'Alberta Equip. Rates Year 3'!$B$13:$K$314,10,FALSE)</f>
        <v>0</v>
      </c>
      <c r="K59" s="181">
        <f t="shared" si="9"/>
        <v>0</v>
      </c>
    </row>
    <row r="60" spans="1:11" ht="15" customHeight="1">
      <c r="A60" s="43"/>
      <c r="B60" s="49">
        <f>VLOOKUP($C$30:$C$104,Equipment!$A$1:$B$2327,2,FALSE)</f>
        <v>0</v>
      </c>
      <c r="C60" s="24"/>
      <c r="D60" s="24"/>
      <c r="E60" s="24"/>
      <c r="F60" s="24"/>
      <c r="G60" s="24"/>
      <c r="H60" s="185"/>
      <c r="I60" s="184"/>
      <c r="J60" s="42">
        <f>VLOOKUP($B$30:$B$104,'Alberta Equip. Rates Year 3'!$B$13:$K$314,10,FALSE)</f>
        <v>0</v>
      </c>
      <c r="K60" s="181">
        <f>(H60+I60)*J60</f>
        <v>0</v>
      </c>
    </row>
    <row r="61" spans="1:11" ht="15" customHeight="1">
      <c r="A61" s="43"/>
      <c r="B61" s="49">
        <f>VLOOKUP($C$30:$C$104,Equipment!$A$1:$B$2327,2,FALSE)</f>
        <v>0</v>
      </c>
      <c r="C61" s="24"/>
      <c r="D61" s="24"/>
      <c r="E61" s="24"/>
      <c r="F61" s="24"/>
      <c r="G61" s="24"/>
      <c r="H61" s="185"/>
      <c r="I61" s="184"/>
      <c r="J61" s="42">
        <f>VLOOKUP($B$30:$B$104,'Alberta Equip. Rates Year 3'!$B$13:$K$314,10,FALSE)</f>
        <v>0</v>
      </c>
      <c r="K61" s="181">
        <f>(H61+I61)*J61</f>
        <v>0</v>
      </c>
    </row>
    <row r="62" spans="1:11" ht="15" customHeight="1">
      <c r="A62" s="43"/>
      <c r="B62" s="49">
        <f>VLOOKUP($C$30:$C$104,Equipment!$A$1:$B$2327,2,FALSE)</f>
        <v>0</v>
      </c>
      <c r="C62" s="24"/>
      <c r="D62" s="24"/>
      <c r="E62" s="24"/>
      <c r="F62" s="24"/>
      <c r="G62" s="24"/>
      <c r="H62" s="185"/>
      <c r="I62" s="184"/>
      <c r="J62" s="42">
        <f>VLOOKUP($B$30:$B$104,'Alberta Equip. Rates Year 3'!$B$13:$K$314,10,FALSE)</f>
        <v>0</v>
      </c>
      <c r="K62" s="181">
        <f t="shared" ref="K62" si="11">(H62+I62)*J62</f>
        <v>0</v>
      </c>
    </row>
    <row r="63" spans="1:11" ht="15" customHeight="1">
      <c r="A63" s="43"/>
      <c r="B63" s="49">
        <f>VLOOKUP($C$30:$C$104,Equipment!$A$1:$B$2327,2,FALSE)</f>
        <v>0</v>
      </c>
      <c r="C63" s="24"/>
      <c r="D63" s="24"/>
      <c r="E63" s="24"/>
      <c r="F63" s="24"/>
      <c r="G63" s="24"/>
      <c r="H63" s="185"/>
      <c r="I63" s="184"/>
      <c r="J63" s="42">
        <f>VLOOKUP($B$30:$B$104,'Alberta Equip. Rates Year 3'!$B$13:$K$314,10,FALSE)</f>
        <v>0</v>
      </c>
      <c r="K63" s="181">
        <f t="shared" ref="K63" si="12">(H63+I63)*J63</f>
        <v>0</v>
      </c>
    </row>
    <row r="64" spans="1:11" ht="15" customHeight="1">
      <c r="A64" s="43"/>
      <c r="B64" s="49">
        <f>VLOOKUP($C$30:$C$104,Equipment!$A$1:$B$2327,2,FALSE)</f>
        <v>0</v>
      </c>
      <c r="C64" s="24"/>
      <c r="D64" s="24"/>
      <c r="E64" s="24"/>
      <c r="F64" s="24"/>
      <c r="G64" s="24"/>
      <c r="H64" s="185"/>
      <c r="I64" s="184"/>
      <c r="J64" s="42">
        <f>VLOOKUP($B$30:$B$104,'Alberta Equip. Rates Year 3'!$B$13:$K$314,10,FALSE)</f>
        <v>0</v>
      </c>
      <c r="K64" s="181">
        <f t="shared" si="9"/>
        <v>0</v>
      </c>
    </row>
    <row r="65" spans="1:11" ht="15" customHeight="1">
      <c r="A65" s="43"/>
      <c r="B65" s="49">
        <f>VLOOKUP($C$30:$C$104,Equipment!$A$1:$B$2327,2,FALSE)</f>
        <v>0</v>
      </c>
      <c r="C65" s="24"/>
      <c r="D65" s="24"/>
      <c r="E65" s="24"/>
      <c r="F65" s="24"/>
      <c r="G65" s="24"/>
      <c r="H65" s="185"/>
      <c r="I65" s="184"/>
      <c r="J65" s="42">
        <f>VLOOKUP($B$30:$B$104,'Alberta Equip. Rates Year 3'!$B$13:$K$314,10,FALSE)</f>
        <v>0</v>
      </c>
      <c r="K65" s="181">
        <f t="shared" si="9"/>
        <v>0</v>
      </c>
    </row>
    <row r="66" spans="1:11" ht="15" customHeight="1">
      <c r="A66" s="43"/>
      <c r="B66" s="49">
        <f>VLOOKUP($C$30:$C$104,Equipment!$A$1:$B$2327,2,FALSE)</f>
        <v>0</v>
      </c>
      <c r="C66" s="24"/>
      <c r="D66" s="24"/>
      <c r="E66" s="24"/>
      <c r="F66" s="24"/>
      <c r="G66" s="24"/>
      <c r="H66" s="185"/>
      <c r="I66" s="184"/>
      <c r="J66" s="42">
        <f>VLOOKUP($B$30:$B$104,'Alberta Equip. Rates Year 3'!$B$13:$K$314,10,FALSE)</f>
        <v>0</v>
      </c>
      <c r="K66" s="181">
        <f t="shared" ref="K66" si="13">(H66+I66)*J66</f>
        <v>0</v>
      </c>
    </row>
    <row r="67" spans="1:11" ht="15" customHeight="1">
      <c r="A67" s="43"/>
      <c r="B67" s="49">
        <f>VLOOKUP($C$30:$C$104,Equipment!$A$1:$B$2327,2,FALSE)</f>
        <v>0</v>
      </c>
      <c r="C67" s="24"/>
      <c r="D67" s="24"/>
      <c r="E67" s="24"/>
      <c r="F67" s="24"/>
      <c r="G67" s="24"/>
      <c r="H67" s="185"/>
      <c r="I67" s="184"/>
      <c r="J67" s="42">
        <f>VLOOKUP($B$30:$B$104,'Alberta Equip. Rates Year 3'!$B$13:$K$314,10,FALSE)</f>
        <v>0</v>
      </c>
      <c r="K67" s="181">
        <f t="shared" si="9"/>
        <v>0</v>
      </c>
    </row>
    <row r="68" spans="1:11" ht="15" customHeight="1">
      <c r="A68" s="43"/>
      <c r="B68" s="49">
        <f>VLOOKUP($C$30:$C$104,Equipment!$A$1:$B$2327,2,FALSE)</f>
        <v>0</v>
      </c>
      <c r="C68" s="24"/>
      <c r="D68" s="24"/>
      <c r="E68" s="24"/>
      <c r="F68" s="24"/>
      <c r="G68" s="24"/>
      <c r="H68" s="185"/>
      <c r="I68" s="184"/>
      <c r="J68" s="42">
        <f>VLOOKUP($B$30:$B$104,'Alberta Equip. Rates Year 3'!$B$13:$K$314,10,FALSE)</f>
        <v>0</v>
      </c>
      <c r="K68" s="181">
        <f>(H68+I68)*J68</f>
        <v>0</v>
      </c>
    </row>
    <row r="69" spans="1:11" ht="15" customHeight="1">
      <c r="A69" s="43"/>
      <c r="B69" s="49">
        <f>VLOOKUP($C$30:$C$104,Equipment!$A$1:$B$2327,2,FALSE)</f>
        <v>0</v>
      </c>
      <c r="C69" s="24"/>
      <c r="D69" s="24"/>
      <c r="E69" s="24"/>
      <c r="F69" s="24"/>
      <c r="G69" s="24"/>
      <c r="H69" s="185"/>
      <c r="I69" s="184"/>
      <c r="J69" s="42">
        <f>VLOOKUP($B$30:$B$104,'Alberta Equip. Rates Year 3'!$B$13:$K$314,10,FALSE)</f>
        <v>0</v>
      </c>
      <c r="K69" s="181">
        <f>(H69+I69)*J69</f>
        <v>0</v>
      </c>
    </row>
    <row r="70" spans="1:11" ht="15" customHeight="1">
      <c r="A70" s="43"/>
      <c r="B70" s="49">
        <f>VLOOKUP($C$30:$C$104,Equipment!$A$1:$B$2327,2,FALSE)</f>
        <v>0</v>
      </c>
      <c r="C70" s="24"/>
      <c r="D70" s="24"/>
      <c r="E70" s="24"/>
      <c r="F70" s="24"/>
      <c r="G70" s="24"/>
      <c r="H70" s="185"/>
      <c r="I70" s="184"/>
      <c r="J70" s="42">
        <f>VLOOKUP($B$30:$B$104,'Alberta Equip. Rates Year 3'!$B$13:$K$314,10,FALSE)</f>
        <v>0</v>
      </c>
      <c r="K70" s="181">
        <f t="shared" si="9"/>
        <v>0</v>
      </c>
    </row>
    <row r="71" spans="1:11" ht="15" customHeight="1">
      <c r="A71" s="43"/>
      <c r="B71" s="49">
        <f>VLOOKUP($C$30:$C$104,Equipment!$A$1:$B$2327,2,FALSE)</f>
        <v>0</v>
      </c>
      <c r="C71" s="24"/>
      <c r="D71" s="24"/>
      <c r="E71" s="24"/>
      <c r="F71" s="24"/>
      <c r="G71" s="24"/>
      <c r="H71" s="185"/>
      <c r="I71" s="184"/>
      <c r="J71" s="42">
        <f>VLOOKUP($B$30:$B$104,'Alberta Equip. Rates Year 3'!$B$13:$K$314,10,FALSE)</f>
        <v>0</v>
      </c>
      <c r="K71" s="181">
        <f t="shared" si="9"/>
        <v>0</v>
      </c>
    </row>
    <row r="72" spans="1:11" ht="15" customHeight="1">
      <c r="A72" s="43"/>
      <c r="B72" s="49">
        <f>VLOOKUP($C$30:$C$104,Equipment!$A$1:$B$2327,2,FALSE)</f>
        <v>0</v>
      </c>
      <c r="C72" s="24"/>
      <c r="D72" s="24"/>
      <c r="E72" s="24"/>
      <c r="F72" s="24"/>
      <c r="G72" s="24"/>
      <c r="H72" s="185"/>
      <c r="I72" s="184"/>
      <c r="J72" s="42">
        <f>VLOOKUP($B$30:$B$104,'Alberta Equip. Rates Year 3'!$B$13:$K$314,10,FALSE)</f>
        <v>0</v>
      </c>
      <c r="K72" s="181">
        <f>(H72+I72)*J72</f>
        <v>0</v>
      </c>
    </row>
    <row r="73" spans="1:11" ht="15" customHeight="1">
      <c r="A73" s="43"/>
      <c r="B73" s="49">
        <f>VLOOKUP($C$30:$C$104,Equipment!$A$1:$B$2327,2,FALSE)</f>
        <v>0</v>
      </c>
      <c r="C73" s="24"/>
      <c r="D73" s="24"/>
      <c r="E73" s="24"/>
      <c r="F73" s="24"/>
      <c r="G73" s="24"/>
      <c r="H73" s="185"/>
      <c r="I73" s="184"/>
      <c r="J73" s="42">
        <f>VLOOKUP($B$30:$B$104,'Alberta Equip. Rates Year 3'!$B$13:$K$314,10,FALSE)</f>
        <v>0</v>
      </c>
      <c r="K73" s="181">
        <f>(H73+I73)*J73</f>
        <v>0</v>
      </c>
    </row>
    <row r="74" spans="1:11" ht="15" customHeight="1">
      <c r="A74" s="43"/>
      <c r="B74" s="49">
        <f>VLOOKUP($C$30:$C$104,Equipment!$A$1:$B$2327,2,FALSE)</f>
        <v>0</v>
      </c>
      <c r="C74" s="24"/>
      <c r="D74" s="24"/>
      <c r="E74" s="24"/>
      <c r="F74" s="24"/>
      <c r="G74" s="24"/>
      <c r="H74" s="185"/>
      <c r="I74" s="184"/>
      <c r="J74" s="42">
        <f>VLOOKUP($B$30:$B$104,'Alberta Equip. Rates Year 3'!$B$13:$K$314,10,FALSE)</f>
        <v>0</v>
      </c>
      <c r="K74" s="181">
        <f>(H74+I74)*J74</f>
        <v>0</v>
      </c>
    </row>
    <row r="75" spans="1:11" ht="15" customHeight="1">
      <c r="A75" s="43"/>
      <c r="B75" s="49">
        <f>VLOOKUP($C$30:$C$104,Equipment!$A$1:$B$2327,2,FALSE)</f>
        <v>0</v>
      </c>
      <c r="C75" s="24"/>
      <c r="D75" s="24"/>
      <c r="E75" s="24"/>
      <c r="F75" s="24"/>
      <c r="G75" s="24"/>
      <c r="H75" s="185"/>
      <c r="I75" s="184"/>
      <c r="J75" s="42">
        <f>VLOOKUP($B$30:$B$104,'Alberta Equip. Rates Year 3'!$B$13:$K$314,10,FALSE)</f>
        <v>0</v>
      </c>
      <c r="K75" s="181">
        <f t="shared" ref="K75:K104" si="14">(H75+I75)*J75</f>
        <v>0</v>
      </c>
    </row>
    <row r="76" spans="1:11" ht="15" customHeight="1">
      <c r="A76" s="43"/>
      <c r="B76" s="49">
        <f>VLOOKUP($C$30:$C$104,Equipment!$A$1:$B$2327,2,FALSE)</f>
        <v>0</v>
      </c>
      <c r="C76" s="24"/>
      <c r="D76" s="24"/>
      <c r="E76" s="24"/>
      <c r="F76" s="24"/>
      <c r="G76" s="24"/>
      <c r="H76" s="185"/>
      <c r="I76" s="184"/>
      <c r="J76" s="42">
        <f>VLOOKUP($B$30:$B$104,'Alberta Equip. Rates Year 3'!$B$13:$K$314,10,FALSE)</f>
        <v>0</v>
      </c>
      <c r="K76" s="181">
        <f t="shared" si="14"/>
        <v>0</v>
      </c>
    </row>
    <row r="77" spans="1:11" ht="15" customHeight="1">
      <c r="A77" s="43"/>
      <c r="B77" s="49">
        <f>VLOOKUP($C$30:$C$104,Equipment!$A$1:$B$2327,2,FALSE)</f>
        <v>0</v>
      </c>
      <c r="C77" s="24"/>
      <c r="D77" s="24"/>
      <c r="E77" s="24"/>
      <c r="F77" s="24"/>
      <c r="G77" s="24"/>
      <c r="H77" s="185"/>
      <c r="I77" s="184"/>
      <c r="J77" s="42">
        <f>VLOOKUP($B$30:$B$104,'Alberta Equip. Rates Year 3'!$B$13:$K$314,10,FALSE)</f>
        <v>0</v>
      </c>
      <c r="K77" s="181">
        <f t="shared" si="14"/>
        <v>0</v>
      </c>
    </row>
    <row r="78" spans="1:11" ht="15" customHeight="1">
      <c r="A78" s="43"/>
      <c r="B78" s="49">
        <f>VLOOKUP($C$30:$C$104,Equipment!$A$1:$B$2327,2,FALSE)</f>
        <v>0</v>
      </c>
      <c r="C78" s="24"/>
      <c r="D78" s="24"/>
      <c r="E78" s="24"/>
      <c r="F78" s="24"/>
      <c r="G78" s="24"/>
      <c r="H78" s="185"/>
      <c r="I78" s="184"/>
      <c r="J78" s="42">
        <f>VLOOKUP($B$30:$B$104,'Alberta Equip. Rates Year 3'!$B$13:$K$314,10,FALSE)</f>
        <v>0</v>
      </c>
      <c r="K78" s="181">
        <f t="shared" si="14"/>
        <v>0</v>
      </c>
    </row>
    <row r="79" spans="1:11" ht="15" customHeight="1">
      <c r="A79" s="43"/>
      <c r="B79" s="49">
        <f>VLOOKUP($C$30:$C$104,Equipment!$A$1:$B$2327,2,FALSE)</f>
        <v>0</v>
      </c>
      <c r="C79" s="24"/>
      <c r="D79" s="24"/>
      <c r="E79" s="24"/>
      <c r="F79" s="24"/>
      <c r="G79" s="24"/>
      <c r="H79" s="185"/>
      <c r="I79" s="184"/>
      <c r="J79" s="42">
        <f>VLOOKUP($B$30:$B$104,'Alberta Equip. Rates Year 3'!$B$13:$K$314,10,FALSE)</f>
        <v>0</v>
      </c>
      <c r="K79" s="181">
        <f t="shared" si="14"/>
        <v>0</v>
      </c>
    </row>
    <row r="80" spans="1:11" ht="15" customHeight="1">
      <c r="A80" s="43"/>
      <c r="B80" s="49">
        <f>VLOOKUP($C$30:$C$104,Equipment!$A$1:$B$2327,2,FALSE)</f>
        <v>0</v>
      </c>
      <c r="C80" s="24"/>
      <c r="D80" s="24"/>
      <c r="E80" s="24"/>
      <c r="F80" s="24"/>
      <c r="G80" s="24"/>
      <c r="H80" s="185"/>
      <c r="I80" s="184"/>
      <c r="J80" s="42">
        <f>VLOOKUP($B$30:$B$104,'Alberta Equip. Rates Year 3'!$B$13:$K$314,10,FALSE)</f>
        <v>0</v>
      </c>
      <c r="K80" s="181">
        <f t="shared" si="14"/>
        <v>0</v>
      </c>
    </row>
    <row r="81" spans="1:11" ht="15" customHeight="1">
      <c r="A81" s="43"/>
      <c r="B81" s="49">
        <f>VLOOKUP($C$30:$C$104,Equipment!$A$1:$B$2327,2,FALSE)</f>
        <v>0</v>
      </c>
      <c r="C81" s="24"/>
      <c r="D81" s="24"/>
      <c r="E81" s="24"/>
      <c r="F81" s="24"/>
      <c r="G81" s="24"/>
      <c r="H81" s="185"/>
      <c r="I81" s="184"/>
      <c r="J81" s="42">
        <f>VLOOKUP($B$30:$B$104,'Alberta Equip. Rates Year 3'!$B$13:$K$314,10,FALSE)</f>
        <v>0</v>
      </c>
      <c r="K81" s="181">
        <f>(H81+I81)*J81</f>
        <v>0</v>
      </c>
    </row>
    <row r="82" spans="1:11" ht="15" customHeight="1">
      <c r="A82" s="43"/>
      <c r="B82" s="49">
        <f>VLOOKUP($C$30:$C$104,Equipment!$A$1:$B$2327,2,FALSE)</f>
        <v>0</v>
      </c>
      <c r="C82" s="24"/>
      <c r="D82" s="24"/>
      <c r="E82" s="24"/>
      <c r="F82" s="24"/>
      <c r="G82" s="24"/>
      <c r="H82" s="185"/>
      <c r="I82" s="184"/>
      <c r="J82" s="42">
        <f>VLOOKUP($B$30:$B$104,'Alberta Equip. Rates Year 3'!$B$13:$K$314,10,FALSE)</f>
        <v>0</v>
      </c>
      <c r="K82" s="181">
        <f>(H82+I82)*J82</f>
        <v>0</v>
      </c>
    </row>
    <row r="83" spans="1:11" ht="15" customHeight="1">
      <c r="A83" s="43"/>
      <c r="B83" s="49">
        <f>VLOOKUP($C$30:$C$104,Equipment!$A$1:$B$2327,2,FALSE)</f>
        <v>0</v>
      </c>
      <c r="C83" s="24"/>
      <c r="D83" s="24"/>
      <c r="E83" s="24"/>
      <c r="F83" s="24"/>
      <c r="G83" s="24"/>
      <c r="H83" s="185"/>
      <c r="I83" s="184"/>
      <c r="J83" s="42">
        <f>VLOOKUP($B$30:$B$104,'Alberta Equip. Rates Year 3'!$B$13:$K$314,10,FALSE)</f>
        <v>0</v>
      </c>
      <c r="K83" s="181">
        <f>(H83+I83)*J83</f>
        <v>0</v>
      </c>
    </row>
    <row r="84" spans="1:11" ht="15" customHeight="1">
      <c r="A84" s="43"/>
      <c r="B84" s="49">
        <f>VLOOKUP($C$30:$C$104,Equipment!$A$1:$B$2327,2,FALSE)</f>
        <v>0</v>
      </c>
      <c r="C84" s="24"/>
      <c r="D84" s="24"/>
      <c r="E84" s="24"/>
      <c r="F84" s="24"/>
      <c r="G84" s="24"/>
      <c r="H84" s="185"/>
      <c r="I84" s="184"/>
      <c r="J84" s="42">
        <f>VLOOKUP($B$30:$B$104,'Alberta Equip. Rates Year 3'!$B$13:$K$314,10,FALSE)</f>
        <v>0</v>
      </c>
      <c r="K84" s="181">
        <f t="shared" si="14"/>
        <v>0</v>
      </c>
    </row>
    <row r="85" spans="1:11" ht="15" customHeight="1">
      <c r="A85" s="43"/>
      <c r="B85" s="49">
        <f>VLOOKUP($C$30:$C$104,Equipment!$A$1:$B$2327,2,FALSE)</f>
        <v>0</v>
      </c>
      <c r="C85" s="24"/>
      <c r="D85" s="24"/>
      <c r="E85" s="24"/>
      <c r="F85" s="24"/>
      <c r="G85" s="24"/>
      <c r="H85" s="185"/>
      <c r="I85" s="184"/>
      <c r="J85" s="42">
        <f>VLOOKUP($B$30:$B$104,'Alberta Equip. Rates Year 3'!$B$13:$K$314,10,FALSE)</f>
        <v>0</v>
      </c>
      <c r="K85" s="181">
        <f t="shared" si="14"/>
        <v>0</v>
      </c>
    </row>
    <row r="86" spans="1:11" ht="15" customHeight="1">
      <c r="A86" s="43"/>
      <c r="B86" s="49">
        <f>VLOOKUP($C$30:$C$104,Equipment!$A$1:$B$2327,2,FALSE)</f>
        <v>0</v>
      </c>
      <c r="C86" s="24"/>
      <c r="D86" s="24"/>
      <c r="E86" s="24"/>
      <c r="F86" s="24"/>
      <c r="G86" s="24"/>
      <c r="H86" s="185"/>
      <c r="I86" s="184"/>
      <c r="J86" s="42">
        <f>VLOOKUP($B$30:$B$104,'Alberta Equip. Rates Year 3'!$B$13:$K$314,10,FALSE)</f>
        <v>0</v>
      </c>
      <c r="K86" s="181">
        <f t="shared" ref="K86:K90" si="15">(H86+I86)*J86</f>
        <v>0</v>
      </c>
    </row>
    <row r="87" spans="1:11" ht="15" customHeight="1">
      <c r="A87" s="43"/>
      <c r="B87" s="49">
        <f>VLOOKUP($C$30:$C$104,Equipment!$A$1:$B$2327,2,FALSE)</f>
        <v>0</v>
      </c>
      <c r="C87" s="24"/>
      <c r="D87" s="24"/>
      <c r="E87" s="24"/>
      <c r="F87" s="24"/>
      <c r="G87" s="24"/>
      <c r="H87" s="185"/>
      <c r="I87" s="184"/>
      <c r="J87" s="42">
        <f>VLOOKUP($B$30:$B$104,'Alberta Equip. Rates Year 3'!$B$13:$K$314,10,FALSE)</f>
        <v>0</v>
      </c>
      <c r="K87" s="181">
        <f t="shared" si="15"/>
        <v>0</v>
      </c>
    </row>
    <row r="88" spans="1:11" ht="15" customHeight="1">
      <c r="A88" s="43"/>
      <c r="B88" s="49">
        <f>VLOOKUP($C$30:$C$104,Equipment!$A$1:$B$2327,2,FALSE)</f>
        <v>0</v>
      </c>
      <c r="C88" s="24"/>
      <c r="D88" s="24"/>
      <c r="E88" s="24"/>
      <c r="F88" s="24"/>
      <c r="G88" s="24"/>
      <c r="H88" s="185"/>
      <c r="I88" s="184"/>
      <c r="J88" s="42">
        <f>VLOOKUP($B$30:$B$104,'Alberta Equip. Rates Year 3'!$B$13:$K$314,10,FALSE)</f>
        <v>0</v>
      </c>
      <c r="K88" s="181">
        <f t="shared" si="15"/>
        <v>0</v>
      </c>
    </row>
    <row r="89" spans="1:11" ht="15" customHeight="1">
      <c r="A89" s="43"/>
      <c r="B89" s="49">
        <f>VLOOKUP($C$30:$C$104,Equipment!$A$1:$B$2327,2,FALSE)</f>
        <v>0</v>
      </c>
      <c r="C89" s="24"/>
      <c r="D89" s="24"/>
      <c r="E89" s="24"/>
      <c r="F89" s="24"/>
      <c r="G89" s="24"/>
      <c r="H89" s="185"/>
      <c r="I89" s="184"/>
      <c r="J89" s="42">
        <f>VLOOKUP($B$30:$B$104,'Alberta Equip. Rates Year 3'!$B$13:$K$314,10,FALSE)</f>
        <v>0</v>
      </c>
      <c r="K89" s="181">
        <f t="shared" si="15"/>
        <v>0</v>
      </c>
    </row>
    <row r="90" spans="1:11" ht="15" customHeight="1">
      <c r="A90" s="43"/>
      <c r="B90" s="49">
        <f>VLOOKUP($C$30:$C$104,Equipment!$A$1:$B$2327,2,FALSE)</f>
        <v>0</v>
      </c>
      <c r="C90" s="24"/>
      <c r="D90" s="24"/>
      <c r="E90" s="24"/>
      <c r="F90" s="24"/>
      <c r="G90" s="24"/>
      <c r="H90" s="185"/>
      <c r="I90" s="184"/>
      <c r="J90" s="42">
        <f>VLOOKUP($B$30:$B$104,'Alberta Equip. Rates Year 3'!$B$13:$K$314,10,FALSE)</f>
        <v>0</v>
      </c>
      <c r="K90" s="181">
        <f t="shared" si="15"/>
        <v>0</v>
      </c>
    </row>
    <row r="91" spans="1:11" ht="15" customHeight="1">
      <c r="A91" s="43"/>
      <c r="B91" s="49">
        <f>VLOOKUP($C$30:$C$104,Equipment!$A$1:$B$2327,2,FALSE)</f>
        <v>0</v>
      </c>
      <c r="C91" s="24"/>
      <c r="D91" s="24"/>
      <c r="E91" s="24"/>
      <c r="F91" s="24"/>
      <c r="G91" s="24"/>
      <c r="H91" s="185"/>
      <c r="I91" s="184"/>
      <c r="J91" s="42">
        <f>VLOOKUP($B$30:$B$104,'Alberta Equip. Rates Year 3'!$B$13:$K$314,10,FALSE)</f>
        <v>0</v>
      </c>
      <c r="K91" s="181">
        <f t="shared" si="14"/>
        <v>0</v>
      </c>
    </row>
    <row r="92" spans="1:11" ht="15" customHeight="1">
      <c r="A92" s="43"/>
      <c r="B92" s="49">
        <f>VLOOKUP($C$30:$C$104,Equipment!$A$1:$B$2327,2,FALSE)</f>
        <v>0</v>
      </c>
      <c r="C92" s="24"/>
      <c r="D92" s="24"/>
      <c r="E92" s="24"/>
      <c r="F92" s="24"/>
      <c r="G92" s="24"/>
      <c r="H92" s="185"/>
      <c r="I92" s="184"/>
      <c r="J92" s="42">
        <f>VLOOKUP($B$30:$B$104,'Alberta Equip. Rates Year 3'!$B$13:$K$314,10,FALSE)</f>
        <v>0</v>
      </c>
      <c r="K92" s="181">
        <f t="shared" si="14"/>
        <v>0</v>
      </c>
    </row>
    <row r="93" spans="1:11" ht="15" customHeight="1">
      <c r="A93" s="43"/>
      <c r="B93" s="49">
        <f>VLOOKUP($C$30:$C$104,Equipment!$A$1:$B$2327,2,FALSE)</f>
        <v>0</v>
      </c>
      <c r="C93" s="24"/>
      <c r="D93" s="24"/>
      <c r="E93" s="24"/>
      <c r="F93" s="24"/>
      <c r="G93" s="24"/>
      <c r="H93" s="185"/>
      <c r="I93" s="184"/>
      <c r="J93" s="42">
        <f>VLOOKUP($B$30:$B$104,'Alberta Equip. Rates Year 3'!$B$13:$K$314,10,FALSE)</f>
        <v>0</v>
      </c>
      <c r="K93" s="181">
        <f t="shared" si="14"/>
        <v>0</v>
      </c>
    </row>
    <row r="94" spans="1:11" ht="15" customHeight="1">
      <c r="A94" s="43"/>
      <c r="B94" s="49">
        <f>VLOOKUP($C$30:$C$104,Equipment!$A$1:$B$2327,2,FALSE)</f>
        <v>0</v>
      </c>
      <c r="C94" s="24"/>
      <c r="D94" s="24"/>
      <c r="E94" s="24"/>
      <c r="F94" s="24"/>
      <c r="G94" s="24"/>
      <c r="H94" s="185"/>
      <c r="I94" s="184"/>
      <c r="J94" s="42">
        <f>VLOOKUP($B$30:$B$104,'Alberta Equip. Rates Year 3'!$B$13:$K$314,10,FALSE)</f>
        <v>0</v>
      </c>
      <c r="K94" s="181">
        <f t="shared" si="14"/>
        <v>0</v>
      </c>
    </row>
    <row r="95" spans="1:11" ht="15" customHeight="1">
      <c r="A95" s="43"/>
      <c r="B95" s="49">
        <f>VLOOKUP($C$30:$C$104,Equipment!$A$1:$B$2327,2,FALSE)</f>
        <v>0</v>
      </c>
      <c r="C95" s="24"/>
      <c r="D95" s="24"/>
      <c r="E95" s="24"/>
      <c r="F95" s="24"/>
      <c r="G95" s="24"/>
      <c r="H95" s="185"/>
      <c r="I95" s="184"/>
      <c r="J95" s="42">
        <f>VLOOKUP($B$30:$B$104,'Alberta Equip. Rates Year 3'!$B$13:$K$314,10,FALSE)</f>
        <v>0</v>
      </c>
      <c r="K95" s="181">
        <f t="shared" ref="K95" si="16">(H95+I95)*J95</f>
        <v>0</v>
      </c>
    </row>
    <row r="96" spans="1:11" ht="15" customHeight="1">
      <c r="A96" s="43"/>
      <c r="B96" s="49">
        <f>VLOOKUP($C$30:$C$104,Equipment!$A$1:$B$2327,2,FALSE)</f>
        <v>0</v>
      </c>
      <c r="C96" s="24"/>
      <c r="D96" s="24"/>
      <c r="E96" s="24"/>
      <c r="F96" s="24"/>
      <c r="G96" s="24"/>
      <c r="H96" s="185"/>
      <c r="I96" s="184"/>
      <c r="J96" s="42">
        <f>VLOOKUP($B$30:$B$104,'Alberta Equip. Rates Year 3'!$B$13:$K$314,10,FALSE)</f>
        <v>0</v>
      </c>
      <c r="K96" s="181">
        <f t="shared" ref="K96:K103" si="17">(H96+I96)*J96</f>
        <v>0</v>
      </c>
    </row>
    <row r="97" spans="1:11" ht="15" customHeight="1">
      <c r="A97" s="43"/>
      <c r="B97" s="49">
        <f>VLOOKUP($C$30:$C$104,Equipment!$A$1:$B$2322,2,FALSE)</f>
        <v>0</v>
      </c>
      <c r="C97" s="24"/>
      <c r="D97" s="24"/>
      <c r="E97" s="24"/>
      <c r="F97" s="24"/>
      <c r="G97" s="24"/>
      <c r="H97" s="185"/>
      <c r="I97" s="184"/>
      <c r="J97" s="42">
        <f>VLOOKUP($B$30:$B$104,'Alberta Equip. Rates Year 3'!$B$13:$K$314,10,FALSE)</f>
        <v>0</v>
      </c>
      <c r="K97" s="181">
        <f t="shared" si="17"/>
        <v>0</v>
      </c>
    </row>
    <row r="98" spans="1:11" ht="15" customHeight="1">
      <c r="A98" s="43"/>
      <c r="B98" s="49">
        <f>VLOOKUP($C$30:$C$104,Equipment!$A$1:$B$2322,2,FALSE)</f>
        <v>0</v>
      </c>
      <c r="C98" s="24"/>
      <c r="D98" s="24"/>
      <c r="E98" s="24"/>
      <c r="F98" s="24"/>
      <c r="G98" s="24"/>
      <c r="H98" s="185"/>
      <c r="I98" s="184"/>
      <c r="J98" s="42">
        <f>VLOOKUP($B$30:$B$104,'Alberta Equip. Rates Year 3'!$B$13:$K$314,10,FALSE)</f>
        <v>0</v>
      </c>
      <c r="K98" s="181">
        <f t="shared" si="17"/>
        <v>0</v>
      </c>
    </row>
    <row r="99" spans="1:11" ht="15" customHeight="1">
      <c r="A99" s="43"/>
      <c r="B99" s="49">
        <f>VLOOKUP($C$30:$C$104,Equipment!$A$1:$B$2322,2,FALSE)</f>
        <v>0</v>
      </c>
      <c r="C99" s="24"/>
      <c r="D99" s="24"/>
      <c r="E99" s="24"/>
      <c r="F99" s="24"/>
      <c r="G99" s="24"/>
      <c r="H99" s="185"/>
      <c r="I99" s="184"/>
      <c r="J99" s="42">
        <f>VLOOKUP($B$30:$B$104,'Alberta Equip. Rates Year 3'!$B$13:$K$314,10,FALSE)</f>
        <v>0</v>
      </c>
      <c r="K99" s="181">
        <f t="shared" si="17"/>
        <v>0</v>
      </c>
    </row>
    <row r="100" spans="1:11" ht="15" customHeight="1">
      <c r="A100" s="43"/>
      <c r="B100" s="49">
        <f>VLOOKUP($C$30:$C$104,Equipment!$A$1:$B$2322,2,FALSE)</f>
        <v>0</v>
      </c>
      <c r="C100" s="24"/>
      <c r="D100" s="24"/>
      <c r="E100" s="24"/>
      <c r="F100" s="24"/>
      <c r="G100" s="24"/>
      <c r="H100" s="185"/>
      <c r="I100" s="184"/>
      <c r="J100" s="42">
        <f>VLOOKUP($B$30:$B$104,'Alberta Equip. Rates Year 3'!$B$13:$K$314,10,FALSE)</f>
        <v>0</v>
      </c>
      <c r="K100" s="181">
        <f t="shared" si="17"/>
        <v>0</v>
      </c>
    </row>
    <row r="101" spans="1:11" ht="15" customHeight="1">
      <c r="A101" s="43"/>
      <c r="B101" s="49">
        <f>VLOOKUP($C$30:$C$104,Equipment!$A$1:$B$2322,2,FALSE)</f>
        <v>0</v>
      </c>
      <c r="C101" s="24"/>
      <c r="D101" s="24"/>
      <c r="E101" s="24"/>
      <c r="F101" s="24"/>
      <c r="G101" s="24"/>
      <c r="H101" s="185"/>
      <c r="I101" s="184"/>
      <c r="J101" s="42">
        <f>VLOOKUP($B$30:$B$104,'Alberta Equip. Rates Year 3'!$B$13:$K$314,10,FALSE)</f>
        <v>0</v>
      </c>
      <c r="K101" s="181">
        <f t="shared" si="17"/>
        <v>0</v>
      </c>
    </row>
    <row r="102" spans="1:11" ht="15" customHeight="1">
      <c r="A102" s="43"/>
      <c r="B102" s="49">
        <f>VLOOKUP($C$30:$C$104,Equipment!$A$1:$B$2322,2,FALSE)</f>
        <v>0</v>
      </c>
      <c r="C102" s="24"/>
      <c r="D102" s="24"/>
      <c r="E102" s="24"/>
      <c r="F102" s="24"/>
      <c r="G102" s="24"/>
      <c r="H102" s="185"/>
      <c r="I102" s="184"/>
      <c r="J102" s="42">
        <f>VLOOKUP($B$30:$B$104,'Alberta Equip. Rates Year 3'!$B$13:$K$314,10,FALSE)</f>
        <v>0</v>
      </c>
      <c r="K102" s="181">
        <f t="shared" si="17"/>
        <v>0</v>
      </c>
    </row>
    <row r="103" spans="1:11" ht="15" customHeight="1">
      <c r="A103" s="43"/>
      <c r="B103" s="49">
        <f>VLOOKUP($C$30:$C$104,Equipment!$A$1:$B$2322,2,FALSE)</f>
        <v>0</v>
      </c>
      <c r="C103" s="24"/>
      <c r="D103" s="24"/>
      <c r="E103" s="24"/>
      <c r="F103" s="24"/>
      <c r="G103" s="24"/>
      <c r="H103" s="185"/>
      <c r="I103" s="184"/>
      <c r="J103" s="42">
        <f>VLOOKUP($B$30:$B$104,'Alberta Equip. Rates Year 3'!$B$13:$K$314,10,FALSE)</f>
        <v>0</v>
      </c>
      <c r="K103" s="181">
        <f t="shared" si="17"/>
        <v>0</v>
      </c>
    </row>
    <row r="104" spans="1:11" ht="15" customHeight="1" thickBot="1">
      <c r="A104" s="43"/>
      <c r="B104" s="49">
        <f>VLOOKUP($C$30:$C$104,Equipment!$A$1:$B$2322,2,FALSE)</f>
        <v>0</v>
      </c>
      <c r="C104" s="24"/>
      <c r="D104" s="24"/>
      <c r="E104" s="24"/>
      <c r="F104" s="24"/>
      <c r="G104" s="24"/>
      <c r="H104" s="185"/>
      <c r="I104" s="184"/>
      <c r="J104" s="42">
        <f>VLOOKUP($B$30:$B$104,'Alberta Equip. Rates Year 3'!$B$13:$K$314,10,FALSE)</f>
        <v>0</v>
      </c>
      <c r="K104" s="181">
        <f t="shared" si="14"/>
        <v>0</v>
      </c>
    </row>
    <row r="105" spans="1:11" ht="12" thickBot="1">
      <c r="A105" s="25"/>
      <c r="B105" s="25"/>
      <c r="C105" s="25"/>
      <c r="D105" s="21"/>
      <c r="E105" s="21"/>
      <c r="F105" s="21"/>
      <c r="G105" s="21"/>
      <c r="H105" s="21"/>
      <c r="I105" s="360" t="s">
        <v>24</v>
      </c>
      <c r="J105" s="361"/>
      <c r="K105" s="182">
        <f>SUM(K30:K104)</f>
        <v>1135.19</v>
      </c>
    </row>
    <row r="106" spans="1:11" ht="12" thickBot="1">
      <c r="A106" s="26"/>
      <c r="D106" s="26"/>
      <c r="I106" s="27"/>
      <c r="J106" s="27"/>
      <c r="K106" s="28"/>
    </row>
    <row r="107" spans="1:11">
      <c r="A107" s="1" t="s">
        <v>25</v>
      </c>
      <c r="B107" s="29"/>
      <c r="D107" s="1"/>
      <c r="E107" s="1"/>
      <c r="F107" s="1"/>
      <c r="G107" s="1"/>
      <c r="H107" s="1"/>
      <c r="I107" s="362" t="s">
        <v>26</v>
      </c>
      <c r="J107" s="362"/>
      <c r="K107" s="37">
        <f>K27</f>
        <v>4990.57</v>
      </c>
    </row>
    <row r="108" spans="1:11">
      <c r="D108" s="1"/>
      <c r="E108" s="1"/>
      <c r="F108" s="1"/>
      <c r="G108" s="1"/>
      <c r="H108" s="1"/>
      <c r="I108" s="362" t="s">
        <v>27</v>
      </c>
      <c r="J108" s="362"/>
      <c r="K108" s="38">
        <f>K105</f>
        <v>1135.19</v>
      </c>
    </row>
    <row r="109" spans="1:11">
      <c r="D109" s="1"/>
      <c r="E109" s="1"/>
      <c r="F109" s="1"/>
      <c r="G109" s="1"/>
      <c r="H109" s="1"/>
      <c r="I109" s="27" t="s">
        <v>28</v>
      </c>
      <c r="J109" s="27"/>
      <c r="K109" s="38">
        <f>(O27)*14.15</f>
        <v>820.7</v>
      </c>
    </row>
    <row r="110" spans="1:11">
      <c r="D110" s="1"/>
      <c r="E110" s="1"/>
      <c r="F110" s="1"/>
      <c r="G110" s="1"/>
      <c r="H110" s="1"/>
      <c r="I110" s="30" t="s">
        <v>29</v>
      </c>
      <c r="J110" s="30"/>
      <c r="K110" s="39"/>
    </row>
    <row r="111" spans="1:11">
      <c r="D111" s="1"/>
      <c r="E111" s="1"/>
      <c r="F111" s="1"/>
      <c r="G111" s="1"/>
      <c r="H111" s="1"/>
      <c r="I111" s="30" t="s">
        <v>30</v>
      </c>
      <c r="J111" s="30"/>
      <c r="K111" s="39"/>
    </row>
    <row r="112" spans="1:11">
      <c r="D112" s="1"/>
      <c r="E112" s="1"/>
      <c r="F112" s="1"/>
      <c r="G112" s="1"/>
      <c r="H112" s="1"/>
      <c r="I112" s="30" t="s">
        <v>31</v>
      </c>
      <c r="J112" s="30"/>
      <c r="K112" s="39"/>
    </row>
    <row r="113" spans="1:11" ht="12" thickBot="1">
      <c r="D113" s="1"/>
      <c r="E113" s="1"/>
      <c r="F113" s="1"/>
      <c r="G113" s="1"/>
      <c r="H113" s="1"/>
      <c r="I113" s="362" t="s">
        <v>32</v>
      </c>
      <c r="J113" s="362"/>
      <c r="K113" s="40">
        <f>SUM(K107:K112)</f>
        <v>6946.46</v>
      </c>
    </row>
    <row r="114" spans="1:11">
      <c r="D114" s="1"/>
      <c r="E114" s="1"/>
      <c r="F114" s="1"/>
      <c r="G114" s="1"/>
      <c r="H114" s="1"/>
      <c r="I114" s="27"/>
      <c r="J114" s="27"/>
    </row>
    <row r="115" spans="1:11">
      <c r="A115" s="31" t="s">
        <v>33</v>
      </c>
      <c r="B115" s="32"/>
      <c r="C115" s="32"/>
      <c r="D115" s="1"/>
      <c r="H115" s="33" t="s">
        <v>34</v>
      </c>
      <c r="I115" s="32"/>
      <c r="J115" s="32"/>
      <c r="K115" s="32"/>
    </row>
    <row r="116" spans="1:11" ht="15">
      <c r="A116" s="34"/>
      <c r="E116" s="8"/>
      <c r="F116" s="8"/>
      <c r="G116" s="8"/>
      <c r="H116" s="35"/>
      <c r="I116" s="35"/>
      <c r="J116" s="35"/>
      <c r="K116" s="35"/>
    </row>
    <row r="117" spans="1:11" ht="15">
      <c r="A117" s="34"/>
      <c r="E117" s="8"/>
      <c r="F117" s="8"/>
      <c r="G117" s="8"/>
      <c r="H117" s="35"/>
      <c r="I117" s="35"/>
      <c r="J117" s="35"/>
      <c r="K117" s="35"/>
    </row>
    <row r="118" spans="1:11" s="34" customFormat="1">
      <c r="A118" s="363"/>
      <c r="B118" s="363"/>
      <c r="C118" s="364"/>
      <c r="D118" s="364"/>
      <c r="E118" s="364"/>
      <c r="F118" s="364"/>
      <c r="G118" s="364"/>
      <c r="H118" s="364"/>
      <c r="I118" s="364"/>
      <c r="J118" s="364"/>
      <c r="K118" s="8"/>
    </row>
    <row r="128" spans="1:11">
      <c r="D128" s="1"/>
      <c r="E128" s="1"/>
      <c r="F128" s="1"/>
      <c r="G128" s="1"/>
      <c r="H128" s="1"/>
      <c r="I128" s="1"/>
      <c r="J128" s="1"/>
    </row>
    <row r="129" s="1" customFormat="1"/>
    <row r="130" s="1" customFormat="1"/>
    <row r="131" s="1" customFormat="1"/>
    <row r="132" s="1" customFormat="1"/>
    <row r="133" s="1" customFormat="1"/>
    <row r="134" s="1" customFormat="1"/>
    <row r="135" s="1" customFormat="1"/>
    <row r="136" s="1" customFormat="1"/>
    <row r="137" s="1" customFormat="1"/>
    <row r="138" s="1" customFormat="1"/>
    <row r="139" s="1" customFormat="1"/>
    <row r="140" s="1" customFormat="1"/>
    <row r="141" s="1" customFormat="1"/>
    <row r="146" s="1" customFormat="1"/>
    <row r="174" s="1" customFormat="1"/>
    <row r="175" s="1" customFormat="1"/>
    <row r="176" s="1" customFormat="1"/>
    <row r="177" s="1" customFormat="1"/>
  </sheetData>
  <mergeCells count="12">
    <mergeCell ref="I105:J105"/>
    <mergeCell ref="I107:J107"/>
    <mergeCell ref="I108:J108"/>
    <mergeCell ref="I113:J113"/>
    <mergeCell ref="A118:B118"/>
    <mergeCell ref="C118:J118"/>
    <mergeCell ref="I27:J27"/>
    <mergeCell ref="C1:H1"/>
    <mergeCell ref="C2:H2"/>
    <mergeCell ref="C3:H3"/>
    <mergeCell ref="H6:I6"/>
    <mergeCell ref="H7:I7"/>
  </mergeCells>
  <conditionalFormatting sqref="M11">
    <cfRule type="expression" dxfId="83" priority="35238">
      <formula>ISTEXT(A11:A26)</formula>
    </cfRule>
  </conditionalFormatting>
  <conditionalFormatting sqref="M12:M13">
    <cfRule type="expression" dxfId="82" priority="40243">
      <formula>ISTEXT(A12:A30)</formula>
    </cfRule>
  </conditionalFormatting>
  <conditionalFormatting sqref="M14">
    <cfRule type="expression" dxfId="81" priority="40235">
      <formula>ISTEXT(A14:A27)</formula>
    </cfRule>
  </conditionalFormatting>
  <conditionalFormatting sqref="M15">
    <cfRule type="expression" dxfId="80" priority="40239">
      <formula>ISTEXT(A15:A32)</formula>
    </cfRule>
  </conditionalFormatting>
  <conditionalFormatting sqref="M16:M17">
    <cfRule type="expression" dxfId="79" priority="40242">
      <formula>ISTEXT(A16:A28)</formula>
    </cfRule>
  </conditionalFormatting>
  <conditionalFormatting sqref="M18:M26">
    <cfRule type="expression" dxfId="78" priority="1">
      <formula>ISTEXT(A18:A33)</formula>
    </cfRule>
  </conditionalFormatting>
  <printOptions horizontalCentered="1"/>
  <pageMargins left="0.19685039370078741" right="0.19685039370078741" top="0.39370078740157483" bottom="0.39370078740157483" header="0" footer="0"/>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1900-000000000000}">
          <x14:formula1>
            <xm:f>Accounts!$A$4:$A$60</xm:f>
          </x14:formula1>
          <xm:sqref>K7</xm:sqref>
        </x14:dataValidation>
        <x14:dataValidation type="list" allowBlank="1" showInputMessage="1" showErrorMessage="1" xr:uid="{00000000-0002-0000-1900-000001000000}">
          <x14:formula1>
            <xm:f>'Constr. Wage Rate Calculations'!$A$19:$A$288</xm:f>
          </x14:formula1>
          <xm:sqref>B11:B26</xm:sqref>
        </x14:dataValidation>
        <x14:dataValidation type="list" allowBlank="1" showInputMessage="1" showErrorMessage="1" xr:uid="{00000000-0002-0000-1900-000002000000}">
          <x14:formula1>
            <xm:f>Personnel!$A:$A</xm:f>
          </x14:formula1>
          <xm:sqref>C11:C26</xm:sqref>
        </x14:dataValidation>
        <x14:dataValidation type="list" allowBlank="1" showInputMessage="1" showErrorMessage="1" xr:uid="{00000000-0002-0000-1900-000003000000}">
          <x14:formula1>
            <xm:f>Equipment!$A:$A</xm:f>
          </x14:formula1>
          <xm:sqref>C30:C104</xm:sqref>
        </x14:dataValidation>
      </x14:dataValidations>
    </ext>
    <ext xmlns:mx="http://schemas.microsoft.com/office/mac/excel/2008/main" uri="{64002731-A6B0-56B0-2670-7721B7C09600}">
      <mx:PLV Mode="0" OnePage="0" WScale="0"/>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CCFFCC"/>
    <pageSetUpPr fitToPage="1"/>
  </sheetPr>
  <dimension ref="A1:O133"/>
  <sheetViews>
    <sheetView zoomScale="120" zoomScaleNormal="120" zoomScalePageLayoutView="120" workbookViewId="0">
      <selection activeCell="D9" sqref="D9"/>
    </sheetView>
  </sheetViews>
  <sheetFormatPr baseColWidth="10" defaultColWidth="8.83203125" defaultRowHeight="11"/>
  <cols>
    <col min="1" max="1" width="13" style="1" customWidth="1"/>
    <col min="2" max="2" width="29.83203125" style="1" customWidth="1"/>
    <col min="3" max="3" width="24.5" style="1" customWidth="1"/>
    <col min="4" max="4" width="8.6640625" style="2" customWidth="1"/>
    <col min="5" max="6" width="8.33203125" style="2" customWidth="1"/>
    <col min="7" max="8" width="8.6640625" style="2" customWidth="1"/>
    <col min="9" max="9" width="9.33203125" style="2" customWidth="1"/>
    <col min="10" max="10" width="8.6640625" style="2" customWidth="1"/>
    <col min="11" max="11" width="20.33203125" style="1" customWidth="1"/>
    <col min="12" max="12" width="3.5" style="1" hidden="1" customWidth="1"/>
    <col min="13" max="16384" width="8.83203125" style="1"/>
  </cols>
  <sheetData>
    <row r="1" spans="1:13" ht="15">
      <c r="C1" s="364"/>
      <c r="D1" s="365"/>
      <c r="E1" s="365"/>
      <c r="F1" s="365"/>
      <c r="G1" s="365"/>
      <c r="H1" s="366"/>
      <c r="J1" s="2" t="s">
        <v>0</v>
      </c>
      <c r="K1" s="197">
        <v>41659</v>
      </c>
      <c r="M1" s="45"/>
    </row>
    <row r="2" spans="1:13" ht="15">
      <c r="C2" s="367"/>
      <c r="D2" s="367"/>
      <c r="E2" s="367"/>
      <c r="F2" s="367"/>
      <c r="G2" s="367"/>
      <c r="H2" s="366"/>
      <c r="K2" s="41"/>
    </row>
    <row r="3" spans="1:13" ht="15">
      <c r="C3" s="368"/>
      <c r="D3" s="369"/>
      <c r="E3" s="369"/>
      <c r="F3" s="369"/>
      <c r="G3" s="369"/>
      <c r="H3" s="366"/>
    </row>
    <row r="4" spans="1:13">
      <c r="C4" s="3"/>
      <c r="D4" s="4"/>
      <c r="E4" s="4"/>
      <c r="F4" s="4"/>
      <c r="G4" s="4"/>
    </row>
    <row r="5" spans="1:13">
      <c r="C5" s="3"/>
      <c r="D5" s="4"/>
      <c r="E5" s="4"/>
      <c r="F5" s="4"/>
      <c r="G5" s="4"/>
    </row>
    <row r="6" spans="1:13" ht="12">
      <c r="B6" s="5"/>
      <c r="C6" s="6"/>
      <c r="D6" s="7"/>
      <c r="E6" s="8"/>
      <c r="F6" s="8"/>
      <c r="G6" s="1" t="s">
        <v>1</v>
      </c>
      <c r="H6" s="370">
        <v>18222</v>
      </c>
      <c r="I6" s="370"/>
      <c r="J6" s="1" t="s">
        <v>2</v>
      </c>
      <c r="K6" s="47"/>
    </row>
    <row r="7" spans="1:13" ht="12">
      <c r="A7" s="1" t="s">
        <v>3</v>
      </c>
      <c r="B7" s="9"/>
      <c r="C7" s="10"/>
      <c r="D7" s="11"/>
      <c r="E7" s="8"/>
      <c r="F7" s="8"/>
      <c r="G7" s="1" t="s">
        <v>4</v>
      </c>
      <c r="H7" s="371"/>
      <c r="I7" s="371"/>
      <c r="J7" s="1" t="s">
        <v>5</v>
      </c>
      <c r="K7" s="46"/>
    </row>
    <row r="8" spans="1:13" ht="12">
      <c r="B8" s="12"/>
      <c r="C8" s="13"/>
      <c r="D8" s="14"/>
      <c r="E8" s="8"/>
      <c r="F8" s="8"/>
      <c r="G8" s="1" t="s">
        <v>6</v>
      </c>
      <c r="H8" s="187"/>
      <c r="I8" s="188"/>
      <c r="J8" s="44"/>
    </row>
    <row r="9" spans="1:13" ht="16" thickBot="1">
      <c r="B9" s="15"/>
      <c r="C9" s="16"/>
      <c r="D9" s="16"/>
      <c r="E9" s="8"/>
      <c r="F9" s="8"/>
      <c r="G9" s="8"/>
    </row>
    <row r="10" spans="1:13" s="19" customFormat="1" ht="12" thickBot="1">
      <c r="A10" s="17" t="s">
        <v>7</v>
      </c>
      <c r="B10" s="17" t="s">
        <v>8</v>
      </c>
      <c r="C10" s="17" t="s">
        <v>9</v>
      </c>
      <c r="D10" s="18" t="s">
        <v>10</v>
      </c>
      <c r="E10" s="18" t="s">
        <v>11</v>
      </c>
      <c r="F10" s="18" t="s">
        <v>12</v>
      </c>
      <c r="G10" s="180" t="s">
        <v>13</v>
      </c>
      <c r="H10" s="18" t="s">
        <v>14</v>
      </c>
      <c r="I10" s="18" t="s">
        <v>15</v>
      </c>
      <c r="J10" s="18" t="s">
        <v>16</v>
      </c>
      <c r="K10" s="18" t="s">
        <v>17</v>
      </c>
      <c r="M10" s="19" t="s">
        <v>1797</v>
      </c>
    </row>
    <row r="11" spans="1:13" ht="15" customHeight="1">
      <c r="A11" s="48"/>
      <c r="B11" s="49">
        <f>VLOOKUP($C$11:$C$34,Personnel!$A$1:$B$1234,2,FALSE)</f>
        <v>0</v>
      </c>
      <c r="C11" s="36"/>
      <c r="D11" s="184"/>
      <c r="E11" s="179">
        <f>VLOOKUP($B$11:$B$34,'Constr. Wage Rate Calculations'!$A$19:$Z$288,22,FALSE)</f>
        <v>0</v>
      </c>
      <c r="F11" s="184"/>
      <c r="G11" s="179">
        <f>VLOOKUP($B$11:$B$34,'Constr. Wage Rate Calculations'!$A$19:$Z$288,23,FALSE)</f>
        <v>0</v>
      </c>
      <c r="H11" s="184"/>
      <c r="I11" s="179">
        <f>VLOOKUP($B$11:$B$34,'Constr. Wage Rate Calculations'!$A$19:$Z$288,24,FALSE)</f>
        <v>0</v>
      </c>
      <c r="J11" s="20">
        <f>VLOOKUP($B$11:$B$34,'Constr. Wage Rate Calculations'!$A$19:$Z$288,25,FALSE)</f>
        <v>0</v>
      </c>
      <c r="K11" s="179" t="str">
        <f t="shared" ref="K11:K32" si="0">IF($D11&gt;=1,$J11+(D11*E11)+(F11*G11)+(H11*I11),IF($F11&gt;=1,$J11+(D11*E11)+(F11*G11)+(H11*I11),IF($H11&gt;=1,$J11+(D11*E11)+(F11*G11)+(H11*I11),"")))</f>
        <v/>
      </c>
    </row>
    <row r="12" spans="1:13" ht="15" customHeight="1">
      <c r="A12" s="48"/>
      <c r="B12" s="49" t="str">
        <f>VLOOKUP($C$11:$C$34,Personnel!$A$1:$B$1234,2,FALSE)</f>
        <v>MECHANIC/ SERVICEMAN/ LUBEMAN</v>
      </c>
      <c r="C12" s="36" t="s">
        <v>944</v>
      </c>
      <c r="D12" s="184">
        <v>8</v>
      </c>
      <c r="E12" s="179">
        <f>VLOOKUP($B$11:$B$34,'Constr. Wage Rate Calculations'!$A$19:$Z$288,22,FALSE)</f>
        <v>65.69</v>
      </c>
      <c r="F12" s="184">
        <v>5</v>
      </c>
      <c r="G12" s="179">
        <f>VLOOKUP($B$11:$B$34,'Constr. Wage Rate Calculations'!$A$19:$Z$288,23,FALSE)</f>
        <v>98.43</v>
      </c>
      <c r="H12" s="184"/>
      <c r="I12" s="179">
        <f>VLOOKUP($B$11:$B$34,'Constr. Wage Rate Calculations'!$A$19:$Z$288,24,FALSE)</f>
        <v>131.16999999999999</v>
      </c>
      <c r="J12" s="20">
        <f>VLOOKUP($B$11:$B$34,'Constr. Wage Rate Calculations'!$A$19:$Z$288,25,FALSE)</f>
        <v>85</v>
      </c>
      <c r="K12" s="179">
        <f t="shared" si="0"/>
        <v>1102.67</v>
      </c>
    </row>
    <row r="13" spans="1:13" ht="15" customHeight="1">
      <c r="A13" s="48"/>
      <c r="B13" s="49" t="str">
        <f>VLOOKUP($C$11:$C$34,Personnel!$A$1:$B$1234,2,FALSE)</f>
        <v>MASTER MECHANIC</v>
      </c>
      <c r="C13" s="36" t="s">
        <v>700</v>
      </c>
      <c r="D13" s="184">
        <v>1</v>
      </c>
      <c r="E13" s="179">
        <f>VLOOKUP($B$11:$B$34,'Constr. Wage Rate Calculations'!$A$19:$Z$288,22,FALSE)</f>
        <v>1332.16</v>
      </c>
      <c r="F13" s="184">
        <v>9</v>
      </c>
      <c r="G13" s="179">
        <f>VLOOKUP($B$11:$B$34,'Constr. Wage Rate Calculations'!$A$19:$Z$288,23,FALSE)</f>
        <v>0</v>
      </c>
      <c r="H13" s="184"/>
      <c r="I13" s="179">
        <f>VLOOKUP($B$11:$B$34,'Constr. Wage Rate Calculations'!$A$19:$Z$288,24,FALSE)</f>
        <v>0</v>
      </c>
      <c r="J13" s="20">
        <f>VLOOKUP($B$11:$B$34,'Constr. Wage Rate Calculations'!$A$19:$Z$288,25,FALSE)</f>
        <v>230</v>
      </c>
      <c r="K13" s="179">
        <f t="shared" si="0"/>
        <v>1562.16</v>
      </c>
    </row>
    <row r="14" spans="1:13" ht="15" customHeight="1">
      <c r="A14" s="48"/>
      <c r="B14" s="49" t="str">
        <f>VLOOKUP($C$11:$C$34,Personnel!$A$1:$B$1234,2,FALSE)</f>
        <v>MECHANIC/SERVICEMAN/LUBEMAN (NIGHT SHIFT)</v>
      </c>
      <c r="C14" s="36" t="s">
        <v>925</v>
      </c>
      <c r="D14" s="184">
        <v>8</v>
      </c>
      <c r="E14" s="179">
        <f>VLOOKUP($B$11:$B$34,'Constr. Wage Rate Calculations'!$A$19:$Z$288,22,FALSE)</f>
        <v>71.040000000000006</v>
      </c>
      <c r="F14" s="184">
        <v>5</v>
      </c>
      <c r="G14" s="179">
        <f>VLOOKUP($B$11:$B$34,'Constr. Wage Rate Calculations'!$A$19:$Z$288,23,FALSE)</f>
        <v>106.46</v>
      </c>
      <c r="H14" s="184"/>
      <c r="I14" s="179">
        <f>VLOOKUP($B$11:$B$34,'Constr. Wage Rate Calculations'!$A$19:$Z$288,24,FALSE)</f>
        <v>141.88</v>
      </c>
      <c r="J14" s="20">
        <f>VLOOKUP($B$11:$B$34,'Constr. Wage Rate Calculations'!$A$19:$Z$288,25,FALSE)</f>
        <v>85</v>
      </c>
      <c r="K14" s="179">
        <f t="shared" si="0"/>
        <v>1185.6199999999999</v>
      </c>
    </row>
    <row r="15" spans="1:13" ht="15" customHeight="1">
      <c r="A15" s="48"/>
      <c r="B15" s="49" t="str">
        <f>VLOOKUP($C$11:$C$34,Personnel!$A$1:$B$1234,2,FALSE)</f>
        <v>MECHANIC/ SERVICEMAN/ LUBEMAN</v>
      </c>
      <c r="C15" s="36" t="s">
        <v>3381</v>
      </c>
      <c r="D15" s="184">
        <v>8</v>
      </c>
      <c r="E15" s="179">
        <f>VLOOKUP($B$11:$B$34,'Constr. Wage Rate Calculations'!$A$19:$Z$288,22,FALSE)</f>
        <v>65.69</v>
      </c>
      <c r="F15" s="184">
        <v>5</v>
      </c>
      <c r="G15" s="179">
        <f>VLOOKUP($B$11:$B$34,'Constr. Wage Rate Calculations'!$A$19:$Z$288,23,FALSE)</f>
        <v>98.43</v>
      </c>
      <c r="H15" s="184"/>
      <c r="I15" s="179">
        <f>VLOOKUP($B$11:$B$34,'Constr. Wage Rate Calculations'!$A$19:$Z$288,24,FALSE)</f>
        <v>131.16999999999999</v>
      </c>
      <c r="J15" s="20">
        <f>VLOOKUP($B$11:$B$34,'Constr. Wage Rate Calculations'!$A$19:$Z$288,25,FALSE)</f>
        <v>85</v>
      </c>
      <c r="K15" s="179">
        <f t="shared" si="0"/>
        <v>1102.67</v>
      </c>
    </row>
    <row r="16" spans="1:13" ht="15" customHeight="1">
      <c r="A16" s="48"/>
      <c r="B16" s="49" t="str">
        <f>VLOOKUP($C$11:$C$34,Personnel!$A$1:$B$1234,2,FALSE)</f>
        <v>APPRENTICE OPER/OILER</v>
      </c>
      <c r="C16" s="36" t="s">
        <v>4177</v>
      </c>
      <c r="D16" s="184">
        <v>8</v>
      </c>
      <c r="E16" s="179">
        <f>VLOOKUP($B$11:$B$34,'Constr. Wage Rate Calculations'!$A$19:$Z$288,22,FALSE)</f>
        <v>49.44</v>
      </c>
      <c r="F16" s="184">
        <v>5</v>
      </c>
      <c r="G16" s="179">
        <f>VLOOKUP($B$11:$B$34,'Constr. Wage Rate Calculations'!$A$19:$Z$288,23,FALSE)</f>
        <v>74.16</v>
      </c>
      <c r="H16" s="184"/>
      <c r="I16" s="179">
        <f>VLOOKUP($B$11:$B$34,'Constr. Wage Rate Calculations'!$A$19:$Z$288,24,FALSE)</f>
        <v>98.89</v>
      </c>
      <c r="J16" s="20">
        <f>VLOOKUP($B$11:$B$34,'Constr. Wage Rate Calculations'!$A$19:$Z$288,25,FALSE)</f>
        <v>85</v>
      </c>
      <c r="K16" s="179">
        <f t="shared" si="0"/>
        <v>851.31999999999994</v>
      </c>
    </row>
    <row r="17" spans="1:11" ht="15" customHeight="1">
      <c r="A17" s="48"/>
      <c r="B17" s="49" t="str">
        <f>VLOOKUP($C$11:$C$34,Personnel!$A$1:$B$1234,2,FALSE)</f>
        <v>MECHANIC/ SERVICEMAN/ LUBEMAN</v>
      </c>
      <c r="C17" s="36" t="s">
        <v>1552</v>
      </c>
      <c r="D17" s="184">
        <v>8</v>
      </c>
      <c r="E17" s="179">
        <f>VLOOKUP($B$11:$B$34,'Constr. Wage Rate Calculations'!$A$19:$Z$288,22,FALSE)</f>
        <v>65.69</v>
      </c>
      <c r="F17" s="184">
        <v>5</v>
      </c>
      <c r="G17" s="179">
        <f>VLOOKUP($B$11:$B$34,'Constr. Wage Rate Calculations'!$A$19:$Z$288,23,FALSE)</f>
        <v>98.43</v>
      </c>
      <c r="H17" s="184"/>
      <c r="I17" s="179">
        <f>VLOOKUP($B$11:$B$34,'Constr. Wage Rate Calculations'!$A$19:$Z$288,24,FALSE)</f>
        <v>131.16999999999999</v>
      </c>
      <c r="J17" s="20">
        <f>VLOOKUP($B$11:$B$34,'Constr. Wage Rate Calculations'!$A$19:$Z$288,25,FALSE)</f>
        <v>85</v>
      </c>
      <c r="K17" s="179">
        <f t="shared" si="0"/>
        <v>1102.67</v>
      </c>
    </row>
    <row r="18" spans="1:11" ht="15" customHeight="1">
      <c r="A18" s="48"/>
      <c r="B18" s="49" t="str">
        <f>VLOOKUP($C$11:$C$34,Personnel!$A$1:$B$1234,2,FALSE)</f>
        <v>MECHANIC/ SERVICEMAN/ LUBEMAN</v>
      </c>
      <c r="C18" s="36" t="s">
        <v>1190</v>
      </c>
      <c r="D18" s="184">
        <v>8</v>
      </c>
      <c r="E18" s="179">
        <f>VLOOKUP($B$11:$B$34,'Constr. Wage Rate Calculations'!$A$19:$Z$288,22,FALSE)</f>
        <v>65.69</v>
      </c>
      <c r="F18" s="184">
        <v>5</v>
      </c>
      <c r="G18" s="179">
        <f>VLOOKUP($B$11:$B$34,'Constr. Wage Rate Calculations'!$A$19:$Z$288,23,FALSE)</f>
        <v>98.43</v>
      </c>
      <c r="H18" s="184"/>
      <c r="I18" s="179">
        <f>VLOOKUP($B$11:$B$34,'Constr. Wage Rate Calculations'!$A$19:$Z$288,24,FALSE)</f>
        <v>131.16999999999999</v>
      </c>
      <c r="J18" s="20">
        <f>VLOOKUP($B$11:$B$34,'Constr. Wage Rate Calculations'!$A$19:$Z$288,25,FALSE)</f>
        <v>85</v>
      </c>
      <c r="K18" s="179">
        <f t="shared" si="0"/>
        <v>1102.67</v>
      </c>
    </row>
    <row r="19" spans="1:11" ht="15" customHeight="1">
      <c r="A19" s="48"/>
      <c r="B19" s="49" t="str">
        <f>VLOOKUP($C$11:$C$34,Personnel!$A$1:$B$1234,2,FALSE)</f>
        <v>MECHANIC/ SERVICEMAN/ LUBEMAN</v>
      </c>
      <c r="C19" s="36" t="s">
        <v>1128</v>
      </c>
      <c r="D19" s="184">
        <v>8</v>
      </c>
      <c r="E19" s="179">
        <f>VLOOKUP($B$11:$B$34,'Constr. Wage Rate Calculations'!$A$19:$Z$288,22,FALSE)</f>
        <v>65.69</v>
      </c>
      <c r="F19" s="184">
        <v>6</v>
      </c>
      <c r="G19" s="179">
        <f>VLOOKUP($B$11:$B$34,'Constr. Wage Rate Calculations'!$A$19:$Z$288,23,FALSE)</f>
        <v>98.43</v>
      </c>
      <c r="H19" s="184"/>
      <c r="I19" s="179">
        <f>VLOOKUP($B$11:$B$34,'Constr. Wage Rate Calculations'!$A$19:$Z$288,24,FALSE)</f>
        <v>131.16999999999999</v>
      </c>
      <c r="J19" s="20">
        <f>VLOOKUP($B$11:$B$34,'Constr. Wage Rate Calculations'!$A$19:$Z$288,25,FALSE)</f>
        <v>85</v>
      </c>
      <c r="K19" s="179">
        <f t="shared" si="0"/>
        <v>1201.0999999999999</v>
      </c>
    </row>
    <row r="20" spans="1:11" ht="15" customHeight="1">
      <c r="A20" s="48"/>
      <c r="B20" s="49" t="str">
        <f>VLOOKUP($C$11:$C$34,Personnel!$A$1:$B$1234,2,FALSE)</f>
        <v>UTILITY WELDER</v>
      </c>
      <c r="C20" s="36" t="s">
        <v>2780</v>
      </c>
      <c r="D20" s="184">
        <v>8</v>
      </c>
      <c r="E20" s="179">
        <f>VLOOKUP($B$11:$B$34,'Constr. Wage Rate Calculations'!$A$19:$Z$288,22,FALSE)</f>
        <v>65.69</v>
      </c>
      <c r="F20" s="184">
        <v>5</v>
      </c>
      <c r="G20" s="179">
        <f>VLOOKUP($B$11:$B$34,'Constr. Wage Rate Calculations'!$A$19:$Z$288,23,FALSE)</f>
        <v>98.43</v>
      </c>
      <c r="H20" s="184"/>
      <c r="I20" s="179">
        <f>VLOOKUP($B$11:$B$34,'Constr. Wage Rate Calculations'!$A$19:$Z$288,24,FALSE)</f>
        <v>131.16999999999999</v>
      </c>
      <c r="J20" s="20">
        <f>VLOOKUP($B$11:$B$34,'Constr. Wage Rate Calculations'!$A$19:$Z$288,25,FALSE)</f>
        <v>85</v>
      </c>
      <c r="K20" s="179">
        <f t="shared" si="0"/>
        <v>1102.67</v>
      </c>
    </row>
    <row r="21" spans="1:11" ht="15" customHeight="1">
      <c r="A21" s="48"/>
      <c r="B21" s="49" t="str">
        <f>VLOOKUP($C$11:$C$34,Personnel!$A$1:$B$1234,2,FALSE)</f>
        <v>MECHANIC/ SERVICEMAN/ LUBEMAN</v>
      </c>
      <c r="C21" s="36" t="s">
        <v>3710</v>
      </c>
      <c r="D21" s="184">
        <v>8</v>
      </c>
      <c r="E21" s="179">
        <f>VLOOKUP($B$11:$B$34,'Constr. Wage Rate Calculations'!$A$19:$Z$288,22,FALSE)</f>
        <v>65.69</v>
      </c>
      <c r="F21" s="184">
        <v>4</v>
      </c>
      <c r="G21" s="179">
        <f>VLOOKUP($B$11:$B$34,'Constr. Wage Rate Calculations'!$A$19:$Z$288,23,FALSE)</f>
        <v>98.43</v>
      </c>
      <c r="H21" s="184"/>
      <c r="I21" s="179">
        <f>VLOOKUP($B$11:$B$34,'Constr. Wage Rate Calculations'!$A$19:$Z$288,24,FALSE)</f>
        <v>131.16999999999999</v>
      </c>
      <c r="J21" s="20">
        <f>VLOOKUP($B$11:$B$34,'Constr. Wage Rate Calculations'!$A$19:$Z$288,25,FALSE)</f>
        <v>85</v>
      </c>
      <c r="K21" s="179">
        <f t="shared" si="0"/>
        <v>1004.24</v>
      </c>
    </row>
    <row r="22" spans="1:11" ht="15" customHeight="1">
      <c r="A22" s="48"/>
      <c r="B22" s="49" t="str">
        <f>VLOOKUP($C$11:$C$34,Personnel!$A$1:$B$1234,2,FALSE)</f>
        <v>UTILITY WELDER</v>
      </c>
      <c r="C22" s="36" t="s">
        <v>938</v>
      </c>
      <c r="D22" s="184">
        <v>8</v>
      </c>
      <c r="E22" s="179">
        <f>VLOOKUP($B$11:$B$34,'Constr. Wage Rate Calculations'!$A$19:$Z$288,22,FALSE)</f>
        <v>65.69</v>
      </c>
      <c r="F22" s="184">
        <v>5</v>
      </c>
      <c r="G22" s="179">
        <f>VLOOKUP($B$11:$B$34,'Constr. Wage Rate Calculations'!$A$19:$Z$288,23,FALSE)</f>
        <v>98.43</v>
      </c>
      <c r="H22" s="184"/>
      <c r="I22" s="179">
        <f>VLOOKUP($B$11:$B$34,'Constr. Wage Rate Calculations'!$A$19:$Z$288,24,FALSE)</f>
        <v>131.16999999999999</v>
      </c>
      <c r="J22" s="20">
        <f>VLOOKUP($B$11:$B$34,'Constr. Wage Rate Calculations'!$A$19:$Z$288,25,FALSE)</f>
        <v>85</v>
      </c>
      <c r="K22" s="179">
        <f t="shared" si="0"/>
        <v>1102.67</v>
      </c>
    </row>
    <row r="23" spans="1:11" ht="15" customHeight="1">
      <c r="A23" s="48"/>
      <c r="B23" s="49" t="str">
        <f>VLOOKUP($C$11:$C$34,Personnel!$A$1:$B$1234,2,FALSE)</f>
        <v>PRINCIPAL OPER 1</v>
      </c>
      <c r="C23" s="36" t="s">
        <v>3998</v>
      </c>
      <c r="D23" s="184">
        <v>8</v>
      </c>
      <c r="E23" s="179">
        <f>VLOOKUP($B$11:$B$34,'Constr. Wage Rate Calculations'!$A$19:$Z$288,22,FALSE)</f>
        <v>64.239999999999995</v>
      </c>
      <c r="F23" s="184">
        <v>5</v>
      </c>
      <c r="G23" s="179">
        <f>VLOOKUP($B$11:$B$34,'Constr. Wage Rate Calculations'!$A$19:$Z$288,23,FALSE)</f>
        <v>96.36</v>
      </c>
      <c r="H23" s="184"/>
      <c r="I23" s="179">
        <f>VLOOKUP($B$11:$B$34,'Constr. Wage Rate Calculations'!$A$19:$Z$288,24,FALSE)</f>
        <v>128.47</v>
      </c>
      <c r="J23" s="20">
        <f>VLOOKUP($B$11:$B$34,'Constr. Wage Rate Calculations'!$A$19:$Z$288,25,FALSE)</f>
        <v>85</v>
      </c>
      <c r="K23" s="179">
        <f t="shared" si="0"/>
        <v>1080.72</v>
      </c>
    </row>
    <row r="24" spans="1:11" ht="15" customHeight="1">
      <c r="A24" s="48" t="s">
        <v>4040</v>
      </c>
      <c r="B24" s="49" t="str">
        <f>VLOOKUP($C$11:$C$34,Personnel!$A$1:$B$1234,2,FALSE)</f>
        <v>UTILITY WELDER</v>
      </c>
      <c r="C24" s="36" t="s">
        <v>1365</v>
      </c>
      <c r="D24" s="184">
        <v>8</v>
      </c>
      <c r="E24" s="179">
        <f>VLOOKUP($B$11:$B$34,'Constr. Wage Rate Calculations'!$A$19:$Z$288,22,FALSE)</f>
        <v>65.69</v>
      </c>
      <c r="F24" s="184">
        <v>5</v>
      </c>
      <c r="G24" s="179">
        <f>VLOOKUP($B$11:$B$34,'Constr. Wage Rate Calculations'!$A$19:$Z$288,23,FALSE)</f>
        <v>98.43</v>
      </c>
      <c r="H24" s="184"/>
      <c r="I24" s="179">
        <f>VLOOKUP($B$11:$B$34,'Constr. Wage Rate Calculations'!$A$19:$Z$288,24,FALSE)</f>
        <v>131.16999999999999</v>
      </c>
      <c r="J24" s="20">
        <f>VLOOKUP($B$11:$B$34,'Constr. Wage Rate Calculations'!$A$19:$Z$288,25,FALSE)</f>
        <v>85</v>
      </c>
      <c r="K24" s="179">
        <f t="shared" si="0"/>
        <v>1102.67</v>
      </c>
    </row>
    <row r="25" spans="1:11" ht="15" customHeight="1">
      <c r="A25" s="48"/>
      <c r="B25" s="49" t="str">
        <f>VLOOKUP($C$11:$C$34,Personnel!$A$1:$B$1234,2,FALSE)</f>
        <v>MECHANIC/ SERVICEMAN/ LUBEMAN</v>
      </c>
      <c r="C25" s="36" t="s">
        <v>2150</v>
      </c>
      <c r="D25" s="184">
        <v>8</v>
      </c>
      <c r="E25" s="179">
        <f>VLOOKUP($B$11:$B$34,'Constr. Wage Rate Calculations'!$A$19:$Z$288,22,FALSE)</f>
        <v>65.69</v>
      </c>
      <c r="F25" s="184">
        <v>5</v>
      </c>
      <c r="G25" s="179">
        <f>VLOOKUP($B$11:$B$34,'Constr. Wage Rate Calculations'!$A$19:$Z$288,23,FALSE)</f>
        <v>98.43</v>
      </c>
      <c r="H25" s="184"/>
      <c r="I25" s="179">
        <f>VLOOKUP($B$11:$B$34,'Constr. Wage Rate Calculations'!$A$19:$Z$288,24,FALSE)</f>
        <v>131.16999999999999</v>
      </c>
      <c r="J25" s="20">
        <v>150</v>
      </c>
      <c r="K25" s="179">
        <f t="shared" si="0"/>
        <v>1167.67</v>
      </c>
    </row>
    <row r="26" spans="1:11" ht="15" customHeight="1">
      <c r="A26" s="48"/>
      <c r="B26" s="49" t="str">
        <f>VLOOKUP($C$11:$C$34,Personnel!$A$1:$B$1234,2,FALSE)</f>
        <v>UTILITY WELDER</v>
      </c>
      <c r="C26" s="36" t="s">
        <v>2089</v>
      </c>
      <c r="D26" s="184">
        <v>8</v>
      </c>
      <c r="E26" s="179">
        <f>VLOOKUP($B$11:$B$34,'Constr. Wage Rate Calculations'!$A$19:$Z$288,22,FALSE)</f>
        <v>65.69</v>
      </c>
      <c r="F26" s="184">
        <v>5</v>
      </c>
      <c r="G26" s="179">
        <f>VLOOKUP($B$11:$B$34,'Constr. Wage Rate Calculations'!$A$19:$Z$288,23,FALSE)</f>
        <v>98.43</v>
      </c>
      <c r="H26" s="184"/>
      <c r="I26" s="179">
        <f>VLOOKUP($B$11:$B$34,'Constr. Wage Rate Calculations'!$A$19:$Z$288,24,FALSE)</f>
        <v>131.16999999999999</v>
      </c>
      <c r="J26" s="20">
        <f>VLOOKUP($B$11:$B$34,'Constr. Wage Rate Calculations'!$A$19:$Z$288,25,FALSE)</f>
        <v>85</v>
      </c>
      <c r="K26" s="179">
        <f t="shared" si="0"/>
        <v>1102.67</v>
      </c>
    </row>
    <row r="27" spans="1:11" ht="15" customHeight="1">
      <c r="A27" s="48"/>
      <c r="B27" s="49" t="str">
        <f>VLOOKUP($C$11:$C$34,Personnel!$A$1:$B$1234,2,FALSE)</f>
        <v>MECHANIC/ SERVICEMAN/ LUBEMAN</v>
      </c>
      <c r="C27" s="36" t="s">
        <v>2349</v>
      </c>
      <c r="D27" s="184">
        <v>8</v>
      </c>
      <c r="E27" s="179">
        <f>VLOOKUP($B$11:$B$34,'Constr. Wage Rate Calculations'!$A$19:$Z$288,22,FALSE)</f>
        <v>65.69</v>
      </c>
      <c r="F27" s="184">
        <v>5</v>
      </c>
      <c r="G27" s="179">
        <f>VLOOKUP($B$11:$B$34,'Constr. Wage Rate Calculations'!$A$19:$Z$288,23,FALSE)</f>
        <v>98.43</v>
      </c>
      <c r="H27" s="184"/>
      <c r="I27" s="179">
        <f>VLOOKUP($B$11:$B$34,'Constr. Wage Rate Calculations'!$A$19:$Z$288,24,FALSE)</f>
        <v>131.16999999999999</v>
      </c>
      <c r="J27" s="20">
        <f>VLOOKUP($B$11:$B$34,'Constr. Wage Rate Calculations'!$A$19:$Z$288,25,FALSE)</f>
        <v>85</v>
      </c>
      <c r="K27" s="179">
        <f t="shared" si="0"/>
        <v>1102.67</v>
      </c>
    </row>
    <row r="28" spans="1:11" ht="15" customHeight="1">
      <c r="A28" s="48"/>
      <c r="B28" s="49" t="str">
        <f>VLOOKUP($C$11:$C$34,Personnel!$A$1:$B$1234,2,FALSE)</f>
        <v>MECHANIC/ SERVICEMAN/ LUBEMAN</v>
      </c>
      <c r="C28" s="36" t="s">
        <v>1130</v>
      </c>
      <c r="D28" s="184">
        <v>8</v>
      </c>
      <c r="E28" s="179">
        <f>VLOOKUP($B$11:$B$34,'Constr. Wage Rate Calculations'!$A$19:$Z$288,22,FALSE)</f>
        <v>65.69</v>
      </c>
      <c r="F28" s="184">
        <v>6</v>
      </c>
      <c r="G28" s="179">
        <f>VLOOKUP($B$11:$B$34,'Constr. Wage Rate Calculations'!$A$19:$Z$288,23,FALSE)</f>
        <v>98.43</v>
      </c>
      <c r="H28" s="184"/>
      <c r="I28" s="179">
        <f>VLOOKUP($B$11:$B$34,'Constr. Wage Rate Calculations'!$A$19:$Z$288,24,FALSE)</f>
        <v>131.16999999999999</v>
      </c>
      <c r="J28" s="20">
        <f>VLOOKUP($B$11:$B$34,'Constr. Wage Rate Calculations'!$A$19:$Z$288,25,FALSE)</f>
        <v>85</v>
      </c>
      <c r="K28" s="179">
        <f t="shared" si="0"/>
        <v>1201.0999999999999</v>
      </c>
    </row>
    <row r="29" spans="1:11" ht="15" customHeight="1">
      <c r="A29" s="48"/>
      <c r="B29" s="49" t="str">
        <f>VLOOKUP($C$11:$C$34,Personnel!$A$1:$B$1234,2,FALSE)</f>
        <v>MECHANIC/ SERVICEMAN/ LUBEMAN</v>
      </c>
      <c r="C29" s="36" t="s">
        <v>701</v>
      </c>
      <c r="D29" s="184">
        <v>8</v>
      </c>
      <c r="E29" s="179">
        <f>VLOOKUP($B$11:$B$34,'Constr. Wage Rate Calculations'!$A$19:$Z$288,22,FALSE)</f>
        <v>65.69</v>
      </c>
      <c r="F29" s="184">
        <v>5</v>
      </c>
      <c r="G29" s="179">
        <f>VLOOKUP($B$11:$B$34,'Constr. Wage Rate Calculations'!$A$19:$Z$288,23,FALSE)</f>
        <v>98.43</v>
      </c>
      <c r="H29" s="184"/>
      <c r="I29" s="179">
        <f>VLOOKUP($B$11:$B$34,'Constr. Wage Rate Calculations'!$A$19:$Z$288,24,FALSE)</f>
        <v>131.16999999999999</v>
      </c>
      <c r="J29" s="20">
        <f>VLOOKUP($B$11:$B$34,'Constr. Wage Rate Calculations'!$A$19:$Z$288,25,FALSE)</f>
        <v>85</v>
      </c>
      <c r="K29" s="179">
        <f t="shared" si="0"/>
        <v>1102.67</v>
      </c>
    </row>
    <row r="30" spans="1:11" ht="15" customHeight="1">
      <c r="A30" s="48"/>
      <c r="B30" s="49" t="str">
        <f>VLOOKUP($C$11:$C$34,Personnel!$A$1:$B$1234,2,FALSE)</f>
        <v>MECHANIC/SERVICEMAN/LUBEMAN (NIGHT SHIFT)</v>
      </c>
      <c r="C30" s="36" t="s">
        <v>2428</v>
      </c>
      <c r="D30" s="184">
        <v>8</v>
      </c>
      <c r="E30" s="179">
        <f>VLOOKUP($B$11:$B$34,'Constr. Wage Rate Calculations'!$A$19:$Z$288,22,FALSE)</f>
        <v>71.040000000000006</v>
      </c>
      <c r="F30" s="184">
        <v>5</v>
      </c>
      <c r="G30" s="179">
        <f>VLOOKUP($B$11:$B$34,'Constr. Wage Rate Calculations'!$A$19:$Z$288,23,FALSE)</f>
        <v>106.46</v>
      </c>
      <c r="H30" s="184"/>
      <c r="I30" s="179">
        <f>VLOOKUP($B$11:$B$34,'Constr. Wage Rate Calculations'!$A$19:$Z$288,24,FALSE)</f>
        <v>141.88</v>
      </c>
      <c r="J30" s="20">
        <f>VLOOKUP($B$11:$B$34,'Constr. Wage Rate Calculations'!$A$19:$Z$288,25,FALSE)</f>
        <v>85</v>
      </c>
      <c r="K30" s="179">
        <f t="shared" si="0"/>
        <v>1185.6199999999999</v>
      </c>
    </row>
    <row r="31" spans="1:11" ht="15" customHeight="1">
      <c r="A31" s="48"/>
      <c r="B31" s="49" t="str">
        <f>VLOOKUP($C$11:$C$34,Personnel!$A$1:$B$1234,2,FALSE)</f>
        <v>MECHANIC/ SERVICEMAN/ LUBEMAN</v>
      </c>
      <c r="C31" s="36" t="s">
        <v>3883</v>
      </c>
      <c r="D31" s="184">
        <v>8</v>
      </c>
      <c r="E31" s="179">
        <f>VLOOKUP($B$11:$B$34,'Constr. Wage Rate Calculations'!$A$19:$Z$288,22,FALSE)</f>
        <v>65.69</v>
      </c>
      <c r="F31" s="184">
        <v>5</v>
      </c>
      <c r="G31" s="179">
        <f>VLOOKUP($B$11:$B$34,'Constr. Wage Rate Calculations'!$A$19:$Z$288,23,FALSE)</f>
        <v>98.43</v>
      </c>
      <c r="H31" s="184"/>
      <c r="I31" s="179">
        <f>VLOOKUP($B$11:$B$34,'Constr. Wage Rate Calculations'!$A$19:$Z$288,24,FALSE)</f>
        <v>131.16999999999999</v>
      </c>
      <c r="J31" s="20">
        <f>VLOOKUP($B$11:$B$34,'Constr. Wage Rate Calculations'!$A$19:$Z$288,25,FALSE)</f>
        <v>85</v>
      </c>
      <c r="K31" s="179">
        <f t="shared" si="0"/>
        <v>1102.67</v>
      </c>
    </row>
    <row r="32" spans="1:11" ht="15" customHeight="1">
      <c r="A32" s="48"/>
      <c r="B32" s="49" t="str">
        <f>VLOOKUP($C$11:$C$34,Personnel!$A$1:$B$1234,2,FALSE)</f>
        <v>MECHANIC/ SERVICEMAN/ LUBEMAN</v>
      </c>
      <c r="C32" s="36" t="s">
        <v>4030</v>
      </c>
      <c r="D32" s="184">
        <v>8</v>
      </c>
      <c r="E32" s="179">
        <f>VLOOKUP($B$11:$B$34,'Constr. Wage Rate Calculations'!$A$19:$Z$288,22,FALSE)</f>
        <v>65.69</v>
      </c>
      <c r="F32" s="184">
        <v>5</v>
      </c>
      <c r="G32" s="179">
        <f>VLOOKUP($B$11:$B$34,'Constr. Wage Rate Calculations'!$A$19:$Z$288,23,FALSE)</f>
        <v>98.43</v>
      </c>
      <c r="H32" s="184"/>
      <c r="I32" s="179">
        <f>VLOOKUP($B$11:$B$34,'Constr. Wage Rate Calculations'!$A$19:$Z$288,24,FALSE)</f>
        <v>131.16999999999999</v>
      </c>
      <c r="J32" s="20">
        <f>VLOOKUP($B$11:$B$34,'Constr. Wage Rate Calculations'!$A$19:$Z$288,25,FALSE)</f>
        <v>85</v>
      </c>
      <c r="K32" s="179">
        <f t="shared" si="0"/>
        <v>1102.67</v>
      </c>
    </row>
    <row r="33" spans="1:15" ht="15" customHeight="1">
      <c r="A33" s="48"/>
      <c r="B33" s="49">
        <f>VLOOKUP($C$11:$C$34,Personnel!$A$1:$B$1234,2,FALSE)</f>
        <v>0</v>
      </c>
      <c r="C33" s="36"/>
      <c r="D33" s="184"/>
      <c r="E33" s="179">
        <f>VLOOKUP($B$11:$B$34,'Constr. Wage Rate Calculations'!$A$19:$Z$288,22,FALSE)</f>
        <v>0</v>
      </c>
      <c r="F33" s="184"/>
      <c r="G33" s="179">
        <f>VLOOKUP($B$11:$B$34,'Constr. Wage Rate Calculations'!$A$19:$Z$288,23,FALSE)</f>
        <v>0</v>
      </c>
      <c r="H33" s="184"/>
      <c r="I33" s="179">
        <f>VLOOKUP($B$11:$B$34,'Constr. Wage Rate Calculations'!$A$19:$Z$288,24,FALSE)</f>
        <v>0</v>
      </c>
      <c r="J33" s="20">
        <f>VLOOKUP($B$11:$B$34,'Constr. Wage Rate Calculations'!$A$19:$Z$288,25,FALSE)</f>
        <v>0</v>
      </c>
      <c r="K33" s="179" t="str">
        <f>IF($D33&gt;=1,$J33+(D33*E33)+(F33*G33)+(H33*I33),IF($F33&gt;=1,$J33+(D33*E33)+(F33*G33)+(H33*I33),IF($H33&gt;=1,$J33+(D33*E33)+(F33*G33)+(H33*I33),"")))</f>
        <v/>
      </c>
    </row>
    <row r="34" spans="1:15" ht="15" customHeight="1" thickBot="1">
      <c r="A34" s="48"/>
      <c r="B34" s="49">
        <f>VLOOKUP($C$11:$C$34,Personnel!$A$1:$B$1234,2,FALSE)</f>
        <v>0</v>
      </c>
      <c r="C34" s="36"/>
      <c r="D34" s="184"/>
      <c r="E34" s="179">
        <f>VLOOKUP($B$11:$B$34,'Constr. Wage Rate Calculations'!$A$19:$Z$288,22,FALSE)</f>
        <v>0</v>
      </c>
      <c r="F34" s="184"/>
      <c r="G34" s="179">
        <f>VLOOKUP($B$11:$B$34,'Constr. Wage Rate Calculations'!$A$19:$Z$288,23,FALSE)</f>
        <v>0</v>
      </c>
      <c r="H34" s="184"/>
      <c r="I34" s="179">
        <f>VLOOKUP($B$11:$B$34,'Constr. Wage Rate Calculations'!$A$19:$Z$288,24,FALSE)</f>
        <v>0</v>
      </c>
      <c r="J34" s="20">
        <f>VLOOKUP($B$11:$B$34,'Constr. Wage Rate Calculations'!$A$19:$Z$288,25,FALSE)</f>
        <v>0</v>
      </c>
      <c r="K34" s="179" t="str">
        <f>IF($D34&gt;=1,$J34+(D34*E34)+(F34*G34)+(H34*I34),IF($F34&gt;=1,$J34+(D34*E34)+(F34*G34)+(H34*I34),IF($H34&gt;=1,$J34+(D34*E34)+(F34*G34)+(H34*I34),"")))</f>
        <v/>
      </c>
      <c r="M34" s="1">
        <f>SUM(M11:M33)</f>
        <v>0</v>
      </c>
    </row>
    <row r="35" spans="1:15" ht="15" customHeight="1" thickBot="1">
      <c r="A35"/>
      <c r="B35"/>
      <c r="C35"/>
      <c r="D35" s="21"/>
      <c r="E35" s="21"/>
      <c r="F35" s="21"/>
      <c r="G35" s="21"/>
      <c r="H35" s="21"/>
      <c r="I35" s="360" t="s">
        <v>18</v>
      </c>
      <c r="J35" s="361"/>
      <c r="K35" s="183">
        <f>SUM(K11:K34)</f>
        <v>23671.589999999997</v>
      </c>
      <c r="M35" s="1">
        <f>SUMIFS(D11:D34,D11:D34,"&lt;3",D11:D34,"&lt;5")</f>
        <v>1</v>
      </c>
      <c r="N35" s="1">
        <f>SUMIFS(D11:D34,D11:D34,"&gt;3",D11:D34,"&gt;5")</f>
        <v>160</v>
      </c>
      <c r="O35" s="1">
        <f>SUM(F11:F34,H11:H34,M35,N35)-M34</f>
        <v>271</v>
      </c>
    </row>
    <row r="36" spans="1:15" ht="10" customHeight="1" thickBot="1"/>
    <row r="37" spans="1:15" s="19" customFormat="1" ht="15" customHeight="1" thickBot="1">
      <c r="A37" s="22" t="s">
        <v>19</v>
      </c>
      <c r="B37" s="23" t="s">
        <v>20</v>
      </c>
      <c r="C37" s="23"/>
      <c r="D37" s="23"/>
      <c r="E37" s="23"/>
      <c r="F37" s="23"/>
      <c r="G37" s="23"/>
      <c r="H37" s="18" t="s">
        <v>21</v>
      </c>
      <c r="I37" s="18" t="s">
        <v>22</v>
      </c>
      <c r="J37" s="18" t="s">
        <v>23</v>
      </c>
      <c r="K37" s="18" t="s">
        <v>17</v>
      </c>
    </row>
    <row r="38" spans="1:15" ht="15" customHeight="1">
      <c r="A38" s="43"/>
      <c r="B38" s="49">
        <f>VLOOKUP($C$38:$C$60,Equipment!$A$1:$B$2322,2,FALSE)</f>
        <v>0</v>
      </c>
      <c r="C38" s="24"/>
      <c r="D38" s="24"/>
      <c r="E38" s="24"/>
      <c r="F38" s="24"/>
      <c r="G38" s="24"/>
      <c r="H38" s="185"/>
      <c r="I38" s="184"/>
      <c r="J38" s="42">
        <f>VLOOKUP($B$38:$B$60,'Alberta Equip. Rates Year 3'!$B$13:$K$314,10,FALSE)</f>
        <v>0</v>
      </c>
      <c r="K38" s="181">
        <f>(H38+I38)*J38</f>
        <v>0</v>
      </c>
    </row>
    <row r="39" spans="1:15" ht="15" customHeight="1">
      <c r="A39" s="43"/>
      <c r="B39" s="49" t="str">
        <f>VLOOKUP($C$38:$C$60,Equipment!$A$1:$B$2322,2,FALSE)</f>
        <v>Crewcab - 3/4 Ton</v>
      </c>
      <c r="C39" s="24" t="s">
        <v>702</v>
      </c>
      <c r="D39" s="24"/>
      <c r="E39" s="24"/>
      <c r="F39" s="24"/>
      <c r="G39" s="24"/>
      <c r="H39" s="185">
        <v>1</v>
      </c>
      <c r="I39" s="184"/>
      <c r="J39" s="42">
        <f>VLOOKUP($B$38:$B$60,'Alberta Equip. Rates Year 3'!$B$13:$K$314,10,FALSE)</f>
        <v>153</v>
      </c>
      <c r="K39" s="181">
        <f>(H39+I39)*J39</f>
        <v>153</v>
      </c>
    </row>
    <row r="40" spans="1:15" ht="15" customHeight="1">
      <c r="A40" s="43"/>
      <c r="B40" s="49" t="str">
        <f>VLOOKUP($C$38:$C$60,Equipment!$A$1:$B$2322,2,FALSE)</f>
        <v>Diesel Heater 390,000 BTU</v>
      </c>
      <c r="C40" s="24" t="s">
        <v>4143</v>
      </c>
      <c r="D40" s="24"/>
      <c r="E40" s="24"/>
      <c r="F40" s="24"/>
      <c r="G40" s="24"/>
      <c r="H40" s="185">
        <v>1</v>
      </c>
      <c r="I40" s="184"/>
      <c r="J40" s="42">
        <f>VLOOKUP($B$38:$B$60,'Alberta Equip. Rates Year 3'!$B$13:$K$314,10,FALSE)</f>
        <v>41.43</v>
      </c>
      <c r="K40" s="181">
        <f>(H40+I40)*J40</f>
        <v>41.43</v>
      </c>
    </row>
    <row r="41" spans="1:15" ht="15" customHeight="1">
      <c r="A41" s="43"/>
      <c r="B41" s="49" t="str">
        <f>VLOOKUP($C$38:$C$60,Equipment!$A$1:$B$2322,2,FALSE)</f>
        <v>Diesel Heater 390,000 BTU</v>
      </c>
      <c r="C41" s="24" t="s">
        <v>4115</v>
      </c>
      <c r="D41" s="24"/>
      <c r="E41" s="24"/>
      <c r="F41" s="24"/>
      <c r="G41" s="24"/>
      <c r="H41" s="185">
        <v>1</v>
      </c>
      <c r="I41" s="184"/>
      <c r="J41" s="42">
        <f>VLOOKUP($B$38:$B$60,'Alberta Equip. Rates Year 3'!$B$13:$K$314,10,FALSE)</f>
        <v>41.43</v>
      </c>
      <c r="K41" s="181">
        <f>(H41+I41)*J41</f>
        <v>41.43</v>
      </c>
    </row>
    <row r="42" spans="1:15" ht="15" customHeight="1">
      <c r="A42" s="43"/>
      <c r="B42" s="49" t="str">
        <f>VLOOKUP($C$38:$C$60,Equipment!$A$1:$B$2322,2,FALSE)</f>
        <v>Mechanic's Rig</v>
      </c>
      <c r="C42" s="24" t="s">
        <v>2875</v>
      </c>
      <c r="D42" s="24"/>
      <c r="E42" s="24"/>
      <c r="F42" s="24"/>
      <c r="G42" s="24"/>
      <c r="H42" s="185"/>
      <c r="I42" s="184">
        <v>18</v>
      </c>
      <c r="J42" s="42">
        <f>VLOOKUP($B$38:$B$60,'Alberta Equip. Rates Year 3'!$B$13:$K$314,10,FALSE)</f>
        <v>48</v>
      </c>
      <c r="K42" s="181">
        <f>(H42+I42)*J42</f>
        <v>864</v>
      </c>
    </row>
    <row r="43" spans="1:15" ht="18.75" customHeight="1">
      <c r="A43" s="43"/>
      <c r="B43" s="49" t="str">
        <f>VLOOKUP($C$38:$C$60,Equipment!$A$1:$B$2322,2,FALSE)</f>
        <v>Mechanic's Rig</v>
      </c>
      <c r="C43" s="24" t="s">
        <v>2960</v>
      </c>
      <c r="D43" s="24"/>
      <c r="E43" s="24"/>
      <c r="F43" s="24"/>
      <c r="G43" s="24"/>
      <c r="H43" s="185"/>
      <c r="I43" s="184"/>
      <c r="J43" s="42">
        <f>VLOOKUP($B$38:$B$60,'Alberta Equip. Rates Year 3'!$B$13:$K$314,10,FALSE)</f>
        <v>48</v>
      </c>
      <c r="K43" s="181">
        <f t="shared" ref="K43:K49" si="1">(H43+I43)*J43</f>
        <v>0</v>
      </c>
    </row>
    <row r="44" spans="1:15" ht="15" customHeight="1">
      <c r="A44" s="43"/>
      <c r="B44" s="49" t="str">
        <f>VLOOKUP($C$38:$C$60,Equipment!$A$1:$B$2322,2,FALSE)</f>
        <v>Mechanic's Rig</v>
      </c>
      <c r="C44" s="24" t="s">
        <v>3711</v>
      </c>
      <c r="D44" s="24"/>
      <c r="E44" s="24"/>
      <c r="F44" s="24"/>
      <c r="G44" s="24"/>
      <c r="H44" s="185"/>
      <c r="I44" s="184">
        <v>17</v>
      </c>
      <c r="J44" s="42">
        <f>VLOOKUP($B$38:$B$60,'Alberta Equip. Rates Year 3'!$B$13:$K$314,10,FALSE)</f>
        <v>48</v>
      </c>
      <c r="K44" s="181">
        <f>(H44+I44)*J44</f>
        <v>816</v>
      </c>
    </row>
    <row r="45" spans="1:15" ht="15" customHeight="1">
      <c r="A45" s="43"/>
      <c r="B45" s="49" t="str">
        <f>VLOOKUP($C$38:$C$60,Equipment!$A$1:$B$2322,2,FALSE)</f>
        <v>Mechanic's Rig</v>
      </c>
      <c r="C45" s="24" t="s">
        <v>3884</v>
      </c>
      <c r="D45" s="24"/>
      <c r="E45" s="24"/>
      <c r="F45" s="24"/>
      <c r="G45" s="24"/>
      <c r="H45" s="185"/>
      <c r="I45" s="184">
        <v>18</v>
      </c>
      <c r="J45" s="42">
        <f>VLOOKUP($B$38:$B$60,'Alberta Equip. Rates Year 3'!$B$13:$K$314,10,FALSE)</f>
        <v>48</v>
      </c>
      <c r="K45" s="181">
        <f t="shared" si="1"/>
        <v>864</v>
      </c>
    </row>
    <row r="46" spans="1:15" ht="15" customHeight="1">
      <c r="A46" s="43"/>
      <c r="B46" s="49" t="str">
        <f>VLOOKUP($C$38:$C$60,Equipment!$A$1:$B$2322,2,FALSE)</f>
        <v>Mechanic's Rig</v>
      </c>
      <c r="C46" s="24" t="s">
        <v>1798</v>
      </c>
      <c r="D46" s="24"/>
      <c r="E46" s="24"/>
      <c r="F46" s="24"/>
      <c r="G46" s="24"/>
      <c r="H46" s="185"/>
      <c r="I46" s="184">
        <v>18</v>
      </c>
      <c r="J46" s="42">
        <f>VLOOKUP($B$38:$B$60,'Alberta Equip. Rates Year 3'!$B$13:$K$314,10,FALSE)</f>
        <v>48</v>
      </c>
      <c r="K46" s="181">
        <f t="shared" si="1"/>
        <v>864</v>
      </c>
    </row>
    <row r="47" spans="1:15" ht="15" customHeight="1">
      <c r="A47" s="43"/>
      <c r="B47" s="49" t="str">
        <f>VLOOKUP($C$38:$C$60,Equipment!$A$1:$B$2322,2,FALSE)</f>
        <v>Mechanic's Rig</v>
      </c>
      <c r="C47" s="24" t="s">
        <v>1799</v>
      </c>
      <c r="D47" s="24"/>
      <c r="E47" s="24"/>
      <c r="F47" s="24"/>
      <c r="G47" s="24"/>
      <c r="H47" s="185"/>
      <c r="I47" s="184">
        <v>19</v>
      </c>
      <c r="J47" s="42">
        <f>VLOOKUP($B$38:$B$60,'Alberta Equip. Rates Year 3'!$B$13:$K$314,10,FALSE)</f>
        <v>48</v>
      </c>
      <c r="K47" s="181">
        <f>(H47+I47)*J47</f>
        <v>912</v>
      </c>
    </row>
    <row r="48" spans="1:15" ht="15" customHeight="1">
      <c r="A48" s="43"/>
      <c r="B48" s="49" t="str">
        <f>VLOOKUP($C$38:$C$60,Equipment!$A$1:$B$2322,2,FALSE)</f>
        <v>Mechanic's Rig</v>
      </c>
      <c r="C48" s="24" t="s">
        <v>1801</v>
      </c>
      <c r="D48" s="24"/>
      <c r="E48" s="24"/>
      <c r="F48" s="24"/>
      <c r="G48" s="24"/>
      <c r="H48" s="185"/>
      <c r="I48" s="184">
        <v>18</v>
      </c>
      <c r="J48" s="42">
        <f>VLOOKUP($B$38:$B$60,'Alberta Equip. Rates Year 3'!$B$13:$K$314,10,FALSE)</f>
        <v>48</v>
      </c>
      <c r="K48" s="181">
        <f>(H48+I48)*J48</f>
        <v>864</v>
      </c>
    </row>
    <row r="49" spans="1:11" ht="15" customHeight="1">
      <c r="A49" s="43"/>
      <c r="B49" s="49" t="str">
        <f>VLOOKUP($C$38:$C$60,Equipment!$A$1:$B$2322,2,FALSE)</f>
        <v>Mechanic's Rig</v>
      </c>
      <c r="C49" s="24" t="s">
        <v>1831</v>
      </c>
      <c r="D49" s="24"/>
      <c r="E49" s="24"/>
      <c r="F49" s="24"/>
      <c r="G49" s="24"/>
      <c r="H49" s="185"/>
      <c r="I49" s="184">
        <v>19</v>
      </c>
      <c r="J49" s="42">
        <f>VLOOKUP($B$38:$B$60,'Alberta Equip. Rates Year 3'!$B$13:$K$314,10,FALSE)</f>
        <v>48</v>
      </c>
      <c r="K49" s="181">
        <f t="shared" si="1"/>
        <v>912</v>
      </c>
    </row>
    <row r="50" spans="1:11" ht="15" customHeight="1">
      <c r="A50" s="43"/>
      <c r="B50" s="49" t="str">
        <f>VLOOKUP($C$38:$C$60,Equipment!$A$1:$B$2322,2,FALSE)</f>
        <v>Mechanic's Rig</v>
      </c>
      <c r="C50" s="24" t="s">
        <v>1832</v>
      </c>
      <c r="D50" s="24"/>
      <c r="E50" s="24"/>
      <c r="F50" s="24"/>
      <c r="G50" s="24"/>
      <c r="H50" s="185"/>
      <c r="I50" s="184">
        <v>18</v>
      </c>
      <c r="J50" s="42">
        <f>VLOOKUP($B$38:$B$60,'Alberta Equip. Rates Year 3'!$B$13:$K$314,10,FALSE)</f>
        <v>48</v>
      </c>
      <c r="K50" s="181">
        <f t="shared" ref="K50:K60" si="2">(H50+I50)*J50</f>
        <v>864</v>
      </c>
    </row>
    <row r="51" spans="1:11" ht="15" customHeight="1">
      <c r="A51" s="43"/>
      <c r="B51" s="49" t="str">
        <f>VLOOKUP($C$38:$C$60,Equipment!$A$1:$B$2322,2,FALSE)</f>
        <v>Mechanic's Rig</v>
      </c>
      <c r="C51" s="24" t="s">
        <v>1998</v>
      </c>
      <c r="D51" s="24"/>
      <c r="E51" s="24"/>
      <c r="F51" s="24"/>
      <c r="G51" s="24"/>
      <c r="H51" s="185"/>
      <c r="I51" s="184">
        <v>18</v>
      </c>
      <c r="J51" s="42">
        <f>VLOOKUP($B$38:$B$60,'Alberta Equip. Rates Year 3'!$B$13:$K$314,10,FALSE)</f>
        <v>48</v>
      </c>
      <c r="K51" s="181">
        <f t="shared" si="2"/>
        <v>864</v>
      </c>
    </row>
    <row r="52" spans="1:11" ht="15" customHeight="1">
      <c r="A52" s="43"/>
      <c r="B52" s="49" t="str">
        <f>VLOOKUP($C$38:$C$60,Equipment!$A$1:$B$2322,2,FALSE)</f>
        <v>Mechanic's Rig</v>
      </c>
      <c r="C52" s="24" t="s">
        <v>2081</v>
      </c>
      <c r="D52" s="24"/>
      <c r="E52" s="24"/>
      <c r="F52" s="24"/>
      <c r="G52" s="24"/>
      <c r="H52" s="185"/>
      <c r="I52" s="184">
        <v>18</v>
      </c>
      <c r="J52" s="42">
        <f>VLOOKUP($B$38:$B$60,'Alberta Equip. Rates Year 3'!$B$13:$K$314,10,FALSE)</f>
        <v>48</v>
      </c>
      <c r="K52" s="181">
        <f t="shared" si="2"/>
        <v>864</v>
      </c>
    </row>
    <row r="53" spans="1:11" ht="15" customHeight="1">
      <c r="A53" s="43"/>
      <c r="B53" s="49" t="str">
        <f>VLOOKUP($C$38:$C$60,Equipment!$A$1:$B$2322,2,FALSE)</f>
        <v>Mechanic's Rig</v>
      </c>
      <c r="C53" s="24" t="s">
        <v>2258</v>
      </c>
      <c r="D53" s="24"/>
      <c r="E53" s="24"/>
      <c r="F53" s="24"/>
      <c r="G53" s="24"/>
      <c r="H53" s="185"/>
      <c r="I53" s="184">
        <v>18</v>
      </c>
      <c r="J53" s="42">
        <f>VLOOKUP($B$38:$B$60,'Alberta Equip. Rates Year 3'!$B$13:$K$314,10,FALSE)</f>
        <v>48</v>
      </c>
      <c r="K53" s="181">
        <f t="shared" si="2"/>
        <v>864</v>
      </c>
    </row>
    <row r="54" spans="1:11" ht="15" customHeight="1">
      <c r="A54" s="43"/>
      <c r="B54" s="49" t="str">
        <f>VLOOKUP($C$38:$C$60,Equipment!$A$1:$B$2322,2,FALSE)</f>
        <v>Mechanic's Rig</v>
      </c>
      <c r="C54" s="24" t="s">
        <v>2350</v>
      </c>
      <c r="D54" s="24"/>
      <c r="E54" s="24"/>
      <c r="F54" s="24"/>
      <c r="G54" s="24"/>
      <c r="H54" s="185"/>
      <c r="I54" s="184">
        <v>18</v>
      </c>
      <c r="J54" s="42">
        <f>VLOOKUP($B$38:$B$60,'Alberta Equip. Rates Year 3'!$B$13:$K$314,10,FALSE)</f>
        <v>48</v>
      </c>
      <c r="K54" s="181">
        <f t="shared" ref="K54:K59" si="3">(H54+I54)*J54</f>
        <v>864</v>
      </c>
    </row>
    <row r="55" spans="1:11" ht="15" customHeight="1">
      <c r="A55" s="43"/>
      <c r="B55" s="49" t="str">
        <f>VLOOKUP($C$38:$C$60,Equipment!$A$1:$B$2322,2,FALSE)</f>
        <v>Mechanic's Rig</v>
      </c>
      <c r="C55" s="24" t="s">
        <v>2527</v>
      </c>
      <c r="D55" s="24"/>
      <c r="E55" s="24"/>
      <c r="F55" s="24"/>
      <c r="G55" s="24"/>
      <c r="H55" s="185"/>
      <c r="I55" s="184">
        <v>18</v>
      </c>
      <c r="J55" s="42">
        <f>VLOOKUP($B$38:$B$60,'Alberta Equip. Rates Year 3'!$B$13:$K$314,10,FALSE)</f>
        <v>48</v>
      </c>
      <c r="K55" s="181">
        <f t="shared" si="3"/>
        <v>864</v>
      </c>
    </row>
    <row r="56" spans="1:11" ht="15" customHeight="1">
      <c r="A56" s="43"/>
      <c r="B56" s="49" t="str">
        <f>VLOOKUP($C$38:$C$60,Equipment!$A$1:$B$2322,2,FALSE)</f>
        <v>Service Truck</v>
      </c>
      <c r="C56" s="24" t="s">
        <v>1802</v>
      </c>
      <c r="D56" s="24"/>
      <c r="E56" s="24"/>
      <c r="F56" s="24"/>
      <c r="G56" s="24"/>
      <c r="H56" s="185">
        <v>1</v>
      </c>
      <c r="I56" s="184"/>
      <c r="J56" s="42">
        <f>VLOOKUP($B$38:$B$60,'Alberta Equip. Rates Year 3'!$B$13:$K$314,10,FALSE)</f>
        <v>741</v>
      </c>
      <c r="K56" s="181">
        <f t="shared" si="3"/>
        <v>741</v>
      </c>
    </row>
    <row r="57" spans="1:11" ht="15" customHeight="1">
      <c r="A57" s="43"/>
      <c r="B57" s="49" t="str">
        <f>VLOOKUP($C$38:$C$60,Equipment!$A$1:$B$2322,2,FALSE)</f>
        <v>Service Truck</v>
      </c>
      <c r="C57" s="24" t="s">
        <v>3382</v>
      </c>
      <c r="D57" s="24"/>
      <c r="E57" s="24"/>
      <c r="F57" s="24"/>
      <c r="G57" s="24"/>
      <c r="H57" s="185">
        <v>1</v>
      </c>
      <c r="I57" s="184"/>
      <c r="J57" s="42">
        <f>VLOOKUP($B$38:$B$60,'Alberta Equip. Rates Year 3'!$B$13:$K$314,10,FALSE)</f>
        <v>741</v>
      </c>
      <c r="K57" s="181">
        <f t="shared" si="3"/>
        <v>741</v>
      </c>
    </row>
    <row r="58" spans="1:11" ht="15" customHeight="1">
      <c r="A58" s="43"/>
      <c r="B58" s="49" t="str">
        <f>VLOOKUP($C$38:$C$60,Equipment!$A$1:$B$2322,2,FALSE)</f>
        <v>Wash Unit - Steam, Water Truck</v>
      </c>
      <c r="C58" s="24" t="s">
        <v>4031</v>
      </c>
      <c r="D58" s="24"/>
      <c r="E58" s="24"/>
      <c r="F58" s="24"/>
      <c r="G58" s="24"/>
      <c r="H58" s="185">
        <v>1</v>
      </c>
      <c r="I58" s="184"/>
      <c r="J58" s="42">
        <f>VLOOKUP($B$38:$B$60,'Alberta Equip. Rates Year 3'!$B$13:$K$314,10,FALSE)</f>
        <v>476.25</v>
      </c>
      <c r="K58" s="181">
        <f t="shared" si="3"/>
        <v>476.25</v>
      </c>
    </row>
    <row r="59" spans="1:11" ht="15" customHeight="1">
      <c r="A59" s="43"/>
      <c r="B59" s="49" t="str">
        <f>VLOOKUP($C$38:$C$60,Equipment!$A$1:$B$2322,2,FALSE)</f>
        <v>Welding Rig</v>
      </c>
      <c r="C59" s="24" t="s">
        <v>2801</v>
      </c>
      <c r="D59" s="24"/>
      <c r="E59" s="24"/>
      <c r="F59" s="24"/>
      <c r="G59" s="24"/>
      <c r="H59" s="185"/>
      <c r="I59" s="184">
        <v>18</v>
      </c>
      <c r="J59" s="42">
        <f>VLOOKUP($B$38:$B$60,'Alberta Equip. Rates Year 3'!$B$13:$K$314,10,FALSE)</f>
        <v>48</v>
      </c>
      <c r="K59" s="181">
        <f t="shared" si="3"/>
        <v>864</v>
      </c>
    </row>
    <row r="60" spans="1:11" ht="15" customHeight="1" thickBot="1">
      <c r="A60" s="43"/>
      <c r="B60" s="49">
        <f>VLOOKUP($C$38:$C$60,Equipment!$A$1:$B$2322,2,FALSE)</f>
        <v>0</v>
      </c>
      <c r="C60" s="24"/>
      <c r="D60" s="24"/>
      <c r="E60" s="24"/>
      <c r="F60" s="24"/>
      <c r="G60" s="24"/>
      <c r="H60" s="185"/>
      <c r="I60" s="184"/>
      <c r="J60" s="42">
        <f>VLOOKUP($B$38:$B$60,'Alberta Equip. Rates Year 3'!$B$13:$K$314,10,FALSE)</f>
        <v>0</v>
      </c>
      <c r="K60" s="181">
        <f t="shared" si="2"/>
        <v>0</v>
      </c>
    </row>
    <row r="61" spans="1:11" ht="12" thickBot="1">
      <c r="A61" s="25"/>
      <c r="B61" s="25"/>
      <c r="C61" s="25"/>
      <c r="D61" s="21"/>
      <c r="E61" s="21"/>
      <c r="F61" s="21"/>
      <c r="G61" s="21"/>
      <c r="H61" s="21"/>
      <c r="I61" s="360" t="s">
        <v>24</v>
      </c>
      <c r="J61" s="361"/>
      <c r="K61" s="182">
        <f>SUM(K38:K60)</f>
        <v>14338.11</v>
      </c>
    </row>
    <row r="62" spans="1:11" ht="12" thickBot="1">
      <c r="A62" s="26"/>
      <c r="D62" s="26"/>
      <c r="I62" s="27"/>
      <c r="J62" s="27"/>
      <c r="K62" s="28"/>
    </row>
    <row r="63" spans="1:11">
      <c r="A63" s="1" t="s">
        <v>25</v>
      </c>
      <c r="B63" s="29"/>
      <c r="D63" s="1"/>
      <c r="E63" s="1"/>
      <c r="F63" s="1"/>
      <c r="G63" s="1"/>
      <c r="H63" s="1"/>
      <c r="I63" s="362" t="s">
        <v>26</v>
      </c>
      <c r="J63" s="362"/>
      <c r="K63" s="37">
        <f>K35</f>
        <v>23671.589999999997</v>
      </c>
    </row>
    <row r="64" spans="1:11">
      <c r="D64" s="1"/>
      <c r="E64" s="1"/>
      <c r="F64" s="1"/>
      <c r="G64" s="1"/>
      <c r="H64" s="1"/>
      <c r="I64" s="362" t="s">
        <v>27</v>
      </c>
      <c r="J64" s="362"/>
      <c r="K64" s="38">
        <f>K61</f>
        <v>14338.11</v>
      </c>
    </row>
    <row r="65" spans="1:11">
      <c r="D65" s="1"/>
      <c r="E65" s="1"/>
      <c r="F65" s="1"/>
      <c r="G65" s="1"/>
      <c r="H65" s="1"/>
      <c r="I65" s="27" t="s">
        <v>28</v>
      </c>
      <c r="J65" s="27"/>
      <c r="K65" s="38">
        <f>(O35)*14.15</f>
        <v>3834.65</v>
      </c>
    </row>
    <row r="66" spans="1:11">
      <c r="D66" s="1"/>
      <c r="E66" s="1"/>
      <c r="F66" s="1"/>
      <c r="G66" s="1"/>
      <c r="H66" s="1"/>
      <c r="I66" s="30" t="s">
        <v>29</v>
      </c>
      <c r="J66" s="30"/>
      <c r="K66" s="39"/>
    </row>
    <row r="67" spans="1:11">
      <c r="D67" s="1"/>
      <c r="E67" s="1"/>
      <c r="F67" s="1"/>
      <c r="G67" s="1"/>
      <c r="H67" s="1"/>
      <c r="I67" s="30" t="s">
        <v>30</v>
      </c>
      <c r="J67" s="30"/>
      <c r="K67" s="39"/>
    </row>
    <row r="68" spans="1:11">
      <c r="D68" s="1"/>
      <c r="E68" s="1"/>
      <c r="F68" s="1"/>
      <c r="G68" s="1"/>
      <c r="H68" s="1"/>
      <c r="I68" s="30" t="s">
        <v>31</v>
      </c>
      <c r="J68" s="30"/>
      <c r="K68" s="39"/>
    </row>
    <row r="69" spans="1:11" ht="12" thickBot="1">
      <c r="D69" s="1"/>
      <c r="E69" s="1"/>
      <c r="F69" s="1"/>
      <c r="G69" s="1"/>
      <c r="H69" s="1"/>
      <c r="I69" s="362" t="s">
        <v>32</v>
      </c>
      <c r="J69" s="362"/>
      <c r="K69" s="40">
        <f>SUM(K63:K68)</f>
        <v>41844.35</v>
      </c>
    </row>
    <row r="70" spans="1:11">
      <c r="D70" s="1"/>
      <c r="E70" s="1"/>
      <c r="F70" s="1"/>
      <c r="G70" s="1"/>
      <c r="H70" s="1"/>
      <c r="I70" s="27"/>
      <c r="J70" s="27"/>
    </row>
    <row r="71" spans="1:11">
      <c r="A71" s="31" t="s">
        <v>33</v>
      </c>
      <c r="B71" s="32"/>
      <c r="C71" s="32"/>
      <c r="D71" s="1"/>
      <c r="H71" s="33" t="s">
        <v>34</v>
      </c>
      <c r="I71" s="32"/>
      <c r="J71" s="32"/>
      <c r="K71" s="32"/>
    </row>
    <row r="72" spans="1:11" ht="15">
      <c r="A72" s="34"/>
      <c r="E72" s="8"/>
      <c r="F72" s="8"/>
      <c r="G72" s="8"/>
      <c r="H72" s="35"/>
      <c r="I72" s="35"/>
      <c r="J72" s="35"/>
      <c r="K72" s="35"/>
    </row>
    <row r="73" spans="1:11" ht="15">
      <c r="A73" s="34" t="s">
        <v>35</v>
      </c>
      <c r="E73" s="8"/>
      <c r="F73" s="8"/>
      <c r="G73" s="8"/>
      <c r="H73" s="35"/>
      <c r="I73" s="35"/>
      <c r="J73" s="35"/>
      <c r="K73" s="35"/>
    </row>
    <row r="74" spans="1:11" s="34" customFormat="1">
      <c r="A74" s="363">
        <v>41218.479166666664</v>
      </c>
      <c r="B74" s="363"/>
      <c r="C74" s="364"/>
      <c r="D74" s="364"/>
      <c r="E74" s="364"/>
      <c r="F74" s="364"/>
      <c r="G74" s="364"/>
      <c r="H74" s="364"/>
      <c r="I74" s="364"/>
      <c r="J74" s="364"/>
      <c r="K74" s="8"/>
    </row>
    <row r="84" s="1" customFormat="1"/>
    <row r="85" s="1" customFormat="1"/>
    <row r="86" s="1" customFormat="1"/>
    <row r="87" s="1" customFormat="1"/>
    <row r="88" s="1" customFormat="1"/>
    <row r="89" s="1" customFormat="1"/>
    <row r="90" s="1" customFormat="1"/>
    <row r="91" s="1" customFormat="1"/>
    <row r="92" s="1" customFormat="1"/>
    <row r="93" s="1" customFormat="1"/>
    <row r="94" s="1" customFormat="1"/>
    <row r="95" s="1" customFormat="1"/>
    <row r="96" s="1" customFormat="1"/>
    <row r="97" s="1" customFormat="1"/>
    <row r="102" s="1" customFormat="1"/>
    <row r="130" s="1" customFormat="1"/>
    <row r="131" s="1" customFormat="1"/>
    <row r="132" s="1" customFormat="1"/>
    <row r="133" s="1" customFormat="1"/>
  </sheetData>
  <mergeCells count="12">
    <mergeCell ref="I61:J61"/>
    <mergeCell ref="I63:J63"/>
    <mergeCell ref="I64:J64"/>
    <mergeCell ref="I69:J69"/>
    <mergeCell ref="A74:B74"/>
    <mergeCell ref="C74:J74"/>
    <mergeCell ref="I35:J35"/>
    <mergeCell ref="C1:H1"/>
    <mergeCell ref="C2:H2"/>
    <mergeCell ref="C3:H3"/>
    <mergeCell ref="H6:I6"/>
    <mergeCell ref="H7:I7"/>
  </mergeCells>
  <conditionalFormatting sqref="M11:M18">
    <cfRule type="expression" dxfId="77" priority="40231">
      <formula>ISTEXT(A11:A34)</formula>
    </cfRule>
  </conditionalFormatting>
  <conditionalFormatting sqref="M19:M23">
    <cfRule type="expression" dxfId="76" priority="40226">
      <formula>ISTEXT(A19:A43)</formula>
    </cfRule>
  </conditionalFormatting>
  <conditionalFormatting sqref="M24:M34">
    <cfRule type="expression" dxfId="75" priority="40004">
      <formula>ISTEXT(A24:A49)</formula>
    </cfRule>
  </conditionalFormatting>
  <printOptions horizontalCentered="1"/>
  <pageMargins left="0.19685039370078741" right="0.19685039370078741" top="0.39370078740157483" bottom="0.39370078740157483" header="0" footer="0"/>
  <pageSetup orientation="portrait" horizontalDpi="4294967292" verticalDpi="4294967292"/>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1A00-000000000000}">
          <x14:formula1>
            <xm:f>Accounts!$A$4:$A$60</xm:f>
          </x14:formula1>
          <xm:sqref>K7</xm:sqref>
        </x14:dataValidation>
        <x14:dataValidation type="list" allowBlank="1" showInputMessage="1" showErrorMessage="1" xr:uid="{00000000-0002-0000-1A00-000001000000}">
          <x14:formula1>
            <xm:f>'Constr. Wage Rate Calculations'!$A$19:$A$288</xm:f>
          </x14:formula1>
          <xm:sqref>B11:B34</xm:sqref>
        </x14:dataValidation>
        <x14:dataValidation type="list" allowBlank="1" showInputMessage="1" showErrorMessage="1" xr:uid="{00000000-0002-0000-1A00-000002000000}">
          <x14:formula1>
            <xm:f>Personnel!$A:$A</xm:f>
          </x14:formula1>
          <xm:sqref>C11:C34</xm:sqref>
        </x14:dataValidation>
        <x14:dataValidation type="list" allowBlank="1" showInputMessage="1" showErrorMessage="1" xr:uid="{00000000-0002-0000-1A00-000003000000}">
          <x14:formula1>
            <xm:f>Equipment!$A:$A</xm:f>
          </x14:formula1>
          <xm:sqref>C38:C60</xm:sqref>
        </x14:dataValidation>
      </x14:dataValidations>
    </ext>
    <ext xmlns:mx="http://schemas.microsoft.com/office/mac/excel/2008/main" uri="{64002731-A6B0-56B0-2670-7721B7C09600}">
      <mx:PLV Mode="0" OnePage="0" WScale="0"/>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CCFFCC"/>
    <pageSetUpPr fitToPage="1"/>
  </sheetPr>
  <dimension ref="A1:O124"/>
  <sheetViews>
    <sheetView zoomScale="120" zoomScaleNormal="120" zoomScalePageLayoutView="120" workbookViewId="0">
      <selection activeCell="D14" sqref="D14"/>
    </sheetView>
  </sheetViews>
  <sheetFormatPr baseColWidth="10" defaultColWidth="8.83203125" defaultRowHeight="11"/>
  <cols>
    <col min="1" max="1" width="13" style="1" customWidth="1"/>
    <col min="2" max="2" width="30" style="1" customWidth="1"/>
    <col min="3" max="3" width="24.5" style="1" customWidth="1"/>
    <col min="4" max="4" width="8.6640625" style="2" customWidth="1"/>
    <col min="5" max="6" width="8.33203125" style="2" customWidth="1"/>
    <col min="7" max="8" width="8.6640625" style="2" customWidth="1"/>
    <col min="9" max="9" width="9.33203125" style="2" customWidth="1"/>
    <col min="10" max="10" width="8.6640625" style="2" customWidth="1"/>
    <col min="11" max="11" width="21.5" style="1" customWidth="1"/>
    <col min="12" max="12" width="3.5" style="1" hidden="1" customWidth="1"/>
    <col min="13" max="16384" width="8.83203125" style="1"/>
  </cols>
  <sheetData>
    <row r="1" spans="1:13" ht="15">
      <c r="C1" s="364"/>
      <c r="D1" s="365"/>
      <c r="E1" s="365"/>
      <c r="F1" s="365"/>
      <c r="G1" s="365"/>
      <c r="H1" s="366"/>
      <c r="J1" s="2" t="s">
        <v>0</v>
      </c>
      <c r="K1" s="197">
        <v>41659</v>
      </c>
      <c r="M1" s="45"/>
    </row>
    <row r="2" spans="1:13" ht="15">
      <c r="C2" s="367"/>
      <c r="D2" s="367"/>
      <c r="E2" s="367"/>
      <c r="F2" s="367"/>
      <c r="G2" s="367"/>
      <c r="H2" s="366"/>
      <c r="K2" s="41"/>
    </row>
    <row r="3" spans="1:13" ht="15">
      <c r="C3" s="368"/>
      <c r="D3" s="369"/>
      <c r="E3" s="369"/>
      <c r="F3" s="369"/>
      <c r="G3" s="369"/>
      <c r="H3" s="366"/>
    </row>
    <row r="4" spans="1:13">
      <c r="C4" s="3"/>
      <c r="D4" s="4"/>
      <c r="E4" s="4"/>
      <c r="F4" s="4"/>
      <c r="G4" s="4"/>
    </row>
    <row r="5" spans="1:13">
      <c r="C5" s="3"/>
      <c r="D5" s="4"/>
      <c r="E5" s="4"/>
      <c r="F5" s="4"/>
      <c r="G5" s="4"/>
    </row>
    <row r="6" spans="1:13" ht="12">
      <c r="B6" s="5"/>
      <c r="C6" s="6"/>
      <c r="D6" s="7"/>
      <c r="E6" s="8"/>
      <c r="F6" s="8"/>
      <c r="G6" s="1" t="s">
        <v>1</v>
      </c>
      <c r="H6" s="370">
        <v>18220</v>
      </c>
      <c r="I6" s="370"/>
      <c r="J6" s="1" t="s">
        <v>2</v>
      </c>
      <c r="K6" s="47"/>
    </row>
    <row r="7" spans="1:13" ht="12">
      <c r="A7" s="1" t="s">
        <v>3</v>
      </c>
      <c r="B7" s="9"/>
      <c r="C7" s="10"/>
      <c r="D7" s="11"/>
      <c r="E7" s="8"/>
      <c r="F7" s="8"/>
      <c r="G7" s="1" t="s">
        <v>4</v>
      </c>
      <c r="H7" s="371"/>
      <c r="I7" s="371"/>
      <c r="J7" s="1" t="s">
        <v>5</v>
      </c>
      <c r="K7" s="46"/>
    </row>
    <row r="8" spans="1:13" ht="12">
      <c r="B8" s="12"/>
      <c r="C8" s="13"/>
      <c r="D8" s="14"/>
      <c r="E8" s="8"/>
      <c r="F8" s="8"/>
      <c r="G8" s="1" t="s">
        <v>6</v>
      </c>
      <c r="H8" s="187"/>
      <c r="I8" s="188"/>
      <c r="J8" s="44"/>
    </row>
    <row r="9" spans="1:13" ht="16" thickBot="1">
      <c r="B9" s="15"/>
      <c r="C9" s="16"/>
      <c r="D9" s="16"/>
      <c r="E9" s="8"/>
      <c r="F9" s="8"/>
      <c r="G9" s="8"/>
    </row>
    <row r="10" spans="1:13" s="19" customFormat="1" ht="12" thickBot="1">
      <c r="A10" s="17" t="s">
        <v>7</v>
      </c>
      <c r="B10" s="17" t="s">
        <v>8</v>
      </c>
      <c r="C10" s="17" t="s">
        <v>9</v>
      </c>
      <c r="D10" s="18" t="s">
        <v>10</v>
      </c>
      <c r="E10" s="18" t="s">
        <v>11</v>
      </c>
      <c r="F10" s="18" t="s">
        <v>12</v>
      </c>
      <c r="G10" s="180" t="s">
        <v>13</v>
      </c>
      <c r="H10" s="18" t="s">
        <v>14</v>
      </c>
      <c r="I10" s="18" t="s">
        <v>15</v>
      </c>
      <c r="J10" s="18" t="s">
        <v>16</v>
      </c>
      <c r="K10" s="18" t="s">
        <v>17</v>
      </c>
      <c r="M10" s="19" t="s">
        <v>1797</v>
      </c>
    </row>
    <row r="11" spans="1:13" ht="15" customHeight="1">
      <c r="A11" s="48"/>
      <c r="B11" s="49">
        <f>VLOOKUP($C$11:$C$34,Personnel!$A$1:$B$1234,2,FALSE)</f>
        <v>0</v>
      </c>
      <c r="C11" s="36"/>
      <c r="D11" s="184"/>
      <c r="E11" s="179">
        <f>VLOOKUP($B$11:$B$34,'Constr. Wage Rate Calculations'!$A$19:$Z$288,22,FALSE)</f>
        <v>0</v>
      </c>
      <c r="F11" s="184"/>
      <c r="G11" s="179">
        <f>VLOOKUP($B$11:$B$34,'Constr. Wage Rate Calculations'!$A$19:$Z$288,23,FALSE)</f>
        <v>0</v>
      </c>
      <c r="H11" s="184"/>
      <c r="I11" s="179">
        <f>VLOOKUP($B$11:$B$34,'Constr. Wage Rate Calculations'!$A$19:$Z$288,24,FALSE)</f>
        <v>0</v>
      </c>
      <c r="J11" s="20">
        <f>VLOOKUP($B$11:$B$34,'Constr. Wage Rate Calculations'!$A$19:$Z$288,25,FALSE)</f>
        <v>0</v>
      </c>
      <c r="K11" s="179" t="str">
        <f t="shared" ref="K11:K16" si="0">IF($D11&gt;=1,$J11+(D11*E11)+(F11*G11)+(H11*I11),IF($F11&gt;=1,$J11+(D11*E11)+(F11*G11)+(H11*I11),IF($H11&gt;=1,$J11+(D11*E11)+(F11*G11)+(H11*I11),"")))</f>
        <v/>
      </c>
    </row>
    <row r="12" spans="1:13" ht="15" customHeight="1">
      <c r="A12" s="48"/>
      <c r="B12" s="49" t="str">
        <f>VLOOKUP($C$11:$C$34,Personnel!$A$1:$B$1234,2,FALSE)</f>
        <v>STRAW - OPERATOR</v>
      </c>
      <c r="C12" s="36" t="s">
        <v>739</v>
      </c>
      <c r="D12" s="184">
        <v>8</v>
      </c>
      <c r="E12" s="179">
        <f>VLOOKUP($B$11:$B$34,'Constr. Wage Rate Calculations'!$A$19:$Z$288,22,FALSE)</f>
        <v>64.239999999999995</v>
      </c>
      <c r="F12" s="184">
        <v>6</v>
      </c>
      <c r="G12" s="179">
        <f>VLOOKUP($B$11:$B$34,'Constr. Wage Rate Calculations'!$A$19:$Z$288,23,FALSE)</f>
        <v>96.36</v>
      </c>
      <c r="H12" s="184"/>
      <c r="I12" s="179">
        <f>VLOOKUP($B$11:$B$34,'Constr. Wage Rate Calculations'!$A$19:$Z$288,24,FALSE)</f>
        <v>128.47</v>
      </c>
      <c r="J12" s="20">
        <f>VLOOKUP($B$11:$B$34,'Constr. Wage Rate Calculations'!$A$19:$Z$288,25,FALSE)</f>
        <v>85</v>
      </c>
      <c r="K12" s="179">
        <f t="shared" si="0"/>
        <v>1177.08</v>
      </c>
      <c r="M12" s="1">
        <v>2</v>
      </c>
    </row>
    <row r="13" spans="1:13" ht="15" customHeight="1">
      <c r="A13" s="48"/>
      <c r="B13" s="49" t="str">
        <f>VLOOKUP($C$11:$C$34,Personnel!$A$1:$B$1234,2,FALSE)</f>
        <v>SPEC LABOUR (CARPENTER, ETC.)</v>
      </c>
      <c r="C13" s="36" t="s">
        <v>2153</v>
      </c>
      <c r="D13" s="184">
        <v>8</v>
      </c>
      <c r="E13" s="179">
        <f>VLOOKUP($B$11:$B$34,'Constr. Wage Rate Calculations'!$A$19:$Z$288,22,FALSE)</f>
        <v>49.84</v>
      </c>
      <c r="F13" s="184">
        <v>4</v>
      </c>
      <c r="G13" s="179">
        <f>VLOOKUP($B$11:$B$34,'Constr. Wage Rate Calculations'!$A$19:$Z$288,23,FALSE)</f>
        <v>74.75</v>
      </c>
      <c r="H13" s="184"/>
      <c r="I13" s="179">
        <f>VLOOKUP($B$11:$B$34,'Constr. Wage Rate Calculations'!$A$19:$Z$288,24,FALSE)</f>
        <v>99.67</v>
      </c>
      <c r="J13" s="20">
        <f>VLOOKUP($B$11:$B$34,'Constr. Wage Rate Calculations'!$A$19:$Z$288,25,FALSE)</f>
        <v>85</v>
      </c>
      <c r="K13" s="179">
        <f t="shared" si="0"/>
        <v>782.72</v>
      </c>
    </row>
    <row r="14" spans="1:13" ht="15" customHeight="1">
      <c r="A14" s="48"/>
      <c r="B14" s="49" t="str">
        <f>VLOOKUP($C$11:$C$34,Personnel!$A$1:$B$1234,2,FALSE)</f>
        <v>SPEC LABOUR (CARPENTER, ETC.)</v>
      </c>
      <c r="C14" s="36" t="s">
        <v>3870</v>
      </c>
      <c r="D14" s="184">
        <v>8</v>
      </c>
      <c r="E14" s="179">
        <f>VLOOKUP($B$11:$B$34,'Constr. Wage Rate Calculations'!$A$19:$Z$288,22,FALSE)</f>
        <v>49.84</v>
      </c>
      <c r="F14" s="184">
        <v>4</v>
      </c>
      <c r="G14" s="179">
        <f>VLOOKUP($B$11:$B$34,'Constr. Wage Rate Calculations'!$A$19:$Z$288,23,FALSE)</f>
        <v>74.75</v>
      </c>
      <c r="H14" s="184"/>
      <c r="I14" s="179">
        <f>VLOOKUP($B$11:$B$34,'Constr. Wage Rate Calculations'!$A$19:$Z$288,24,FALSE)</f>
        <v>99.67</v>
      </c>
      <c r="J14" s="20">
        <f>VLOOKUP($B$11:$B$34,'Constr. Wage Rate Calculations'!$A$19:$Z$288,25,FALSE)</f>
        <v>85</v>
      </c>
      <c r="K14" s="179">
        <f t="shared" si="0"/>
        <v>782.72</v>
      </c>
    </row>
    <row r="15" spans="1:13" ht="15" customHeight="1">
      <c r="A15" s="48"/>
      <c r="B15" s="49" t="str">
        <f>VLOOKUP($C$11:$C$34,Personnel!$A$1:$B$1234,2,FALSE)</f>
        <v>SPEC LABOUR (CARPENTER, ETC.)</v>
      </c>
      <c r="C15" s="36" t="s">
        <v>2561</v>
      </c>
      <c r="D15" s="184">
        <v>8</v>
      </c>
      <c r="E15" s="179">
        <f>VLOOKUP($B$11:$B$34,'Constr. Wage Rate Calculations'!$A$19:$Z$288,22,FALSE)</f>
        <v>49.84</v>
      </c>
      <c r="F15" s="184">
        <v>5</v>
      </c>
      <c r="G15" s="179">
        <f>VLOOKUP($B$11:$B$34,'Constr. Wage Rate Calculations'!$A$19:$Z$288,23,FALSE)</f>
        <v>74.75</v>
      </c>
      <c r="H15" s="184"/>
      <c r="I15" s="179">
        <f>VLOOKUP($B$11:$B$34,'Constr. Wage Rate Calculations'!$A$19:$Z$288,24,FALSE)</f>
        <v>99.67</v>
      </c>
      <c r="J15" s="20">
        <f>VLOOKUP($B$11:$B$34,'Constr. Wage Rate Calculations'!$A$19:$Z$288,25,FALSE)</f>
        <v>85</v>
      </c>
      <c r="K15" s="179">
        <f t="shared" si="0"/>
        <v>857.47</v>
      </c>
      <c r="M15" s="1">
        <v>1</v>
      </c>
    </row>
    <row r="16" spans="1:13" ht="15" customHeight="1">
      <c r="A16" s="48"/>
      <c r="B16" s="49" t="str">
        <f>VLOOKUP($C$11:$C$34,Personnel!$A$1:$B$1234,2,FALSE)</f>
        <v>PROJECT ENGINEER</v>
      </c>
      <c r="C16" s="36" t="s">
        <v>687</v>
      </c>
      <c r="D16" s="184">
        <v>1</v>
      </c>
      <c r="E16" s="179">
        <f>VLOOKUP($B$11:$B$34,'Constr. Wage Rate Calculations'!$A$19:$Z$288,22,FALSE)</f>
        <v>1332.16</v>
      </c>
      <c r="F16" s="184">
        <v>9</v>
      </c>
      <c r="G16" s="179">
        <f>VLOOKUP($B$11:$B$34,'Constr. Wage Rate Calculations'!$A$19:$Z$288,23,FALSE)</f>
        <v>0</v>
      </c>
      <c r="H16" s="184"/>
      <c r="I16" s="179">
        <f>VLOOKUP($B$11:$B$34,'Constr. Wage Rate Calculations'!$A$19:$Z$288,24,FALSE)</f>
        <v>0</v>
      </c>
      <c r="J16" s="20">
        <v>230</v>
      </c>
      <c r="K16" s="179">
        <f t="shared" si="0"/>
        <v>1562.16</v>
      </c>
    </row>
    <row r="17" spans="1:11" ht="15" customHeight="1">
      <c r="A17" s="48"/>
      <c r="B17" s="49">
        <f>VLOOKUP($C$11:$C$34,Personnel!$A$1:$B$1234,2,FALSE)</f>
        <v>0</v>
      </c>
      <c r="C17" s="36"/>
      <c r="D17" s="184"/>
      <c r="E17" s="179">
        <f>VLOOKUP($B$11:$B$34,'Constr. Wage Rate Calculations'!$A$19:$Z$288,22,FALSE)</f>
        <v>0</v>
      </c>
      <c r="F17" s="184"/>
      <c r="G17" s="179">
        <f>VLOOKUP($B$11:$B$34,'Constr. Wage Rate Calculations'!$A$19:$Z$288,23,FALSE)</f>
        <v>0</v>
      </c>
      <c r="H17" s="184"/>
      <c r="I17" s="179">
        <f>VLOOKUP($B$11:$B$34,'Constr. Wage Rate Calculations'!$A$19:$Z$288,24,FALSE)</f>
        <v>0</v>
      </c>
      <c r="J17" s="20">
        <f>VLOOKUP($B$11:$B$34,'Constr. Wage Rate Calculations'!$A$19:$Z$288,25,FALSE)</f>
        <v>0</v>
      </c>
      <c r="K17" s="179" t="str">
        <f>IF($D17&gt;=1,$J17+(D17*E17)+(F17*G17)+(H17*I17),IF($F17&gt;=1,$J17+(D17*E17)+(F17*G17)+(H17*I17),IF($H17&gt;=1,$J17+(D17*E17)+(F17*G17)+(H17*I17),"")))</f>
        <v/>
      </c>
    </row>
    <row r="18" spans="1:11" ht="15" customHeight="1">
      <c r="A18" s="48"/>
      <c r="B18" s="49">
        <f>VLOOKUP($C$11:$C$34,Personnel!$A$1:$B$1234,2,FALSE)</f>
        <v>0</v>
      </c>
      <c r="C18" s="36"/>
      <c r="D18" s="184"/>
      <c r="E18" s="179">
        <f>VLOOKUP($B$11:$B$34,'Constr. Wage Rate Calculations'!$A$19:$Z$288,22,FALSE)</f>
        <v>0</v>
      </c>
      <c r="F18" s="184"/>
      <c r="G18" s="179">
        <f>VLOOKUP($B$11:$B$34,'Constr. Wage Rate Calculations'!$A$19:$Z$288,23,FALSE)</f>
        <v>0</v>
      </c>
      <c r="H18" s="184"/>
      <c r="I18" s="179">
        <f>VLOOKUP($B$11:$B$34,'Constr. Wage Rate Calculations'!$A$19:$Z$288,24,FALSE)</f>
        <v>0</v>
      </c>
      <c r="J18" s="20">
        <f>VLOOKUP($B$11:$B$34,'Constr. Wage Rate Calculations'!$A$19:$Z$288,25,FALSE)</f>
        <v>0</v>
      </c>
      <c r="K18" s="179" t="str">
        <f t="shared" ref="K18:K33" si="1">IF($D18&gt;=1,$J18+(D18*E18)+(F18*G18)+(H18*I18),IF($F18&gt;=1,$J18+(D18*E18)+(F18*G18)+(H18*I18),IF($H18&gt;=1,$J18+(D18*E18)+(F18*G18)+(H18*I18),"")))</f>
        <v/>
      </c>
    </row>
    <row r="19" spans="1:11" ht="15" customHeight="1">
      <c r="A19" s="48"/>
      <c r="B19" s="49">
        <f>VLOOKUP($C$11:$C$34,Personnel!$A$1:$B$1234,2,FALSE)</f>
        <v>0</v>
      </c>
      <c r="C19" s="36"/>
      <c r="D19" s="184"/>
      <c r="E19" s="179">
        <f>VLOOKUP($B$11:$B$34,'Constr. Wage Rate Calculations'!$A$19:$Z$288,22,FALSE)</f>
        <v>0</v>
      </c>
      <c r="F19" s="184"/>
      <c r="G19" s="179">
        <f>VLOOKUP($B$11:$B$34,'Constr. Wage Rate Calculations'!$A$19:$Z$288,23,FALSE)</f>
        <v>0</v>
      </c>
      <c r="H19" s="184"/>
      <c r="I19" s="179">
        <f>VLOOKUP($B$11:$B$34,'Constr. Wage Rate Calculations'!$A$19:$Z$288,24,FALSE)</f>
        <v>0</v>
      </c>
      <c r="J19" s="20">
        <f>VLOOKUP($B$11:$B$34,'Constr. Wage Rate Calculations'!$A$19:$Z$288,25,FALSE)</f>
        <v>0</v>
      </c>
      <c r="K19" s="179" t="str">
        <f t="shared" si="1"/>
        <v/>
      </c>
    </row>
    <row r="20" spans="1:11" ht="14.25" customHeight="1">
      <c r="A20" s="48"/>
      <c r="B20" s="49">
        <f>VLOOKUP($C$11:$C$34,Personnel!$A$1:$B$1234,2,FALSE)</f>
        <v>0</v>
      </c>
      <c r="C20" s="36"/>
      <c r="D20" s="184"/>
      <c r="E20" s="179">
        <f>VLOOKUP($B$11:$B$34,'Constr. Wage Rate Calculations'!$A$19:$Z$288,22,FALSE)</f>
        <v>0</v>
      </c>
      <c r="F20" s="184"/>
      <c r="G20" s="179">
        <f>VLOOKUP($B$11:$B$34,'Constr. Wage Rate Calculations'!$A$19:$Z$288,23,FALSE)</f>
        <v>0</v>
      </c>
      <c r="H20" s="184"/>
      <c r="I20" s="179">
        <f>VLOOKUP($B$11:$B$34,'Constr. Wage Rate Calculations'!$A$19:$Z$288,24,FALSE)</f>
        <v>0</v>
      </c>
      <c r="J20" s="20">
        <f>VLOOKUP($B$11:$B$34,'Constr. Wage Rate Calculations'!$A$19:$Z$288,25,FALSE)</f>
        <v>0</v>
      </c>
      <c r="K20" s="179" t="str">
        <f t="shared" si="1"/>
        <v/>
      </c>
    </row>
    <row r="21" spans="1:11" ht="15" customHeight="1">
      <c r="A21" s="48"/>
      <c r="B21" s="49">
        <f>VLOOKUP($C$11:$C$34,Personnel!$A$1:$B$1234,2,FALSE)</f>
        <v>0</v>
      </c>
      <c r="C21" s="36"/>
      <c r="D21" s="184"/>
      <c r="E21" s="179">
        <f>VLOOKUP($B$11:$B$34,'Constr. Wage Rate Calculations'!$A$19:$Z$288,22,FALSE)</f>
        <v>0</v>
      </c>
      <c r="F21" s="184"/>
      <c r="G21" s="179">
        <f>VLOOKUP($B$11:$B$34,'Constr. Wage Rate Calculations'!$A$19:$Z$288,23,FALSE)</f>
        <v>0</v>
      </c>
      <c r="H21" s="184"/>
      <c r="I21" s="179">
        <f>VLOOKUP($B$11:$B$34,'Constr. Wage Rate Calculations'!$A$19:$Z$288,24,FALSE)</f>
        <v>0</v>
      </c>
      <c r="J21" s="20">
        <f>VLOOKUP($B$11:$B$34,'Constr. Wage Rate Calculations'!$A$19:$Z$288,25,FALSE)</f>
        <v>0</v>
      </c>
      <c r="K21" s="179" t="str">
        <f t="shared" si="1"/>
        <v/>
      </c>
    </row>
    <row r="22" spans="1:11" ht="15" customHeight="1">
      <c r="A22" s="48"/>
      <c r="B22" s="49">
        <f>VLOOKUP($C$11:$C$34,Personnel!$A$1:$B$1234,2,FALSE)</f>
        <v>0</v>
      </c>
      <c r="C22" s="36"/>
      <c r="D22" s="184"/>
      <c r="E22" s="179">
        <f>VLOOKUP($B$11:$B$34,'Constr. Wage Rate Calculations'!$A$19:$Z$288,22,FALSE)</f>
        <v>0</v>
      </c>
      <c r="F22" s="184"/>
      <c r="G22" s="179">
        <f>VLOOKUP($B$11:$B$34,'Constr. Wage Rate Calculations'!$A$19:$Z$288,23,FALSE)</f>
        <v>0</v>
      </c>
      <c r="H22" s="184"/>
      <c r="I22" s="179">
        <f>VLOOKUP($B$11:$B$34,'Constr. Wage Rate Calculations'!$A$19:$Z$288,24,FALSE)</f>
        <v>0</v>
      </c>
      <c r="J22" s="20">
        <f>VLOOKUP($B$11:$B$34,'Constr. Wage Rate Calculations'!$A$19:$Z$288,25,FALSE)</f>
        <v>0</v>
      </c>
      <c r="K22" s="179" t="str">
        <f t="shared" si="1"/>
        <v/>
      </c>
    </row>
    <row r="23" spans="1:11" ht="15" customHeight="1">
      <c r="A23" s="48"/>
      <c r="B23" s="49">
        <f>VLOOKUP($C$11:$C$34,Personnel!$A$1:$B$1234,2,FALSE)</f>
        <v>0</v>
      </c>
      <c r="C23" s="36"/>
      <c r="D23" s="184"/>
      <c r="E23" s="179">
        <f>VLOOKUP($B$11:$B$34,'Constr. Wage Rate Calculations'!$A$19:$Z$288,22,FALSE)</f>
        <v>0</v>
      </c>
      <c r="F23" s="184"/>
      <c r="G23" s="179">
        <f>VLOOKUP($B$11:$B$34,'Constr. Wage Rate Calculations'!$A$19:$Z$288,23,FALSE)</f>
        <v>0</v>
      </c>
      <c r="H23" s="184"/>
      <c r="I23" s="179">
        <f>VLOOKUP($B$11:$B$34,'Constr. Wage Rate Calculations'!$A$19:$Z$288,24,FALSE)</f>
        <v>0</v>
      </c>
      <c r="J23" s="20">
        <f>VLOOKUP($B$11:$B$34,'Constr. Wage Rate Calculations'!$A$19:$Z$288,25,FALSE)</f>
        <v>0</v>
      </c>
      <c r="K23" s="179" t="str">
        <f t="shared" si="1"/>
        <v/>
      </c>
    </row>
    <row r="24" spans="1:11" ht="15" customHeight="1">
      <c r="A24" s="48"/>
      <c r="B24" s="49">
        <f>VLOOKUP($C$11:$C$34,Personnel!$A$1:$B$1234,2,FALSE)</f>
        <v>0</v>
      </c>
      <c r="C24" s="36"/>
      <c r="D24" s="184"/>
      <c r="E24" s="179">
        <f>VLOOKUP($B$11:$B$34,'Constr. Wage Rate Calculations'!$A$19:$Z$288,22,FALSE)</f>
        <v>0</v>
      </c>
      <c r="F24" s="184"/>
      <c r="G24" s="179">
        <f>VLOOKUP($B$11:$B$34,'Constr. Wage Rate Calculations'!$A$19:$Z$288,23,FALSE)</f>
        <v>0</v>
      </c>
      <c r="H24" s="184"/>
      <c r="I24" s="179">
        <f>VLOOKUP($B$11:$B$34,'Constr. Wage Rate Calculations'!$A$19:$Z$288,24,FALSE)</f>
        <v>0</v>
      </c>
      <c r="J24" s="20">
        <f>VLOOKUP($B$11:$B$34,'Constr. Wage Rate Calculations'!$A$19:$Z$288,25,FALSE)</f>
        <v>0</v>
      </c>
      <c r="K24" s="179" t="str">
        <f t="shared" si="1"/>
        <v/>
      </c>
    </row>
    <row r="25" spans="1:11" ht="15" customHeight="1">
      <c r="A25" s="48"/>
      <c r="B25" s="49">
        <f>VLOOKUP($C$11:$C$34,Personnel!$A$1:$B$1234,2,FALSE)</f>
        <v>0</v>
      </c>
      <c r="C25" s="36"/>
      <c r="D25" s="184"/>
      <c r="E25" s="179">
        <f>VLOOKUP($B$11:$B$34,'Constr. Wage Rate Calculations'!$A$19:$Z$288,22,FALSE)</f>
        <v>0</v>
      </c>
      <c r="F25" s="184"/>
      <c r="G25" s="179">
        <f>VLOOKUP($B$11:$B$34,'Constr. Wage Rate Calculations'!$A$19:$Z$288,23,FALSE)</f>
        <v>0</v>
      </c>
      <c r="H25" s="184"/>
      <c r="I25" s="179">
        <f>VLOOKUP($B$11:$B$34,'Constr. Wage Rate Calculations'!$A$19:$Z$288,24,FALSE)</f>
        <v>0</v>
      </c>
      <c r="J25" s="20">
        <f>VLOOKUP($B$11:$B$34,'Constr. Wage Rate Calculations'!$A$19:$Z$288,25,FALSE)</f>
        <v>0</v>
      </c>
      <c r="K25" s="179" t="str">
        <f t="shared" si="1"/>
        <v/>
      </c>
    </row>
    <row r="26" spans="1:11" ht="15" customHeight="1">
      <c r="A26" s="48"/>
      <c r="B26" s="49">
        <f>VLOOKUP($C$11:$C$34,Personnel!$A$1:$B$1234,2,FALSE)</f>
        <v>0</v>
      </c>
      <c r="C26" s="36"/>
      <c r="D26" s="184"/>
      <c r="E26" s="179">
        <f>VLOOKUP($B$11:$B$34,'Constr. Wage Rate Calculations'!$A$19:$Z$288,22,FALSE)</f>
        <v>0</v>
      </c>
      <c r="F26" s="184"/>
      <c r="G26" s="179">
        <f>VLOOKUP($B$11:$B$34,'Constr. Wage Rate Calculations'!$A$19:$Z$288,23,FALSE)</f>
        <v>0</v>
      </c>
      <c r="H26" s="184"/>
      <c r="I26" s="179">
        <f>VLOOKUP($B$11:$B$34,'Constr. Wage Rate Calculations'!$A$19:$Z$288,24,FALSE)</f>
        <v>0</v>
      </c>
      <c r="J26" s="20">
        <f>VLOOKUP($B$11:$B$34,'Constr. Wage Rate Calculations'!$A$19:$Z$288,25,FALSE)</f>
        <v>0</v>
      </c>
      <c r="K26" s="179" t="str">
        <f t="shared" si="1"/>
        <v/>
      </c>
    </row>
    <row r="27" spans="1:11" ht="15" customHeight="1">
      <c r="A27" s="48"/>
      <c r="B27" s="49">
        <f>VLOOKUP($C$11:$C$34,Personnel!$A$1:$B$1234,2,FALSE)</f>
        <v>0</v>
      </c>
      <c r="C27" s="36"/>
      <c r="D27" s="184"/>
      <c r="E27" s="179">
        <f>VLOOKUP($B$11:$B$34,'Constr. Wage Rate Calculations'!$A$19:$Z$288,22,FALSE)</f>
        <v>0</v>
      </c>
      <c r="F27" s="20"/>
      <c r="G27" s="179">
        <f>VLOOKUP($B$11:$B$34,'Constr. Wage Rate Calculations'!$A$19:$Z$288,23,FALSE)</f>
        <v>0</v>
      </c>
      <c r="H27" s="184"/>
      <c r="I27" s="179">
        <f>VLOOKUP($B$11:$B$34,'Constr. Wage Rate Calculations'!$A$19:$Z$288,24,FALSE)</f>
        <v>0</v>
      </c>
      <c r="J27" s="20">
        <f>VLOOKUP($B$11:$B$34,'Constr. Wage Rate Calculations'!$A$19:$Z$288,25,FALSE)</f>
        <v>0</v>
      </c>
      <c r="K27" s="179" t="str">
        <f t="shared" si="1"/>
        <v/>
      </c>
    </row>
    <row r="28" spans="1:11" ht="15" customHeight="1">
      <c r="A28" s="48"/>
      <c r="B28" s="49">
        <f>VLOOKUP($C$11:$C$34,Personnel!$A$1:$B$1234,2,FALSE)</f>
        <v>0</v>
      </c>
      <c r="C28" s="36"/>
      <c r="D28" s="184"/>
      <c r="E28" s="179">
        <f>VLOOKUP($B$11:$B$34,'Constr. Wage Rate Calculations'!$A$19:$Z$288,22,FALSE)</f>
        <v>0</v>
      </c>
      <c r="F28" s="184"/>
      <c r="G28" s="179">
        <f>VLOOKUP($B$11:$B$34,'Constr. Wage Rate Calculations'!$A$19:$Z$288,23,FALSE)</f>
        <v>0</v>
      </c>
      <c r="H28" s="184"/>
      <c r="I28" s="179">
        <f>VLOOKUP($B$11:$B$34,'Constr. Wage Rate Calculations'!$A$19:$Z$288,24,FALSE)</f>
        <v>0</v>
      </c>
      <c r="J28" s="20">
        <f>VLOOKUP($B$11:$B$34,'Constr. Wage Rate Calculations'!$A$19:$Z$288,25,FALSE)</f>
        <v>0</v>
      </c>
      <c r="K28" s="179"/>
    </row>
    <row r="29" spans="1:11" ht="15" customHeight="1">
      <c r="A29" s="48"/>
      <c r="B29" s="49">
        <f>VLOOKUP($C$11:$C$34,Personnel!$A$1:$B$1234,2,FALSE)</f>
        <v>0</v>
      </c>
      <c r="C29" s="36"/>
      <c r="D29" s="184"/>
      <c r="E29" s="179">
        <f>VLOOKUP($B$11:$B$34,'Constr. Wage Rate Calculations'!$A$19:$Z$288,22,FALSE)</f>
        <v>0</v>
      </c>
      <c r="F29" s="184"/>
      <c r="G29" s="179">
        <f>VLOOKUP($B$11:$B$34,'Constr. Wage Rate Calculations'!$A$19:$Z$288,23,FALSE)</f>
        <v>0</v>
      </c>
      <c r="H29" s="184"/>
      <c r="I29" s="179">
        <f>VLOOKUP($B$11:$B$34,'Constr. Wage Rate Calculations'!$A$19:$Z$288,24,FALSE)</f>
        <v>0</v>
      </c>
      <c r="J29" s="20">
        <f>VLOOKUP($B$11:$B$34,'Constr. Wage Rate Calculations'!$A$19:$Z$288,25,FALSE)</f>
        <v>0</v>
      </c>
      <c r="K29" s="179"/>
    </row>
    <row r="30" spans="1:11" ht="15" customHeight="1">
      <c r="A30" s="48"/>
      <c r="B30" s="49">
        <f>VLOOKUP($C$11:$C$34,Personnel!$A$1:$B$1234,2,FALSE)</f>
        <v>0</v>
      </c>
      <c r="C30" s="36"/>
      <c r="D30" s="184"/>
      <c r="E30" s="179">
        <f>VLOOKUP($B$11:$B$34,'Constr. Wage Rate Calculations'!$A$19:$Z$288,22,FALSE)</f>
        <v>0</v>
      </c>
      <c r="F30" s="184"/>
      <c r="G30" s="179">
        <f>VLOOKUP($B$11:$B$34,'Constr. Wage Rate Calculations'!$A$19:$Z$288,23,FALSE)</f>
        <v>0</v>
      </c>
      <c r="H30" s="184"/>
      <c r="I30" s="179">
        <f>VLOOKUP($B$11:$B$34,'Constr. Wage Rate Calculations'!$A$19:$Z$288,24,FALSE)</f>
        <v>0</v>
      </c>
      <c r="J30" s="20">
        <f>VLOOKUP($B$11:$B$34,'Constr. Wage Rate Calculations'!$A$19:$Z$288,25,FALSE)</f>
        <v>0</v>
      </c>
      <c r="K30" s="179"/>
    </row>
    <row r="31" spans="1:11" ht="15" customHeight="1">
      <c r="A31" s="48"/>
      <c r="B31" s="49">
        <f>VLOOKUP($C$11:$C$34,Personnel!$A$1:$B$1234,2,FALSE)</f>
        <v>0</v>
      </c>
      <c r="C31" s="36"/>
      <c r="D31" s="184"/>
      <c r="E31" s="179">
        <f>VLOOKUP($B$11:$B$34,'Constr. Wage Rate Calculations'!$A$19:$Z$288,22,FALSE)</f>
        <v>0</v>
      </c>
      <c r="F31" s="184"/>
      <c r="G31" s="179">
        <f>VLOOKUP($B$11:$B$34,'Constr. Wage Rate Calculations'!$A$19:$Z$288,23,FALSE)</f>
        <v>0</v>
      </c>
      <c r="H31" s="184"/>
      <c r="I31" s="179">
        <f>VLOOKUP($B$11:$B$34,'Constr. Wage Rate Calculations'!$A$19:$Z$288,24,FALSE)</f>
        <v>0</v>
      </c>
      <c r="J31" s="20">
        <f>VLOOKUP($B$11:$B$34,'Constr. Wage Rate Calculations'!$A$19:$Z$288,25,FALSE)</f>
        <v>0</v>
      </c>
      <c r="K31" s="179" t="str">
        <f t="shared" si="1"/>
        <v/>
      </c>
    </row>
    <row r="32" spans="1:11" ht="15" customHeight="1">
      <c r="A32" s="48"/>
      <c r="B32" s="49">
        <f>VLOOKUP($C$11:$C$34,Personnel!$A$1:$B$1234,2,FALSE)</f>
        <v>0</v>
      </c>
      <c r="C32" s="36"/>
      <c r="D32" s="184"/>
      <c r="E32" s="179">
        <f>VLOOKUP($B$11:$B$34,'Constr. Wage Rate Calculations'!$A$19:$Z$288,22,FALSE)</f>
        <v>0</v>
      </c>
      <c r="F32" s="184"/>
      <c r="G32" s="179">
        <f>VLOOKUP($B$11:$B$34,'Constr. Wage Rate Calculations'!$A$19:$Z$288,23,FALSE)</f>
        <v>0</v>
      </c>
      <c r="H32" s="184"/>
      <c r="I32" s="179">
        <f>VLOOKUP($B$11:$B$34,'Constr. Wage Rate Calculations'!$A$19:$Z$288,24,FALSE)</f>
        <v>0</v>
      </c>
      <c r="J32" s="20">
        <f>VLOOKUP($B$11:$B$34,'Constr. Wage Rate Calculations'!$A$19:$Z$288,25,FALSE)</f>
        <v>0</v>
      </c>
      <c r="K32" s="179" t="str">
        <f t="shared" si="1"/>
        <v/>
      </c>
    </row>
    <row r="33" spans="1:15" ht="15" customHeight="1">
      <c r="A33" s="48"/>
      <c r="B33" s="49">
        <f>VLOOKUP($C$11:$C$34,Personnel!$A$1:$B$1234,2,FALSE)</f>
        <v>0</v>
      </c>
      <c r="C33" s="36"/>
      <c r="D33" s="184"/>
      <c r="E33" s="179">
        <f>VLOOKUP($B$11:$B$34,'Constr. Wage Rate Calculations'!$A$19:$Z$288,22,FALSE)</f>
        <v>0</v>
      </c>
      <c r="F33" s="184"/>
      <c r="G33" s="179">
        <f>VLOOKUP($B$11:$B$34,'Constr. Wage Rate Calculations'!$A$19:$Z$288,23,FALSE)</f>
        <v>0</v>
      </c>
      <c r="H33" s="184"/>
      <c r="I33" s="179">
        <f>VLOOKUP($B$11:$B$34,'Constr. Wage Rate Calculations'!$A$19:$Z$288,24,FALSE)</f>
        <v>0</v>
      </c>
      <c r="J33" s="20">
        <f>VLOOKUP($B$11:$B$34,'Constr. Wage Rate Calculations'!$A$19:$Z$288,25,FALSE)</f>
        <v>0</v>
      </c>
      <c r="K33" s="179" t="str">
        <f t="shared" si="1"/>
        <v/>
      </c>
    </row>
    <row r="34" spans="1:15" ht="15" customHeight="1" thickBot="1">
      <c r="A34" s="48"/>
      <c r="B34" s="49">
        <f>VLOOKUP($C$11:$C$34,Personnel!$A$1:$B$1234,2,FALSE)</f>
        <v>0</v>
      </c>
      <c r="C34" s="36"/>
      <c r="D34" s="184"/>
      <c r="E34" s="179">
        <f>VLOOKUP($B$11:$B$34,'Constr. Wage Rate Calculations'!$A$19:$Z$288,22,FALSE)</f>
        <v>0</v>
      </c>
      <c r="F34" s="184"/>
      <c r="G34" s="179">
        <f>VLOOKUP($B$11:$B$34,'Constr. Wage Rate Calculations'!$A$19:$Z$288,23,FALSE)</f>
        <v>0</v>
      </c>
      <c r="H34" s="184"/>
      <c r="I34" s="179">
        <f>VLOOKUP($B$11:$B$34,'Constr. Wage Rate Calculations'!$A$19:$Z$288,24,FALSE)</f>
        <v>0</v>
      </c>
      <c r="J34" s="20">
        <f>VLOOKUP($B$11:$B$34,'Constr. Wage Rate Calculations'!$A$19:$Z$288,25,FALSE)</f>
        <v>0</v>
      </c>
      <c r="K34" s="179" t="str">
        <f>IF($D34&gt;=1,$J34+(D34*E34)+(F34*G34)+(H34*I34),IF($F34&gt;=1,$J34+(D34*E34)+(F34*G34)+(H34*I34),IF($H34&gt;=1,$J34+(D34*E34)+(F34*G34)+(H34*I34),"")))</f>
        <v/>
      </c>
      <c r="M34" s="1">
        <f>SUM(M11:M32)</f>
        <v>3</v>
      </c>
    </row>
    <row r="35" spans="1:15" ht="15" customHeight="1" thickBot="1">
      <c r="A35"/>
      <c r="B35"/>
      <c r="C35"/>
      <c r="D35" s="21"/>
      <c r="E35" s="21"/>
      <c r="F35" s="21"/>
      <c r="G35" s="21"/>
      <c r="H35" s="21"/>
      <c r="I35" s="360" t="s">
        <v>18</v>
      </c>
      <c r="J35" s="361"/>
      <c r="K35" s="183">
        <f>SUM(K11:K34)</f>
        <v>5162.1499999999996</v>
      </c>
      <c r="M35" s="1">
        <f>SUMIFS(D11:D34,D11:D34,"&lt;3",D11:D34,"&lt;5")</f>
        <v>1</v>
      </c>
      <c r="N35" s="1">
        <f>SUMIFS(D11:D34,D11:D34,"&gt;3",D11:D34,"&gt;5")</f>
        <v>32</v>
      </c>
      <c r="O35" s="1">
        <f>SUM(F11:F34,H11:H34,M35,N35)-M34</f>
        <v>58</v>
      </c>
    </row>
    <row r="36" spans="1:15" ht="10" customHeight="1" thickBot="1"/>
    <row r="37" spans="1:15" s="19" customFormat="1" ht="15" customHeight="1" thickBot="1">
      <c r="A37" s="22" t="s">
        <v>19</v>
      </c>
      <c r="B37" s="23" t="s">
        <v>20</v>
      </c>
      <c r="C37" s="23"/>
      <c r="D37" s="23"/>
      <c r="E37" s="23"/>
      <c r="F37" s="23"/>
      <c r="G37" s="23"/>
      <c r="H37" s="18" t="s">
        <v>21</v>
      </c>
      <c r="I37" s="18" t="s">
        <v>22</v>
      </c>
      <c r="J37" s="18" t="s">
        <v>23</v>
      </c>
      <c r="K37" s="18" t="s">
        <v>17</v>
      </c>
    </row>
    <row r="38" spans="1:15" ht="15" customHeight="1">
      <c r="A38" s="43"/>
      <c r="B38" s="49">
        <f>VLOOKUP($C$38:$C$51,Equipment!$A$1:$B$2322,2,FALSE)</f>
        <v>0</v>
      </c>
      <c r="C38" s="24"/>
      <c r="D38" s="24"/>
      <c r="E38" s="24"/>
      <c r="F38" s="24"/>
      <c r="G38" s="24"/>
      <c r="H38" s="36"/>
      <c r="I38" s="20"/>
      <c r="J38" s="42">
        <f>VLOOKUP($B$38:$B$51,'Alberta Equip. Rates Year 3'!$B$13:$K$314,10,FALSE)</f>
        <v>0</v>
      </c>
      <c r="K38" s="181">
        <f t="shared" ref="K38:K46" si="2">(H38+I38)*J38</f>
        <v>0</v>
      </c>
    </row>
    <row r="39" spans="1:15" ht="15" customHeight="1">
      <c r="A39" s="43"/>
      <c r="B39" s="49" t="str">
        <f>VLOOKUP($C$38:$C$51,Equipment!$A$1:$B$2322,2,FALSE)</f>
        <v>Pickup - 3/4 Ton</v>
      </c>
      <c r="C39" s="24" t="s">
        <v>750</v>
      </c>
      <c r="D39" s="24"/>
      <c r="E39" s="24"/>
      <c r="F39" s="24"/>
      <c r="G39" s="24"/>
      <c r="H39" s="36">
        <v>1</v>
      </c>
      <c r="I39" s="20"/>
      <c r="J39" s="42">
        <f>VLOOKUP($B$38:$B$51,'Alberta Equip. Rates Year 3'!$B$13:$K$314,10,FALSE)</f>
        <v>145</v>
      </c>
      <c r="K39" s="181">
        <f>(H39+I39)*J39</f>
        <v>145</v>
      </c>
    </row>
    <row r="40" spans="1:15" ht="15" customHeight="1">
      <c r="A40" s="43"/>
      <c r="B40" s="49" t="str">
        <f>VLOOKUP($C$38:$C$51,Equipment!$A$1:$B$2322,2,FALSE)</f>
        <v>SUV  - Expedition/ Lexus/ Denali/ Yukon/ Navigator</v>
      </c>
      <c r="C40" s="24" t="s">
        <v>710</v>
      </c>
      <c r="D40" s="24"/>
      <c r="E40" s="24"/>
      <c r="F40" s="24"/>
      <c r="G40" s="24"/>
      <c r="H40" s="36">
        <v>1</v>
      </c>
      <c r="I40" s="184"/>
      <c r="J40" s="42">
        <f>VLOOKUP($B$38:$B$51,'Alberta Equip. Rates Year 3'!$B$13:$K$314,10,FALSE)</f>
        <v>138</v>
      </c>
      <c r="K40" s="181">
        <f>(H40+I40)*J40</f>
        <v>138</v>
      </c>
    </row>
    <row r="41" spans="1:15" ht="15" customHeight="1">
      <c r="A41" s="43"/>
      <c r="B41" s="49" t="str">
        <f>VLOOKUP($C$38:$C$51,Equipment!$A$1:$B$2322,2,FALSE)</f>
        <v>SUV  - Expedition/ Lexus/ Denali/ Yukon/ Navigator</v>
      </c>
      <c r="C41" s="24" t="s">
        <v>1256</v>
      </c>
      <c r="D41" s="24"/>
      <c r="E41" s="24"/>
      <c r="F41" s="24"/>
      <c r="G41" s="24"/>
      <c r="H41" s="36">
        <v>1</v>
      </c>
      <c r="I41" s="20"/>
      <c r="J41" s="42">
        <f>VLOOKUP($B$38:$B$51,'Alberta Equip. Rates Year 3'!$B$13:$K$314,10,FALSE)</f>
        <v>138</v>
      </c>
      <c r="K41" s="181">
        <f>(H41+I41)*J41</f>
        <v>138</v>
      </c>
    </row>
    <row r="42" spans="1:15" ht="15" customHeight="1">
      <c r="A42" s="43"/>
      <c r="B42" s="49">
        <f>VLOOKUP($C$38:$C$51,Equipment!$A$1:$B$2322,2,FALSE)</f>
        <v>0</v>
      </c>
      <c r="C42" s="24"/>
      <c r="D42" s="24"/>
      <c r="E42" s="24"/>
      <c r="F42" s="24"/>
      <c r="G42" s="24"/>
      <c r="H42" s="36"/>
      <c r="I42" s="184"/>
      <c r="J42" s="42">
        <f>VLOOKUP($B$38:$B$51,'Alberta Equip. Rates Year 3'!$B$13:$K$314,10,FALSE)</f>
        <v>0</v>
      </c>
      <c r="K42" s="181">
        <f>(H42+I42)*J42</f>
        <v>0</v>
      </c>
    </row>
    <row r="43" spans="1:15" ht="15" customHeight="1">
      <c r="A43" s="43"/>
      <c r="B43" s="49">
        <f>VLOOKUP($C$38:$C$51,Equipment!$A$1:$B$2322,2,FALSE)</f>
        <v>0</v>
      </c>
      <c r="C43" s="24"/>
      <c r="D43" s="24"/>
      <c r="E43" s="24"/>
      <c r="F43" s="24"/>
      <c r="G43" s="24"/>
      <c r="H43" s="36"/>
      <c r="I43" s="184"/>
      <c r="J43" s="42">
        <f>VLOOKUP($B$38:$B$51,'Alberta Equip. Rates Year 3'!$B$13:$K$314,10,FALSE)</f>
        <v>0</v>
      </c>
      <c r="K43" s="181">
        <f>(H43+I43)*J43</f>
        <v>0</v>
      </c>
    </row>
    <row r="44" spans="1:15" ht="15" customHeight="1">
      <c r="A44" s="43"/>
      <c r="B44" s="49">
        <f>VLOOKUP($C$38:$C$51,Equipment!$A$1:$B$2322,2,FALSE)</f>
        <v>0</v>
      </c>
      <c r="C44" s="24"/>
      <c r="D44" s="24"/>
      <c r="E44" s="24"/>
      <c r="F44" s="24"/>
      <c r="G44" s="24"/>
      <c r="H44" s="36"/>
      <c r="I44" s="20"/>
      <c r="J44" s="42">
        <f>VLOOKUP($B$38:$B$51,'Alberta Equip. Rates Year 3'!$B$13:$K$314,10,FALSE)</f>
        <v>0</v>
      </c>
      <c r="K44" s="181">
        <f t="shared" si="2"/>
        <v>0</v>
      </c>
    </row>
    <row r="45" spans="1:15" ht="15" customHeight="1">
      <c r="A45" s="43"/>
      <c r="B45" s="49">
        <f>VLOOKUP($C$38:$C$51,Equipment!$A$1:$B$2322,2,FALSE)</f>
        <v>0</v>
      </c>
      <c r="C45" s="24"/>
      <c r="D45" s="24"/>
      <c r="E45" s="24"/>
      <c r="F45" s="24"/>
      <c r="G45" s="24"/>
      <c r="H45" s="36"/>
      <c r="I45" s="184"/>
      <c r="J45" s="42">
        <f>VLOOKUP($B$38:$B$51,'Alberta Equip. Rates Year 3'!$B$13:$K$314,10,FALSE)</f>
        <v>0</v>
      </c>
      <c r="K45" s="181">
        <f>(H45+I45)*J45</f>
        <v>0</v>
      </c>
    </row>
    <row r="46" spans="1:15" ht="15" customHeight="1">
      <c r="A46" s="43"/>
      <c r="B46" s="49">
        <f>VLOOKUP($C$38:$C$51,Equipment!$A$1:$B$2322,2,FALSE)</f>
        <v>0</v>
      </c>
      <c r="C46" s="24"/>
      <c r="D46" s="24"/>
      <c r="E46" s="24"/>
      <c r="F46" s="24"/>
      <c r="G46" s="24"/>
      <c r="H46" s="36"/>
      <c r="I46" s="20"/>
      <c r="J46" s="42">
        <f>VLOOKUP($B$38:$B$51,'Alberta Equip. Rates Year 3'!$B$13:$K$314,10,FALSE)</f>
        <v>0</v>
      </c>
      <c r="K46" s="181">
        <f t="shared" si="2"/>
        <v>0</v>
      </c>
    </row>
    <row r="47" spans="1:15" ht="15.75" customHeight="1">
      <c r="A47" s="43"/>
      <c r="B47" s="49">
        <f>VLOOKUP($C$38:$C$51,Equipment!$A$1:$B$2322,2,FALSE)</f>
        <v>0</v>
      </c>
      <c r="C47" s="24"/>
      <c r="D47" s="24"/>
      <c r="E47" s="24"/>
      <c r="F47" s="24"/>
      <c r="G47" s="24"/>
      <c r="H47" s="36"/>
      <c r="I47" s="20"/>
      <c r="J47" s="42">
        <f>VLOOKUP($B$38:$B$51,'Alberta Equip. Rates Year 3'!$B$13:$K$314,10,FALSE)</f>
        <v>0</v>
      </c>
      <c r="K47" s="181">
        <f t="shared" ref="K47:K50" si="3">(H47+I47)*J47</f>
        <v>0</v>
      </c>
    </row>
    <row r="48" spans="1:15" ht="15.75" customHeight="1">
      <c r="A48" s="43"/>
      <c r="B48" s="49">
        <f>VLOOKUP($C$38:$C$51,Equipment!$A$1:$B$2322,2,FALSE)</f>
        <v>0</v>
      </c>
      <c r="C48" s="24"/>
      <c r="D48" s="24"/>
      <c r="E48" s="24"/>
      <c r="F48" s="24"/>
      <c r="G48" s="24"/>
      <c r="H48" s="36"/>
      <c r="I48" s="20"/>
      <c r="J48" s="42">
        <f>VLOOKUP($B$38:$B$51,'Alberta Equip. Rates Year 3'!$B$13:$K$314,10,FALSE)</f>
        <v>0</v>
      </c>
      <c r="K48" s="181">
        <f t="shared" ref="K48" si="4">(H48+I48)*J48</f>
        <v>0</v>
      </c>
    </row>
    <row r="49" spans="1:11" ht="15" customHeight="1">
      <c r="A49" s="43"/>
      <c r="B49" s="49">
        <f>VLOOKUP($C$38:$C$51,Equipment!$A$1:$B$2322,2,FALSE)</f>
        <v>0</v>
      </c>
      <c r="C49" s="24"/>
      <c r="D49" s="24"/>
      <c r="E49" s="24"/>
      <c r="F49" s="24"/>
      <c r="G49" s="24"/>
      <c r="H49" s="36"/>
      <c r="I49" s="20"/>
      <c r="J49" s="42">
        <f>VLOOKUP($B$38:$B$51,'Alberta Equip. Rates Year 3'!$B$13:$K$314,10,FALSE)</f>
        <v>0</v>
      </c>
      <c r="K49" s="181">
        <f t="shared" si="3"/>
        <v>0</v>
      </c>
    </row>
    <row r="50" spans="1:11" ht="15" customHeight="1">
      <c r="A50" s="43"/>
      <c r="B50" s="49">
        <f>VLOOKUP($C$38:$C$51,Equipment!$A$1:$B$2322,2,FALSE)</f>
        <v>0</v>
      </c>
      <c r="C50" s="24"/>
      <c r="D50" s="24"/>
      <c r="E50" s="24"/>
      <c r="F50" s="24"/>
      <c r="G50" s="24"/>
      <c r="H50" s="36"/>
      <c r="I50" s="184"/>
      <c r="J50" s="42">
        <f>VLOOKUP($B$38:$B$51,'Alberta Equip. Rates Year 3'!$B$13:$K$314,10,FALSE)</f>
        <v>0</v>
      </c>
      <c r="K50" s="181">
        <f t="shared" si="3"/>
        <v>0</v>
      </c>
    </row>
    <row r="51" spans="1:11" ht="15" customHeight="1" thickBot="1">
      <c r="A51" s="43"/>
      <c r="B51" s="49">
        <f>VLOOKUP($C$38:$C$51,Equipment!$A$1:$B$2322,2,FALSE)</f>
        <v>0</v>
      </c>
      <c r="C51" s="24"/>
      <c r="D51" s="24"/>
      <c r="E51" s="24"/>
      <c r="F51" s="24"/>
      <c r="G51" s="24"/>
      <c r="H51" s="185"/>
      <c r="I51" s="184"/>
      <c r="J51" s="42">
        <f>VLOOKUP($B$38:$B$51,'Alberta Equip. Rates Year 3'!$B$13:$K$314,10,FALSE)</f>
        <v>0</v>
      </c>
      <c r="K51" s="181">
        <f>(H51+I51)*J51</f>
        <v>0</v>
      </c>
    </row>
    <row r="52" spans="1:11" ht="12" thickBot="1">
      <c r="A52" s="25"/>
      <c r="B52" s="25"/>
      <c r="C52" s="25"/>
      <c r="D52" s="21"/>
      <c r="E52" s="21"/>
      <c r="F52" s="21"/>
      <c r="G52" s="21"/>
      <c r="H52" s="21"/>
      <c r="I52" s="360" t="s">
        <v>24</v>
      </c>
      <c r="J52" s="361"/>
      <c r="K52" s="182">
        <f>SUM(K38:K51)</f>
        <v>421</v>
      </c>
    </row>
    <row r="53" spans="1:11" ht="12" thickBot="1">
      <c r="A53" s="26"/>
      <c r="D53" s="26"/>
      <c r="I53" s="27"/>
      <c r="J53" s="27"/>
      <c r="K53" s="28"/>
    </row>
    <row r="54" spans="1:11">
      <c r="A54" s="1" t="s">
        <v>25</v>
      </c>
      <c r="B54" s="29"/>
      <c r="D54" s="1"/>
      <c r="E54" s="1"/>
      <c r="F54" s="1"/>
      <c r="G54" s="1"/>
      <c r="H54" s="1"/>
      <c r="I54" s="362" t="s">
        <v>26</v>
      </c>
      <c r="J54" s="362"/>
      <c r="K54" s="37">
        <f>K35</f>
        <v>5162.1499999999996</v>
      </c>
    </row>
    <row r="55" spans="1:11">
      <c r="D55" s="1"/>
      <c r="E55" s="1"/>
      <c r="F55" s="1"/>
      <c r="G55" s="1"/>
      <c r="H55" s="1"/>
      <c r="I55" s="362" t="s">
        <v>27</v>
      </c>
      <c r="J55" s="362"/>
      <c r="K55" s="38">
        <f>K52</f>
        <v>421</v>
      </c>
    </row>
    <row r="56" spans="1:11">
      <c r="D56" s="1"/>
      <c r="E56" s="1"/>
      <c r="F56" s="1"/>
      <c r="G56" s="1"/>
      <c r="H56" s="1"/>
      <c r="I56" s="27" t="s">
        <v>28</v>
      </c>
      <c r="J56" s="27"/>
      <c r="K56" s="38">
        <f>(O35)*14.15</f>
        <v>820.7</v>
      </c>
    </row>
    <row r="57" spans="1:11">
      <c r="D57" s="1"/>
      <c r="E57" s="1"/>
      <c r="F57" s="1"/>
      <c r="G57" s="1"/>
      <c r="H57" s="1"/>
      <c r="I57" s="30" t="s">
        <v>29</v>
      </c>
      <c r="J57" s="30"/>
      <c r="K57" s="39"/>
    </row>
    <row r="58" spans="1:11">
      <c r="D58" s="1"/>
      <c r="E58" s="1"/>
      <c r="F58" s="1"/>
      <c r="G58" s="1"/>
      <c r="H58" s="1"/>
      <c r="I58" s="30" t="s">
        <v>30</v>
      </c>
      <c r="J58" s="30"/>
      <c r="K58" s="39"/>
    </row>
    <row r="59" spans="1:11">
      <c r="D59" s="1"/>
      <c r="E59" s="1"/>
      <c r="F59" s="1"/>
      <c r="G59" s="1"/>
      <c r="H59" s="1"/>
      <c r="I59" s="30" t="s">
        <v>31</v>
      </c>
      <c r="J59" s="30"/>
      <c r="K59" s="39"/>
    </row>
    <row r="60" spans="1:11" ht="12" thickBot="1">
      <c r="D60" s="1"/>
      <c r="E60" s="1"/>
      <c r="F60" s="1"/>
      <c r="G60" s="1"/>
      <c r="H60" s="1"/>
      <c r="I60" s="362" t="s">
        <v>32</v>
      </c>
      <c r="J60" s="362"/>
      <c r="K60" s="40">
        <f>SUM(K54:K59)</f>
        <v>6403.8499999999995</v>
      </c>
    </row>
    <row r="61" spans="1:11">
      <c r="D61" s="1"/>
      <c r="E61" s="1"/>
      <c r="F61" s="1"/>
      <c r="G61" s="1"/>
      <c r="H61" s="1"/>
      <c r="I61" s="27"/>
      <c r="J61" s="27"/>
    </row>
    <row r="62" spans="1:11">
      <c r="A62" s="31" t="s">
        <v>33</v>
      </c>
      <c r="B62" s="32"/>
      <c r="C62" s="32"/>
      <c r="D62" s="1"/>
      <c r="H62" s="33" t="s">
        <v>34</v>
      </c>
      <c r="I62" s="32"/>
      <c r="J62" s="32"/>
      <c r="K62" s="32"/>
    </row>
    <row r="63" spans="1:11" ht="15">
      <c r="A63" s="34"/>
      <c r="E63" s="8"/>
      <c r="F63" s="8"/>
      <c r="G63" s="8"/>
      <c r="H63" s="35"/>
      <c r="I63" s="35"/>
      <c r="J63" s="35"/>
      <c r="K63" s="35"/>
    </row>
    <row r="64" spans="1:11" ht="15">
      <c r="A64" s="34" t="s">
        <v>35</v>
      </c>
      <c r="E64" s="8"/>
      <c r="F64" s="8"/>
      <c r="G64" s="8"/>
      <c r="H64" s="35"/>
      <c r="I64" s="35"/>
      <c r="J64" s="35"/>
      <c r="K64" s="35"/>
    </row>
    <row r="65" spans="1:11" s="34" customFormat="1">
      <c r="A65" s="363">
        <v>41218.479166666664</v>
      </c>
      <c r="B65" s="363"/>
      <c r="C65" s="364"/>
      <c r="D65" s="364"/>
      <c r="E65" s="364"/>
      <c r="F65" s="364"/>
      <c r="G65" s="364"/>
      <c r="H65" s="364"/>
      <c r="I65" s="364"/>
      <c r="J65" s="364"/>
      <c r="K65" s="8"/>
    </row>
    <row r="75" spans="1:11">
      <c r="D75" s="1"/>
      <c r="E75" s="1"/>
      <c r="F75" s="1"/>
      <c r="G75" s="1"/>
      <c r="H75" s="1"/>
      <c r="I75" s="1"/>
      <c r="J75" s="1"/>
    </row>
    <row r="76" spans="1:11">
      <c r="D76" s="1"/>
      <c r="E76" s="1"/>
      <c r="F76" s="1"/>
      <c r="G76" s="1"/>
      <c r="H76" s="1"/>
      <c r="I76" s="1"/>
      <c r="J76" s="1"/>
    </row>
    <row r="77" spans="1:11">
      <c r="D77" s="1"/>
      <c r="E77" s="1"/>
      <c r="F77" s="1"/>
      <c r="G77" s="1"/>
      <c r="H77" s="1"/>
      <c r="I77" s="1"/>
      <c r="J77" s="1"/>
    </row>
    <row r="78" spans="1:11">
      <c r="D78" s="1"/>
      <c r="E78" s="1"/>
      <c r="F78" s="1"/>
      <c r="G78" s="1"/>
      <c r="H78" s="1"/>
      <c r="I78" s="1"/>
      <c r="J78" s="1"/>
    </row>
    <row r="79" spans="1:11">
      <c r="D79" s="1"/>
      <c r="E79" s="1"/>
      <c r="F79" s="1"/>
      <c r="G79" s="1"/>
      <c r="H79" s="1"/>
      <c r="I79" s="1"/>
      <c r="J79" s="1"/>
    </row>
    <row r="80" spans="1:11">
      <c r="D80" s="1"/>
      <c r="E80" s="1"/>
      <c r="F80" s="1"/>
      <c r="G80" s="1"/>
      <c r="H80" s="1"/>
      <c r="I80" s="1"/>
      <c r="J80" s="1"/>
    </row>
    <row r="81" s="1" customFormat="1"/>
    <row r="82" s="1" customFormat="1"/>
    <row r="83" s="1" customFormat="1"/>
    <row r="84" s="1" customFormat="1"/>
    <row r="85" s="1" customFormat="1"/>
    <row r="86" s="1" customFormat="1"/>
    <row r="87" s="1" customFormat="1"/>
    <row r="88" s="1" customFormat="1"/>
    <row r="93" s="1" customFormat="1"/>
    <row r="121" s="1" customFormat="1"/>
    <row r="122" s="1" customFormat="1"/>
    <row r="123" s="1" customFormat="1"/>
    <row r="124" s="1" customFormat="1"/>
  </sheetData>
  <mergeCells count="12">
    <mergeCell ref="I52:J52"/>
    <mergeCell ref="I54:J54"/>
    <mergeCell ref="I55:J55"/>
    <mergeCell ref="I60:J60"/>
    <mergeCell ref="A65:B65"/>
    <mergeCell ref="C65:J65"/>
    <mergeCell ref="I35:J35"/>
    <mergeCell ref="C1:H1"/>
    <mergeCell ref="C2:H2"/>
    <mergeCell ref="C3:H3"/>
    <mergeCell ref="H6:I6"/>
    <mergeCell ref="H7:I7"/>
  </mergeCells>
  <conditionalFormatting sqref="M11:M34">
    <cfRule type="expression" dxfId="74" priority="34532">
      <formula>ISTEXT(A11:A34)</formula>
    </cfRule>
  </conditionalFormatting>
  <printOptions horizontalCentered="1"/>
  <pageMargins left="0.19685039370078741" right="0.19685039370078741" top="0.39370078740157483" bottom="0.39370078740157483" header="0" footer="0"/>
  <pageSetup orientation="portrait" horizontalDpi="4294967292" verticalDpi="4294967292"/>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1B00-000000000000}">
          <x14:formula1>
            <xm:f>Accounts!$A$4:$A$60</xm:f>
          </x14:formula1>
          <xm:sqref>K7</xm:sqref>
        </x14:dataValidation>
        <x14:dataValidation type="list" allowBlank="1" showInputMessage="1" showErrorMessage="1" xr:uid="{00000000-0002-0000-1B00-000001000000}">
          <x14:formula1>
            <xm:f>'Constr. Wage Rate Calculations'!$A$19:$A$288</xm:f>
          </x14:formula1>
          <xm:sqref>B11:B34</xm:sqref>
        </x14:dataValidation>
        <x14:dataValidation type="list" allowBlank="1" showInputMessage="1" showErrorMessage="1" xr:uid="{00000000-0002-0000-1B00-000002000000}">
          <x14:formula1>
            <xm:f>Personnel!$A:$A</xm:f>
          </x14:formula1>
          <xm:sqref>C11:C34</xm:sqref>
        </x14:dataValidation>
        <x14:dataValidation type="list" allowBlank="1" showInputMessage="1" showErrorMessage="1" xr:uid="{00000000-0002-0000-1B00-000004000000}">
          <x14:formula1>
            <xm:f>Equipment!$A:$A</xm:f>
          </x14:formula1>
          <xm:sqref>C38:C51</xm:sqref>
        </x14:dataValidation>
      </x14:dataValidations>
    </ext>
    <ext xmlns:mx="http://schemas.microsoft.com/office/mac/excel/2008/main" uri="{64002731-A6B0-56B0-2670-7721B7C09600}">
      <mx:PLV Mode="0" OnePage="0" WScale="0"/>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CCFFCC"/>
    <pageSetUpPr fitToPage="1"/>
  </sheetPr>
  <dimension ref="A1:O109"/>
  <sheetViews>
    <sheetView zoomScale="120" zoomScaleNormal="120" zoomScalePageLayoutView="120" workbookViewId="0">
      <selection activeCell="R41" sqref="R41"/>
    </sheetView>
  </sheetViews>
  <sheetFormatPr baseColWidth="10" defaultColWidth="8.83203125" defaultRowHeight="11"/>
  <cols>
    <col min="1" max="1" width="13" style="1" customWidth="1"/>
    <col min="2" max="2" width="30" style="1" customWidth="1"/>
    <col min="3" max="3" width="24.5" style="1" customWidth="1"/>
    <col min="4" max="4" width="8.6640625" style="2" customWidth="1"/>
    <col min="5" max="6" width="8.33203125" style="2" customWidth="1"/>
    <col min="7" max="8" width="8.6640625" style="2" customWidth="1"/>
    <col min="9" max="9" width="9.33203125" style="2" customWidth="1"/>
    <col min="10" max="10" width="8.6640625" style="2" customWidth="1"/>
    <col min="11" max="11" width="21.33203125" style="1" customWidth="1"/>
    <col min="12" max="12" width="3.5" style="1" hidden="1" customWidth="1"/>
    <col min="13" max="16384" width="8.83203125" style="1"/>
  </cols>
  <sheetData>
    <row r="1" spans="1:13" ht="15">
      <c r="C1" s="364"/>
      <c r="D1" s="365"/>
      <c r="E1" s="365"/>
      <c r="F1" s="365"/>
      <c r="G1" s="365"/>
      <c r="H1" s="366"/>
      <c r="J1" s="2" t="s">
        <v>0</v>
      </c>
      <c r="K1" s="197">
        <v>41659</v>
      </c>
      <c r="M1" s="45"/>
    </row>
    <row r="2" spans="1:13" ht="15">
      <c r="C2" s="367"/>
      <c r="D2" s="367"/>
      <c r="E2" s="367"/>
      <c r="F2" s="367"/>
      <c r="G2" s="367"/>
      <c r="H2" s="366"/>
      <c r="K2" s="41"/>
    </row>
    <row r="3" spans="1:13" ht="15">
      <c r="C3" s="368"/>
      <c r="D3" s="369"/>
      <c r="E3" s="369"/>
      <c r="F3" s="369"/>
      <c r="G3" s="369"/>
      <c r="H3" s="366"/>
    </row>
    <row r="4" spans="1:13">
      <c r="C4" s="3"/>
      <c r="D4" s="4"/>
      <c r="E4" s="4"/>
      <c r="F4" s="4"/>
      <c r="G4" s="4"/>
    </row>
    <row r="5" spans="1:13">
      <c r="C5" s="3"/>
      <c r="D5" s="4"/>
      <c r="E5" s="4"/>
      <c r="F5" s="4"/>
      <c r="G5" s="4"/>
    </row>
    <row r="6" spans="1:13" ht="12">
      <c r="B6" s="5"/>
      <c r="C6" s="6"/>
      <c r="D6" s="7"/>
      <c r="E6" s="8"/>
      <c r="F6" s="8"/>
      <c r="G6" s="1" t="s">
        <v>1</v>
      </c>
      <c r="H6" s="370">
        <v>18219</v>
      </c>
      <c r="I6" s="370"/>
      <c r="J6" s="1" t="s">
        <v>2</v>
      </c>
      <c r="K6" s="47"/>
    </row>
    <row r="7" spans="1:13" ht="12">
      <c r="A7" s="1" t="s">
        <v>3</v>
      </c>
      <c r="B7" s="9"/>
      <c r="C7" s="10"/>
      <c r="D7" s="11"/>
      <c r="E7" s="8"/>
      <c r="F7" s="8"/>
      <c r="G7" s="1" t="s">
        <v>4</v>
      </c>
      <c r="H7" s="371"/>
      <c r="I7" s="371"/>
      <c r="J7" s="1" t="s">
        <v>5</v>
      </c>
      <c r="K7" s="46"/>
    </row>
    <row r="8" spans="1:13" ht="12">
      <c r="B8" s="12"/>
      <c r="C8" s="13"/>
      <c r="D8" s="14"/>
      <c r="E8" s="8"/>
      <c r="F8" s="8"/>
      <c r="G8" s="1" t="s">
        <v>6</v>
      </c>
      <c r="H8" s="187"/>
      <c r="I8" s="188"/>
      <c r="J8" s="44"/>
    </row>
    <row r="9" spans="1:13" ht="16" thickBot="1">
      <c r="B9" s="15"/>
      <c r="C9" s="16"/>
      <c r="D9" s="16"/>
      <c r="E9" s="8"/>
      <c r="F9" s="8"/>
      <c r="G9" s="8"/>
    </row>
    <row r="10" spans="1:13" s="19" customFormat="1" ht="12" thickBot="1">
      <c r="A10" s="17" t="s">
        <v>7</v>
      </c>
      <c r="B10" s="17" t="s">
        <v>8</v>
      </c>
      <c r="C10" s="17" t="s">
        <v>9</v>
      </c>
      <c r="D10" s="18" t="s">
        <v>10</v>
      </c>
      <c r="E10" s="18" t="s">
        <v>11</v>
      </c>
      <c r="F10" s="18" t="s">
        <v>12</v>
      </c>
      <c r="G10" s="180" t="s">
        <v>13</v>
      </c>
      <c r="H10" s="18" t="s">
        <v>14</v>
      </c>
      <c r="I10" s="18" t="s">
        <v>15</v>
      </c>
      <c r="J10" s="18" t="s">
        <v>16</v>
      </c>
      <c r="K10" s="18" t="s">
        <v>17</v>
      </c>
      <c r="M10" s="19" t="s">
        <v>1797</v>
      </c>
    </row>
    <row r="11" spans="1:13" ht="15" customHeight="1">
      <c r="A11" s="48"/>
      <c r="B11" s="49">
        <f>VLOOKUP($C$11:$C$21,Personnel!$A$1:$B$1234,2,FALSE)</f>
        <v>0</v>
      </c>
      <c r="C11" s="36"/>
      <c r="D11" s="184"/>
      <c r="E11" s="179"/>
      <c r="F11" s="184"/>
      <c r="G11" s="179">
        <f>VLOOKUP($B$11:$B$21,'Constr. Wage Rate Calculations'!$A$19:$Z$288,23,FALSE)</f>
        <v>0</v>
      </c>
      <c r="H11" s="184"/>
      <c r="I11" s="179">
        <f>VLOOKUP($B$11:$B$21,'Constr. Wage Rate Calculations'!$A$19:$Z$288,24,FALSE)</f>
        <v>0</v>
      </c>
      <c r="J11" s="20">
        <f>VLOOKUP($B$11:$B$21,'Constr. Wage Rate Calculations'!$A$19:$Z$288,25,FALSE)*D11</f>
        <v>0</v>
      </c>
      <c r="K11" s="179" t="str">
        <f t="shared" ref="K11:K21" si="0">IF($D11&gt;=1,$J11+(D11*E11)+(F11*G11)+(H11*I11),IF($F11&gt;=1,$J11+(D11*E11)+(F11*G11)+(H11*I11),IF($H11&gt;=1,$J11+(D11*E11)+(F11*G11)+(H11*I11),"")))</f>
        <v/>
      </c>
    </row>
    <row r="12" spans="1:13" ht="15" customHeight="1">
      <c r="A12" s="48"/>
      <c r="B12" s="49" t="str">
        <f>VLOOKUP($C$11:$C$21,Personnel!$A$1:$B$1234,2,FALSE)</f>
        <v>INTERMEDIATE OPER</v>
      </c>
      <c r="C12" s="36" t="s">
        <v>3934</v>
      </c>
      <c r="D12" s="20">
        <v>8</v>
      </c>
      <c r="E12" s="179">
        <f>VLOOKUP($B$11:$B$21,'Constr. Wage Rate Calculations'!$A$19:$Z$288,22,FALSE)</f>
        <v>57.74</v>
      </c>
      <c r="F12" s="184">
        <v>4</v>
      </c>
      <c r="G12" s="179">
        <f>VLOOKUP($B$11:$B$21,'Constr. Wage Rate Calculations'!$A$19:$Z$288,23,FALSE)</f>
        <v>86.62</v>
      </c>
      <c r="H12" s="184"/>
      <c r="I12" s="179">
        <f>VLOOKUP($B$11:$B$21,'Constr. Wage Rate Calculations'!$A$19:$Z$288,24,FALSE)</f>
        <v>115.49</v>
      </c>
      <c r="J12" s="20">
        <f>VLOOKUP($B$11:$B$21,'Constr. Wage Rate Calculations'!$A$19:$Z$288,25,FALSE)</f>
        <v>85</v>
      </c>
      <c r="K12" s="179">
        <f t="shared" si="0"/>
        <v>893.40000000000009</v>
      </c>
    </row>
    <row r="13" spans="1:13" ht="15" customHeight="1">
      <c r="A13" s="48"/>
      <c r="B13" s="49" t="str">
        <f>VLOOKUP($C$11:$C$21,Personnel!$A$1:$B$1234,2,FALSE)</f>
        <v>INTERMEDIATE OPER</v>
      </c>
      <c r="C13" s="36" t="s">
        <v>3935</v>
      </c>
      <c r="D13" s="20">
        <v>8</v>
      </c>
      <c r="E13" s="179">
        <f>VLOOKUP($B$11:$B$21,'Constr. Wage Rate Calculations'!$A$19:$Z$288,22,FALSE)</f>
        <v>57.74</v>
      </c>
      <c r="F13" s="184">
        <v>5</v>
      </c>
      <c r="G13" s="179">
        <f>VLOOKUP($B$11:$B$21,'Constr. Wage Rate Calculations'!$A$19:$Z$288,23,FALSE)</f>
        <v>86.62</v>
      </c>
      <c r="H13" s="184"/>
      <c r="I13" s="179">
        <f>VLOOKUP($B$11:$B$21,'Constr. Wage Rate Calculations'!$A$19:$Z$288,24,FALSE)</f>
        <v>115.49</v>
      </c>
      <c r="J13" s="20">
        <f>VLOOKUP($B$11:$B$21,'Constr. Wage Rate Calculations'!$A$19:$Z$288,25,FALSE)</f>
        <v>85</v>
      </c>
      <c r="K13" s="179">
        <f t="shared" si="0"/>
        <v>980.0200000000001</v>
      </c>
      <c r="M13" s="1">
        <v>1</v>
      </c>
    </row>
    <row r="14" spans="1:13" ht="15" customHeight="1">
      <c r="A14" s="48"/>
      <c r="B14" s="49" t="str">
        <f>VLOOKUP($C$11:$C$21,Personnel!$A$1:$B$1234,2,FALSE)</f>
        <v>GENERAL LABOURER</v>
      </c>
      <c r="C14" s="36" t="s">
        <v>1107</v>
      </c>
      <c r="D14" s="20">
        <v>8</v>
      </c>
      <c r="E14" s="179">
        <f>VLOOKUP($B$11:$B$21,'Constr. Wage Rate Calculations'!$A$19:$Z$288,22,FALSE)</f>
        <v>48.1</v>
      </c>
      <c r="F14" s="184">
        <v>5</v>
      </c>
      <c r="G14" s="179">
        <f>VLOOKUP($B$11:$B$21,'Constr. Wage Rate Calculations'!$A$19:$Z$288,23,FALSE)</f>
        <v>72.150000000000006</v>
      </c>
      <c r="H14" s="184"/>
      <c r="I14" s="179">
        <f>VLOOKUP($B$11:$B$21,'Constr. Wage Rate Calculations'!$A$19:$Z$288,24,FALSE)</f>
        <v>96.2</v>
      </c>
      <c r="J14" s="20">
        <f>VLOOKUP($B$11:$B$21,'Constr. Wage Rate Calculations'!$A$19:$Z$288,25,FALSE)</f>
        <v>85</v>
      </c>
      <c r="K14" s="179">
        <f t="shared" si="0"/>
        <v>830.55</v>
      </c>
      <c r="M14" s="1">
        <v>1</v>
      </c>
    </row>
    <row r="15" spans="1:13" ht="15" customHeight="1">
      <c r="A15" s="48" t="s">
        <v>4040</v>
      </c>
      <c r="B15" s="49" t="str">
        <f>VLOOKUP($C$11:$C$21,Personnel!$A$1:$B$1234,2,FALSE)</f>
        <v>STRAW - OPERATOR</v>
      </c>
      <c r="C15" s="36" t="s">
        <v>842</v>
      </c>
      <c r="D15" s="20">
        <v>8</v>
      </c>
      <c r="E15" s="179">
        <f>VLOOKUP($B$11:$B$21,'Constr. Wage Rate Calculations'!$A$19:$Z$288,22,FALSE)</f>
        <v>64.239999999999995</v>
      </c>
      <c r="F15" s="184">
        <v>7</v>
      </c>
      <c r="G15" s="179">
        <f>VLOOKUP($B$11:$B$21,'Constr. Wage Rate Calculations'!$A$19:$Z$288,23,FALSE)</f>
        <v>96.36</v>
      </c>
      <c r="H15" s="184"/>
      <c r="I15" s="179">
        <f>VLOOKUP($B$11:$B$21,'Constr. Wage Rate Calculations'!$A$19:$Z$288,24,FALSE)</f>
        <v>128.47</v>
      </c>
      <c r="J15" s="20">
        <f>VLOOKUP($B$11:$B$21,'Constr. Wage Rate Calculations'!$A$19:$Z$288,25,FALSE)</f>
        <v>85</v>
      </c>
      <c r="K15" s="179">
        <f t="shared" si="0"/>
        <v>1273.44</v>
      </c>
      <c r="M15" s="1">
        <v>3</v>
      </c>
    </row>
    <row r="16" spans="1:13" ht="15" customHeight="1">
      <c r="A16" s="48"/>
      <c r="B16" s="49" t="str">
        <f>VLOOKUP($C$11:$C$21,Personnel!$A$1:$B$1234,2,FALSE)</f>
        <v>GENERAL LABOURER</v>
      </c>
      <c r="C16" s="36" t="s">
        <v>3133</v>
      </c>
      <c r="D16" s="20">
        <v>8</v>
      </c>
      <c r="E16" s="179">
        <f>VLOOKUP($B$11:$B$21,'Constr. Wage Rate Calculations'!$A$19:$Z$288,22,FALSE)</f>
        <v>48.1</v>
      </c>
      <c r="F16" s="20">
        <v>6</v>
      </c>
      <c r="G16" s="179">
        <f>VLOOKUP($B$11:$B$21,'Constr. Wage Rate Calculations'!$A$19:$Z$288,23,FALSE)</f>
        <v>72.150000000000006</v>
      </c>
      <c r="H16" s="20"/>
      <c r="I16" s="179">
        <f>VLOOKUP($B$11:$B$21,'Constr. Wage Rate Calculations'!$A$19:$Z$288,24,FALSE)</f>
        <v>96.2</v>
      </c>
      <c r="J16" s="20">
        <f>VLOOKUP($B$11:$B$21,'Constr. Wage Rate Calculations'!$A$19:$Z$288,25,FALSE)</f>
        <v>85</v>
      </c>
      <c r="K16" s="179">
        <f t="shared" si="0"/>
        <v>902.7</v>
      </c>
      <c r="M16" s="1">
        <v>2</v>
      </c>
    </row>
    <row r="17" spans="1:15" ht="15" customHeight="1">
      <c r="A17" s="48"/>
      <c r="B17" s="49" t="str">
        <f>VLOOKUP($C$11:$C$21,Personnel!$A$1:$B$1234,2,FALSE)</f>
        <v>INTERMEDIATE OPER</v>
      </c>
      <c r="C17" s="36" t="s">
        <v>3938</v>
      </c>
      <c r="D17" s="20">
        <v>8</v>
      </c>
      <c r="E17" s="179">
        <f>VLOOKUP($B$11:$B$21,'Constr. Wage Rate Calculations'!$A$19:$Z$288,22,FALSE)</f>
        <v>57.74</v>
      </c>
      <c r="F17" s="184">
        <v>4</v>
      </c>
      <c r="G17" s="179">
        <f>VLOOKUP($B$11:$B$21,'Constr. Wage Rate Calculations'!$A$19:$Z$288,23,FALSE)</f>
        <v>86.62</v>
      </c>
      <c r="H17" s="184"/>
      <c r="I17" s="179">
        <f>VLOOKUP($B$11:$B$21,'Constr. Wage Rate Calculations'!$A$19:$Z$288,24,FALSE)</f>
        <v>115.49</v>
      </c>
      <c r="J17" s="20">
        <f>VLOOKUP($B$11:$B$21,'Constr. Wage Rate Calculations'!$A$19:$Z$288,25,FALSE)</f>
        <v>85</v>
      </c>
      <c r="K17" s="179">
        <f t="shared" si="0"/>
        <v>893.40000000000009</v>
      </c>
    </row>
    <row r="18" spans="1:15" ht="15" customHeight="1">
      <c r="A18" s="48"/>
      <c r="B18" s="49">
        <f>VLOOKUP($C$11:$C$21,Personnel!$A$1:$B$1234,2,FALSE)</f>
        <v>0</v>
      </c>
      <c r="C18" s="36"/>
      <c r="D18" s="184"/>
      <c r="E18" s="179">
        <f>VLOOKUP($B$11:$B$21,'Constr. Wage Rate Calculations'!$A$19:$Z$288,22,FALSE)</f>
        <v>0</v>
      </c>
      <c r="F18" s="184"/>
      <c r="G18" s="179">
        <f>VLOOKUP($B$11:$B$21,'Constr. Wage Rate Calculations'!$A$19:$Z$288,23,FALSE)</f>
        <v>0</v>
      </c>
      <c r="H18" s="184"/>
      <c r="I18" s="179">
        <f>VLOOKUP($B$11:$B$21,'Constr. Wage Rate Calculations'!$A$19:$Z$288,24,FALSE)</f>
        <v>0</v>
      </c>
      <c r="J18" s="20">
        <f>VLOOKUP($B$11:$B$21,'Constr. Wage Rate Calculations'!$A$19:$Z$288,25,FALSE)</f>
        <v>0</v>
      </c>
      <c r="K18" s="179" t="str">
        <f t="shared" si="0"/>
        <v/>
      </c>
    </row>
    <row r="19" spans="1:15" ht="15" customHeight="1">
      <c r="A19" s="48"/>
      <c r="B19" s="49">
        <f>VLOOKUP($C$11:$C$21,Personnel!$A$1:$B$1234,2,FALSE)</f>
        <v>0</v>
      </c>
      <c r="C19" s="36"/>
      <c r="D19" s="20"/>
      <c r="E19" s="179">
        <f>VLOOKUP($B$11:$B$21,'Constr. Wage Rate Calculations'!$A$19:$Z$288,22,FALSE)</f>
        <v>0</v>
      </c>
      <c r="F19" s="184"/>
      <c r="G19" s="179">
        <f>VLOOKUP($B$11:$B$21,'Constr. Wage Rate Calculations'!$A$19:$Z$288,23,FALSE)</f>
        <v>0</v>
      </c>
      <c r="H19" s="184"/>
      <c r="I19" s="179">
        <f>VLOOKUP($B$11:$B$21,'Constr. Wage Rate Calculations'!$A$19:$Z$288,24,FALSE)</f>
        <v>0</v>
      </c>
      <c r="J19" s="20">
        <f>VLOOKUP($B$11:$B$21,'Constr. Wage Rate Calculations'!$A$19:$Z$288,25,FALSE)</f>
        <v>0</v>
      </c>
      <c r="K19" s="179" t="str">
        <f t="shared" si="0"/>
        <v/>
      </c>
    </row>
    <row r="20" spans="1:15" ht="15" customHeight="1">
      <c r="A20" s="48"/>
      <c r="B20" s="49">
        <f>VLOOKUP($C$11:$C$21,Personnel!$A$1:$B$1234,2,FALSE)</f>
        <v>0</v>
      </c>
      <c r="C20" s="36"/>
      <c r="D20" s="184"/>
      <c r="E20" s="179">
        <f>VLOOKUP($B$11:$B$21,'Constr. Wage Rate Calculations'!$A$19:$Z$288,22,FALSE)</f>
        <v>0</v>
      </c>
      <c r="F20" s="184"/>
      <c r="G20" s="179">
        <f>VLOOKUP($B$11:$B$21,'Constr. Wage Rate Calculations'!$A$19:$Z$288,23,FALSE)</f>
        <v>0</v>
      </c>
      <c r="H20" s="184"/>
      <c r="I20" s="179">
        <f>VLOOKUP($B$11:$B$21,'Constr. Wage Rate Calculations'!$A$19:$Z$288,24,FALSE)</f>
        <v>0</v>
      </c>
      <c r="J20" s="20">
        <f>VLOOKUP($B$11:$B$21,'Constr. Wage Rate Calculations'!$A$19:$Z$288,25,FALSE)</f>
        <v>0</v>
      </c>
      <c r="K20" s="179" t="str">
        <f t="shared" si="0"/>
        <v/>
      </c>
    </row>
    <row r="21" spans="1:15" ht="15" customHeight="1" thickBot="1">
      <c r="A21" s="48"/>
      <c r="B21" s="49">
        <f>VLOOKUP($C$11:$C$21,Personnel!$A$1:$B$1234,2,FALSE)</f>
        <v>0</v>
      </c>
      <c r="C21" s="36"/>
      <c r="D21" s="184"/>
      <c r="E21" s="179">
        <f>VLOOKUP($B$11:$B$21,'Constr. Wage Rate Calculations'!$A$19:$Z$288,22,FALSE)</f>
        <v>0</v>
      </c>
      <c r="F21" s="184"/>
      <c r="G21" s="179">
        <f>VLOOKUP($B$11:$B$21,'Constr. Wage Rate Calculations'!$A$19:$Z$288,23,FALSE)</f>
        <v>0</v>
      </c>
      <c r="H21" s="184"/>
      <c r="I21" s="179">
        <f>VLOOKUP($B$11:$B$21,'Constr. Wage Rate Calculations'!$A$19:$Z$288,24,FALSE)</f>
        <v>0</v>
      </c>
      <c r="J21" s="20">
        <f>VLOOKUP($B$11:$B$21,'Constr. Wage Rate Calculations'!$A$19:$Z$288,25,FALSE)</f>
        <v>0</v>
      </c>
      <c r="K21" s="179" t="str">
        <f t="shared" si="0"/>
        <v/>
      </c>
      <c r="M21" s="1">
        <f>SUM(M11:M18)</f>
        <v>7</v>
      </c>
    </row>
    <row r="22" spans="1:15" ht="15" customHeight="1" thickBot="1">
      <c r="A22"/>
      <c r="B22"/>
      <c r="C22"/>
      <c r="D22" s="21"/>
      <c r="E22" s="21"/>
      <c r="F22" s="21"/>
      <c r="G22" s="21"/>
      <c r="H22" s="21"/>
      <c r="I22" s="360" t="s">
        <v>18</v>
      </c>
      <c r="J22" s="361"/>
      <c r="K22" s="183">
        <f>SUM(K11:K21)</f>
        <v>5773.51</v>
      </c>
      <c r="M22" s="1">
        <f>SUMIFS(D11:D21,D11:D21,"&lt;3",D11:D21,"&lt;5")</f>
        <v>0</v>
      </c>
      <c r="N22" s="1">
        <f>SUMIFS(D11:D21,D11:D21,"&gt;3",D11:D21,"&gt;5")</f>
        <v>48</v>
      </c>
      <c r="O22" s="1">
        <f>SUM(F11:F21,H11:H21,M22,N22)-M21</f>
        <v>72</v>
      </c>
    </row>
    <row r="23" spans="1:15" ht="10" customHeight="1" thickBot="1"/>
    <row r="24" spans="1:15" s="19" customFormat="1" ht="15" customHeight="1" thickBot="1">
      <c r="A24" s="22" t="s">
        <v>19</v>
      </c>
      <c r="B24" s="23" t="s">
        <v>20</v>
      </c>
      <c r="C24" s="23"/>
      <c r="D24" s="23"/>
      <c r="E24" s="23"/>
      <c r="F24" s="23"/>
      <c r="G24" s="23"/>
      <c r="H24" s="18" t="s">
        <v>21</v>
      </c>
      <c r="I24" s="18" t="s">
        <v>22</v>
      </c>
      <c r="J24" s="18" t="s">
        <v>23</v>
      </c>
      <c r="K24" s="18" t="s">
        <v>17</v>
      </c>
    </row>
    <row r="25" spans="1:15" ht="18" customHeight="1">
      <c r="A25" s="43"/>
      <c r="B25" s="49">
        <f>VLOOKUP($C$25:$C$36,Equipment!$A$1:$B$2322,2,FALSE)</f>
        <v>0</v>
      </c>
      <c r="C25" s="24"/>
      <c r="D25" s="24"/>
      <c r="E25" s="24"/>
      <c r="F25" s="24"/>
      <c r="G25" s="24"/>
      <c r="H25" s="185"/>
      <c r="I25" s="184"/>
      <c r="J25" s="42">
        <f>VLOOKUP($B$25:$B$36,'Alberta Equip. Rates Year 3'!$B$13:$K$314,10,FALSE)</f>
        <v>0</v>
      </c>
      <c r="K25" s="181">
        <f>(H25+I25)*J25</f>
        <v>0</v>
      </c>
    </row>
    <row r="26" spans="1:15" ht="15" customHeight="1">
      <c r="A26" s="43"/>
      <c r="B26" s="49" t="str">
        <f>VLOOKUP($C$25:$C$36,Equipment!$A$1:$B$2322,2,FALSE)</f>
        <v>Crewcab - 1 Ton</v>
      </c>
      <c r="C26" s="24" t="s">
        <v>2733</v>
      </c>
      <c r="D26" s="24"/>
      <c r="E26" s="24"/>
      <c r="F26" s="24"/>
      <c r="G26" s="24"/>
      <c r="H26" s="36">
        <v>1</v>
      </c>
      <c r="I26" s="20"/>
      <c r="J26" s="42">
        <f>VLOOKUP($B$25:$B$36,'Alberta Equip. Rates Year 3'!$B$13:$K$314,10,FALSE)</f>
        <v>163</v>
      </c>
      <c r="K26" s="181">
        <f t="shared" ref="K26:K36" si="1">(H26+I26)*J26</f>
        <v>163</v>
      </c>
    </row>
    <row r="27" spans="1:15" ht="15" customHeight="1">
      <c r="A27" s="43"/>
      <c r="B27" s="49" t="str">
        <f>VLOOKUP($C$25:$C$36,Equipment!$A$1:$B$2322,2,FALSE)</f>
        <v>Light Tower  - 6 kW</v>
      </c>
      <c r="C27" s="24" t="s">
        <v>3940</v>
      </c>
      <c r="D27" s="24"/>
      <c r="E27" s="24"/>
      <c r="F27" s="24"/>
      <c r="G27" s="24"/>
      <c r="H27" s="36">
        <v>1</v>
      </c>
      <c r="I27" s="20"/>
      <c r="J27" s="42">
        <f>VLOOKUP($B$25:$B$36,'Alberta Equip. Rates Year 3'!$B$13:$K$314,10,FALSE)</f>
        <v>212</v>
      </c>
      <c r="K27" s="181">
        <f>(H27+I27)*J27</f>
        <v>212</v>
      </c>
    </row>
    <row r="28" spans="1:15" ht="15" customHeight="1">
      <c r="A28" s="43"/>
      <c r="B28" s="49" t="str">
        <f>VLOOKUP($C$25:$C$36,Equipment!$A$1:$B$2322,2,FALSE)</f>
        <v>Light Tower  - 6 kW</v>
      </c>
      <c r="C28" s="24" t="s">
        <v>3939</v>
      </c>
      <c r="D28" s="24"/>
      <c r="E28" s="24"/>
      <c r="F28" s="24"/>
      <c r="G28" s="24"/>
      <c r="H28" s="36">
        <v>1</v>
      </c>
      <c r="I28" s="20"/>
      <c r="J28" s="42">
        <f>VLOOKUP($B$25:$B$36,'Alberta Equip. Rates Year 3'!$B$13:$K$314,10,FALSE)</f>
        <v>212</v>
      </c>
      <c r="K28" s="181">
        <f t="shared" si="1"/>
        <v>212</v>
      </c>
    </row>
    <row r="29" spans="1:15" ht="15" customHeight="1">
      <c r="A29" s="43"/>
      <c r="B29" s="49">
        <f>VLOOKUP($C$25:$C$36,Equipment!$A$1:$B$2322,2,FALSE)</f>
        <v>0</v>
      </c>
      <c r="C29" s="24"/>
      <c r="D29" s="24"/>
      <c r="E29" s="24"/>
      <c r="F29" s="24"/>
      <c r="G29" s="24"/>
      <c r="H29" s="36"/>
      <c r="I29" s="20"/>
      <c r="J29" s="42">
        <f>VLOOKUP($B$25:$B$36,'Alberta Equip. Rates Year 3'!$B$13:$K$314,10,FALSE)</f>
        <v>0</v>
      </c>
      <c r="K29" s="181">
        <f t="shared" si="1"/>
        <v>0</v>
      </c>
    </row>
    <row r="30" spans="1:15" ht="15" customHeight="1">
      <c r="A30" s="43"/>
      <c r="B30" s="49">
        <f>VLOOKUP($C$25:$C$36,Equipment!$A$1:$B$2322,2,FALSE)</f>
        <v>0</v>
      </c>
      <c r="C30" s="24"/>
      <c r="D30" s="24"/>
      <c r="E30" s="24"/>
      <c r="F30" s="24"/>
      <c r="G30" s="24"/>
      <c r="H30" s="36"/>
      <c r="I30" s="20"/>
      <c r="J30" s="42">
        <f>VLOOKUP($B$25:$B$36,'Alberta Equip. Rates Year 3'!$B$13:$K$314,10,FALSE)</f>
        <v>0</v>
      </c>
      <c r="K30" s="181">
        <f t="shared" ref="K30:K31" si="2">(H30+I30)*J30</f>
        <v>0</v>
      </c>
    </row>
    <row r="31" spans="1:15" ht="15" customHeight="1">
      <c r="A31" s="43"/>
      <c r="B31" s="49">
        <f>VLOOKUP($C$25:$C$36,Equipment!$A$1:$B$2322,2,FALSE)</f>
        <v>0</v>
      </c>
      <c r="C31" s="24"/>
      <c r="D31" s="24"/>
      <c r="E31" s="24"/>
      <c r="F31" s="24"/>
      <c r="G31" s="24"/>
      <c r="H31" s="185"/>
      <c r="I31" s="184"/>
      <c r="J31" s="42">
        <f>VLOOKUP($B$25:$B$36,'Alberta Equip. Rates Year 3'!$B$13:$K$314,10,FALSE)</f>
        <v>0</v>
      </c>
      <c r="K31" s="181">
        <f t="shared" si="2"/>
        <v>0</v>
      </c>
    </row>
    <row r="32" spans="1:15" ht="15" customHeight="1">
      <c r="A32" s="43"/>
      <c r="B32" s="49">
        <f>VLOOKUP($C$25:$C$36,Equipment!$A$1:$B$2322,2,FALSE)</f>
        <v>0</v>
      </c>
      <c r="C32" s="24"/>
      <c r="D32" s="24"/>
      <c r="E32" s="24"/>
      <c r="F32" s="24"/>
      <c r="G32" s="24"/>
      <c r="H32" s="185"/>
      <c r="I32" s="184"/>
      <c r="J32" s="42">
        <f>VLOOKUP($B$25:$B$36,'Alberta Equip. Rates Year 3'!$B$13:$K$314,10,FALSE)</f>
        <v>0</v>
      </c>
      <c r="K32" s="181">
        <f t="shared" si="1"/>
        <v>0</v>
      </c>
    </row>
    <row r="33" spans="1:11" ht="15" customHeight="1">
      <c r="A33" s="43"/>
      <c r="B33" s="49">
        <f>VLOOKUP($C$25:$C$36,Equipment!$A$1:$B$2322,2,FALSE)</f>
        <v>0</v>
      </c>
      <c r="C33" s="24"/>
      <c r="D33" s="24"/>
      <c r="E33" s="24"/>
      <c r="F33" s="24"/>
      <c r="G33" s="24"/>
      <c r="H33" s="185"/>
      <c r="I33" s="184"/>
      <c r="J33" s="42">
        <f>VLOOKUP($B$25:$B$36,'Alberta Equip. Rates Year 3'!$B$13:$K$314,10,FALSE)</f>
        <v>0</v>
      </c>
      <c r="K33" s="181">
        <f t="shared" ref="K33:K35" si="3">(H33+I33)*J33</f>
        <v>0</v>
      </c>
    </row>
    <row r="34" spans="1:11" ht="15" customHeight="1">
      <c r="A34" s="43"/>
      <c r="B34" s="49">
        <f>VLOOKUP($C$25:$C$36,Equipment!$A$1:$B$2322,2,FALSE)</f>
        <v>0</v>
      </c>
      <c r="C34" s="24"/>
      <c r="D34" s="24"/>
      <c r="E34" s="24"/>
      <c r="F34" s="24"/>
      <c r="G34" s="24"/>
      <c r="H34" s="185"/>
      <c r="I34" s="184"/>
      <c r="J34" s="42">
        <f>VLOOKUP($B$25:$B$36,'Alberta Equip. Rates Year 3'!$B$13:$K$314,10,FALSE)</f>
        <v>0</v>
      </c>
      <c r="K34" s="181">
        <f t="shared" si="3"/>
        <v>0</v>
      </c>
    </row>
    <row r="35" spans="1:11" ht="15" customHeight="1">
      <c r="A35" s="43"/>
      <c r="B35" s="49">
        <f>VLOOKUP($C$25:$C$36,Equipment!$A$1:$B$2322,2,FALSE)</f>
        <v>0</v>
      </c>
      <c r="C35" s="24"/>
      <c r="D35" s="24"/>
      <c r="E35" s="24"/>
      <c r="F35" s="24"/>
      <c r="G35" s="24"/>
      <c r="H35" s="185"/>
      <c r="I35" s="184"/>
      <c r="J35" s="42">
        <f>VLOOKUP($B$25:$B$36,'Alberta Equip. Rates Year 3'!$B$13:$K$314,10,FALSE)</f>
        <v>0</v>
      </c>
      <c r="K35" s="181">
        <f t="shared" si="3"/>
        <v>0</v>
      </c>
    </row>
    <row r="36" spans="1:11" ht="15" customHeight="1" thickBot="1">
      <c r="A36" s="43"/>
      <c r="B36" s="49">
        <f>VLOOKUP($C$25:$C$36,Equipment!$A$1:$B$2322,2,FALSE)</f>
        <v>0</v>
      </c>
      <c r="C36" s="24"/>
      <c r="D36" s="24"/>
      <c r="E36" s="24"/>
      <c r="F36" s="24"/>
      <c r="G36" s="24"/>
      <c r="H36" s="185"/>
      <c r="I36" s="184"/>
      <c r="J36" s="42">
        <f>VLOOKUP($B$25:$B$36,'Alberta Equip. Rates Year 3'!$B$13:$K$314,10,FALSE)</f>
        <v>0</v>
      </c>
      <c r="K36" s="181">
        <f t="shared" si="1"/>
        <v>0</v>
      </c>
    </row>
    <row r="37" spans="1:11" ht="12" thickBot="1">
      <c r="A37" s="25"/>
      <c r="B37" s="25"/>
      <c r="C37" s="25"/>
      <c r="D37" s="21"/>
      <c r="E37" s="21"/>
      <c r="F37" s="21"/>
      <c r="G37" s="21"/>
      <c r="H37" s="21"/>
      <c r="I37" s="360" t="s">
        <v>24</v>
      </c>
      <c r="J37" s="361"/>
      <c r="K37" s="182">
        <f>SUM(K25:K36)</f>
        <v>587</v>
      </c>
    </row>
    <row r="38" spans="1:11" ht="12" thickBot="1">
      <c r="A38" s="26"/>
      <c r="D38" s="26"/>
      <c r="I38" s="27"/>
      <c r="J38" s="27"/>
      <c r="K38" s="28"/>
    </row>
    <row r="39" spans="1:11">
      <c r="A39" s="1" t="s">
        <v>25</v>
      </c>
      <c r="B39" s="29"/>
      <c r="D39" s="1"/>
      <c r="E39" s="1"/>
      <c r="F39" s="1"/>
      <c r="G39" s="1"/>
      <c r="H39" s="1"/>
      <c r="I39" s="362" t="s">
        <v>26</v>
      </c>
      <c r="J39" s="362"/>
      <c r="K39" s="37">
        <f>K22</f>
        <v>5773.51</v>
      </c>
    </row>
    <row r="40" spans="1:11">
      <c r="D40" s="1"/>
      <c r="E40" s="1"/>
      <c r="F40" s="1"/>
      <c r="G40" s="1"/>
      <c r="H40" s="1"/>
      <c r="I40" s="362" t="s">
        <v>27</v>
      </c>
      <c r="J40" s="362"/>
      <c r="K40" s="38">
        <f>K37</f>
        <v>587</v>
      </c>
    </row>
    <row r="41" spans="1:11">
      <c r="D41" s="1"/>
      <c r="E41" s="1"/>
      <c r="F41" s="1"/>
      <c r="G41" s="1"/>
      <c r="H41" s="1"/>
      <c r="I41" s="27" t="s">
        <v>28</v>
      </c>
      <c r="J41" s="27"/>
      <c r="K41" s="38">
        <f>(O22)*14.15</f>
        <v>1018.8000000000001</v>
      </c>
    </row>
    <row r="42" spans="1:11">
      <c r="D42" s="1"/>
      <c r="E42" s="1"/>
      <c r="F42" s="1"/>
      <c r="G42" s="1"/>
      <c r="H42" s="1"/>
      <c r="I42" s="30" t="s">
        <v>29</v>
      </c>
      <c r="J42" s="30"/>
      <c r="K42" s="39"/>
    </row>
    <row r="43" spans="1:11">
      <c r="D43" s="1"/>
      <c r="E43" s="1"/>
      <c r="F43" s="1"/>
      <c r="G43" s="1"/>
      <c r="H43" s="1"/>
      <c r="I43" s="30" t="s">
        <v>30</v>
      </c>
      <c r="J43" s="30"/>
      <c r="K43" s="39"/>
    </row>
    <row r="44" spans="1:11">
      <c r="D44" s="1"/>
      <c r="E44" s="1"/>
      <c r="F44" s="1"/>
      <c r="G44" s="1"/>
      <c r="H44" s="1"/>
      <c r="I44" s="30" t="s">
        <v>31</v>
      </c>
      <c r="J44" s="30"/>
      <c r="K44" s="39"/>
    </row>
    <row r="45" spans="1:11" ht="12" thickBot="1">
      <c r="D45" s="1"/>
      <c r="E45" s="1"/>
      <c r="F45" s="1"/>
      <c r="G45" s="1"/>
      <c r="H45" s="1"/>
      <c r="I45" s="362" t="s">
        <v>32</v>
      </c>
      <c r="J45" s="362"/>
      <c r="K45" s="40">
        <f>SUM(K39:K44)</f>
        <v>7379.31</v>
      </c>
    </row>
    <row r="46" spans="1:11">
      <c r="D46" s="1"/>
      <c r="E46" s="1"/>
      <c r="F46" s="1"/>
      <c r="G46" s="1"/>
      <c r="H46" s="1"/>
      <c r="I46" s="27"/>
      <c r="J46" s="27"/>
    </row>
    <row r="47" spans="1:11">
      <c r="A47" s="31" t="s">
        <v>33</v>
      </c>
      <c r="B47" s="32"/>
      <c r="C47" s="32"/>
      <c r="D47" s="1"/>
      <c r="H47" s="33" t="s">
        <v>34</v>
      </c>
      <c r="I47" s="32"/>
      <c r="J47" s="32"/>
      <c r="K47" s="32"/>
    </row>
    <row r="48" spans="1:11" ht="15">
      <c r="A48" s="34"/>
      <c r="E48" s="8"/>
      <c r="F48" s="8"/>
      <c r="G48" s="8"/>
      <c r="H48" s="35"/>
      <c r="I48" s="35"/>
      <c r="J48" s="35"/>
      <c r="K48" s="35"/>
    </row>
    <row r="49" spans="1:11" ht="15">
      <c r="A49" s="34"/>
      <c r="E49" s="8"/>
      <c r="F49" s="8"/>
      <c r="G49" s="8"/>
      <c r="H49" s="35"/>
      <c r="I49" s="35"/>
      <c r="J49" s="35"/>
      <c r="K49" s="35"/>
    </row>
    <row r="50" spans="1:11" s="34" customFormat="1">
      <c r="A50" s="363"/>
      <c r="B50" s="363"/>
      <c r="C50" s="364"/>
      <c r="D50" s="364"/>
      <c r="E50" s="364"/>
      <c r="F50" s="364"/>
      <c r="G50" s="364"/>
      <c r="H50" s="364"/>
      <c r="I50" s="364"/>
      <c r="J50" s="364"/>
      <c r="K50" s="8"/>
    </row>
    <row r="60" spans="1:11">
      <c r="D60" s="1"/>
      <c r="E60" s="1"/>
      <c r="F60" s="1"/>
      <c r="G60" s="1"/>
      <c r="H60" s="1"/>
      <c r="I60" s="1"/>
      <c r="J60" s="1"/>
    </row>
    <row r="61" spans="1:11">
      <c r="D61" s="1"/>
      <c r="E61" s="1"/>
      <c r="F61" s="1"/>
      <c r="G61" s="1"/>
      <c r="H61" s="1"/>
      <c r="I61" s="1"/>
      <c r="J61" s="1"/>
    </row>
    <row r="62" spans="1:11">
      <c r="D62" s="1"/>
      <c r="E62" s="1"/>
      <c r="F62" s="1"/>
      <c r="G62" s="1"/>
      <c r="H62" s="1"/>
      <c r="I62" s="1"/>
      <c r="J62" s="1"/>
    </row>
    <row r="63" spans="1:11">
      <c r="D63" s="1"/>
      <c r="E63" s="1"/>
      <c r="F63" s="1"/>
      <c r="G63" s="1"/>
      <c r="H63" s="1"/>
      <c r="I63" s="1"/>
      <c r="J63" s="1"/>
    </row>
    <row r="64" spans="1:11">
      <c r="D64" s="1"/>
      <c r="E64" s="1"/>
      <c r="F64" s="1"/>
      <c r="G64" s="1"/>
      <c r="H64" s="1"/>
      <c r="I64" s="1"/>
      <c r="J64" s="1"/>
    </row>
    <row r="65" s="1" customFormat="1"/>
    <row r="66" s="1" customFormat="1"/>
    <row r="67" s="1" customFormat="1"/>
    <row r="68" s="1" customFormat="1"/>
    <row r="69" s="1" customFormat="1"/>
    <row r="70" s="1" customFormat="1"/>
    <row r="71" s="1" customFormat="1"/>
    <row r="72" s="1" customFormat="1"/>
    <row r="73" s="1" customFormat="1"/>
    <row r="78" s="1" customFormat="1"/>
    <row r="106" s="1" customFormat="1"/>
    <row r="107" s="1" customFormat="1"/>
    <row r="108" s="1" customFormat="1"/>
    <row r="109" s="1" customFormat="1"/>
  </sheetData>
  <mergeCells count="12">
    <mergeCell ref="I37:J37"/>
    <mergeCell ref="I39:J39"/>
    <mergeCell ref="I40:J40"/>
    <mergeCell ref="I45:J45"/>
    <mergeCell ref="A50:B50"/>
    <mergeCell ref="C50:J50"/>
    <mergeCell ref="I22:J22"/>
    <mergeCell ref="C1:H1"/>
    <mergeCell ref="C2:H2"/>
    <mergeCell ref="C3:H3"/>
    <mergeCell ref="H6:I6"/>
    <mergeCell ref="H7:I7"/>
  </mergeCells>
  <conditionalFormatting sqref="M11:M12">
    <cfRule type="expression" dxfId="73" priority="40223">
      <formula>ISTEXT(A11:A21)</formula>
    </cfRule>
  </conditionalFormatting>
  <conditionalFormatting sqref="M13:M21">
    <cfRule type="expression" dxfId="72" priority="34717">
      <formula>ISTEXT(A13:A24)</formula>
    </cfRule>
  </conditionalFormatting>
  <printOptions horizontalCentered="1"/>
  <pageMargins left="0.19685039370078741" right="0.19685039370078741" top="0.39370078740157483" bottom="0.39370078740157483" header="0" footer="0"/>
  <pageSetup orientation="portrait" horizontalDpi="4294967292" verticalDpi="4294967292"/>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1C00-000000000000}">
          <x14:formula1>
            <xm:f>Accounts!$A$4:$A$60</xm:f>
          </x14:formula1>
          <xm:sqref>K7</xm:sqref>
        </x14:dataValidation>
        <x14:dataValidation type="list" allowBlank="1" showInputMessage="1" showErrorMessage="1" xr:uid="{00000000-0002-0000-1C00-000001000000}">
          <x14:formula1>
            <xm:f>'Constr. Wage Rate Calculations'!$A$19:$A$288</xm:f>
          </x14:formula1>
          <xm:sqref>B11:B21</xm:sqref>
        </x14:dataValidation>
        <x14:dataValidation type="list" allowBlank="1" showInputMessage="1" showErrorMessage="1" xr:uid="{00000000-0002-0000-1C00-000002000000}">
          <x14:formula1>
            <xm:f>Personnel!$A:$A</xm:f>
          </x14:formula1>
          <xm:sqref>C11:C21</xm:sqref>
        </x14:dataValidation>
        <x14:dataValidation type="list" allowBlank="1" showInputMessage="1" showErrorMessage="1" xr:uid="{00000000-0002-0000-1C00-000003000000}">
          <x14:formula1>
            <xm:f>Equipment!$A:$A</xm:f>
          </x14:formula1>
          <xm:sqref>C25:C36</xm:sqref>
        </x14:dataValidation>
      </x14:dataValidations>
    </ext>
    <ext xmlns:mx="http://schemas.microsoft.com/office/mac/excel/2008/main" uri="{64002731-A6B0-56B0-2670-7721B7C09600}">
      <mx:PLV Mode="0" OnePage="0" WScale="0"/>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CCFFCC"/>
    <pageSetUpPr fitToPage="1"/>
  </sheetPr>
  <dimension ref="A1:O125"/>
  <sheetViews>
    <sheetView zoomScale="120" zoomScaleNormal="120" zoomScalePageLayoutView="120" workbookViewId="0">
      <selection activeCell="B3" sqref="B3"/>
    </sheetView>
  </sheetViews>
  <sheetFormatPr baseColWidth="10" defaultColWidth="8.83203125" defaultRowHeight="11"/>
  <cols>
    <col min="1" max="1" width="13" style="1" customWidth="1"/>
    <col min="2" max="2" width="30" style="1" customWidth="1"/>
    <col min="3" max="3" width="24.5" style="1" customWidth="1"/>
    <col min="4" max="4" width="8.6640625" style="2" customWidth="1"/>
    <col min="5" max="6" width="8.33203125" style="2" customWidth="1"/>
    <col min="7" max="8" width="8.6640625" style="2" customWidth="1"/>
    <col min="9" max="9" width="9.33203125" style="2" customWidth="1"/>
    <col min="10" max="10" width="8.6640625" style="2" customWidth="1"/>
    <col min="11" max="11" width="21.1640625" style="1" customWidth="1"/>
    <col min="12" max="12" width="3.5" style="1" hidden="1" customWidth="1"/>
    <col min="13" max="16384" width="8.83203125" style="1"/>
  </cols>
  <sheetData>
    <row r="1" spans="1:13" ht="15">
      <c r="C1" s="364"/>
      <c r="D1" s="365"/>
      <c r="E1" s="365"/>
      <c r="F1" s="365"/>
      <c r="G1" s="365"/>
      <c r="H1" s="366"/>
      <c r="J1" s="2" t="s">
        <v>0</v>
      </c>
      <c r="K1" s="197">
        <v>41659</v>
      </c>
      <c r="M1" s="45"/>
    </row>
    <row r="2" spans="1:13" ht="15">
      <c r="C2" s="367"/>
      <c r="D2" s="367"/>
      <c r="E2" s="367"/>
      <c r="F2" s="367"/>
      <c r="G2" s="367"/>
      <c r="H2" s="366"/>
      <c r="K2" s="41"/>
    </row>
    <row r="3" spans="1:13" ht="15">
      <c r="C3" s="368"/>
      <c r="D3" s="369"/>
      <c r="E3" s="369"/>
      <c r="F3" s="369"/>
      <c r="G3" s="369"/>
      <c r="H3" s="366"/>
    </row>
    <row r="4" spans="1:13">
      <c r="C4" s="3"/>
      <c r="D4" s="4"/>
      <c r="E4" s="4"/>
      <c r="F4" s="4"/>
      <c r="G4" s="4"/>
    </row>
    <row r="5" spans="1:13">
      <c r="C5" s="3"/>
      <c r="D5" s="4"/>
      <c r="E5" s="4"/>
      <c r="F5" s="4"/>
      <c r="G5" s="4"/>
    </row>
    <row r="6" spans="1:13" ht="12">
      <c r="B6" s="5"/>
      <c r="C6" s="6"/>
      <c r="D6" s="7"/>
      <c r="E6" s="8"/>
      <c r="F6" s="8"/>
      <c r="G6" s="1" t="s">
        <v>1</v>
      </c>
      <c r="H6" s="370">
        <v>18218</v>
      </c>
      <c r="I6" s="370"/>
      <c r="J6" s="1" t="s">
        <v>2</v>
      </c>
      <c r="K6" s="47"/>
    </row>
    <row r="7" spans="1:13" ht="12">
      <c r="A7" s="1" t="s">
        <v>3</v>
      </c>
      <c r="B7" s="9"/>
      <c r="C7" s="10"/>
      <c r="D7" s="11"/>
      <c r="E7" s="8"/>
      <c r="F7" s="8"/>
      <c r="G7" s="1" t="s">
        <v>4</v>
      </c>
      <c r="H7" s="371"/>
      <c r="I7" s="371"/>
      <c r="J7" s="1" t="s">
        <v>5</v>
      </c>
      <c r="K7" s="46"/>
    </row>
    <row r="8" spans="1:13" ht="12">
      <c r="B8" s="12"/>
      <c r="C8" s="13"/>
      <c r="D8" s="14"/>
      <c r="E8" s="8"/>
      <c r="F8" s="8"/>
      <c r="G8" s="1" t="s">
        <v>6</v>
      </c>
      <c r="H8" s="187"/>
      <c r="I8" s="188"/>
      <c r="J8" s="44"/>
    </row>
    <row r="9" spans="1:13" ht="16" thickBot="1">
      <c r="B9" s="15"/>
      <c r="C9" s="16"/>
      <c r="D9" s="16"/>
      <c r="E9" s="8"/>
      <c r="F9" s="8"/>
      <c r="G9" s="8"/>
    </row>
    <row r="10" spans="1:13" s="19" customFormat="1" ht="12" thickBot="1">
      <c r="A10" s="17" t="s">
        <v>7</v>
      </c>
      <c r="B10" s="17" t="s">
        <v>8</v>
      </c>
      <c r="C10" s="17" t="s">
        <v>9</v>
      </c>
      <c r="D10" s="18" t="s">
        <v>10</v>
      </c>
      <c r="E10" s="18" t="s">
        <v>11</v>
      </c>
      <c r="F10" s="18" t="s">
        <v>12</v>
      </c>
      <c r="G10" s="180" t="s">
        <v>13</v>
      </c>
      <c r="H10" s="18" t="s">
        <v>14</v>
      </c>
      <c r="I10" s="18" t="s">
        <v>15</v>
      </c>
      <c r="J10" s="18" t="s">
        <v>16</v>
      </c>
      <c r="K10" s="18" t="s">
        <v>17</v>
      </c>
      <c r="M10" s="19" t="s">
        <v>1797</v>
      </c>
    </row>
    <row r="11" spans="1:13" ht="15" customHeight="1">
      <c r="A11" s="48"/>
      <c r="B11" s="49">
        <f>VLOOKUP($C$11:$C$31,Personnel!$A$1:$B$1234,2,FALSE)</f>
        <v>0</v>
      </c>
      <c r="C11" s="36"/>
      <c r="D11" s="184"/>
      <c r="E11" s="179">
        <f>VLOOKUP($B$11:$B$31,'Constr. Wage Rate Calculations'!$A$19:$Z$288,22,FALSE)</f>
        <v>0</v>
      </c>
      <c r="F11" s="184"/>
      <c r="G11" s="179">
        <f>VLOOKUP($B$11:$B$31,'Constr. Wage Rate Calculations'!$A$19:$Z$288,23,FALSE)</f>
        <v>0</v>
      </c>
      <c r="H11" s="184"/>
      <c r="I11" s="179">
        <f>VLOOKUP($B$11:$B$31,'Constr. Wage Rate Calculations'!$A$19:$Z$288,24,FALSE)</f>
        <v>0</v>
      </c>
      <c r="J11" s="20">
        <f>VLOOKUP($B$11:$B$31,'Constr. Wage Rate Calculations'!$A$19:$Z$288,25,FALSE)</f>
        <v>0</v>
      </c>
      <c r="K11" s="179" t="str">
        <f t="shared" ref="K11:K28" si="0">IF($D11&gt;=1,$J11+(D11*E11)+(F11*G11)+(H11*I11),IF($F11&gt;=1,$J11+(D11*E11)+(F11*G11)+(H11*I11),IF($H11&gt;=1,$J11+(D11*E11)+(F11*G11)+(H11*I11),"")))</f>
        <v/>
      </c>
    </row>
    <row r="12" spans="1:13" ht="15" customHeight="1">
      <c r="A12" s="48"/>
      <c r="B12" s="49" t="str">
        <f>VLOOKUP($C$11:$C$31,Personnel!$A$1:$B$1234,2,FALSE)</f>
        <v>WELDER HELPER</v>
      </c>
      <c r="C12" s="36" t="s">
        <v>2779</v>
      </c>
      <c r="D12" s="184">
        <v>8</v>
      </c>
      <c r="E12" s="179">
        <f>VLOOKUP($B$11:$B$31,'Constr. Wage Rate Calculations'!$A$19:$Z$288,22,FALSE)</f>
        <v>53.52</v>
      </c>
      <c r="F12" s="20">
        <v>4</v>
      </c>
      <c r="G12" s="179">
        <f>VLOOKUP($B$11:$B$31,'Constr. Wage Rate Calculations'!$A$19:$Z$288,23,FALSE)</f>
        <v>80.290000000000006</v>
      </c>
      <c r="H12" s="184"/>
      <c r="I12" s="179">
        <f>VLOOKUP($B$11:$B$31,'Constr. Wage Rate Calculations'!$A$19:$Z$288,24,FALSE)</f>
        <v>107.05</v>
      </c>
      <c r="J12" s="20">
        <f>VLOOKUP($B$11:$B$31,'Constr. Wage Rate Calculations'!$A$19:$Z$288,25,FALSE)</f>
        <v>85</v>
      </c>
      <c r="K12" s="179">
        <f t="shared" si="0"/>
        <v>834.32000000000016</v>
      </c>
    </row>
    <row r="13" spans="1:13" ht="15" customHeight="1">
      <c r="A13" s="48"/>
      <c r="B13" s="49" t="str">
        <f>VLOOKUP($C$11:$C$31,Personnel!$A$1:$B$1234,2,FALSE)</f>
        <v>PRINCIPAL OPER 1</v>
      </c>
      <c r="C13" s="36" t="s">
        <v>1524</v>
      </c>
      <c r="D13" s="184">
        <v>8</v>
      </c>
      <c r="E13" s="179">
        <f>VLOOKUP($B$11:$B$31,'Constr. Wage Rate Calculations'!$A$19:$Z$288,22,FALSE)</f>
        <v>64.239999999999995</v>
      </c>
      <c r="F13" s="20">
        <v>5</v>
      </c>
      <c r="G13" s="179">
        <f>VLOOKUP($B$11:$B$31,'Constr. Wage Rate Calculations'!$A$19:$Z$288,23,FALSE)</f>
        <v>96.36</v>
      </c>
      <c r="H13" s="184"/>
      <c r="I13" s="179">
        <f>VLOOKUP($B$11:$B$31,'Constr. Wage Rate Calculations'!$A$19:$Z$288,24,FALSE)</f>
        <v>128.47</v>
      </c>
      <c r="J13" s="20">
        <f>VLOOKUP($B$11:$B$31,'Constr. Wage Rate Calculations'!$A$19:$Z$288,25,FALSE)</f>
        <v>85</v>
      </c>
      <c r="K13" s="179">
        <f t="shared" si="0"/>
        <v>1080.72</v>
      </c>
      <c r="M13" s="1">
        <v>1</v>
      </c>
    </row>
    <row r="14" spans="1:13" ht="15" customHeight="1">
      <c r="A14" s="48"/>
      <c r="B14" s="49" t="str">
        <f>VLOOKUP($C$11:$C$31,Personnel!$A$1:$B$1234,2,FALSE)</f>
        <v>NON-WELDER JOURNEYMAN/ FITTER ON AUTO WELD SPREAD (QI APPLIES)</v>
      </c>
      <c r="C14" s="36" t="s">
        <v>955</v>
      </c>
      <c r="D14" s="184">
        <v>8</v>
      </c>
      <c r="E14" s="179">
        <f>VLOOKUP($B$11:$B$31,'Constr. Wage Rate Calculations'!$A$19:$Z$288,22,FALSE)</f>
        <v>69.010000000000005</v>
      </c>
      <c r="F14" s="184">
        <v>6</v>
      </c>
      <c r="G14" s="179">
        <f>VLOOKUP($B$11:$B$31,'Constr. Wage Rate Calculations'!$A$19:$Z$288,23,FALSE)</f>
        <v>103.51</v>
      </c>
      <c r="H14" s="184"/>
      <c r="I14" s="179">
        <f>VLOOKUP($B$11:$B$31,'Constr. Wage Rate Calculations'!$A$19:$Z$288,24,FALSE)</f>
        <v>138.02000000000001</v>
      </c>
      <c r="J14" s="20">
        <f>VLOOKUP($B$11:$B$31,'Constr. Wage Rate Calculations'!$A$19:$Z$288,25,FALSE)</f>
        <v>85</v>
      </c>
      <c r="K14" s="179">
        <f t="shared" si="0"/>
        <v>1258.1400000000001</v>
      </c>
      <c r="M14" s="1">
        <v>2</v>
      </c>
    </row>
    <row r="15" spans="1:13" ht="15" customHeight="1">
      <c r="A15" s="48"/>
      <c r="B15" s="49" t="str">
        <f>VLOOKUP($C$11:$C$31,Personnel!$A$1:$B$1234,2,FALSE)</f>
        <v>PRINCIPAL OPER 1</v>
      </c>
      <c r="C15" s="36" t="s">
        <v>1537</v>
      </c>
      <c r="D15" s="184">
        <v>8</v>
      </c>
      <c r="E15" s="179">
        <f>VLOOKUP($B$11:$B$31,'Constr. Wage Rate Calculations'!$A$19:$Z$288,22,FALSE)</f>
        <v>64.239999999999995</v>
      </c>
      <c r="F15" s="20">
        <v>5</v>
      </c>
      <c r="G15" s="179">
        <f>VLOOKUP($B$11:$B$31,'Constr. Wage Rate Calculations'!$A$19:$Z$288,23,FALSE)</f>
        <v>96.36</v>
      </c>
      <c r="H15" s="184"/>
      <c r="I15" s="179">
        <f>VLOOKUP($B$11:$B$31,'Constr. Wage Rate Calculations'!$A$19:$Z$288,24,FALSE)</f>
        <v>128.47</v>
      </c>
      <c r="J15" s="20">
        <f>VLOOKUP($B$11:$B$31,'Constr. Wage Rate Calculations'!$A$19:$Z$288,25,FALSE)</f>
        <v>85</v>
      </c>
      <c r="K15" s="179">
        <f t="shared" si="0"/>
        <v>1080.72</v>
      </c>
      <c r="M15" s="1">
        <v>1</v>
      </c>
    </row>
    <row r="16" spans="1:13" ht="15" customHeight="1">
      <c r="A16" s="48"/>
      <c r="B16" s="49" t="str">
        <f>VLOOKUP($C$11:$C$31,Personnel!$A$1:$B$1234,2,FALSE)</f>
        <v>BUS/ CREWCAB DRIVER</v>
      </c>
      <c r="C16" s="36" t="s">
        <v>4210</v>
      </c>
      <c r="D16" s="184">
        <v>8</v>
      </c>
      <c r="E16" s="179">
        <f>VLOOKUP($B$11:$B$31,'Constr. Wage Rate Calculations'!$A$19:$Z$288,22,FALSE)</f>
        <v>56.73</v>
      </c>
      <c r="F16" s="184">
        <v>5</v>
      </c>
      <c r="G16" s="179">
        <f>VLOOKUP($B$11:$B$31,'Constr. Wage Rate Calculations'!$A$19:$Z$288,23,FALSE)</f>
        <v>85.1</v>
      </c>
      <c r="H16" s="184"/>
      <c r="I16" s="179">
        <f>VLOOKUP($B$11:$B$31,'Constr. Wage Rate Calculations'!$A$19:$Z$288,24,FALSE)</f>
        <v>113.46</v>
      </c>
      <c r="J16" s="20">
        <f>VLOOKUP($B$11:$B$31,'Constr. Wage Rate Calculations'!$A$19:$Z$288,25,FALSE)</f>
        <v>85</v>
      </c>
      <c r="K16" s="179">
        <f>IF($D16&gt;=1,$J16+(D16*E16)+(F16*G16)+(H16*I16),IF($F16&gt;=1,$J16+(D16*E16)+(F16*G16)+(H16*I16),IF($H16&gt;=1,$J16+(D16*E16)+(F16*G16)+(H16*I16),"")))</f>
        <v>964.33999999999992</v>
      </c>
    </row>
    <row r="17" spans="1:15" ht="15" customHeight="1">
      <c r="A17" s="48"/>
      <c r="B17" s="49" t="str">
        <f>VLOOKUP($C$11:$C$31,Personnel!$A$1:$B$1234,2,FALSE)</f>
        <v>APPRENTICE OPER/OILER</v>
      </c>
      <c r="C17" s="36" t="s">
        <v>1561</v>
      </c>
      <c r="D17" s="184">
        <v>8</v>
      </c>
      <c r="E17" s="179">
        <f>VLOOKUP($B$11:$B$31,'Constr. Wage Rate Calculations'!$A$19:$Z$288,22,FALSE)</f>
        <v>49.44</v>
      </c>
      <c r="F17" s="184">
        <v>5</v>
      </c>
      <c r="G17" s="179">
        <f>VLOOKUP($B$11:$B$31,'Constr. Wage Rate Calculations'!$A$19:$Z$288,23,FALSE)</f>
        <v>74.16</v>
      </c>
      <c r="H17" s="184"/>
      <c r="I17" s="179">
        <f>VLOOKUP($B$11:$B$31,'Constr. Wage Rate Calculations'!$A$19:$Z$288,24,FALSE)</f>
        <v>98.89</v>
      </c>
      <c r="J17" s="20">
        <f>VLOOKUP($B$11:$B$31,'Constr. Wage Rate Calculations'!$A$19:$Z$288,25,FALSE)</f>
        <v>85</v>
      </c>
      <c r="K17" s="179">
        <f t="shared" si="0"/>
        <v>851.31999999999994</v>
      </c>
      <c r="M17" s="1">
        <v>1</v>
      </c>
    </row>
    <row r="18" spans="1:15" ht="15" customHeight="1">
      <c r="A18" s="48"/>
      <c r="B18" s="49" t="str">
        <f>VLOOKUP($C$11:$C$31,Personnel!$A$1:$B$1234,2,FALSE)</f>
        <v>PRINCIPAL OPER 1</v>
      </c>
      <c r="C18" s="36" t="s">
        <v>1119</v>
      </c>
      <c r="D18" s="184">
        <v>8</v>
      </c>
      <c r="E18" s="179">
        <f>VLOOKUP($B$11:$B$31,'Constr. Wage Rate Calculations'!$A$19:$Z$288,22,FALSE)</f>
        <v>64.239999999999995</v>
      </c>
      <c r="F18" s="184">
        <v>5</v>
      </c>
      <c r="G18" s="179">
        <f>VLOOKUP($B$11:$B$31,'Constr. Wage Rate Calculations'!$A$19:$Z$288,23,FALSE)</f>
        <v>96.36</v>
      </c>
      <c r="H18" s="184"/>
      <c r="I18" s="179">
        <f>VLOOKUP($B$11:$B$31,'Constr. Wage Rate Calculations'!$A$19:$Z$288,24,FALSE)</f>
        <v>128.47</v>
      </c>
      <c r="J18" s="20">
        <f>VLOOKUP($B$11:$B$31,'Constr. Wage Rate Calculations'!$A$19:$Z$288,25,FALSE)</f>
        <v>85</v>
      </c>
      <c r="K18" s="179">
        <f t="shared" si="0"/>
        <v>1080.72</v>
      </c>
      <c r="M18" s="1">
        <v>1</v>
      </c>
    </row>
    <row r="19" spans="1:15" ht="15" customHeight="1">
      <c r="A19" s="48"/>
      <c r="B19" s="49" t="str">
        <f>VLOOKUP($C$11:$C$31,Personnel!$A$1:$B$1234,2,FALSE)</f>
        <v>STRAW - LABOURER</v>
      </c>
      <c r="C19" s="36" t="s">
        <v>941</v>
      </c>
      <c r="D19" s="184">
        <v>8</v>
      </c>
      <c r="E19" s="179">
        <f>VLOOKUP($B$11:$B$31,'Constr. Wage Rate Calculations'!$A$19:$Z$288,22,FALSE)</f>
        <v>48.1</v>
      </c>
      <c r="F19" s="184">
        <v>7</v>
      </c>
      <c r="G19" s="179">
        <f>VLOOKUP($B$11:$B$31,'Constr. Wage Rate Calculations'!$A$19:$Z$288,23,FALSE)</f>
        <v>72.150000000000006</v>
      </c>
      <c r="H19" s="184"/>
      <c r="I19" s="179">
        <f>VLOOKUP($B$11:$B$31,'Constr. Wage Rate Calculations'!$A$19:$Z$288,24,FALSE)</f>
        <v>96.2</v>
      </c>
      <c r="J19" s="20">
        <f>VLOOKUP($B$11:$B$31,'Constr. Wage Rate Calculations'!$A$19:$Z$288,25,FALSE)</f>
        <v>85</v>
      </c>
      <c r="K19" s="179">
        <f t="shared" si="0"/>
        <v>974.85000000000014</v>
      </c>
      <c r="M19" s="1">
        <v>3</v>
      </c>
    </row>
    <row r="20" spans="1:15" ht="15" customHeight="1">
      <c r="A20" s="48"/>
      <c r="B20" s="49" t="str">
        <f>VLOOKUP($C$11:$C$31,Personnel!$A$1:$B$1234,2,FALSE)</f>
        <v>PRINCIPAL OPER 1</v>
      </c>
      <c r="C20" s="36" t="s">
        <v>1053</v>
      </c>
      <c r="D20" s="184">
        <v>8</v>
      </c>
      <c r="E20" s="179">
        <f>VLOOKUP($B$11:$B$31,'Constr. Wage Rate Calculations'!$A$19:$Z$288,22,FALSE)</f>
        <v>64.239999999999995</v>
      </c>
      <c r="F20" s="184">
        <v>5</v>
      </c>
      <c r="G20" s="179">
        <f>VLOOKUP($B$11:$B$31,'Constr. Wage Rate Calculations'!$A$19:$Z$288,23,FALSE)</f>
        <v>96.36</v>
      </c>
      <c r="H20" s="184"/>
      <c r="I20" s="179">
        <f>VLOOKUP($B$11:$B$31,'Constr. Wage Rate Calculations'!$A$19:$Z$288,24,FALSE)</f>
        <v>128.47</v>
      </c>
      <c r="J20" s="20">
        <f>VLOOKUP($B$11:$B$31,'Constr. Wage Rate Calculations'!$A$19:$Z$288,25,FALSE)</f>
        <v>85</v>
      </c>
      <c r="K20" s="179">
        <f t="shared" si="0"/>
        <v>1080.72</v>
      </c>
      <c r="M20" s="1">
        <v>1</v>
      </c>
    </row>
    <row r="21" spans="1:15" ht="15" customHeight="1">
      <c r="A21" s="48"/>
      <c r="B21" s="49" t="str">
        <f>VLOOKUP($C$11:$C$31,Personnel!$A$1:$B$1234,2,FALSE)</f>
        <v>UA TIE-IN FOREMAN</v>
      </c>
      <c r="C21" s="36" t="s">
        <v>947</v>
      </c>
      <c r="D21" s="184">
        <v>1</v>
      </c>
      <c r="E21" s="179">
        <f>VLOOKUP($B$11:$B$31,'Constr. Wage Rate Calculations'!$A$19:$Z$288,22,FALSE)</f>
        <v>1952.31</v>
      </c>
      <c r="F21" s="184">
        <v>9</v>
      </c>
      <c r="G21" s="179">
        <f>VLOOKUP($B$11:$B$31,'Constr. Wage Rate Calculations'!$A$19:$Z$288,23,FALSE)</f>
        <v>0</v>
      </c>
      <c r="H21" s="184"/>
      <c r="I21" s="179">
        <f>VLOOKUP($B$11:$B$31,'Constr. Wage Rate Calculations'!$A$19:$Z$288,24,FALSE)</f>
        <v>0</v>
      </c>
      <c r="J21" s="20">
        <f>VLOOKUP($B$11:$B$31,'Constr. Wage Rate Calculations'!$A$19:$Z$288,25,FALSE)</f>
        <v>230</v>
      </c>
      <c r="K21" s="179">
        <f t="shared" si="0"/>
        <v>2182.31</v>
      </c>
    </row>
    <row r="22" spans="1:15" ht="15" customHeight="1">
      <c r="A22" s="48"/>
      <c r="B22" s="49" t="str">
        <f>VLOOKUP($C$11:$C$31,Personnel!$A$1:$B$1234,2,FALSE)</f>
        <v>PRINCIPAL OPER 1</v>
      </c>
      <c r="C22" s="36" t="s">
        <v>3352</v>
      </c>
      <c r="D22" s="184">
        <v>8</v>
      </c>
      <c r="E22" s="179">
        <f>VLOOKUP($B$11:$B$31,'Constr. Wage Rate Calculations'!$A$19:$Z$288,22,FALSE)</f>
        <v>64.239999999999995</v>
      </c>
      <c r="F22" s="184">
        <v>5</v>
      </c>
      <c r="G22" s="179">
        <f>VLOOKUP($B$11:$B$31,'Constr. Wage Rate Calculations'!$A$19:$Z$288,23,FALSE)</f>
        <v>96.36</v>
      </c>
      <c r="H22" s="184"/>
      <c r="I22" s="179">
        <f>VLOOKUP($B$11:$B$31,'Constr. Wage Rate Calculations'!$A$19:$Z$288,24,FALSE)</f>
        <v>128.47</v>
      </c>
      <c r="J22" s="20">
        <f>VLOOKUP($B$11:$B$31,'Constr. Wage Rate Calculations'!$A$19:$Z$288,25,FALSE)</f>
        <v>85</v>
      </c>
      <c r="K22" s="179">
        <f t="shared" si="0"/>
        <v>1080.72</v>
      </c>
      <c r="M22" s="1">
        <v>1</v>
      </c>
    </row>
    <row r="23" spans="1:15" ht="21" customHeight="1">
      <c r="A23" s="48"/>
      <c r="B23" s="49" t="str">
        <f>VLOOKUP($C$11:$C$31,Personnel!$A$1:$B$1234,2,FALSE)</f>
        <v>FRONT-END/TIE-IN WELDER  ON STICK WELD SPREAD (QI APPLIES)</v>
      </c>
      <c r="C23" s="36" t="s">
        <v>1141</v>
      </c>
      <c r="D23" s="184">
        <v>8</v>
      </c>
      <c r="E23" s="179">
        <f>VLOOKUP($B$11:$B$31,'Constr. Wage Rate Calculations'!$A$19:$Z$288,22,FALSE)</f>
        <v>82.2</v>
      </c>
      <c r="F23" s="184">
        <v>4</v>
      </c>
      <c r="G23" s="179">
        <f>VLOOKUP($B$11:$B$31,'Constr. Wage Rate Calculations'!$A$19:$Z$288,23,FALSE)</f>
        <v>123.3</v>
      </c>
      <c r="H23" s="184"/>
      <c r="I23" s="179">
        <f>VLOOKUP($B$11:$B$31,'Constr. Wage Rate Calculations'!$A$19:$Z$288,24,FALSE)</f>
        <v>164.4</v>
      </c>
      <c r="J23" s="20">
        <f>VLOOKUP($B$11:$B$31,'Constr. Wage Rate Calculations'!$A$19:$Z$288,25,FALSE)</f>
        <v>85</v>
      </c>
      <c r="K23" s="179">
        <f t="shared" si="0"/>
        <v>1235.8</v>
      </c>
    </row>
    <row r="24" spans="1:15" ht="15" customHeight="1">
      <c r="A24" s="48"/>
      <c r="B24" s="49" t="str">
        <f>VLOOKUP($C$11:$C$31,Personnel!$A$1:$B$1234,2,FALSE)</f>
        <v>PRINCIPAL OPER 1</v>
      </c>
      <c r="C24" s="36" t="s">
        <v>1569</v>
      </c>
      <c r="D24" s="184">
        <v>8</v>
      </c>
      <c r="E24" s="179">
        <f>VLOOKUP($B$11:$B$31,'Constr. Wage Rate Calculations'!$A$19:$Z$288,22,FALSE)</f>
        <v>64.239999999999995</v>
      </c>
      <c r="F24" s="184">
        <v>5</v>
      </c>
      <c r="G24" s="179">
        <f>VLOOKUP($B$11:$B$31,'Constr. Wage Rate Calculations'!$A$19:$Z$288,23,FALSE)</f>
        <v>96.36</v>
      </c>
      <c r="H24" s="184"/>
      <c r="I24" s="179">
        <f>VLOOKUP($B$11:$B$31,'Constr. Wage Rate Calculations'!$A$19:$Z$288,24,FALSE)</f>
        <v>128.47</v>
      </c>
      <c r="J24" s="20">
        <f>VLOOKUP($B$11:$B$31,'Constr. Wage Rate Calculations'!$A$19:$Z$288,25,FALSE)</f>
        <v>85</v>
      </c>
      <c r="K24" s="179">
        <f t="shared" si="0"/>
        <v>1080.72</v>
      </c>
      <c r="M24" s="1">
        <v>1</v>
      </c>
    </row>
    <row r="25" spans="1:15" ht="15" customHeight="1">
      <c r="A25" s="48"/>
      <c r="B25" s="49" t="str">
        <f>VLOOKUP($C$11:$C$31,Personnel!$A$1:$B$1234,2,FALSE)</f>
        <v>WELDER HELPER</v>
      </c>
      <c r="C25" s="36" t="s">
        <v>1462</v>
      </c>
      <c r="D25" s="184">
        <v>8</v>
      </c>
      <c r="E25" s="179">
        <f>VLOOKUP($B$11:$B$31,'Constr. Wage Rate Calculations'!$A$19:$Z$288,22,FALSE)</f>
        <v>53.52</v>
      </c>
      <c r="F25" s="184">
        <v>5</v>
      </c>
      <c r="G25" s="179">
        <f>VLOOKUP($B$11:$B$31,'Constr. Wage Rate Calculations'!$A$19:$Z$288,23,FALSE)</f>
        <v>80.290000000000006</v>
      </c>
      <c r="H25" s="184"/>
      <c r="I25" s="179">
        <f>VLOOKUP($B$11:$B$31,'Constr. Wage Rate Calculations'!$A$19:$Z$288,24,FALSE)</f>
        <v>107.05</v>
      </c>
      <c r="J25" s="20">
        <f>VLOOKUP($B$11:$B$31,'Constr. Wage Rate Calculations'!$A$19:$Z$288,25,FALSE)</f>
        <v>85</v>
      </c>
      <c r="K25" s="179">
        <f t="shared" si="0"/>
        <v>914.61000000000013</v>
      </c>
      <c r="M25" s="1">
        <v>1</v>
      </c>
    </row>
    <row r="26" spans="1:15" ht="15" customHeight="1">
      <c r="A26" s="48"/>
      <c r="B26" s="49" t="str">
        <f>VLOOKUP($C$11:$C$31,Personnel!$A$1:$B$1234,2,FALSE)</f>
        <v>GENERAL LABOURER</v>
      </c>
      <c r="C26" s="36" t="s">
        <v>3574</v>
      </c>
      <c r="D26" s="184">
        <v>8</v>
      </c>
      <c r="E26" s="179">
        <f>VLOOKUP($B$11:$B$31,'Constr. Wage Rate Calculations'!$A$19:$Z$288,22,FALSE)</f>
        <v>48.1</v>
      </c>
      <c r="F26" s="184">
        <v>5</v>
      </c>
      <c r="G26" s="179">
        <f>VLOOKUP($B$11:$B$31,'Constr. Wage Rate Calculations'!$A$19:$Z$288,23,FALSE)</f>
        <v>72.150000000000006</v>
      </c>
      <c r="H26" s="184"/>
      <c r="I26" s="179">
        <f>VLOOKUP($B$11:$B$31,'Constr. Wage Rate Calculations'!$A$19:$Z$288,24,FALSE)</f>
        <v>96.2</v>
      </c>
      <c r="J26" s="20">
        <f>VLOOKUP($B$11:$B$31,'Constr. Wage Rate Calculations'!$A$19:$Z$288,25,FALSE)</f>
        <v>85</v>
      </c>
      <c r="K26" s="179">
        <f t="shared" si="0"/>
        <v>830.55</v>
      </c>
      <c r="M26" s="1">
        <v>1</v>
      </c>
    </row>
    <row r="27" spans="1:15" ht="15" customHeight="1">
      <c r="A27" s="48"/>
      <c r="B27" s="49" t="str">
        <f>VLOOKUP($C$11:$C$31,Personnel!$A$1:$B$1234,2,FALSE)</f>
        <v>FRONT-END/TIE-IN WELDER  ON STICK WELD SPREAD (QI APPLIES)</v>
      </c>
      <c r="C27" s="36" t="s">
        <v>1160</v>
      </c>
      <c r="D27" s="184">
        <v>8</v>
      </c>
      <c r="E27" s="179">
        <f>VLOOKUP($B$11:$B$31,'Constr. Wage Rate Calculations'!$A$19:$Z$288,22,FALSE)</f>
        <v>82.2</v>
      </c>
      <c r="F27" s="20">
        <v>4</v>
      </c>
      <c r="G27" s="179">
        <f>VLOOKUP($B$11:$B$31,'Constr. Wage Rate Calculations'!$A$19:$Z$288,23,FALSE)</f>
        <v>123.3</v>
      </c>
      <c r="H27" s="184"/>
      <c r="I27" s="179">
        <f>VLOOKUP($B$11:$B$31,'Constr. Wage Rate Calculations'!$A$19:$Z$288,24,FALSE)</f>
        <v>164.4</v>
      </c>
      <c r="J27" s="20">
        <f>VLOOKUP($B$11:$B$31,'Constr. Wage Rate Calculations'!$A$19:$Z$288,25,FALSE)</f>
        <v>85</v>
      </c>
      <c r="K27" s="179">
        <f t="shared" si="0"/>
        <v>1235.8</v>
      </c>
    </row>
    <row r="28" spans="1:15" ht="15" customHeight="1">
      <c r="A28" s="48"/>
      <c r="B28" s="49" t="str">
        <f>VLOOKUP($C$11:$C$31,Personnel!$A$1:$B$1234,2,FALSE)</f>
        <v>WELDER HELPER</v>
      </c>
      <c r="C28" s="36" t="s">
        <v>2842</v>
      </c>
      <c r="D28" s="184">
        <v>8</v>
      </c>
      <c r="E28" s="179">
        <f>VLOOKUP($B$11:$B$31,'Constr. Wage Rate Calculations'!$A$19:$Z$288,22,FALSE)</f>
        <v>53.52</v>
      </c>
      <c r="F28" s="184">
        <v>4</v>
      </c>
      <c r="G28" s="179">
        <f>VLOOKUP($B$11:$B$31,'Constr. Wage Rate Calculations'!$A$19:$Z$288,23,FALSE)</f>
        <v>80.290000000000006</v>
      </c>
      <c r="H28" s="184"/>
      <c r="I28" s="179">
        <f>VLOOKUP($B$11:$B$31,'Constr. Wage Rate Calculations'!$A$19:$Z$288,24,FALSE)</f>
        <v>107.05</v>
      </c>
      <c r="J28" s="20">
        <f>VLOOKUP($B$11:$B$31,'Constr. Wage Rate Calculations'!$A$19:$Z$288,25,FALSE)</f>
        <v>85</v>
      </c>
      <c r="K28" s="179">
        <f t="shared" si="0"/>
        <v>834.32000000000016</v>
      </c>
    </row>
    <row r="29" spans="1:15" ht="15" customHeight="1">
      <c r="A29" s="48"/>
      <c r="B29" s="49">
        <f>VLOOKUP($C$11:$C$31,Personnel!$A$1:$B$1234,2,FALSE)</f>
        <v>0</v>
      </c>
      <c r="C29" s="36"/>
      <c r="D29" s="184"/>
      <c r="E29" s="179">
        <f>VLOOKUP($B$11:$B$31,'Constr. Wage Rate Calculations'!$A$19:$Z$288,22,FALSE)</f>
        <v>0</v>
      </c>
      <c r="F29" s="184"/>
      <c r="G29" s="179">
        <f>VLOOKUP($B$11:$B$31,'Constr. Wage Rate Calculations'!$A$19:$Z$288,23,FALSE)</f>
        <v>0</v>
      </c>
      <c r="H29" s="184"/>
      <c r="I29" s="179">
        <f>VLOOKUP($B$11:$B$31,'Constr. Wage Rate Calculations'!$A$19:$Z$288,24,FALSE)</f>
        <v>0</v>
      </c>
      <c r="J29" s="20">
        <f>VLOOKUP($B$11:$B$31,'Constr. Wage Rate Calculations'!$A$19:$Z$288,25,FALSE)</f>
        <v>0</v>
      </c>
      <c r="K29" s="179" t="str">
        <f t="shared" ref="K29:K30" si="1">IF($D29&gt;=1,$J29+(D29*E29)+(F29*G29)+(H29*I29),IF($F29&gt;=1,$J29+(D29*E29)+(F29*G29)+(H29*I29),IF($H29&gt;=1,$J29+(D29*E29)+(F29*G29)+(H29*I29),"")))</f>
        <v/>
      </c>
    </row>
    <row r="30" spans="1:15" ht="15" customHeight="1">
      <c r="A30" s="48"/>
      <c r="B30" s="49">
        <f>VLOOKUP($C$11:$C$31,Personnel!$A$1:$B$1234,2,FALSE)</f>
        <v>0</v>
      </c>
      <c r="C30" s="36"/>
      <c r="D30" s="184"/>
      <c r="E30" s="179">
        <f>VLOOKUP($B$11:$B$31,'Constr. Wage Rate Calculations'!$A$19:$Z$288,22,FALSE)</f>
        <v>0</v>
      </c>
      <c r="F30" s="184"/>
      <c r="G30" s="179">
        <f>VLOOKUP($B$11:$B$31,'Constr. Wage Rate Calculations'!$A$19:$Z$288,23,FALSE)</f>
        <v>0</v>
      </c>
      <c r="H30" s="184"/>
      <c r="I30" s="179">
        <f>VLOOKUP($B$11:$B$31,'Constr. Wage Rate Calculations'!$A$19:$Z$288,24,FALSE)</f>
        <v>0</v>
      </c>
      <c r="J30" s="20">
        <f>VLOOKUP($B$11:$B$31,'Constr. Wage Rate Calculations'!$A$19:$Z$288,25,FALSE)</f>
        <v>0</v>
      </c>
      <c r="K30" s="179" t="str">
        <f t="shared" si="1"/>
        <v/>
      </c>
    </row>
    <row r="31" spans="1:15" ht="15" customHeight="1" thickBot="1">
      <c r="A31" s="48"/>
      <c r="B31" s="49">
        <f>VLOOKUP($C$11:$C$31,Personnel!$A$1:$B$1234,2,FALSE)</f>
        <v>0</v>
      </c>
      <c r="C31" s="36"/>
      <c r="D31" s="184"/>
      <c r="E31" s="179">
        <f>VLOOKUP($B$11:$B$31,'Constr. Wage Rate Calculations'!$A$19:$Z$288,22,FALSE)</f>
        <v>0</v>
      </c>
      <c r="F31" s="184"/>
      <c r="G31" s="179">
        <f>VLOOKUP($B$11:$B$31,'Constr. Wage Rate Calculations'!$A$19:$Z$288,23,FALSE)</f>
        <v>0</v>
      </c>
      <c r="H31" s="184"/>
      <c r="I31" s="179">
        <f>VLOOKUP($B$11:$B$31,'Constr. Wage Rate Calculations'!$A$19:$Z$288,24,FALSE)</f>
        <v>0</v>
      </c>
      <c r="J31" s="20">
        <f>VLOOKUP($B$11:$B$31,'Constr. Wage Rate Calculations'!$A$19:$Z$288,25,FALSE)</f>
        <v>0</v>
      </c>
      <c r="K31" s="179" t="str">
        <f>IF($D31&gt;=1,$J31+(D31*E31)+(F31*G31)+(H31*I31),IF($F31&gt;=1,$J31+(D31*E31)+(F31*G31)+(H31*I31),IF($H31&gt;=1,$J31+(D31*E31)+(F31*G31)+(H31*I31),"")))</f>
        <v/>
      </c>
      <c r="M31" s="1">
        <f>SUM(M11:M26)</f>
        <v>14</v>
      </c>
    </row>
    <row r="32" spans="1:15" ht="15" customHeight="1" thickBot="1">
      <c r="A32"/>
      <c r="B32"/>
      <c r="C32"/>
      <c r="D32" s="21"/>
      <c r="E32" s="21"/>
      <c r="F32" s="21"/>
      <c r="G32" s="21"/>
      <c r="H32" s="21"/>
      <c r="I32" s="360" t="s">
        <v>18</v>
      </c>
      <c r="J32" s="361"/>
      <c r="K32" s="206">
        <f>SUM(K11:K31)</f>
        <v>18600.679999999997</v>
      </c>
      <c r="M32" s="1">
        <f>SUMIFS(D11:D31,D11:D31,"&lt;3",D11:D31,"&lt;5")</f>
        <v>1</v>
      </c>
      <c r="N32" s="1">
        <f>SUMIFS(D11:D31,D11:D31,"&gt;3",D11:D31,"&gt;5")</f>
        <v>128</v>
      </c>
      <c r="O32" s="1">
        <f>SUM(F11:F31,H11:H31,M32,N32)-M31</f>
        <v>203</v>
      </c>
    </row>
    <row r="33" spans="1:11" ht="10" customHeight="1" thickBot="1"/>
    <row r="34" spans="1:11" s="19" customFormat="1" ht="15" customHeight="1" thickBot="1">
      <c r="A34" s="22" t="s">
        <v>19</v>
      </c>
      <c r="B34" s="23" t="s">
        <v>20</v>
      </c>
      <c r="C34" s="23"/>
      <c r="D34" s="23"/>
      <c r="E34" s="23"/>
      <c r="F34" s="23"/>
      <c r="G34" s="23"/>
      <c r="H34" s="18" t="s">
        <v>21</v>
      </c>
      <c r="I34" s="18" t="s">
        <v>22</v>
      </c>
      <c r="J34" s="18" t="s">
        <v>23</v>
      </c>
      <c r="K34" s="18" t="s">
        <v>17</v>
      </c>
    </row>
    <row r="35" spans="1:11" ht="15" customHeight="1">
      <c r="A35" s="43"/>
      <c r="B35" s="49">
        <f>VLOOKUP($C$35:$C$52,Equipment!$A$1:$B$2322,2,FALSE)</f>
        <v>0</v>
      </c>
      <c r="C35" s="24"/>
      <c r="D35" s="24"/>
      <c r="E35" s="24"/>
      <c r="F35" s="24"/>
      <c r="G35" s="24"/>
      <c r="H35" s="20"/>
      <c r="I35" s="20"/>
      <c r="J35" s="42">
        <f>VLOOKUP($B$35:$B$52,'Alberta Equip. Rates Year 3'!$B$13:$K$314,10,FALSE)</f>
        <v>0</v>
      </c>
      <c r="K35" s="181">
        <f>(H35+I35)*J35</f>
        <v>0</v>
      </c>
    </row>
    <row r="36" spans="1:11" ht="15" customHeight="1">
      <c r="A36" s="43"/>
      <c r="B36" s="49" t="str">
        <f>VLOOKUP($C$35:$C$52,Equipment!$A$1:$B$2322,2,FALSE)</f>
        <v>Backhoe - Cat 345 (or Equivalent)</v>
      </c>
      <c r="C36" s="24" t="s">
        <v>1299</v>
      </c>
      <c r="D36" s="24"/>
      <c r="E36" s="24"/>
      <c r="F36" s="24"/>
      <c r="G36" s="24"/>
      <c r="H36" s="20">
        <v>1</v>
      </c>
      <c r="I36" s="20"/>
      <c r="J36" s="42">
        <f>VLOOKUP($B$35:$B$52,'Alberta Equip. Rates Year 3'!$B$13:$K$314,10,FALSE)</f>
        <v>1006</v>
      </c>
      <c r="K36" s="181">
        <f>(H36+I36)*J36</f>
        <v>1006</v>
      </c>
    </row>
    <row r="37" spans="1:11" ht="15" customHeight="1">
      <c r="A37" s="43"/>
      <c r="B37" s="49" t="str">
        <f>VLOOKUP($C$35:$C$52,Equipment!$A$1:$B$2322,2,FALSE)</f>
        <v>Cradle Bore Machine &amp; Auger</v>
      </c>
      <c r="C37" s="24" t="s">
        <v>3767</v>
      </c>
      <c r="D37" s="24"/>
      <c r="E37" s="24"/>
      <c r="F37" s="24"/>
      <c r="G37" s="24"/>
      <c r="H37" s="20">
        <v>1</v>
      </c>
      <c r="I37" s="20"/>
      <c r="J37" s="42">
        <f>VLOOKUP($B$35:$B$52,'Alberta Equip. Rates Year 3'!$B$13:$K$314,10,FALSE)</f>
        <v>1059</v>
      </c>
      <c r="K37" s="181">
        <f>(H37+I37)*J37</f>
        <v>1059</v>
      </c>
    </row>
    <row r="38" spans="1:11" ht="15" customHeight="1">
      <c r="A38" s="43"/>
      <c r="B38" s="49" t="str">
        <f>VLOOKUP($C$35:$C$52,Equipment!$A$1:$B$2322,2,FALSE)</f>
        <v>Crewcab - 1 Ton</v>
      </c>
      <c r="C38" s="24" t="s">
        <v>4211</v>
      </c>
      <c r="D38" s="24"/>
      <c r="E38" s="24"/>
      <c r="F38" s="24"/>
      <c r="G38" s="24"/>
      <c r="H38" s="20">
        <v>1</v>
      </c>
      <c r="I38" s="184"/>
      <c r="J38" s="42">
        <f>VLOOKUP($B$35:$B$52,'Alberta Equip. Rates Year 3'!$B$13:$K$314,10,FALSE)</f>
        <v>163</v>
      </c>
      <c r="K38" s="181">
        <f>(H38+I38)*J38</f>
        <v>163</v>
      </c>
    </row>
    <row r="39" spans="1:11" ht="15" customHeight="1">
      <c r="A39" s="43"/>
      <c r="B39" s="49" t="str">
        <f>VLOOKUP($C$35:$C$52,Equipment!$A$1:$B$2322,2,FALSE)</f>
        <v>Crewcab - 1 Ton</v>
      </c>
      <c r="C39" s="24" t="s">
        <v>4129</v>
      </c>
      <c r="D39" s="24"/>
      <c r="E39" s="24"/>
      <c r="F39" s="24"/>
      <c r="G39" s="24"/>
      <c r="H39" s="20">
        <v>1</v>
      </c>
      <c r="I39" s="20"/>
      <c r="J39" s="42">
        <f>VLOOKUP($B$35:$B$52,'Alberta Equip. Rates Year 3'!$B$13:$K$314,10,FALSE)</f>
        <v>163</v>
      </c>
      <c r="K39" s="181">
        <f>(H39+I39)*J39</f>
        <v>163</v>
      </c>
    </row>
    <row r="40" spans="1:11" ht="15" customHeight="1">
      <c r="A40" s="43"/>
      <c r="B40" s="49" t="str">
        <f>VLOOKUP($C$35:$C$52,Equipment!$A$1:$B$2322,2,FALSE)</f>
        <v>Crewcab - 3/4 Ton</v>
      </c>
      <c r="C40" s="24" t="s">
        <v>1928</v>
      </c>
      <c r="D40" s="24"/>
      <c r="E40" s="24"/>
      <c r="F40" s="24"/>
      <c r="G40" s="24"/>
      <c r="H40" s="20">
        <v>1</v>
      </c>
      <c r="I40" s="20"/>
      <c r="J40" s="42">
        <f>VLOOKUP($B$35:$B$52,'Alberta Equip. Rates Year 3'!$B$13:$K$314,10,FALSE)</f>
        <v>153</v>
      </c>
      <c r="K40" s="181">
        <f t="shared" ref="K40:K49" si="2">(H40+I40)*J40</f>
        <v>153</v>
      </c>
    </row>
    <row r="41" spans="1:11" ht="18.75" customHeight="1">
      <c r="A41" s="43"/>
      <c r="B41" s="49" t="str">
        <f>VLOOKUP($C$35:$C$52,Equipment!$A$1:$B$2322,2,FALSE)</f>
        <v>Dozer - D8T (or equivalent)</v>
      </c>
      <c r="C41" s="24" t="s">
        <v>978</v>
      </c>
      <c r="D41" s="24"/>
      <c r="E41" s="24"/>
      <c r="F41" s="24"/>
      <c r="G41" s="24"/>
      <c r="H41" s="20">
        <v>1</v>
      </c>
      <c r="I41" s="20"/>
      <c r="J41" s="42">
        <f>VLOOKUP($B$35:$B$52,'Alberta Equip. Rates Year 3'!$B$13:$K$314,10,FALSE)</f>
        <v>1165</v>
      </c>
      <c r="K41" s="181">
        <f t="shared" si="2"/>
        <v>1165</v>
      </c>
    </row>
    <row r="42" spans="1:11" ht="15" customHeight="1">
      <c r="A42" s="43"/>
      <c r="B42" s="49" t="str">
        <f>VLOOKUP($C$35:$C$52,Equipment!$A$1:$B$2322,2,FALSE)</f>
        <v>Flatdeck - 2 Ton</v>
      </c>
      <c r="C42" s="24" t="s">
        <v>1960</v>
      </c>
      <c r="D42" s="24"/>
      <c r="E42" s="24"/>
      <c r="F42" s="24"/>
      <c r="G42" s="24"/>
      <c r="H42" s="20">
        <v>1</v>
      </c>
      <c r="I42" s="20"/>
      <c r="J42" s="42">
        <f>VLOOKUP($B$35:$B$52,'Alberta Equip. Rates Year 3'!$B$13:$K$314,10,FALSE)</f>
        <v>165</v>
      </c>
      <c r="K42" s="181">
        <f t="shared" si="2"/>
        <v>165</v>
      </c>
    </row>
    <row r="43" spans="1:11" ht="15" customHeight="1">
      <c r="A43" s="43"/>
      <c r="B43" s="49" t="str">
        <f>VLOOKUP($C$35:$C$52,Equipment!$A$1:$B$2322,2,FALSE)</f>
        <v>Flatdeck - 2 Ton</v>
      </c>
      <c r="C43" s="24" t="s">
        <v>983</v>
      </c>
      <c r="D43" s="24"/>
      <c r="E43" s="24"/>
      <c r="F43" s="24"/>
      <c r="G43" s="24"/>
      <c r="H43" s="20">
        <v>1</v>
      </c>
      <c r="I43" s="20"/>
      <c r="J43" s="42">
        <f>VLOOKUP($B$35:$B$52,'Alberta Equip. Rates Year 3'!$B$13:$K$314,10,FALSE)</f>
        <v>165</v>
      </c>
      <c r="K43" s="181">
        <f t="shared" si="2"/>
        <v>165</v>
      </c>
    </row>
    <row r="44" spans="1:11" ht="15" customHeight="1">
      <c r="A44" s="43"/>
      <c r="B44" s="49" t="str">
        <f>VLOOKUP($C$35:$C$52,Equipment!$A$1:$B$2322,2,FALSE)</f>
        <v>Sideboom - Cat 587T</v>
      </c>
      <c r="C44" s="24" t="s">
        <v>4146</v>
      </c>
      <c r="D44" s="24"/>
      <c r="E44" s="24"/>
      <c r="F44" s="24"/>
      <c r="G44" s="24"/>
      <c r="H44" s="20">
        <v>1</v>
      </c>
      <c r="I44" s="184"/>
      <c r="J44" s="42">
        <f>VLOOKUP($B$35:$B$52,'Alberta Equip. Rates Year 3'!$B$13:$K$314,10,FALSE)</f>
        <v>1323</v>
      </c>
      <c r="K44" s="181">
        <f>(H44+I44)*J44</f>
        <v>1323</v>
      </c>
    </row>
    <row r="45" spans="1:11" ht="15" customHeight="1">
      <c r="A45" s="43"/>
      <c r="B45" s="49" t="str">
        <f>VLOOKUP($C$35:$C$52,Equipment!$A$1:$B$2322,2,FALSE)</f>
        <v>Sideboom - Cat 594</v>
      </c>
      <c r="C45" s="24" t="s">
        <v>3188</v>
      </c>
      <c r="D45" s="24"/>
      <c r="E45" s="24"/>
      <c r="F45" s="24"/>
      <c r="G45" s="24"/>
      <c r="H45" s="20">
        <v>1</v>
      </c>
      <c r="I45" s="20"/>
      <c r="J45" s="42">
        <f>VLOOKUP($B$35:$B$52,'Alberta Equip. Rates Year 3'!$B$13:$K$314,10,FALSE)</f>
        <v>1323</v>
      </c>
      <c r="K45" s="181">
        <f t="shared" si="2"/>
        <v>1323</v>
      </c>
    </row>
    <row r="46" spans="1:11" ht="15" customHeight="1">
      <c r="A46" s="43"/>
      <c r="B46" s="49" t="str">
        <f>VLOOKUP($C$35:$C$52,Equipment!$A$1:$B$2322,2,FALSE)</f>
        <v>Sideboom - Cat 594</v>
      </c>
      <c r="C46" s="24" t="s">
        <v>2572</v>
      </c>
      <c r="D46" s="24"/>
      <c r="E46" s="24"/>
      <c r="F46" s="24"/>
      <c r="G46" s="24"/>
      <c r="H46" s="20">
        <v>1</v>
      </c>
      <c r="I46" s="20"/>
      <c r="J46" s="42">
        <f>VLOOKUP($B$35:$B$52,'Alberta Equip. Rates Year 3'!$B$13:$K$314,10,FALSE)</f>
        <v>1323</v>
      </c>
      <c r="K46" s="181">
        <f t="shared" si="2"/>
        <v>1323</v>
      </c>
    </row>
    <row r="47" spans="1:11" ht="15" customHeight="1">
      <c r="A47" s="43"/>
      <c r="B47" s="49" t="str">
        <f>VLOOKUP($C$35:$C$52,Equipment!$A$1:$B$2322,2,FALSE)</f>
        <v>Sideboom - Cat 594</v>
      </c>
      <c r="C47" s="24" t="s">
        <v>1349</v>
      </c>
      <c r="D47" s="24"/>
      <c r="E47" s="24"/>
      <c r="F47" s="24"/>
      <c r="G47" s="24"/>
      <c r="H47" s="20">
        <v>1</v>
      </c>
      <c r="I47" s="20"/>
      <c r="J47" s="42">
        <f>VLOOKUP($B$35:$B$52,'Alberta Equip. Rates Year 3'!$B$13:$K$314,10,FALSE)</f>
        <v>1323</v>
      </c>
      <c r="K47" s="181">
        <f t="shared" si="2"/>
        <v>1323</v>
      </c>
    </row>
    <row r="48" spans="1:11" ht="15" customHeight="1">
      <c r="A48" s="43"/>
      <c r="B48" s="49" t="str">
        <f>VLOOKUP($C$35:$C$52,Equipment!$A$1:$B$2322,2,FALSE)</f>
        <v>Welding Rig</v>
      </c>
      <c r="C48" s="24" t="s">
        <v>2812</v>
      </c>
      <c r="D48" s="24"/>
      <c r="E48" s="24"/>
      <c r="F48" s="24"/>
      <c r="G48" s="24"/>
      <c r="H48" s="36"/>
      <c r="I48" s="20">
        <v>12</v>
      </c>
      <c r="J48" s="42">
        <f>VLOOKUP($B$35:$B$52,'Alberta Equip. Rates Year 3'!$B$13:$K$314,10,FALSE)</f>
        <v>48</v>
      </c>
      <c r="K48" s="181">
        <f t="shared" si="2"/>
        <v>576</v>
      </c>
    </row>
    <row r="49" spans="1:11" ht="15" customHeight="1">
      <c r="A49" s="43"/>
      <c r="B49" s="49" t="str">
        <f>VLOOKUP($C$35:$C$52,Equipment!$A$1:$B$2322,2,FALSE)</f>
        <v>Welding Rig</v>
      </c>
      <c r="C49" s="24" t="s">
        <v>2814</v>
      </c>
      <c r="D49" s="24"/>
      <c r="E49" s="24"/>
      <c r="F49" s="24"/>
      <c r="G49" s="24"/>
      <c r="H49" s="36"/>
      <c r="I49" s="184">
        <v>12</v>
      </c>
      <c r="J49" s="42">
        <f>VLOOKUP($B$35:$B$52,'Alberta Equip. Rates Year 3'!$B$13:$K$314,10,FALSE)</f>
        <v>48</v>
      </c>
      <c r="K49" s="181">
        <f t="shared" si="2"/>
        <v>576</v>
      </c>
    </row>
    <row r="50" spans="1:11" ht="15" customHeight="1">
      <c r="A50" s="43"/>
      <c r="B50" s="49">
        <f>VLOOKUP($C$35:$C$52,Equipment!$A$1:$B$2322,2,FALSE)</f>
        <v>0</v>
      </c>
      <c r="C50" s="24"/>
      <c r="D50" s="24"/>
      <c r="E50" s="24"/>
      <c r="F50" s="24"/>
      <c r="G50" s="24"/>
      <c r="H50" s="185"/>
      <c r="I50" s="184"/>
      <c r="J50" s="42">
        <f>VLOOKUP($B$35:$B$52,'Alberta Equip. Rates Year 3'!$B$13:$K$314,10,FALSE)</f>
        <v>0</v>
      </c>
      <c r="K50" s="181">
        <f>(H50+I50)*J50</f>
        <v>0</v>
      </c>
    </row>
    <row r="51" spans="1:11" ht="15" customHeight="1">
      <c r="A51" s="43"/>
      <c r="B51" s="49">
        <f>VLOOKUP($C$35:$C$52,Equipment!$A$1:$B$2322,2,FALSE)</f>
        <v>0</v>
      </c>
      <c r="C51" s="24"/>
      <c r="D51" s="24"/>
      <c r="E51" s="24"/>
      <c r="F51" s="24"/>
      <c r="G51" s="24"/>
      <c r="H51" s="185"/>
      <c r="I51" s="184"/>
      <c r="J51" s="42">
        <f>VLOOKUP($B$35:$B$52,'Alberta Equip. Rates Year 3'!$B$13:$K$314,10,FALSE)</f>
        <v>0</v>
      </c>
      <c r="K51" s="181">
        <f>(H51+I51)*J51</f>
        <v>0</v>
      </c>
    </row>
    <row r="52" spans="1:11" ht="15" customHeight="1" thickBot="1">
      <c r="A52" s="43"/>
      <c r="B52" s="49">
        <f>VLOOKUP($C$35:$C$52,Equipment!$A$1:$B$2322,2,FALSE)</f>
        <v>0</v>
      </c>
      <c r="C52" s="24"/>
      <c r="D52" s="24"/>
      <c r="E52" s="24"/>
      <c r="F52" s="24"/>
      <c r="G52" s="24"/>
      <c r="H52" s="185"/>
      <c r="I52" s="184"/>
      <c r="J52" s="42">
        <f>VLOOKUP($B$35:$B$52,'Alberta Equip. Rates Year 3'!$B$13:$K$314,10,FALSE)</f>
        <v>0</v>
      </c>
      <c r="K52" s="181">
        <f>(H52+I52)*J52</f>
        <v>0</v>
      </c>
    </row>
    <row r="53" spans="1:11" ht="12" thickBot="1">
      <c r="A53" s="25"/>
      <c r="B53" s="25"/>
      <c r="C53" s="25"/>
      <c r="D53" s="21"/>
      <c r="E53" s="21"/>
      <c r="F53" s="21"/>
      <c r="G53" s="21"/>
      <c r="H53" s="21"/>
      <c r="I53" s="360" t="s">
        <v>24</v>
      </c>
      <c r="J53" s="361"/>
      <c r="K53" s="182">
        <f>SUM(K35:K52)</f>
        <v>10483</v>
      </c>
    </row>
    <row r="54" spans="1:11" ht="12" thickBot="1">
      <c r="A54" s="26"/>
      <c r="D54" s="26"/>
      <c r="I54" s="27"/>
      <c r="J54" s="27"/>
      <c r="K54" s="28"/>
    </row>
    <row r="55" spans="1:11">
      <c r="A55" s="1" t="s">
        <v>25</v>
      </c>
      <c r="B55" s="29"/>
      <c r="D55" s="1"/>
      <c r="E55" s="1"/>
      <c r="F55" s="1"/>
      <c r="G55" s="1"/>
      <c r="H55" s="1"/>
      <c r="I55" s="362" t="s">
        <v>26</v>
      </c>
      <c r="J55" s="362"/>
      <c r="K55" s="37">
        <f>K32</f>
        <v>18600.679999999997</v>
      </c>
    </row>
    <row r="56" spans="1:11">
      <c r="D56" s="1"/>
      <c r="E56" s="1"/>
      <c r="F56" s="1"/>
      <c r="G56" s="1"/>
      <c r="H56" s="1"/>
      <c r="I56" s="362" t="s">
        <v>27</v>
      </c>
      <c r="J56" s="362"/>
      <c r="K56" s="38">
        <f>K53</f>
        <v>10483</v>
      </c>
    </row>
    <row r="57" spans="1:11">
      <c r="D57" s="1"/>
      <c r="E57" s="1"/>
      <c r="F57" s="1"/>
      <c r="G57" s="1"/>
      <c r="H57" s="1"/>
      <c r="I57" s="27" t="s">
        <v>28</v>
      </c>
      <c r="J57" s="27"/>
      <c r="K57" s="38">
        <f>(O32)*14.15</f>
        <v>2872.4500000000003</v>
      </c>
    </row>
    <row r="58" spans="1:11">
      <c r="D58" s="1"/>
      <c r="E58" s="1"/>
      <c r="F58" s="1"/>
      <c r="G58" s="1"/>
      <c r="H58" s="1"/>
      <c r="I58" s="30" t="s">
        <v>29</v>
      </c>
      <c r="J58" s="30"/>
      <c r="K58" s="39"/>
    </row>
    <row r="59" spans="1:11">
      <c r="D59" s="1"/>
      <c r="E59" s="1"/>
      <c r="F59" s="1"/>
      <c r="G59" s="1"/>
      <c r="H59" s="1"/>
      <c r="I59" s="30" t="s">
        <v>30</v>
      </c>
      <c r="J59" s="30"/>
      <c r="K59" s="39"/>
    </row>
    <row r="60" spans="1:11">
      <c r="D60" s="1"/>
      <c r="E60" s="1"/>
      <c r="F60" s="1"/>
      <c r="G60" s="1"/>
      <c r="H60" s="1"/>
      <c r="I60" s="30" t="s">
        <v>31</v>
      </c>
      <c r="J60" s="30"/>
      <c r="K60" s="39"/>
    </row>
    <row r="61" spans="1:11" ht="12" thickBot="1">
      <c r="D61" s="1"/>
      <c r="E61" s="1"/>
      <c r="F61" s="1"/>
      <c r="G61" s="1"/>
      <c r="H61" s="1"/>
      <c r="I61" s="362" t="s">
        <v>32</v>
      </c>
      <c r="J61" s="362"/>
      <c r="K61" s="40">
        <f>SUM(K55:K60)</f>
        <v>31956.129999999997</v>
      </c>
    </row>
    <row r="62" spans="1:11">
      <c r="D62" s="1"/>
      <c r="E62" s="1"/>
      <c r="F62" s="1"/>
      <c r="G62" s="1"/>
      <c r="H62" s="1"/>
      <c r="I62" s="27"/>
      <c r="J62" s="27"/>
    </row>
    <row r="63" spans="1:11">
      <c r="A63" s="31" t="s">
        <v>33</v>
      </c>
      <c r="B63" s="32"/>
      <c r="C63" s="32"/>
      <c r="D63" s="1"/>
      <c r="H63" s="33" t="s">
        <v>34</v>
      </c>
      <c r="I63" s="32"/>
      <c r="J63" s="32"/>
      <c r="K63" s="32"/>
    </row>
    <row r="64" spans="1:11" ht="15">
      <c r="A64" s="34"/>
      <c r="E64" s="8"/>
      <c r="F64" s="8"/>
      <c r="G64" s="8"/>
      <c r="H64" s="35"/>
      <c r="I64" s="35"/>
      <c r="J64" s="35"/>
      <c r="K64" s="35"/>
    </row>
    <row r="65" spans="1:11" ht="15">
      <c r="A65" s="34" t="s">
        <v>35</v>
      </c>
      <c r="E65" s="8"/>
      <c r="F65" s="8"/>
      <c r="G65" s="8"/>
      <c r="H65" s="35"/>
      <c r="I65" s="35"/>
      <c r="J65" s="35"/>
      <c r="K65" s="35"/>
    </row>
    <row r="66" spans="1:11" s="34" customFormat="1">
      <c r="A66" s="363">
        <v>41218.479166666664</v>
      </c>
      <c r="B66" s="363"/>
      <c r="C66" s="364"/>
      <c r="D66" s="364"/>
      <c r="E66" s="364"/>
      <c r="F66" s="364"/>
      <c r="G66" s="364"/>
      <c r="H66" s="364"/>
      <c r="I66" s="364"/>
      <c r="J66" s="364"/>
      <c r="K66" s="8"/>
    </row>
    <row r="76" spans="1:11">
      <c r="D76" s="1"/>
      <c r="E76" s="1"/>
      <c r="F76" s="1"/>
      <c r="G76" s="1"/>
      <c r="H76" s="1"/>
      <c r="I76" s="1"/>
      <c r="J76" s="1"/>
    </row>
    <row r="77" spans="1:11">
      <c r="D77" s="1"/>
      <c r="E77" s="1"/>
      <c r="F77" s="1"/>
      <c r="G77" s="1"/>
      <c r="H77" s="1"/>
      <c r="I77" s="1"/>
      <c r="J77" s="1"/>
    </row>
    <row r="78" spans="1:11">
      <c r="D78" s="1"/>
      <c r="E78" s="1"/>
      <c r="F78" s="1"/>
      <c r="G78" s="1"/>
      <c r="H78" s="1"/>
      <c r="I78" s="1"/>
      <c r="J78" s="1"/>
    </row>
    <row r="79" spans="1:11">
      <c r="D79" s="1"/>
      <c r="E79" s="1"/>
      <c r="F79" s="1"/>
      <c r="G79" s="1"/>
      <c r="H79" s="1"/>
      <c r="I79" s="1"/>
      <c r="J79" s="1"/>
    </row>
    <row r="80" spans="1:11">
      <c r="D80" s="1"/>
      <c r="E80" s="1"/>
      <c r="F80" s="1"/>
      <c r="G80" s="1"/>
      <c r="H80" s="1"/>
      <c r="I80" s="1"/>
      <c r="J80" s="1"/>
    </row>
    <row r="81" s="1" customFormat="1"/>
    <row r="82" s="1" customFormat="1"/>
    <row r="83" s="1" customFormat="1"/>
    <row r="84" s="1" customFormat="1"/>
    <row r="85" s="1" customFormat="1"/>
    <row r="86" s="1" customFormat="1"/>
    <row r="87" s="1" customFormat="1"/>
    <row r="88" s="1" customFormat="1"/>
    <row r="89" s="1" customFormat="1"/>
    <row r="94" s="1" customFormat="1"/>
    <row r="122" s="1" customFormat="1"/>
    <row r="123" s="1" customFormat="1"/>
    <row r="124" s="1" customFormat="1"/>
    <row r="125" s="1" customFormat="1"/>
  </sheetData>
  <mergeCells count="12">
    <mergeCell ref="I53:J53"/>
    <mergeCell ref="I55:J55"/>
    <mergeCell ref="I56:J56"/>
    <mergeCell ref="I61:J61"/>
    <mergeCell ref="A66:B66"/>
    <mergeCell ref="C66:J66"/>
    <mergeCell ref="I32:J32"/>
    <mergeCell ref="C1:H1"/>
    <mergeCell ref="C2:H2"/>
    <mergeCell ref="C3:H3"/>
    <mergeCell ref="H6:I6"/>
    <mergeCell ref="H7:I7"/>
  </mergeCells>
  <conditionalFormatting sqref="M11:M15 M29:M30">
    <cfRule type="expression" dxfId="71" priority="40210">
      <formula>ISTEXT(A11:A31)</formula>
    </cfRule>
  </conditionalFormatting>
  <conditionalFormatting sqref="M16">
    <cfRule type="expression" dxfId="70" priority="40217">
      <formula>ISTEXT(A16:A49)</formula>
    </cfRule>
  </conditionalFormatting>
  <conditionalFormatting sqref="M17:M18">
    <cfRule type="expression" dxfId="69" priority="40208">
      <formula>ISTEXT(A17:A36)</formula>
    </cfRule>
  </conditionalFormatting>
  <conditionalFormatting sqref="M19:M28">
    <cfRule type="expression" dxfId="68" priority="40220">
      <formula>ISTEXT(A19:A37)</formula>
    </cfRule>
  </conditionalFormatting>
  <conditionalFormatting sqref="M31">
    <cfRule type="expression" dxfId="67" priority="39970">
      <formula>ISTEXT(A31:A48)</formula>
    </cfRule>
  </conditionalFormatting>
  <printOptions horizontalCentered="1"/>
  <pageMargins left="0.19685039370078741" right="0.19685039370078741" top="0.39370078740157483" bottom="0.39370078740157483" header="0" footer="0"/>
  <pageSetup orientation="portrait"/>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1D00-000000000000}">
          <x14:formula1>
            <xm:f>Accounts!$A$4:$A$60</xm:f>
          </x14:formula1>
          <xm:sqref>K7</xm:sqref>
        </x14:dataValidation>
        <x14:dataValidation type="list" allowBlank="1" showInputMessage="1" showErrorMessage="1" xr:uid="{00000000-0002-0000-1D00-000001000000}">
          <x14:formula1>
            <xm:f>'Constr. Wage Rate Calculations'!$A$19:$A$288</xm:f>
          </x14:formula1>
          <xm:sqref>B11:B31</xm:sqref>
        </x14:dataValidation>
        <x14:dataValidation type="list" allowBlank="1" showInputMessage="1" showErrorMessage="1" xr:uid="{00000000-0002-0000-1D00-000002000000}">
          <x14:formula1>
            <xm:f>Personnel!$A:$A</xm:f>
          </x14:formula1>
          <xm:sqref>C11:C31</xm:sqref>
        </x14:dataValidation>
        <x14:dataValidation type="list" allowBlank="1" showInputMessage="1" showErrorMessage="1" xr:uid="{00000000-0002-0000-1D00-000003000000}">
          <x14:formula1>
            <xm:f>Equipment!$A:$A</xm:f>
          </x14:formula1>
          <xm:sqref>C35:C52</xm:sqref>
        </x14:dataValidation>
      </x14:dataValidations>
    </ext>
    <ext xmlns:mx="http://schemas.microsoft.com/office/mac/excel/2008/main" uri="{64002731-A6B0-56B0-2670-7721B7C09600}">
      <mx:PLV Mode="0" OnePage="0" WScale="0"/>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CCFFCC"/>
    <pageSetUpPr fitToPage="1"/>
  </sheetPr>
  <dimension ref="A1:O184"/>
  <sheetViews>
    <sheetView zoomScale="120" zoomScaleNormal="120" zoomScalePageLayoutView="120" workbookViewId="0">
      <selection activeCell="D9" sqref="D9"/>
    </sheetView>
  </sheetViews>
  <sheetFormatPr baseColWidth="10" defaultColWidth="8.83203125" defaultRowHeight="11"/>
  <cols>
    <col min="1" max="1" width="13" style="1" customWidth="1"/>
    <col min="2" max="2" width="30" style="1" customWidth="1"/>
    <col min="3" max="3" width="24.5" style="1" customWidth="1"/>
    <col min="4" max="4" width="8.6640625" style="2" customWidth="1"/>
    <col min="5" max="6" width="8.33203125" style="2" customWidth="1"/>
    <col min="7" max="8" width="8.6640625" style="2" customWidth="1"/>
    <col min="9" max="9" width="9.33203125" style="2" customWidth="1"/>
    <col min="10" max="10" width="8.6640625" style="2" customWidth="1"/>
    <col min="11" max="11" width="20.6640625" style="1" customWidth="1"/>
    <col min="12" max="12" width="3.5" style="1" hidden="1" customWidth="1"/>
    <col min="13" max="16384" width="8.83203125" style="1"/>
  </cols>
  <sheetData>
    <row r="1" spans="1:13" ht="15">
      <c r="C1" s="364"/>
      <c r="D1" s="365"/>
      <c r="E1" s="365"/>
      <c r="F1" s="365"/>
      <c r="G1" s="365"/>
      <c r="H1" s="366"/>
      <c r="J1" s="2" t="s">
        <v>0</v>
      </c>
      <c r="K1" s="197">
        <v>41659</v>
      </c>
      <c r="M1" s="45"/>
    </row>
    <row r="2" spans="1:13" ht="15">
      <c r="C2" s="367"/>
      <c r="D2" s="367"/>
      <c r="E2" s="367"/>
      <c r="F2" s="367"/>
      <c r="G2" s="367"/>
      <c r="H2" s="366"/>
      <c r="K2" s="41"/>
    </row>
    <row r="3" spans="1:13" ht="15">
      <c r="C3" s="368"/>
      <c r="D3" s="369"/>
      <c r="E3" s="369"/>
      <c r="F3" s="369"/>
      <c r="G3" s="369"/>
      <c r="H3" s="366"/>
    </row>
    <row r="4" spans="1:13">
      <c r="C4" s="3"/>
      <c r="D4" s="4"/>
      <c r="E4" s="4"/>
      <c r="F4" s="4"/>
      <c r="G4" s="4"/>
    </row>
    <row r="5" spans="1:13">
      <c r="C5" s="3"/>
      <c r="D5" s="4"/>
      <c r="E5" s="4"/>
      <c r="F5" s="4"/>
      <c r="G5" s="4"/>
    </row>
    <row r="6" spans="1:13" ht="12">
      <c r="B6" s="5"/>
      <c r="C6" s="6"/>
      <c r="D6" s="7"/>
      <c r="E6" s="8"/>
      <c r="F6" s="8"/>
      <c r="G6" s="1" t="s">
        <v>1</v>
      </c>
      <c r="H6" s="370">
        <v>18217</v>
      </c>
      <c r="I6" s="370"/>
      <c r="J6" s="1" t="s">
        <v>2</v>
      </c>
      <c r="K6" s="47"/>
    </row>
    <row r="7" spans="1:13" ht="12">
      <c r="A7" s="1" t="s">
        <v>3</v>
      </c>
      <c r="B7" s="9"/>
      <c r="C7" s="10"/>
      <c r="D7" s="11"/>
      <c r="E7" s="8"/>
      <c r="F7" s="8"/>
      <c r="G7" s="1" t="s">
        <v>4</v>
      </c>
      <c r="H7" s="371"/>
      <c r="I7" s="371"/>
      <c r="J7" s="1" t="s">
        <v>5</v>
      </c>
      <c r="K7" s="46"/>
    </row>
    <row r="8" spans="1:13" ht="12">
      <c r="B8" s="12"/>
      <c r="C8" s="13"/>
      <c r="D8" s="14"/>
      <c r="E8" s="8"/>
      <c r="F8" s="8"/>
      <c r="G8" s="1" t="s">
        <v>6</v>
      </c>
      <c r="H8" s="189"/>
      <c r="I8" s="190"/>
      <c r="J8" s="44"/>
    </row>
    <row r="9" spans="1:13" ht="16" thickBot="1">
      <c r="B9" s="15"/>
      <c r="C9" s="16"/>
      <c r="D9" s="16"/>
      <c r="E9" s="8"/>
      <c r="F9" s="8"/>
      <c r="G9" s="8"/>
    </row>
    <row r="10" spans="1:13" s="19" customFormat="1" ht="12" thickBot="1">
      <c r="A10" s="17" t="s">
        <v>7</v>
      </c>
      <c r="B10" s="17" t="s">
        <v>8</v>
      </c>
      <c r="C10" s="17" t="s">
        <v>9</v>
      </c>
      <c r="D10" s="18" t="s">
        <v>10</v>
      </c>
      <c r="E10" s="18" t="s">
        <v>11</v>
      </c>
      <c r="F10" s="18" t="s">
        <v>12</v>
      </c>
      <c r="G10" s="180" t="s">
        <v>13</v>
      </c>
      <c r="H10" s="18" t="s">
        <v>14</v>
      </c>
      <c r="I10" s="18" t="s">
        <v>15</v>
      </c>
      <c r="J10" s="18" t="s">
        <v>16</v>
      </c>
      <c r="K10" s="18" t="s">
        <v>17</v>
      </c>
      <c r="M10" s="19" t="s">
        <v>1797</v>
      </c>
    </row>
    <row r="11" spans="1:13" ht="15" customHeight="1">
      <c r="A11" s="48"/>
      <c r="B11" s="49">
        <f>VLOOKUP($C$11:$C$39,Personnel!$A$1:$B$1234,2,FALSE)</f>
        <v>0</v>
      </c>
      <c r="C11" s="36"/>
      <c r="D11" s="184"/>
      <c r="E11" s="179">
        <f>VLOOKUP($B$11:$B$39,'Constr. Wage Rate Calculations'!$A$19:$Z$288,22,FALSE)</f>
        <v>0</v>
      </c>
      <c r="F11" s="184"/>
      <c r="G11" s="179">
        <f>VLOOKUP($B$11:$B$39,'Constr. Wage Rate Calculations'!$A$19:$Z$288,23,FALSE)</f>
        <v>0</v>
      </c>
      <c r="H11" s="184"/>
      <c r="I11" s="179">
        <f>VLOOKUP($B$11:$B$39,'Constr. Wage Rate Calculations'!$A$19:$Z$288,24,FALSE)</f>
        <v>0</v>
      </c>
      <c r="J11" s="20">
        <f>VLOOKUP($B$11:$B$39,'Constr. Wage Rate Calculations'!$A$19:$Z$288,25,FALSE)</f>
        <v>0</v>
      </c>
      <c r="K11" s="179" t="str">
        <f t="shared" ref="K11:K39" si="0">IF($D11&gt;=1,$J11+(D11*E11)+(F11*G11)+(H11*I11),IF($F11&gt;=1,$J11+(D11*E11)+(F11*G11)+(H11*I11),IF($H11&gt;=1,$J11+(D11*E11)+(F11*G11)+(H11*I11),"")))</f>
        <v/>
      </c>
    </row>
    <row r="12" spans="1:13" ht="15" customHeight="1">
      <c r="A12" s="48"/>
      <c r="B12" s="49" t="str">
        <f>VLOOKUP($C$11:$C$39,Personnel!$A$1:$B$1234,2,FALSE)</f>
        <v>APPRENTICE OPER/OILER</v>
      </c>
      <c r="C12" s="36" t="s">
        <v>2941</v>
      </c>
      <c r="D12" s="184">
        <v>8</v>
      </c>
      <c r="E12" s="179">
        <f>VLOOKUP($B$11:$B$39,'Constr. Wage Rate Calculations'!$A$19:$Z$288,22,FALSE)</f>
        <v>49.44</v>
      </c>
      <c r="F12" s="184">
        <v>5</v>
      </c>
      <c r="G12" s="179">
        <f>VLOOKUP($B$11:$B$39,'Constr. Wage Rate Calculations'!$A$19:$Z$288,23,FALSE)</f>
        <v>74.16</v>
      </c>
      <c r="H12" s="184"/>
      <c r="I12" s="179">
        <f>VLOOKUP($B$11:$B$39,'Constr. Wage Rate Calculations'!$A$19:$Z$288,24,FALSE)</f>
        <v>98.89</v>
      </c>
      <c r="J12" s="20">
        <f>VLOOKUP($B$11:$B$39,'Constr. Wage Rate Calculations'!$A$19:$Z$288,25,FALSE)</f>
        <v>85</v>
      </c>
      <c r="K12" s="179">
        <f t="shared" si="0"/>
        <v>851.31999999999994</v>
      </c>
      <c r="L12" s="20">
        <f>VLOOKUP($B$11:$B$39,'Constr. Wage Rate Calculations'!$A$19:$Z$288,25,FALSE)</f>
        <v>85</v>
      </c>
      <c r="M12" s="1">
        <v>1</v>
      </c>
    </row>
    <row r="13" spans="1:13" ht="15" customHeight="1">
      <c r="A13" s="48"/>
      <c r="B13" s="49" t="str">
        <f>VLOOKUP($C$11:$C$39,Personnel!$A$1:$B$1234,2,FALSE)</f>
        <v>GENERAL LABOURER</v>
      </c>
      <c r="C13" s="36" t="s">
        <v>1492</v>
      </c>
      <c r="D13" s="184">
        <v>8</v>
      </c>
      <c r="E13" s="179">
        <f>VLOOKUP($B$11:$B$39,'Constr. Wage Rate Calculations'!$A$19:$Z$288,22,FALSE)</f>
        <v>48.1</v>
      </c>
      <c r="F13" s="184">
        <v>4</v>
      </c>
      <c r="G13" s="179">
        <f>VLOOKUP($B$11:$B$39,'Constr. Wage Rate Calculations'!$A$19:$Z$288,23,FALSE)</f>
        <v>72.150000000000006</v>
      </c>
      <c r="H13" s="184"/>
      <c r="I13" s="179">
        <f>VLOOKUP($B$11:$B$39,'Constr. Wage Rate Calculations'!$A$19:$Z$288,24,FALSE)</f>
        <v>96.2</v>
      </c>
      <c r="J13" s="20">
        <f>VLOOKUP($B$11:$B$39,'Constr. Wage Rate Calculations'!$A$19:$Z$288,25,FALSE)</f>
        <v>85</v>
      </c>
      <c r="K13" s="179">
        <f t="shared" si="0"/>
        <v>758.40000000000009</v>
      </c>
    </row>
    <row r="14" spans="1:13" ht="15" customHeight="1">
      <c r="A14" s="48"/>
      <c r="B14" s="49" t="str">
        <f>VLOOKUP($C$11:$C$39,Personnel!$A$1:$B$1234,2,FALSE)</f>
        <v>PRINCIPAL OPER 1</v>
      </c>
      <c r="C14" s="36" t="s">
        <v>2198</v>
      </c>
      <c r="D14" s="184">
        <v>8</v>
      </c>
      <c r="E14" s="179">
        <f>VLOOKUP($B$11:$B$39,'Constr. Wage Rate Calculations'!$A$19:$Z$288,22,FALSE)</f>
        <v>64.239999999999995</v>
      </c>
      <c r="F14" s="184">
        <v>4</v>
      </c>
      <c r="G14" s="179">
        <f>VLOOKUP($B$11:$B$39,'Constr. Wage Rate Calculations'!$A$19:$Z$288,23,FALSE)</f>
        <v>96.36</v>
      </c>
      <c r="H14" s="184"/>
      <c r="I14" s="179">
        <f>VLOOKUP($B$11:$B$39,'Constr. Wage Rate Calculations'!$A$19:$Z$288,24,FALSE)</f>
        <v>128.47</v>
      </c>
      <c r="J14" s="20">
        <f>VLOOKUP($B$11:$B$39,'Constr. Wage Rate Calculations'!$A$19:$Z$288,25,FALSE)</f>
        <v>85</v>
      </c>
      <c r="K14" s="179">
        <f t="shared" si="0"/>
        <v>984.3599999999999</v>
      </c>
      <c r="L14" s="20">
        <f>VLOOKUP($B$11:$B$39,'Constr. Wage Rate Calculations'!$A$19:$Z$288,25,FALSE)</f>
        <v>85</v>
      </c>
    </row>
    <row r="15" spans="1:13" ht="16" customHeight="1">
      <c r="A15" s="48"/>
      <c r="B15" s="49" t="str">
        <f>VLOOKUP($C$11:$C$39,Personnel!$A$1:$B$1234,2,FALSE)</f>
        <v>PRINCIPAL OPER 1</v>
      </c>
      <c r="C15" s="36" t="s">
        <v>743</v>
      </c>
      <c r="D15" s="184">
        <v>8</v>
      </c>
      <c r="E15" s="179">
        <f>VLOOKUP($B$11:$B$39,'Constr. Wage Rate Calculations'!$A$19:$Z$288,22,FALSE)</f>
        <v>64.239999999999995</v>
      </c>
      <c r="F15" s="184">
        <v>4</v>
      </c>
      <c r="G15" s="179">
        <f>VLOOKUP($B$11:$B$39,'Constr. Wage Rate Calculations'!$A$19:$Z$288,23,FALSE)</f>
        <v>96.36</v>
      </c>
      <c r="H15" s="184"/>
      <c r="I15" s="179">
        <f>VLOOKUP($B$11:$B$39,'Constr. Wage Rate Calculations'!$A$19:$Z$288,24,FALSE)</f>
        <v>128.47</v>
      </c>
      <c r="J15" s="20">
        <f>VLOOKUP($B$11:$B$39,'Constr. Wage Rate Calculations'!$A$19:$Z$288,25,FALSE)</f>
        <v>85</v>
      </c>
      <c r="K15" s="179">
        <f t="shared" si="0"/>
        <v>984.3599999999999</v>
      </c>
      <c r="L15" s="20">
        <f>VLOOKUP($B$11:$B$39,'Constr. Wage Rate Calculations'!$A$19:$Z$288,25,FALSE)</f>
        <v>85</v>
      </c>
    </row>
    <row r="16" spans="1:13" ht="15" customHeight="1">
      <c r="A16" s="48"/>
      <c r="B16" s="49" t="str">
        <f>VLOOKUP($C$11:$C$39,Personnel!$A$1:$B$1234,2,FALSE)</f>
        <v>APPRENTICE OPER/OILER</v>
      </c>
      <c r="C16" s="36" t="s">
        <v>3007</v>
      </c>
      <c r="D16" s="184">
        <v>8</v>
      </c>
      <c r="E16" s="179">
        <f>VLOOKUP($B$11:$B$39,'Constr. Wage Rate Calculations'!$A$19:$Z$288,22,FALSE)</f>
        <v>49.44</v>
      </c>
      <c r="F16" s="184">
        <v>4</v>
      </c>
      <c r="G16" s="179">
        <f>VLOOKUP($B$11:$B$39,'Constr. Wage Rate Calculations'!$A$19:$Z$288,23,FALSE)</f>
        <v>74.16</v>
      </c>
      <c r="H16" s="184"/>
      <c r="I16" s="179">
        <f>VLOOKUP($B$11:$B$39,'Constr. Wage Rate Calculations'!$A$19:$Z$288,24,FALSE)</f>
        <v>98.89</v>
      </c>
      <c r="J16" s="20">
        <f>VLOOKUP($B$11:$B$39,'Constr. Wage Rate Calculations'!$A$19:$Z$288,25,FALSE)</f>
        <v>85</v>
      </c>
      <c r="K16" s="179">
        <f t="shared" si="0"/>
        <v>777.16</v>
      </c>
      <c r="L16" s="20">
        <f>VLOOKUP($B$11:$B$39,'Constr. Wage Rate Calculations'!$A$19:$Z$288,25,FALSE)</f>
        <v>85</v>
      </c>
    </row>
    <row r="17" spans="1:13" ht="15" customHeight="1">
      <c r="A17" s="48"/>
      <c r="B17" s="49" t="str">
        <f>VLOOKUP($C$11:$C$39,Personnel!$A$1:$B$1234,2,FALSE)</f>
        <v>PRINCIPAL OPER 1</v>
      </c>
      <c r="C17" s="36" t="s">
        <v>745</v>
      </c>
      <c r="D17" s="184">
        <v>8</v>
      </c>
      <c r="E17" s="179">
        <f>VLOOKUP($B$11:$B$39,'Constr. Wage Rate Calculations'!$A$19:$Z$288,22,FALSE)</f>
        <v>64.239999999999995</v>
      </c>
      <c r="F17" s="184">
        <v>4</v>
      </c>
      <c r="G17" s="179">
        <f>VLOOKUP($B$11:$B$39,'Constr. Wage Rate Calculations'!$A$19:$Z$288,23,FALSE)</f>
        <v>96.36</v>
      </c>
      <c r="H17" s="184"/>
      <c r="I17" s="179">
        <f>VLOOKUP($B$11:$B$39,'Constr. Wage Rate Calculations'!$A$19:$Z$288,24,FALSE)</f>
        <v>128.47</v>
      </c>
      <c r="J17" s="20">
        <f>VLOOKUP($B$11:$B$39,'Constr. Wage Rate Calculations'!$A$19:$Z$288,25,FALSE)</f>
        <v>85</v>
      </c>
      <c r="K17" s="179">
        <f t="shared" si="0"/>
        <v>984.3599999999999</v>
      </c>
    </row>
    <row r="18" spans="1:13" ht="15" customHeight="1">
      <c r="A18" s="48"/>
      <c r="B18" s="49" t="str">
        <f>VLOOKUP($C$11:$C$39,Personnel!$A$1:$B$1234,2,FALSE)</f>
        <v>APPRENTICE OPER/OILER</v>
      </c>
      <c r="C18" s="36" t="s">
        <v>1610</v>
      </c>
      <c r="D18" s="184">
        <v>8</v>
      </c>
      <c r="E18" s="179">
        <f>VLOOKUP($B$11:$B$39,'Constr. Wage Rate Calculations'!$A$19:$Z$288,22,FALSE)</f>
        <v>49.44</v>
      </c>
      <c r="F18" s="184">
        <v>4</v>
      </c>
      <c r="G18" s="179">
        <f>VLOOKUP($B$11:$B$39,'Constr. Wage Rate Calculations'!$A$19:$Z$288,23,FALSE)</f>
        <v>74.16</v>
      </c>
      <c r="H18" s="184"/>
      <c r="I18" s="179">
        <f>VLOOKUP($B$11:$B$39,'Constr. Wage Rate Calculations'!$A$19:$Z$288,24,FALSE)</f>
        <v>98.89</v>
      </c>
      <c r="J18" s="20">
        <f>VLOOKUP($B$11:$B$39,'Constr. Wage Rate Calculations'!$A$19:$Z$288,25,FALSE)</f>
        <v>85</v>
      </c>
      <c r="K18" s="179">
        <f t="shared" si="0"/>
        <v>777.16</v>
      </c>
    </row>
    <row r="19" spans="1:13" ht="15" customHeight="1">
      <c r="A19" s="48"/>
      <c r="B19" s="49" t="str">
        <f>VLOOKUP($C$11:$C$39,Personnel!$A$1:$B$1234,2,FALSE)</f>
        <v>GENERAL FOREMAN</v>
      </c>
      <c r="C19" s="36" t="s">
        <v>738</v>
      </c>
      <c r="D19" s="184">
        <v>1</v>
      </c>
      <c r="E19" s="179">
        <f>VLOOKUP($B$11:$B$39,'Constr. Wage Rate Calculations'!$A$19:$Z$288,22,FALSE)</f>
        <v>1332.16</v>
      </c>
      <c r="F19" s="184">
        <v>9</v>
      </c>
      <c r="G19" s="179">
        <f>VLOOKUP($B$11:$B$39,'Constr. Wage Rate Calculations'!$A$19:$Z$288,23,FALSE)</f>
        <v>0</v>
      </c>
      <c r="H19" s="184"/>
      <c r="I19" s="179">
        <f>VLOOKUP($B$11:$B$39,'Constr. Wage Rate Calculations'!$A$19:$Z$288,24,FALSE)</f>
        <v>0</v>
      </c>
      <c r="J19" s="20">
        <f>VLOOKUP($B$11:$B$39,'Constr. Wage Rate Calculations'!$A$19:$Z$288,25,FALSE)</f>
        <v>230</v>
      </c>
      <c r="K19" s="179">
        <f t="shared" si="0"/>
        <v>1562.16</v>
      </c>
      <c r="L19" s="2"/>
    </row>
    <row r="20" spans="1:13" ht="15" customHeight="1">
      <c r="A20" s="48"/>
      <c r="B20" s="49" t="str">
        <f>VLOOKUP($C$11:$C$39,Personnel!$A$1:$B$1234,2,FALSE)</f>
        <v>APPRENTICE OPER/OILER</v>
      </c>
      <c r="C20" s="36" t="s">
        <v>3023</v>
      </c>
      <c r="D20" s="184">
        <v>8</v>
      </c>
      <c r="E20" s="179">
        <f>VLOOKUP($B$11:$B$39,'Constr. Wage Rate Calculations'!$A$19:$Z$288,22,FALSE)</f>
        <v>49.44</v>
      </c>
      <c r="F20" s="184">
        <v>4</v>
      </c>
      <c r="G20" s="179">
        <f>VLOOKUP($B$11:$B$39,'Constr. Wage Rate Calculations'!$A$19:$Z$288,23,FALSE)</f>
        <v>74.16</v>
      </c>
      <c r="H20" s="184"/>
      <c r="I20" s="179">
        <f>VLOOKUP($B$11:$B$39,'Constr. Wage Rate Calculations'!$A$19:$Z$288,24,FALSE)</f>
        <v>98.89</v>
      </c>
      <c r="J20" s="20">
        <f>VLOOKUP($B$11:$B$39,'Constr. Wage Rate Calculations'!$A$19:$Z$288,25,FALSE)</f>
        <v>85</v>
      </c>
      <c r="K20" s="179">
        <f t="shared" si="0"/>
        <v>777.16</v>
      </c>
      <c r="L20" s="20">
        <f>VLOOKUP($B$11:$B$39,'Constr. Wage Rate Calculations'!$A$19:$Z$288,25,FALSE)</f>
        <v>85</v>
      </c>
    </row>
    <row r="21" spans="1:13" ht="15" customHeight="1">
      <c r="A21" s="48"/>
      <c r="B21" s="49" t="str">
        <f>VLOOKUP($C$11:$C$39,Personnel!$A$1:$B$1234,2,FALSE)</f>
        <v>APPRENTICE OPER/OILER</v>
      </c>
      <c r="C21" s="36" t="s">
        <v>959</v>
      </c>
      <c r="D21" s="184">
        <v>8</v>
      </c>
      <c r="E21" s="179">
        <f>VLOOKUP($B$11:$B$39,'Constr. Wage Rate Calculations'!$A$19:$Z$288,22,FALSE)</f>
        <v>49.44</v>
      </c>
      <c r="F21" s="184">
        <v>4</v>
      </c>
      <c r="G21" s="179">
        <f>VLOOKUP($B$11:$B$39,'Constr. Wage Rate Calculations'!$A$19:$Z$288,23,FALSE)</f>
        <v>74.16</v>
      </c>
      <c r="H21" s="184"/>
      <c r="I21" s="179">
        <f>VLOOKUP($B$11:$B$39,'Constr. Wage Rate Calculations'!$A$19:$Z$288,24,FALSE)</f>
        <v>98.89</v>
      </c>
      <c r="J21" s="20">
        <f>VLOOKUP($B$11:$B$39,'Constr. Wage Rate Calculations'!$A$19:$Z$288,25,FALSE)</f>
        <v>85</v>
      </c>
      <c r="K21" s="179">
        <f t="shared" si="0"/>
        <v>777.16</v>
      </c>
    </row>
    <row r="22" spans="1:13" ht="15" customHeight="1">
      <c r="A22" s="48"/>
      <c r="B22" s="49" t="str">
        <f>VLOOKUP($C$11:$C$39,Personnel!$A$1:$B$1234,2,FALSE)</f>
        <v>APPRENTICE OPER/OILER</v>
      </c>
      <c r="C22" s="36" t="s">
        <v>4176</v>
      </c>
      <c r="D22" s="184">
        <v>8</v>
      </c>
      <c r="E22" s="179">
        <f>VLOOKUP($B$11:$B$39,'Constr. Wage Rate Calculations'!$A$19:$Z$288,22,FALSE)</f>
        <v>49.44</v>
      </c>
      <c r="F22" s="184">
        <v>5</v>
      </c>
      <c r="G22" s="179">
        <f>VLOOKUP($B$11:$B$39,'Constr. Wage Rate Calculations'!$A$19:$Z$288,23,FALSE)</f>
        <v>74.16</v>
      </c>
      <c r="H22" s="184"/>
      <c r="I22" s="179">
        <f>VLOOKUP($B$11:$B$39,'Constr. Wage Rate Calculations'!$A$19:$Z$288,24,FALSE)</f>
        <v>98.89</v>
      </c>
      <c r="J22" s="20">
        <f>VLOOKUP($B$11:$B$39,'Constr. Wage Rate Calculations'!$A$19:$Z$288,25,FALSE)</f>
        <v>85</v>
      </c>
      <c r="K22" s="179">
        <f t="shared" si="0"/>
        <v>851.31999999999994</v>
      </c>
      <c r="L22" s="20">
        <f>VLOOKUP($B$11:$B$39,'Constr. Wage Rate Calculations'!$A$19:$Z$288,25,FALSE)</f>
        <v>85</v>
      </c>
      <c r="M22" s="1">
        <v>1</v>
      </c>
    </row>
    <row r="23" spans="1:13" ht="15" customHeight="1">
      <c r="A23" s="48"/>
      <c r="B23" s="49" t="str">
        <f>VLOOKUP($C$11:$C$39,Personnel!$A$1:$B$1234,2,FALSE)</f>
        <v>PRINCIPAL OPER 1</v>
      </c>
      <c r="C23" s="36" t="s">
        <v>1236</v>
      </c>
      <c r="D23" s="184">
        <v>8</v>
      </c>
      <c r="E23" s="179">
        <f>VLOOKUP($B$11:$B$39,'Constr. Wage Rate Calculations'!$A$19:$Z$288,22,FALSE)</f>
        <v>64.239999999999995</v>
      </c>
      <c r="F23" s="184">
        <v>4</v>
      </c>
      <c r="G23" s="179">
        <f>VLOOKUP($B$11:$B$39,'Constr. Wage Rate Calculations'!$A$19:$Z$288,23,FALSE)</f>
        <v>96.36</v>
      </c>
      <c r="H23" s="184"/>
      <c r="I23" s="179">
        <f>VLOOKUP($B$11:$B$39,'Constr. Wage Rate Calculations'!$A$19:$Z$288,24,FALSE)</f>
        <v>128.47</v>
      </c>
      <c r="J23" s="20">
        <f>VLOOKUP($B$11:$B$39,'Constr. Wage Rate Calculations'!$A$19:$Z$288,25,FALSE)</f>
        <v>85</v>
      </c>
      <c r="K23" s="179">
        <f t="shared" si="0"/>
        <v>984.3599999999999</v>
      </c>
      <c r="L23" s="20">
        <f>VLOOKUP($B$11:$B$39,'Constr. Wage Rate Calculations'!$A$19:$Z$288,25,FALSE)</f>
        <v>85</v>
      </c>
    </row>
    <row r="24" spans="1:13" ht="15" customHeight="1">
      <c r="A24" s="48"/>
      <c r="B24" s="49" t="str">
        <f>VLOOKUP($C$11:$C$39,Personnel!$A$1:$B$1234,2,FALSE)</f>
        <v>STRAW - OPERATOR</v>
      </c>
      <c r="C24" s="36" t="s">
        <v>2703</v>
      </c>
      <c r="D24" s="184">
        <v>8</v>
      </c>
      <c r="E24" s="179">
        <f>VLOOKUP($B$11:$B$39,'Constr. Wage Rate Calculations'!$A$19:$Z$288,22,FALSE)</f>
        <v>64.239999999999995</v>
      </c>
      <c r="F24" s="184">
        <v>6</v>
      </c>
      <c r="G24" s="179">
        <f>VLOOKUP($B$11:$B$39,'Constr. Wage Rate Calculations'!$A$19:$Z$288,23,FALSE)</f>
        <v>96.36</v>
      </c>
      <c r="H24" s="184"/>
      <c r="I24" s="179">
        <f>VLOOKUP($B$11:$B$39,'Constr. Wage Rate Calculations'!$A$19:$Z$288,24,FALSE)</f>
        <v>128.47</v>
      </c>
      <c r="J24" s="20">
        <v>150</v>
      </c>
      <c r="K24" s="179">
        <f t="shared" si="0"/>
        <v>1242.08</v>
      </c>
      <c r="L24" s="20">
        <f>VLOOKUP($B$11:$B$39,'Constr. Wage Rate Calculations'!$A$19:$Z$288,25,FALSE)</f>
        <v>85</v>
      </c>
      <c r="M24" s="1">
        <v>2</v>
      </c>
    </row>
    <row r="25" spans="1:13" ht="15" customHeight="1">
      <c r="A25" s="48"/>
      <c r="B25" s="49" t="str">
        <f>VLOOKUP($C$11:$C$39,Personnel!$A$1:$B$1234,2,FALSE)</f>
        <v>PRINCIPAL OPER 1</v>
      </c>
      <c r="C25" s="36" t="s">
        <v>4106</v>
      </c>
      <c r="D25" s="184">
        <v>8</v>
      </c>
      <c r="E25" s="179">
        <f>VLOOKUP($B$11:$B$39,'Constr. Wage Rate Calculations'!$A$19:$Z$288,22,FALSE)</f>
        <v>64.239999999999995</v>
      </c>
      <c r="F25" s="184">
        <v>5</v>
      </c>
      <c r="G25" s="179">
        <f>VLOOKUP($B$11:$B$39,'Constr. Wage Rate Calculations'!$A$19:$Z$288,23,FALSE)</f>
        <v>96.36</v>
      </c>
      <c r="H25" s="184"/>
      <c r="I25" s="179">
        <f>VLOOKUP($B$11:$B$39,'Constr. Wage Rate Calculations'!$A$19:$Z$288,24,FALSE)</f>
        <v>128.47</v>
      </c>
      <c r="J25" s="20">
        <f>VLOOKUP($B$11:$B$39,'Constr. Wage Rate Calculations'!$A$19:$Z$288,25,FALSE)</f>
        <v>85</v>
      </c>
      <c r="K25" s="179">
        <f t="shared" si="0"/>
        <v>1080.72</v>
      </c>
      <c r="M25" s="1">
        <v>1</v>
      </c>
    </row>
    <row r="26" spans="1:13" ht="15" customHeight="1">
      <c r="A26" s="48"/>
      <c r="B26" s="49" t="str">
        <f>VLOOKUP($C$11:$C$39,Personnel!$A$1:$B$1234,2,FALSE)</f>
        <v>PRINCIPAL OPER 1</v>
      </c>
      <c r="C26" s="36" t="s">
        <v>1555</v>
      </c>
      <c r="D26" s="184">
        <v>8</v>
      </c>
      <c r="E26" s="179">
        <f>VLOOKUP($B$11:$B$39,'Constr. Wage Rate Calculations'!$A$19:$Z$288,22,FALSE)</f>
        <v>64.239999999999995</v>
      </c>
      <c r="F26" s="184">
        <v>4</v>
      </c>
      <c r="G26" s="179">
        <f>VLOOKUP($B$11:$B$39,'Constr. Wage Rate Calculations'!$A$19:$Z$288,23,FALSE)</f>
        <v>96.36</v>
      </c>
      <c r="H26" s="184"/>
      <c r="I26" s="179">
        <f>VLOOKUP($B$11:$B$39,'Constr. Wage Rate Calculations'!$A$19:$Z$288,24,FALSE)</f>
        <v>128.47</v>
      </c>
      <c r="J26" s="20">
        <f>VLOOKUP($B$11:$B$39,'Constr. Wage Rate Calculations'!$A$19:$Z$288,25,FALSE)</f>
        <v>85</v>
      </c>
      <c r="K26" s="179">
        <f t="shared" si="0"/>
        <v>984.3599999999999</v>
      </c>
    </row>
    <row r="27" spans="1:13" ht="15" customHeight="1">
      <c r="A27" s="48"/>
      <c r="B27" s="49" t="str">
        <f>VLOOKUP($C$11:$C$39,Personnel!$A$1:$B$1234,2,FALSE)</f>
        <v>APPRENTICE OPER/OILER</v>
      </c>
      <c r="C27" s="36" t="s">
        <v>1573</v>
      </c>
      <c r="D27" s="184">
        <v>8</v>
      </c>
      <c r="E27" s="179">
        <f>VLOOKUP($B$11:$B$39,'Constr. Wage Rate Calculations'!$A$19:$Z$288,22,FALSE)</f>
        <v>49.44</v>
      </c>
      <c r="F27" s="184">
        <v>2</v>
      </c>
      <c r="G27" s="179">
        <f>VLOOKUP($B$11:$B$39,'Constr. Wage Rate Calculations'!$A$19:$Z$288,23,FALSE)</f>
        <v>74.16</v>
      </c>
      <c r="H27" s="184"/>
      <c r="I27" s="179">
        <f>VLOOKUP($B$11:$B$39,'Constr. Wage Rate Calculations'!$A$19:$Z$288,24,FALSE)</f>
        <v>98.89</v>
      </c>
      <c r="J27" s="20">
        <f>VLOOKUP($B$11:$B$39,'Constr. Wage Rate Calculations'!$A$19:$Z$288,25,FALSE)</f>
        <v>85</v>
      </c>
      <c r="K27" s="179">
        <f t="shared" si="0"/>
        <v>628.83999999999992</v>
      </c>
    </row>
    <row r="28" spans="1:13" ht="15" customHeight="1">
      <c r="A28" s="48"/>
      <c r="B28" s="49" t="str">
        <f>VLOOKUP($C$11:$C$39,Personnel!$A$1:$B$1234,2,FALSE)</f>
        <v>PRINCIPAL OPER 1</v>
      </c>
      <c r="C28" s="36" t="s">
        <v>1584</v>
      </c>
      <c r="D28" s="184">
        <v>8</v>
      </c>
      <c r="E28" s="179">
        <f>VLOOKUP($B$11:$B$39,'Constr. Wage Rate Calculations'!$A$19:$Z$288,22,FALSE)</f>
        <v>64.239999999999995</v>
      </c>
      <c r="F28" s="184">
        <v>4</v>
      </c>
      <c r="G28" s="179">
        <f>VLOOKUP($B$11:$B$39,'Constr. Wage Rate Calculations'!$A$19:$Z$288,23,FALSE)</f>
        <v>96.36</v>
      </c>
      <c r="H28" s="184"/>
      <c r="I28" s="179">
        <f>VLOOKUP($B$11:$B$39,'Constr. Wage Rate Calculations'!$A$19:$Z$288,24,FALSE)</f>
        <v>128.47</v>
      </c>
      <c r="J28" s="20">
        <f>VLOOKUP($B$11:$B$39,'Constr. Wage Rate Calculations'!$A$19:$Z$288,25,FALSE)</f>
        <v>85</v>
      </c>
      <c r="K28" s="179">
        <f t="shared" si="0"/>
        <v>984.3599999999999</v>
      </c>
    </row>
    <row r="29" spans="1:13" ht="15" customHeight="1">
      <c r="A29" s="48"/>
      <c r="B29" s="49" t="str">
        <f>VLOOKUP($C$11:$C$39,Personnel!$A$1:$B$1234,2,FALSE)</f>
        <v>PRINCIPAL OPER 1</v>
      </c>
      <c r="C29" s="36" t="s">
        <v>1574</v>
      </c>
      <c r="D29" s="184">
        <v>8</v>
      </c>
      <c r="E29" s="179">
        <f>VLOOKUP($B$11:$B$39,'Constr. Wage Rate Calculations'!$A$19:$Z$288,22,FALSE)</f>
        <v>64.239999999999995</v>
      </c>
      <c r="F29" s="184">
        <v>4</v>
      </c>
      <c r="G29" s="179">
        <f>VLOOKUP($B$11:$B$39,'Constr. Wage Rate Calculations'!$A$19:$Z$288,23,FALSE)</f>
        <v>96.36</v>
      </c>
      <c r="H29" s="184"/>
      <c r="I29" s="179">
        <f>VLOOKUP($B$11:$B$39,'Constr. Wage Rate Calculations'!$A$19:$Z$288,24,FALSE)</f>
        <v>128.47</v>
      </c>
      <c r="J29" s="20">
        <f>VLOOKUP($B$11:$B$39,'Constr. Wage Rate Calculations'!$A$19:$Z$288,25,FALSE)</f>
        <v>85</v>
      </c>
      <c r="K29" s="179">
        <f t="shared" si="0"/>
        <v>984.3599999999999</v>
      </c>
    </row>
    <row r="30" spans="1:13" ht="15" customHeight="1">
      <c r="A30" s="48"/>
      <c r="B30" s="49" t="str">
        <f>VLOOKUP($C$11:$C$39,Personnel!$A$1:$B$1234,2,FALSE)</f>
        <v>PRINCIPAL OPER 1</v>
      </c>
      <c r="C30" s="36" t="s">
        <v>3141</v>
      </c>
      <c r="D30" s="184">
        <v>8</v>
      </c>
      <c r="E30" s="179">
        <f>VLOOKUP($B$11:$B$39,'Constr. Wage Rate Calculations'!$A$19:$Z$288,22,FALSE)</f>
        <v>64.239999999999995</v>
      </c>
      <c r="F30" s="184">
        <v>4</v>
      </c>
      <c r="G30" s="179">
        <f>VLOOKUP($B$11:$B$39,'Constr. Wage Rate Calculations'!$A$19:$Z$288,23,FALSE)</f>
        <v>96.36</v>
      </c>
      <c r="H30" s="184"/>
      <c r="I30" s="179">
        <f>VLOOKUP($B$11:$B$39,'Constr. Wage Rate Calculations'!$A$19:$Z$288,24,FALSE)</f>
        <v>128.47</v>
      </c>
      <c r="J30" s="20">
        <f>VLOOKUP($B$11:$B$39,'Constr. Wage Rate Calculations'!$A$19:$Z$288,25,FALSE)</f>
        <v>85</v>
      </c>
      <c r="K30" s="179">
        <f t="shared" si="0"/>
        <v>984.3599999999999</v>
      </c>
    </row>
    <row r="31" spans="1:13" ht="15" customHeight="1">
      <c r="A31" s="48"/>
      <c r="B31" s="49" t="str">
        <f>VLOOKUP($C$11:$C$39,Personnel!$A$1:$B$1234,2,FALSE)</f>
        <v>PRINCIPAL OPER 1</v>
      </c>
      <c r="C31" s="36" t="s">
        <v>2205</v>
      </c>
      <c r="D31" s="184">
        <v>8</v>
      </c>
      <c r="E31" s="179">
        <f>VLOOKUP($B$11:$B$39,'Constr. Wage Rate Calculations'!$A$19:$Z$288,22,FALSE)</f>
        <v>64.239999999999995</v>
      </c>
      <c r="F31" s="184">
        <v>4</v>
      </c>
      <c r="G31" s="179">
        <f>VLOOKUP($B$11:$B$39,'Constr. Wage Rate Calculations'!$A$19:$Z$288,23,FALSE)</f>
        <v>96.36</v>
      </c>
      <c r="H31" s="184"/>
      <c r="I31" s="179">
        <f>VLOOKUP($B$11:$B$39,'Constr. Wage Rate Calculations'!$A$19:$Z$288,24,FALSE)</f>
        <v>128.47</v>
      </c>
      <c r="J31" s="20">
        <f>VLOOKUP($B$11:$B$39,'Constr. Wage Rate Calculations'!$A$19:$Z$288,25,FALSE)</f>
        <v>85</v>
      </c>
      <c r="K31" s="179">
        <f t="shared" si="0"/>
        <v>984.3599999999999</v>
      </c>
      <c r="L31" s="20">
        <f>VLOOKUP($B$11:$B$39,'Constr. Wage Rate Calculations'!$A$19:$Z$288,25,FALSE)</f>
        <v>85</v>
      </c>
    </row>
    <row r="32" spans="1:13" ht="15" customHeight="1">
      <c r="A32" s="48"/>
      <c r="B32" s="49">
        <f>VLOOKUP($C$11:$C$39,Personnel!$A$1:$B$1234,2,FALSE)</f>
        <v>0</v>
      </c>
      <c r="C32" s="36"/>
      <c r="D32" s="184"/>
      <c r="E32" s="179">
        <f>VLOOKUP($B$11:$B$39,'Constr. Wage Rate Calculations'!$A$19:$Z$288,22,FALSE)</f>
        <v>0</v>
      </c>
      <c r="F32" s="184"/>
      <c r="G32" s="179">
        <f>VLOOKUP($B$11:$B$39,'Constr. Wage Rate Calculations'!$A$19:$Z$288,23,FALSE)</f>
        <v>0</v>
      </c>
      <c r="H32" s="184"/>
      <c r="I32" s="179">
        <f>VLOOKUP($B$11:$B$39,'Constr. Wage Rate Calculations'!$A$19:$Z$288,24,FALSE)</f>
        <v>0</v>
      </c>
      <c r="J32" s="20">
        <f>VLOOKUP($B$11:$B$39,'Constr. Wage Rate Calculations'!$A$19:$Z$288,25,FALSE)</f>
        <v>0</v>
      </c>
      <c r="K32" s="179" t="str">
        <f t="shared" si="0"/>
        <v/>
      </c>
      <c r="L32" s="20"/>
    </row>
    <row r="33" spans="1:15" ht="15" customHeight="1">
      <c r="A33" s="48"/>
      <c r="B33" s="49">
        <f>VLOOKUP($C$11:$C$39,Personnel!$A$1:$B$1234,2,FALSE)</f>
        <v>0</v>
      </c>
      <c r="C33" s="36"/>
      <c r="D33" s="184"/>
      <c r="E33" s="179">
        <f>VLOOKUP($B$11:$B$39,'Constr. Wage Rate Calculations'!$A$19:$Z$288,22,FALSE)</f>
        <v>0</v>
      </c>
      <c r="F33" s="184"/>
      <c r="G33" s="179">
        <f>VLOOKUP($B$11:$B$39,'Constr. Wage Rate Calculations'!$A$19:$Z$288,23,FALSE)</f>
        <v>0</v>
      </c>
      <c r="H33" s="184"/>
      <c r="I33" s="179">
        <f>VLOOKUP($B$11:$B$39,'Constr. Wage Rate Calculations'!$A$19:$Z$288,24,FALSE)</f>
        <v>0</v>
      </c>
      <c r="J33" s="20">
        <f>VLOOKUP($B$11:$B$39,'Constr. Wage Rate Calculations'!$A$19:$Z$288,25,FALSE)</f>
        <v>0</v>
      </c>
      <c r="K33" s="179" t="str">
        <f t="shared" si="0"/>
        <v/>
      </c>
      <c r="L33" s="20">
        <f>VLOOKUP($B$11:$B$39,'Constr. Wage Rate Calculations'!$A$19:$Z$288,25,FALSE)</f>
        <v>0</v>
      </c>
    </row>
    <row r="34" spans="1:15" ht="15" customHeight="1">
      <c r="A34" s="48"/>
      <c r="B34" s="49">
        <f>VLOOKUP($C$11:$C$39,Personnel!$A$1:$B$1234,2,FALSE)</f>
        <v>0</v>
      </c>
      <c r="C34" s="36"/>
      <c r="D34" s="184"/>
      <c r="E34" s="179">
        <f>VLOOKUP($B$11:$B$39,'Constr. Wage Rate Calculations'!$A$19:$Z$288,22,FALSE)</f>
        <v>0</v>
      </c>
      <c r="F34" s="184"/>
      <c r="G34" s="179">
        <f>VLOOKUP($B$11:$B$39,'Constr. Wage Rate Calculations'!$A$19:$Z$288,23,FALSE)</f>
        <v>0</v>
      </c>
      <c r="H34" s="184"/>
      <c r="I34" s="179">
        <f>VLOOKUP($B$11:$B$39,'Constr. Wage Rate Calculations'!$A$19:$Z$288,24,FALSE)</f>
        <v>0</v>
      </c>
      <c r="J34" s="20">
        <f>VLOOKUP($B$11:$B$39,'Constr. Wage Rate Calculations'!$A$19:$Z$288,25,FALSE)</f>
        <v>0</v>
      </c>
      <c r="K34" s="179" t="str">
        <f t="shared" si="0"/>
        <v/>
      </c>
      <c r="L34" s="20">
        <f>VLOOKUP($B$11:$B$39,'Constr. Wage Rate Calculations'!$A$19:$Z$288,25,FALSE)</f>
        <v>0</v>
      </c>
    </row>
    <row r="35" spans="1:15" ht="15" customHeight="1">
      <c r="A35" s="48"/>
      <c r="B35" s="49">
        <f>VLOOKUP($C$11:$C$39,Personnel!$A$1:$B$1234,2,FALSE)</f>
        <v>0</v>
      </c>
      <c r="C35" s="36"/>
      <c r="D35" s="184"/>
      <c r="E35" s="179">
        <f>VLOOKUP($B$11:$B$39,'Constr. Wage Rate Calculations'!$A$19:$Z$288,22,FALSE)</f>
        <v>0</v>
      </c>
      <c r="F35" s="184"/>
      <c r="G35" s="179">
        <f>VLOOKUP($B$11:$B$39,'Constr. Wage Rate Calculations'!$A$19:$Z$288,23,FALSE)</f>
        <v>0</v>
      </c>
      <c r="H35" s="184"/>
      <c r="I35" s="179">
        <f>VLOOKUP($B$11:$B$39,'Constr. Wage Rate Calculations'!$A$19:$Z$288,24,FALSE)</f>
        <v>0</v>
      </c>
      <c r="J35" s="20">
        <f>VLOOKUP($B$11:$B$39,'Constr. Wage Rate Calculations'!$A$19:$Z$288,25,FALSE)</f>
        <v>0</v>
      </c>
      <c r="K35" s="179" t="str">
        <f t="shared" si="0"/>
        <v/>
      </c>
      <c r="L35" s="2"/>
    </row>
    <row r="36" spans="1:15" ht="15" customHeight="1">
      <c r="A36" s="48"/>
      <c r="B36" s="49">
        <f>VLOOKUP($C$11:$C$39,Personnel!$A$1:$B$1234,2,FALSE)</f>
        <v>0</v>
      </c>
      <c r="C36" s="36"/>
      <c r="D36" s="184"/>
      <c r="E36" s="179">
        <f>VLOOKUP($B$11:$B$39,'Constr. Wage Rate Calculations'!$A$19:$Z$288,22,FALSE)</f>
        <v>0</v>
      </c>
      <c r="F36" s="184"/>
      <c r="G36" s="179">
        <f>VLOOKUP($B$11:$B$39,'Constr. Wage Rate Calculations'!$A$19:$Z$288,23,FALSE)</f>
        <v>0</v>
      </c>
      <c r="H36" s="184"/>
      <c r="I36" s="179">
        <f>VLOOKUP($B$11:$B$39,'Constr. Wage Rate Calculations'!$A$19:$Z$288,24,FALSE)</f>
        <v>0</v>
      </c>
      <c r="J36" s="20">
        <f>VLOOKUP($B$11:$B$39,'Constr. Wage Rate Calculations'!$A$19:$Z$288,25,FALSE)</f>
        <v>0</v>
      </c>
      <c r="K36" s="179" t="str">
        <f t="shared" si="0"/>
        <v/>
      </c>
      <c r="L36" s="2"/>
    </row>
    <row r="37" spans="1:15" ht="15" customHeight="1">
      <c r="A37" s="48"/>
      <c r="B37" s="49">
        <f>VLOOKUP($C$11:$C$39,Personnel!$A$1:$B$1234,2,FALSE)</f>
        <v>0</v>
      </c>
      <c r="C37" s="36"/>
      <c r="D37" s="184"/>
      <c r="E37" s="179">
        <f>VLOOKUP($B$11:$B$39,'Constr. Wage Rate Calculations'!$A$19:$Z$288,22,FALSE)</f>
        <v>0</v>
      </c>
      <c r="F37" s="184"/>
      <c r="G37" s="179">
        <f>VLOOKUP($B$11:$B$39,'Constr. Wage Rate Calculations'!$A$19:$Z$288,23,FALSE)</f>
        <v>0</v>
      </c>
      <c r="H37" s="184"/>
      <c r="I37" s="179">
        <f>VLOOKUP($B$11:$B$39,'Constr. Wage Rate Calculations'!$A$19:$Z$288,24,FALSE)</f>
        <v>0</v>
      </c>
      <c r="J37" s="20">
        <f>VLOOKUP($B$11:$B$39,'Constr. Wage Rate Calculations'!$A$19:$Z$288,25,FALSE)</f>
        <v>0</v>
      </c>
      <c r="K37" s="179" t="str">
        <f t="shared" si="0"/>
        <v/>
      </c>
    </row>
    <row r="38" spans="1:15" ht="15" customHeight="1">
      <c r="A38" s="48"/>
      <c r="B38" s="49">
        <f>VLOOKUP($C$11:$C$39,Personnel!$A$1:$B$1234,2,FALSE)</f>
        <v>0</v>
      </c>
      <c r="C38" s="36"/>
      <c r="D38" s="184"/>
      <c r="E38" s="179">
        <f>VLOOKUP($B$11:$B$39,'Constr. Wage Rate Calculations'!$A$19:$Z$288,22,FALSE)</f>
        <v>0</v>
      </c>
      <c r="F38" s="184"/>
      <c r="G38" s="179">
        <f>VLOOKUP($B$11:$B$39,'Constr. Wage Rate Calculations'!$A$19:$Z$288,23,FALSE)</f>
        <v>0</v>
      </c>
      <c r="H38" s="184"/>
      <c r="I38" s="179">
        <f>VLOOKUP($B$11:$B$39,'Constr. Wage Rate Calculations'!$A$19:$Z$288,24,FALSE)</f>
        <v>0</v>
      </c>
      <c r="J38" s="20">
        <f>VLOOKUP($B$11:$B$39,'Constr. Wage Rate Calculations'!$A$19:$Z$288,25,FALSE)</f>
        <v>0</v>
      </c>
      <c r="K38" s="179" t="str">
        <f t="shared" si="0"/>
        <v/>
      </c>
    </row>
    <row r="39" spans="1:15" ht="15" customHeight="1" thickBot="1">
      <c r="A39" s="48"/>
      <c r="B39" s="49">
        <f>VLOOKUP($C$11:$C$39,Personnel!$A$1:$B$1234,2,FALSE)</f>
        <v>0</v>
      </c>
      <c r="C39" s="36"/>
      <c r="D39" s="184"/>
      <c r="E39" s="179">
        <f>VLOOKUP($B$11:$B$39,'Constr. Wage Rate Calculations'!$A$19:$Z$288,22,FALSE)</f>
        <v>0</v>
      </c>
      <c r="F39" s="184"/>
      <c r="G39" s="179">
        <f>VLOOKUP($B$11:$B$39,'Constr. Wage Rate Calculations'!$A$19:$Z$288,23,FALSE)</f>
        <v>0</v>
      </c>
      <c r="H39" s="184"/>
      <c r="I39" s="179">
        <f>VLOOKUP($B$11:$B$39,'Constr. Wage Rate Calculations'!$A$19:$Z$288,24,FALSE)</f>
        <v>0</v>
      </c>
      <c r="J39" s="20">
        <f>VLOOKUP($B$11:$B$39,'Constr. Wage Rate Calculations'!$A$19:$Z$288,25,FALSE)</f>
        <v>0</v>
      </c>
      <c r="K39" s="179" t="str">
        <f t="shared" si="0"/>
        <v/>
      </c>
      <c r="M39" s="1">
        <f>SUM(M11:M38)</f>
        <v>5</v>
      </c>
    </row>
    <row r="40" spans="1:15" ht="15" customHeight="1" thickBot="1">
      <c r="A40"/>
      <c r="B40"/>
      <c r="C40"/>
      <c r="D40" s="21"/>
      <c r="E40" s="21"/>
      <c r="F40" s="21"/>
      <c r="G40" s="21"/>
      <c r="H40" s="21"/>
      <c r="I40" s="372" t="s">
        <v>18</v>
      </c>
      <c r="J40" s="373"/>
      <c r="K40" s="183">
        <f>SUM(K11:K39)</f>
        <v>18942.72</v>
      </c>
      <c r="M40" s="1">
        <f>SUMIFS(D11:D39,D11:D39,"&lt;3",D11:D39,"&lt;5")</f>
        <v>1</v>
      </c>
      <c r="N40" s="1">
        <f>SUMIFS(D11:D39,D11:D39,"&gt;3",D11:D39,"&gt;5")</f>
        <v>152</v>
      </c>
      <c r="O40" s="1">
        <f>SUM(F11:F39,H11:H39,M40,N40)-M39</f>
        <v>236</v>
      </c>
    </row>
    <row r="41" spans="1:15" ht="10" customHeight="1" thickBot="1"/>
    <row r="42" spans="1:15" s="19" customFormat="1" ht="15" customHeight="1" thickBot="1">
      <c r="A42" s="22" t="s">
        <v>19</v>
      </c>
      <c r="B42" s="23" t="s">
        <v>20</v>
      </c>
      <c r="C42" s="23"/>
      <c r="D42" s="23"/>
      <c r="E42" s="23"/>
      <c r="F42" s="23"/>
      <c r="G42" s="23"/>
      <c r="H42" s="18" t="s">
        <v>21</v>
      </c>
      <c r="I42" s="18" t="s">
        <v>22</v>
      </c>
      <c r="J42" s="18" t="s">
        <v>23</v>
      </c>
      <c r="K42" s="18" t="s">
        <v>17</v>
      </c>
    </row>
    <row r="43" spans="1:15" ht="15" customHeight="1">
      <c r="A43" s="43"/>
      <c r="B43" s="49">
        <f>VLOOKUP($C$43:$C$111,Equipment!$A$1:$B$2322,2,FALSE)</f>
        <v>0</v>
      </c>
      <c r="C43" s="24"/>
      <c r="D43" s="24"/>
      <c r="E43" s="24"/>
      <c r="F43" s="24"/>
      <c r="G43" s="24"/>
      <c r="H43" s="185"/>
      <c r="I43" s="184"/>
      <c r="J43" s="42">
        <f>VLOOKUP($B$43:$B$111,'Alberta Equip. Rates Year 3'!$B$13:$K$294,10,FALSE)</f>
        <v>0</v>
      </c>
      <c r="K43" s="181">
        <f t="shared" ref="K43:K57" si="1">(H43+I43)*J43</f>
        <v>0</v>
      </c>
    </row>
    <row r="44" spans="1:15" ht="15" customHeight="1">
      <c r="A44" s="43"/>
      <c r="B44" s="49" t="str">
        <f>VLOOKUP($C$43:$C$111,Equipment!$A$1:$B$2322,2,FALSE)</f>
        <v>Backhoe - Cat 345 (or Equivalent)</v>
      </c>
      <c r="C44" s="259" t="s">
        <v>2271</v>
      </c>
      <c r="D44" s="24"/>
      <c r="E44" s="24"/>
      <c r="F44" s="24"/>
      <c r="G44" s="24"/>
      <c r="H44" s="36">
        <v>1</v>
      </c>
      <c r="I44" s="20"/>
      <c r="J44" s="42">
        <f>VLOOKUP($B$43:$B$111,'Alberta Equip. Rates Year 3'!$B$13:$K$294,10,FALSE)</f>
        <v>1006</v>
      </c>
      <c r="K44" s="181">
        <f t="shared" si="1"/>
        <v>1006</v>
      </c>
    </row>
    <row r="45" spans="1:15" ht="15" customHeight="1">
      <c r="A45" s="43"/>
      <c r="B45" s="49" t="str">
        <f>VLOOKUP($C$43:$C$111,Equipment!$A$1:$B$2322,2,FALSE)</f>
        <v>Backhoe - Cat 345 (or Equivalent)</v>
      </c>
      <c r="C45" s="259" t="s">
        <v>2272</v>
      </c>
      <c r="D45" s="24"/>
      <c r="E45" s="24"/>
      <c r="F45" s="24"/>
      <c r="G45" s="24"/>
      <c r="H45" s="36">
        <v>1</v>
      </c>
      <c r="I45" s="20"/>
      <c r="J45" s="42">
        <f>VLOOKUP($B$43:$B$111,'Alberta Equip. Rates Year 3'!$B$13:$K$294,10,FALSE)</f>
        <v>1006</v>
      </c>
      <c r="K45" s="181">
        <f t="shared" si="1"/>
        <v>1006</v>
      </c>
    </row>
    <row r="46" spans="1:15" ht="15" customHeight="1">
      <c r="A46" s="43"/>
      <c r="B46" s="49" t="str">
        <f>VLOOKUP($C$43:$C$111,Equipment!$A$1:$B$2322,2,FALSE)</f>
        <v>Backhoe - Cat 345 (or Equivalent)</v>
      </c>
      <c r="C46" s="259" t="s">
        <v>2943</v>
      </c>
      <c r="D46" s="24"/>
      <c r="E46" s="24"/>
      <c r="F46" s="24"/>
      <c r="G46" s="24"/>
      <c r="H46" s="36">
        <v>1</v>
      </c>
      <c r="I46" s="20"/>
      <c r="J46" s="42">
        <f>VLOOKUP($B$43:$B$111,'Alberta Equip. Rates Year 3'!$B$13:$K$294,10,FALSE)</f>
        <v>1006</v>
      </c>
      <c r="K46" s="181">
        <f t="shared" si="1"/>
        <v>1006</v>
      </c>
    </row>
    <row r="47" spans="1:15" ht="15" customHeight="1">
      <c r="A47" s="43"/>
      <c r="B47" s="49" t="str">
        <f>VLOOKUP($C$43:$C$111,Equipment!$A$1:$B$2322,2,FALSE)</f>
        <v>Backhoe - Cat 345 (or Equivalent)</v>
      </c>
      <c r="C47" s="259" t="s">
        <v>2273</v>
      </c>
      <c r="D47" s="24"/>
      <c r="E47" s="24"/>
      <c r="F47" s="24"/>
      <c r="G47" s="24"/>
      <c r="H47" s="36">
        <v>1</v>
      </c>
      <c r="I47" s="20"/>
      <c r="J47" s="42">
        <f>VLOOKUP($B$43:$B$111,'Alberta Equip. Rates Year 3'!$B$13:$K$294,10,FALSE)</f>
        <v>1006</v>
      </c>
      <c r="K47" s="181">
        <f t="shared" si="1"/>
        <v>1006</v>
      </c>
    </row>
    <row r="48" spans="1:15" ht="15" customHeight="1">
      <c r="A48" s="43"/>
      <c r="B48" s="49" t="str">
        <f>VLOOKUP($C$43:$C$111,Equipment!$A$1:$B$2322,2,FALSE)</f>
        <v>Backhoe - Cat 345 (or Equivalent)</v>
      </c>
      <c r="C48" s="259" t="s">
        <v>2935</v>
      </c>
      <c r="D48" s="24"/>
      <c r="E48" s="24"/>
      <c r="F48" s="24"/>
      <c r="G48" s="24"/>
      <c r="H48" s="36">
        <v>1</v>
      </c>
      <c r="I48" s="20"/>
      <c r="J48" s="42">
        <f>VLOOKUP($B$43:$B$111,'Alberta Equip. Rates Year 3'!$B$13:$K$294,10,FALSE)</f>
        <v>1006</v>
      </c>
      <c r="K48" s="181">
        <f>(H48+I48)*J48</f>
        <v>1006</v>
      </c>
    </row>
    <row r="49" spans="1:11" ht="15" customHeight="1">
      <c r="A49" s="43"/>
      <c r="B49" s="49" t="str">
        <f>VLOOKUP($C$43:$C$111,Equipment!$A$1:$B$2322,2,FALSE)</f>
        <v>Backhoe - Cat 345 (or Equivalent)</v>
      </c>
      <c r="C49" s="259" t="s">
        <v>2169</v>
      </c>
      <c r="D49" s="24"/>
      <c r="E49" s="24"/>
      <c r="F49" s="24"/>
      <c r="G49" s="24"/>
      <c r="H49" s="36">
        <v>1</v>
      </c>
      <c r="I49" s="20"/>
      <c r="J49" s="42">
        <f>VLOOKUP($B$43:$B$111,'Alberta Equip. Rates Year 3'!$B$13:$K$294,10,FALSE)</f>
        <v>1006</v>
      </c>
      <c r="K49" s="181">
        <f t="shared" si="1"/>
        <v>1006</v>
      </c>
    </row>
    <row r="50" spans="1:11" ht="15" customHeight="1">
      <c r="A50" s="43"/>
      <c r="B50" s="49" t="str">
        <f>VLOOKUP($C$43:$C$111,Equipment!$A$1:$B$2322,2,FALSE)</f>
        <v>Crewcab - 1 Ton</v>
      </c>
      <c r="C50" s="259" t="s">
        <v>2665</v>
      </c>
      <c r="D50" s="24"/>
      <c r="E50" s="24"/>
      <c r="F50" s="24"/>
      <c r="G50" s="24"/>
      <c r="H50" s="36">
        <v>1</v>
      </c>
      <c r="I50" s="184"/>
      <c r="J50" s="42">
        <f>VLOOKUP($B$43:$B$111,'Alberta Equip. Rates Year 3'!$B$13:$K$294,10,FALSE)</f>
        <v>163</v>
      </c>
      <c r="K50" s="181">
        <f t="shared" si="1"/>
        <v>163</v>
      </c>
    </row>
    <row r="51" spans="1:11" ht="15" customHeight="1">
      <c r="A51" s="43"/>
      <c r="B51" s="49" t="str">
        <f>VLOOKUP($C$43:$C$111,Equipment!$A$1:$B$2322,2,FALSE)</f>
        <v>Crewcab - 3/4 Ton</v>
      </c>
      <c r="C51" s="259" t="s">
        <v>2828</v>
      </c>
      <c r="D51" s="24"/>
      <c r="E51" s="24"/>
      <c r="F51" s="24"/>
      <c r="G51" s="24"/>
      <c r="H51" s="36">
        <v>1</v>
      </c>
      <c r="I51" s="20"/>
      <c r="J51" s="42">
        <f>VLOOKUP($B$43:$B$111,'Alberta Equip. Rates Year 3'!$B$13:$K$294,10,FALSE)</f>
        <v>153</v>
      </c>
      <c r="K51" s="181">
        <f>(H51+I51)*J51</f>
        <v>153</v>
      </c>
    </row>
    <row r="52" spans="1:11" ht="15" customHeight="1">
      <c r="A52" s="43"/>
      <c r="B52" s="49" t="str">
        <f>VLOOKUP($C$43:$C$111,Equipment!$A$1:$B$2322,2,FALSE)</f>
        <v>Crewcab - 3/4 Ton</v>
      </c>
      <c r="C52" s="259" t="s">
        <v>3124</v>
      </c>
      <c r="D52" s="24"/>
      <c r="E52" s="24"/>
      <c r="F52" s="24"/>
      <c r="G52" s="24"/>
      <c r="H52" s="36">
        <v>1</v>
      </c>
      <c r="I52" s="20"/>
      <c r="J52" s="42">
        <f>VLOOKUP($B$43:$B$111,'Alberta Equip. Rates Year 3'!$B$13:$K$294,10,FALSE)</f>
        <v>153</v>
      </c>
      <c r="K52" s="181">
        <f>(H52+I52)*J52</f>
        <v>153</v>
      </c>
    </row>
    <row r="53" spans="1:11" ht="15" customHeight="1">
      <c r="A53" s="43"/>
      <c r="B53" s="49" t="str">
        <f>VLOOKUP($C$43:$C$111,Equipment!$A$1:$B$2322,2,FALSE)</f>
        <v>Dozer - D8T (or equivalent)</v>
      </c>
      <c r="C53" s="259" t="s">
        <v>3257</v>
      </c>
      <c r="D53" s="24"/>
      <c r="E53" s="24"/>
      <c r="F53" s="24"/>
      <c r="G53" s="24"/>
      <c r="H53" s="36">
        <v>1</v>
      </c>
      <c r="I53" s="184"/>
      <c r="J53" s="42">
        <f>VLOOKUP($B$43:$B$111,'Alberta Equip. Rates Year 3'!$B$13:$K$294,10,FALSE)</f>
        <v>1165</v>
      </c>
      <c r="K53" s="181">
        <f t="shared" si="1"/>
        <v>1165</v>
      </c>
    </row>
    <row r="54" spans="1:11" ht="15" customHeight="1">
      <c r="A54" s="43"/>
      <c r="B54" s="49" t="str">
        <f>VLOOKUP($C$43:$C$111,Equipment!$A$1:$B$2322,2,FALSE)</f>
        <v>Dozer - D8T (or equivalent)</v>
      </c>
      <c r="C54" s="259" t="s">
        <v>2965</v>
      </c>
      <c r="D54" s="24"/>
      <c r="E54" s="24"/>
      <c r="F54" s="24"/>
      <c r="G54" s="24"/>
      <c r="H54" s="36">
        <v>1</v>
      </c>
      <c r="I54" s="20"/>
      <c r="J54" s="42">
        <f>VLOOKUP($B$43:$B$111,'Alberta Equip. Rates Year 3'!$B$13:$K$294,10,FALSE)</f>
        <v>1165</v>
      </c>
      <c r="K54" s="181">
        <f t="shared" si="1"/>
        <v>1165</v>
      </c>
    </row>
    <row r="55" spans="1:11" ht="15" customHeight="1">
      <c r="A55" s="43"/>
      <c r="B55" s="49" t="str">
        <f>VLOOKUP($C$43:$C$111,Equipment!$A$1:$B$2322,2,FALSE)</f>
        <v>Pickup - 1/2 Ton</v>
      </c>
      <c r="C55" s="259" t="s">
        <v>4107</v>
      </c>
      <c r="D55" s="24"/>
      <c r="E55" s="24"/>
      <c r="F55" s="24"/>
      <c r="G55" s="24"/>
      <c r="H55" s="36">
        <v>1</v>
      </c>
      <c r="I55" s="20"/>
      <c r="J55" s="42">
        <f>VLOOKUP($B$43:$B$111,'Alberta Equip. Rates Year 3'!$B$13:$K$294,10,FALSE)</f>
        <v>125</v>
      </c>
      <c r="K55" s="181">
        <f t="shared" si="1"/>
        <v>125</v>
      </c>
    </row>
    <row r="56" spans="1:11" ht="15" customHeight="1">
      <c r="A56" s="43"/>
      <c r="B56" s="49" t="str">
        <f>VLOOKUP($C$43:$C$111,Equipment!$A$1:$B$2322,2,FALSE)</f>
        <v>Pickup - 1/2 Ton</v>
      </c>
      <c r="C56" s="259" t="s">
        <v>4209</v>
      </c>
      <c r="D56" s="24"/>
      <c r="E56" s="24"/>
      <c r="F56" s="24"/>
      <c r="G56" s="24"/>
      <c r="H56" s="36">
        <v>1</v>
      </c>
      <c r="I56" s="20"/>
      <c r="J56" s="42">
        <f>VLOOKUP($B$43:$B$111,'Alberta Equip. Rates Year 3'!$B$13:$K$294,10,FALSE)</f>
        <v>125</v>
      </c>
      <c r="K56" s="181">
        <f t="shared" si="1"/>
        <v>125</v>
      </c>
    </row>
    <row r="57" spans="1:11" ht="15" customHeight="1">
      <c r="A57" s="43"/>
      <c r="B57" s="49" t="str">
        <f>VLOOKUP($C$43:$C$111,Equipment!$A$1:$B$2322,2,FALSE)</f>
        <v>Tesmac Ditcher</v>
      </c>
      <c r="C57" s="259" t="s">
        <v>2758</v>
      </c>
      <c r="D57" s="24"/>
      <c r="E57" s="24"/>
      <c r="F57" s="24"/>
      <c r="G57" s="24"/>
      <c r="H57" s="36">
        <v>1</v>
      </c>
      <c r="I57" s="20"/>
      <c r="J57" s="42">
        <f>VLOOKUP($B$43:$B$111,'Alberta Equip. Rates Year 3'!$B$13:$K$294,10,FALSE)</f>
        <v>6794.5</v>
      </c>
      <c r="K57" s="181">
        <f t="shared" si="1"/>
        <v>6794.5</v>
      </c>
    </row>
    <row r="58" spans="1:11" ht="15" customHeight="1">
      <c r="A58" s="43"/>
      <c r="B58" s="49" t="str">
        <f>VLOOKUP($C$43:$C$111,Equipment!$A$1:$B$2322,2,FALSE)</f>
        <v>Crewcab - 3/4 Ton</v>
      </c>
      <c r="C58" s="259" t="s">
        <v>1929</v>
      </c>
      <c r="D58" s="24"/>
      <c r="E58" s="24"/>
      <c r="F58" s="24"/>
      <c r="G58" s="24"/>
      <c r="H58" s="36">
        <v>1</v>
      </c>
      <c r="I58" s="20"/>
      <c r="J58" s="42">
        <f>VLOOKUP($B$43:$B$111,'Alberta Equip. Rates Year 3'!$B$13:$K$294,10,FALSE)</f>
        <v>153</v>
      </c>
      <c r="K58" s="181">
        <f t="shared" ref="K58:K64" si="2">(H58+I58)*J58</f>
        <v>153</v>
      </c>
    </row>
    <row r="59" spans="1:11" ht="15" customHeight="1">
      <c r="A59" s="43"/>
      <c r="B59" s="49">
        <f>VLOOKUP($C$43:$C$111,Equipment!$A$1:$B$2322,2,FALSE)</f>
        <v>0</v>
      </c>
      <c r="C59" s="259"/>
      <c r="D59" s="24"/>
      <c r="E59" s="24"/>
      <c r="F59" s="24"/>
      <c r="G59" s="24"/>
      <c r="H59" s="36"/>
      <c r="I59" s="20"/>
      <c r="J59" s="42">
        <f>VLOOKUP($B$43:$B$111,'Alberta Equip. Rates Year 3'!$B$13:$K$294,10,FALSE)</f>
        <v>0</v>
      </c>
      <c r="K59" s="181">
        <f>(H59+I59)*J59</f>
        <v>0</v>
      </c>
    </row>
    <row r="60" spans="1:11" ht="15" customHeight="1">
      <c r="A60" s="43"/>
      <c r="B60" s="49">
        <f>VLOOKUP($C$43:$C$111,Equipment!$A$1:$B$2322,2,FALSE)</f>
        <v>0</v>
      </c>
      <c r="C60" s="259"/>
      <c r="D60" s="24"/>
      <c r="E60" s="24"/>
      <c r="F60" s="24"/>
      <c r="G60" s="24"/>
      <c r="H60" s="36"/>
      <c r="I60" s="20"/>
      <c r="J60" s="42">
        <f>VLOOKUP($B$43:$B$111,'Alberta Equip. Rates Year 3'!$B$13:$K$294,10,FALSE)</f>
        <v>0</v>
      </c>
      <c r="K60" s="181">
        <f>(H60+I60)*J60</f>
        <v>0</v>
      </c>
    </row>
    <row r="61" spans="1:11" ht="15" customHeight="1">
      <c r="A61" s="43"/>
      <c r="B61" s="49">
        <f>VLOOKUP($C$43:$C$111,Equipment!$A$1:$B$2322,2,FALSE)</f>
        <v>0</v>
      </c>
      <c r="C61" s="259"/>
      <c r="D61" s="24"/>
      <c r="E61" s="24"/>
      <c r="F61" s="24"/>
      <c r="G61" s="24"/>
      <c r="H61" s="36"/>
      <c r="I61" s="20"/>
      <c r="J61" s="42">
        <f>VLOOKUP($B$43:$B$111,'Alberta Equip. Rates Year 3'!$B$13:$K$294,10,FALSE)</f>
        <v>0</v>
      </c>
      <c r="K61" s="181">
        <f>(H61+I61)*J61</f>
        <v>0</v>
      </c>
    </row>
    <row r="62" spans="1:11" ht="15" customHeight="1">
      <c r="A62" s="43"/>
      <c r="B62" s="49">
        <f>VLOOKUP($C$43:$C$111,Equipment!$A$1:$B$2322,2,FALSE)</f>
        <v>0</v>
      </c>
      <c r="C62" s="259"/>
      <c r="D62" s="24"/>
      <c r="E62" s="24"/>
      <c r="F62" s="24"/>
      <c r="G62" s="24"/>
      <c r="H62" s="36"/>
      <c r="I62" s="20"/>
      <c r="J62" s="42">
        <f>VLOOKUP($B$43:$B$111,'Alberta Equip. Rates Year 3'!$B$13:$K$294,10,FALSE)</f>
        <v>0</v>
      </c>
      <c r="K62" s="181">
        <f t="shared" si="2"/>
        <v>0</v>
      </c>
    </row>
    <row r="63" spans="1:11" ht="15" customHeight="1">
      <c r="A63" s="43"/>
      <c r="B63" s="49">
        <f>VLOOKUP($C$43:$C$111,Equipment!$A$1:$B$2322,2,FALSE)</f>
        <v>0</v>
      </c>
      <c r="C63" s="259"/>
      <c r="D63" s="24"/>
      <c r="E63" s="24"/>
      <c r="F63" s="24"/>
      <c r="G63" s="24"/>
      <c r="H63" s="36"/>
      <c r="I63" s="184"/>
      <c r="J63" s="42">
        <f>VLOOKUP($B$43:$B$111,'Alberta Equip. Rates Year 3'!$B$13:$K$294,10,FALSE)</f>
        <v>0</v>
      </c>
      <c r="K63" s="181">
        <f>(H63+I63)*J63</f>
        <v>0</v>
      </c>
    </row>
    <row r="64" spans="1:11" ht="15" customHeight="1">
      <c r="A64" s="43"/>
      <c r="B64" s="49">
        <f>VLOOKUP($C$43:$C$111,Equipment!$A$1:$B$2322,2,FALSE)</f>
        <v>0</v>
      </c>
      <c r="C64" s="259"/>
      <c r="D64" s="24"/>
      <c r="E64" s="24"/>
      <c r="F64" s="24"/>
      <c r="G64" s="24"/>
      <c r="H64" s="36"/>
      <c r="I64" s="20"/>
      <c r="J64" s="42">
        <f>VLOOKUP($B$43:$B$111,'Alberta Equip. Rates Year 3'!$B$13:$K$294,10,FALSE)</f>
        <v>0</v>
      </c>
      <c r="K64" s="181">
        <f t="shared" si="2"/>
        <v>0</v>
      </c>
    </row>
    <row r="65" spans="1:11" ht="15" customHeight="1">
      <c r="A65" s="43"/>
      <c r="B65" s="49">
        <f>VLOOKUP($C$43:$C$111,Equipment!$A$1:$B$2322,2,FALSE)</f>
        <v>0</v>
      </c>
      <c r="C65" s="259"/>
      <c r="D65" s="24"/>
      <c r="E65" s="24"/>
      <c r="F65" s="24"/>
      <c r="G65" s="24"/>
      <c r="H65" s="36"/>
      <c r="I65" s="20"/>
      <c r="J65" s="42">
        <f>VLOOKUP($B$43:$B$111,'Alberta Equip. Rates Year 3'!$B$13:$K$294,10,FALSE)</f>
        <v>0</v>
      </c>
      <c r="K65" s="181">
        <f t="shared" ref="K65:K110" si="3">(H65+I65)*J65</f>
        <v>0</v>
      </c>
    </row>
    <row r="66" spans="1:11" ht="15" customHeight="1">
      <c r="A66" s="43"/>
      <c r="B66" s="49">
        <f>VLOOKUP($C$43:$C$111,Equipment!$A$1:$B$2322,2,FALSE)</f>
        <v>0</v>
      </c>
      <c r="C66" s="259"/>
      <c r="D66" s="24"/>
      <c r="E66" s="24"/>
      <c r="F66" s="24"/>
      <c r="G66" s="24"/>
      <c r="H66" s="36"/>
      <c r="I66" s="20"/>
      <c r="J66" s="42">
        <f>VLOOKUP($B$43:$B$111,'Alberta Equip. Rates Year 3'!$B$13:$K$294,10,FALSE)</f>
        <v>0</v>
      </c>
      <c r="K66" s="181">
        <f t="shared" si="3"/>
        <v>0</v>
      </c>
    </row>
    <row r="67" spans="1:11" ht="15" customHeight="1">
      <c r="A67" s="43"/>
      <c r="B67" s="49">
        <f>VLOOKUP($C$43:$C$111,Equipment!$A$1:$B$2322,2,FALSE)</f>
        <v>0</v>
      </c>
      <c r="C67" s="259"/>
      <c r="D67" s="24"/>
      <c r="E67" s="24"/>
      <c r="F67" s="24"/>
      <c r="G67" s="24"/>
      <c r="H67" s="36"/>
      <c r="I67" s="20"/>
      <c r="J67" s="42">
        <f>VLOOKUP($B$43:$B$111,'Alberta Equip. Rates Year 3'!$B$13:$K$294,10,FALSE)</f>
        <v>0</v>
      </c>
      <c r="K67" s="181">
        <f t="shared" si="3"/>
        <v>0</v>
      </c>
    </row>
    <row r="68" spans="1:11" ht="15" customHeight="1">
      <c r="A68" s="43"/>
      <c r="B68" s="49">
        <f>VLOOKUP($C$43:$C$111,Equipment!$A$1:$B$2322,2,FALSE)</f>
        <v>0</v>
      </c>
      <c r="C68" s="259"/>
      <c r="D68" s="24"/>
      <c r="E68" s="24"/>
      <c r="F68" s="24"/>
      <c r="G68" s="24"/>
      <c r="H68" s="36"/>
      <c r="I68" s="20"/>
      <c r="J68" s="42">
        <f>VLOOKUP($B$43:$B$111,'Alberta Equip. Rates Year 3'!$B$13:$K$294,10,FALSE)</f>
        <v>0</v>
      </c>
      <c r="K68" s="181">
        <f t="shared" si="3"/>
        <v>0</v>
      </c>
    </row>
    <row r="69" spans="1:11" ht="15" customHeight="1">
      <c r="A69" s="43"/>
      <c r="B69" s="49">
        <f>VLOOKUP($C$43:$C$111,Equipment!$A$1:$B$2322,2,FALSE)</f>
        <v>0</v>
      </c>
      <c r="C69" s="259"/>
      <c r="D69" s="24"/>
      <c r="E69" s="24"/>
      <c r="F69" s="24"/>
      <c r="G69" s="24"/>
      <c r="H69" s="36"/>
      <c r="I69" s="20"/>
      <c r="J69" s="42">
        <f>VLOOKUP($B$43:$B$111,'Alberta Equip. Rates Year 3'!$B$13:$K$294,10,FALSE)</f>
        <v>0</v>
      </c>
      <c r="K69" s="181">
        <f t="shared" si="3"/>
        <v>0</v>
      </c>
    </row>
    <row r="70" spans="1:11" ht="15" customHeight="1">
      <c r="A70" s="43"/>
      <c r="B70" s="49">
        <f>VLOOKUP($C$43:$C$111,Equipment!$A$1:$B$2322,2,FALSE)</f>
        <v>0</v>
      </c>
      <c r="C70" s="259"/>
      <c r="D70" s="24"/>
      <c r="E70" s="24"/>
      <c r="F70" s="24"/>
      <c r="G70" s="24"/>
      <c r="H70" s="36"/>
      <c r="I70" s="184"/>
      <c r="J70" s="42">
        <f>VLOOKUP($B$43:$B$111,'Alberta Equip. Rates Year 3'!$B$13:$K$294,10,FALSE)</f>
        <v>0</v>
      </c>
      <c r="K70" s="181">
        <f t="shared" si="3"/>
        <v>0</v>
      </c>
    </row>
    <row r="71" spans="1:11" ht="15" customHeight="1">
      <c r="A71" s="43"/>
      <c r="B71" s="49">
        <f>VLOOKUP($C$43:$C$111,Equipment!$A$1:$B$2322,2,FALSE)</f>
        <v>0</v>
      </c>
      <c r="C71" s="24"/>
      <c r="D71" s="24"/>
      <c r="E71" s="24"/>
      <c r="F71" s="24"/>
      <c r="G71" s="24"/>
      <c r="H71" s="36"/>
      <c r="I71" s="184"/>
      <c r="J71" s="42">
        <f>VLOOKUP($B$43:$B$111,'Alberta Equip. Rates Year 3'!$B$13:$K$294,10,FALSE)</f>
        <v>0</v>
      </c>
      <c r="K71" s="181">
        <f t="shared" si="3"/>
        <v>0</v>
      </c>
    </row>
    <row r="72" spans="1:11" ht="15" customHeight="1">
      <c r="A72" s="43"/>
      <c r="B72" s="49">
        <f>VLOOKUP($C$43:$C$111,Equipment!$A$1:$B$2322,2,FALSE)</f>
        <v>0</v>
      </c>
      <c r="C72" s="24"/>
      <c r="D72" s="24"/>
      <c r="E72" s="24"/>
      <c r="F72" s="24"/>
      <c r="G72" s="24"/>
      <c r="H72" s="36"/>
      <c r="I72" s="184"/>
      <c r="J72" s="42">
        <f>VLOOKUP($B$43:$B$111,'Alberta Equip. Rates Year 3'!$B$13:$K$294,10,FALSE)</f>
        <v>0</v>
      </c>
      <c r="K72" s="181">
        <f t="shared" si="3"/>
        <v>0</v>
      </c>
    </row>
    <row r="73" spans="1:11" ht="15" customHeight="1">
      <c r="A73" s="43"/>
      <c r="B73" s="49">
        <f>VLOOKUP($C$43:$C$111,Equipment!$A$1:$B$2322,2,FALSE)</f>
        <v>0</v>
      </c>
      <c r="C73" s="259"/>
      <c r="D73" s="24"/>
      <c r="E73" s="24"/>
      <c r="F73" s="24"/>
      <c r="G73" s="24"/>
      <c r="H73" s="36"/>
      <c r="I73" s="20"/>
      <c r="J73" s="42">
        <f>VLOOKUP($B$43:$B$111,'Alberta Equip. Rates Year 3'!$B$13:$K$294,10,FALSE)</f>
        <v>0</v>
      </c>
      <c r="K73" s="181">
        <f t="shared" si="3"/>
        <v>0</v>
      </c>
    </row>
    <row r="74" spans="1:11" ht="15" customHeight="1">
      <c r="A74" s="43"/>
      <c r="B74" s="49">
        <f>VLOOKUP($C$43:$C$111,Equipment!$A$1:$B$2322,2,FALSE)</f>
        <v>0</v>
      </c>
      <c r="C74" s="24"/>
      <c r="D74" s="24"/>
      <c r="E74" s="24"/>
      <c r="F74" s="24"/>
      <c r="G74" s="24"/>
      <c r="H74" s="36"/>
      <c r="I74" s="184"/>
      <c r="J74" s="42">
        <f>VLOOKUP($B$43:$B$111,'Alberta Equip. Rates Year 3'!$B$13:$K$294,10,FALSE)</f>
        <v>0</v>
      </c>
      <c r="K74" s="181">
        <f t="shared" si="3"/>
        <v>0</v>
      </c>
    </row>
    <row r="75" spans="1:11" ht="15" customHeight="1">
      <c r="A75" s="43"/>
      <c r="B75" s="49">
        <f>VLOOKUP($C$43:$C$111,Equipment!$A$1:$B$2322,2,FALSE)</f>
        <v>0</v>
      </c>
      <c r="C75" s="24"/>
      <c r="D75" s="24"/>
      <c r="E75" s="24"/>
      <c r="F75" s="24"/>
      <c r="G75" s="24"/>
      <c r="H75" s="36"/>
      <c r="I75" s="184"/>
      <c r="J75" s="42">
        <f>VLOOKUP($B$43:$B$111,'Alberta Equip. Rates Year 3'!$B$13:$K$294,10,FALSE)</f>
        <v>0</v>
      </c>
      <c r="K75" s="181">
        <f t="shared" si="3"/>
        <v>0</v>
      </c>
    </row>
    <row r="76" spans="1:11" ht="15" customHeight="1">
      <c r="A76" s="43"/>
      <c r="B76" s="49">
        <f>VLOOKUP($C$43:$C$111,Equipment!$A$1:$B$2322,2,FALSE)</f>
        <v>0</v>
      </c>
      <c r="C76" s="259"/>
      <c r="D76" s="24"/>
      <c r="E76" s="24"/>
      <c r="F76" s="24"/>
      <c r="G76" s="24"/>
      <c r="H76" s="36"/>
      <c r="I76" s="20"/>
      <c r="J76" s="42">
        <f>VLOOKUP($B$43:$B$111,'Alberta Equip. Rates Year 3'!$B$13:$K$294,10,FALSE)</f>
        <v>0</v>
      </c>
      <c r="K76" s="181">
        <f t="shared" si="3"/>
        <v>0</v>
      </c>
    </row>
    <row r="77" spans="1:11" ht="15" customHeight="1">
      <c r="A77" s="43"/>
      <c r="B77" s="49">
        <f>VLOOKUP($C$43:$C$111,Equipment!$A$1:$B$2322,2,FALSE)</f>
        <v>0</v>
      </c>
      <c r="C77" s="24"/>
      <c r="D77" s="24"/>
      <c r="E77" s="24"/>
      <c r="F77" s="24"/>
      <c r="G77" s="24"/>
      <c r="H77" s="36"/>
      <c r="I77" s="184"/>
      <c r="J77" s="42">
        <f>VLOOKUP($B$43:$B$111,'Alberta Equip. Rates Year 3'!$B$13:$K$294,10,FALSE)</f>
        <v>0</v>
      </c>
      <c r="K77" s="181">
        <f t="shared" si="3"/>
        <v>0</v>
      </c>
    </row>
    <row r="78" spans="1:11" ht="15" customHeight="1">
      <c r="A78" s="43"/>
      <c r="B78" s="49">
        <f>VLOOKUP($C$43:$C$111,Equipment!$A$1:$B$2322,2,FALSE)</f>
        <v>0</v>
      </c>
      <c r="C78" s="259"/>
      <c r="D78" s="24"/>
      <c r="E78" s="24"/>
      <c r="F78" s="24"/>
      <c r="G78" s="24"/>
      <c r="H78" s="36"/>
      <c r="I78" s="184"/>
      <c r="J78" s="42">
        <f>VLOOKUP($B$43:$B$111,'Alberta Equip. Rates Year 3'!$B$13:$K$294,10,FALSE)</f>
        <v>0</v>
      </c>
      <c r="K78" s="181">
        <f t="shared" si="3"/>
        <v>0</v>
      </c>
    </row>
    <row r="79" spans="1:11" ht="15" customHeight="1">
      <c r="A79" s="43"/>
      <c r="B79" s="49">
        <f>VLOOKUP($C$43:$C$111,Equipment!$A$1:$B$2322,2,FALSE)</f>
        <v>0</v>
      </c>
      <c r="C79" s="259"/>
      <c r="D79" s="24"/>
      <c r="E79" s="24"/>
      <c r="F79" s="24"/>
      <c r="G79" s="24"/>
      <c r="H79" s="36"/>
      <c r="I79" s="184"/>
      <c r="J79" s="42">
        <f>VLOOKUP($B$43:$B$111,'Alberta Equip. Rates Year 3'!$B$13:$K$294,10,FALSE)</f>
        <v>0</v>
      </c>
      <c r="K79" s="181">
        <f t="shared" si="3"/>
        <v>0</v>
      </c>
    </row>
    <row r="80" spans="1:11" ht="15" customHeight="1">
      <c r="A80" s="43"/>
      <c r="B80" s="49">
        <f>VLOOKUP($C$43:$C$111,Equipment!$A$1:$B$2322,2,FALSE)</f>
        <v>0</v>
      </c>
      <c r="C80" s="24"/>
      <c r="D80" s="24"/>
      <c r="E80" s="24"/>
      <c r="F80" s="24"/>
      <c r="G80" s="24"/>
      <c r="H80" s="36"/>
      <c r="I80" s="184"/>
      <c r="J80" s="42">
        <f>VLOOKUP($B$43:$B$111,'Alberta Equip. Rates Year 3'!$B$13:$K$294,10,FALSE)</f>
        <v>0</v>
      </c>
      <c r="K80" s="181">
        <f>(H80+I80)*J80</f>
        <v>0</v>
      </c>
    </row>
    <row r="81" spans="1:11" ht="15" customHeight="1">
      <c r="A81" s="43"/>
      <c r="B81" s="49">
        <f>VLOOKUP($C$43:$C$111,Equipment!$A$1:$B$2322,2,FALSE)</f>
        <v>0</v>
      </c>
      <c r="C81" s="24"/>
      <c r="D81" s="24"/>
      <c r="E81" s="24"/>
      <c r="F81" s="24"/>
      <c r="G81" s="24"/>
      <c r="H81" s="36"/>
      <c r="I81" s="20"/>
      <c r="J81" s="42">
        <f>VLOOKUP($B$43:$B$111,'Alberta Equip. Rates Year 3'!$B$13:$K$294,10,FALSE)</f>
        <v>0</v>
      </c>
      <c r="K81" s="181">
        <f t="shared" si="3"/>
        <v>0</v>
      </c>
    </row>
    <row r="82" spans="1:11" ht="15" customHeight="1">
      <c r="A82" s="43"/>
      <c r="B82" s="49">
        <f>VLOOKUP($C$43:$C$111,Equipment!$A$1:$B$2322,2,FALSE)</f>
        <v>0</v>
      </c>
      <c r="C82" s="259"/>
      <c r="D82" s="24"/>
      <c r="E82" s="24"/>
      <c r="F82" s="24"/>
      <c r="G82" s="24"/>
      <c r="H82" s="36"/>
      <c r="I82" s="184"/>
      <c r="J82" s="42">
        <f>VLOOKUP($B$43:$B$111,'Alberta Equip. Rates Year 3'!$B$13:$K$294,10,FALSE)</f>
        <v>0</v>
      </c>
      <c r="K82" s="181">
        <f>(H82+I82)*J82</f>
        <v>0</v>
      </c>
    </row>
    <row r="83" spans="1:11" ht="15" customHeight="1">
      <c r="A83" s="43"/>
      <c r="B83" s="49">
        <f>VLOOKUP($C$43:$C$111,Equipment!$A$1:$B$2322,2,FALSE)</f>
        <v>0</v>
      </c>
      <c r="C83" s="24"/>
      <c r="D83" s="24"/>
      <c r="E83" s="24"/>
      <c r="F83" s="24"/>
      <c r="G83" s="24"/>
      <c r="H83" s="36"/>
      <c r="I83" s="20"/>
      <c r="J83" s="42">
        <f>VLOOKUP($B$43:$B$111,'Alberta Equip. Rates Year 3'!$B$13:$K$294,10,FALSE)</f>
        <v>0</v>
      </c>
      <c r="K83" s="181">
        <f t="shared" si="3"/>
        <v>0</v>
      </c>
    </row>
    <row r="84" spans="1:11" ht="15" customHeight="1">
      <c r="A84" s="43"/>
      <c r="B84" s="49">
        <f>VLOOKUP($C$43:$C$111,Equipment!$A$1:$B$2322,2,FALSE)</f>
        <v>0</v>
      </c>
      <c r="C84" s="24"/>
      <c r="D84" s="24"/>
      <c r="E84" s="24"/>
      <c r="F84" s="24"/>
      <c r="G84" s="24"/>
      <c r="H84" s="36"/>
      <c r="I84" s="20"/>
      <c r="J84" s="42">
        <f>VLOOKUP($B$43:$B$111,'Alberta Equip. Rates Year 3'!$B$13:$K$294,10,FALSE)</f>
        <v>0</v>
      </c>
      <c r="K84" s="181">
        <f t="shared" si="3"/>
        <v>0</v>
      </c>
    </row>
    <row r="85" spans="1:11" ht="15" customHeight="1">
      <c r="A85" s="43"/>
      <c r="B85" s="49">
        <f>VLOOKUP($C$43:$C$111,Equipment!$A$1:$B$2322,2,FALSE)</f>
        <v>0</v>
      </c>
      <c r="C85" s="24"/>
      <c r="D85" s="24"/>
      <c r="E85" s="24"/>
      <c r="F85" s="24"/>
      <c r="G85" s="24"/>
      <c r="H85" s="36"/>
      <c r="I85" s="184"/>
      <c r="J85" s="42">
        <f>VLOOKUP($B$43:$B$111,'Alberta Equip. Rates Year 3'!$B$13:$K$294,10,FALSE)</f>
        <v>0</v>
      </c>
      <c r="K85" s="181">
        <f t="shared" si="3"/>
        <v>0</v>
      </c>
    </row>
    <row r="86" spans="1:11" ht="15" customHeight="1">
      <c r="A86" s="43"/>
      <c r="B86" s="49">
        <f>VLOOKUP($C$43:$C$111,Equipment!$A$1:$B$2322,2,FALSE)</f>
        <v>0</v>
      </c>
      <c r="C86" s="24"/>
      <c r="D86" s="24"/>
      <c r="E86" s="24"/>
      <c r="F86" s="24"/>
      <c r="G86" s="24"/>
      <c r="H86" s="36"/>
      <c r="I86" s="20"/>
      <c r="J86" s="42">
        <f>VLOOKUP($B$43:$B$111,'Alberta Equip. Rates Year 3'!$B$13:$K$294,10,FALSE)</f>
        <v>0</v>
      </c>
      <c r="K86" s="181">
        <f t="shared" si="3"/>
        <v>0</v>
      </c>
    </row>
    <row r="87" spans="1:11" ht="15" customHeight="1">
      <c r="A87" s="43"/>
      <c r="B87" s="49">
        <f>VLOOKUP($C$43:$C$111,Equipment!$A$1:$B$2322,2,FALSE)</f>
        <v>0</v>
      </c>
      <c r="C87" s="24"/>
      <c r="D87" s="24"/>
      <c r="E87" s="24"/>
      <c r="F87" s="24"/>
      <c r="G87" s="24"/>
      <c r="H87" s="36"/>
      <c r="I87" s="184"/>
      <c r="J87" s="42">
        <f>VLOOKUP($B$43:$B$111,'Alberta Equip. Rates Year 3'!$B$13:$K$294,10,FALSE)</f>
        <v>0</v>
      </c>
      <c r="K87" s="181">
        <f t="shared" si="3"/>
        <v>0</v>
      </c>
    </row>
    <row r="88" spans="1:11" ht="15" customHeight="1">
      <c r="A88" s="43"/>
      <c r="B88" s="49">
        <f>VLOOKUP($C$43:$C$111,Equipment!$A$1:$B$2322,2,FALSE)</f>
        <v>0</v>
      </c>
      <c r="C88" s="24"/>
      <c r="D88" s="24"/>
      <c r="E88" s="24"/>
      <c r="F88" s="24"/>
      <c r="G88" s="24"/>
      <c r="H88" s="36"/>
      <c r="I88" s="20"/>
      <c r="J88" s="42">
        <f>VLOOKUP($B$43:$B$111,'Alberta Equip. Rates Year 3'!$B$13:$K$294,10,FALSE)</f>
        <v>0</v>
      </c>
      <c r="K88" s="181">
        <f t="shared" si="3"/>
        <v>0</v>
      </c>
    </row>
    <row r="89" spans="1:11" ht="15" customHeight="1">
      <c r="A89" s="43"/>
      <c r="B89" s="49">
        <f>VLOOKUP($C$43:$C$111,Equipment!$A$1:$B$2322,2,FALSE)</f>
        <v>0</v>
      </c>
      <c r="C89" s="24"/>
      <c r="D89" s="24"/>
      <c r="E89" s="24"/>
      <c r="F89" s="24"/>
      <c r="G89" s="24"/>
      <c r="H89" s="36"/>
      <c r="I89" s="20"/>
      <c r="J89" s="42">
        <f>VLOOKUP($B$43:$B$111,'Alberta Equip. Rates Year 3'!$B$13:$K$294,10,FALSE)</f>
        <v>0</v>
      </c>
      <c r="K89" s="181">
        <f t="shared" si="3"/>
        <v>0</v>
      </c>
    </row>
    <row r="90" spans="1:11" ht="15" customHeight="1">
      <c r="A90" s="43"/>
      <c r="B90" s="49">
        <f>VLOOKUP($C$43:$C$111,Equipment!$A$1:$B$2322,2,FALSE)</f>
        <v>0</v>
      </c>
      <c r="C90" s="24"/>
      <c r="D90" s="24"/>
      <c r="E90" s="24"/>
      <c r="F90" s="24"/>
      <c r="G90" s="24"/>
      <c r="H90" s="36"/>
      <c r="I90" s="20"/>
      <c r="J90" s="42">
        <f>VLOOKUP($B$43:$B$111,'Alberta Equip. Rates Year 3'!$B$13:$K$294,10,FALSE)</f>
        <v>0</v>
      </c>
      <c r="K90" s="181">
        <f t="shared" si="3"/>
        <v>0</v>
      </c>
    </row>
    <row r="91" spans="1:11" ht="15" customHeight="1">
      <c r="A91" s="43"/>
      <c r="B91" s="49">
        <f>VLOOKUP($C$43:$C$111,Equipment!$A$1:$B$2322,2,FALSE)</f>
        <v>0</v>
      </c>
      <c r="C91" s="24"/>
      <c r="D91" s="24"/>
      <c r="E91" s="24"/>
      <c r="F91" s="24"/>
      <c r="G91" s="24"/>
      <c r="H91" s="36"/>
      <c r="I91" s="20"/>
      <c r="J91" s="42">
        <f>VLOOKUP($B$43:$B$111,'Alberta Equip. Rates Year 3'!$B$13:$K$294,10,FALSE)</f>
        <v>0</v>
      </c>
      <c r="K91" s="181">
        <f t="shared" si="3"/>
        <v>0</v>
      </c>
    </row>
    <row r="92" spans="1:11" ht="15.75" customHeight="1">
      <c r="A92" s="43"/>
      <c r="B92" s="49">
        <f>VLOOKUP($C$43:$C$111,Equipment!$A$1:$B$2322,2,FALSE)</f>
        <v>0</v>
      </c>
      <c r="C92" s="24"/>
      <c r="D92" s="24"/>
      <c r="E92" s="24"/>
      <c r="F92" s="24"/>
      <c r="G92" s="24"/>
      <c r="H92" s="36"/>
      <c r="I92" s="20"/>
      <c r="J92" s="42">
        <f>VLOOKUP($B$43:$B$111,'Alberta Equip. Rates Year 3'!$B$13:$K$294,10,FALSE)</f>
        <v>0</v>
      </c>
      <c r="K92" s="181">
        <f t="shared" si="3"/>
        <v>0</v>
      </c>
    </row>
    <row r="93" spans="1:11" ht="15" customHeight="1">
      <c r="A93" s="43"/>
      <c r="B93" s="49">
        <f>VLOOKUP($C$43:$C$111,Equipment!$A$1:$B$2322,2,FALSE)</f>
        <v>0</v>
      </c>
      <c r="C93" s="24"/>
      <c r="D93" s="24"/>
      <c r="E93" s="24"/>
      <c r="F93" s="24"/>
      <c r="G93" s="24"/>
      <c r="H93" s="36"/>
      <c r="I93" s="20"/>
      <c r="J93" s="42">
        <f>VLOOKUP($B$43:$B$111,'Alberta Equip. Rates Year 3'!$B$13:$K$294,10,FALSE)</f>
        <v>0</v>
      </c>
      <c r="K93" s="181">
        <f t="shared" si="3"/>
        <v>0</v>
      </c>
    </row>
    <row r="94" spans="1:11" ht="15" customHeight="1">
      <c r="A94" s="43"/>
      <c r="B94" s="49">
        <f>VLOOKUP($C$43:$C$111,Equipment!$A$1:$B$2322,2,FALSE)</f>
        <v>0</v>
      </c>
      <c r="C94" s="24"/>
      <c r="D94" s="24"/>
      <c r="E94" s="24"/>
      <c r="F94" s="24"/>
      <c r="G94" s="24"/>
      <c r="H94" s="36"/>
      <c r="I94" s="20"/>
      <c r="J94" s="42">
        <f>VLOOKUP($B$43:$B$111,'Alberta Equip. Rates Year 3'!$B$13:$K$294,10,FALSE)</f>
        <v>0</v>
      </c>
      <c r="K94" s="181">
        <f t="shared" si="3"/>
        <v>0</v>
      </c>
    </row>
    <row r="95" spans="1:11" ht="15" customHeight="1">
      <c r="A95" s="43"/>
      <c r="B95" s="49">
        <f>VLOOKUP($C$43:$C$111,Equipment!$A$1:$B$2322,2,FALSE)</f>
        <v>0</v>
      </c>
      <c r="C95" s="24"/>
      <c r="D95" s="24"/>
      <c r="E95" s="24"/>
      <c r="F95" s="24"/>
      <c r="G95" s="24"/>
      <c r="H95" s="36"/>
      <c r="I95" s="184"/>
      <c r="J95" s="42">
        <f>VLOOKUP($B$43:$B$111,'Alberta Equip. Rates Year 3'!$B$13:$K$294,10,FALSE)</f>
        <v>0</v>
      </c>
      <c r="K95" s="181">
        <f t="shared" si="3"/>
        <v>0</v>
      </c>
    </row>
    <row r="96" spans="1:11" ht="15" customHeight="1">
      <c r="A96" s="43"/>
      <c r="B96" s="49">
        <f>VLOOKUP($C$43:$C$111,Equipment!$A$1:$B$2322,2,FALSE)</f>
        <v>0</v>
      </c>
      <c r="C96" s="24"/>
      <c r="D96" s="24"/>
      <c r="E96" s="24"/>
      <c r="F96" s="24"/>
      <c r="G96" s="24"/>
      <c r="H96" s="36"/>
      <c r="I96" s="184"/>
      <c r="J96" s="42">
        <f>VLOOKUP($B$43:$B$111,'Alberta Equip. Rates Year 3'!$B$13:$K$294,10,FALSE)</f>
        <v>0</v>
      </c>
      <c r="K96" s="181">
        <f t="shared" si="3"/>
        <v>0</v>
      </c>
    </row>
    <row r="97" spans="1:11" ht="15" customHeight="1">
      <c r="A97" s="43"/>
      <c r="B97" s="49">
        <f>VLOOKUP($C$43:$C$111,Equipment!$A$1:$B$2322,2,FALSE)</f>
        <v>0</v>
      </c>
      <c r="C97" s="24"/>
      <c r="D97" s="24"/>
      <c r="E97" s="24"/>
      <c r="F97" s="24"/>
      <c r="G97" s="24"/>
      <c r="H97" s="36"/>
      <c r="I97" s="184"/>
      <c r="J97" s="42">
        <f>VLOOKUP($B$43:$B$111,'Alberta Equip. Rates Year 3'!$B$13:$K$294,10,FALSE)</f>
        <v>0</v>
      </c>
      <c r="K97" s="181">
        <f t="shared" si="3"/>
        <v>0</v>
      </c>
    </row>
    <row r="98" spans="1:11" ht="15" customHeight="1">
      <c r="A98" s="43"/>
      <c r="B98" s="49">
        <f>VLOOKUP($C$43:$C$111,Equipment!$A$1:$B$2322,2,FALSE)</f>
        <v>0</v>
      </c>
      <c r="C98" s="24"/>
      <c r="D98" s="24"/>
      <c r="E98" s="24"/>
      <c r="F98" s="24"/>
      <c r="G98" s="24"/>
      <c r="H98" s="36"/>
      <c r="I98" s="184"/>
      <c r="J98" s="42">
        <f>VLOOKUP($B$43:$B$111,'Alberta Equip. Rates Year 3'!$B$13:$K$294,10,FALSE)</f>
        <v>0</v>
      </c>
      <c r="K98" s="181">
        <f t="shared" si="3"/>
        <v>0</v>
      </c>
    </row>
    <row r="99" spans="1:11" ht="15" customHeight="1">
      <c r="A99" s="43"/>
      <c r="B99" s="49">
        <f>VLOOKUP($C$43:$C$111,Equipment!$A$1:$B$2322,2,FALSE)</f>
        <v>0</v>
      </c>
      <c r="C99" s="24"/>
      <c r="D99" s="24"/>
      <c r="E99" s="24"/>
      <c r="F99" s="24"/>
      <c r="G99" s="24"/>
      <c r="H99" s="36"/>
      <c r="I99" s="184"/>
      <c r="J99" s="42">
        <f>VLOOKUP($B$43:$B$111,'Alberta Equip. Rates Year 3'!$B$13:$K$294,10,FALSE)</f>
        <v>0</v>
      </c>
      <c r="K99" s="181">
        <f t="shared" si="3"/>
        <v>0</v>
      </c>
    </row>
    <row r="100" spans="1:11" ht="15" customHeight="1">
      <c r="A100" s="43"/>
      <c r="B100" s="49">
        <f>VLOOKUP($C$43:$C$111,Equipment!$A$1:$B$2322,2,FALSE)</f>
        <v>0</v>
      </c>
      <c r="C100" s="24"/>
      <c r="D100" s="24"/>
      <c r="E100" s="24"/>
      <c r="F100" s="24"/>
      <c r="G100" s="24"/>
      <c r="H100" s="36"/>
      <c r="I100" s="184"/>
      <c r="J100" s="42">
        <f>VLOOKUP($B$43:$B$111,'Alberta Equip. Rates Year 3'!$B$13:$K$294,10,FALSE)</f>
        <v>0</v>
      </c>
      <c r="K100" s="181">
        <f t="shared" si="3"/>
        <v>0</v>
      </c>
    </row>
    <row r="101" spans="1:11" ht="15" customHeight="1">
      <c r="A101" s="43"/>
      <c r="B101" s="49">
        <f>VLOOKUP($C$43:$C$111,Equipment!$A$1:$B$2322,2,FALSE)</f>
        <v>0</v>
      </c>
      <c r="C101" s="24"/>
      <c r="D101" s="24"/>
      <c r="E101" s="24"/>
      <c r="F101" s="24"/>
      <c r="G101" s="24"/>
      <c r="H101" s="36"/>
      <c r="I101" s="184"/>
      <c r="J101" s="42">
        <f>VLOOKUP($B$43:$B$111,'Alberta Equip. Rates Year 3'!$B$13:$K$294,10,FALSE)</f>
        <v>0</v>
      </c>
      <c r="K101" s="181">
        <f t="shared" si="3"/>
        <v>0</v>
      </c>
    </row>
    <row r="102" spans="1:11" ht="15" customHeight="1">
      <c r="A102" s="43"/>
      <c r="B102" s="49">
        <f>VLOOKUP($C$43:$C$111,Equipment!$A$1:$B$2322,2,FALSE)</f>
        <v>0</v>
      </c>
      <c r="C102" s="24"/>
      <c r="D102" s="24"/>
      <c r="E102" s="24"/>
      <c r="F102" s="24"/>
      <c r="G102" s="24"/>
      <c r="H102" s="36"/>
      <c r="I102" s="184"/>
      <c r="J102" s="42">
        <f>VLOOKUP($B$43:$B$111,'Alberta Equip. Rates Year 3'!$B$13:$K$294,10,FALSE)</f>
        <v>0</v>
      </c>
      <c r="K102" s="181">
        <f t="shared" si="3"/>
        <v>0</v>
      </c>
    </row>
    <row r="103" spans="1:11" ht="15" customHeight="1">
      <c r="A103" s="43"/>
      <c r="B103" s="49">
        <f>VLOOKUP($C$43:$C$111,Equipment!$A$1:$B$2322,2,FALSE)</f>
        <v>0</v>
      </c>
      <c r="C103" s="217"/>
      <c r="D103" s="24"/>
      <c r="E103" s="24"/>
      <c r="F103" s="24"/>
      <c r="G103" s="24"/>
      <c r="H103" s="36"/>
      <c r="I103" s="184"/>
      <c r="J103" s="42">
        <f>VLOOKUP($B$43:$B$111,'Alberta Equip. Rates Year 3'!$B$13:$K$294,10,FALSE)</f>
        <v>0</v>
      </c>
      <c r="K103" s="181">
        <f t="shared" si="3"/>
        <v>0</v>
      </c>
    </row>
    <row r="104" spans="1:11" ht="15" customHeight="1">
      <c r="A104" s="43"/>
      <c r="B104" s="49">
        <f>VLOOKUP($C$43:$C$111,Equipment!$A$1:$B$2322,2,FALSE)</f>
        <v>0</v>
      </c>
      <c r="C104" s="24"/>
      <c r="D104" s="24"/>
      <c r="E104" s="24"/>
      <c r="F104" s="24"/>
      <c r="G104" s="24"/>
      <c r="H104" s="36"/>
      <c r="I104" s="184"/>
      <c r="J104" s="42">
        <f>VLOOKUP($B$43:$B$111,'Alberta Equip. Rates Year 3'!$B$13:$K$294,10,FALSE)</f>
        <v>0</v>
      </c>
      <c r="K104" s="181">
        <f t="shared" si="3"/>
        <v>0</v>
      </c>
    </row>
    <row r="105" spans="1:11" ht="15" customHeight="1">
      <c r="A105" s="43"/>
      <c r="B105" s="49">
        <f>VLOOKUP($C$43:$C$111,Equipment!$A$1:$B$2322,2,FALSE)</f>
        <v>0</v>
      </c>
      <c r="C105" s="24"/>
      <c r="D105" s="24"/>
      <c r="E105" s="24"/>
      <c r="F105" s="24"/>
      <c r="G105" s="24"/>
      <c r="H105" s="36"/>
      <c r="I105" s="20"/>
      <c r="J105" s="42">
        <f>VLOOKUP($B$43:$B$111,'Alberta Equip. Rates Year 3'!$B$13:$K$294,10,FALSE)</f>
        <v>0</v>
      </c>
      <c r="K105" s="181">
        <f t="shared" si="3"/>
        <v>0</v>
      </c>
    </row>
    <row r="106" spans="1:11" ht="15" customHeight="1">
      <c r="A106" s="43"/>
      <c r="B106" s="49">
        <f>VLOOKUP($C$43:$C$111,Equipment!$A$1:$B$2322,2,FALSE)</f>
        <v>0</v>
      </c>
      <c r="C106" s="24"/>
      <c r="D106" s="24"/>
      <c r="E106" s="24"/>
      <c r="F106" s="24"/>
      <c r="G106" s="24"/>
      <c r="H106" s="36"/>
      <c r="I106" s="184"/>
      <c r="J106" s="42">
        <f>VLOOKUP($B$43:$B$111,'Alberta Equip. Rates Year 3'!$B$13:$K$294,10,FALSE)</f>
        <v>0</v>
      </c>
      <c r="K106" s="181">
        <f t="shared" si="3"/>
        <v>0</v>
      </c>
    </row>
    <row r="107" spans="1:11" ht="15" customHeight="1">
      <c r="A107" s="43"/>
      <c r="B107" s="49">
        <f>VLOOKUP($C$43:$C$111,Equipment!$A$1:$B$2322,2,FALSE)</f>
        <v>0</v>
      </c>
      <c r="C107" s="24"/>
      <c r="D107" s="24"/>
      <c r="E107" s="24"/>
      <c r="F107" s="24"/>
      <c r="G107" s="24"/>
      <c r="H107" s="36"/>
      <c r="I107" s="184"/>
      <c r="J107" s="42">
        <f>VLOOKUP($B$43:$B$111,'Alberta Equip. Rates Year 3'!$B$13:$K$294,10,FALSE)</f>
        <v>0</v>
      </c>
      <c r="K107" s="181">
        <f t="shared" si="3"/>
        <v>0</v>
      </c>
    </row>
    <row r="108" spans="1:11" ht="15" customHeight="1">
      <c r="A108" s="43"/>
      <c r="B108" s="49">
        <f>VLOOKUP($C$43:$C$111,Equipment!$A$1:$B$2322,2,FALSE)</f>
        <v>0</v>
      </c>
      <c r="C108" s="24"/>
      <c r="D108" s="24"/>
      <c r="E108" s="24"/>
      <c r="F108" s="24"/>
      <c r="G108" s="24"/>
      <c r="H108" s="36"/>
      <c r="I108" s="20"/>
      <c r="J108" s="42">
        <f>VLOOKUP($B$43:$B$111,'Alberta Equip. Rates Year 3'!$B$13:$K$294,10,FALSE)</f>
        <v>0</v>
      </c>
      <c r="K108" s="181">
        <f t="shared" si="3"/>
        <v>0</v>
      </c>
    </row>
    <row r="109" spans="1:11" ht="15" customHeight="1">
      <c r="A109" s="43"/>
      <c r="B109" s="49">
        <f>VLOOKUP($C$43:$C$111,Equipment!$A$1:$B$2322,2,FALSE)</f>
        <v>0</v>
      </c>
      <c r="C109" s="24"/>
      <c r="D109" s="24"/>
      <c r="E109" s="24"/>
      <c r="F109" s="24"/>
      <c r="G109" s="24"/>
      <c r="H109" s="36"/>
      <c r="I109" s="184"/>
      <c r="J109" s="42">
        <f>VLOOKUP($B$43:$B$111,'Alberta Equip. Rates Year 3'!$B$13:$K$294,10,FALSE)</f>
        <v>0</v>
      </c>
      <c r="K109" s="181">
        <f t="shared" si="3"/>
        <v>0</v>
      </c>
    </row>
    <row r="110" spans="1:11" ht="15" customHeight="1">
      <c r="A110" s="43"/>
      <c r="B110" s="49">
        <f>VLOOKUP($C$43:$C$111,Equipment!$A$1:$B$2322,2,FALSE)</f>
        <v>0</v>
      </c>
      <c r="C110" s="259"/>
      <c r="D110" s="24"/>
      <c r="E110" s="24"/>
      <c r="F110" s="24"/>
      <c r="G110" s="24"/>
      <c r="H110" s="36"/>
      <c r="I110" s="184"/>
      <c r="J110" s="42">
        <f>VLOOKUP($B$43:$B$111,'Alberta Equip. Rates Year 3'!$B$13:$K$294,10,FALSE)</f>
        <v>0</v>
      </c>
      <c r="K110" s="181">
        <f t="shared" si="3"/>
        <v>0</v>
      </c>
    </row>
    <row r="111" spans="1:11" ht="15" customHeight="1" thickBot="1">
      <c r="A111" s="43"/>
      <c r="B111" s="49"/>
      <c r="C111" s="259"/>
      <c r="D111" s="24"/>
      <c r="E111" s="24"/>
      <c r="F111" s="24"/>
      <c r="G111" s="24"/>
      <c r="H111" s="36"/>
      <c r="I111" s="184"/>
      <c r="J111" s="42"/>
      <c r="K111" s="181"/>
    </row>
    <row r="112" spans="1:11" ht="12" thickBot="1">
      <c r="A112" s="25"/>
      <c r="B112" s="25"/>
      <c r="C112" s="25"/>
      <c r="D112" s="21"/>
      <c r="E112" s="21"/>
      <c r="F112" s="21"/>
      <c r="G112" s="21"/>
      <c r="H112" s="21"/>
      <c r="I112" s="360" t="s">
        <v>24</v>
      </c>
      <c r="J112" s="361"/>
      <c r="K112" s="182">
        <f>SUM(K43:K111)</f>
        <v>16032.5</v>
      </c>
    </row>
    <row r="113" spans="1:11" ht="12" thickBot="1">
      <c r="A113" s="26"/>
      <c r="D113" s="26"/>
      <c r="I113" s="27"/>
      <c r="J113" s="27"/>
      <c r="K113" s="28"/>
    </row>
    <row r="114" spans="1:11">
      <c r="A114" s="1" t="s">
        <v>25</v>
      </c>
      <c r="B114" s="29"/>
      <c r="D114" s="1"/>
      <c r="E114" s="1"/>
      <c r="F114" s="1"/>
      <c r="G114" s="1"/>
      <c r="H114" s="1"/>
      <c r="I114" s="362" t="s">
        <v>26</v>
      </c>
      <c r="J114" s="362"/>
      <c r="K114" s="37">
        <f>K40</f>
        <v>18942.72</v>
      </c>
    </row>
    <row r="115" spans="1:11">
      <c r="D115" s="1"/>
      <c r="E115" s="1"/>
      <c r="F115" s="1"/>
      <c r="G115" s="1"/>
      <c r="H115" s="1"/>
      <c r="I115" s="362" t="s">
        <v>27</v>
      </c>
      <c r="J115" s="362"/>
      <c r="K115" s="38">
        <f>K112</f>
        <v>16032.5</v>
      </c>
    </row>
    <row r="116" spans="1:11">
      <c r="D116" s="1"/>
      <c r="E116" s="1"/>
      <c r="F116" s="1"/>
      <c r="G116" s="1"/>
      <c r="H116" s="1"/>
      <c r="I116" s="27" t="s">
        <v>28</v>
      </c>
      <c r="J116" s="27"/>
      <c r="K116" s="38">
        <f>(O40)*14.15</f>
        <v>3339.4</v>
      </c>
    </row>
    <row r="117" spans="1:11">
      <c r="D117" s="1"/>
      <c r="E117" s="1"/>
      <c r="F117" s="1"/>
      <c r="G117" s="1"/>
      <c r="H117" s="1"/>
      <c r="I117" s="30" t="s">
        <v>29</v>
      </c>
      <c r="J117" s="30"/>
      <c r="K117" s="39"/>
    </row>
    <row r="118" spans="1:11">
      <c r="D118" s="1"/>
      <c r="E118" s="1"/>
      <c r="F118" s="1"/>
      <c r="G118" s="1"/>
      <c r="H118" s="1"/>
      <c r="I118" s="30" t="s">
        <v>30</v>
      </c>
      <c r="J118" s="30"/>
      <c r="K118" s="39"/>
    </row>
    <row r="119" spans="1:11">
      <c r="D119" s="1"/>
      <c r="E119" s="1"/>
      <c r="F119" s="1"/>
      <c r="G119" s="1"/>
      <c r="H119" s="1"/>
      <c r="I119" s="30" t="s">
        <v>31</v>
      </c>
      <c r="J119" s="30"/>
      <c r="K119" s="39"/>
    </row>
    <row r="120" spans="1:11" ht="12" thickBot="1">
      <c r="D120" s="1"/>
      <c r="E120" s="1"/>
      <c r="F120" s="1"/>
      <c r="G120" s="1"/>
      <c r="H120" s="1"/>
      <c r="I120" s="362" t="s">
        <v>32</v>
      </c>
      <c r="J120" s="362"/>
      <c r="K120" s="40">
        <f>SUM(K114:K119)</f>
        <v>38314.620000000003</v>
      </c>
    </row>
    <row r="121" spans="1:11">
      <c r="D121" s="1"/>
      <c r="E121" s="1"/>
      <c r="F121" s="1"/>
      <c r="G121" s="1"/>
      <c r="H121" s="1"/>
      <c r="I121" s="27"/>
      <c r="J121" s="27"/>
    </row>
    <row r="122" spans="1:11">
      <c r="A122" s="31" t="s">
        <v>33</v>
      </c>
      <c r="B122" s="32"/>
      <c r="C122" s="32"/>
      <c r="D122" s="1"/>
      <c r="H122" s="33" t="s">
        <v>34</v>
      </c>
      <c r="I122" s="32"/>
      <c r="J122" s="32"/>
      <c r="K122" s="32"/>
    </row>
    <row r="123" spans="1:11" ht="15">
      <c r="A123" s="34"/>
      <c r="E123" s="8"/>
      <c r="F123" s="8"/>
      <c r="G123" s="8"/>
      <c r="H123" s="35"/>
      <c r="I123" s="35"/>
      <c r="J123" s="35"/>
      <c r="K123" s="35"/>
    </row>
    <row r="124" spans="1:11" ht="15">
      <c r="A124" s="34" t="s">
        <v>35</v>
      </c>
      <c r="E124" s="8"/>
      <c r="F124" s="8"/>
      <c r="G124" s="8"/>
      <c r="H124" s="35"/>
      <c r="I124" s="35"/>
      <c r="J124" s="35"/>
      <c r="K124" s="35"/>
    </row>
    <row r="125" spans="1:11" s="34" customFormat="1">
      <c r="A125" s="363">
        <v>41218.479166666664</v>
      </c>
      <c r="B125" s="363"/>
      <c r="C125" s="364"/>
      <c r="D125" s="364"/>
      <c r="E125" s="364"/>
      <c r="F125" s="364"/>
      <c r="G125" s="364"/>
      <c r="H125" s="364"/>
      <c r="I125" s="364"/>
      <c r="J125" s="364"/>
      <c r="K125" s="8"/>
    </row>
    <row r="135" s="1" customFormat="1"/>
    <row r="136" s="1" customFormat="1"/>
    <row r="137" s="1" customFormat="1"/>
    <row r="138" s="1" customFormat="1"/>
    <row r="139" s="1" customFormat="1"/>
    <row r="140" s="1" customFormat="1"/>
    <row r="141" s="1" customFormat="1"/>
    <row r="142" s="1" customFormat="1"/>
    <row r="143" s="1" customFormat="1"/>
    <row r="144" s="1" customFormat="1"/>
    <row r="145" s="1" customFormat="1"/>
    <row r="146" s="1" customFormat="1"/>
    <row r="147" s="1" customFormat="1"/>
    <row r="148" s="1" customFormat="1"/>
    <row r="153" s="1" customFormat="1"/>
    <row r="181" s="1" customFormat="1"/>
    <row r="182" s="1" customFormat="1"/>
    <row r="183" s="1" customFormat="1"/>
    <row r="184" s="1" customFormat="1"/>
  </sheetData>
  <mergeCells count="12">
    <mergeCell ref="I112:J112"/>
    <mergeCell ref="I114:J114"/>
    <mergeCell ref="I115:J115"/>
    <mergeCell ref="I120:J120"/>
    <mergeCell ref="A125:B125"/>
    <mergeCell ref="C125:J125"/>
    <mergeCell ref="I40:J40"/>
    <mergeCell ref="C1:H1"/>
    <mergeCell ref="C2:H2"/>
    <mergeCell ref="C3:H3"/>
    <mergeCell ref="H6:I6"/>
    <mergeCell ref="H7:I7"/>
  </mergeCells>
  <printOptions horizontalCentered="1"/>
  <pageMargins left="0.19685039370078741" right="0.19685039370078741" top="0.39370078740157483" bottom="0.39370078740157483" header="0" footer="0"/>
  <pageSetup scale="40" orientation="portrait" horizontalDpi="4294967292" verticalDpi="429496729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E00-000000000000}">
          <x14:formula1>
            <xm:f>Personnel!$A:$A</xm:f>
          </x14:formula1>
          <xm:sqref>C11:C39</xm:sqref>
        </x14:dataValidation>
      </x14:dataValidations>
    </ext>
    <ext xmlns:mx="http://schemas.microsoft.com/office/mac/excel/2008/main" uri="{64002731-A6B0-56B0-2670-7721B7C09600}">
      <mx:PLV Mode="0" OnePage="0" WScale="0"/>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CCFFCC"/>
    <pageSetUpPr fitToPage="1"/>
  </sheetPr>
  <dimension ref="A1:O164"/>
  <sheetViews>
    <sheetView zoomScale="120" zoomScaleNormal="120" zoomScalePageLayoutView="120" workbookViewId="0">
      <selection activeCell="C18" sqref="C18"/>
    </sheetView>
  </sheetViews>
  <sheetFormatPr baseColWidth="10" defaultColWidth="8.83203125" defaultRowHeight="11"/>
  <cols>
    <col min="1" max="1" width="13" style="1" customWidth="1"/>
    <col min="2" max="2" width="30" style="1" customWidth="1"/>
    <col min="3" max="3" width="24.5" style="1" customWidth="1"/>
    <col min="4" max="4" width="8.6640625" style="2" customWidth="1"/>
    <col min="5" max="6" width="8.33203125" style="2" customWidth="1"/>
    <col min="7" max="8" width="8.6640625" style="2" customWidth="1"/>
    <col min="9" max="9" width="9.33203125" style="2" customWidth="1"/>
    <col min="10" max="10" width="8.6640625" style="2" customWidth="1"/>
    <col min="11" max="11" width="21.83203125" style="1" customWidth="1"/>
    <col min="12" max="12" width="3.5" style="1" hidden="1" customWidth="1"/>
    <col min="13" max="16384" width="8.83203125" style="1"/>
  </cols>
  <sheetData>
    <row r="1" spans="1:13" ht="15">
      <c r="C1" s="364"/>
      <c r="D1" s="365"/>
      <c r="E1" s="365"/>
      <c r="F1" s="365"/>
      <c r="G1" s="365"/>
      <c r="H1" s="366"/>
      <c r="J1" s="2" t="s">
        <v>0</v>
      </c>
      <c r="K1" s="197">
        <v>41659</v>
      </c>
      <c r="M1" s="45"/>
    </row>
    <row r="2" spans="1:13" ht="15">
      <c r="C2" s="367"/>
      <c r="D2" s="367"/>
      <c r="E2" s="367"/>
      <c r="F2" s="367"/>
      <c r="G2" s="367"/>
      <c r="H2" s="366"/>
      <c r="K2" s="41"/>
    </row>
    <row r="3" spans="1:13" ht="15">
      <c r="C3" s="368"/>
      <c r="D3" s="369"/>
      <c r="E3" s="369"/>
      <c r="F3" s="369"/>
      <c r="G3" s="369"/>
      <c r="H3" s="366"/>
    </row>
    <row r="4" spans="1:13">
      <c r="C4" s="3"/>
      <c r="D4" s="4"/>
      <c r="E4" s="4"/>
      <c r="F4" s="4"/>
      <c r="G4" s="4"/>
    </row>
    <row r="5" spans="1:13">
      <c r="C5" s="3"/>
      <c r="D5" s="4"/>
      <c r="E5" s="4"/>
      <c r="F5" s="4"/>
      <c r="G5" s="4"/>
    </row>
    <row r="6" spans="1:13" ht="12">
      <c r="B6" s="5"/>
      <c r="C6" s="6"/>
      <c r="D6" s="7"/>
      <c r="E6" s="8"/>
      <c r="F6" s="8"/>
      <c r="G6" s="1" t="s">
        <v>1</v>
      </c>
      <c r="H6" s="370">
        <v>18216</v>
      </c>
      <c r="I6" s="370"/>
      <c r="J6" s="1" t="s">
        <v>2</v>
      </c>
      <c r="K6" s="47"/>
    </row>
    <row r="7" spans="1:13" ht="12">
      <c r="A7" s="1" t="s">
        <v>3</v>
      </c>
      <c r="B7" s="9"/>
      <c r="C7" s="10"/>
      <c r="D7" s="11"/>
      <c r="E7" s="8"/>
      <c r="F7" s="8"/>
      <c r="G7" s="1" t="s">
        <v>4</v>
      </c>
      <c r="H7" s="371"/>
      <c r="I7" s="371"/>
      <c r="J7" s="1" t="s">
        <v>5</v>
      </c>
      <c r="K7" s="46"/>
    </row>
    <row r="8" spans="1:13" ht="12">
      <c r="B8" s="12"/>
      <c r="C8" s="13"/>
      <c r="D8" s="14"/>
      <c r="E8" s="8"/>
      <c r="F8" s="8"/>
      <c r="G8" s="1" t="s">
        <v>6</v>
      </c>
      <c r="H8" s="187"/>
      <c r="I8" s="188"/>
      <c r="J8" s="44"/>
    </row>
    <row r="9" spans="1:13" ht="16" thickBot="1">
      <c r="B9" s="15"/>
      <c r="C9" s="16"/>
      <c r="D9" s="16"/>
      <c r="E9" s="8"/>
      <c r="F9" s="8"/>
      <c r="G9" s="8"/>
    </row>
    <row r="10" spans="1:13" s="19" customFormat="1" ht="12" thickBot="1">
      <c r="A10" s="17" t="s">
        <v>7</v>
      </c>
      <c r="B10" s="17" t="s">
        <v>8</v>
      </c>
      <c r="C10" s="17" t="s">
        <v>9</v>
      </c>
      <c r="D10" s="18" t="s">
        <v>10</v>
      </c>
      <c r="E10" s="18" t="s">
        <v>11</v>
      </c>
      <c r="F10" s="18" t="s">
        <v>12</v>
      </c>
      <c r="G10" s="180" t="s">
        <v>13</v>
      </c>
      <c r="H10" s="18" t="s">
        <v>14</v>
      </c>
      <c r="I10" s="18" t="s">
        <v>15</v>
      </c>
      <c r="J10" s="18" t="s">
        <v>16</v>
      </c>
      <c r="K10" s="18" t="s">
        <v>17</v>
      </c>
      <c r="M10" s="19" t="s">
        <v>1797</v>
      </c>
    </row>
    <row r="11" spans="1:13" ht="15" customHeight="1">
      <c r="A11" s="48"/>
      <c r="B11" s="49">
        <f>VLOOKUP($C$11:$C$38,Personnel!$A$1:$B$1234,2,FALSE)</f>
        <v>0</v>
      </c>
      <c r="C11" s="36"/>
      <c r="D11" s="184"/>
      <c r="E11" s="179">
        <f>VLOOKUP($B$11:$B$38,'Constr. Wage Rate Calculations'!$A$19:$Z$288,22,FALSE)</f>
        <v>0</v>
      </c>
      <c r="F11" s="184"/>
      <c r="G11" s="179">
        <f>VLOOKUP($B$11:$B$38,'Constr. Wage Rate Calculations'!$A$19:$Z$288,23,FALSE)</f>
        <v>0</v>
      </c>
      <c r="H11" s="184"/>
      <c r="I11" s="179">
        <f>VLOOKUP($B$11:$B$38,'Constr. Wage Rate Calculations'!$A$19:$Z$288,24,FALSE)</f>
        <v>0</v>
      </c>
      <c r="J11" s="20">
        <f>VLOOKUP($B$11:$B$38,'Constr. Wage Rate Calculations'!$A$19:$Z$288,25,FALSE)</f>
        <v>0</v>
      </c>
      <c r="K11" s="179" t="str">
        <f t="shared" ref="K11:K29" si="0">IF($D11&gt;=1,$J11+(D11*E11)+(F11*G11)+(H11*I11),IF($F11&gt;=1,$J11+(D11*E11)+(F11*G11)+(H11*I11),IF($H11&gt;=1,$J11+(D11*E11)+(F11*G11)+(H11*I11),"")))</f>
        <v/>
      </c>
    </row>
    <row r="12" spans="1:13" ht="17.25" customHeight="1">
      <c r="A12" s="48"/>
      <c r="B12" s="49" t="str">
        <f>VLOOKUP($C$11:$C$38,Personnel!$A$1:$B$1234,2,FALSE)</f>
        <v>STRAW  - FITTER ON AUTO WELD SPREAD (QI APPLIES)</v>
      </c>
      <c r="C12" s="36" t="s">
        <v>1165</v>
      </c>
      <c r="D12" s="184">
        <v>8</v>
      </c>
      <c r="E12" s="179">
        <f>VLOOKUP($B$11:$B$38,'Constr. Wage Rate Calculations'!$A$19:$Z$288,22,FALSE)</f>
        <v>82.81</v>
      </c>
      <c r="F12" s="184">
        <v>7</v>
      </c>
      <c r="G12" s="179">
        <f>VLOOKUP($B$11:$B$38,'Constr. Wage Rate Calculations'!$A$19:$Z$288,23,FALSE)</f>
        <v>124.21</v>
      </c>
      <c r="H12" s="184"/>
      <c r="I12" s="179">
        <f>VLOOKUP($B$11:$B$38,'Constr. Wage Rate Calculations'!$A$19:$Z$288,24,FALSE)</f>
        <v>165.62</v>
      </c>
      <c r="J12" s="20">
        <f>VLOOKUP($B$11:$B$38,'Constr. Wage Rate Calculations'!$A$19:$Z$288,25,FALSE)</f>
        <v>85</v>
      </c>
      <c r="K12" s="179">
        <f t="shared" si="0"/>
        <v>1616.9499999999998</v>
      </c>
      <c r="M12" s="1">
        <v>3</v>
      </c>
    </row>
    <row r="13" spans="1:13" ht="15" customHeight="1">
      <c r="A13" s="48"/>
      <c r="B13" s="49" t="str">
        <f>VLOOKUP($C$11:$C$38,Personnel!$A$1:$B$1234,2,FALSE)</f>
        <v>PRINCIPAL OPER 1</v>
      </c>
      <c r="C13" s="36" t="s">
        <v>2962</v>
      </c>
      <c r="D13" s="184">
        <v>8</v>
      </c>
      <c r="E13" s="179">
        <f>VLOOKUP($B$11:$B$38,'Constr. Wage Rate Calculations'!$A$19:$Z$288,22,FALSE)</f>
        <v>64.239999999999995</v>
      </c>
      <c r="F13" s="184">
        <v>5</v>
      </c>
      <c r="G13" s="179">
        <f>VLOOKUP($B$11:$B$38,'Constr. Wage Rate Calculations'!$A$19:$Z$288,23,FALSE)</f>
        <v>96.36</v>
      </c>
      <c r="H13" s="184"/>
      <c r="I13" s="179">
        <f>VLOOKUP($B$11:$B$38,'Constr. Wage Rate Calculations'!$A$19:$Z$288,24,FALSE)</f>
        <v>128.47</v>
      </c>
      <c r="J13" s="20">
        <f>VLOOKUP($B$11:$B$38,'Constr. Wage Rate Calculations'!$A$19:$Z$288,25,FALSE)</f>
        <v>85</v>
      </c>
      <c r="K13" s="179">
        <f t="shared" si="0"/>
        <v>1080.72</v>
      </c>
      <c r="M13" s="1">
        <v>1</v>
      </c>
    </row>
    <row r="14" spans="1:13" ht="19.5" customHeight="1">
      <c r="A14" s="48"/>
      <c r="B14" s="49" t="str">
        <f>VLOOKUP($C$11:$C$38,Personnel!$A$1:$B$1234,2,FALSE)</f>
        <v>FRONT-END/TIE-IN WELDER  ON STICK WELD SPREAD (QI APPLIES)</v>
      </c>
      <c r="C14" s="36" t="s">
        <v>1155</v>
      </c>
      <c r="D14" s="184">
        <v>8</v>
      </c>
      <c r="E14" s="179">
        <f>VLOOKUP($B$11:$B$38,'Constr. Wage Rate Calculations'!$A$19:$Z$288,22,FALSE)</f>
        <v>82.2</v>
      </c>
      <c r="F14" s="184">
        <v>5</v>
      </c>
      <c r="G14" s="179">
        <f>VLOOKUP($B$11:$B$38,'Constr. Wage Rate Calculations'!$A$19:$Z$288,23,FALSE)</f>
        <v>123.3</v>
      </c>
      <c r="H14" s="184"/>
      <c r="I14" s="179">
        <f>VLOOKUP($B$11:$B$38,'Constr. Wage Rate Calculations'!$A$19:$Z$288,24,FALSE)</f>
        <v>164.4</v>
      </c>
      <c r="J14" s="20">
        <f>VLOOKUP($B$11:$B$38,'Constr. Wage Rate Calculations'!$A$19:$Z$288,25,FALSE)</f>
        <v>85</v>
      </c>
      <c r="K14" s="179">
        <f t="shared" si="0"/>
        <v>1359.1</v>
      </c>
      <c r="M14" s="1">
        <v>1</v>
      </c>
    </row>
    <row r="15" spans="1:13" ht="15" customHeight="1">
      <c r="A15" s="48"/>
      <c r="B15" s="49" t="str">
        <f>VLOOKUP($C$11:$C$38,Personnel!$A$1:$B$1234,2,FALSE)</f>
        <v>PRINCIPAL OPER 1</v>
      </c>
      <c r="C15" s="36" t="s">
        <v>2900</v>
      </c>
      <c r="D15" s="184">
        <v>8</v>
      </c>
      <c r="E15" s="179">
        <f>VLOOKUP($B$11:$B$38,'Constr. Wage Rate Calculations'!$A$19:$Z$288,22,FALSE)</f>
        <v>64.239999999999995</v>
      </c>
      <c r="F15" s="184">
        <v>5</v>
      </c>
      <c r="G15" s="179">
        <f>VLOOKUP($B$11:$B$38,'Constr. Wage Rate Calculations'!$A$19:$Z$288,23,FALSE)</f>
        <v>96.36</v>
      </c>
      <c r="H15" s="184"/>
      <c r="I15" s="179">
        <f>VLOOKUP($B$11:$B$38,'Constr. Wage Rate Calculations'!$A$19:$Z$288,24,FALSE)</f>
        <v>128.47</v>
      </c>
      <c r="J15" s="20">
        <f>VLOOKUP($B$11:$B$38,'Constr. Wage Rate Calculations'!$A$19:$Z$288,25,FALSE)</f>
        <v>85</v>
      </c>
      <c r="K15" s="179">
        <f t="shared" si="0"/>
        <v>1080.72</v>
      </c>
      <c r="M15" s="1">
        <v>1</v>
      </c>
    </row>
    <row r="16" spans="1:13" ht="15" customHeight="1">
      <c r="A16" s="48"/>
      <c r="B16" s="49" t="str">
        <f>VLOOKUP($C$11:$C$38,Personnel!$A$1:$B$1234,2,FALSE)</f>
        <v>PRINCIPAL OPER 1</v>
      </c>
      <c r="C16" s="36" t="s">
        <v>2901</v>
      </c>
      <c r="D16" s="184">
        <v>8</v>
      </c>
      <c r="E16" s="179">
        <f>VLOOKUP($B$11:$B$38,'Constr. Wage Rate Calculations'!$A$19:$Z$288,22,FALSE)</f>
        <v>64.239999999999995</v>
      </c>
      <c r="F16" s="184">
        <v>5</v>
      </c>
      <c r="G16" s="179">
        <f>VLOOKUP($B$11:$B$38,'Constr. Wage Rate Calculations'!$A$19:$Z$288,23,FALSE)</f>
        <v>96.36</v>
      </c>
      <c r="H16" s="184"/>
      <c r="I16" s="179">
        <f>VLOOKUP($B$11:$B$38,'Constr. Wage Rate Calculations'!$A$19:$Z$288,24,FALSE)</f>
        <v>128.47</v>
      </c>
      <c r="J16" s="20">
        <f>VLOOKUP($B$11:$B$38,'Constr. Wage Rate Calculations'!$A$19:$Z$288,25,FALSE)</f>
        <v>85</v>
      </c>
      <c r="K16" s="179">
        <f t="shared" si="0"/>
        <v>1080.72</v>
      </c>
      <c r="M16" s="1">
        <v>1</v>
      </c>
    </row>
    <row r="17" spans="1:13" ht="15" customHeight="1">
      <c r="A17" s="48"/>
      <c r="B17" s="49" t="str">
        <f>VLOOKUP($C$11:$C$38,Personnel!$A$1:$B$1234,2,FALSE)</f>
        <v>GENERAL LABOURER</v>
      </c>
      <c r="C17" s="36" t="s">
        <v>2930</v>
      </c>
      <c r="D17" s="184">
        <v>8</v>
      </c>
      <c r="E17" s="179">
        <f>VLOOKUP($B$11:$B$38,'Constr. Wage Rate Calculations'!$A$19:$Z$288,22,FALSE)</f>
        <v>48.1</v>
      </c>
      <c r="F17" s="184">
        <v>6</v>
      </c>
      <c r="G17" s="179">
        <f>VLOOKUP($B$11:$B$38,'Constr. Wage Rate Calculations'!$A$19:$Z$288,23,FALSE)</f>
        <v>72.150000000000006</v>
      </c>
      <c r="H17" s="184"/>
      <c r="I17" s="179">
        <f>VLOOKUP($B$11:$B$38,'Constr. Wage Rate Calculations'!$A$19:$Z$288,24,FALSE)</f>
        <v>96.2</v>
      </c>
      <c r="J17" s="20">
        <f>VLOOKUP($B$11:$B$38,'Constr. Wage Rate Calculations'!$A$19:$Z$288,25,FALSE)</f>
        <v>85</v>
      </c>
      <c r="K17" s="179">
        <f t="shared" si="0"/>
        <v>902.7</v>
      </c>
      <c r="M17" s="1">
        <v>2</v>
      </c>
    </row>
    <row r="18" spans="1:13" ht="15" customHeight="1">
      <c r="A18" s="48"/>
      <c r="B18" s="49" t="str">
        <f>VLOOKUP($C$11:$C$38,Personnel!$A$1:$B$1234,2,FALSE)</f>
        <v>GENERAL LABOURER</v>
      </c>
      <c r="C18" s="36" t="s">
        <v>4174</v>
      </c>
      <c r="D18" s="184">
        <v>8</v>
      </c>
      <c r="E18" s="179">
        <f>VLOOKUP($B$11:$B$38,'Constr. Wage Rate Calculations'!$A$19:$Z$288,22,FALSE)</f>
        <v>48.1</v>
      </c>
      <c r="F18" s="184">
        <v>5</v>
      </c>
      <c r="G18" s="179">
        <f>VLOOKUP($B$11:$B$38,'Constr. Wage Rate Calculations'!$A$19:$Z$288,23,FALSE)</f>
        <v>72.150000000000006</v>
      </c>
      <c r="H18" s="184"/>
      <c r="I18" s="179">
        <f>VLOOKUP($B$11:$B$38,'Constr. Wage Rate Calculations'!$A$19:$Z$288,24,FALSE)</f>
        <v>96.2</v>
      </c>
      <c r="J18" s="20">
        <f>VLOOKUP($B$11:$B$38,'Constr. Wage Rate Calculations'!$A$19:$Z$288,25,FALSE)</f>
        <v>85</v>
      </c>
      <c r="K18" s="179">
        <f t="shared" si="0"/>
        <v>830.55</v>
      </c>
      <c r="M18" s="1">
        <v>1</v>
      </c>
    </row>
    <row r="19" spans="1:13" ht="15" customHeight="1">
      <c r="A19" s="48"/>
      <c r="B19" s="49" t="str">
        <f>VLOOKUP($C$11:$C$38,Personnel!$A$1:$B$1234,2,FALSE)</f>
        <v>WELDER HELPER</v>
      </c>
      <c r="C19" s="36" t="s">
        <v>1035</v>
      </c>
      <c r="D19" s="184">
        <v>8</v>
      </c>
      <c r="E19" s="179">
        <f>VLOOKUP($B$11:$B$38,'Constr. Wage Rate Calculations'!$A$19:$Z$288,22,FALSE)</f>
        <v>53.52</v>
      </c>
      <c r="F19" s="184">
        <v>5</v>
      </c>
      <c r="G19" s="179">
        <f>VLOOKUP($B$11:$B$38,'Constr. Wage Rate Calculations'!$A$19:$Z$288,23,FALSE)</f>
        <v>80.290000000000006</v>
      </c>
      <c r="H19" s="184"/>
      <c r="I19" s="179">
        <f>VLOOKUP($B$11:$B$38,'Constr. Wage Rate Calculations'!$A$19:$Z$288,24,FALSE)</f>
        <v>107.05</v>
      </c>
      <c r="J19" s="20">
        <f>VLOOKUP($B$11:$B$38,'Constr. Wage Rate Calculations'!$A$19:$Z$288,25,FALSE)</f>
        <v>85</v>
      </c>
      <c r="K19" s="179">
        <f t="shared" si="0"/>
        <v>914.61000000000013</v>
      </c>
      <c r="M19" s="1">
        <v>1</v>
      </c>
    </row>
    <row r="20" spans="1:13" ht="15" customHeight="1">
      <c r="A20" s="48"/>
      <c r="B20" s="49" t="str">
        <f>VLOOKUP($C$11:$C$38,Personnel!$A$1:$B$1234,2,FALSE)</f>
        <v>FRONT-END/TIE-IN WELDER  ON STICK WELD SPREAD (QI APPLIES)</v>
      </c>
      <c r="C20" s="36" t="s">
        <v>1063</v>
      </c>
      <c r="D20" s="184">
        <v>8</v>
      </c>
      <c r="E20" s="179">
        <f>VLOOKUP($B$11:$B$38,'Constr. Wage Rate Calculations'!$A$19:$Z$288,22,FALSE)</f>
        <v>82.2</v>
      </c>
      <c r="F20" s="184">
        <v>5</v>
      </c>
      <c r="G20" s="179">
        <f>VLOOKUP($B$11:$B$38,'Constr. Wage Rate Calculations'!$A$19:$Z$288,23,FALSE)</f>
        <v>123.3</v>
      </c>
      <c r="H20" s="184"/>
      <c r="I20" s="179">
        <f>VLOOKUP($B$11:$B$38,'Constr. Wage Rate Calculations'!$A$19:$Z$288,24,FALSE)</f>
        <v>164.4</v>
      </c>
      <c r="J20" s="20">
        <f>VLOOKUP($B$11:$B$38,'Constr. Wage Rate Calculations'!$A$19:$Z$288,25,FALSE)</f>
        <v>85</v>
      </c>
      <c r="K20" s="179">
        <f t="shared" si="0"/>
        <v>1359.1</v>
      </c>
      <c r="M20" s="1">
        <v>1</v>
      </c>
    </row>
    <row r="21" spans="1:13" ht="15" customHeight="1">
      <c r="A21" s="48"/>
      <c r="B21" s="49" t="str">
        <f>VLOOKUP($C$11:$C$38,Personnel!$A$1:$B$1234,2,FALSE)</f>
        <v>GENERAL LABOURER</v>
      </c>
      <c r="C21" s="36" t="s">
        <v>1507</v>
      </c>
      <c r="D21" s="184">
        <v>8</v>
      </c>
      <c r="E21" s="179">
        <f>VLOOKUP($B$11:$B$38,'Constr. Wage Rate Calculations'!$A$19:$Z$288,22,FALSE)</f>
        <v>48.1</v>
      </c>
      <c r="F21" s="184">
        <v>5</v>
      </c>
      <c r="G21" s="179">
        <f>VLOOKUP($B$11:$B$38,'Constr. Wage Rate Calculations'!$A$19:$Z$288,23,FALSE)</f>
        <v>72.150000000000006</v>
      </c>
      <c r="H21" s="184"/>
      <c r="I21" s="179">
        <f>VLOOKUP($B$11:$B$38,'Constr. Wage Rate Calculations'!$A$19:$Z$288,24,FALSE)</f>
        <v>96.2</v>
      </c>
      <c r="J21" s="20">
        <f>VLOOKUP($B$11:$B$38,'Constr. Wage Rate Calculations'!$A$19:$Z$288,25,FALSE)</f>
        <v>85</v>
      </c>
      <c r="K21" s="179">
        <f t="shared" si="0"/>
        <v>830.55</v>
      </c>
      <c r="M21" s="1">
        <v>1</v>
      </c>
    </row>
    <row r="22" spans="1:13" ht="15" customHeight="1">
      <c r="A22" s="48"/>
      <c r="B22" s="49" t="str">
        <f>VLOOKUP($C$11:$C$38,Personnel!$A$1:$B$1234,2,FALSE)</f>
        <v>WELDER HELPER</v>
      </c>
      <c r="C22" s="36" t="s">
        <v>1601</v>
      </c>
      <c r="D22" s="184">
        <v>8</v>
      </c>
      <c r="E22" s="179">
        <f>VLOOKUP($B$11:$B$38,'Constr. Wage Rate Calculations'!$A$19:$Z$288,22,FALSE)</f>
        <v>53.52</v>
      </c>
      <c r="F22" s="184">
        <v>5</v>
      </c>
      <c r="G22" s="179">
        <f>VLOOKUP($B$11:$B$38,'Constr. Wage Rate Calculations'!$A$19:$Z$288,23,FALSE)</f>
        <v>80.290000000000006</v>
      </c>
      <c r="H22" s="184"/>
      <c r="I22" s="179">
        <f>VLOOKUP($B$11:$B$38,'Constr. Wage Rate Calculations'!$A$19:$Z$288,24,FALSE)</f>
        <v>107.05</v>
      </c>
      <c r="J22" s="20">
        <f>VLOOKUP($B$11:$B$38,'Constr. Wage Rate Calculations'!$A$19:$Z$288,25,FALSE)</f>
        <v>85</v>
      </c>
      <c r="K22" s="179">
        <f t="shared" si="0"/>
        <v>914.61000000000013</v>
      </c>
      <c r="M22" s="1">
        <v>1</v>
      </c>
    </row>
    <row r="23" spans="1:13" ht="15" customHeight="1">
      <c r="A23" s="48"/>
      <c r="B23" s="49" t="str">
        <f>VLOOKUP($C$11:$C$38,Personnel!$A$1:$B$1234,2,FALSE)</f>
        <v>UA TIE-IN FOREMAN</v>
      </c>
      <c r="C23" s="36" t="s">
        <v>1150</v>
      </c>
      <c r="D23" s="184">
        <v>1</v>
      </c>
      <c r="E23" s="179">
        <f>VLOOKUP($B$11:$B$38,'Constr. Wage Rate Calculations'!$A$19:$Z$288,22,FALSE)</f>
        <v>1952.31</v>
      </c>
      <c r="F23" s="184">
        <v>9</v>
      </c>
      <c r="G23" s="179">
        <f>VLOOKUP($B$11:$B$38,'Constr. Wage Rate Calculations'!$A$19:$Z$288,23,FALSE)</f>
        <v>0</v>
      </c>
      <c r="H23" s="184"/>
      <c r="I23" s="179">
        <f>VLOOKUP($B$11:$B$38,'Constr. Wage Rate Calculations'!$A$19:$Z$288,24,FALSE)</f>
        <v>0</v>
      </c>
      <c r="J23" s="20">
        <f>VLOOKUP($B$11:$B$38,'Constr. Wage Rate Calculations'!$A$19:$Z$288,25,FALSE)</f>
        <v>230</v>
      </c>
      <c r="K23" s="179">
        <f t="shared" si="0"/>
        <v>2182.31</v>
      </c>
    </row>
    <row r="24" spans="1:13" ht="15" customHeight="1">
      <c r="A24" s="48"/>
      <c r="B24" s="49" t="str">
        <f>VLOOKUP($C$11:$C$38,Personnel!$A$1:$B$1234,2,FALSE)</f>
        <v>GENERAL LABOURER</v>
      </c>
      <c r="C24" s="36" t="s">
        <v>3135</v>
      </c>
      <c r="D24" s="184">
        <v>8</v>
      </c>
      <c r="E24" s="179">
        <f>VLOOKUP($B$11:$B$38,'Constr. Wage Rate Calculations'!$A$19:$Z$288,22,FALSE)</f>
        <v>48.1</v>
      </c>
      <c r="F24" s="184">
        <v>2</v>
      </c>
      <c r="G24" s="179">
        <f>VLOOKUP($B$11:$B$38,'Constr. Wage Rate Calculations'!$A$19:$Z$288,23,FALSE)</f>
        <v>72.150000000000006</v>
      </c>
      <c r="H24" s="184"/>
      <c r="I24" s="179">
        <f>VLOOKUP($B$11:$B$38,'Constr. Wage Rate Calculations'!$A$19:$Z$288,24,FALSE)</f>
        <v>96.2</v>
      </c>
      <c r="J24" s="20">
        <f>VLOOKUP($B$11:$B$38,'Constr. Wage Rate Calculations'!$A$19:$Z$288,25,FALSE)</f>
        <v>85</v>
      </c>
      <c r="K24" s="179">
        <f t="shared" si="0"/>
        <v>614.1</v>
      </c>
    </row>
    <row r="25" spans="1:13" ht="15" customHeight="1">
      <c r="A25" s="48"/>
      <c r="B25" s="49" t="str">
        <f>VLOOKUP($C$11:$C$38,Personnel!$A$1:$B$1234,2,FALSE)</f>
        <v>APPRENTICE OPER/OILER</v>
      </c>
      <c r="C25" s="36" t="s">
        <v>3348</v>
      </c>
      <c r="D25" s="184">
        <v>8</v>
      </c>
      <c r="E25" s="179">
        <f>VLOOKUP($B$11:$B$38,'Constr. Wage Rate Calculations'!$A$19:$Z$288,22,FALSE)</f>
        <v>49.44</v>
      </c>
      <c r="F25" s="184">
        <v>2</v>
      </c>
      <c r="G25" s="179">
        <f>VLOOKUP($B$11:$B$38,'Constr. Wage Rate Calculations'!$A$19:$Z$288,23,FALSE)</f>
        <v>74.16</v>
      </c>
      <c r="H25" s="184"/>
      <c r="I25" s="179">
        <f>VLOOKUP($B$11:$B$38,'Constr. Wage Rate Calculations'!$A$19:$Z$288,24,FALSE)</f>
        <v>98.89</v>
      </c>
      <c r="J25" s="20">
        <f>VLOOKUP($B$11:$B$38,'Constr. Wage Rate Calculations'!$A$19:$Z$288,25,FALSE)</f>
        <v>85</v>
      </c>
      <c r="K25" s="179">
        <f t="shared" si="0"/>
        <v>628.83999999999992</v>
      </c>
    </row>
    <row r="26" spans="1:13" ht="15" customHeight="1">
      <c r="A26" s="48"/>
      <c r="B26" s="49">
        <f>VLOOKUP($C$11:$C$38,Personnel!$A$1:$B$1234,2,FALSE)</f>
        <v>0</v>
      </c>
      <c r="C26" s="36"/>
      <c r="D26" s="184"/>
      <c r="E26" s="179">
        <f>VLOOKUP($B$11:$B$38,'Constr. Wage Rate Calculations'!$A$19:$Z$288,22,FALSE)</f>
        <v>0</v>
      </c>
      <c r="F26" s="184"/>
      <c r="G26" s="179">
        <f>VLOOKUP($B$11:$B$38,'Constr. Wage Rate Calculations'!$A$19:$Z$288,23,FALSE)</f>
        <v>0</v>
      </c>
      <c r="H26" s="184"/>
      <c r="I26" s="179">
        <f>VLOOKUP($B$11:$B$38,'Constr. Wage Rate Calculations'!$A$19:$Z$288,24,FALSE)</f>
        <v>0</v>
      </c>
      <c r="J26" s="20">
        <f>VLOOKUP($B$11:$B$38,'Constr. Wage Rate Calculations'!$A$19:$Z$288,25,FALSE)</f>
        <v>0</v>
      </c>
      <c r="K26" s="179" t="str">
        <f t="shared" si="0"/>
        <v/>
      </c>
    </row>
    <row r="27" spans="1:13" ht="15" customHeight="1">
      <c r="A27" s="48"/>
      <c r="B27" s="49">
        <f>VLOOKUP($C$11:$C$38,Personnel!$A$1:$B$1234,2,FALSE)</f>
        <v>0</v>
      </c>
      <c r="C27" s="36"/>
      <c r="D27" s="184"/>
      <c r="E27" s="179">
        <f>VLOOKUP($B$11:$B$38,'Constr. Wage Rate Calculations'!$A$19:$Z$288,22,FALSE)</f>
        <v>0</v>
      </c>
      <c r="F27" s="184"/>
      <c r="G27" s="179">
        <f>VLOOKUP($B$11:$B$38,'Constr. Wage Rate Calculations'!$A$19:$Z$288,23,FALSE)</f>
        <v>0</v>
      </c>
      <c r="H27" s="184"/>
      <c r="I27" s="179">
        <f>VLOOKUP($B$11:$B$38,'Constr. Wage Rate Calculations'!$A$19:$Z$288,24,FALSE)</f>
        <v>0</v>
      </c>
      <c r="J27" s="20">
        <f>VLOOKUP($B$11:$B$38,'Constr. Wage Rate Calculations'!$A$19:$Z$288,25,FALSE)</f>
        <v>0</v>
      </c>
      <c r="K27" s="179" t="str">
        <f t="shared" si="0"/>
        <v/>
      </c>
    </row>
    <row r="28" spans="1:13" ht="15" customHeight="1">
      <c r="A28" s="48"/>
      <c r="B28" s="49">
        <f>VLOOKUP($C$11:$C$38,Personnel!$A$1:$B$1234,2,FALSE)</f>
        <v>0</v>
      </c>
      <c r="C28" s="36"/>
      <c r="D28" s="184"/>
      <c r="E28" s="179">
        <f>VLOOKUP($B$11:$B$38,'Constr. Wage Rate Calculations'!$A$19:$Z$288,22,FALSE)</f>
        <v>0</v>
      </c>
      <c r="F28" s="184"/>
      <c r="G28" s="179">
        <f>VLOOKUP($B$11:$B$38,'Constr. Wage Rate Calculations'!$A$19:$Z$288,23,FALSE)</f>
        <v>0</v>
      </c>
      <c r="H28" s="184"/>
      <c r="I28" s="179">
        <f>VLOOKUP($B$11:$B$38,'Constr. Wage Rate Calculations'!$A$19:$Z$288,24,FALSE)</f>
        <v>0</v>
      </c>
      <c r="J28" s="20">
        <f>VLOOKUP($B$11:$B$38,'Constr. Wage Rate Calculations'!$A$19:$Z$288,25,FALSE)</f>
        <v>0</v>
      </c>
      <c r="K28" s="179" t="str">
        <f t="shared" si="0"/>
        <v/>
      </c>
    </row>
    <row r="29" spans="1:13" ht="15" customHeight="1">
      <c r="A29" s="48"/>
      <c r="B29" s="49">
        <f>VLOOKUP($C$11:$C$38,Personnel!$A$1:$B$1234,2,FALSE)</f>
        <v>0</v>
      </c>
      <c r="C29" s="36"/>
      <c r="D29" s="184"/>
      <c r="E29" s="179">
        <f>VLOOKUP($B$11:$B$38,'Constr. Wage Rate Calculations'!$A$19:$Z$288,22,FALSE)</f>
        <v>0</v>
      </c>
      <c r="F29" s="184"/>
      <c r="G29" s="179">
        <f>VLOOKUP($B$11:$B$38,'Constr. Wage Rate Calculations'!$A$19:$Z$288,23,FALSE)</f>
        <v>0</v>
      </c>
      <c r="H29" s="184"/>
      <c r="I29" s="179">
        <f>VLOOKUP($B$11:$B$38,'Constr. Wage Rate Calculations'!$A$19:$Z$288,24,FALSE)</f>
        <v>0</v>
      </c>
      <c r="J29" s="20">
        <f>VLOOKUP($B$11:$B$38,'Constr. Wage Rate Calculations'!$A$19:$Z$288,25,FALSE)</f>
        <v>0</v>
      </c>
      <c r="K29" s="179" t="str">
        <f t="shared" si="0"/>
        <v/>
      </c>
    </row>
    <row r="30" spans="1:13" ht="15" customHeight="1">
      <c r="A30" s="48"/>
      <c r="B30" s="49">
        <f>VLOOKUP($C$11:$C$38,Personnel!$A$1:$B$1234,2,FALSE)</f>
        <v>0</v>
      </c>
      <c r="C30" s="36"/>
      <c r="D30" s="184"/>
      <c r="E30" s="179">
        <f>VLOOKUP($B$11:$B$38,'Constr. Wage Rate Calculations'!$A$19:$Z$288,22,FALSE)</f>
        <v>0</v>
      </c>
      <c r="F30" s="184"/>
      <c r="G30" s="179">
        <f>VLOOKUP($B$11:$B$38,'Constr. Wage Rate Calculations'!$A$19:$Z$288,23,FALSE)</f>
        <v>0</v>
      </c>
      <c r="H30" s="184"/>
      <c r="I30" s="179">
        <f>VLOOKUP($B$11:$B$38,'Constr. Wage Rate Calculations'!$A$19:$Z$288,24,FALSE)</f>
        <v>0</v>
      </c>
      <c r="J30" s="20">
        <f>VLOOKUP($B$11:$B$38,'Constr. Wage Rate Calculations'!$A$19:$Z$288,25,FALSE)</f>
        <v>0</v>
      </c>
      <c r="K30" s="179" t="str">
        <f t="shared" ref="K30:K37" si="1">IF($D30&gt;=1,$J30+(D30*E30)+(F30*G30)+(H30*I30),IF($F30&gt;=1,$J30+(D30*E30)+(F30*G30)+(H30*I30),IF($H30&gt;=1,$J30+(D30*E30)+(F30*G30)+(H30*I30),"")))</f>
        <v/>
      </c>
    </row>
    <row r="31" spans="1:13" ht="15" customHeight="1">
      <c r="A31" s="48"/>
      <c r="B31" s="49">
        <f>VLOOKUP($C$11:$C$38,Personnel!$A$1:$B$1234,2,FALSE)</f>
        <v>0</v>
      </c>
      <c r="C31" s="36"/>
      <c r="D31" s="184"/>
      <c r="E31" s="179">
        <f>VLOOKUP($B$11:$B$38,'Constr. Wage Rate Calculations'!$A$19:$Z$288,22,FALSE)</f>
        <v>0</v>
      </c>
      <c r="F31" s="184"/>
      <c r="G31" s="179">
        <f>VLOOKUP($B$11:$B$38,'Constr. Wage Rate Calculations'!$A$19:$Z$288,23,FALSE)</f>
        <v>0</v>
      </c>
      <c r="H31" s="184"/>
      <c r="I31" s="179">
        <f>VLOOKUP($B$11:$B$38,'Constr. Wage Rate Calculations'!$A$19:$Z$288,24,FALSE)</f>
        <v>0</v>
      </c>
      <c r="J31" s="20">
        <f>VLOOKUP($B$11:$B$38,'Constr. Wage Rate Calculations'!$A$19:$Z$288,25,FALSE)</f>
        <v>0</v>
      </c>
      <c r="K31" s="179" t="str">
        <f>IF($D31&gt;=1,$J31+(D31*E31)+(F31*G31)+(H31*I31),IF($F31&gt;=1,$J31+(D31*E31)+(F31*G31)+(H31*I31),IF($H31&gt;=1,$J31+(D31*E31)+(F31*G31)+(H31*I31),"")))</f>
        <v/>
      </c>
    </row>
    <row r="32" spans="1:13" ht="15" customHeight="1">
      <c r="A32" s="48"/>
      <c r="B32" s="49">
        <f>VLOOKUP($C$11:$C$38,Personnel!$A$1:$B$1234,2,FALSE)</f>
        <v>0</v>
      </c>
      <c r="C32" s="36"/>
      <c r="D32" s="184"/>
      <c r="E32" s="179">
        <f>VLOOKUP($B$11:$B$38,'Constr. Wage Rate Calculations'!$A$19:$Z$288,22,FALSE)</f>
        <v>0</v>
      </c>
      <c r="F32" s="184"/>
      <c r="G32" s="179">
        <f>VLOOKUP($B$11:$B$38,'Constr. Wage Rate Calculations'!$A$19:$Z$288,23,FALSE)</f>
        <v>0</v>
      </c>
      <c r="H32" s="184"/>
      <c r="I32" s="179">
        <f>VLOOKUP($B$11:$B$38,'Constr. Wage Rate Calculations'!$A$19:$Z$288,24,FALSE)</f>
        <v>0</v>
      </c>
      <c r="J32" s="20">
        <f>VLOOKUP($B$11:$B$38,'Constr. Wage Rate Calculations'!$A$19:$Z$288,25,FALSE)</f>
        <v>0</v>
      </c>
      <c r="K32" s="179" t="str">
        <f t="shared" si="1"/>
        <v/>
      </c>
    </row>
    <row r="33" spans="1:15" ht="15" customHeight="1">
      <c r="A33" s="48"/>
      <c r="B33" s="49">
        <f>VLOOKUP($C$11:$C$38,Personnel!$A$1:$B$1234,2,FALSE)</f>
        <v>0</v>
      </c>
      <c r="C33" s="36"/>
      <c r="D33" s="184"/>
      <c r="E33" s="179">
        <f>VLOOKUP($B$11:$B$38,'Constr. Wage Rate Calculations'!$A$19:$Z$288,22,FALSE)</f>
        <v>0</v>
      </c>
      <c r="F33" s="184"/>
      <c r="G33" s="179">
        <f>VLOOKUP($B$11:$B$38,'Constr. Wage Rate Calculations'!$A$19:$Z$288,23,FALSE)</f>
        <v>0</v>
      </c>
      <c r="H33" s="184"/>
      <c r="I33" s="179">
        <f>VLOOKUP($B$11:$B$38,'Constr. Wage Rate Calculations'!$A$19:$Z$288,24,FALSE)</f>
        <v>0</v>
      </c>
      <c r="J33" s="20">
        <f>VLOOKUP($B$11:$B$38,'Constr. Wage Rate Calculations'!$A$19:$Z$288,25,FALSE)</f>
        <v>0</v>
      </c>
      <c r="K33" s="179" t="str">
        <f t="shared" si="1"/>
        <v/>
      </c>
    </row>
    <row r="34" spans="1:15" ht="15" customHeight="1">
      <c r="A34" s="48"/>
      <c r="B34" s="49">
        <f>VLOOKUP($C$11:$C$38,Personnel!$A$1:$B$1234,2,FALSE)</f>
        <v>0</v>
      </c>
      <c r="C34" s="36"/>
      <c r="D34" s="184"/>
      <c r="E34" s="179">
        <f>VLOOKUP($B$11:$B$38,'Constr. Wage Rate Calculations'!$A$19:$Z$288,22,FALSE)</f>
        <v>0</v>
      </c>
      <c r="F34" s="184"/>
      <c r="G34" s="179">
        <f>VLOOKUP($B$11:$B$38,'Constr. Wage Rate Calculations'!$A$19:$Z$288,23,FALSE)</f>
        <v>0</v>
      </c>
      <c r="H34" s="184"/>
      <c r="I34" s="179">
        <f>VLOOKUP($B$11:$B$38,'Constr. Wage Rate Calculations'!$A$19:$Z$288,24,FALSE)</f>
        <v>0</v>
      </c>
      <c r="J34" s="20">
        <f>VLOOKUP($B$11:$B$38,'Constr. Wage Rate Calculations'!$A$19:$Z$288,25,FALSE)</f>
        <v>0</v>
      </c>
      <c r="K34" s="179" t="str">
        <f t="shared" si="1"/>
        <v/>
      </c>
    </row>
    <row r="35" spans="1:15" ht="15" customHeight="1">
      <c r="A35" s="48"/>
      <c r="B35" s="49">
        <f>VLOOKUP($C$11:$C$38,Personnel!$A$1:$B$1234,2,FALSE)</f>
        <v>0</v>
      </c>
      <c r="C35" s="36"/>
      <c r="D35" s="184"/>
      <c r="E35" s="179">
        <f>VLOOKUP($B$11:$B$38,'Constr. Wage Rate Calculations'!$A$19:$Z$288,22,FALSE)</f>
        <v>0</v>
      </c>
      <c r="F35" s="184"/>
      <c r="G35" s="179">
        <f>VLOOKUP($B$11:$B$38,'Constr. Wage Rate Calculations'!$A$19:$Z$288,23,FALSE)</f>
        <v>0</v>
      </c>
      <c r="H35" s="184"/>
      <c r="I35" s="179">
        <f>VLOOKUP($B$11:$B$38,'Constr. Wage Rate Calculations'!$A$19:$Z$288,24,FALSE)</f>
        <v>0</v>
      </c>
      <c r="J35" s="20">
        <f>VLOOKUP($B$11:$B$38,'Constr. Wage Rate Calculations'!$A$19:$Z$288,25,FALSE)</f>
        <v>0</v>
      </c>
      <c r="K35" s="179" t="str">
        <f t="shared" si="1"/>
        <v/>
      </c>
    </row>
    <row r="36" spans="1:15" ht="15" customHeight="1">
      <c r="A36" s="48"/>
      <c r="B36" s="49">
        <f>VLOOKUP($C$11:$C$38,Personnel!$A$1:$B$1234,2,FALSE)</f>
        <v>0</v>
      </c>
      <c r="C36" s="36"/>
      <c r="D36" s="184"/>
      <c r="E36" s="179">
        <f>VLOOKUP($B$11:$B$38,'Constr. Wage Rate Calculations'!$A$19:$Z$288,22,FALSE)</f>
        <v>0</v>
      </c>
      <c r="F36" s="184"/>
      <c r="G36" s="179">
        <f>VLOOKUP($B$11:$B$38,'Constr. Wage Rate Calculations'!$A$19:$Z$288,23,FALSE)</f>
        <v>0</v>
      </c>
      <c r="H36" s="184"/>
      <c r="I36" s="179">
        <f>VLOOKUP($B$11:$B$38,'Constr. Wage Rate Calculations'!$A$19:$Z$288,24,FALSE)</f>
        <v>0</v>
      </c>
      <c r="J36" s="20">
        <f>VLOOKUP($B$11:$B$38,'Constr. Wage Rate Calculations'!$A$19:$Z$288,25,FALSE)</f>
        <v>0</v>
      </c>
      <c r="K36" s="179" t="str">
        <f t="shared" si="1"/>
        <v/>
      </c>
    </row>
    <row r="37" spans="1:15" ht="15" customHeight="1">
      <c r="A37" s="48"/>
      <c r="B37" s="49">
        <f>VLOOKUP($C$11:$C$38,Personnel!$A$1:$B$1234,2,FALSE)</f>
        <v>0</v>
      </c>
      <c r="C37" s="36"/>
      <c r="D37" s="184"/>
      <c r="E37" s="179">
        <f>VLOOKUP($B$11:$B$38,'Constr. Wage Rate Calculations'!$A$19:$Z$288,22,FALSE)</f>
        <v>0</v>
      </c>
      <c r="F37" s="184"/>
      <c r="G37" s="179">
        <f>VLOOKUP($B$11:$B$38,'Constr. Wage Rate Calculations'!$A$19:$Z$288,23,FALSE)</f>
        <v>0</v>
      </c>
      <c r="H37" s="184"/>
      <c r="I37" s="179">
        <f>VLOOKUP($B$11:$B$38,'Constr. Wage Rate Calculations'!$A$19:$Z$288,24,FALSE)</f>
        <v>0</v>
      </c>
      <c r="J37" s="20">
        <f>VLOOKUP($B$11:$B$38,'Constr. Wage Rate Calculations'!$A$19:$Z$288,25,FALSE)</f>
        <v>0</v>
      </c>
      <c r="K37" s="179" t="str">
        <f t="shared" si="1"/>
        <v/>
      </c>
    </row>
    <row r="38" spans="1:15" ht="15" customHeight="1" thickBot="1">
      <c r="A38" s="48"/>
      <c r="B38" s="49">
        <f>VLOOKUP($C$11:$C$38,Personnel!$A$1:$B$1234,2,FALSE)</f>
        <v>0</v>
      </c>
      <c r="C38" s="36"/>
      <c r="D38" s="184"/>
      <c r="E38" s="179">
        <f>VLOOKUP($B$11:$B$38,'Constr. Wage Rate Calculations'!$A$19:$Z$288,22,FALSE)</f>
        <v>0</v>
      </c>
      <c r="F38" s="184"/>
      <c r="G38" s="179">
        <f>VLOOKUP($B$11:$B$38,'Constr. Wage Rate Calculations'!$A$19:$Z$288,23,FALSE)</f>
        <v>0</v>
      </c>
      <c r="H38" s="184"/>
      <c r="I38" s="179">
        <f>VLOOKUP($B$11:$B$38,'Constr. Wage Rate Calculations'!$A$19:$Z$288,24,FALSE)</f>
        <v>0</v>
      </c>
      <c r="J38" s="20">
        <f>VLOOKUP($B$11:$B$38,'Constr. Wage Rate Calculations'!$A$19:$Z$288,25,FALSE)</f>
        <v>0</v>
      </c>
      <c r="K38" s="179" t="str">
        <f>IF($D38&gt;=1,$J38+(D38*E38)+(F38*G38)+(H38*I38),IF($F38&gt;=1,$J38+(D38*E38)+(F38*G38)+(H38*I38),IF($H38&gt;=1,$J38+(D38*E38)+(F38*G38)+(H38*I38),"")))</f>
        <v/>
      </c>
      <c r="M38" s="1">
        <f>SUM(M11:M35)</f>
        <v>14</v>
      </c>
    </row>
    <row r="39" spans="1:15" ht="15" customHeight="1" thickBot="1">
      <c r="A39"/>
      <c r="B39"/>
      <c r="C39"/>
      <c r="D39" s="21"/>
      <c r="E39" s="21"/>
      <c r="F39" s="21"/>
      <c r="G39" s="21"/>
      <c r="H39" s="21"/>
      <c r="I39" s="360" t="s">
        <v>18</v>
      </c>
      <c r="J39" s="361"/>
      <c r="K39" s="183">
        <f>SUM(K11:K38)</f>
        <v>15395.58</v>
      </c>
      <c r="M39" s="1">
        <f>SUMIFS(D11:D38,D11:D38,"&lt;3",D11:D38,"&lt;5")</f>
        <v>1</v>
      </c>
      <c r="N39" s="1">
        <f>SUMIFS(D11:D38,D11:D38,"&gt;3",D11:D38,"&gt;5")</f>
        <v>104</v>
      </c>
      <c r="O39" s="1">
        <f>SUM(F11:F38,H11:H38,M39,N39)-M38</f>
        <v>162</v>
      </c>
    </row>
    <row r="40" spans="1:15" ht="10" customHeight="1" thickBot="1"/>
    <row r="41" spans="1:15" s="19" customFormat="1" ht="15" customHeight="1" thickBot="1">
      <c r="A41" s="22" t="s">
        <v>19</v>
      </c>
      <c r="B41" s="23" t="s">
        <v>20</v>
      </c>
      <c r="C41" s="23"/>
      <c r="D41" s="23"/>
      <c r="E41" s="23"/>
      <c r="F41" s="23"/>
      <c r="G41" s="23"/>
      <c r="H41" s="18" t="s">
        <v>21</v>
      </c>
      <c r="I41" s="18" t="s">
        <v>22</v>
      </c>
      <c r="J41" s="18" t="s">
        <v>23</v>
      </c>
      <c r="K41" s="18" t="s">
        <v>17</v>
      </c>
    </row>
    <row r="42" spans="1:15" ht="15" customHeight="1">
      <c r="A42" s="43"/>
      <c r="B42" s="49">
        <f>VLOOKUP($C$42:$C$91,Equipment!$A$1:$B$2322,2,FALSE)</f>
        <v>0</v>
      </c>
      <c r="C42" s="24"/>
      <c r="D42" s="24"/>
      <c r="E42" s="24"/>
      <c r="F42" s="24"/>
      <c r="G42" s="24"/>
      <c r="H42" s="185"/>
      <c r="I42" s="184"/>
      <c r="J42" s="42">
        <f>VLOOKUP($B$42:$B$91,'Alberta Equip. Rates Year 3'!$B$13:$K$314,10,FALSE)</f>
        <v>0</v>
      </c>
      <c r="K42" s="181">
        <f t="shared" ref="K42:K54" si="2">(H42+I42)*J42</f>
        <v>0</v>
      </c>
    </row>
    <row r="43" spans="1:15" ht="15" customHeight="1">
      <c r="A43" s="43"/>
      <c r="B43" s="49" t="str">
        <f>VLOOKUP($C$42:$C$91,Equipment!$A$1:$B$2322,2,FALSE)</f>
        <v>Crewcab - 1 Ton</v>
      </c>
      <c r="C43" s="24" t="s">
        <v>1961</v>
      </c>
      <c r="D43" s="24"/>
      <c r="E43" s="24"/>
      <c r="F43" s="24"/>
      <c r="G43" s="24"/>
      <c r="H43" s="36">
        <v>1</v>
      </c>
      <c r="I43" s="20"/>
      <c r="J43" s="42">
        <f>VLOOKUP($B$42:$B$91,'Alberta Equip. Rates Year 3'!$B$13:$K$314,10,FALSE)</f>
        <v>163</v>
      </c>
      <c r="K43" s="181">
        <f t="shared" si="2"/>
        <v>163</v>
      </c>
    </row>
    <row r="44" spans="1:15" ht="15" customHeight="1">
      <c r="A44" s="43"/>
      <c r="B44" s="49" t="str">
        <f>VLOOKUP($C$42:$C$91,Equipment!$A$1:$B$2322,2,FALSE)</f>
        <v>Crewcab - 3/4 Ton</v>
      </c>
      <c r="C44" s="24" t="s">
        <v>2826</v>
      </c>
      <c r="D44" s="24"/>
      <c r="E44" s="24"/>
      <c r="F44" s="24"/>
      <c r="G44" s="24"/>
      <c r="H44" s="36">
        <v>1</v>
      </c>
      <c r="I44" s="20"/>
      <c r="J44" s="42">
        <f>VLOOKUP($B$42:$B$91,'Alberta Equip. Rates Year 3'!$B$13:$K$314,10,FALSE)</f>
        <v>153</v>
      </c>
      <c r="K44" s="181">
        <f t="shared" si="2"/>
        <v>153</v>
      </c>
    </row>
    <row r="45" spans="1:15" ht="15" customHeight="1">
      <c r="A45" s="43"/>
      <c r="B45" s="49" t="str">
        <f>VLOOKUP($C$42:$C$91,Equipment!$A$1:$B$2322,2,FALSE)</f>
        <v>Crewcab - 3/4 Ton</v>
      </c>
      <c r="C45" s="24" t="s">
        <v>2544</v>
      </c>
      <c r="D45" s="24"/>
      <c r="E45" s="24"/>
      <c r="F45" s="24"/>
      <c r="G45" s="24"/>
      <c r="H45" s="36">
        <v>1</v>
      </c>
      <c r="I45" s="20"/>
      <c r="J45" s="42">
        <f>VLOOKUP($B$42:$B$91,'Alberta Equip. Rates Year 3'!$B$13:$K$314,10,FALSE)</f>
        <v>153</v>
      </c>
      <c r="K45" s="181">
        <f t="shared" si="2"/>
        <v>153</v>
      </c>
    </row>
    <row r="46" spans="1:15" ht="15" customHeight="1">
      <c r="A46" s="43"/>
      <c r="B46" s="49" t="str">
        <f>VLOOKUP($C$42:$C$91,Equipment!$A$1:$B$2322,2,FALSE)</f>
        <v>Sideboom - Cat 587T</v>
      </c>
      <c r="C46" s="24" t="s">
        <v>3140</v>
      </c>
      <c r="D46" s="24"/>
      <c r="E46" s="24"/>
      <c r="F46" s="24"/>
      <c r="G46" s="24"/>
      <c r="H46" s="36">
        <v>1</v>
      </c>
      <c r="I46" s="20"/>
      <c r="J46" s="42">
        <f>VLOOKUP($B$42:$B$91,'Alberta Equip. Rates Year 3'!$B$13:$K$314,10,FALSE)</f>
        <v>1323</v>
      </c>
      <c r="K46" s="181">
        <f>(H46+I46)*J46</f>
        <v>1323</v>
      </c>
    </row>
    <row r="47" spans="1:15" ht="15" customHeight="1">
      <c r="A47" s="43"/>
      <c r="B47" s="49" t="str">
        <f>VLOOKUP($C$42:$C$91,Equipment!$A$1:$B$2322,2,FALSE)</f>
        <v>Sideboom - Cat 594</v>
      </c>
      <c r="C47" s="24" t="s">
        <v>2573</v>
      </c>
      <c r="D47" s="24"/>
      <c r="E47" s="24"/>
      <c r="F47" s="24"/>
      <c r="G47" s="24"/>
      <c r="H47" s="36">
        <v>1</v>
      </c>
      <c r="I47" s="20"/>
      <c r="J47" s="42">
        <f>VLOOKUP($B$42:$B$91,'Alberta Equip. Rates Year 3'!$B$13:$K$314,10,FALSE)</f>
        <v>1323</v>
      </c>
      <c r="K47" s="181">
        <f>(H47+I47)*J47</f>
        <v>1323</v>
      </c>
    </row>
    <row r="48" spans="1:15" ht="15" customHeight="1">
      <c r="A48" s="43"/>
      <c r="B48" s="49" t="str">
        <f>VLOOKUP($C$42:$C$91,Equipment!$A$1:$B$2322,2,FALSE)</f>
        <v>Tag-A-Long Trailer (6 Ton)</v>
      </c>
      <c r="C48" s="24" t="s">
        <v>2582</v>
      </c>
      <c r="D48" s="24"/>
      <c r="E48" s="24"/>
      <c r="F48" s="24"/>
      <c r="G48" s="24"/>
      <c r="H48" s="36">
        <v>1</v>
      </c>
      <c r="I48" s="20"/>
      <c r="J48" s="42">
        <f>VLOOKUP($B$42:$B$91,'Alberta Equip. Rates Year 3'!$B$13:$K$314,10,FALSE)</f>
        <v>96</v>
      </c>
      <c r="K48" s="181">
        <f t="shared" si="2"/>
        <v>96</v>
      </c>
    </row>
    <row r="49" spans="1:11" ht="15" customHeight="1">
      <c r="A49" s="43"/>
      <c r="B49" s="49" t="str">
        <f>VLOOKUP($C$42:$C$91,Equipment!$A$1:$B$2322,2,FALSE)</f>
        <v>Welding Rig</v>
      </c>
      <c r="C49" s="24" t="s">
        <v>4175</v>
      </c>
      <c r="D49" s="24"/>
      <c r="E49" s="24"/>
      <c r="F49" s="24"/>
      <c r="G49" s="24"/>
      <c r="H49" s="36"/>
      <c r="I49" s="20">
        <v>13</v>
      </c>
      <c r="J49" s="42">
        <f>VLOOKUP($B$42:$B$91,'Alberta Equip. Rates Year 3'!$B$13:$K$314,10,FALSE)</f>
        <v>48</v>
      </c>
      <c r="K49" s="181">
        <f t="shared" si="2"/>
        <v>624</v>
      </c>
    </row>
    <row r="50" spans="1:11" ht="15" customHeight="1">
      <c r="A50" s="43"/>
      <c r="B50" s="49" t="str">
        <f>VLOOKUP($C$42:$C$91,Equipment!$A$1:$B$2322,2,FALSE)</f>
        <v>Welding Rig</v>
      </c>
      <c r="C50" s="24" t="s">
        <v>3036</v>
      </c>
      <c r="D50" s="24"/>
      <c r="E50" s="24"/>
      <c r="F50" s="24"/>
      <c r="G50" s="24"/>
      <c r="H50" s="36"/>
      <c r="I50" s="20">
        <v>13</v>
      </c>
      <c r="J50" s="42">
        <f>VLOOKUP($B$42:$B$91,'Alberta Equip. Rates Year 3'!$B$13:$K$314,10,FALSE)</f>
        <v>48</v>
      </c>
      <c r="K50" s="181">
        <f t="shared" si="2"/>
        <v>624</v>
      </c>
    </row>
    <row r="51" spans="1:11" ht="15" customHeight="1">
      <c r="A51" s="43"/>
      <c r="B51" s="49">
        <f>VLOOKUP($C$42:$C$91,Equipment!$A$1:$B$2322,2,FALSE)</f>
        <v>0</v>
      </c>
      <c r="C51" s="24"/>
      <c r="D51" s="24"/>
      <c r="E51" s="24"/>
      <c r="F51" s="24"/>
      <c r="G51" s="24"/>
      <c r="H51" s="36"/>
      <c r="I51" s="20"/>
      <c r="J51" s="42">
        <f>VLOOKUP($B$42:$B$91,'Alberta Equip. Rates Year 3'!$B$13:$K$314,10,FALSE)</f>
        <v>0</v>
      </c>
      <c r="K51" s="181">
        <f t="shared" si="2"/>
        <v>0</v>
      </c>
    </row>
    <row r="52" spans="1:11" ht="15" customHeight="1">
      <c r="A52" s="43"/>
      <c r="B52" s="49">
        <f>VLOOKUP($C$42:$C$91,Equipment!$A$1:$B$2322,2,FALSE)</f>
        <v>0</v>
      </c>
      <c r="C52" s="24"/>
      <c r="D52" s="24"/>
      <c r="E52" s="24"/>
      <c r="F52" s="24"/>
      <c r="G52" s="24"/>
      <c r="H52" s="36"/>
      <c r="I52" s="20"/>
      <c r="J52" s="42">
        <f>VLOOKUP($B$42:$B$91,'Alberta Equip. Rates Year 3'!$B$13:$K$314,10,FALSE)</f>
        <v>0</v>
      </c>
      <c r="K52" s="181">
        <f t="shared" si="2"/>
        <v>0</v>
      </c>
    </row>
    <row r="53" spans="1:11" ht="15" customHeight="1">
      <c r="A53" s="43"/>
      <c r="B53" s="49">
        <f>VLOOKUP($C$42:$C$91,Equipment!$A$1:$B$2322,2,FALSE)</f>
        <v>0</v>
      </c>
      <c r="C53" s="24"/>
      <c r="D53" s="24"/>
      <c r="E53" s="24"/>
      <c r="F53" s="24"/>
      <c r="G53" s="24"/>
      <c r="H53" s="36"/>
      <c r="I53" s="20"/>
      <c r="J53" s="42">
        <f>VLOOKUP($B$42:$B$91,'Alberta Equip. Rates Year 3'!$B$13:$K$314,10,FALSE)</f>
        <v>0</v>
      </c>
      <c r="K53" s="181">
        <f t="shared" si="2"/>
        <v>0</v>
      </c>
    </row>
    <row r="54" spans="1:11" ht="15" customHeight="1">
      <c r="A54" s="43"/>
      <c r="B54" s="49">
        <f>VLOOKUP($C$42:$C$91,Equipment!$A$1:$B$2322,2,FALSE)</f>
        <v>0</v>
      </c>
      <c r="C54" s="24"/>
      <c r="D54" s="24"/>
      <c r="E54" s="24"/>
      <c r="F54" s="24"/>
      <c r="G54" s="24"/>
      <c r="H54" s="185"/>
      <c r="I54" s="184"/>
      <c r="J54" s="42">
        <f>VLOOKUP($B$42:$B$91,'Alberta Equip. Rates Year 3'!$B$13:$K$314,10,FALSE)</f>
        <v>0</v>
      </c>
      <c r="K54" s="181">
        <f t="shared" si="2"/>
        <v>0</v>
      </c>
    </row>
    <row r="55" spans="1:11" ht="15" customHeight="1">
      <c r="A55" s="43"/>
      <c r="B55" s="49">
        <f>VLOOKUP($C$42:$C$91,Equipment!$A$1:$B$2322,2,FALSE)</f>
        <v>0</v>
      </c>
      <c r="C55" s="24"/>
      <c r="D55" s="24"/>
      <c r="E55" s="24"/>
      <c r="F55" s="24"/>
      <c r="G55" s="24"/>
      <c r="H55" s="185"/>
      <c r="I55" s="184"/>
      <c r="J55" s="42">
        <f>VLOOKUP($B$42:$B$91,'Alberta Equip. Rates Year 3'!$B$13:$K$314,10,FALSE)</f>
        <v>0</v>
      </c>
      <c r="K55" s="181">
        <f t="shared" ref="K55:K75" si="3">(H55+I55)*J55</f>
        <v>0</v>
      </c>
    </row>
    <row r="56" spans="1:11" ht="15" customHeight="1">
      <c r="A56" s="43"/>
      <c r="B56" s="49">
        <f>VLOOKUP($C$42:$C$91,Equipment!$A$1:$B$2322,2,FALSE)</f>
        <v>0</v>
      </c>
      <c r="C56" s="24"/>
      <c r="D56" s="24"/>
      <c r="E56" s="24"/>
      <c r="F56" s="24"/>
      <c r="G56" s="24"/>
      <c r="H56" s="185"/>
      <c r="I56" s="184"/>
      <c r="J56" s="42">
        <f>VLOOKUP($B$42:$B$91,'Alberta Equip. Rates Year 3'!$B$13:$K$314,10,FALSE)</f>
        <v>0</v>
      </c>
      <c r="K56" s="181">
        <f t="shared" si="3"/>
        <v>0</v>
      </c>
    </row>
    <row r="57" spans="1:11" ht="15" customHeight="1">
      <c r="A57" s="43"/>
      <c r="B57" s="49">
        <f>VLOOKUP($C$42:$C$91,Equipment!$A$1:$B$2322,2,FALSE)</f>
        <v>0</v>
      </c>
      <c r="C57" s="24"/>
      <c r="D57" s="24"/>
      <c r="E57" s="24"/>
      <c r="F57" s="24"/>
      <c r="G57" s="24"/>
      <c r="H57" s="185"/>
      <c r="I57" s="184"/>
      <c r="J57" s="42">
        <f>VLOOKUP($B$42:$B$91,'Alberta Equip. Rates Year 3'!$B$13:$K$314,10,FALSE)</f>
        <v>0</v>
      </c>
      <c r="K57" s="181">
        <f t="shared" si="3"/>
        <v>0</v>
      </c>
    </row>
    <row r="58" spans="1:11" ht="15" customHeight="1">
      <c r="A58" s="43"/>
      <c r="B58" s="49">
        <f>VLOOKUP($C$42:$C$91,Equipment!$A$1:$B$2322,2,FALSE)</f>
        <v>0</v>
      </c>
      <c r="C58" s="24"/>
      <c r="D58" s="24"/>
      <c r="E58" s="24"/>
      <c r="F58" s="24"/>
      <c r="G58" s="24"/>
      <c r="H58" s="185"/>
      <c r="I58" s="184"/>
      <c r="J58" s="42">
        <f>VLOOKUP($B$42:$B$91,'Alberta Equip. Rates Year 3'!$B$13:$K$314,10,FALSE)</f>
        <v>0</v>
      </c>
      <c r="K58" s="181">
        <f t="shared" si="3"/>
        <v>0</v>
      </c>
    </row>
    <row r="59" spans="1:11" ht="15" customHeight="1">
      <c r="A59" s="43"/>
      <c r="B59" s="49">
        <f>VLOOKUP($C$42:$C$91,Equipment!$A$1:$B$2322,2,FALSE)</f>
        <v>0</v>
      </c>
      <c r="C59" s="24"/>
      <c r="D59" s="24"/>
      <c r="E59" s="24"/>
      <c r="F59" s="24"/>
      <c r="G59" s="24"/>
      <c r="H59" s="185"/>
      <c r="I59" s="184"/>
      <c r="J59" s="42">
        <f>VLOOKUP($B$42:$B$91,'Alberta Equip. Rates Year 3'!$B$13:$K$314,10,FALSE)</f>
        <v>0</v>
      </c>
      <c r="K59" s="181">
        <f t="shared" si="3"/>
        <v>0</v>
      </c>
    </row>
    <row r="60" spans="1:11" ht="15" customHeight="1">
      <c r="A60" s="43"/>
      <c r="B60" s="49">
        <f>VLOOKUP($C$42:$C$91,Equipment!$A$1:$B$2322,2,FALSE)</f>
        <v>0</v>
      </c>
      <c r="C60" s="24"/>
      <c r="D60" s="24"/>
      <c r="E60" s="24"/>
      <c r="F60" s="24"/>
      <c r="G60" s="24"/>
      <c r="H60" s="185"/>
      <c r="I60" s="184"/>
      <c r="J60" s="42">
        <f>VLOOKUP($B$42:$B$91,'Alberta Equip. Rates Year 3'!$B$13:$K$314,10,FALSE)</f>
        <v>0</v>
      </c>
      <c r="K60" s="181">
        <f t="shared" si="3"/>
        <v>0</v>
      </c>
    </row>
    <row r="61" spans="1:11" ht="15" customHeight="1">
      <c r="A61" s="43"/>
      <c r="B61" s="49">
        <f>VLOOKUP($C$42:$C$91,Equipment!$A$1:$B$2322,2,FALSE)</f>
        <v>0</v>
      </c>
      <c r="C61" s="24"/>
      <c r="D61" s="24"/>
      <c r="E61" s="24"/>
      <c r="F61" s="24"/>
      <c r="G61" s="24"/>
      <c r="H61" s="185"/>
      <c r="I61" s="184"/>
      <c r="J61" s="42">
        <f>VLOOKUP($B$42:$B$91,'Alberta Equip. Rates Year 3'!$B$13:$K$314,10,FALSE)</f>
        <v>0</v>
      </c>
      <c r="K61" s="181">
        <f t="shared" si="3"/>
        <v>0</v>
      </c>
    </row>
    <row r="62" spans="1:11" ht="15" customHeight="1">
      <c r="A62" s="43"/>
      <c r="B62" s="49">
        <f>VLOOKUP($C$42:$C$91,Equipment!$A$1:$B$2322,2,FALSE)</f>
        <v>0</v>
      </c>
      <c r="C62" s="24"/>
      <c r="D62" s="24"/>
      <c r="E62" s="24"/>
      <c r="F62" s="24"/>
      <c r="G62" s="24"/>
      <c r="H62" s="185"/>
      <c r="I62" s="184"/>
      <c r="J62" s="42">
        <f>VLOOKUP($B$42:$B$91,'Alberta Equip. Rates Year 3'!$B$13:$K$314,10,FALSE)</f>
        <v>0</v>
      </c>
      <c r="K62" s="181">
        <f t="shared" si="3"/>
        <v>0</v>
      </c>
    </row>
    <row r="63" spans="1:11" ht="15" customHeight="1">
      <c r="A63" s="43"/>
      <c r="B63" s="49">
        <f>VLOOKUP($C$42:$C$91,Equipment!$A$1:$B$2322,2,FALSE)</f>
        <v>0</v>
      </c>
      <c r="C63" s="24"/>
      <c r="D63" s="24"/>
      <c r="E63" s="24"/>
      <c r="F63" s="24"/>
      <c r="G63" s="24"/>
      <c r="H63" s="185"/>
      <c r="I63" s="184"/>
      <c r="J63" s="42">
        <f>VLOOKUP($B$42:$B$91,'Alberta Equip. Rates Year 3'!$B$13:$K$314,10,FALSE)</f>
        <v>0</v>
      </c>
      <c r="K63" s="181">
        <f t="shared" si="3"/>
        <v>0</v>
      </c>
    </row>
    <row r="64" spans="1:11" ht="15" customHeight="1">
      <c r="A64" s="43"/>
      <c r="B64" s="49">
        <f>VLOOKUP($C$42:$C$91,Equipment!$A$1:$B$2322,2,FALSE)</f>
        <v>0</v>
      </c>
      <c r="C64" s="24"/>
      <c r="D64" s="24"/>
      <c r="E64" s="24"/>
      <c r="F64" s="24"/>
      <c r="G64" s="24"/>
      <c r="H64" s="185"/>
      <c r="I64" s="184"/>
      <c r="J64" s="42">
        <f>VLOOKUP($B$42:$B$91,'Alberta Equip. Rates Year 3'!$B$13:$K$314,10,FALSE)</f>
        <v>0</v>
      </c>
      <c r="K64" s="181">
        <f t="shared" si="3"/>
        <v>0</v>
      </c>
    </row>
    <row r="65" spans="1:11" ht="15" customHeight="1">
      <c r="A65" s="43"/>
      <c r="B65" s="49">
        <f>VLOOKUP($C$42:$C$91,Equipment!$A$1:$B$2322,2,FALSE)</f>
        <v>0</v>
      </c>
      <c r="C65" s="24"/>
      <c r="D65" s="24"/>
      <c r="E65" s="24"/>
      <c r="F65" s="24"/>
      <c r="G65" s="24"/>
      <c r="H65" s="185"/>
      <c r="I65" s="184"/>
      <c r="J65" s="42">
        <f>VLOOKUP($B$42:$B$91,'Alberta Equip. Rates Year 3'!$B$13:$K$314,10,FALSE)</f>
        <v>0</v>
      </c>
      <c r="K65" s="181">
        <f t="shared" si="3"/>
        <v>0</v>
      </c>
    </row>
    <row r="66" spans="1:11" ht="15" customHeight="1">
      <c r="A66" s="43"/>
      <c r="B66" s="49">
        <f>VLOOKUP($C$42:$C$91,Equipment!$A$1:$B$2322,2,FALSE)</f>
        <v>0</v>
      </c>
      <c r="C66" s="24"/>
      <c r="D66" s="24"/>
      <c r="E66" s="24"/>
      <c r="F66" s="24"/>
      <c r="G66" s="24"/>
      <c r="H66" s="185"/>
      <c r="I66" s="184"/>
      <c r="J66" s="42">
        <f>VLOOKUP($B$42:$B$91,'Alberta Equip. Rates Year 3'!$B$13:$K$314,10,FALSE)</f>
        <v>0</v>
      </c>
      <c r="K66" s="181">
        <f t="shared" si="3"/>
        <v>0</v>
      </c>
    </row>
    <row r="67" spans="1:11" ht="15" customHeight="1">
      <c r="A67" s="43"/>
      <c r="B67" s="49">
        <f>VLOOKUP($C$42:$C$91,Equipment!$A$1:$B$2322,2,FALSE)</f>
        <v>0</v>
      </c>
      <c r="C67" s="24"/>
      <c r="D67" s="24"/>
      <c r="E67" s="24"/>
      <c r="F67" s="24"/>
      <c r="G67" s="24"/>
      <c r="H67" s="185"/>
      <c r="I67" s="184"/>
      <c r="J67" s="42">
        <f>VLOOKUP($B$42:$B$91,'Alberta Equip. Rates Year 3'!$B$13:$K$314,10,FALSE)</f>
        <v>0</v>
      </c>
      <c r="K67" s="181">
        <f t="shared" si="3"/>
        <v>0</v>
      </c>
    </row>
    <row r="68" spans="1:11" ht="15" customHeight="1">
      <c r="A68" s="43"/>
      <c r="B68" s="49">
        <f>VLOOKUP($C$42:$C$91,Equipment!$A$1:$B$2322,2,FALSE)</f>
        <v>0</v>
      </c>
      <c r="C68" s="24"/>
      <c r="D68" s="24"/>
      <c r="E68" s="24"/>
      <c r="F68" s="24"/>
      <c r="G68" s="24"/>
      <c r="H68" s="185"/>
      <c r="I68" s="184"/>
      <c r="J68" s="42">
        <f>VLOOKUP($B$42:$B$91,'Alberta Equip. Rates Year 3'!$B$13:$K$314,10,FALSE)</f>
        <v>0</v>
      </c>
      <c r="K68" s="181">
        <f t="shared" si="3"/>
        <v>0</v>
      </c>
    </row>
    <row r="69" spans="1:11" ht="15" customHeight="1">
      <c r="A69" s="43"/>
      <c r="B69" s="49">
        <f>VLOOKUP($C$42:$C$91,Equipment!$A$1:$B$2322,2,FALSE)</f>
        <v>0</v>
      </c>
      <c r="C69" s="24"/>
      <c r="D69" s="24"/>
      <c r="E69" s="24"/>
      <c r="F69" s="24"/>
      <c r="G69" s="24"/>
      <c r="H69" s="185"/>
      <c r="I69" s="184"/>
      <c r="J69" s="42">
        <f>VLOOKUP($B$42:$B$91,'Alberta Equip. Rates Year 3'!$B$13:$K$314,10,FALSE)</f>
        <v>0</v>
      </c>
      <c r="K69" s="181">
        <f t="shared" si="3"/>
        <v>0</v>
      </c>
    </row>
    <row r="70" spans="1:11" ht="15" customHeight="1">
      <c r="A70" s="43"/>
      <c r="B70" s="49">
        <f>VLOOKUP($C$42:$C$91,Equipment!$A$1:$B$2322,2,FALSE)</f>
        <v>0</v>
      </c>
      <c r="C70" s="24"/>
      <c r="D70" s="24"/>
      <c r="E70" s="24"/>
      <c r="F70" s="24"/>
      <c r="G70" s="24"/>
      <c r="H70" s="185"/>
      <c r="I70" s="184"/>
      <c r="J70" s="42">
        <f>VLOOKUP($B$42:$B$91,'Alberta Equip. Rates Year 3'!$B$13:$K$314,10,FALSE)</f>
        <v>0</v>
      </c>
      <c r="K70" s="181">
        <f t="shared" si="3"/>
        <v>0</v>
      </c>
    </row>
    <row r="71" spans="1:11" ht="15" customHeight="1">
      <c r="A71" s="43"/>
      <c r="B71" s="49">
        <f>VLOOKUP($C$42:$C$91,Equipment!$A$1:$B$2322,2,FALSE)</f>
        <v>0</v>
      </c>
      <c r="C71" s="24"/>
      <c r="D71" s="24"/>
      <c r="E71" s="24"/>
      <c r="F71" s="24"/>
      <c r="G71" s="24"/>
      <c r="H71" s="185"/>
      <c r="I71" s="184"/>
      <c r="J71" s="42">
        <f>VLOOKUP($B$42:$B$91,'Alberta Equip. Rates Year 3'!$B$13:$K$314,10,FALSE)</f>
        <v>0</v>
      </c>
      <c r="K71" s="181">
        <f t="shared" si="3"/>
        <v>0</v>
      </c>
    </row>
    <row r="72" spans="1:11" ht="15" customHeight="1">
      <c r="A72" s="43"/>
      <c r="B72" s="49">
        <f>VLOOKUP($C$42:$C$91,Equipment!$A$1:$B$2322,2,FALSE)</f>
        <v>0</v>
      </c>
      <c r="C72" s="24"/>
      <c r="D72" s="24"/>
      <c r="E72" s="24"/>
      <c r="F72" s="24"/>
      <c r="G72" s="24"/>
      <c r="H72" s="185"/>
      <c r="I72" s="184"/>
      <c r="J72" s="42">
        <f>VLOOKUP($B$42:$B$91,'Alberta Equip. Rates Year 3'!$B$13:$K$314,10,FALSE)</f>
        <v>0</v>
      </c>
      <c r="K72" s="181">
        <f t="shared" si="3"/>
        <v>0</v>
      </c>
    </row>
    <row r="73" spans="1:11" ht="15" customHeight="1">
      <c r="A73" s="43"/>
      <c r="B73" s="49">
        <f>VLOOKUP($C$42:$C$91,Equipment!$A$1:$B$2322,2,FALSE)</f>
        <v>0</v>
      </c>
      <c r="C73" s="24"/>
      <c r="D73" s="24"/>
      <c r="E73" s="24"/>
      <c r="F73" s="24"/>
      <c r="G73" s="24"/>
      <c r="H73" s="185"/>
      <c r="I73" s="184"/>
      <c r="J73" s="42">
        <f>VLOOKUP($B$42:$B$91,'Alberta Equip. Rates Year 3'!$B$13:$K$314,10,FALSE)</f>
        <v>0</v>
      </c>
      <c r="K73" s="181">
        <f t="shared" si="3"/>
        <v>0</v>
      </c>
    </row>
    <row r="74" spans="1:11" ht="15" customHeight="1">
      <c r="A74" s="43"/>
      <c r="B74" s="49">
        <f>VLOOKUP($C$42:$C$91,Equipment!$A$1:$B$2322,2,FALSE)</f>
        <v>0</v>
      </c>
      <c r="C74" s="24"/>
      <c r="D74" s="24"/>
      <c r="E74" s="24"/>
      <c r="F74" s="24"/>
      <c r="G74" s="24"/>
      <c r="H74" s="185"/>
      <c r="I74" s="184"/>
      <c r="J74" s="42">
        <f>VLOOKUP($B$42:$B$91,'Alberta Equip. Rates Year 3'!$B$13:$K$314,10,FALSE)</f>
        <v>0</v>
      </c>
      <c r="K74" s="181">
        <f t="shared" si="3"/>
        <v>0</v>
      </c>
    </row>
    <row r="75" spans="1:11" ht="15" customHeight="1">
      <c r="A75" s="43"/>
      <c r="B75" s="49">
        <f>VLOOKUP($C$42:$C$91,Equipment!$A$1:$B$2322,2,FALSE)</f>
        <v>0</v>
      </c>
      <c r="C75" s="24"/>
      <c r="D75" s="24"/>
      <c r="E75" s="24"/>
      <c r="F75" s="24"/>
      <c r="G75" s="24"/>
      <c r="H75" s="185"/>
      <c r="I75" s="184"/>
      <c r="J75" s="42">
        <f>VLOOKUP($B$42:$B$91,'Alberta Equip. Rates Year 3'!$B$13:$K$314,10,FALSE)</f>
        <v>0</v>
      </c>
      <c r="K75" s="181">
        <f t="shared" si="3"/>
        <v>0</v>
      </c>
    </row>
    <row r="76" spans="1:11" ht="15" customHeight="1">
      <c r="A76" s="43"/>
      <c r="B76" s="49">
        <f>VLOOKUP($C$42:$C$91,Equipment!$A$1:$B$2322,2,FALSE)</f>
        <v>0</v>
      </c>
      <c r="C76" s="24"/>
      <c r="D76" s="24"/>
      <c r="E76" s="24"/>
      <c r="F76" s="24"/>
      <c r="G76" s="24"/>
      <c r="H76" s="185"/>
      <c r="I76" s="184"/>
      <c r="J76" s="42">
        <f>VLOOKUP($B$42:$B$91,'Alberta Equip. Rates Year 3'!$B$13:$K$314,10,FALSE)</f>
        <v>0</v>
      </c>
      <c r="K76" s="181">
        <f t="shared" ref="K76:K83" si="4">(H76+I76)*J76</f>
        <v>0</v>
      </c>
    </row>
    <row r="77" spans="1:11" ht="15" customHeight="1">
      <c r="A77" s="43"/>
      <c r="B77" s="49">
        <f>VLOOKUP($C$42:$C$91,Equipment!$A$1:$B$2322,2,FALSE)</f>
        <v>0</v>
      </c>
      <c r="C77" s="24"/>
      <c r="D77" s="24"/>
      <c r="E77" s="24"/>
      <c r="F77" s="24"/>
      <c r="G77" s="24"/>
      <c r="H77" s="185"/>
      <c r="I77" s="184"/>
      <c r="J77" s="42">
        <f>VLOOKUP($B$42:$B$91,'Alberta Equip. Rates Year 3'!$B$13:$K$314,10,FALSE)</f>
        <v>0</v>
      </c>
      <c r="K77" s="181">
        <f t="shared" si="4"/>
        <v>0</v>
      </c>
    </row>
    <row r="78" spans="1:11" ht="15" customHeight="1">
      <c r="A78" s="43"/>
      <c r="B78" s="49">
        <f>VLOOKUP($C$42:$C$91,Equipment!$A$1:$B$2322,2,FALSE)</f>
        <v>0</v>
      </c>
      <c r="C78" s="24"/>
      <c r="D78" s="24"/>
      <c r="E78" s="24"/>
      <c r="F78" s="24"/>
      <c r="G78" s="24"/>
      <c r="H78" s="185"/>
      <c r="I78" s="184"/>
      <c r="J78" s="42">
        <f>VLOOKUP($B$42:$B$91,'Alberta Equip. Rates Year 3'!$B$13:$K$314,10,FALSE)</f>
        <v>0</v>
      </c>
      <c r="K78" s="181">
        <f t="shared" si="4"/>
        <v>0</v>
      </c>
    </row>
    <row r="79" spans="1:11" ht="15" customHeight="1">
      <c r="A79" s="43"/>
      <c r="B79" s="49">
        <f>VLOOKUP($C$42:$C$91,Equipment!$A$1:$B$2322,2,FALSE)</f>
        <v>0</v>
      </c>
      <c r="C79" s="24"/>
      <c r="D79" s="24"/>
      <c r="E79" s="24"/>
      <c r="F79" s="24"/>
      <c r="G79" s="24"/>
      <c r="H79" s="185"/>
      <c r="I79" s="184"/>
      <c r="J79" s="42">
        <f>VLOOKUP($B$42:$B$91,'Alberta Equip. Rates Year 3'!$B$13:$K$314,10,FALSE)</f>
        <v>0</v>
      </c>
      <c r="K79" s="181">
        <f t="shared" si="4"/>
        <v>0</v>
      </c>
    </row>
    <row r="80" spans="1:11" ht="15" customHeight="1">
      <c r="A80" s="43"/>
      <c r="B80" s="49">
        <f>VLOOKUP($C$42:$C$91,Equipment!$A$1:$B$2322,2,FALSE)</f>
        <v>0</v>
      </c>
      <c r="C80" s="24"/>
      <c r="D80" s="24"/>
      <c r="E80" s="24"/>
      <c r="F80" s="24"/>
      <c r="G80" s="24"/>
      <c r="H80" s="185"/>
      <c r="I80" s="184"/>
      <c r="J80" s="42">
        <f>VLOOKUP($B$42:$B$91,'Alberta Equip. Rates Year 3'!$B$13:$K$314,10,FALSE)</f>
        <v>0</v>
      </c>
      <c r="K80" s="181">
        <f t="shared" si="4"/>
        <v>0</v>
      </c>
    </row>
    <row r="81" spans="1:11" ht="15" customHeight="1">
      <c r="A81" s="43"/>
      <c r="B81" s="49">
        <f>VLOOKUP($C$42:$C$91,Equipment!$A$1:$B$2322,2,FALSE)</f>
        <v>0</v>
      </c>
      <c r="C81" s="24"/>
      <c r="D81" s="24"/>
      <c r="E81" s="24"/>
      <c r="F81" s="24"/>
      <c r="G81" s="24"/>
      <c r="H81" s="185"/>
      <c r="I81" s="184"/>
      <c r="J81" s="42">
        <f>VLOOKUP($B$42:$B$91,'Alberta Equip. Rates Year 3'!$B$13:$K$314,10,FALSE)</f>
        <v>0</v>
      </c>
      <c r="K81" s="181">
        <f t="shared" si="4"/>
        <v>0</v>
      </c>
    </row>
    <row r="82" spans="1:11" ht="15" customHeight="1">
      <c r="A82" s="43"/>
      <c r="B82" s="49">
        <f>VLOOKUP($C$42:$C$91,Equipment!$A$1:$B$2322,2,FALSE)</f>
        <v>0</v>
      </c>
      <c r="C82" s="24"/>
      <c r="D82" s="24"/>
      <c r="E82" s="24"/>
      <c r="F82" s="24"/>
      <c r="G82" s="24"/>
      <c r="H82" s="185"/>
      <c r="I82" s="184"/>
      <c r="J82" s="42">
        <f>VLOOKUP($B$42:$B$91,'Alberta Equip. Rates Year 3'!$B$13:$K$314,10,FALSE)</f>
        <v>0</v>
      </c>
      <c r="K82" s="181">
        <f t="shared" si="4"/>
        <v>0</v>
      </c>
    </row>
    <row r="83" spans="1:11" ht="15" customHeight="1">
      <c r="A83" s="43"/>
      <c r="B83" s="49">
        <f>VLOOKUP($C$42:$C$91,Equipment!$A$1:$B$2322,2,FALSE)</f>
        <v>0</v>
      </c>
      <c r="C83" s="24"/>
      <c r="D83" s="24"/>
      <c r="E83" s="24"/>
      <c r="F83" s="24"/>
      <c r="G83" s="24"/>
      <c r="H83" s="185"/>
      <c r="I83" s="184"/>
      <c r="J83" s="42">
        <f>VLOOKUP($B$42:$B$91,'Alberta Equip. Rates Year 3'!$B$13:$K$314,10,FALSE)</f>
        <v>0</v>
      </c>
      <c r="K83" s="181">
        <f t="shared" si="4"/>
        <v>0</v>
      </c>
    </row>
    <row r="84" spans="1:11" ht="15" customHeight="1">
      <c r="A84" s="43"/>
      <c r="B84" s="49">
        <f>VLOOKUP($C$42:$C$91,Equipment!$A$1:$B$2322,2,FALSE)</f>
        <v>0</v>
      </c>
      <c r="C84" s="24"/>
      <c r="D84" s="24"/>
      <c r="E84" s="24"/>
      <c r="F84" s="24"/>
      <c r="G84" s="24"/>
      <c r="H84" s="185"/>
      <c r="I84" s="184"/>
      <c r="J84" s="42">
        <f>VLOOKUP($B$42:$B$91,'Alberta Equip. Rates Year 3'!$B$13:$K$314,10,FALSE)</f>
        <v>0</v>
      </c>
      <c r="K84" s="181">
        <f>(H84+I84)*J84</f>
        <v>0</v>
      </c>
    </row>
    <row r="85" spans="1:11" ht="15" customHeight="1">
      <c r="A85" s="43"/>
      <c r="B85" s="49">
        <f>VLOOKUP($C$42:$C$91,Equipment!$A$1:$B$2322,2,FALSE)</f>
        <v>0</v>
      </c>
      <c r="C85" s="24"/>
      <c r="D85" s="24"/>
      <c r="E85" s="24"/>
      <c r="F85" s="24"/>
      <c r="G85" s="24"/>
      <c r="H85" s="185"/>
      <c r="I85" s="184"/>
      <c r="J85" s="42">
        <f>VLOOKUP($B$42:$B$91,'Alberta Equip. Rates Year 3'!$B$13:$K$314,10,FALSE)</f>
        <v>0</v>
      </c>
      <c r="K85" s="181">
        <f t="shared" ref="K85:K91" si="5">(H85+I85)*J85</f>
        <v>0</v>
      </c>
    </row>
    <row r="86" spans="1:11" ht="15" customHeight="1">
      <c r="A86" s="43"/>
      <c r="B86" s="49">
        <f>VLOOKUP($C$42:$C$91,Equipment!$A$1:$B$2322,2,FALSE)</f>
        <v>0</v>
      </c>
      <c r="C86" s="24"/>
      <c r="D86" s="24"/>
      <c r="E86" s="24"/>
      <c r="F86" s="24"/>
      <c r="G86" s="24"/>
      <c r="H86" s="185"/>
      <c r="I86" s="184"/>
      <c r="J86" s="42">
        <f>VLOOKUP($B$42:$B$91,'Alberta Equip. Rates Year 3'!$B$13:$K$314,10,FALSE)</f>
        <v>0</v>
      </c>
      <c r="K86" s="181">
        <f t="shared" si="5"/>
        <v>0</v>
      </c>
    </row>
    <row r="87" spans="1:11" ht="15" customHeight="1">
      <c r="A87" s="43"/>
      <c r="B87" s="49">
        <f>VLOOKUP($C$42:$C$91,Equipment!$A$1:$B$2322,2,FALSE)</f>
        <v>0</v>
      </c>
      <c r="C87" s="24"/>
      <c r="D87" s="24"/>
      <c r="E87" s="24"/>
      <c r="F87" s="24"/>
      <c r="G87" s="24"/>
      <c r="H87" s="185"/>
      <c r="I87" s="184"/>
      <c r="J87" s="42">
        <f>VLOOKUP($B$42:$B$91,'Alberta Equip. Rates Year 3'!$B$13:$K$314,10,FALSE)</f>
        <v>0</v>
      </c>
      <c r="K87" s="181">
        <f t="shared" si="5"/>
        <v>0</v>
      </c>
    </row>
    <row r="88" spans="1:11" ht="15" customHeight="1">
      <c r="A88" s="43"/>
      <c r="B88" s="49">
        <f>VLOOKUP($C$42:$C$91,Equipment!$A$1:$B$2322,2,FALSE)</f>
        <v>0</v>
      </c>
      <c r="C88" s="24"/>
      <c r="D88" s="24"/>
      <c r="E88" s="24"/>
      <c r="F88" s="24"/>
      <c r="G88" s="24"/>
      <c r="H88" s="185"/>
      <c r="I88" s="184"/>
      <c r="J88" s="42">
        <f>VLOOKUP($B$42:$B$91,'Alberta Equip. Rates Year 3'!$B$13:$K$314,10,FALSE)</f>
        <v>0</v>
      </c>
      <c r="K88" s="181">
        <f t="shared" si="5"/>
        <v>0</v>
      </c>
    </row>
    <row r="89" spans="1:11" ht="15" customHeight="1">
      <c r="A89" s="43"/>
      <c r="B89" s="49">
        <f>VLOOKUP($C$42:$C$91,Equipment!$A$1:$B$2322,2,FALSE)</f>
        <v>0</v>
      </c>
      <c r="C89" s="24"/>
      <c r="D89" s="24"/>
      <c r="E89" s="24"/>
      <c r="F89" s="24"/>
      <c r="G89" s="24"/>
      <c r="H89" s="185"/>
      <c r="I89" s="184"/>
      <c r="J89" s="42">
        <f>VLOOKUP($B$42:$B$91,'Alberta Equip. Rates Year 3'!$B$13:$K$314,10,FALSE)</f>
        <v>0</v>
      </c>
      <c r="K89" s="181">
        <f t="shared" si="5"/>
        <v>0</v>
      </c>
    </row>
    <row r="90" spans="1:11" ht="15" customHeight="1">
      <c r="A90" s="43"/>
      <c r="B90" s="49">
        <f>VLOOKUP($C$42:$C$91,Equipment!$A$1:$B$2322,2,FALSE)</f>
        <v>0</v>
      </c>
      <c r="C90" s="24"/>
      <c r="D90" s="24"/>
      <c r="E90" s="24"/>
      <c r="F90" s="24"/>
      <c r="G90" s="24"/>
      <c r="H90" s="185"/>
      <c r="I90" s="184"/>
      <c r="J90" s="42">
        <f>VLOOKUP($B$42:$B$91,'Alberta Equip. Rates Year 3'!$B$13:$K$314,10,FALSE)</f>
        <v>0</v>
      </c>
      <c r="K90" s="181">
        <f t="shared" si="5"/>
        <v>0</v>
      </c>
    </row>
    <row r="91" spans="1:11" ht="15" customHeight="1" thickBot="1">
      <c r="A91" s="43"/>
      <c r="B91" s="49">
        <f>VLOOKUP($C$42:$C$91,Equipment!$A$1:$B$2322,2,FALSE)</f>
        <v>0</v>
      </c>
      <c r="C91" s="24"/>
      <c r="D91" s="24"/>
      <c r="E91" s="24"/>
      <c r="F91" s="24"/>
      <c r="G91" s="24"/>
      <c r="H91" s="185"/>
      <c r="I91" s="184"/>
      <c r="J91" s="42">
        <f>VLOOKUP($B$42:$B$91,'Alberta Equip. Rates Year 3'!$B$13:$K$314,10,FALSE)</f>
        <v>0</v>
      </c>
      <c r="K91" s="181">
        <f t="shared" si="5"/>
        <v>0</v>
      </c>
    </row>
    <row r="92" spans="1:11" ht="12" thickBot="1">
      <c r="A92" s="25"/>
      <c r="B92" s="25"/>
      <c r="C92" s="25"/>
      <c r="D92" s="21"/>
      <c r="E92" s="21"/>
      <c r="F92" s="21"/>
      <c r="G92" s="21"/>
      <c r="H92" s="21"/>
      <c r="I92" s="360" t="s">
        <v>24</v>
      </c>
      <c r="J92" s="361"/>
      <c r="K92" s="207">
        <f>SUM(K42:K91)</f>
        <v>4459</v>
      </c>
    </row>
    <row r="93" spans="1:11" ht="12" thickBot="1">
      <c r="A93" s="26"/>
      <c r="D93" s="26"/>
      <c r="I93" s="27"/>
      <c r="J93" s="27"/>
      <c r="K93" s="28"/>
    </row>
    <row r="94" spans="1:11">
      <c r="A94" s="1" t="s">
        <v>25</v>
      </c>
      <c r="B94" s="29"/>
      <c r="D94" s="1"/>
      <c r="E94" s="1"/>
      <c r="F94" s="1"/>
      <c r="G94" s="1"/>
      <c r="H94" s="1"/>
      <c r="I94" s="362" t="s">
        <v>26</v>
      </c>
      <c r="J94" s="362"/>
      <c r="K94" s="37">
        <f>K39</f>
        <v>15395.58</v>
      </c>
    </row>
    <row r="95" spans="1:11">
      <c r="D95" s="1"/>
      <c r="E95" s="1"/>
      <c r="F95" s="1"/>
      <c r="G95" s="1"/>
      <c r="H95" s="1"/>
      <c r="I95" s="362" t="s">
        <v>27</v>
      </c>
      <c r="J95" s="362"/>
      <c r="K95" s="38">
        <f>K92</f>
        <v>4459</v>
      </c>
    </row>
    <row r="96" spans="1:11">
      <c r="D96" s="1"/>
      <c r="E96" s="1"/>
      <c r="F96" s="1"/>
      <c r="G96" s="1"/>
      <c r="H96" s="1"/>
      <c r="I96" s="27" t="s">
        <v>28</v>
      </c>
      <c r="J96" s="27"/>
      <c r="K96" s="38">
        <f>(O39)*14.15</f>
        <v>2292.3000000000002</v>
      </c>
    </row>
    <row r="97" spans="1:11">
      <c r="D97" s="1"/>
      <c r="E97" s="1"/>
      <c r="F97" s="1"/>
      <c r="G97" s="1"/>
      <c r="H97" s="1"/>
      <c r="I97" s="30" t="s">
        <v>29</v>
      </c>
      <c r="J97" s="30"/>
      <c r="K97" s="39"/>
    </row>
    <row r="98" spans="1:11">
      <c r="D98" s="1"/>
      <c r="E98" s="1"/>
      <c r="F98" s="1"/>
      <c r="G98" s="1"/>
      <c r="H98" s="1"/>
      <c r="I98" s="30" t="s">
        <v>30</v>
      </c>
      <c r="J98" s="30"/>
      <c r="K98" s="39"/>
    </row>
    <row r="99" spans="1:11">
      <c r="D99" s="1"/>
      <c r="E99" s="1"/>
      <c r="F99" s="1"/>
      <c r="G99" s="1"/>
      <c r="H99" s="1"/>
      <c r="I99" s="30" t="s">
        <v>31</v>
      </c>
      <c r="J99" s="30"/>
      <c r="K99" s="39"/>
    </row>
    <row r="100" spans="1:11" ht="12" thickBot="1">
      <c r="D100" s="1"/>
      <c r="E100" s="1"/>
      <c r="F100" s="1"/>
      <c r="G100" s="1"/>
      <c r="H100" s="1"/>
      <c r="I100" s="362" t="s">
        <v>32</v>
      </c>
      <c r="J100" s="362"/>
      <c r="K100" s="40">
        <f>SUM(K94:K99)</f>
        <v>22146.880000000001</v>
      </c>
    </row>
    <row r="101" spans="1:11">
      <c r="D101" s="1"/>
      <c r="E101" s="1"/>
      <c r="F101" s="1"/>
      <c r="G101" s="1"/>
      <c r="H101" s="1"/>
      <c r="I101" s="27"/>
      <c r="J101" s="27"/>
    </row>
    <row r="102" spans="1:11">
      <c r="A102" s="31" t="s">
        <v>33</v>
      </c>
      <c r="B102" s="32"/>
      <c r="C102" s="32"/>
      <c r="D102" s="1"/>
      <c r="H102" s="33" t="s">
        <v>34</v>
      </c>
      <c r="I102" s="32"/>
      <c r="J102" s="32"/>
      <c r="K102" s="32"/>
    </row>
    <row r="103" spans="1:11" ht="15">
      <c r="A103" s="34"/>
      <c r="E103" s="8"/>
      <c r="F103" s="8"/>
      <c r="G103" s="8"/>
      <c r="H103" s="35"/>
      <c r="I103" s="35"/>
      <c r="J103" s="35"/>
      <c r="K103" s="35"/>
    </row>
    <row r="104" spans="1:11" ht="15">
      <c r="A104" s="34" t="s">
        <v>35</v>
      </c>
      <c r="E104" s="8"/>
      <c r="F104" s="8"/>
      <c r="G104" s="8"/>
      <c r="H104" s="35"/>
      <c r="I104" s="35"/>
      <c r="J104" s="35"/>
      <c r="K104" s="35"/>
    </row>
    <row r="105" spans="1:11" s="34" customFormat="1">
      <c r="A105" s="363">
        <v>41218.479166666664</v>
      </c>
      <c r="B105" s="363"/>
      <c r="C105" s="364"/>
      <c r="D105" s="364"/>
      <c r="E105" s="364"/>
      <c r="F105" s="364"/>
      <c r="G105" s="364"/>
      <c r="H105" s="364"/>
      <c r="I105" s="364"/>
      <c r="J105" s="364"/>
      <c r="K105" s="8"/>
    </row>
    <row r="115" s="1" customFormat="1"/>
    <row r="116" s="1" customFormat="1"/>
    <row r="117" s="1" customFormat="1"/>
    <row r="118" s="1" customFormat="1"/>
    <row r="119" s="1" customFormat="1"/>
    <row r="120" s="1" customFormat="1"/>
    <row r="121" s="1" customFormat="1"/>
    <row r="122" s="1" customFormat="1"/>
    <row r="123" s="1" customFormat="1"/>
    <row r="124" s="1" customFormat="1"/>
    <row r="125" s="1" customFormat="1"/>
    <row r="126" s="1" customFormat="1"/>
    <row r="127" s="1" customFormat="1"/>
    <row r="128" s="1" customFormat="1"/>
    <row r="133" s="1" customFormat="1"/>
    <row r="161" s="1" customFormat="1"/>
    <row r="162" s="1" customFormat="1"/>
    <row r="163" s="1" customFormat="1"/>
    <row r="164" s="1" customFormat="1"/>
  </sheetData>
  <mergeCells count="12">
    <mergeCell ref="I92:J92"/>
    <mergeCell ref="I94:J94"/>
    <mergeCell ref="I95:J95"/>
    <mergeCell ref="I100:J100"/>
    <mergeCell ref="A105:B105"/>
    <mergeCell ref="C105:J105"/>
    <mergeCell ref="I39:J39"/>
    <mergeCell ref="C1:H1"/>
    <mergeCell ref="C2:H2"/>
    <mergeCell ref="C3:H3"/>
    <mergeCell ref="H6:I6"/>
    <mergeCell ref="H7:I7"/>
  </mergeCells>
  <printOptions horizontalCentered="1"/>
  <pageMargins left="0.19685039370078741" right="0.19685039370078741" top="0.39370078740157483" bottom="0.39370078740157483" header="0" footer="0"/>
  <pageSetup orientation="portrait" horizontalDpi="4294967292" verticalDpi="4294967292"/>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1F00-000000000000}">
          <x14:formula1>
            <xm:f>Accounts!$A$4:$A$60</xm:f>
          </x14:formula1>
          <xm:sqref>K7</xm:sqref>
        </x14:dataValidation>
        <x14:dataValidation type="list" allowBlank="1" showInputMessage="1" showErrorMessage="1" xr:uid="{00000000-0002-0000-1F00-000001000000}">
          <x14:formula1>
            <xm:f>'Constr. Wage Rate Calculations'!$A$19:$A$288</xm:f>
          </x14:formula1>
          <xm:sqref>B11:B38</xm:sqref>
        </x14:dataValidation>
        <x14:dataValidation type="list" allowBlank="1" showInputMessage="1" showErrorMessage="1" xr:uid="{00000000-0002-0000-1F00-000002000000}">
          <x14:formula1>
            <xm:f>Personnel!$A:$A</xm:f>
          </x14:formula1>
          <xm:sqref>C11:C38</xm:sqref>
        </x14:dataValidation>
        <x14:dataValidation type="list" allowBlank="1" showInputMessage="1" showErrorMessage="1" xr:uid="{00000000-0002-0000-1F00-000003000000}">
          <x14:formula1>
            <xm:f>Equipment!$A:$A</xm:f>
          </x14:formula1>
          <xm:sqref>C42:C91</xm:sqref>
        </x14:dataValidation>
      </x14:dataValidations>
    </ext>
    <ext xmlns:mx="http://schemas.microsoft.com/office/mac/excel/2008/main" uri="{64002731-A6B0-56B0-2670-7721B7C09600}">
      <mx:PLV Mode="0" OnePage="0" WScale="0"/>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CCFFCC"/>
    <pageSetUpPr fitToPage="1"/>
  </sheetPr>
  <dimension ref="A1:O234"/>
  <sheetViews>
    <sheetView zoomScale="120" zoomScaleNormal="120" zoomScalePageLayoutView="120" workbookViewId="0">
      <selection activeCell="C30" sqref="C30"/>
    </sheetView>
  </sheetViews>
  <sheetFormatPr baseColWidth="10" defaultColWidth="8.83203125" defaultRowHeight="11"/>
  <cols>
    <col min="1" max="1" width="13" style="1" customWidth="1"/>
    <col min="2" max="2" width="30" style="1" customWidth="1"/>
    <col min="3" max="3" width="24.5" style="1" customWidth="1"/>
    <col min="4" max="4" width="8.6640625" style="2" customWidth="1"/>
    <col min="5" max="6" width="8.33203125" style="2" customWidth="1"/>
    <col min="7" max="8" width="8.6640625" style="2" customWidth="1"/>
    <col min="9" max="9" width="9.33203125" style="2" customWidth="1"/>
    <col min="10" max="10" width="8.6640625" style="2" customWidth="1"/>
    <col min="11" max="11" width="21.5" style="1" customWidth="1"/>
    <col min="12" max="12" width="3.5" style="1" hidden="1" customWidth="1"/>
    <col min="13" max="16384" width="8.83203125" style="1"/>
  </cols>
  <sheetData>
    <row r="1" spans="1:13" ht="15">
      <c r="C1" s="364"/>
      <c r="D1" s="365"/>
      <c r="E1" s="365"/>
      <c r="F1" s="365"/>
      <c r="G1" s="365"/>
      <c r="H1" s="366"/>
      <c r="J1" s="2" t="s">
        <v>0</v>
      </c>
      <c r="K1" s="197">
        <v>41659</v>
      </c>
      <c r="M1" s="45"/>
    </row>
    <row r="2" spans="1:13" ht="15">
      <c r="C2" s="367"/>
      <c r="D2" s="367"/>
      <c r="E2" s="367"/>
      <c r="F2" s="367"/>
      <c r="G2" s="367"/>
      <c r="H2" s="366"/>
      <c r="K2" s="41"/>
    </row>
    <row r="3" spans="1:13" ht="15">
      <c r="C3" s="368"/>
      <c r="D3" s="369"/>
      <c r="E3" s="369"/>
      <c r="F3" s="369"/>
      <c r="G3" s="369"/>
      <c r="H3" s="366"/>
    </row>
    <row r="4" spans="1:13">
      <c r="C4" s="3"/>
      <c r="D4" s="4"/>
      <c r="E4" s="4"/>
      <c r="F4" s="4"/>
      <c r="G4" s="4"/>
    </row>
    <row r="5" spans="1:13">
      <c r="C5" s="3"/>
      <c r="D5" s="4"/>
      <c r="E5" s="4"/>
      <c r="F5" s="4"/>
      <c r="G5" s="4"/>
    </row>
    <row r="6" spans="1:13" ht="12">
      <c r="B6" s="5"/>
      <c r="C6" s="6"/>
      <c r="D6" s="7"/>
      <c r="E6" s="8"/>
      <c r="F6" s="8"/>
      <c r="G6" s="1" t="s">
        <v>1</v>
      </c>
      <c r="H6" s="370">
        <v>18215</v>
      </c>
      <c r="I6" s="370"/>
      <c r="J6" s="1" t="s">
        <v>2</v>
      </c>
      <c r="K6" s="47"/>
    </row>
    <row r="7" spans="1:13" ht="12">
      <c r="A7" s="1" t="s">
        <v>3</v>
      </c>
      <c r="B7" s="9"/>
      <c r="C7" s="10"/>
      <c r="D7" s="11"/>
      <c r="E7" s="8"/>
      <c r="F7" s="8"/>
      <c r="G7" s="1" t="s">
        <v>4</v>
      </c>
      <c r="H7" s="371"/>
      <c r="I7" s="371"/>
      <c r="J7" s="1" t="s">
        <v>5</v>
      </c>
      <c r="K7" s="46"/>
    </row>
    <row r="8" spans="1:13" ht="12">
      <c r="B8" s="12"/>
      <c r="C8" s="13"/>
      <c r="D8" s="14"/>
      <c r="E8" s="8"/>
      <c r="F8" s="8"/>
      <c r="G8" s="1" t="s">
        <v>6</v>
      </c>
      <c r="H8" s="187"/>
      <c r="I8" s="188"/>
      <c r="J8" s="44"/>
    </row>
    <row r="9" spans="1:13" ht="16" thickBot="1">
      <c r="B9" s="15"/>
      <c r="C9" s="16"/>
      <c r="D9" s="16"/>
      <c r="E9" s="8"/>
      <c r="F9" s="8"/>
      <c r="G9" s="8"/>
    </row>
    <row r="10" spans="1:13" s="19" customFormat="1" ht="12" thickBot="1">
      <c r="A10" s="17" t="s">
        <v>7</v>
      </c>
      <c r="B10" s="17" t="s">
        <v>8</v>
      </c>
      <c r="C10" s="17" t="s">
        <v>9</v>
      </c>
      <c r="D10" s="18" t="s">
        <v>10</v>
      </c>
      <c r="E10" s="18" t="s">
        <v>11</v>
      </c>
      <c r="F10" s="18" t="s">
        <v>12</v>
      </c>
      <c r="G10" s="180" t="s">
        <v>13</v>
      </c>
      <c r="H10" s="18" t="s">
        <v>14</v>
      </c>
      <c r="I10" s="18" t="s">
        <v>15</v>
      </c>
      <c r="J10" s="18" t="s">
        <v>16</v>
      </c>
      <c r="K10" s="18" t="s">
        <v>17</v>
      </c>
      <c r="M10" s="19" t="s">
        <v>1797</v>
      </c>
    </row>
    <row r="11" spans="1:13" ht="15" customHeight="1">
      <c r="A11" s="48"/>
      <c r="B11" s="49">
        <f>VLOOKUP($C$11:$C$35,Personnel!$A$1:$B$1234,2,FALSE)</f>
        <v>0</v>
      </c>
      <c r="C11" s="36"/>
      <c r="D11" s="184"/>
      <c r="E11" s="179">
        <f>VLOOKUP($B$11:$B$35,'Constr. Wage Rate Calculations'!$A$19:$Z$288,22,FALSE)</f>
        <v>0</v>
      </c>
      <c r="F11" s="184"/>
      <c r="G11" s="179">
        <f>VLOOKUP($B$11:$B$35,'Constr. Wage Rate Calculations'!$A$19:$Z$288,23,FALSE)</f>
        <v>0</v>
      </c>
      <c r="H11" s="184"/>
      <c r="I11" s="179">
        <f>VLOOKUP($B$11:$B$35,'Constr. Wage Rate Calculations'!$A$19:$Z$288,24,FALSE)</f>
        <v>0</v>
      </c>
      <c r="J11" s="20">
        <f>VLOOKUP($B$11:$B$35,'Constr. Wage Rate Calculations'!$A$19:$Z$288,25,FALSE)</f>
        <v>0</v>
      </c>
      <c r="K11" s="179" t="str">
        <f t="shared" ref="K11:K35" si="0">IF($D11&gt;=1,$J11+(D11*E11)+(F11*G11)+(H11*I11),IF($F11&gt;=1,$J11+(D11*E11)+(F11*G11)+(H11*I11),IF($H11&gt;=1,$J11+(D11*E11)+(F11*G11)+(H11*I11),"")))</f>
        <v/>
      </c>
    </row>
    <row r="12" spans="1:13" ht="15" customHeight="1">
      <c r="A12" s="48"/>
      <c r="B12" s="49" t="str">
        <f>VLOOKUP($C$11:$C$35,Personnel!$A$1:$B$1234,2,FALSE)</f>
        <v>BUS/ CREWCAB DRIVER</v>
      </c>
      <c r="C12" s="36" t="s">
        <v>1795</v>
      </c>
      <c r="D12" s="184">
        <v>8</v>
      </c>
      <c r="E12" s="179">
        <f>VLOOKUP($B$11:$B$35,'Constr. Wage Rate Calculations'!$A$19:$Z$288,22,FALSE)</f>
        <v>56.73</v>
      </c>
      <c r="F12" s="184">
        <v>5</v>
      </c>
      <c r="G12" s="179">
        <f>VLOOKUP($B$11:$B$35,'Constr. Wage Rate Calculations'!$A$19:$Z$288,23,FALSE)</f>
        <v>85.1</v>
      </c>
      <c r="H12" s="184"/>
      <c r="I12" s="179">
        <f>VLOOKUP($B$11:$B$35,'Constr. Wage Rate Calculations'!$A$19:$Z$288,24,FALSE)</f>
        <v>113.46</v>
      </c>
      <c r="J12" s="20">
        <f>VLOOKUP($B$11:$B$35,'Constr. Wage Rate Calculations'!$A$19:$Z$288,25,FALSE)</f>
        <v>85</v>
      </c>
      <c r="K12" s="179">
        <f t="shared" si="0"/>
        <v>964.33999999999992</v>
      </c>
    </row>
    <row r="13" spans="1:13" ht="15" customHeight="1">
      <c r="A13" s="48"/>
      <c r="B13" s="49" t="str">
        <f>VLOOKUP($C$11:$C$35,Personnel!$A$1:$B$1234,2,FALSE)</f>
        <v>NIGHT WATCHMAN/ SECURITY</v>
      </c>
      <c r="C13" s="36" t="s">
        <v>2773</v>
      </c>
      <c r="D13" s="184">
        <v>8</v>
      </c>
      <c r="E13" s="179">
        <f>VLOOKUP($B$11:$B$35,'Constr. Wage Rate Calculations'!$A$19:$Z$288,22,FALSE)</f>
        <v>42.48</v>
      </c>
      <c r="F13" s="184">
        <v>4</v>
      </c>
      <c r="G13" s="179">
        <f>VLOOKUP($B$11:$B$35,'Constr. Wage Rate Calculations'!$A$19:$Z$288,23,FALSE)</f>
        <v>63.72</v>
      </c>
      <c r="H13" s="184"/>
      <c r="I13" s="179">
        <f>VLOOKUP($B$11:$B$35,'Constr. Wage Rate Calculations'!$A$19:$Z$288,24,FALSE)</f>
        <v>84.96</v>
      </c>
      <c r="J13" s="20">
        <f>VLOOKUP($B$11:$B$35,'Constr. Wage Rate Calculations'!$A$19:$Z$288,25,FALSE)</f>
        <v>85</v>
      </c>
      <c r="K13" s="179">
        <f t="shared" si="0"/>
        <v>679.72</v>
      </c>
    </row>
    <row r="14" spans="1:13" ht="15" customHeight="1">
      <c r="A14" s="48"/>
      <c r="B14" s="49" t="str">
        <f>VLOOKUP($C$11:$C$35,Personnel!$A$1:$B$1234,2,FALSE)</f>
        <v>WAREHOUSEMAN 2</v>
      </c>
      <c r="C14" s="36" t="s">
        <v>2648</v>
      </c>
      <c r="D14" s="184">
        <v>8</v>
      </c>
      <c r="E14" s="179">
        <f>VLOOKUP($B$11:$B$35,'Constr. Wage Rate Calculations'!$A$19:$Z$288,22,FALSE)</f>
        <v>59.79</v>
      </c>
      <c r="F14" s="184">
        <v>5</v>
      </c>
      <c r="G14" s="179">
        <f>VLOOKUP($B$11:$B$35,'Constr. Wage Rate Calculations'!$A$19:$Z$288,23,FALSE)</f>
        <v>89.69</v>
      </c>
      <c r="H14" s="184"/>
      <c r="I14" s="179">
        <f>VLOOKUP($B$11:$B$35,'Constr. Wage Rate Calculations'!$A$19:$Z$288,24,FALSE)</f>
        <v>119.58</v>
      </c>
      <c r="J14" s="20">
        <f>VLOOKUP($B$11:$B$35,'Constr. Wage Rate Calculations'!$A$19:$Z$288,25,FALSE)</f>
        <v>85</v>
      </c>
      <c r="K14" s="179">
        <f t="shared" si="0"/>
        <v>1011.77</v>
      </c>
    </row>
    <row r="15" spans="1:13" ht="15" customHeight="1">
      <c r="A15" s="48"/>
      <c r="B15" s="49" t="str">
        <f>VLOOKUP($C$11:$C$35,Personnel!$A$1:$B$1234,2,FALSE)</f>
        <v>FORKLIFT DRIVER (WAREHOUSE)</v>
      </c>
      <c r="C15" s="36" t="s">
        <v>2301</v>
      </c>
      <c r="D15" s="184">
        <v>8</v>
      </c>
      <c r="E15" s="179">
        <f>VLOOKUP($B$11:$B$35,'Constr. Wage Rate Calculations'!$A$19:$Z$288,22,FALSE)</f>
        <v>56.73</v>
      </c>
      <c r="F15" s="184">
        <v>6</v>
      </c>
      <c r="G15" s="179">
        <f>VLOOKUP($B$11:$B$35,'Constr. Wage Rate Calculations'!$A$19:$Z$288,23,FALSE)</f>
        <v>85.1</v>
      </c>
      <c r="H15" s="184"/>
      <c r="I15" s="179">
        <f>VLOOKUP($B$11:$B$35,'Constr. Wage Rate Calculations'!$A$19:$Z$288,24,FALSE)</f>
        <v>113.46</v>
      </c>
      <c r="J15" s="20">
        <f>VLOOKUP($B$11:$B$35,'Constr. Wage Rate Calculations'!$A$19:$Z$288,25,FALSE)</f>
        <v>85</v>
      </c>
      <c r="K15" s="179">
        <f t="shared" si="0"/>
        <v>1049.4399999999998</v>
      </c>
    </row>
    <row r="16" spans="1:13" ht="15" customHeight="1">
      <c r="A16" s="48"/>
      <c r="B16" s="49" t="str">
        <f>VLOOKUP($C$11:$C$35,Personnel!$A$1:$B$1234,2,FALSE)</f>
        <v>WAREHOUSEMAN 2</v>
      </c>
      <c r="C16" s="36" t="s">
        <v>771</v>
      </c>
      <c r="D16" s="184">
        <v>8</v>
      </c>
      <c r="E16" s="179">
        <f>VLOOKUP($B$11:$B$35,'Constr. Wage Rate Calculations'!$A$19:$Z$288,22,FALSE)</f>
        <v>59.79</v>
      </c>
      <c r="F16" s="184">
        <v>4</v>
      </c>
      <c r="G16" s="179">
        <f>VLOOKUP($B$11:$B$35,'Constr. Wage Rate Calculations'!$A$19:$Z$288,23,FALSE)</f>
        <v>89.69</v>
      </c>
      <c r="H16" s="184"/>
      <c r="I16" s="179">
        <f>VLOOKUP($B$11:$B$35,'Constr. Wage Rate Calculations'!$A$19:$Z$288,24,FALSE)</f>
        <v>119.58</v>
      </c>
      <c r="J16" s="20">
        <f>VLOOKUP($B$11:$B$35,'Constr. Wage Rate Calculations'!$A$19:$Z$288,25,FALSE)</f>
        <v>85</v>
      </c>
      <c r="K16" s="179">
        <f t="shared" si="0"/>
        <v>922.07999999999993</v>
      </c>
    </row>
    <row r="17" spans="1:11" ht="15" customHeight="1">
      <c r="A17" s="48"/>
      <c r="B17" s="49" t="str">
        <f>VLOOKUP($C$11:$C$35,Personnel!$A$1:$B$1234,2,FALSE)</f>
        <v>WAREHOUSEMAN 1</v>
      </c>
      <c r="C17" s="36" t="s">
        <v>658</v>
      </c>
      <c r="D17" s="184">
        <v>8</v>
      </c>
      <c r="E17" s="179">
        <f>VLOOKUP($B$11:$B$35,'Constr. Wage Rate Calculations'!$A$19:$Z$288,22,FALSE)</f>
        <v>64.239999999999995</v>
      </c>
      <c r="F17" s="184">
        <v>7</v>
      </c>
      <c r="G17" s="179">
        <f>VLOOKUP($B$11:$B$35,'Constr. Wage Rate Calculations'!$A$19:$Z$288,23,FALSE)</f>
        <v>96.37</v>
      </c>
      <c r="H17" s="184"/>
      <c r="I17" s="179">
        <f>VLOOKUP($B$11:$B$35,'Constr. Wage Rate Calculations'!$A$19:$Z$288,24,FALSE)</f>
        <v>128.49</v>
      </c>
      <c r="J17" s="20">
        <f>VLOOKUP($B$11:$B$35,'Constr. Wage Rate Calculations'!$A$19:$Z$288,25,FALSE)</f>
        <v>85</v>
      </c>
      <c r="K17" s="179">
        <f t="shared" si="0"/>
        <v>1273.51</v>
      </c>
    </row>
    <row r="18" spans="1:11" ht="15" customHeight="1">
      <c r="A18" s="48"/>
      <c r="B18" s="49" t="str">
        <f>VLOOKUP($C$11:$C$35,Personnel!$A$1:$B$1234,2,FALSE)</f>
        <v>GENERAL LABOURER</v>
      </c>
      <c r="C18" s="36" t="s">
        <v>2947</v>
      </c>
      <c r="D18" s="184">
        <v>8</v>
      </c>
      <c r="E18" s="179">
        <f>VLOOKUP($B$11:$B$35,'Constr. Wage Rate Calculations'!$A$19:$Z$288,22,FALSE)</f>
        <v>48.1</v>
      </c>
      <c r="F18" s="184">
        <v>5</v>
      </c>
      <c r="G18" s="179">
        <f>VLOOKUP($B$11:$B$35,'Constr. Wage Rate Calculations'!$A$19:$Z$288,23,FALSE)</f>
        <v>72.150000000000006</v>
      </c>
      <c r="H18" s="184"/>
      <c r="I18" s="179">
        <f>VLOOKUP($B$11:$B$35,'Constr. Wage Rate Calculations'!$A$19:$Z$288,24,FALSE)</f>
        <v>96.2</v>
      </c>
      <c r="J18" s="20">
        <f>VLOOKUP($B$11:$B$35,'Constr. Wage Rate Calculations'!$A$19:$Z$288,25,FALSE)</f>
        <v>85</v>
      </c>
      <c r="K18" s="179">
        <f t="shared" si="0"/>
        <v>830.55</v>
      </c>
    </row>
    <row r="19" spans="1:11" ht="15" customHeight="1">
      <c r="A19" s="48"/>
      <c r="B19" s="49" t="str">
        <f>VLOOKUP($C$11:$C$35,Personnel!$A$1:$B$1234,2,FALSE)</f>
        <v>NIGHT WATCHMAN/ SECURITY</v>
      </c>
      <c r="C19" s="36" t="s">
        <v>1570</v>
      </c>
      <c r="D19" s="184">
        <v>8</v>
      </c>
      <c r="E19" s="179">
        <f>VLOOKUP($B$11:$B$35,'Constr. Wage Rate Calculations'!$A$19:$Z$288,22,FALSE)</f>
        <v>42.48</v>
      </c>
      <c r="F19" s="184">
        <v>4</v>
      </c>
      <c r="G19" s="179">
        <f>VLOOKUP($B$11:$B$35,'Constr. Wage Rate Calculations'!$A$19:$Z$288,23,FALSE)</f>
        <v>63.72</v>
      </c>
      <c r="H19" s="184"/>
      <c r="I19" s="179">
        <f>VLOOKUP($B$11:$B$35,'Constr. Wage Rate Calculations'!$A$19:$Z$288,24,FALSE)</f>
        <v>84.96</v>
      </c>
      <c r="J19" s="20">
        <f>VLOOKUP($B$11:$B$35,'Constr. Wage Rate Calculations'!$A$19:$Z$288,25,FALSE)</f>
        <v>85</v>
      </c>
      <c r="K19" s="179">
        <f t="shared" si="0"/>
        <v>679.72</v>
      </c>
    </row>
    <row r="20" spans="1:11" ht="15" customHeight="1">
      <c r="A20" s="48"/>
      <c r="B20" s="49" t="str">
        <f>VLOOKUP($C$11:$C$35,Personnel!$A$1:$B$1234,2,FALSE)</f>
        <v>SPEC LABOUR (CARPENTER, ETC.)</v>
      </c>
      <c r="C20" s="36" t="s">
        <v>1554</v>
      </c>
      <c r="D20" s="184">
        <v>8</v>
      </c>
      <c r="E20" s="179">
        <f>VLOOKUP($B$11:$B$35,'Constr. Wage Rate Calculations'!$A$19:$Z$288,22,FALSE)</f>
        <v>49.84</v>
      </c>
      <c r="F20" s="184">
        <v>4</v>
      </c>
      <c r="G20" s="179">
        <f>VLOOKUP($B$11:$B$35,'Constr. Wage Rate Calculations'!$A$19:$Z$288,23,FALSE)</f>
        <v>74.75</v>
      </c>
      <c r="H20" s="184"/>
      <c r="I20" s="179">
        <f>VLOOKUP($B$11:$B$35,'Constr. Wage Rate Calculations'!$A$19:$Z$288,24,FALSE)</f>
        <v>99.67</v>
      </c>
      <c r="J20" s="20">
        <f>VLOOKUP($B$11:$B$35,'Constr. Wage Rate Calculations'!$A$19:$Z$288,25,FALSE)</f>
        <v>85</v>
      </c>
      <c r="K20" s="179">
        <f t="shared" si="0"/>
        <v>782.72</v>
      </c>
    </row>
    <row r="21" spans="1:11" ht="15" customHeight="1">
      <c r="A21" s="48"/>
      <c r="B21" s="49" t="str">
        <f>VLOOKUP($C$11:$C$35,Personnel!$A$1:$B$1234,2,FALSE)</f>
        <v>BUS/ CREWCAB DRIVER</v>
      </c>
      <c r="C21" s="36" t="s">
        <v>920</v>
      </c>
      <c r="D21" s="184">
        <v>8</v>
      </c>
      <c r="E21" s="179">
        <f>VLOOKUP($B$11:$B$35,'Constr. Wage Rate Calculations'!$A$19:$Z$288,22,FALSE)</f>
        <v>56.73</v>
      </c>
      <c r="F21" s="184">
        <v>5</v>
      </c>
      <c r="G21" s="179">
        <f>VLOOKUP($B$11:$B$35,'Constr. Wage Rate Calculations'!$A$19:$Z$288,23,FALSE)</f>
        <v>85.1</v>
      </c>
      <c r="H21" s="184"/>
      <c r="I21" s="179">
        <f>VLOOKUP($B$11:$B$35,'Constr. Wage Rate Calculations'!$A$19:$Z$288,24,FALSE)</f>
        <v>113.46</v>
      </c>
      <c r="J21" s="20">
        <f>VLOOKUP($B$11:$B$35,'Constr. Wage Rate Calculations'!$A$19:$Z$288,25,FALSE)</f>
        <v>85</v>
      </c>
      <c r="K21" s="179">
        <f t="shared" si="0"/>
        <v>964.33999999999992</v>
      </c>
    </row>
    <row r="22" spans="1:11" ht="15" customHeight="1">
      <c r="A22" s="48"/>
      <c r="B22" s="49" t="str">
        <f>VLOOKUP($C$11:$C$35,Personnel!$A$1:$B$1234,2,FALSE)</f>
        <v>PURCHASING AGENT</v>
      </c>
      <c r="C22" s="36" t="s">
        <v>1639</v>
      </c>
      <c r="D22" s="184">
        <v>1</v>
      </c>
      <c r="E22" s="179">
        <f>VLOOKUP($B$11:$B$35,'Constr. Wage Rate Calculations'!$A$19:$Z$288,22,FALSE)</f>
        <v>1317.4</v>
      </c>
      <c r="F22" s="184">
        <v>9</v>
      </c>
      <c r="G22" s="179">
        <f>VLOOKUP($B$11:$B$35,'Constr. Wage Rate Calculations'!$A$19:$Z$288,23,FALSE)</f>
        <v>0</v>
      </c>
      <c r="H22" s="184"/>
      <c r="I22" s="179">
        <f>VLOOKUP($B$11:$B$35,'Constr. Wage Rate Calculations'!$A$19:$Z$288,24,FALSE)</f>
        <v>0</v>
      </c>
      <c r="J22" s="20">
        <f>VLOOKUP($B$11:$B$35,'Constr. Wage Rate Calculations'!$A$19:$Z$288,25,FALSE)</f>
        <v>230</v>
      </c>
      <c r="K22" s="179">
        <f t="shared" si="0"/>
        <v>1547.4</v>
      </c>
    </row>
    <row r="23" spans="1:11" ht="15" customHeight="1">
      <c r="A23" s="48"/>
      <c r="B23" s="49">
        <f>VLOOKUP($C$11:$C$35,Personnel!$A$1:$B$1234,2,FALSE)</f>
        <v>0</v>
      </c>
      <c r="C23" s="36"/>
      <c r="D23" s="184"/>
      <c r="E23" s="179">
        <f>VLOOKUP($B$11:$B$35,'Constr. Wage Rate Calculations'!$A$19:$Z$288,22,FALSE)</f>
        <v>0</v>
      </c>
      <c r="F23" s="184"/>
      <c r="G23" s="179">
        <f>VLOOKUP($B$11:$B$35,'Constr. Wage Rate Calculations'!$A$19:$Z$288,23,FALSE)</f>
        <v>0</v>
      </c>
      <c r="H23" s="184"/>
      <c r="I23" s="179">
        <f>VLOOKUP($B$11:$B$35,'Constr. Wage Rate Calculations'!$A$19:$Z$288,24,FALSE)</f>
        <v>0</v>
      </c>
      <c r="J23" s="20">
        <f>VLOOKUP($B$11:$B$35,'Constr. Wage Rate Calculations'!$A$19:$Z$288,25,FALSE)</f>
        <v>0</v>
      </c>
      <c r="K23" s="179" t="str">
        <f t="shared" si="0"/>
        <v/>
      </c>
    </row>
    <row r="24" spans="1:11" ht="15" customHeight="1">
      <c r="A24" s="48"/>
      <c r="B24" s="49">
        <f>VLOOKUP($C$11:$C$35,Personnel!$A$1:$B$1234,2,FALSE)</f>
        <v>0</v>
      </c>
      <c r="C24" s="36"/>
      <c r="D24" s="184"/>
      <c r="E24" s="179">
        <f>VLOOKUP($B$11:$B$35,'Constr. Wage Rate Calculations'!$A$19:$Z$288,22,FALSE)</f>
        <v>0</v>
      </c>
      <c r="F24" s="184"/>
      <c r="G24" s="179">
        <f>VLOOKUP($B$11:$B$35,'Constr. Wage Rate Calculations'!$A$19:$Z$288,23,FALSE)</f>
        <v>0</v>
      </c>
      <c r="H24" s="184"/>
      <c r="I24" s="179">
        <f>VLOOKUP($B$11:$B$35,'Constr. Wage Rate Calculations'!$A$19:$Z$288,24,FALSE)</f>
        <v>0</v>
      </c>
      <c r="J24" s="20">
        <f>VLOOKUP($B$11:$B$35,'Constr. Wage Rate Calculations'!$A$19:$Z$288,25,FALSE)</f>
        <v>0</v>
      </c>
      <c r="K24" s="179" t="str">
        <f t="shared" si="0"/>
        <v/>
      </c>
    </row>
    <row r="25" spans="1:11" ht="15" customHeight="1">
      <c r="A25" s="48"/>
      <c r="B25" s="49">
        <f>VLOOKUP($C$11:$C$35,Personnel!$A$1:$B$1234,2,FALSE)</f>
        <v>0</v>
      </c>
      <c r="C25" s="36"/>
      <c r="D25" s="184"/>
      <c r="E25" s="179">
        <f>VLOOKUP($B$11:$B$35,'Constr. Wage Rate Calculations'!$A$19:$Z$288,22,FALSE)</f>
        <v>0</v>
      </c>
      <c r="F25" s="184"/>
      <c r="G25" s="179">
        <f>VLOOKUP($B$11:$B$35,'Constr. Wage Rate Calculations'!$A$19:$Z$288,23,FALSE)</f>
        <v>0</v>
      </c>
      <c r="H25" s="184"/>
      <c r="I25" s="179">
        <f>VLOOKUP($B$11:$B$35,'Constr. Wage Rate Calculations'!$A$19:$Z$288,24,FALSE)</f>
        <v>0</v>
      </c>
      <c r="J25" s="20">
        <f>VLOOKUP($B$11:$B$35,'Constr. Wage Rate Calculations'!$A$19:$Z$288,25,FALSE)</f>
        <v>0</v>
      </c>
      <c r="K25" s="179" t="str">
        <f t="shared" si="0"/>
        <v/>
      </c>
    </row>
    <row r="26" spans="1:11" ht="15" customHeight="1">
      <c r="A26" s="48"/>
      <c r="B26" s="49">
        <f>VLOOKUP($C$11:$C$35,Personnel!$A$1:$B$1234,2,FALSE)</f>
        <v>0</v>
      </c>
      <c r="C26" s="36"/>
      <c r="D26" s="184"/>
      <c r="E26" s="179">
        <f>VLOOKUP($B$11:$B$35,'Constr. Wage Rate Calculations'!$A$19:$Z$288,22,FALSE)</f>
        <v>0</v>
      </c>
      <c r="F26" s="184"/>
      <c r="G26" s="179">
        <f>VLOOKUP($B$11:$B$35,'Constr. Wage Rate Calculations'!$A$19:$Z$288,23,FALSE)</f>
        <v>0</v>
      </c>
      <c r="H26" s="184"/>
      <c r="I26" s="179">
        <f>VLOOKUP($B$11:$B$35,'Constr. Wage Rate Calculations'!$A$19:$Z$288,24,FALSE)</f>
        <v>0</v>
      </c>
      <c r="J26" s="20">
        <f>VLOOKUP($B$11:$B$35,'Constr. Wage Rate Calculations'!$A$19:$Z$288,25,FALSE)</f>
        <v>0</v>
      </c>
      <c r="K26" s="179" t="str">
        <f>IF($D26&gt;=1,$J26+(D26*E26)+(F26*G26)+(H26*I26),IF($F26&gt;=1,$J26+(D26*E26)+(F26*G26)+(H26*I26),IF($H26&gt;=1,$J26+(D26*E26)+(F26*G26)+(H26*I26),"")))</f>
        <v/>
      </c>
    </row>
    <row r="27" spans="1:11" ht="15" customHeight="1">
      <c r="A27" s="48"/>
      <c r="B27" s="49">
        <f>VLOOKUP($C$11:$C$35,Personnel!$A$1:$B$1234,2,FALSE)</f>
        <v>0</v>
      </c>
      <c r="C27" s="36"/>
      <c r="D27" s="184"/>
      <c r="E27" s="179">
        <f>VLOOKUP($B$11:$B$35,'Constr. Wage Rate Calculations'!$A$19:$Z$288,22,FALSE)</f>
        <v>0</v>
      </c>
      <c r="F27" s="184"/>
      <c r="G27" s="179">
        <f>VLOOKUP($B$11:$B$35,'Constr. Wage Rate Calculations'!$A$19:$Z$288,23,FALSE)</f>
        <v>0</v>
      </c>
      <c r="H27" s="184"/>
      <c r="I27" s="179">
        <f>VLOOKUP($B$11:$B$35,'Constr. Wage Rate Calculations'!$A$19:$Z$288,24,FALSE)</f>
        <v>0</v>
      </c>
      <c r="J27" s="20">
        <f>VLOOKUP($B$11:$B$35,'Constr. Wage Rate Calculations'!$A$19:$Z$288,25,FALSE)</f>
        <v>0</v>
      </c>
      <c r="K27" s="179" t="str">
        <f t="shared" si="0"/>
        <v/>
      </c>
    </row>
    <row r="28" spans="1:11" ht="15" customHeight="1">
      <c r="A28" s="48"/>
      <c r="B28" s="49">
        <f>VLOOKUP($C$11:$C$35,Personnel!$A$1:$B$1234,2,FALSE)</f>
        <v>0</v>
      </c>
      <c r="C28" s="36"/>
      <c r="D28" s="184"/>
      <c r="E28" s="179">
        <f>VLOOKUP($B$11:$B$35,'Constr. Wage Rate Calculations'!$A$19:$Z$288,22,FALSE)</f>
        <v>0</v>
      </c>
      <c r="F28" s="184"/>
      <c r="G28" s="179">
        <f>VLOOKUP($B$11:$B$35,'Constr. Wage Rate Calculations'!$A$19:$Z$288,23,FALSE)</f>
        <v>0</v>
      </c>
      <c r="H28" s="184"/>
      <c r="I28" s="179">
        <f>VLOOKUP($B$11:$B$35,'Constr. Wage Rate Calculations'!$A$19:$Z$288,24,FALSE)</f>
        <v>0</v>
      </c>
      <c r="J28" s="20">
        <f>VLOOKUP($B$11:$B$35,'Constr. Wage Rate Calculations'!$A$19:$Z$288,25,FALSE)</f>
        <v>0</v>
      </c>
      <c r="K28" s="179" t="str">
        <f t="shared" si="0"/>
        <v/>
      </c>
    </row>
    <row r="29" spans="1:11" ht="15" customHeight="1">
      <c r="A29" s="48"/>
      <c r="B29" s="49">
        <f>VLOOKUP($C$11:$C$35,Personnel!$A$1:$B$1234,2,FALSE)</f>
        <v>0</v>
      </c>
      <c r="C29" s="36"/>
      <c r="D29" s="184"/>
      <c r="E29" s="179">
        <f>VLOOKUP($B$11:$B$35,'Constr. Wage Rate Calculations'!$A$19:$Z$288,22,FALSE)</f>
        <v>0</v>
      </c>
      <c r="F29" s="184"/>
      <c r="G29" s="179">
        <f>VLOOKUP($B$11:$B$35,'Constr. Wage Rate Calculations'!$A$19:$Z$288,23,FALSE)</f>
        <v>0</v>
      </c>
      <c r="H29" s="184"/>
      <c r="I29" s="179">
        <f>VLOOKUP($B$11:$B$35,'Constr. Wage Rate Calculations'!$A$19:$Z$288,24,FALSE)</f>
        <v>0</v>
      </c>
      <c r="J29" s="20">
        <f>VLOOKUP($B$11:$B$35,'Constr. Wage Rate Calculations'!$A$19:$Z$288,25,FALSE)</f>
        <v>0</v>
      </c>
      <c r="K29" s="179" t="str">
        <f t="shared" si="0"/>
        <v/>
      </c>
    </row>
    <row r="30" spans="1:11" ht="15" customHeight="1">
      <c r="A30" s="48"/>
      <c r="B30" s="49">
        <f>VLOOKUP($C$11:$C$35,Personnel!$A$1:$B$1234,2,FALSE)</f>
        <v>0</v>
      </c>
      <c r="C30" s="36"/>
      <c r="D30" s="184"/>
      <c r="E30" s="179">
        <f>VLOOKUP($B$11:$B$35,'Constr. Wage Rate Calculations'!$A$19:$Z$288,22,FALSE)</f>
        <v>0</v>
      </c>
      <c r="F30" s="184"/>
      <c r="G30" s="179">
        <f>VLOOKUP($B$11:$B$35,'Constr. Wage Rate Calculations'!$A$19:$Z$288,23,FALSE)</f>
        <v>0</v>
      </c>
      <c r="H30" s="184"/>
      <c r="I30" s="179">
        <f>VLOOKUP($B$11:$B$35,'Constr. Wage Rate Calculations'!$A$19:$Z$288,24,FALSE)</f>
        <v>0</v>
      </c>
      <c r="J30" s="20">
        <f>VLOOKUP($B$11:$B$35,'Constr. Wage Rate Calculations'!$A$19:$Z$288,25,FALSE)</f>
        <v>0</v>
      </c>
      <c r="K30" s="179" t="str">
        <f t="shared" si="0"/>
        <v/>
      </c>
    </row>
    <row r="31" spans="1:11" ht="15" customHeight="1">
      <c r="A31" s="48"/>
      <c r="B31" s="49">
        <f>VLOOKUP($C$11:$C$35,Personnel!$A$1:$B$1234,2,FALSE)</f>
        <v>0</v>
      </c>
      <c r="C31" s="36"/>
      <c r="D31" s="184"/>
      <c r="E31" s="179">
        <f>VLOOKUP($B$11:$B$35,'Constr. Wage Rate Calculations'!$A$19:$Z$288,22,FALSE)</f>
        <v>0</v>
      </c>
      <c r="F31" s="184"/>
      <c r="G31" s="179">
        <f>VLOOKUP($B$11:$B$35,'Constr. Wage Rate Calculations'!$A$19:$Z$288,23,FALSE)</f>
        <v>0</v>
      </c>
      <c r="H31" s="184"/>
      <c r="I31" s="179">
        <f>VLOOKUP($B$11:$B$35,'Constr. Wage Rate Calculations'!$A$19:$Z$288,24,FALSE)</f>
        <v>0</v>
      </c>
      <c r="J31" s="20">
        <f>VLOOKUP($B$11:$B$35,'Constr. Wage Rate Calculations'!$A$19:$Z$288,25,FALSE)</f>
        <v>0</v>
      </c>
      <c r="K31" s="179" t="str">
        <f t="shared" si="0"/>
        <v/>
      </c>
    </row>
    <row r="32" spans="1:11" ht="15" customHeight="1">
      <c r="A32" s="48"/>
      <c r="B32" s="49">
        <f>VLOOKUP($C$11:$C$35,Personnel!$A$1:$B$1234,2,FALSE)</f>
        <v>0</v>
      </c>
      <c r="C32" s="36"/>
      <c r="D32" s="184"/>
      <c r="E32" s="179">
        <f>VLOOKUP($B$11:$B$35,'Constr. Wage Rate Calculations'!$A$19:$Z$288,22,FALSE)</f>
        <v>0</v>
      </c>
      <c r="F32" s="184"/>
      <c r="G32" s="179">
        <f>VLOOKUP($B$11:$B$35,'Constr. Wage Rate Calculations'!$A$19:$Z$288,23,FALSE)</f>
        <v>0</v>
      </c>
      <c r="H32" s="184"/>
      <c r="I32" s="179">
        <f>VLOOKUP($B$11:$B$35,'Constr. Wage Rate Calculations'!$A$19:$Z$288,24,FALSE)</f>
        <v>0</v>
      </c>
      <c r="J32" s="20">
        <f>VLOOKUP($B$11:$B$35,'Constr. Wage Rate Calculations'!$A$19:$Z$288,25,FALSE)</f>
        <v>0</v>
      </c>
      <c r="K32" s="179" t="str">
        <f t="shared" si="0"/>
        <v/>
      </c>
    </row>
    <row r="33" spans="1:15" ht="15" customHeight="1">
      <c r="A33" s="48"/>
      <c r="B33" s="49">
        <f>VLOOKUP($C$11:$C$35,Personnel!$A$1:$B$1234,2,FALSE)</f>
        <v>0</v>
      </c>
      <c r="C33" s="36"/>
      <c r="D33" s="184"/>
      <c r="E33" s="179">
        <f>VLOOKUP($B$11:$B$35,'Constr. Wage Rate Calculations'!$A$19:$Z$288,22,FALSE)</f>
        <v>0</v>
      </c>
      <c r="F33" s="184"/>
      <c r="G33" s="179">
        <f>VLOOKUP($B$11:$B$35,'Constr. Wage Rate Calculations'!$A$19:$Z$288,23,FALSE)</f>
        <v>0</v>
      </c>
      <c r="H33" s="184"/>
      <c r="I33" s="179">
        <f>VLOOKUP($B$11:$B$35,'Constr. Wage Rate Calculations'!$A$19:$Z$288,24,FALSE)</f>
        <v>0</v>
      </c>
      <c r="J33" s="20">
        <f>VLOOKUP($B$11:$B$35,'Constr. Wage Rate Calculations'!$A$19:$Z$288,25,FALSE)</f>
        <v>0</v>
      </c>
      <c r="K33" s="179" t="str">
        <f t="shared" si="0"/>
        <v/>
      </c>
    </row>
    <row r="34" spans="1:15" ht="15" customHeight="1">
      <c r="A34" s="48"/>
      <c r="B34" s="49">
        <f>VLOOKUP($C$11:$C$35,Personnel!$A$1:$B$1234,2,FALSE)</f>
        <v>0</v>
      </c>
      <c r="C34" s="36"/>
      <c r="D34" s="184"/>
      <c r="E34" s="179">
        <f>VLOOKUP($B$11:$B$35,'Constr. Wage Rate Calculations'!$A$19:$Z$288,22,FALSE)</f>
        <v>0</v>
      </c>
      <c r="F34" s="184"/>
      <c r="G34" s="179">
        <f>VLOOKUP($B$11:$B$35,'Constr. Wage Rate Calculations'!$A$19:$Z$288,23,FALSE)</f>
        <v>0</v>
      </c>
      <c r="H34" s="184"/>
      <c r="I34" s="179">
        <f>VLOOKUP($B$11:$B$35,'Constr. Wage Rate Calculations'!$A$19:$Z$288,24,FALSE)</f>
        <v>0</v>
      </c>
      <c r="J34" s="20">
        <f>VLOOKUP($B$11:$B$35,'Constr. Wage Rate Calculations'!$A$19:$Z$288,25,FALSE)</f>
        <v>0</v>
      </c>
      <c r="K34" s="179" t="str">
        <f t="shared" si="0"/>
        <v/>
      </c>
    </row>
    <row r="35" spans="1:15" ht="15" customHeight="1" thickBot="1">
      <c r="A35" s="48"/>
      <c r="B35" s="49">
        <f>VLOOKUP($C$11:$C$35,Personnel!$A$1:$B$1234,2,FALSE)</f>
        <v>0</v>
      </c>
      <c r="C35" s="36"/>
      <c r="D35" s="184"/>
      <c r="E35" s="179">
        <f>VLOOKUP($B$11:$B$35,'Constr. Wage Rate Calculations'!$A$19:$Z$288,22,FALSE)</f>
        <v>0</v>
      </c>
      <c r="F35" s="184"/>
      <c r="G35" s="179">
        <f>VLOOKUP($B$11:$B$35,'Constr. Wage Rate Calculations'!$A$19:$Z$288,23,FALSE)</f>
        <v>0</v>
      </c>
      <c r="H35" s="184"/>
      <c r="I35" s="179">
        <f>VLOOKUP($B$11:$B$35,'Constr. Wage Rate Calculations'!$A$19:$Z$288,24,FALSE)</f>
        <v>0</v>
      </c>
      <c r="J35" s="20">
        <f>VLOOKUP($B$11:$B$35,'Constr. Wage Rate Calculations'!$A$19:$Z$288,25,FALSE)</f>
        <v>0</v>
      </c>
      <c r="K35" s="179" t="str">
        <f t="shared" si="0"/>
        <v/>
      </c>
      <c r="M35" s="1">
        <f>SUM(M11:M27)</f>
        <v>0</v>
      </c>
    </row>
    <row r="36" spans="1:15" ht="15" customHeight="1" thickBot="1">
      <c r="A36"/>
      <c r="B36"/>
      <c r="C36"/>
      <c r="D36" s="21"/>
      <c r="E36" s="21"/>
      <c r="F36" s="21"/>
      <c r="G36" s="21"/>
      <c r="H36" s="21"/>
      <c r="I36" s="360" t="s">
        <v>18</v>
      </c>
      <c r="J36" s="361"/>
      <c r="K36" s="183">
        <f>SUM(K11:K35)</f>
        <v>10705.59</v>
      </c>
      <c r="M36" s="1">
        <f>SUMIFS(D11:D35,D11:D35,"&lt;3",D11:D35,"&lt;5")</f>
        <v>1</v>
      </c>
      <c r="N36" s="1">
        <f>SUMIFS(D11:D35,D11:D35,"&gt;3",D11:D35,"&gt;5")</f>
        <v>80</v>
      </c>
      <c r="O36" s="1">
        <f>SUM(F11:F35,H11:H35,M36,N36)-M35</f>
        <v>139</v>
      </c>
    </row>
    <row r="37" spans="1:15" ht="10" customHeight="1" thickBot="1"/>
    <row r="38" spans="1:15" s="19" customFormat="1" ht="15" customHeight="1" thickBot="1">
      <c r="A38" s="22" t="s">
        <v>19</v>
      </c>
      <c r="B38" s="23" t="s">
        <v>20</v>
      </c>
      <c r="C38" s="23"/>
      <c r="D38" s="23"/>
      <c r="E38" s="23"/>
      <c r="F38" s="23"/>
      <c r="G38" s="23"/>
      <c r="H38" s="18" t="s">
        <v>21</v>
      </c>
      <c r="I38" s="18" t="s">
        <v>22</v>
      </c>
      <c r="J38" s="18" t="s">
        <v>23</v>
      </c>
      <c r="K38" s="18" t="s">
        <v>17</v>
      </c>
    </row>
    <row r="39" spans="1:15" ht="15" customHeight="1">
      <c r="A39" s="43"/>
      <c r="B39" s="49">
        <f>VLOOKUP($C$39:$C$161,Equipment!$A$1:$B$2322,2,FALSE)</f>
        <v>0</v>
      </c>
      <c r="C39" s="24"/>
      <c r="D39" s="24"/>
      <c r="E39" s="24"/>
      <c r="F39" s="24"/>
      <c r="G39" s="24"/>
      <c r="H39" s="185"/>
      <c r="I39" s="184"/>
      <c r="J39" s="42">
        <f>VLOOKUP($B$39:$B$161,'Alberta Equip. Rates Year 3'!$B$13:$K$314,10,FALSE)</f>
        <v>0</v>
      </c>
      <c r="K39" s="181">
        <f t="shared" ref="K39:K40" si="1">(H39+I39)*J39</f>
        <v>0</v>
      </c>
    </row>
    <row r="40" spans="1:15" ht="15" customHeight="1">
      <c r="A40" s="43"/>
      <c r="B40" s="49" t="str">
        <f>VLOOKUP($C$39:$C$161,Equipment!$A$1:$B$2322,2,FALSE)</f>
        <v>Flow Through</v>
      </c>
      <c r="C40" s="259" t="s">
        <v>3991</v>
      </c>
      <c r="D40" s="24"/>
      <c r="E40" s="24"/>
      <c r="F40" s="24"/>
      <c r="G40" s="24"/>
      <c r="H40" s="185">
        <v>1</v>
      </c>
      <c r="I40" s="184"/>
      <c r="J40" s="42">
        <f>VLOOKUP($B$39:$B$161,'Alberta Equip. Rates Year 3'!$B$13:$K$314,10,FALSE)</f>
        <v>0</v>
      </c>
      <c r="K40" s="242">
        <f t="shared" si="1"/>
        <v>0</v>
      </c>
    </row>
    <row r="41" spans="1:15" ht="15" customHeight="1">
      <c r="A41" s="43"/>
      <c r="B41" s="49" t="str">
        <f>VLOOKUP($C$39:$C$161,Equipment!$A$1:$B$2322,2,FALSE)</f>
        <v>Flow Through</v>
      </c>
      <c r="C41" s="259" t="s">
        <v>4203</v>
      </c>
      <c r="D41" s="24"/>
      <c r="E41" s="24"/>
      <c r="F41" s="24"/>
      <c r="G41" s="24"/>
      <c r="H41" s="185">
        <v>1</v>
      </c>
      <c r="I41" s="20"/>
      <c r="J41" s="42">
        <f>VLOOKUP($B$39:$B$161,'Alberta Equip. Rates Year 3'!$B$13:$K$314,10,FALSE)</f>
        <v>0</v>
      </c>
      <c r="K41" s="181">
        <f>(H41+I41)*J41</f>
        <v>0</v>
      </c>
    </row>
    <row r="42" spans="1:15" ht="15" customHeight="1">
      <c r="A42" s="43"/>
      <c r="B42" s="49" t="str">
        <f>VLOOKUP($C$39:$C$161,Equipment!$A$1:$B$2322,2,FALSE)</f>
        <v>Air Compressor - 200 to 250 CFM</v>
      </c>
      <c r="C42" s="259" t="s">
        <v>4139</v>
      </c>
      <c r="D42" s="24"/>
      <c r="E42" s="24"/>
      <c r="F42" s="24"/>
      <c r="G42" s="24"/>
      <c r="H42" s="185">
        <v>1</v>
      </c>
      <c r="I42" s="20"/>
      <c r="J42" s="42">
        <f>VLOOKUP($B$39:$B$161,'Alberta Equip. Rates Year 3'!$B$13:$K$314,10,FALSE)</f>
        <v>149</v>
      </c>
      <c r="K42" s="181">
        <f t="shared" ref="K42:K105" si="2">(H42+I42)*J42</f>
        <v>149</v>
      </c>
    </row>
    <row r="43" spans="1:15" ht="15" customHeight="1">
      <c r="A43" s="43"/>
      <c r="B43" s="49" t="str">
        <f>VLOOKUP($C$39:$C$161,Equipment!$A$1:$B$2322,2,FALSE)</f>
        <v>ATV/Gator</v>
      </c>
      <c r="C43" s="259" t="s">
        <v>3506</v>
      </c>
      <c r="D43" s="24"/>
      <c r="E43" s="24"/>
      <c r="F43" s="24"/>
      <c r="G43" s="24"/>
      <c r="H43" s="185">
        <v>1</v>
      </c>
      <c r="I43" s="184"/>
      <c r="J43" s="42">
        <f>VLOOKUP($B$39:$B$161,'Alberta Equip. Rates Year 3'!$B$13:$K$314,10,FALSE)</f>
        <v>127</v>
      </c>
      <c r="K43" s="181">
        <f t="shared" si="2"/>
        <v>127</v>
      </c>
    </row>
    <row r="44" spans="1:15" ht="15" customHeight="1">
      <c r="A44" s="43"/>
      <c r="B44" s="49" t="str">
        <f>VLOOKUP($C$39:$C$161,Equipment!$A$1:$B$2322,2,FALSE)</f>
        <v>Bus</v>
      </c>
      <c r="C44" s="259" t="s">
        <v>2284</v>
      </c>
      <c r="D44" s="24"/>
      <c r="E44" s="24"/>
      <c r="F44" s="24"/>
      <c r="G44" s="24"/>
      <c r="H44" s="185">
        <v>1</v>
      </c>
      <c r="I44" s="184"/>
      <c r="J44" s="42">
        <f>VLOOKUP($B$39:$B$161,'Alberta Equip. Rates Year 3'!$B$13:$K$314,10,FALSE)</f>
        <v>254</v>
      </c>
      <c r="K44" s="181">
        <f t="shared" si="2"/>
        <v>254</v>
      </c>
    </row>
    <row r="45" spans="1:15" ht="15" customHeight="1">
      <c r="A45" s="43"/>
      <c r="B45" s="49" t="str">
        <f>VLOOKUP($C$39:$C$161,Equipment!$A$1:$B$2322,2,FALSE)</f>
        <v>Bus</v>
      </c>
      <c r="C45" s="259" t="s">
        <v>3009</v>
      </c>
      <c r="D45" s="24"/>
      <c r="E45" s="24"/>
      <c r="F45" s="24"/>
      <c r="G45" s="24"/>
      <c r="H45" s="185">
        <v>1</v>
      </c>
      <c r="I45" s="20"/>
      <c r="J45" s="42">
        <f>VLOOKUP($B$39:$B$161,'Alberta Equip. Rates Year 3'!$B$13:$K$314,10,FALSE)</f>
        <v>254</v>
      </c>
      <c r="K45" s="181">
        <f t="shared" si="2"/>
        <v>254</v>
      </c>
    </row>
    <row r="46" spans="1:15" ht="15" customHeight="1">
      <c r="A46" s="43"/>
      <c r="B46" s="49" t="str">
        <f>VLOOKUP($C$39:$C$161,Equipment!$A$1:$B$2322,2,FALSE)</f>
        <v>Bus</v>
      </c>
      <c r="C46" s="259" t="s">
        <v>1878</v>
      </c>
      <c r="D46" s="24"/>
      <c r="E46" s="24"/>
      <c r="F46" s="24"/>
      <c r="G46" s="24"/>
      <c r="H46" s="185">
        <v>1</v>
      </c>
      <c r="I46" s="184"/>
      <c r="J46" s="42">
        <f>VLOOKUP($B$39:$B$161,'Alberta Equip. Rates Year 3'!$B$13:$K$314,10,FALSE)</f>
        <v>254</v>
      </c>
      <c r="K46" s="181">
        <f t="shared" si="2"/>
        <v>254</v>
      </c>
    </row>
    <row r="47" spans="1:15" ht="15" customHeight="1">
      <c r="A47" s="43"/>
      <c r="B47" s="49" t="str">
        <f>VLOOKUP($C$39:$C$161,Equipment!$A$1:$B$2322,2,FALSE)</f>
        <v>Bus</v>
      </c>
      <c r="C47" s="259" t="s">
        <v>1880</v>
      </c>
      <c r="D47" s="24"/>
      <c r="E47" s="24"/>
      <c r="F47" s="24"/>
      <c r="G47" s="24"/>
      <c r="H47" s="185">
        <v>1</v>
      </c>
      <c r="I47" s="184"/>
      <c r="J47" s="42">
        <f>VLOOKUP($B$39:$B$161,'Alberta Equip. Rates Year 3'!$B$13:$K$314,10,FALSE)</f>
        <v>254</v>
      </c>
      <c r="K47" s="181">
        <f t="shared" si="2"/>
        <v>254</v>
      </c>
    </row>
    <row r="48" spans="1:15" ht="15" customHeight="1">
      <c r="A48" s="43"/>
      <c r="B48" s="49" t="str">
        <f>VLOOKUP($C$39:$C$161,Equipment!$A$1:$B$2322,2,FALSE)</f>
        <v>Bus</v>
      </c>
      <c r="C48" s="259" t="s">
        <v>1881</v>
      </c>
      <c r="D48" s="24"/>
      <c r="E48" s="24"/>
      <c r="F48" s="24"/>
      <c r="G48" s="24"/>
      <c r="H48" s="185">
        <v>1</v>
      </c>
      <c r="I48" s="184"/>
      <c r="J48" s="42">
        <f>VLOOKUP($B$39:$B$161,'Alberta Equip. Rates Year 3'!$B$13:$K$314,10,FALSE)</f>
        <v>254</v>
      </c>
      <c r="K48" s="181">
        <f t="shared" si="2"/>
        <v>254</v>
      </c>
    </row>
    <row r="49" spans="1:11" ht="15" customHeight="1">
      <c r="A49" s="43"/>
      <c r="B49" s="49" t="str">
        <f>VLOOKUP($C$39:$C$161,Equipment!$A$1:$B$2322,2,FALSE)</f>
        <v>Bus</v>
      </c>
      <c r="C49" s="259" t="s">
        <v>3910</v>
      </c>
      <c r="D49" s="24"/>
      <c r="E49" s="24"/>
      <c r="F49" s="24"/>
      <c r="G49" s="24"/>
      <c r="H49" s="185">
        <v>1</v>
      </c>
      <c r="I49" s="184"/>
      <c r="J49" s="42">
        <f>VLOOKUP($B$39:$B$161,'Alberta Equip. Rates Year 3'!$B$13:$K$314,10,FALSE)</f>
        <v>254</v>
      </c>
      <c r="K49" s="181">
        <f t="shared" si="2"/>
        <v>254</v>
      </c>
    </row>
    <row r="50" spans="1:11" ht="15" customHeight="1">
      <c r="A50" s="43"/>
      <c r="B50" s="49" t="str">
        <f>VLOOKUP($C$39:$C$161,Equipment!$A$1:$B$2322,2,FALSE)</f>
        <v>Bus</v>
      </c>
      <c r="C50" s="259" t="s">
        <v>4172</v>
      </c>
      <c r="D50" s="24"/>
      <c r="E50" s="24"/>
      <c r="F50" s="24"/>
      <c r="G50" s="24"/>
      <c r="H50" s="185">
        <v>1</v>
      </c>
      <c r="I50" s="184"/>
      <c r="J50" s="42">
        <f>VLOOKUP($B$39:$B$161,'Alberta Equip. Rates Year 3'!$B$13:$K$314,10,FALSE)</f>
        <v>254</v>
      </c>
      <c r="K50" s="181">
        <f t="shared" si="2"/>
        <v>254</v>
      </c>
    </row>
    <row r="51" spans="1:11" ht="15" customHeight="1">
      <c r="A51" s="43"/>
      <c r="B51" s="49" t="str">
        <f>VLOOKUP($C$39:$C$161,Equipment!$A$1:$B$2322,2,FALSE)</f>
        <v>Bus</v>
      </c>
      <c r="C51" s="259" t="s">
        <v>4193</v>
      </c>
      <c r="D51" s="24"/>
      <c r="E51" s="24"/>
      <c r="F51" s="24"/>
      <c r="G51" s="24"/>
      <c r="H51" s="185">
        <v>1</v>
      </c>
      <c r="I51" s="184"/>
      <c r="J51" s="42">
        <f>VLOOKUP($B$39:$B$161,'Alberta Equip. Rates Year 3'!$B$13:$K$314,10,FALSE)</f>
        <v>254</v>
      </c>
      <c r="K51" s="181">
        <f t="shared" si="2"/>
        <v>254</v>
      </c>
    </row>
    <row r="52" spans="1:11" ht="15" customHeight="1">
      <c r="A52" s="43"/>
      <c r="B52" s="49" t="str">
        <f>VLOOKUP($C$39:$C$161,Equipment!$A$1:$B$2322,2,FALSE)</f>
        <v>Crewcab - 1 Ton</v>
      </c>
      <c r="C52" s="259" t="s">
        <v>3293</v>
      </c>
      <c r="D52" s="24"/>
      <c r="E52" s="24"/>
      <c r="F52" s="24"/>
      <c r="G52" s="24"/>
      <c r="H52" s="185">
        <v>1</v>
      </c>
      <c r="I52" s="184"/>
      <c r="J52" s="42">
        <f>VLOOKUP($B$39:$B$161,'Alberta Equip. Rates Year 3'!$B$13:$K$314,10,FALSE)</f>
        <v>163</v>
      </c>
      <c r="K52" s="181">
        <f t="shared" si="2"/>
        <v>163</v>
      </c>
    </row>
    <row r="53" spans="1:11" ht="15" customHeight="1">
      <c r="A53" s="43"/>
      <c r="B53" s="49" t="str">
        <f>VLOOKUP($C$39:$C$161,Equipment!$A$1:$B$2322,2,FALSE)</f>
        <v>Crewcab - 1 Ton</v>
      </c>
      <c r="C53" s="259" t="s">
        <v>1955</v>
      </c>
      <c r="D53" s="24"/>
      <c r="E53" s="24"/>
      <c r="F53" s="24"/>
      <c r="G53" s="24"/>
      <c r="H53" s="185">
        <v>1</v>
      </c>
      <c r="I53" s="184"/>
      <c r="J53" s="42">
        <f>VLOOKUP($B$39:$B$161,'Alberta Equip. Rates Year 3'!$B$13:$K$314,10,FALSE)</f>
        <v>163</v>
      </c>
      <c r="K53" s="181">
        <f t="shared" si="2"/>
        <v>163</v>
      </c>
    </row>
    <row r="54" spans="1:11" ht="15" customHeight="1">
      <c r="A54" s="43"/>
      <c r="B54" s="49" t="str">
        <f>VLOOKUP($C$39:$C$161,Equipment!$A$1:$B$2322,2,FALSE)</f>
        <v>Crewcab - 1 Ton</v>
      </c>
      <c r="C54" s="259" t="s">
        <v>1959</v>
      </c>
      <c r="D54" s="24"/>
      <c r="E54" s="24"/>
      <c r="F54" s="24"/>
      <c r="G54" s="24"/>
      <c r="H54" s="185">
        <v>1</v>
      </c>
      <c r="I54" s="20"/>
      <c r="J54" s="42">
        <f>VLOOKUP($B$39:$B$161,'Alberta Equip. Rates Year 3'!$B$13:$K$314,10,FALSE)</f>
        <v>163</v>
      </c>
      <c r="K54" s="181">
        <f t="shared" si="2"/>
        <v>163</v>
      </c>
    </row>
    <row r="55" spans="1:11" ht="15" customHeight="1">
      <c r="A55" s="43"/>
      <c r="B55" s="49" t="str">
        <f>VLOOKUP($C$39:$C$161,Equipment!$A$1:$B$2322,2,FALSE)</f>
        <v>Crewcab - 3/4 Ton</v>
      </c>
      <c r="C55" s="259" t="s">
        <v>785</v>
      </c>
      <c r="D55" s="24"/>
      <c r="E55" s="24"/>
      <c r="F55" s="24"/>
      <c r="G55" s="24"/>
      <c r="H55" s="185">
        <v>1</v>
      </c>
      <c r="I55" s="20"/>
      <c r="J55" s="42">
        <f>VLOOKUP($B$39:$B$161,'Alberta Equip. Rates Year 3'!$B$13:$K$314,10,FALSE)</f>
        <v>153</v>
      </c>
      <c r="K55" s="181">
        <f t="shared" si="2"/>
        <v>153</v>
      </c>
    </row>
    <row r="56" spans="1:11" ht="15" customHeight="1">
      <c r="A56" s="43"/>
      <c r="B56" s="49" t="str">
        <f>VLOOKUP($C$39:$C$161,Equipment!$A$1:$B$2322,2,FALSE)</f>
        <v>Crewcab - 3/4 Ton</v>
      </c>
      <c r="C56" s="259" t="s">
        <v>4204</v>
      </c>
      <c r="D56" s="24"/>
      <c r="E56" s="24"/>
      <c r="F56" s="24"/>
      <c r="G56" s="24"/>
      <c r="H56" s="185">
        <v>1</v>
      </c>
      <c r="I56" s="20"/>
      <c r="J56" s="42">
        <f>VLOOKUP($B$39:$B$161,'Alberta Equip. Rates Year 3'!$B$13:$K$314,10,FALSE)</f>
        <v>153</v>
      </c>
      <c r="K56" s="181">
        <f t="shared" si="2"/>
        <v>153</v>
      </c>
    </row>
    <row r="57" spans="1:11" ht="15" customHeight="1">
      <c r="A57" s="43"/>
      <c r="B57" s="49" t="str">
        <f>VLOOKUP($C$39:$C$161,Equipment!$A$1:$B$2322,2,FALSE)</f>
        <v>Crewcab - 3/4 Ton</v>
      </c>
      <c r="C57" s="259" t="s">
        <v>4205</v>
      </c>
      <c r="D57" s="24"/>
      <c r="E57" s="24"/>
      <c r="F57" s="24"/>
      <c r="G57" s="24"/>
      <c r="H57" s="185">
        <v>1</v>
      </c>
      <c r="I57" s="20"/>
      <c r="J57" s="42">
        <f>VLOOKUP($B$39:$B$161,'Alberta Equip. Rates Year 3'!$B$13:$K$314,10,FALSE)</f>
        <v>153</v>
      </c>
      <c r="K57" s="181">
        <f t="shared" si="2"/>
        <v>153</v>
      </c>
    </row>
    <row r="58" spans="1:11" ht="15" customHeight="1">
      <c r="A58" s="43"/>
      <c r="B58" s="49" t="str">
        <f>VLOOKUP($C$39:$C$161,Equipment!$A$1:$B$2322,2,FALSE)</f>
        <v>Dual 100 Kw Generator</v>
      </c>
      <c r="C58" s="259" t="s">
        <v>4102</v>
      </c>
      <c r="D58" s="24"/>
      <c r="E58" s="24"/>
      <c r="F58" s="24"/>
      <c r="G58" s="24"/>
      <c r="H58" s="185">
        <v>1</v>
      </c>
      <c r="I58" s="20"/>
      <c r="J58" s="42">
        <f>VLOOKUP($B$39:$B$161,'Alberta Equip. Rates Year 3'!$B$13:$K$314,10,FALSE)</f>
        <v>658.81</v>
      </c>
      <c r="K58" s="181">
        <f t="shared" si="2"/>
        <v>658.81</v>
      </c>
    </row>
    <row r="59" spans="1:11" ht="15" customHeight="1">
      <c r="A59" s="43"/>
      <c r="B59" s="49" t="str">
        <f>VLOOKUP($C$39:$C$161,Equipment!$A$1:$B$2322,2,FALSE)</f>
        <v>Dual 100 Kw Generator</v>
      </c>
      <c r="C59" s="259" t="s">
        <v>4103</v>
      </c>
      <c r="D59" s="24"/>
      <c r="E59" s="24"/>
      <c r="F59" s="24"/>
      <c r="G59" s="24"/>
      <c r="H59" s="185">
        <v>1</v>
      </c>
      <c r="I59" s="20"/>
      <c r="J59" s="42">
        <f>VLOOKUP($B$39:$B$161,'Alberta Equip. Rates Year 3'!$B$13:$K$314,10,FALSE)</f>
        <v>658.81</v>
      </c>
      <c r="K59" s="181">
        <f t="shared" si="2"/>
        <v>658.81</v>
      </c>
    </row>
    <row r="60" spans="1:11" ht="15" customHeight="1">
      <c r="A60" s="43"/>
      <c r="B60" s="49" t="str">
        <f>VLOOKUP($C$39:$C$161,Equipment!$A$1:$B$2322,2,FALSE)</f>
        <v>Dual 60 Kw Generator</v>
      </c>
      <c r="C60" s="259" t="s">
        <v>4104</v>
      </c>
      <c r="D60" s="24"/>
      <c r="E60" s="24"/>
      <c r="F60" s="24"/>
      <c r="G60" s="24"/>
      <c r="H60" s="185">
        <v>1</v>
      </c>
      <c r="I60" s="20"/>
      <c r="J60" s="42">
        <f>VLOOKUP($B$39:$B$161,'Alberta Equip. Rates Year 3'!$B$13:$K$314,10,FALSE)</f>
        <v>444.5</v>
      </c>
      <c r="K60" s="181">
        <f t="shared" si="2"/>
        <v>444.5</v>
      </c>
    </row>
    <row r="61" spans="1:11" ht="15" customHeight="1">
      <c r="A61" s="43"/>
      <c r="B61" s="49" t="str">
        <f>VLOOKUP($C$39:$C$161,Equipment!$A$1:$B$2322,2,FALSE)</f>
        <v>Flatdeck - 1 Ton</v>
      </c>
      <c r="C61" s="259" t="s">
        <v>2837</v>
      </c>
      <c r="D61" s="24"/>
      <c r="E61" s="24"/>
      <c r="F61" s="24"/>
      <c r="G61" s="24"/>
      <c r="H61" s="185">
        <v>1</v>
      </c>
      <c r="I61" s="20"/>
      <c r="J61" s="42">
        <f>VLOOKUP($B$39:$B$161,'Alberta Equip. Rates Year 3'!$B$13:$K$314,10,FALSE)</f>
        <v>153</v>
      </c>
      <c r="K61" s="181">
        <f t="shared" si="2"/>
        <v>153</v>
      </c>
    </row>
    <row r="62" spans="1:11" ht="15" customHeight="1">
      <c r="A62" s="43"/>
      <c r="B62" s="49" t="str">
        <f>VLOOKUP($C$39:$C$161,Equipment!$A$1:$B$2322,2,FALSE)</f>
        <v>Flatdeck - 1 Ton</v>
      </c>
      <c r="C62" s="259" t="s">
        <v>1926</v>
      </c>
      <c r="D62" s="24"/>
      <c r="E62" s="24"/>
      <c r="F62" s="24"/>
      <c r="G62" s="24"/>
      <c r="H62" s="185">
        <v>1</v>
      </c>
      <c r="I62" s="184"/>
      <c r="J62" s="42">
        <f>VLOOKUP($B$39:$B$161,'Alberta Equip. Rates Year 3'!$B$13:$K$314,10,FALSE)</f>
        <v>153</v>
      </c>
      <c r="K62" s="181">
        <f t="shared" si="2"/>
        <v>153</v>
      </c>
    </row>
    <row r="63" spans="1:11" ht="15" customHeight="1">
      <c r="A63" s="43"/>
      <c r="B63" s="49" t="str">
        <f>VLOOKUP($C$39:$C$161,Equipment!$A$1:$B$2322,2,FALSE)</f>
        <v>Flatdeck - 1 Ton</v>
      </c>
      <c r="C63" s="259" t="s">
        <v>3248</v>
      </c>
      <c r="D63" s="24"/>
      <c r="E63" s="24"/>
      <c r="F63" s="24"/>
      <c r="G63" s="24"/>
      <c r="H63" s="185">
        <v>1</v>
      </c>
      <c r="I63" s="184"/>
      <c r="J63" s="42">
        <f>VLOOKUP($B$39:$B$161,'Alberta Equip. Rates Year 3'!$B$13:$K$314,10,FALSE)</f>
        <v>153</v>
      </c>
      <c r="K63" s="181">
        <f t="shared" si="2"/>
        <v>153</v>
      </c>
    </row>
    <row r="64" spans="1:11" ht="15" customHeight="1">
      <c r="A64" s="43"/>
      <c r="B64" s="49" t="str">
        <f>VLOOKUP($C$39:$C$161,Equipment!$A$1:$B$2322,2,FALSE)</f>
        <v>Flatdeck - 2 Ton</v>
      </c>
      <c r="C64" s="259" t="s">
        <v>1976</v>
      </c>
      <c r="D64" s="24"/>
      <c r="E64" s="24"/>
      <c r="F64" s="24"/>
      <c r="G64" s="24"/>
      <c r="H64" s="185">
        <v>1</v>
      </c>
      <c r="I64" s="184"/>
      <c r="J64" s="42">
        <f>VLOOKUP($B$39:$B$161,'Alberta Equip. Rates Year 3'!$B$13:$K$314,10,FALSE)</f>
        <v>165</v>
      </c>
      <c r="K64" s="181">
        <f t="shared" si="2"/>
        <v>165</v>
      </c>
    </row>
    <row r="65" spans="1:11" ht="15" customHeight="1">
      <c r="A65" s="43"/>
      <c r="B65" s="49" t="str">
        <f>VLOOKUP($C$39:$C$161,Equipment!$A$1:$B$2322,2,FALSE)</f>
        <v>Flatdeck - 2 Ton</v>
      </c>
      <c r="C65" s="259" t="s">
        <v>1964</v>
      </c>
      <c r="D65" s="24"/>
      <c r="E65" s="24"/>
      <c r="F65" s="24"/>
      <c r="G65" s="24"/>
      <c r="H65" s="185">
        <v>1</v>
      </c>
      <c r="I65" s="184"/>
      <c r="J65" s="42">
        <f>VLOOKUP($B$39:$B$161,'Alberta Equip. Rates Year 3'!$B$13:$K$314,10,FALSE)</f>
        <v>165</v>
      </c>
      <c r="K65" s="181">
        <f t="shared" si="2"/>
        <v>165</v>
      </c>
    </row>
    <row r="66" spans="1:11" ht="15" customHeight="1">
      <c r="A66" s="43"/>
      <c r="B66" s="49" t="str">
        <f>VLOOKUP($C$39:$C$161,Equipment!$A$1:$B$2322,2,FALSE)</f>
        <v>Forklift - Zoom Boom</v>
      </c>
      <c r="C66" s="259" t="s">
        <v>1818</v>
      </c>
      <c r="D66" s="24"/>
      <c r="E66" s="24"/>
      <c r="F66" s="24"/>
      <c r="G66" s="24"/>
      <c r="H66" s="185">
        <v>1</v>
      </c>
      <c r="I66" s="184"/>
      <c r="J66" s="42">
        <f>VLOOKUP($B$39:$B$161,'Alberta Equip. Rates Year 3'!$B$13:$K$314,10,FALSE)</f>
        <v>503</v>
      </c>
      <c r="K66" s="181">
        <f t="shared" si="2"/>
        <v>503</v>
      </c>
    </row>
    <row r="67" spans="1:11" ht="15" customHeight="1">
      <c r="A67" s="43"/>
      <c r="B67" s="49" t="str">
        <f>VLOOKUP($C$39:$C$161,Equipment!$A$1:$B$2322,2,FALSE)</f>
        <v>Generator Pump &amp; Light 8-10kW</v>
      </c>
      <c r="C67" s="259" t="s">
        <v>4173</v>
      </c>
      <c r="D67" s="24"/>
      <c r="E67" s="24"/>
      <c r="F67" s="24"/>
      <c r="G67" s="24"/>
      <c r="H67" s="185">
        <v>1</v>
      </c>
      <c r="I67" s="184"/>
      <c r="J67" s="42">
        <f>VLOOKUP($B$39:$B$161,'Alberta Equip. Rates Year 3'!$B$13:$K$314,10,FALSE)</f>
        <v>193.41</v>
      </c>
      <c r="K67" s="181">
        <f t="shared" si="2"/>
        <v>193.41</v>
      </c>
    </row>
    <row r="68" spans="1:11" ht="15" customHeight="1">
      <c r="A68" s="43"/>
      <c r="B68" s="49" t="str">
        <f>VLOOKUP($C$39:$C$161,Equipment!$A$1:$B$2322,2,FALSE)</f>
        <v>Light Tower - 20 kW</v>
      </c>
      <c r="C68" s="259" t="s">
        <v>3746</v>
      </c>
      <c r="D68" s="24"/>
      <c r="E68" s="24"/>
      <c r="F68" s="24"/>
      <c r="G68" s="24"/>
      <c r="H68" s="185">
        <v>1</v>
      </c>
      <c r="I68" s="184"/>
      <c r="J68" s="42">
        <f>VLOOKUP($B$39:$B$161,'Alberta Equip. Rates Year 3'!$B$13:$K$314,10,FALSE)</f>
        <v>318</v>
      </c>
      <c r="K68" s="181">
        <f t="shared" si="2"/>
        <v>318</v>
      </c>
    </row>
    <row r="69" spans="1:11" ht="15" customHeight="1">
      <c r="A69" s="43"/>
      <c r="B69" s="49" t="str">
        <f>VLOOKUP($C$39:$C$161,Equipment!$A$1:$B$2322,2,FALSE)</f>
        <v>Light Tower - 20 kW</v>
      </c>
      <c r="C69" s="259" t="s">
        <v>3176</v>
      </c>
      <c r="D69" s="24"/>
      <c r="E69" s="24"/>
      <c r="F69" s="24"/>
      <c r="G69" s="24"/>
      <c r="H69" s="185">
        <v>1</v>
      </c>
      <c r="I69" s="184"/>
      <c r="J69" s="42">
        <f>VLOOKUP($B$39:$B$161,'Alberta Equip. Rates Year 3'!$B$13:$K$314,10,FALSE)</f>
        <v>318</v>
      </c>
      <c r="K69" s="181">
        <f t="shared" si="2"/>
        <v>318</v>
      </c>
    </row>
    <row r="70" spans="1:11" ht="15" customHeight="1">
      <c r="A70" s="43"/>
      <c r="B70" s="49" t="str">
        <f>VLOOKUP($C$39:$C$161,Equipment!$A$1:$B$2322,2,FALSE)</f>
        <v>Light Tower - 20 kW</v>
      </c>
      <c r="C70" s="259" t="s">
        <v>2569</v>
      </c>
      <c r="D70" s="24"/>
      <c r="E70" s="24"/>
      <c r="F70" s="24"/>
      <c r="G70" s="24"/>
      <c r="H70" s="185">
        <v>1</v>
      </c>
      <c r="I70" s="184"/>
      <c r="J70" s="42">
        <f>VLOOKUP($B$39:$B$161,'Alberta Equip. Rates Year 3'!$B$13:$K$314,10,FALSE)</f>
        <v>318</v>
      </c>
      <c r="K70" s="181">
        <f t="shared" si="2"/>
        <v>318</v>
      </c>
    </row>
    <row r="71" spans="1:11" ht="15" customHeight="1">
      <c r="A71" s="43"/>
      <c r="B71" s="49" t="str">
        <f>VLOOKUP($C$39:$C$161,Equipment!$A$1:$B$2322,2,FALSE)</f>
        <v>Light Tower - 20 kW</v>
      </c>
      <c r="C71" s="259" t="s">
        <v>2570</v>
      </c>
      <c r="D71" s="24"/>
      <c r="E71" s="24"/>
      <c r="F71" s="24"/>
      <c r="G71" s="24"/>
      <c r="H71" s="185">
        <v>1</v>
      </c>
      <c r="I71" s="184"/>
      <c r="J71" s="42">
        <f>VLOOKUP($B$39:$B$161,'Alberta Equip. Rates Year 3'!$B$13:$K$314,10,FALSE)</f>
        <v>318</v>
      </c>
      <c r="K71" s="181">
        <f t="shared" si="2"/>
        <v>318</v>
      </c>
    </row>
    <row r="72" spans="1:11" ht="15" customHeight="1">
      <c r="A72" s="43"/>
      <c r="B72" s="49" t="str">
        <f>VLOOKUP($C$39:$C$161,Equipment!$A$1:$B$2322,2,FALSE)</f>
        <v>Light Tower - 20 kW</v>
      </c>
      <c r="C72" s="259" t="s">
        <v>1822</v>
      </c>
      <c r="D72" s="24"/>
      <c r="E72" s="24"/>
      <c r="F72" s="24"/>
      <c r="G72" s="24"/>
      <c r="H72" s="185">
        <v>1</v>
      </c>
      <c r="I72" s="184"/>
      <c r="J72" s="42">
        <f>VLOOKUP($B$39:$B$161,'Alberta Equip. Rates Year 3'!$B$13:$K$314,10,FALSE)</f>
        <v>318</v>
      </c>
      <c r="K72" s="181">
        <f t="shared" si="2"/>
        <v>318</v>
      </c>
    </row>
    <row r="73" spans="1:11" ht="15" customHeight="1">
      <c r="A73" s="43"/>
      <c r="B73" s="49" t="str">
        <f>VLOOKUP($C$39:$C$161,Equipment!$A$1:$B$2322,2,FALSE)</f>
        <v>Light Tower - 20 kW</v>
      </c>
      <c r="C73" s="259" t="s">
        <v>4023</v>
      </c>
      <c r="D73" s="24"/>
      <c r="E73" s="24"/>
      <c r="F73" s="24"/>
      <c r="G73" s="24"/>
      <c r="H73" s="185">
        <v>1</v>
      </c>
      <c r="I73" s="184"/>
      <c r="J73" s="42">
        <f>VLOOKUP($B$39:$B$161,'Alberta Equip. Rates Year 3'!$B$13:$K$314,10,FALSE)</f>
        <v>318</v>
      </c>
      <c r="K73" s="181">
        <f t="shared" si="2"/>
        <v>318</v>
      </c>
    </row>
    <row r="74" spans="1:11" ht="15" customHeight="1">
      <c r="A74" s="43"/>
      <c r="B74" s="49" t="str">
        <f>VLOOKUP($C$39:$C$161,Equipment!$A$1:$B$2322,2,FALSE)</f>
        <v>Light Tower  - 6 kW</v>
      </c>
      <c r="C74" s="259" t="s">
        <v>3756</v>
      </c>
      <c r="D74" s="24"/>
      <c r="E74" s="24"/>
      <c r="F74" s="24"/>
      <c r="G74" s="24"/>
      <c r="H74" s="185">
        <v>1</v>
      </c>
      <c r="I74" s="184"/>
      <c r="J74" s="42">
        <f>VLOOKUP($B$39:$B$161,'Alberta Equip. Rates Year 3'!$B$13:$K$314,10,FALSE)</f>
        <v>212</v>
      </c>
      <c r="K74" s="181">
        <f t="shared" si="2"/>
        <v>212</v>
      </c>
    </row>
    <row r="75" spans="1:11" ht="15" customHeight="1">
      <c r="A75" s="43"/>
      <c r="B75" s="49" t="str">
        <f>VLOOKUP($C$39:$C$161,Equipment!$A$1:$B$2322,2,FALSE)</f>
        <v>Light Tower  - 6 kW</v>
      </c>
      <c r="C75" s="259" t="s">
        <v>4024</v>
      </c>
      <c r="D75" s="24"/>
      <c r="E75" s="24"/>
      <c r="F75" s="24"/>
      <c r="G75" s="24"/>
      <c r="H75" s="185">
        <v>1</v>
      </c>
      <c r="I75" s="184"/>
      <c r="J75" s="42">
        <f>VLOOKUP($B$39:$B$161,'Alberta Equip. Rates Year 3'!$B$13:$K$314,10,FALSE)</f>
        <v>212</v>
      </c>
      <c r="K75" s="181">
        <f t="shared" si="2"/>
        <v>212</v>
      </c>
    </row>
    <row r="76" spans="1:11" ht="15" customHeight="1">
      <c r="A76" s="43"/>
      <c r="B76" s="49" t="str">
        <f>VLOOKUP($C$39:$C$161,Equipment!$A$1:$B$2322,2,FALSE)</f>
        <v>Light Tower  - 6 kW</v>
      </c>
      <c r="C76" s="259" t="s">
        <v>4054</v>
      </c>
      <c r="D76" s="24"/>
      <c r="E76" s="24"/>
      <c r="F76" s="24"/>
      <c r="G76" s="24"/>
      <c r="H76" s="185">
        <v>1</v>
      </c>
      <c r="I76" s="184"/>
      <c r="J76" s="42">
        <f>VLOOKUP($B$39:$B$161,'Alberta Equip. Rates Year 3'!$B$13:$K$314,10,FALSE)</f>
        <v>212</v>
      </c>
      <c r="K76" s="181">
        <f t="shared" si="2"/>
        <v>212</v>
      </c>
    </row>
    <row r="77" spans="1:11" ht="15" customHeight="1">
      <c r="A77" s="43"/>
      <c r="B77" s="49" t="str">
        <f>VLOOKUP($C$39:$C$161,Equipment!$A$1:$B$2322,2,FALSE)</f>
        <v>Light Tower  - 6 kW</v>
      </c>
      <c r="C77" s="259" t="s">
        <v>4055</v>
      </c>
      <c r="D77" s="24"/>
      <c r="E77" s="24"/>
      <c r="F77" s="24"/>
      <c r="G77" s="24"/>
      <c r="H77" s="185">
        <v>1</v>
      </c>
      <c r="I77" s="184"/>
      <c r="J77" s="42">
        <f>VLOOKUP($B$39:$B$161,'Alberta Equip. Rates Year 3'!$B$13:$K$314,10,FALSE)</f>
        <v>212</v>
      </c>
      <c r="K77" s="181">
        <f t="shared" si="2"/>
        <v>212</v>
      </c>
    </row>
    <row r="78" spans="1:11" ht="15" customHeight="1">
      <c r="A78" s="43"/>
      <c r="B78" s="49" t="str">
        <f>VLOOKUP($C$39:$C$161,Equipment!$A$1:$B$2322,2,FALSE)</f>
        <v>Light Tower  - 6 kW</v>
      </c>
      <c r="C78" s="259" t="s">
        <v>4058</v>
      </c>
      <c r="D78" s="24"/>
      <c r="E78" s="24"/>
      <c r="F78" s="24"/>
      <c r="G78" s="24"/>
      <c r="H78" s="185">
        <v>1</v>
      </c>
      <c r="I78" s="184"/>
      <c r="J78" s="42">
        <f>VLOOKUP($B$39:$B$161,'Alberta Equip. Rates Year 3'!$B$13:$K$314,10,FALSE)</f>
        <v>212</v>
      </c>
      <c r="K78" s="181">
        <f t="shared" si="2"/>
        <v>212</v>
      </c>
    </row>
    <row r="79" spans="1:11" ht="15" customHeight="1">
      <c r="A79" s="43"/>
      <c r="B79" s="49" t="str">
        <f>VLOOKUP($C$39:$C$161,Equipment!$A$1:$B$2322,2,FALSE)</f>
        <v>Light Tower  - 6 kW</v>
      </c>
      <c r="C79" s="259" t="s">
        <v>4059</v>
      </c>
      <c r="D79" s="24"/>
      <c r="E79" s="24"/>
      <c r="F79" s="24"/>
      <c r="G79" s="24"/>
      <c r="H79" s="185">
        <v>1</v>
      </c>
      <c r="I79" s="184"/>
      <c r="J79" s="42">
        <f>VLOOKUP($B$39:$B$161,'Alberta Equip. Rates Year 3'!$B$13:$K$314,10,FALSE)</f>
        <v>212</v>
      </c>
      <c r="K79" s="181">
        <f t="shared" si="2"/>
        <v>212</v>
      </c>
    </row>
    <row r="80" spans="1:11" ht="15" customHeight="1">
      <c r="A80" s="43"/>
      <c r="B80" s="49" t="str">
        <f>VLOOKUP($C$39:$C$161,Equipment!$A$1:$B$2322,2,FALSE)</f>
        <v>Light Tower  - 6 kW</v>
      </c>
      <c r="C80" s="259" t="s">
        <v>3507</v>
      </c>
      <c r="D80" s="24"/>
      <c r="E80" s="24"/>
      <c r="F80" s="24"/>
      <c r="G80" s="24"/>
      <c r="H80" s="185">
        <v>1</v>
      </c>
      <c r="I80" s="184"/>
      <c r="J80" s="42">
        <f>VLOOKUP($B$39:$B$161,'Alberta Equip. Rates Year 3'!$B$13:$K$314,10,FALSE)</f>
        <v>212</v>
      </c>
      <c r="K80" s="181">
        <f t="shared" si="2"/>
        <v>212</v>
      </c>
    </row>
    <row r="81" spans="1:11" ht="15" customHeight="1">
      <c r="A81" s="43"/>
      <c r="B81" s="49" t="str">
        <f>VLOOKUP($C$39:$C$161,Equipment!$A$1:$B$2322,2,FALSE)</f>
        <v>Light Tower  - 6 kW</v>
      </c>
      <c r="C81" s="259" t="s">
        <v>3569</v>
      </c>
      <c r="D81" s="24"/>
      <c r="E81" s="24"/>
      <c r="F81" s="24"/>
      <c r="G81" s="24"/>
      <c r="H81" s="185">
        <v>1</v>
      </c>
      <c r="I81" s="184"/>
      <c r="J81" s="42">
        <f>VLOOKUP($B$39:$B$161,'Alberta Equip. Rates Year 3'!$B$13:$K$314,10,FALSE)</f>
        <v>212</v>
      </c>
      <c r="K81" s="181">
        <f t="shared" si="2"/>
        <v>212</v>
      </c>
    </row>
    <row r="82" spans="1:11" ht="15" customHeight="1">
      <c r="A82" s="43"/>
      <c r="B82" s="49" t="str">
        <f>VLOOKUP($C$39:$C$161,Equipment!$A$1:$B$2322,2,FALSE)</f>
        <v>Light Tower  - 6 kW</v>
      </c>
      <c r="C82" s="259" t="s">
        <v>2859</v>
      </c>
      <c r="D82" s="24"/>
      <c r="E82" s="24"/>
      <c r="F82" s="24"/>
      <c r="G82" s="24"/>
      <c r="H82" s="185">
        <v>1</v>
      </c>
      <c r="I82" s="184"/>
      <c r="J82" s="42">
        <f>VLOOKUP($B$39:$B$161,'Alberta Equip. Rates Year 3'!$B$13:$K$314,10,FALSE)</f>
        <v>212</v>
      </c>
      <c r="K82" s="181">
        <f t="shared" si="2"/>
        <v>212</v>
      </c>
    </row>
    <row r="83" spans="1:11" ht="15" customHeight="1">
      <c r="A83" s="43"/>
      <c r="B83" s="49" t="str">
        <f>VLOOKUP($C$39:$C$161,Equipment!$A$1:$B$2322,2,FALSE)</f>
        <v>Light Tower  - 6 kW</v>
      </c>
      <c r="C83" s="259" t="s">
        <v>3270</v>
      </c>
      <c r="D83" s="24"/>
      <c r="E83" s="24"/>
      <c r="F83" s="24"/>
      <c r="G83" s="24"/>
      <c r="H83" s="185">
        <v>1</v>
      </c>
      <c r="I83" s="184"/>
      <c r="J83" s="42">
        <f>VLOOKUP($B$39:$B$161,'Alberta Equip. Rates Year 3'!$B$13:$K$314,10,FALSE)</f>
        <v>212</v>
      </c>
      <c r="K83" s="181">
        <f t="shared" si="2"/>
        <v>212</v>
      </c>
    </row>
    <row r="84" spans="1:11" ht="15" customHeight="1">
      <c r="A84" s="43"/>
      <c r="B84" s="49" t="str">
        <f>VLOOKUP($C$39:$C$161,Equipment!$A$1:$B$2322,2,FALSE)</f>
        <v>Light Tower  - 6 kW</v>
      </c>
      <c r="C84" s="259" t="s">
        <v>3379</v>
      </c>
      <c r="D84" s="24"/>
      <c r="E84" s="24"/>
      <c r="F84" s="24"/>
      <c r="G84" s="24"/>
      <c r="H84" s="185">
        <v>1</v>
      </c>
      <c r="I84" s="184"/>
      <c r="J84" s="42">
        <f>VLOOKUP($B$39:$B$161,'Alberta Equip. Rates Year 3'!$B$13:$K$314,10,FALSE)</f>
        <v>212</v>
      </c>
      <c r="K84" s="181">
        <f t="shared" si="2"/>
        <v>212</v>
      </c>
    </row>
    <row r="85" spans="1:11" ht="15" customHeight="1">
      <c r="A85" s="43"/>
      <c r="B85" s="49" t="str">
        <f>VLOOKUP($C$39:$C$161,Equipment!$A$1:$B$2322,2,FALSE)</f>
        <v>Light Tower  - 6 kW</v>
      </c>
      <c r="C85" s="259" t="s">
        <v>3380</v>
      </c>
      <c r="D85" s="24"/>
      <c r="E85" s="24"/>
      <c r="F85" s="24"/>
      <c r="G85" s="24"/>
      <c r="H85" s="185">
        <v>1</v>
      </c>
      <c r="I85" s="184"/>
      <c r="J85" s="42">
        <f>VLOOKUP($B$39:$B$161,'Alberta Equip. Rates Year 3'!$B$13:$K$314,10,FALSE)</f>
        <v>212</v>
      </c>
      <c r="K85" s="181">
        <f t="shared" si="2"/>
        <v>212</v>
      </c>
    </row>
    <row r="86" spans="1:11" ht="15" customHeight="1">
      <c r="A86" s="43"/>
      <c r="B86" s="49" t="str">
        <f>VLOOKUP($C$39:$C$161,Equipment!$A$1:$B$2322,2,FALSE)</f>
        <v>Light Tower  - 6 kW</v>
      </c>
      <c r="C86" s="259" t="s">
        <v>3479</v>
      </c>
      <c r="D86" s="24"/>
      <c r="E86" s="24"/>
      <c r="F86" s="24"/>
      <c r="G86" s="24"/>
      <c r="H86" s="185">
        <v>1</v>
      </c>
      <c r="I86" s="184"/>
      <c r="J86" s="42">
        <f>VLOOKUP($B$39:$B$161,'Alberta Equip. Rates Year 3'!$B$13:$K$314,10,FALSE)</f>
        <v>212</v>
      </c>
      <c r="K86" s="181">
        <f t="shared" si="2"/>
        <v>212</v>
      </c>
    </row>
    <row r="87" spans="1:11" ht="15" customHeight="1">
      <c r="A87" s="43"/>
      <c r="B87" s="49" t="str">
        <f>VLOOKUP($C$39:$C$161,Equipment!$A$1:$B$2322,2,FALSE)</f>
        <v>Light Tower  - 6 kW</v>
      </c>
      <c r="C87" s="259" t="s">
        <v>3670</v>
      </c>
      <c r="D87" s="24"/>
      <c r="E87" s="24"/>
      <c r="F87" s="24"/>
      <c r="G87" s="24"/>
      <c r="H87" s="185">
        <v>1</v>
      </c>
      <c r="I87" s="184"/>
      <c r="J87" s="42">
        <f>VLOOKUP($B$39:$B$161,'Alberta Equip. Rates Year 3'!$B$13:$K$314,10,FALSE)</f>
        <v>212</v>
      </c>
      <c r="K87" s="181">
        <f t="shared" si="2"/>
        <v>212</v>
      </c>
    </row>
    <row r="88" spans="1:11" ht="15" customHeight="1">
      <c r="A88" s="43"/>
      <c r="B88" s="49" t="str">
        <f>VLOOKUP($C$39:$C$161,Equipment!$A$1:$B$2322,2,FALSE)</f>
        <v>Light Tower  - 6 kW</v>
      </c>
      <c r="C88" s="259" t="s">
        <v>3747</v>
      </c>
      <c r="D88" s="24"/>
      <c r="E88" s="24"/>
      <c r="F88" s="24"/>
      <c r="G88" s="24"/>
      <c r="H88" s="185">
        <v>1</v>
      </c>
      <c r="I88" s="184"/>
      <c r="J88" s="42">
        <f>VLOOKUP($B$39:$B$161,'Alberta Equip. Rates Year 3'!$B$13:$K$314,10,FALSE)</f>
        <v>212</v>
      </c>
      <c r="K88" s="181">
        <f t="shared" si="2"/>
        <v>212</v>
      </c>
    </row>
    <row r="89" spans="1:11" ht="15" customHeight="1">
      <c r="A89" s="43"/>
      <c r="B89" s="49" t="str">
        <f>VLOOKUP($C$39:$C$161,Equipment!$A$1:$B$2322,2,FALSE)</f>
        <v>Light Tower  - 6 kW</v>
      </c>
      <c r="C89" s="259" t="s">
        <v>3774</v>
      </c>
      <c r="D89" s="24"/>
      <c r="E89" s="24"/>
      <c r="F89" s="24"/>
      <c r="G89" s="24"/>
      <c r="H89" s="185">
        <v>1</v>
      </c>
      <c r="I89" s="184"/>
      <c r="J89" s="42">
        <f>VLOOKUP($B$39:$B$161,'Alberta Equip. Rates Year 3'!$B$13:$K$314,10,FALSE)</f>
        <v>212</v>
      </c>
      <c r="K89" s="181">
        <f t="shared" si="2"/>
        <v>212</v>
      </c>
    </row>
    <row r="90" spans="1:11" ht="15" customHeight="1">
      <c r="A90" s="43"/>
      <c r="B90" s="49" t="str">
        <f>VLOOKUP($C$39:$C$161,Equipment!$A$1:$B$2322,2,FALSE)</f>
        <v>Light Tower  - 6 kW</v>
      </c>
      <c r="C90" s="259" t="s">
        <v>4025</v>
      </c>
      <c r="D90" s="24"/>
      <c r="E90" s="24"/>
      <c r="F90" s="24"/>
      <c r="G90" s="24"/>
      <c r="H90" s="185">
        <v>1</v>
      </c>
      <c r="I90" s="184"/>
      <c r="J90" s="42">
        <f>VLOOKUP($B$39:$B$161,'Alberta Equip. Rates Year 3'!$B$13:$K$314,10,FALSE)</f>
        <v>212</v>
      </c>
      <c r="K90" s="181">
        <f t="shared" si="2"/>
        <v>212</v>
      </c>
    </row>
    <row r="91" spans="1:11" ht="15" customHeight="1">
      <c r="A91" s="43"/>
      <c r="B91" s="49" t="str">
        <f>VLOOKUP($C$39:$C$161,Equipment!$A$1:$B$2322,2,FALSE)</f>
        <v>Loader - Cat 930</v>
      </c>
      <c r="C91" s="259" t="s">
        <v>1819</v>
      </c>
      <c r="D91" s="24"/>
      <c r="E91" s="24"/>
      <c r="F91" s="24"/>
      <c r="G91" s="24"/>
      <c r="H91" s="185">
        <v>1</v>
      </c>
      <c r="I91" s="184"/>
      <c r="J91" s="42">
        <f>VLOOKUP($B$39:$B$161,'Alberta Equip. Rates Year 3'!$B$13:$K$314,10,FALSE)</f>
        <v>477</v>
      </c>
      <c r="K91" s="181">
        <f t="shared" si="2"/>
        <v>477</v>
      </c>
    </row>
    <row r="92" spans="1:11" ht="15" customHeight="1">
      <c r="A92" s="43"/>
      <c r="B92" s="49" t="str">
        <f>VLOOKUP($C$39:$C$161,Equipment!$A$1:$B$2322,2,FALSE)</f>
        <v>Loader - Cat 930</v>
      </c>
      <c r="C92" s="259" t="s">
        <v>629</v>
      </c>
      <c r="D92" s="24"/>
      <c r="E92" s="24"/>
      <c r="F92" s="24"/>
      <c r="G92" s="24"/>
      <c r="H92" s="185">
        <v>1</v>
      </c>
      <c r="I92" s="184"/>
      <c r="J92" s="42">
        <f>VLOOKUP($B$39:$B$161,'Alberta Equip. Rates Year 3'!$B$13:$K$314,10,FALSE)</f>
        <v>477</v>
      </c>
      <c r="K92" s="181">
        <f t="shared" si="2"/>
        <v>477</v>
      </c>
    </row>
    <row r="93" spans="1:11" ht="15" customHeight="1">
      <c r="A93" s="43"/>
      <c r="B93" s="49" t="str">
        <f>VLOOKUP($C$39:$C$161,Equipment!$A$1:$B$2322,2,FALSE)</f>
        <v>Office Trailer</v>
      </c>
      <c r="C93" s="259" t="s">
        <v>4026</v>
      </c>
      <c r="D93" s="24"/>
      <c r="E93" s="24"/>
      <c r="F93" s="24"/>
      <c r="G93" s="24"/>
      <c r="H93" s="185">
        <v>1</v>
      </c>
      <c r="I93" s="184"/>
      <c r="J93" s="42">
        <f>VLOOKUP($B$39:$B$161,'Alberta Equip. Rates Year 3'!$B$13:$K$314,10,FALSE)</f>
        <v>133</v>
      </c>
      <c r="K93" s="181">
        <f t="shared" si="2"/>
        <v>133</v>
      </c>
    </row>
    <row r="94" spans="1:11" ht="15" customHeight="1">
      <c r="A94" s="43"/>
      <c r="B94" s="49" t="str">
        <f>VLOOKUP($C$39:$C$161,Equipment!$A$1:$B$2322,2,FALSE)</f>
        <v>Office Trailer</v>
      </c>
      <c r="C94" s="259" t="s">
        <v>4027</v>
      </c>
      <c r="D94" s="24"/>
      <c r="E94" s="24"/>
      <c r="F94" s="24"/>
      <c r="G94" s="24"/>
      <c r="H94" s="185">
        <v>1</v>
      </c>
      <c r="I94" s="184"/>
      <c r="J94" s="42">
        <f>VLOOKUP($B$39:$B$161,'Alberta Equip. Rates Year 3'!$B$13:$K$314,10,FALSE)</f>
        <v>133</v>
      </c>
      <c r="K94" s="181">
        <f t="shared" si="2"/>
        <v>133</v>
      </c>
    </row>
    <row r="95" spans="1:11" ht="15" customHeight="1">
      <c r="A95" s="43"/>
      <c r="B95" s="49" t="str">
        <f>VLOOKUP($C$39:$C$161,Equipment!$A$1:$B$2322,2,FALSE)</f>
        <v>Office Trailer</v>
      </c>
      <c r="C95" s="259" t="s">
        <v>3825</v>
      </c>
      <c r="D95" s="24"/>
      <c r="E95" s="24"/>
      <c r="F95" s="24"/>
      <c r="G95" s="24"/>
      <c r="H95" s="185">
        <v>1</v>
      </c>
      <c r="I95" s="184"/>
      <c r="J95" s="42">
        <f>VLOOKUP($B$39:$B$161,'Alberta Equip. Rates Year 3'!$B$13:$K$314,10,FALSE)</f>
        <v>133</v>
      </c>
      <c r="K95" s="181">
        <f t="shared" si="2"/>
        <v>133</v>
      </c>
    </row>
    <row r="96" spans="1:11" ht="15" customHeight="1">
      <c r="A96" s="43"/>
      <c r="B96" s="49" t="str">
        <f>VLOOKUP($C$39:$C$161,Equipment!$A$1:$B$2322,2,FALSE)</f>
        <v>Office Trailer</v>
      </c>
      <c r="C96" s="259" t="s">
        <v>3735</v>
      </c>
      <c r="D96" s="24"/>
      <c r="E96" s="24"/>
      <c r="F96" s="24"/>
      <c r="G96" s="24"/>
      <c r="H96" s="185">
        <v>1</v>
      </c>
      <c r="I96" s="184"/>
      <c r="J96" s="42">
        <f>VLOOKUP($B$39:$B$161,'Alberta Equip. Rates Year 3'!$B$13:$K$314,10,FALSE)</f>
        <v>133</v>
      </c>
      <c r="K96" s="181">
        <f t="shared" si="2"/>
        <v>133</v>
      </c>
    </row>
    <row r="97" spans="1:11" ht="15" customHeight="1">
      <c r="A97" s="43"/>
      <c r="B97" s="49" t="str">
        <f>VLOOKUP($C$39:$C$161,Equipment!$A$1:$B$2322,2,FALSE)</f>
        <v>Office Trailer</v>
      </c>
      <c r="C97" s="259" t="s">
        <v>3992</v>
      </c>
      <c r="D97" s="24"/>
      <c r="E97" s="24"/>
      <c r="F97" s="24"/>
      <c r="G97" s="24"/>
      <c r="H97" s="185">
        <v>1</v>
      </c>
      <c r="I97" s="184"/>
      <c r="J97" s="42">
        <f>VLOOKUP($B$39:$B$161,'Alberta Equip. Rates Year 3'!$B$13:$K$314,10,FALSE)</f>
        <v>133</v>
      </c>
      <c r="K97" s="181">
        <f t="shared" si="2"/>
        <v>133</v>
      </c>
    </row>
    <row r="98" spans="1:11" ht="15" customHeight="1">
      <c r="A98" s="43"/>
      <c r="B98" s="49" t="str">
        <f>VLOOKUP($C$39:$C$161,Equipment!$A$1:$B$2322,2,FALSE)</f>
        <v>Office Trailer</v>
      </c>
      <c r="C98" s="259" t="s">
        <v>3993</v>
      </c>
      <c r="D98" s="24"/>
      <c r="E98" s="24"/>
      <c r="F98" s="24"/>
      <c r="G98" s="24"/>
      <c r="H98" s="185">
        <v>1</v>
      </c>
      <c r="I98" s="184"/>
      <c r="J98" s="42">
        <f>VLOOKUP($B$39:$B$161,'Alberta Equip. Rates Year 3'!$B$13:$K$314,10,FALSE)</f>
        <v>133</v>
      </c>
      <c r="K98" s="181">
        <f t="shared" si="2"/>
        <v>133</v>
      </c>
    </row>
    <row r="99" spans="1:11" ht="15" customHeight="1">
      <c r="A99" s="43"/>
      <c r="B99" s="49" t="str">
        <f>VLOOKUP($C$39:$C$161,Equipment!$A$1:$B$2322,2,FALSE)</f>
        <v>Office Trailer</v>
      </c>
      <c r="C99" s="259" t="s">
        <v>3994</v>
      </c>
      <c r="D99" s="24"/>
      <c r="E99" s="24"/>
      <c r="F99" s="24"/>
      <c r="G99" s="24"/>
      <c r="H99" s="185">
        <v>1</v>
      </c>
      <c r="I99" s="184"/>
      <c r="J99" s="42">
        <f>VLOOKUP($B$39:$B$161,'Alberta Equip. Rates Year 3'!$B$13:$K$314,10,FALSE)</f>
        <v>133</v>
      </c>
      <c r="K99" s="181">
        <f t="shared" si="2"/>
        <v>133</v>
      </c>
    </row>
    <row r="100" spans="1:11" ht="15" customHeight="1">
      <c r="A100" s="43"/>
      <c r="B100" s="49" t="str">
        <f>VLOOKUP($C$39:$C$161,Equipment!$A$1:$B$2322,2,FALSE)</f>
        <v>Office Trailer</v>
      </c>
      <c r="C100" s="259" t="s">
        <v>3995</v>
      </c>
      <c r="D100" s="24"/>
      <c r="E100" s="24"/>
      <c r="F100" s="24"/>
      <c r="G100" s="24"/>
      <c r="H100" s="185">
        <v>1</v>
      </c>
      <c r="I100" s="184"/>
      <c r="J100" s="42">
        <f>VLOOKUP($B$39:$B$161,'Alberta Equip. Rates Year 3'!$B$13:$K$314,10,FALSE)</f>
        <v>133</v>
      </c>
      <c r="K100" s="181">
        <f t="shared" si="2"/>
        <v>133</v>
      </c>
    </row>
    <row r="101" spans="1:11" ht="15" customHeight="1">
      <c r="A101" s="43"/>
      <c r="B101" s="49" t="str">
        <f>VLOOKUP($C$39:$C$161,Equipment!$A$1:$B$2322,2,FALSE)</f>
        <v>Office Trailer</v>
      </c>
      <c r="C101" s="259" t="s">
        <v>1824</v>
      </c>
      <c r="D101" s="24"/>
      <c r="E101" s="24"/>
      <c r="F101" s="24"/>
      <c r="G101" s="24"/>
      <c r="H101" s="185">
        <v>1</v>
      </c>
      <c r="I101" s="184"/>
      <c r="J101" s="42">
        <f>VLOOKUP($B$39:$B$161,'Alberta Equip. Rates Year 3'!$B$13:$K$314,10,FALSE)</f>
        <v>133</v>
      </c>
      <c r="K101" s="181">
        <f t="shared" si="2"/>
        <v>133</v>
      </c>
    </row>
    <row r="102" spans="1:11" ht="15" customHeight="1">
      <c r="A102" s="43"/>
      <c r="B102" s="49" t="str">
        <f>VLOOKUP($C$39:$C$161,Equipment!$A$1:$B$2322,2,FALSE)</f>
        <v>Office Trailer</v>
      </c>
      <c r="C102" s="259" t="s">
        <v>1845</v>
      </c>
      <c r="D102" s="24"/>
      <c r="E102" s="24"/>
      <c r="F102" s="24"/>
      <c r="G102" s="24"/>
      <c r="H102" s="185">
        <v>1</v>
      </c>
      <c r="I102" s="184"/>
      <c r="J102" s="42">
        <f>VLOOKUP($B$39:$B$161,'Alberta Equip. Rates Year 3'!$B$13:$K$314,10,FALSE)</f>
        <v>133</v>
      </c>
      <c r="K102" s="181">
        <f t="shared" si="2"/>
        <v>133</v>
      </c>
    </row>
    <row r="103" spans="1:11" ht="15" customHeight="1">
      <c r="A103" s="43"/>
      <c r="B103" s="49" t="str">
        <f>VLOOKUP($C$39:$C$161,Equipment!$A$1:$B$2322,2,FALSE)</f>
        <v>Office Trailer</v>
      </c>
      <c r="C103" s="259" t="s">
        <v>3996</v>
      </c>
      <c r="D103" s="24"/>
      <c r="E103" s="24"/>
      <c r="F103" s="24"/>
      <c r="G103" s="24"/>
      <c r="H103" s="185">
        <v>1</v>
      </c>
      <c r="I103" s="184"/>
      <c r="J103" s="42">
        <f>VLOOKUP($B$39:$B$161,'Alberta Equip. Rates Year 3'!$B$13:$K$314,10,FALSE)</f>
        <v>133</v>
      </c>
      <c r="K103" s="181">
        <f t="shared" si="2"/>
        <v>133</v>
      </c>
    </row>
    <row r="104" spans="1:11" ht="15" customHeight="1">
      <c r="A104" s="43"/>
      <c r="B104" s="49" t="str">
        <f>VLOOKUP($C$39:$C$161,Equipment!$A$1:$B$2322,2,FALSE)</f>
        <v>Office Trailer</v>
      </c>
      <c r="C104" s="259" t="s">
        <v>3997</v>
      </c>
      <c r="D104" s="24"/>
      <c r="E104" s="24"/>
      <c r="F104" s="24"/>
      <c r="G104" s="24"/>
      <c r="H104" s="185">
        <v>1</v>
      </c>
      <c r="I104" s="184"/>
      <c r="J104" s="42">
        <f>VLOOKUP($B$39:$B$161,'Alberta Equip. Rates Year 3'!$B$13:$K$314,10,FALSE)</f>
        <v>133</v>
      </c>
      <c r="K104" s="181">
        <f t="shared" si="2"/>
        <v>133</v>
      </c>
    </row>
    <row r="105" spans="1:11" ht="15" customHeight="1">
      <c r="A105" s="43"/>
      <c r="B105" s="49" t="str">
        <f>VLOOKUP($C$39:$C$161,Equipment!$A$1:$B$2322,2,FALSE)</f>
        <v>Office Trailer</v>
      </c>
      <c r="C105" s="259" t="s">
        <v>875</v>
      </c>
      <c r="D105" s="24"/>
      <c r="E105" s="24"/>
      <c r="F105" s="24"/>
      <c r="G105" s="24"/>
      <c r="H105" s="185">
        <v>1</v>
      </c>
      <c r="I105" s="184"/>
      <c r="J105" s="42">
        <f>VLOOKUP($B$39:$B$161,'Alberta Equip. Rates Year 3'!$B$13:$K$314,10,FALSE)</f>
        <v>133</v>
      </c>
      <c r="K105" s="181">
        <f t="shared" si="2"/>
        <v>133</v>
      </c>
    </row>
    <row r="106" spans="1:11" ht="15" customHeight="1">
      <c r="A106" s="43"/>
      <c r="B106" s="49" t="str">
        <f>VLOOKUP($C$39:$C$161,Equipment!$A$1:$B$2322,2,FALSE)</f>
        <v>Office Trailer</v>
      </c>
      <c r="C106" s="259" t="s">
        <v>777</v>
      </c>
      <c r="D106" s="24"/>
      <c r="E106" s="24"/>
      <c r="F106" s="24"/>
      <c r="G106" s="24"/>
      <c r="H106" s="185">
        <v>1</v>
      </c>
      <c r="I106" s="184"/>
      <c r="J106" s="42">
        <f>VLOOKUP($B$39:$B$161,'Alberta Equip. Rates Year 3'!$B$13:$K$314,10,FALSE)</f>
        <v>133</v>
      </c>
      <c r="K106" s="181">
        <f t="shared" ref="K106:K159" si="3">(H106+I106)*J106</f>
        <v>133</v>
      </c>
    </row>
    <row r="107" spans="1:11" ht="15" customHeight="1">
      <c r="A107" s="43"/>
      <c r="B107" s="49" t="str">
        <f>VLOOKUP($C$39:$C$161,Equipment!$A$1:$B$2322,2,FALSE)</f>
        <v>Office Trailer</v>
      </c>
      <c r="C107" s="259" t="s">
        <v>680</v>
      </c>
      <c r="D107" s="24"/>
      <c r="E107" s="24"/>
      <c r="F107" s="24"/>
      <c r="G107" s="24"/>
      <c r="H107" s="185">
        <v>1</v>
      </c>
      <c r="I107" s="184"/>
      <c r="J107" s="42">
        <f>VLOOKUP($B$39:$B$161,'Alberta Equip. Rates Year 3'!$B$13:$K$314,10,FALSE)</f>
        <v>133</v>
      </c>
      <c r="K107" s="181">
        <f t="shared" si="3"/>
        <v>133</v>
      </c>
    </row>
    <row r="108" spans="1:11" ht="15" customHeight="1">
      <c r="A108" s="43"/>
      <c r="B108" s="49" t="str">
        <f>VLOOKUP($C$39:$C$161,Equipment!$A$1:$B$2322,2,FALSE)</f>
        <v>Pickup - 1/2 Ton</v>
      </c>
      <c r="C108" s="259" t="s">
        <v>1816</v>
      </c>
      <c r="D108" s="24"/>
      <c r="E108" s="24"/>
      <c r="F108" s="24"/>
      <c r="G108" s="24"/>
      <c r="H108" s="185">
        <v>1</v>
      </c>
      <c r="I108" s="184"/>
      <c r="J108" s="42">
        <f>VLOOKUP($B$39:$B$161,'Alberta Equip. Rates Year 3'!$B$13:$K$314,10,FALSE)</f>
        <v>125</v>
      </c>
      <c r="K108" s="181">
        <f t="shared" si="3"/>
        <v>125</v>
      </c>
    </row>
    <row r="109" spans="1:11" ht="15" customHeight="1">
      <c r="A109" s="43"/>
      <c r="B109" s="49" t="str">
        <f>VLOOKUP($C$39:$C$161,Equipment!$A$1:$B$2322,2,FALSE)</f>
        <v>Pickup - 1/2 Ton</v>
      </c>
      <c r="C109" s="259" t="s">
        <v>2011</v>
      </c>
      <c r="D109" s="24"/>
      <c r="E109" s="24"/>
      <c r="F109" s="24"/>
      <c r="G109" s="24"/>
      <c r="H109" s="185">
        <v>1</v>
      </c>
      <c r="I109" s="184"/>
      <c r="J109" s="42">
        <f>VLOOKUP($B$39:$B$161,'Alberta Equip. Rates Year 3'!$B$13:$K$314,10,FALSE)</f>
        <v>125</v>
      </c>
      <c r="K109" s="181">
        <f t="shared" si="3"/>
        <v>125</v>
      </c>
    </row>
    <row r="110" spans="1:11" ht="15" customHeight="1">
      <c r="A110" s="43"/>
      <c r="B110" s="49" t="str">
        <f>VLOOKUP($C$39:$C$161,Equipment!$A$1:$B$2322,2,FALSE)</f>
        <v>Pickup - 1/2 Ton</v>
      </c>
      <c r="C110" s="259" t="s">
        <v>3290</v>
      </c>
      <c r="D110" s="24"/>
      <c r="E110" s="24"/>
      <c r="F110" s="24"/>
      <c r="G110" s="24"/>
      <c r="H110" s="185">
        <v>1</v>
      </c>
      <c r="I110" s="184"/>
      <c r="J110" s="42">
        <f>VLOOKUP($B$39:$B$161,'Alberta Equip. Rates Year 3'!$B$13:$K$314,10,FALSE)</f>
        <v>125</v>
      </c>
      <c r="K110" s="181">
        <f t="shared" si="3"/>
        <v>125</v>
      </c>
    </row>
    <row r="111" spans="1:11" ht="15" customHeight="1">
      <c r="A111" s="43"/>
      <c r="B111" s="49" t="str">
        <f>VLOOKUP($C$39:$C$161,Equipment!$A$1:$B$2322,2,FALSE)</f>
        <v>Pickup - 1/2 Ton</v>
      </c>
      <c r="C111" s="259" t="s">
        <v>4206</v>
      </c>
      <c r="D111" s="24"/>
      <c r="E111" s="24"/>
      <c r="F111" s="24"/>
      <c r="G111" s="24"/>
      <c r="H111" s="185">
        <v>1</v>
      </c>
      <c r="I111" s="184"/>
      <c r="J111" s="42">
        <f>VLOOKUP($B$39:$B$161,'Alberta Equip. Rates Year 3'!$B$13:$K$314,10,FALSE)</f>
        <v>125</v>
      </c>
      <c r="K111" s="181">
        <f t="shared" si="3"/>
        <v>125</v>
      </c>
    </row>
    <row r="112" spans="1:11" ht="15" customHeight="1">
      <c r="A112" s="43"/>
      <c r="B112" s="49" t="str">
        <f>VLOOKUP($C$39:$C$161,Equipment!$A$1:$B$2322,2,FALSE)</f>
        <v>Pickup - 3/4 Ton</v>
      </c>
      <c r="C112" s="259" t="s">
        <v>752</v>
      </c>
      <c r="D112" s="24"/>
      <c r="E112" s="24"/>
      <c r="F112" s="24"/>
      <c r="G112" s="24"/>
      <c r="H112" s="185">
        <v>1</v>
      </c>
      <c r="I112" s="184"/>
      <c r="J112" s="42">
        <f>VLOOKUP($B$39:$B$161,'Alberta Equip. Rates Year 3'!$B$13:$K$314,10,FALSE)</f>
        <v>145</v>
      </c>
      <c r="K112" s="181">
        <f t="shared" si="3"/>
        <v>145</v>
      </c>
    </row>
    <row r="113" spans="1:11" ht="15" customHeight="1">
      <c r="A113" s="43"/>
      <c r="B113" s="49" t="str">
        <f>VLOOKUP($C$39:$C$161,Equipment!$A$1:$B$2322,2,FALSE)</f>
        <v>Pickup - 3/4 Ton</v>
      </c>
      <c r="C113" s="259" t="s">
        <v>753</v>
      </c>
      <c r="D113" s="24"/>
      <c r="E113" s="24"/>
      <c r="F113" s="24"/>
      <c r="G113" s="24"/>
      <c r="H113" s="185">
        <v>1</v>
      </c>
      <c r="I113" s="184"/>
      <c r="J113" s="42">
        <f>VLOOKUP($B$39:$B$161,'Alberta Equip. Rates Year 3'!$B$13:$K$314,10,FALSE)</f>
        <v>145</v>
      </c>
      <c r="K113" s="181">
        <f t="shared" si="3"/>
        <v>145</v>
      </c>
    </row>
    <row r="114" spans="1:11" ht="15" customHeight="1">
      <c r="A114" s="43"/>
      <c r="B114" s="49" t="str">
        <f>VLOOKUP($C$39:$C$161,Equipment!$A$1:$B$2322,2,FALSE)</f>
        <v>Port Heater BT400-460H</v>
      </c>
      <c r="C114" s="259" t="s">
        <v>3604</v>
      </c>
      <c r="D114" s="24"/>
      <c r="E114" s="24"/>
      <c r="F114" s="24"/>
      <c r="G114" s="24"/>
      <c r="H114" s="185">
        <v>1</v>
      </c>
      <c r="I114" s="184"/>
      <c r="J114" s="42">
        <f>VLOOKUP($B$39:$B$161,'Alberta Equip. Rates Year 3'!$B$13:$K$314,10,FALSE)</f>
        <v>27</v>
      </c>
      <c r="K114" s="181">
        <f t="shared" si="3"/>
        <v>27</v>
      </c>
    </row>
    <row r="115" spans="1:11" ht="15" customHeight="1">
      <c r="A115" s="43"/>
      <c r="B115" s="49" t="str">
        <f>VLOOKUP($C$39:$C$161,Equipment!$A$1:$B$2322,2,FALSE)</f>
        <v>Portable Shop</v>
      </c>
      <c r="C115" s="259" t="s">
        <v>4028</v>
      </c>
      <c r="D115" s="24"/>
      <c r="E115" s="24"/>
      <c r="F115" s="24"/>
      <c r="G115" s="24"/>
      <c r="H115" s="185">
        <v>1</v>
      </c>
      <c r="I115" s="184"/>
      <c r="J115" s="42">
        <f>VLOOKUP($B$39:$B$161,'Alberta Equip. Rates Year 3'!$B$13:$K$314,10,FALSE)</f>
        <v>265</v>
      </c>
      <c r="K115" s="181">
        <f t="shared" si="3"/>
        <v>265</v>
      </c>
    </row>
    <row r="116" spans="1:11" ht="15" customHeight="1">
      <c r="A116" s="43"/>
      <c r="B116" s="49" t="str">
        <f>VLOOKUP($C$39:$C$161,Equipment!$A$1:$B$2322,2,FALSE)</f>
        <v>Portable Shop</v>
      </c>
      <c r="C116" s="259" t="s">
        <v>1004</v>
      </c>
      <c r="D116" s="24"/>
      <c r="E116" s="24"/>
      <c r="F116" s="24"/>
      <c r="G116" s="24"/>
      <c r="H116" s="185">
        <v>1</v>
      </c>
      <c r="I116" s="184"/>
      <c r="J116" s="42">
        <f>VLOOKUP($B$39:$B$161,'Alberta Equip. Rates Year 3'!$B$13:$K$314,10,FALSE)</f>
        <v>265</v>
      </c>
      <c r="K116" s="181">
        <f t="shared" si="3"/>
        <v>265</v>
      </c>
    </row>
    <row r="117" spans="1:11" ht="15" customHeight="1">
      <c r="A117" s="43"/>
      <c r="B117" s="49" t="str">
        <f>VLOOKUP($C$39:$C$161,Equipment!$A$1:$B$2322,2,FALSE)</f>
        <v>Portable Shop Heater - Allmand</v>
      </c>
      <c r="C117" s="259" t="s">
        <v>4029</v>
      </c>
      <c r="D117" s="24"/>
      <c r="E117" s="24"/>
      <c r="F117" s="24"/>
      <c r="G117" s="24"/>
      <c r="H117" s="185">
        <v>1</v>
      </c>
      <c r="I117" s="184"/>
      <c r="J117" s="42">
        <f>VLOOKUP($B$39:$B$161,'Alberta Equip. Rates Year 3'!$B$13:$K$314,10,FALSE)</f>
        <v>61.7</v>
      </c>
      <c r="K117" s="181">
        <f t="shared" si="3"/>
        <v>61.7</v>
      </c>
    </row>
    <row r="118" spans="1:11" ht="15" customHeight="1">
      <c r="A118" s="43"/>
      <c r="B118" s="49" t="str">
        <f>VLOOKUP($C$39:$C$161,Equipment!$A$1:$B$2322,2,FALSE)</f>
        <v>Propane Station Unit</v>
      </c>
      <c r="C118" s="259" t="s">
        <v>1850</v>
      </c>
      <c r="D118" s="24"/>
      <c r="E118" s="24"/>
      <c r="F118" s="24"/>
      <c r="G118" s="24"/>
      <c r="H118" s="185">
        <v>1</v>
      </c>
      <c r="I118" s="184"/>
      <c r="J118" s="42">
        <f>VLOOKUP($B$39:$B$161,'Alberta Equip. Rates Year 3'!$B$13:$K$314,10,FALSE)</f>
        <v>158.75</v>
      </c>
      <c r="K118" s="181">
        <f t="shared" si="3"/>
        <v>158.75</v>
      </c>
    </row>
    <row r="119" spans="1:11" ht="15" customHeight="1">
      <c r="A119" s="43"/>
      <c r="B119" s="49" t="str">
        <f>VLOOKUP($C$39:$C$161,Equipment!$A$1:$B$2322,2,FALSE)</f>
        <v>SILT FENCE INSTALLATION ATTACHMENT</v>
      </c>
      <c r="C119" s="259" t="s">
        <v>3500</v>
      </c>
      <c r="D119" s="24"/>
      <c r="E119" s="24"/>
      <c r="F119" s="24"/>
      <c r="G119" s="24"/>
      <c r="H119" s="185">
        <v>1</v>
      </c>
      <c r="I119" s="184"/>
      <c r="J119" s="42">
        <f>VLOOKUP($B$39:$B$161,'Alberta Equip. Rates Year 3'!$B$13:$K$314,10,FALSE)</f>
        <v>41.89</v>
      </c>
      <c r="K119" s="181">
        <f t="shared" si="3"/>
        <v>41.89</v>
      </c>
    </row>
    <row r="120" spans="1:11" ht="15" customHeight="1">
      <c r="A120" s="43"/>
      <c r="B120" s="49" t="str">
        <f>VLOOKUP($C$39:$C$161,Equipment!$A$1:$B$2322,2,FALSE)</f>
        <v>Stepdeck Trailer</v>
      </c>
      <c r="C120" s="259" t="s">
        <v>1857</v>
      </c>
      <c r="D120" s="24"/>
      <c r="E120" s="24"/>
      <c r="F120" s="24"/>
      <c r="G120" s="24"/>
      <c r="H120" s="185">
        <v>1</v>
      </c>
      <c r="I120" s="184"/>
      <c r="J120" s="42">
        <f>VLOOKUP($B$39:$B$161,'Alberta Equip. Rates Year 3'!$B$13:$K$314,10,FALSE)</f>
        <v>170</v>
      </c>
      <c r="K120" s="181">
        <f t="shared" si="3"/>
        <v>170</v>
      </c>
    </row>
    <row r="121" spans="1:11" ht="15" customHeight="1">
      <c r="A121" s="43"/>
      <c r="B121" s="49" t="str">
        <f>VLOOKUP($C$39:$C$161,Equipment!$A$1:$B$2322,2,FALSE)</f>
        <v>Storage Containers</v>
      </c>
      <c r="C121" s="259" t="s">
        <v>808</v>
      </c>
      <c r="D121" s="24"/>
      <c r="E121" s="24"/>
      <c r="F121" s="24"/>
      <c r="G121" s="24"/>
      <c r="H121" s="185">
        <v>1</v>
      </c>
      <c r="I121" s="184"/>
      <c r="J121" s="42">
        <f>VLOOKUP($B$39:$B$161,'Alberta Equip. Rates Year 3'!$B$13:$K$314,10,FALSE)</f>
        <v>27</v>
      </c>
      <c r="K121" s="181">
        <f t="shared" si="3"/>
        <v>27</v>
      </c>
    </row>
    <row r="122" spans="1:11" ht="15" customHeight="1">
      <c r="A122" s="43"/>
      <c r="B122" s="49" t="str">
        <f>VLOOKUP($C$39:$C$161,Equipment!$A$1:$B$2322,2,FALSE)</f>
        <v>Storage Containers</v>
      </c>
      <c r="C122" s="259" t="s">
        <v>811</v>
      </c>
      <c r="D122" s="24"/>
      <c r="E122" s="24"/>
      <c r="F122" s="24"/>
      <c r="G122" s="24"/>
      <c r="H122" s="185">
        <v>1</v>
      </c>
      <c r="I122" s="184"/>
      <c r="J122" s="42">
        <f>VLOOKUP($B$39:$B$161,'Alberta Equip. Rates Year 3'!$B$13:$K$314,10,FALSE)</f>
        <v>27</v>
      </c>
      <c r="K122" s="181">
        <f t="shared" si="3"/>
        <v>27</v>
      </c>
    </row>
    <row r="123" spans="1:11" ht="15" customHeight="1">
      <c r="A123" s="43"/>
      <c r="B123" s="49" t="str">
        <f>VLOOKUP($C$39:$C$161,Equipment!$A$1:$B$2322,2,FALSE)</f>
        <v>Storage Containers</v>
      </c>
      <c r="C123" s="259" t="s">
        <v>651</v>
      </c>
      <c r="D123" s="24"/>
      <c r="E123" s="24"/>
      <c r="F123" s="24"/>
      <c r="G123" s="24"/>
      <c r="H123" s="185">
        <v>1</v>
      </c>
      <c r="I123" s="184"/>
      <c r="J123" s="42">
        <f>VLOOKUP($B$39:$B$161,'Alberta Equip. Rates Year 3'!$B$13:$K$314,10,FALSE)</f>
        <v>27</v>
      </c>
      <c r="K123" s="181">
        <f t="shared" si="3"/>
        <v>27</v>
      </c>
    </row>
    <row r="124" spans="1:11" ht="15" customHeight="1">
      <c r="A124" s="43"/>
      <c r="B124" s="49" t="str">
        <f>VLOOKUP($C$39:$C$161,Equipment!$A$1:$B$2322,2,FALSE)</f>
        <v>Storage Containers</v>
      </c>
      <c r="C124" s="259" t="s">
        <v>652</v>
      </c>
      <c r="D124" s="24"/>
      <c r="E124" s="24"/>
      <c r="F124" s="24"/>
      <c r="G124" s="24"/>
      <c r="H124" s="185">
        <v>1</v>
      </c>
      <c r="I124" s="184"/>
      <c r="J124" s="42">
        <f>VLOOKUP($B$39:$B$161,'Alberta Equip. Rates Year 3'!$B$13:$K$314,10,FALSE)</f>
        <v>27</v>
      </c>
      <c r="K124" s="181">
        <f t="shared" si="3"/>
        <v>27</v>
      </c>
    </row>
    <row r="125" spans="1:11" ht="15" customHeight="1">
      <c r="A125" s="43"/>
      <c r="B125" s="49" t="str">
        <f>VLOOKUP($C$39:$C$161,Equipment!$A$1:$B$2322,2,FALSE)</f>
        <v>Storage Containers</v>
      </c>
      <c r="C125" s="259" t="s">
        <v>812</v>
      </c>
      <c r="D125" s="24"/>
      <c r="E125" s="24"/>
      <c r="F125" s="24"/>
      <c r="G125" s="24"/>
      <c r="H125" s="185">
        <v>1</v>
      </c>
      <c r="I125" s="184"/>
      <c r="J125" s="42">
        <f>VLOOKUP($B$39:$B$161,'Alberta Equip. Rates Year 3'!$B$13:$K$314,10,FALSE)</f>
        <v>27</v>
      </c>
      <c r="K125" s="181">
        <f t="shared" si="3"/>
        <v>27</v>
      </c>
    </row>
    <row r="126" spans="1:11" ht="15" customHeight="1">
      <c r="A126" s="43"/>
      <c r="B126" s="49" t="str">
        <f>VLOOKUP($C$39:$C$161,Equipment!$A$1:$B$2322,2,FALSE)</f>
        <v>Storage Containers</v>
      </c>
      <c r="C126" s="259" t="s">
        <v>1309</v>
      </c>
      <c r="D126" s="24"/>
      <c r="E126" s="24"/>
      <c r="F126" s="24"/>
      <c r="G126" s="24"/>
      <c r="H126" s="185">
        <v>1</v>
      </c>
      <c r="I126" s="184"/>
      <c r="J126" s="42">
        <f>VLOOKUP($B$39:$B$161,'Alberta Equip. Rates Year 3'!$B$13:$K$314,10,FALSE)</f>
        <v>27</v>
      </c>
      <c r="K126" s="181">
        <f t="shared" si="3"/>
        <v>27</v>
      </c>
    </row>
    <row r="127" spans="1:11" ht="15" customHeight="1">
      <c r="A127" s="43"/>
      <c r="B127" s="49" t="str">
        <f>VLOOKUP($C$39:$C$161,Equipment!$A$1:$B$2322,2,FALSE)</f>
        <v>Storage Containers</v>
      </c>
      <c r="C127" s="259" t="s">
        <v>653</v>
      </c>
      <c r="D127" s="24"/>
      <c r="E127" s="24"/>
      <c r="F127" s="24"/>
      <c r="G127" s="24"/>
      <c r="H127" s="185">
        <v>1</v>
      </c>
      <c r="I127" s="184"/>
      <c r="J127" s="42">
        <f>VLOOKUP($B$39:$B$161,'Alberta Equip. Rates Year 3'!$B$13:$K$314,10,FALSE)</f>
        <v>27</v>
      </c>
      <c r="K127" s="181">
        <f t="shared" si="3"/>
        <v>27</v>
      </c>
    </row>
    <row r="128" spans="1:11" ht="15" customHeight="1">
      <c r="A128" s="43"/>
      <c r="B128" s="49" t="str">
        <f>VLOOKUP($C$39:$C$161,Equipment!$A$1:$B$2322,2,FALSE)</f>
        <v>Storage Containers</v>
      </c>
      <c r="C128" s="259" t="s">
        <v>645</v>
      </c>
      <c r="D128" s="24"/>
      <c r="E128" s="24"/>
      <c r="F128" s="24"/>
      <c r="G128" s="24"/>
      <c r="H128" s="185">
        <v>1</v>
      </c>
      <c r="I128" s="184"/>
      <c r="J128" s="42">
        <f>VLOOKUP($B$39:$B$161,'Alberta Equip. Rates Year 3'!$B$13:$K$314,10,FALSE)</f>
        <v>27</v>
      </c>
      <c r="K128" s="181">
        <f t="shared" si="3"/>
        <v>27</v>
      </c>
    </row>
    <row r="129" spans="1:11" ht="15" customHeight="1">
      <c r="A129" s="43"/>
      <c r="B129" s="49" t="str">
        <f>VLOOKUP($C$39:$C$161,Equipment!$A$1:$B$2322,2,FALSE)</f>
        <v>Storage Containers</v>
      </c>
      <c r="C129" s="259" t="s">
        <v>813</v>
      </c>
      <c r="D129" s="24"/>
      <c r="E129" s="24"/>
      <c r="F129" s="24"/>
      <c r="G129" s="24"/>
      <c r="H129" s="185">
        <v>1</v>
      </c>
      <c r="I129" s="184"/>
      <c r="J129" s="42">
        <f>VLOOKUP($B$39:$B$161,'Alberta Equip. Rates Year 3'!$B$13:$K$314,10,FALSE)</f>
        <v>27</v>
      </c>
      <c r="K129" s="181">
        <f t="shared" si="3"/>
        <v>27</v>
      </c>
    </row>
    <row r="130" spans="1:11" ht="15" customHeight="1">
      <c r="A130" s="43"/>
      <c r="B130" s="49" t="str">
        <f>VLOOKUP($C$39:$C$161,Equipment!$A$1:$B$2322,2,FALSE)</f>
        <v>Storage Containers</v>
      </c>
      <c r="C130" s="259" t="s">
        <v>654</v>
      </c>
      <c r="D130" s="24"/>
      <c r="E130" s="24"/>
      <c r="F130" s="24"/>
      <c r="G130" s="24"/>
      <c r="H130" s="185">
        <v>1</v>
      </c>
      <c r="I130" s="184"/>
      <c r="J130" s="42">
        <f>VLOOKUP($B$39:$B$161,'Alberta Equip. Rates Year 3'!$B$13:$K$314,10,FALSE)</f>
        <v>27</v>
      </c>
      <c r="K130" s="181">
        <f t="shared" si="3"/>
        <v>27</v>
      </c>
    </row>
    <row r="131" spans="1:11" ht="15" customHeight="1">
      <c r="A131" s="43"/>
      <c r="B131" s="49" t="str">
        <f>VLOOKUP($C$39:$C$161,Equipment!$A$1:$B$2322,2,FALSE)</f>
        <v>Storage Containers</v>
      </c>
      <c r="C131" s="259" t="s">
        <v>814</v>
      </c>
      <c r="D131" s="24"/>
      <c r="E131" s="24"/>
      <c r="F131" s="24"/>
      <c r="G131" s="24"/>
      <c r="H131" s="185">
        <v>1</v>
      </c>
      <c r="I131" s="184"/>
      <c r="J131" s="42">
        <f>VLOOKUP($B$39:$B$161,'Alberta Equip. Rates Year 3'!$B$13:$K$314,10,FALSE)</f>
        <v>27</v>
      </c>
      <c r="K131" s="181">
        <f t="shared" si="3"/>
        <v>27</v>
      </c>
    </row>
    <row r="132" spans="1:11" ht="15" customHeight="1">
      <c r="A132" s="43"/>
      <c r="B132" s="49" t="str">
        <f>VLOOKUP($C$39:$C$161,Equipment!$A$1:$B$2322,2,FALSE)</f>
        <v>Storage Containers</v>
      </c>
      <c r="C132" s="259" t="s">
        <v>1848</v>
      </c>
      <c r="D132" s="24"/>
      <c r="E132" s="24"/>
      <c r="F132" s="24"/>
      <c r="G132" s="24"/>
      <c r="H132" s="185">
        <v>1</v>
      </c>
      <c r="I132" s="184"/>
      <c r="J132" s="42">
        <f>VLOOKUP($B$39:$B$161,'Alberta Equip. Rates Year 3'!$B$13:$K$314,10,FALSE)</f>
        <v>27</v>
      </c>
      <c r="K132" s="181">
        <f t="shared" si="3"/>
        <v>27</v>
      </c>
    </row>
    <row r="133" spans="1:11" ht="15" customHeight="1">
      <c r="A133" s="43"/>
      <c r="B133" s="49" t="str">
        <f>VLOOKUP($C$39:$C$161,Equipment!$A$1:$B$2322,2,FALSE)</f>
        <v>Storage Containers</v>
      </c>
      <c r="C133" s="259" t="s">
        <v>2135</v>
      </c>
      <c r="D133" s="24"/>
      <c r="E133" s="24"/>
      <c r="F133" s="24"/>
      <c r="G133" s="24"/>
      <c r="H133" s="185">
        <v>1</v>
      </c>
      <c r="I133" s="184"/>
      <c r="J133" s="42">
        <f>VLOOKUP($B$39:$B$161,'Alberta Equip. Rates Year 3'!$B$13:$K$314,10,FALSE)</f>
        <v>27</v>
      </c>
      <c r="K133" s="181">
        <f t="shared" si="3"/>
        <v>27</v>
      </c>
    </row>
    <row r="134" spans="1:11" ht="15" customHeight="1">
      <c r="A134" s="43"/>
      <c r="B134" s="49" t="str">
        <f>VLOOKUP($C$39:$C$161,Equipment!$A$1:$B$2322,2,FALSE)</f>
        <v>Storage Containers</v>
      </c>
      <c r="C134" s="259" t="s">
        <v>2136</v>
      </c>
      <c r="D134" s="24"/>
      <c r="E134" s="24"/>
      <c r="F134" s="24"/>
      <c r="G134" s="24"/>
      <c r="H134" s="185">
        <v>1</v>
      </c>
      <c r="I134" s="184"/>
      <c r="J134" s="42">
        <f>VLOOKUP($B$39:$B$161,'Alberta Equip. Rates Year 3'!$B$13:$K$314,10,FALSE)</f>
        <v>27</v>
      </c>
      <c r="K134" s="181">
        <f t="shared" si="3"/>
        <v>27</v>
      </c>
    </row>
    <row r="135" spans="1:11" ht="15" customHeight="1">
      <c r="A135" s="43"/>
      <c r="B135" s="49" t="str">
        <f>VLOOKUP($C$39:$C$161,Equipment!$A$1:$B$2322,2,FALSE)</f>
        <v>Storage Containers</v>
      </c>
      <c r="C135" s="259" t="s">
        <v>647</v>
      </c>
      <c r="D135" s="24"/>
      <c r="E135" s="24"/>
      <c r="F135" s="24"/>
      <c r="G135" s="24"/>
      <c r="H135" s="185">
        <v>1</v>
      </c>
      <c r="I135" s="184"/>
      <c r="J135" s="42">
        <f>VLOOKUP($B$39:$B$161,'Alberta Equip. Rates Year 3'!$B$13:$K$314,10,FALSE)</f>
        <v>27</v>
      </c>
      <c r="K135" s="181">
        <f t="shared" si="3"/>
        <v>27</v>
      </c>
    </row>
    <row r="136" spans="1:11" ht="15" customHeight="1">
      <c r="A136" s="43"/>
      <c r="B136" s="49" t="str">
        <f>VLOOKUP($C$39:$C$161,Equipment!$A$1:$B$2322,2,FALSE)</f>
        <v>Storage Containers</v>
      </c>
      <c r="C136" s="259" t="s">
        <v>648</v>
      </c>
      <c r="D136" s="24"/>
      <c r="E136" s="24"/>
      <c r="F136" s="24"/>
      <c r="G136" s="24"/>
      <c r="H136" s="185">
        <v>1</v>
      </c>
      <c r="I136" s="184"/>
      <c r="J136" s="42">
        <f>VLOOKUP($B$39:$B$161,'Alberta Equip. Rates Year 3'!$B$13:$K$314,10,FALSE)</f>
        <v>27</v>
      </c>
      <c r="K136" s="181">
        <f t="shared" si="3"/>
        <v>27</v>
      </c>
    </row>
    <row r="137" spans="1:11" ht="15" customHeight="1">
      <c r="A137" s="43"/>
      <c r="B137" s="49" t="str">
        <f>VLOOKUP($C$39:$C$161,Equipment!$A$1:$B$2322,2,FALSE)</f>
        <v>Storage Containers</v>
      </c>
      <c r="C137" s="259" t="s">
        <v>649</v>
      </c>
      <c r="D137" s="24"/>
      <c r="E137" s="24"/>
      <c r="F137" s="24"/>
      <c r="G137" s="24"/>
      <c r="H137" s="185">
        <v>1</v>
      </c>
      <c r="I137" s="184"/>
      <c r="J137" s="42">
        <f>VLOOKUP($B$39:$B$161,'Alberta Equip. Rates Year 3'!$B$13:$K$314,10,FALSE)</f>
        <v>27</v>
      </c>
      <c r="K137" s="181">
        <f t="shared" si="3"/>
        <v>27</v>
      </c>
    </row>
    <row r="138" spans="1:11" ht="15" customHeight="1">
      <c r="A138" s="43"/>
      <c r="B138" s="49" t="str">
        <f>VLOOKUP($C$39:$C$161,Equipment!$A$1:$B$2322,2,FALSE)</f>
        <v>Storage Containers</v>
      </c>
      <c r="C138" s="259" t="s">
        <v>809</v>
      </c>
      <c r="D138" s="24"/>
      <c r="E138" s="24"/>
      <c r="F138" s="24"/>
      <c r="G138" s="24"/>
      <c r="H138" s="185">
        <v>1</v>
      </c>
      <c r="I138" s="184"/>
      <c r="J138" s="42">
        <f>VLOOKUP($B$39:$B$161,'Alberta Equip. Rates Year 3'!$B$13:$K$314,10,FALSE)</f>
        <v>27</v>
      </c>
      <c r="K138" s="181">
        <f t="shared" si="3"/>
        <v>27</v>
      </c>
    </row>
    <row r="139" spans="1:11" ht="15" customHeight="1">
      <c r="A139" s="43"/>
      <c r="B139" s="49" t="str">
        <f>VLOOKUP($C$39:$C$161,Equipment!$A$1:$B$2322,2,FALSE)</f>
        <v>Storage Trailer/ Van</v>
      </c>
      <c r="C139" s="259" t="s">
        <v>1858</v>
      </c>
      <c r="D139" s="24"/>
      <c r="E139" s="24"/>
      <c r="F139" s="24"/>
      <c r="G139" s="24"/>
      <c r="H139" s="185">
        <v>1</v>
      </c>
      <c r="I139" s="184"/>
      <c r="J139" s="42">
        <f>VLOOKUP($B$39:$B$161,'Alberta Equip. Rates Year 3'!$B$13:$K$314,10,FALSE)</f>
        <v>64</v>
      </c>
      <c r="K139" s="181">
        <f t="shared" si="3"/>
        <v>64</v>
      </c>
    </row>
    <row r="140" spans="1:11" ht="15" customHeight="1">
      <c r="A140" s="43"/>
      <c r="B140" s="49" t="str">
        <f>VLOOKUP($C$39:$C$161,Equipment!$A$1:$B$2322,2,FALSE)</f>
        <v>Storage Trailer/ Van</v>
      </c>
      <c r="C140" s="259" t="s">
        <v>2985</v>
      </c>
      <c r="D140" s="24"/>
      <c r="E140" s="24"/>
      <c r="F140" s="24"/>
      <c r="G140" s="24"/>
      <c r="H140" s="185">
        <v>1</v>
      </c>
      <c r="I140" s="184"/>
      <c r="J140" s="42">
        <f>VLOOKUP($B$39:$B$161,'Alberta Equip. Rates Year 3'!$B$13:$K$314,10,FALSE)</f>
        <v>64</v>
      </c>
      <c r="K140" s="181">
        <f t="shared" si="3"/>
        <v>64</v>
      </c>
    </row>
    <row r="141" spans="1:11" ht="15" customHeight="1">
      <c r="A141" s="43"/>
      <c r="B141" s="49" t="str">
        <f>VLOOKUP($C$39:$C$161,Equipment!$A$1:$B$2322,2,FALSE)</f>
        <v>Storage Trailer/ Van</v>
      </c>
      <c r="C141" s="259" t="s">
        <v>2057</v>
      </c>
      <c r="D141" s="24"/>
      <c r="E141" s="24"/>
      <c r="F141" s="24"/>
      <c r="G141" s="24"/>
      <c r="H141" s="185">
        <v>1</v>
      </c>
      <c r="I141" s="184"/>
      <c r="J141" s="42">
        <f>VLOOKUP($B$39:$B$161,'Alberta Equip. Rates Year 3'!$B$13:$K$314,10,FALSE)</f>
        <v>64</v>
      </c>
      <c r="K141" s="181">
        <f t="shared" si="3"/>
        <v>64</v>
      </c>
    </row>
    <row r="142" spans="1:11" ht="15" customHeight="1">
      <c r="A142" s="43"/>
      <c r="B142" s="49" t="str">
        <f>VLOOKUP($C$39:$C$161,Equipment!$A$1:$B$2322,2,FALSE)</f>
        <v>Storage Trailer/ Van</v>
      </c>
      <c r="C142" s="259" t="s">
        <v>2343</v>
      </c>
      <c r="D142" s="24"/>
      <c r="E142" s="24"/>
      <c r="F142" s="24"/>
      <c r="G142" s="24"/>
      <c r="H142" s="185">
        <v>1</v>
      </c>
      <c r="I142" s="184"/>
      <c r="J142" s="42">
        <f>VLOOKUP($B$39:$B$161,'Alberta Equip. Rates Year 3'!$B$13:$K$314,10,FALSE)</f>
        <v>64</v>
      </c>
      <c r="K142" s="181">
        <f t="shared" si="3"/>
        <v>64</v>
      </c>
    </row>
    <row r="143" spans="1:11" ht="15" customHeight="1">
      <c r="A143" s="43"/>
      <c r="B143" s="49" t="str">
        <f>VLOOKUP($C$39:$C$161,Equipment!$A$1:$B$2322,2,FALSE)</f>
        <v>Tag-A-Long Trailer (Utility)</v>
      </c>
      <c r="C143" s="259" t="s">
        <v>2061</v>
      </c>
      <c r="D143" s="24"/>
      <c r="E143" s="24"/>
      <c r="F143" s="24"/>
      <c r="G143" s="24"/>
      <c r="H143" s="185">
        <v>1</v>
      </c>
      <c r="I143" s="184"/>
      <c r="J143" s="42">
        <f>VLOOKUP($B$39:$B$161,'Alberta Equip. Rates Year 3'!$B$13:$K$314,10,FALSE)</f>
        <v>64</v>
      </c>
      <c r="K143" s="181">
        <f t="shared" si="3"/>
        <v>64</v>
      </c>
    </row>
    <row r="144" spans="1:11" ht="15" customHeight="1">
      <c r="A144" s="43"/>
      <c r="B144" s="49" t="str">
        <f>VLOOKUP($C$39:$C$161,Equipment!$A$1:$B$2322,2,FALSE)</f>
        <v>Tag-A-Long Trailer (Utility)</v>
      </c>
      <c r="C144" s="24" t="s">
        <v>4207</v>
      </c>
      <c r="D144" s="24"/>
      <c r="E144" s="24"/>
      <c r="F144" s="24"/>
      <c r="G144" s="24"/>
      <c r="H144" s="185">
        <v>1</v>
      </c>
      <c r="I144" s="184"/>
      <c r="J144" s="42">
        <f>VLOOKUP($B$39:$B$161,'Alberta Equip. Rates Year 3'!$B$13:$K$314,10,FALSE)</f>
        <v>64</v>
      </c>
      <c r="K144" s="181">
        <f t="shared" si="3"/>
        <v>64</v>
      </c>
    </row>
    <row r="145" spans="1:11" ht="15" customHeight="1">
      <c r="A145" s="43"/>
      <c r="B145" s="49" t="str">
        <f>VLOOKUP($C$39:$C$161,Equipment!$A$1:$B$2322,2,FALSE)</f>
        <v>Tag-A-Long Trailer (6 Ton)</v>
      </c>
      <c r="C145" s="357" t="s">
        <v>4208</v>
      </c>
      <c r="D145" s="24"/>
      <c r="E145" s="24"/>
      <c r="F145" s="24"/>
      <c r="G145" s="24"/>
      <c r="H145" s="185">
        <v>1</v>
      </c>
      <c r="I145" s="184"/>
      <c r="J145" s="358">
        <f>VLOOKUP($B$39:$B$161,'Alberta Equip. Rates Year 3'!$B$13:$K$314,10,FALSE)</f>
        <v>96</v>
      </c>
      <c r="K145" s="181">
        <f t="shared" si="3"/>
        <v>96</v>
      </c>
    </row>
    <row r="146" spans="1:11" ht="15" customHeight="1">
      <c r="A146" s="43"/>
      <c r="B146" s="49" t="str">
        <f>VLOOKUP($C$39:$C$161,Equipment!$A$1:$B$2322,2,FALSE)</f>
        <v>Warehouse Trailer/ Van</v>
      </c>
      <c r="C146" s="24" t="s">
        <v>1823</v>
      </c>
      <c r="D146" s="24"/>
      <c r="E146" s="24"/>
      <c r="F146" s="24"/>
      <c r="G146" s="24"/>
      <c r="H146" s="185">
        <v>1</v>
      </c>
      <c r="I146" s="184"/>
      <c r="J146" s="42">
        <f>VLOOKUP($B$39:$B$161,'Alberta Equip. Rates Year 3'!$B$13:$K$314,10,FALSE)</f>
        <v>159</v>
      </c>
      <c r="K146" s="181">
        <f t="shared" si="3"/>
        <v>159</v>
      </c>
    </row>
    <row r="147" spans="1:11" ht="15" customHeight="1">
      <c r="A147" s="43"/>
      <c r="B147" s="49" t="str">
        <f>VLOOKUP($C$39:$C$161,Equipment!$A$1:$B$2322,2,FALSE)</f>
        <v>Warehouse Trailer/ Van</v>
      </c>
      <c r="C147" s="24" t="s">
        <v>662</v>
      </c>
      <c r="D147" s="24"/>
      <c r="E147" s="24"/>
      <c r="F147" s="24"/>
      <c r="G147" s="24"/>
      <c r="H147" s="185">
        <v>1</v>
      </c>
      <c r="I147" s="184"/>
      <c r="J147" s="42">
        <f>VLOOKUP($B$39:$B$161,'Alberta Equip. Rates Year 3'!$B$13:$K$314,10,FALSE)</f>
        <v>159</v>
      </c>
      <c r="K147" s="181">
        <f t="shared" si="3"/>
        <v>159</v>
      </c>
    </row>
    <row r="148" spans="1:11" ht="15" customHeight="1">
      <c r="A148" s="43"/>
      <c r="B148" s="49" t="str">
        <f>VLOOKUP($C$39:$C$161,Equipment!$A$1:$B$2322,2,FALSE)</f>
        <v>Warehouse Trailer/ Van</v>
      </c>
      <c r="C148" s="24" t="s">
        <v>630</v>
      </c>
      <c r="D148" s="24"/>
      <c r="E148" s="24"/>
      <c r="F148" s="24"/>
      <c r="G148" s="24"/>
      <c r="H148" s="185">
        <v>1</v>
      </c>
      <c r="I148" s="184"/>
      <c r="J148" s="42">
        <f>VLOOKUP($B$39:$B$161,'Alberta Equip. Rates Year 3'!$B$13:$K$314,10,FALSE)</f>
        <v>159</v>
      </c>
      <c r="K148" s="181">
        <f t="shared" si="3"/>
        <v>159</v>
      </c>
    </row>
    <row r="149" spans="1:11" ht="15" customHeight="1">
      <c r="A149" s="43"/>
      <c r="B149" s="49" t="str">
        <f>VLOOKUP($C$39:$C$161,Equipment!$A$1:$B$2322,2,FALSE)</f>
        <v>Warehouse Trailer/ Van</v>
      </c>
      <c r="C149" s="24" t="s">
        <v>635</v>
      </c>
      <c r="D149" s="24"/>
      <c r="E149" s="24"/>
      <c r="F149" s="24"/>
      <c r="G149" s="24"/>
      <c r="H149" s="185">
        <v>1</v>
      </c>
      <c r="I149" s="184"/>
      <c r="J149" s="42">
        <f>VLOOKUP($B$39:$B$161,'Alberta Equip. Rates Year 3'!$B$13:$K$314,10,FALSE)</f>
        <v>159</v>
      </c>
      <c r="K149" s="181">
        <f t="shared" si="3"/>
        <v>159</v>
      </c>
    </row>
    <row r="150" spans="1:11" ht="15" customHeight="1">
      <c r="A150" s="43"/>
      <c r="B150" s="49" t="str">
        <f>VLOOKUP($C$39:$C$161,Equipment!$A$1:$B$2322,2,FALSE)</f>
        <v>Warehouse Trailer/ Van</v>
      </c>
      <c r="C150" s="24" t="s">
        <v>640</v>
      </c>
      <c r="D150" s="24"/>
      <c r="E150" s="24"/>
      <c r="F150" s="24"/>
      <c r="G150" s="24"/>
      <c r="H150" s="185">
        <v>1</v>
      </c>
      <c r="I150" s="184"/>
      <c r="J150" s="42">
        <f>VLOOKUP($B$39:$B$161,'Alberta Equip. Rates Year 3'!$B$13:$K$314,10,FALSE)</f>
        <v>159</v>
      </c>
      <c r="K150" s="181">
        <f t="shared" si="3"/>
        <v>159</v>
      </c>
    </row>
    <row r="151" spans="1:11" ht="15" customHeight="1">
      <c r="A151" s="43"/>
      <c r="B151" s="49" t="str">
        <f>VLOOKUP($C$39:$C$161,Equipment!$A$1:$B$2322,2,FALSE)</f>
        <v>Warehouse Trailer/ Van</v>
      </c>
      <c r="C151" s="24" t="s">
        <v>631</v>
      </c>
      <c r="D151" s="24"/>
      <c r="E151" s="24"/>
      <c r="F151" s="24"/>
      <c r="G151" s="24"/>
      <c r="H151" s="185">
        <v>1</v>
      </c>
      <c r="I151" s="184"/>
      <c r="J151" s="42">
        <f>VLOOKUP($B$39:$B$161,'Alberta Equip. Rates Year 3'!$B$13:$K$314,10,FALSE)</f>
        <v>159</v>
      </c>
      <c r="K151" s="181">
        <f t="shared" si="3"/>
        <v>159</v>
      </c>
    </row>
    <row r="152" spans="1:11" ht="15" customHeight="1">
      <c r="A152" s="43"/>
      <c r="B152" s="49" t="str">
        <f>VLOOKUP($C$39:$C$161,Equipment!$A$1:$B$2322,2,FALSE)</f>
        <v>Warehouse Trailer/ Van Diesel Heated Storage</v>
      </c>
      <c r="C152" s="24" t="s">
        <v>3502</v>
      </c>
      <c r="D152" s="24"/>
      <c r="E152" s="24"/>
      <c r="F152" s="24"/>
      <c r="G152" s="24"/>
      <c r="H152" s="185">
        <v>1</v>
      </c>
      <c r="I152" s="184"/>
      <c r="J152" s="42">
        <f>VLOOKUP($B$39:$B$161,'Alberta Equip. Rates Year 3'!$B$13:$K$314,10,FALSE)</f>
        <v>196.85</v>
      </c>
      <c r="K152" s="181">
        <f t="shared" si="3"/>
        <v>196.85</v>
      </c>
    </row>
    <row r="153" spans="1:11" ht="15" customHeight="1">
      <c r="A153" s="43"/>
      <c r="B153" s="49" t="str">
        <f>VLOOKUP($C$39:$C$161,Equipment!$A$1:$B$2322,2,FALSE)</f>
        <v>Warehouse Trailer/ Van Diesel Heated Storage</v>
      </c>
      <c r="C153" s="24" t="s">
        <v>4141</v>
      </c>
      <c r="D153" s="24"/>
      <c r="E153" s="24"/>
      <c r="F153" s="24"/>
      <c r="G153" s="24"/>
      <c r="H153" s="185">
        <v>1</v>
      </c>
      <c r="I153" s="184"/>
      <c r="J153" s="42">
        <f>VLOOKUP($B$39:$B$161,'Alberta Equip. Rates Year 3'!$B$13:$K$314,10,FALSE)</f>
        <v>196.85</v>
      </c>
      <c r="K153" s="181">
        <f t="shared" si="3"/>
        <v>196.85</v>
      </c>
    </row>
    <row r="154" spans="1:11" ht="15" customHeight="1">
      <c r="A154" s="43"/>
      <c r="B154" s="49">
        <f>VLOOKUP($C$39:$C$161,Equipment!$A$1:$B$2322,2,FALSE)</f>
        <v>0</v>
      </c>
      <c r="C154" s="24"/>
      <c r="D154" s="24"/>
      <c r="E154" s="24"/>
      <c r="F154" s="24"/>
      <c r="G154" s="24"/>
      <c r="H154" s="185"/>
      <c r="I154" s="184"/>
      <c r="J154" s="42">
        <f>VLOOKUP($B$39:$B$161,'Alberta Equip. Rates Year 3'!$B$13:$K$314,10,FALSE)</f>
        <v>0</v>
      </c>
      <c r="K154" s="181">
        <f t="shared" si="3"/>
        <v>0</v>
      </c>
    </row>
    <row r="155" spans="1:11" ht="15" customHeight="1">
      <c r="A155" s="43"/>
      <c r="B155" s="49">
        <f>VLOOKUP($C$39:$C$161,Equipment!$A$1:$B$2322,2,FALSE)</f>
        <v>0</v>
      </c>
      <c r="C155" s="24"/>
      <c r="D155" s="24"/>
      <c r="E155" s="24"/>
      <c r="F155" s="24"/>
      <c r="G155" s="24"/>
      <c r="H155" s="185"/>
      <c r="I155" s="184"/>
      <c r="J155" s="42">
        <f>VLOOKUP($B$39:$B$161,'Alberta Equip. Rates Year 3'!$B$13:$K$314,10,FALSE)</f>
        <v>0</v>
      </c>
      <c r="K155" s="181">
        <f t="shared" si="3"/>
        <v>0</v>
      </c>
    </row>
    <row r="156" spans="1:11" ht="15" customHeight="1">
      <c r="A156" s="43"/>
      <c r="B156" s="49">
        <f>VLOOKUP($C$39:$C$161,Equipment!$A$1:$B$2322,2,FALSE)</f>
        <v>0</v>
      </c>
      <c r="C156" s="24"/>
      <c r="D156" s="24"/>
      <c r="E156" s="24"/>
      <c r="F156" s="24"/>
      <c r="G156" s="24"/>
      <c r="H156" s="185"/>
      <c r="I156" s="184"/>
      <c r="J156" s="42">
        <f>VLOOKUP($B$39:$B$161,'Alberta Equip. Rates Year 3'!$B$13:$K$314,10,FALSE)</f>
        <v>0</v>
      </c>
      <c r="K156" s="181">
        <f t="shared" si="3"/>
        <v>0</v>
      </c>
    </row>
    <row r="157" spans="1:11" ht="15" customHeight="1">
      <c r="A157" s="43"/>
      <c r="B157" s="49">
        <f>VLOOKUP($C$39:$C$161,Equipment!$A$1:$B$2322,2,FALSE)</f>
        <v>0</v>
      </c>
      <c r="C157" s="24"/>
      <c r="D157" s="24"/>
      <c r="E157" s="24"/>
      <c r="F157" s="24"/>
      <c r="G157" s="24"/>
      <c r="H157" s="185"/>
      <c r="I157" s="184"/>
      <c r="J157" s="42">
        <f>VLOOKUP($B$39:$B$161,'Alberta Equip. Rates Year 3'!$B$13:$K$314,10,FALSE)</f>
        <v>0</v>
      </c>
      <c r="K157" s="181">
        <f t="shared" si="3"/>
        <v>0</v>
      </c>
    </row>
    <row r="158" spans="1:11" ht="15" customHeight="1">
      <c r="A158" s="43"/>
      <c r="B158" s="49">
        <f>VLOOKUP($C$39:$C$161,Equipment!$A$1:$B$2322,2,FALSE)</f>
        <v>0</v>
      </c>
      <c r="C158" s="24"/>
      <c r="D158" s="24"/>
      <c r="E158" s="24"/>
      <c r="F158" s="24"/>
      <c r="G158" s="24"/>
      <c r="H158" s="185"/>
      <c r="I158" s="184"/>
      <c r="J158" s="42">
        <f>VLOOKUP($B$39:$B$161,'Alberta Equip. Rates Year 3'!$B$13:$K$314,10,FALSE)</f>
        <v>0</v>
      </c>
      <c r="K158" s="181">
        <f t="shared" si="3"/>
        <v>0</v>
      </c>
    </row>
    <row r="159" spans="1:11" ht="15" customHeight="1">
      <c r="A159" s="43"/>
      <c r="B159" s="49">
        <f>VLOOKUP($C$39:$C$161,Equipment!$A$1:$B$2322,2,FALSE)</f>
        <v>0</v>
      </c>
      <c r="C159" s="24"/>
      <c r="D159" s="24"/>
      <c r="E159" s="24"/>
      <c r="F159" s="24"/>
      <c r="G159" s="24"/>
      <c r="H159" s="185"/>
      <c r="I159" s="184"/>
      <c r="J159" s="42">
        <f>VLOOKUP($B$39:$B$161,'Alberta Equip. Rates Year 3'!$B$13:$K$314,10,FALSE)</f>
        <v>0</v>
      </c>
      <c r="K159" s="181">
        <f t="shared" si="3"/>
        <v>0</v>
      </c>
    </row>
    <row r="160" spans="1:11" ht="15" customHeight="1">
      <c r="A160" s="43"/>
      <c r="B160" s="49">
        <f>VLOOKUP($C$39:$C$161,Equipment!$A$1:$B$2322,2,FALSE)</f>
        <v>0</v>
      </c>
      <c r="C160" s="24"/>
      <c r="D160" s="24"/>
      <c r="E160" s="24"/>
      <c r="F160" s="24"/>
      <c r="G160" s="24"/>
      <c r="H160" s="185"/>
      <c r="I160" s="184"/>
      <c r="J160" s="42">
        <f>VLOOKUP($B$39:$B$161,'Alberta Equip. Rates Year 3'!$B$13:$K$314,10,FALSE)</f>
        <v>0</v>
      </c>
      <c r="K160" s="181">
        <f t="shared" ref="K160" si="4">(H160+I160)*J160</f>
        <v>0</v>
      </c>
    </row>
    <row r="161" spans="1:11" ht="15" customHeight="1" thickBot="1">
      <c r="A161" s="43"/>
      <c r="B161" s="49">
        <f>VLOOKUP($C$39:$C$161,Equipment!$A$1:$B$2322,2,FALSE)</f>
        <v>0</v>
      </c>
      <c r="C161" s="24"/>
      <c r="D161" s="24"/>
      <c r="E161" s="24"/>
      <c r="F161" s="24"/>
      <c r="G161" s="24"/>
      <c r="H161" s="185"/>
      <c r="I161" s="184"/>
      <c r="J161" s="42">
        <f>VLOOKUP($B$39:$B$161,'Alberta Equip. Rates Year 3'!$B$13:$K$314,10,FALSE)</f>
        <v>0</v>
      </c>
      <c r="K161" s="181">
        <f t="shared" ref="K161" si="5">(H161+I161)*J161</f>
        <v>0</v>
      </c>
    </row>
    <row r="162" spans="1:11" ht="12" thickBot="1">
      <c r="A162" s="25"/>
      <c r="B162" s="25"/>
      <c r="C162" s="25"/>
      <c r="D162" s="21"/>
      <c r="E162" s="21"/>
      <c r="F162" s="21"/>
      <c r="G162" s="21"/>
      <c r="H162" s="21"/>
      <c r="I162" s="360" t="s">
        <v>24</v>
      </c>
      <c r="J162" s="361"/>
      <c r="K162" s="182">
        <f>SUM(K39:K161)</f>
        <v>19057.569999999996</v>
      </c>
    </row>
    <row r="163" spans="1:11" ht="12" thickBot="1">
      <c r="A163" s="26"/>
      <c r="D163" s="26"/>
      <c r="I163" s="27"/>
      <c r="J163" s="27"/>
      <c r="K163" s="28"/>
    </row>
    <row r="164" spans="1:11">
      <c r="A164" s="1" t="s">
        <v>25</v>
      </c>
      <c r="B164" s="29"/>
      <c r="D164" s="1"/>
      <c r="E164" s="1"/>
      <c r="F164" s="1"/>
      <c r="G164" s="1"/>
      <c r="H164" s="1"/>
      <c r="I164" s="362" t="s">
        <v>26</v>
      </c>
      <c r="J164" s="362"/>
      <c r="K164" s="37">
        <f>K36</f>
        <v>10705.59</v>
      </c>
    </row>
    <row r="165" spans="1:11">
      <c r="D165" s="1"/>
      <c r="E165" s="1"/>
      <c r="F165" s="1"/>
      <c r="G165" s="1"/>
      <c r="H165" s="1"/>
      <c r="I165" s="362" t="s">
        <v>27</v>
      </c>
      <c r="J165" s="362"/>
      <c r="K165" s="38">
        <f>K162</f>
        <v>19057.569999999996</v>
      </c>
    </row>
    <row r="166" spans="1:11">
      <c r="D166" s="1"/>
      <c r="E166" s="1"/>
      <c r="F166" s="1"/>
      <c r="G166" s="1"/>
      <c r="H166" s="1"/>
      <c r="I166" s="27" t="s">
        <v>28</v>
      </c>
      <c r="J166" s="27"/>
      <c r="K166" s="38">
        <f>(O36)*14.15</f>
        <v>1966.8500000000001</v>
      </c>
    </row>
    <row r="167" spans="1:11">
      <c r="D167" s="1"/>
      <c r="E167" s="1"/>
      <c r="F167" s="1"/>
      <c r="G167" s="1"/>
      <c r="H167" s="1"/>
      <c r="I167" s="30" t="s">
        <v>29</v>
      </c>
      <c r="J167" s="30"/>
      <c r="K167" s="39"/>
    </row>
    <row r="168" spans="1:11">
      <c r="D168" s="1"/>
      <c r="E168" s="1"/>
      <c r="F168" s="1"/>
      <c r="G168" s="1"/>
      <c r="H168" s="1"/>
      <c r="I168" s="30" t="s">
        <v>30</v>
      </c>
      <c r="J168" s="30"/>
      <c r="K168" s="39"/>
    </row>
    <row r="169" spans="1:11">
      <c r="D169" s="1"/>
      <c r="E169" s="1"/>
      <c r="F169" s="1"/>
      <c r="G169" s="1"/>
      <c r="H169" s="1"/>
      <c r="I169" s="30" t="s">
        <v>31</v>
      </c>
      <c r="J169" s="30"/>
      <c r="K169" s="39"/>
    </row>
    <row r="170" spans="1:11" ht="12" thickBot="1">
      <c r="D170" s="1"/>
      <c r="E170" s="1"/>
      <c r="F170" s="1"/>
      <c r="G170" s="1"/>
      <c r="H170" s="1"/>
      <c r="I170" s="362" t="s">
        <v>32</v>
      </c>
      <c r="J170" s="362"/>
      <c r="K170" s="40">
        <f>SUM(K164:K169)</f>
        <v>31730.009999999995</v>
      </c>
    </row>
    <row r="171" spans="1:11">
      <c r="D171" s="1"/>
      <c r="E171" s="1"/>
      <c r="F171" s="1"/>
      <c r="G171" s="1"/>
      <c r="H171" s="1"/>
      <c r="I171" s="27"/>
      <c r="J171" s="27"/>
    </row>
    <row r="172" spans="1:11">
      <c r="A172" s="31" t="s">
        <v>33</v>
      </c>
      <c r="B172" s="32"/>
      <c r="C172" s="32"/>
      <c r="D172" s="1"/>
      <c r="H172" s="33" t="s">
        <v>34</v>
      </c>
      <c r="I172" s="32"/>
      <c r="J172" s="32"/>
      <c r="K172" s="32"/>
    </row>
    <row r="173" spans="1:11" ht="15">
      <c r="A173" s="34"/>
      <c r="E173" s="8"/>
      <c r="F173" s="8"/>
      <c r="G173" s="8"/>
      <c r="H173" s="35"/>
      <c r="I173" s="35"/>
      <c r="J173" s="35"/>
      <c r="K173" s="35"/>
    </row>
    <row r="174" spans="1:11" ht="15">
      <c r="A174" s="34" t="s">
        <v>35</v>
      </c>
      <c r="E174" s="8"/>
      <c r="F174" s="8"/>
      <c r="G174" s="8"/>
      <c r="H174" s="35"/>
      <c r="I174" s="35"/>
      <c r="J174" s="35"/>
      <c r="K174" s="35"/>
    </row>
    <row r="175" spans="1:11" s="34" customFormat="1">
      <c r="A175" s="363">
        <v>41218.479166666664</v>
      </c>
      <c r="B175" s="363"/>
      <c r="C175" s="364"/>
      <c r="D175" s="364"/>
      <c r="E175" s="364"/>
      <c r="F175" s="364"/>
      <c r="G175" s="364"/>
      <c r="H175" s="364"/>
      <c r="I175" s="364"/>
      <c r="J175" s="364"/>
      <c r="K175" s="8"/>
    </row>
    <row r="185" s="1" customFormat="1"/>
    <row r="186" s="1" customFormat="1"/>
    <row r="187" s="1" customFormat="1"/>
    <row r="188" s="1" customFormat="1"/>
    <row r="189" s="1" customFormat="1"/>
    <row r="190" s="1" customFormat="1"/>
    <row r="191" s="1" customFormat="1"/>
    <row r="192" s="1" customFormat="1"/>
    <row r="193" s="1" customFormat="1"/>
    <row r="194" s="1" customFormat="1"/>
    <row r="195" s="1" customFormat="1"/>
    <row r="196" s="1" customFormat="1"/>
    <row r="197" s="1" customFormat="1"/>
    <row r="198" s="1" customFormat="1"/>
    <row r="203" s="1" customFormat="1"/>
    <row r="231" s="1" customFormat="1"/>
    <row r="232" s="1" customFormat="1"/>
    <row r="233" s="1" customFormat="1"/>
    <row r="234" s="1" customFormat="1"/>
  </sheetData>
  <mergeCells count="12">
    <mergeCell ref="I162:J162"/>
    <mergeCell ref="I164:J164"/>
    <mergeCell ref="I165:J165"/>
    <mergeCell ref="I170:J170"/>
    <mergeCell ref="A175:B175"/>
    <mergeCell ref="C175:J175"/>
    <mergeCell ref="I36:J36"/>
    <mergeCell ref="C1:H1"/>
    <mergeCell ref="C2:H2"/>
    <mergeCell ref="C3:H3"/>
    <mergeCell ref="H6:I6"/>
    <mergeCell ref="H7:I7"/>
  </mergeCells>
  <conditionalFormatting sqref="M11:M12">
    <cfRule type="expression" dxfId="66" priority="36559">
      <formula>ISTEXT(A11:A35)</formula>
    </cfRule>
  </conditionalFormatting>
  <conditionalFormatting sqref="M13:M20">
    <cfRule type="expression" dxfId="65" priority="39944">
      <formula>ISTEXT(A13:A38)</formula>
    </cfRule>
  </conditionalFormatting>
  <conditionalFormatting sqref="M21:M22">
    <cfRule type="expression" dxfId="64" priority="40195">
      <formula>ISTEXT(A21:A53)</formula>
    </cfRule>
  </conditionalFormatting>
  <conditionalFormatting sqref="M23:M24">
    <cfRule type="expression" dxfId="63" priority="40185">
      <formula>ISTEXT(A21:A50)</formula>
    </cfRule>
  </conditionalFormatting>
  <conditionalFormatting sqref="M25">
    <cfRule type="expression" dxfId="62" priority="39930">
      <formula>ISTEXT(A13:A37)</formula>
    </cfRule>
  </conditionalFormatting>
  <conditionalFormatting sqref="M26:M35">
    <cfRule type="expression" dxfId="61" priority="40198">
      <formula>ISTEXT(A26:A54)</formula>
    </cfRule>
  </conditionalFormatting>
  <printOptions horizontalCentered="1"/>
  <pageMargins left="0.19685039370078741" right="0.19685039370078741" top="0.39370078740157483" bottom="0.39370078740157483" header="0" footer="0"/>
  <pageSetup orientation="portrait" horizontalDpi="4294967292" verticalDpi="4294967292"/>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2000-000000000000}">
          <x14:formula1>
            <xm:f>Accounts!$A$4:$A$60</xm:f>
          </x14:formula1>
          <xm:sqref>K7</xm:sqref>
        </x14:dataValidation>
        <x14:dataValidation type="list" allowBlank="1" showInputMessage="1" showErrorMessage="1" xr:uid="{00000000-0002-0000-2000-000001000000}">
          <x14:formula1>
            <xm:f>'Constr. Wage Rate Calculations'!$A$19:$A$288</xm:f>
          </x14:formula1>
          <xm:sqref>B11:B35</xm:sqref>
        </x14:dataValidation>
        <x14:dataValidation type="list" allowBlank="1" showInputMessage="1" showErrorMessage="1" xr:uid="{00000000-0002-0000-2000-000002000000}">
          <x14:formula1>
            <xm:f>Personnel!$A:$A</xm:f>
          </x14:formula1>
          <xm:sqref>C11:C35</xm:sqref>
        </x14:dataValidation>
        <x14:dataValidation type="list" allowBlank="1" showInputMessage="1" showErrorMessage="1" xr:uid="{00000000-0002-0000-2000-000003000000}">
          <x14:formula1>
            <xm:f>Equipment!$A:$A</xm:f>
          </x14:formula1>
          <xm:sqref>C39:C161</xm:sqref>
        </x14:dataValidation>
      </x14:dataValidations>
    </ext>
    <ext xmlns:mx="http://schemas.microsoft.com/office/mac/excel/2008/main" uri="{64002731-A6B0-56B0-2670-7721B7C09600}">
      <mx:PLV Mode="0" OnePage="0" WScale="0"/>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CCFFCC"/>
    <pageSetUpPr fitToPage="1"/>
  </sheetPr>
  <dimension ref="A1:O116"/>
  <sheetViews>
    <sheetView zoomScale="120" zoomScaleNormal="120" zoomScalePageLayoutView="120" workbookViewId="0">
      <selection activeCell="C24" sqref="C24"/>
    </sheetView>
  </sheetViews>
  <sheetFormatPr baseColWidth="10" defaultColWidth="8.83203125" defaultRowHeight="11"/>
  <cols>
    <col min="1" max="1" width="13" style="1" customWidth="1"/>
    <col min="2" max="2" width="30" style="1" customWidth="1"/>
    <col min="3" max="3" width="24.5" style="1" customWidth="1"/>
    <col min="4" max="4" width="8.6640625" style="2" customWidth="1"/>
    <col min="5" max="6" width="8.33203125" style="2" customWidth="1"/>
    <col min="7" max="8" width="8.6640625" style="2" customWidth="1"/>
    <col min="9" max="9" width="9.33203125" style="2" customWidth="1"/>
    <col min="10" max="10" width="8.6640625" style="2" customWidth="1"/>
    <col min="11" max="11" width="20" style="1" customWidth="1"/>
    <col min="12" max="12" width="3.5" style="1" hidden="1" customWidth="1"/>
    <col min="13" max="16384" width="8.83203125" style="1"/>
  </cols>
  <sheetData>
    <row r="1" spans="1:13" ht="15">
      <c r="C1" s="364"/>
      <c r="D1" s="365"/>
      <c r="E1" s="365"/>
      <c r="F1" s="365"/>
      <c r="G1" s="365"/>
      <c r="H1" s="366"/>
      <c r="J1" s="2" t="s">
        <v>0</v>
      </c>
      <c r="K1" s="197">
        <v>41659</v>
      </c>
      <c r="M1" s="45"/>
    </row>
    <row r="2" spans="1:13" ht="15">
      <c r="C2" s="367"/>
      <c r="D2" s="367"/>
      <c r="E2" s="367"/>
      <c r="F2" s="367"/>
      <c r="G2" s="367"/>
      <c r="H2" s="366"/>
      <c r="K2" s="41"/>
    </row>
    <row r="3" spans="1:13" ht="15">
      <c r="C3" s="368"/>
      <c r="D3" s="369"/>
      <c r="E3" s="369"/>
      <c r="F3" s="369"/>
      <c r="G3" s="369"/>
      <c r="H3" s="366"/>
    </row>
    <row r="4" spans="1:13">
      <c r="C4" s="3"/>
      <c r="D4" s="4"/>
      <c r="E4" s="4"/>
      <c r="F4" s="4"/>
      <c r="G4" s="4"/>
    </row>
    <row r="5" spans="1:13">
      <c r="C5" s="3"/>
      <c r="D5" s="4"/>
      <c r="E5" s="4"/>
      <c r="F5" s="4"/>
      <c r="G5" s="4"/>
    </row>
    <row r="6" spans="1:13" ht="12">
      <c r="B6" s="5"/>
      <c r="C6" s="6"/>
      <c r="D6" s="7"/>
      <c r="E6" s="8"/>
      <c r="F6" s="8"/>
      <c r="G6" s="1" t="s">
        <v>1</v>
      </c>
      <c r="H6" s="370">
        <v>18214</v>
      </c>
      <c r="I6" s="370"/>
      <c r="J6" s="1" t="s">
        <v>2</v>
      </c>
      <c r="K6" s="47"/>
    </row>
    <row r="7" spans="1:13" ht="12">
      <c r="A7" s="1" t="s">
        <v>3</v>
      </c>
      <c r="B7" s="9"/>
      <c r="C7" s="10"/>
      <c r="D7" s="11"/>
      <c r="E7" s="8"/>
      <c r="F7" s="8"/>
      <c r="G7" s="1" t="s">
        <v>4</v>
      </c>
      <c r="H7" s="371"/>
      <c r="I7" s="371"/>
      <c r="J7" s="1" t="s">
        <v>5</v>
      </c>
      <c r="K7" s="46"/>
    </row>
    <row r="8" spans="1:13" ht="12">
      <c r="B8" s="12"/>
      <c r="C8" s="13"/>
      <c r="D8" s="14"/>
      <c r="E8" s="8"/>
      <c r="F8" s="8"/>
      <c r="G8" s="1" t="s">
        <v>6</v>
      </c>
      <c r="H8" s="187"/>
      <c r="I8" s="188"/>
      <c r="J8" s="44"/>
    </row>
    <row r="9" spans="1:13" ht="16" thickBot="1">
      <c r="B9" s="15"/>
      <c r="C9" s="16"/>
      <c r="D9" s="16"/>
      <c r="E9" s="8"/>
      <c r="F9" s="8"/>
      <c r="G9" s="8"/>
    </row>
    <row r="10" spans="1:13" s="19" customFormat="1" ht="12" thickBot="1">
      <c r="A10" s="17" t="s">
        <v>7</v>
      </c>
      <c r="B10" s="17" t="s">
        <v>8</v>
      </c>
      <c r="C10" s="17" t="s">
        <v>9</v>
      </c>
      <c r="D10" s="18" t="s">
        <v>10</v>
      </c>
      <c r="E10" s="18" t="s">
        <v>11</v>
      </c>
      <c r="F10" s="18" t="s">
        <v>12</v>
      </c>
      <c r="G10" s="180" t="s">
        <v>13</v>
      </c>
      <c r="H10" s="18" t="s">
        <v>14</v>
      </c>
      <c r="I10" s="18" t="s">
        <v>15</v>
      </c>
      <c r="J10" s="18" t="s">
        <v>16</v>
      </c>
      <c r="K10" s="18" t="s">
        <v>17</v>
      </c>
      <c r="M10" s="19" t="s">
        <v>1797</v>
      </c>
    </row>
    <row r="11" spans="1:13" ht="15" customHeight="1">
      <c r="A11" s="48"/>
      <c r="B11" s="49">
        <f>VLOOKUP($C$11:$C$20,Personnel!$A$1:$B$1234,2,FALSE)</f>
        <v>0</v>
      </c>
      <c r="C11" s="36"/>
      <c r="D11" s="184"/>
      <c r="E11" s="179">
        <f>VLOOKUP($B$11:$B$20,'Constr. Wage Rate Calculations'!$A$19:$Z$288,22,FALSE)</f>
        <v>0</v>
      </c>
      <c r="F11" s="184"/>
      <c r="G11" s="179">
        <f>VLOOKUP($B$11:$B$20,'Constr. Wage Rate Calculations'!$A$19:$Z$288,23,FALSE)</f>
        <v>0</v>
      </c>
      <c r="H11" s="184"/>
      <c r="I11" s="179">
        <f>VLOOKUP($B$11:$B$20,'Constr. Wage Rate Calculations'!$A$19:$Z$288,24,FALSE)</f>
        <v>0</v>
      </c>
      <c r="J11" s="20">
        <f>VLOOKUP($B$11:$B$20,'Constr. Wage Rate Calculations'!$A$19:$Z$288,25,FALSE)</f>
        <v>0</v>
      </c>
      <c r="K11" s="179" t="str">
        <f t="shared" ref="K11:K20" si="0">IF($D11&gt;=1,$J11+(D11*E11)+(F11*G11)+(H11*I11),IF($F11&gt;=1,$J11+(D11*E11)+(F11*G11)+(H11*I11),IF($H11&gt;=1,$J11+(D11*E11)+(F11*G11)+(H11*I11),"")))</f>
        <v/>
      </c>
    </row>
    <row r="12" spans="1:13" ht="15" customHeight="1">
      <c r="A12" s="48"/>
      <c r="B12" s="49" t="str">
        <f>VLOOKUP($C$11:$C$20,Personnel!$A$1:$B$1234,2,FALSE)</f>
        <v>GENERAL LABOURER</v>
      </c>
      <c r="C12" s="36" t="s">
        <v>2432</v>
      </c>
      <c r="D12" s="184">
        <v>8</v>
      </c>
      <c r="E12" s="179">
        <f>VLOOKUP($B$11:$B$20,'Constr. Wage Rate Calculations'!$A$19:$Z$288,22,FALSE)</f>
        <v>48.1</v>
      </c>
      <c r="F12" s="184">
        <v>6</v>
      </c>
      <c r="G12" s="179">
        <f>VLOOKUP($B$11:$B$20,'Constr. Wage Rate Calculations'!$A$19:$Z$288,23,FALSE)</f>
        <v>72.150000000000006</v>
      </c>
      <c r="H12" s="184"/>
      <c r="I12" s="179">
        <f>VLOOKUP($B$11:$B$20,'Constr. Wage Rate Calculations'!$A$19:$Z$288,24,FALSE)</f>
        <v>96.2</v>
      </c>
      <c r="J12" s="20">
        <f>VLOOKUP($B$11:$B$20,'Constr. Wage Rate Calculations'!$A$19:$Z$288,25,FALSE)</f>
        <v>85</v>
      </c>
      <c r="K12" s="179">
        <f t="shared" si="0"/>
        <v>902.7</v>
      </c>
      <c r="M12" s="1">
        <v>2</v>
      </c>
    </row>
    <row r="13" spans="1:13" ht="15" customHeight="1">
      <c r="A13" s="48"/>
      <c r="B13" s="49" t="str">
        <f>VLOOKUP($C$11:$C$20,Personnel!$A$1:$B$1234,2,FALSE)</f>
        <v>PRINCIPAL OPER 1</v>
      </c>
      <c r="C13" s="36" t="s">
        <v>733</v>
      </c>
      <c r="D13" s="184">
        <v>8</v>
      </c>
      <c r="E13" s="179">
        <f>VLOOKUP($B$11:$B$20,'Constr. Wage Rate Calculations'!$A$19:$Z$288,22,FALSE)</f>
        <v>64.239999999999995</v>
      </c>
      <c r="F13" s="184">
        <v>4</v>
      </c>
      <c r="G13" s="179">
        <f>VLOOKUP($B$11:$B$20,'Constr. Wage Rate Calculations'!$A$19:$Z$288,23,FALSE)</f>
        <v>96.36</v>
      </c>
      <c r="H13" s="184"/>
      <c r="I13" s="179">
        <f>VLOOKUP($B$11:$B$20,'Constr. Wage Rate Calculations'!$A$19:$Z$288,24,FALSE)</f>
        <v>128.47</v>
      </c>
      <c r="J13" s="20">
        <f>VLOOKUP($B$11:$B$20,'Constr. Wage Rate Calculations'!$A$19:$Z$288,25,FALSE)</f>
        <v>85</v>
      </c>
      <c r="K13" s="179">
        <f t="shared" si="0"/>
        <v>984.3599999999999</v>
      </c>
    </row>
    <row r="14" spans="1:13" ht="15" customHeight="1">
      <c r="A14" s="48"/>
      <c r="B14" s="49" t="str">
        <f>VLOOKUP($C$11:$C$20,Personnel!$A$1:$B$1234,2,FALSE)</f>
        <v>PRINCIPAL OPER 1</v>
      </c>
      <c r="C14" s="36" t="s">
        <v>4192</v>
      </c>
      <c r="D14" s="184">
        <v>8</v>
      </c>
      <c r="E14" s="179">
        <f>VLOOKUP($B$11:$B$20,'Constr. Wage Rate Calculations'!$A$19:$Z$288,22,FALSE)</f>
        <v>64.239999999999995</v>
      </c>
      <c r="F14" s="184">
        <v>4</v>
      </c>
      <c r="G14" s="179">
        <f>VLOOKUP($B$11:$B$20,'Constr. Wage Rate Calculations'!$A$19:$Z$288,23,FALSE)</f>
        <v>96.36</v>
      </c>
      <c r="H14" s="184"/>
      <c r="I14" s="179">
        <f>VLOOKUP($B$11:$B$20,'Constr. Wage Rate Calculations'!$A$19:$Z$288,24,FALSE)</f>
        <v>128.47</v>
      </c>
      <c r="J14" s="20">
        <f>VLOOKUP($B$11:$B$20,'Constr. Wage Rate Calculations'!$A$19:$Z$288,25,FALSE)</f>
        <v>85</v>
      </c>
      <c r="K14" s="179">
        <f t="shared" si="0"/>
        <v>984.3599999999999</v>
      </c>
    </row>
    <row r="15" spans="1:13" ht="15" customHeight="1">
      <c r="A15" s="48"/>
      <c r="B15" s="49" t="str">
        <f>VLOOKUP($C$11:$C$20,Personnel!$A$1:$B$1234,2,FALSE)</f>
        <v>GENERAL FOREMAN</v>
      </c>
      <c r="C15" s="36" t="s">
        <v>767</v>
      </c>
      <c r="D15" s="184">
        <v>1</v>
      </c>
      <c r="E15" s="179">
        <f>VLOOKUP($B$11:$B$20,'Constr. Wage Rate Calculations'!$A$19:$Z$288,22,FALSE)</f>
        <v>1332.16</v>
      </c>
      <c r="F15" s="184">
        <v>9</v>
      </c>
      <c r="G15" s="179">
        <f>VLOOKUP($B$11:$B$20,'Constr. Wage Rate Calculations'!$A$19:$Z$288,23,FALSE)</f>
        <v>0</v>
      </c>
      <c r="H15" s="184"/>
      <c r="I15" s="179">
        <f>VLOOKUP($B$11:$B$20,'Constr. Wage Rate Calculations'!$A$19:$Z$288,24,FALSE)</f>
        <v>0</v>
      </c>
      <c r="J15" s="20">
        <f>VLOOKUP($B$11:$B$20,'Constr. Wage Rate Calculations'!$A$19:$Z$288,25,FALSE)</f>
        <v>230</v>
      </c>
      <c r="K15" s="179">
        <f t="shared" si="0"/>
        <v>1562.16</v>
      </c>
    </row>
    <row r="16" spans="1:13" ht="15" customHeight="1">
      <c r="A16" s="48"/>
      <c r="B16" s="49" t="str">
        <f>VLOOKUP($C$11:$C$20,Personnel!$A$1:$B$1234,2,FALSE)</f>
        <v>PRINCIPAL OPER 1</v>
      </c>
      <c r="C16" s="36" t="s">
        <v>1502</v>
      </c>
      <c r="D16" s="184">
        <v>8</v>
      </c>
      <c r="E16" s="179">
        <f>VLOOKUP($B$11:$B$20,'Constr. Wage Rate Calculations'!$A$19:$Z$288,22,FALSE)</f>
        <v>64.239999999999995</v>
      </c>
      <c r="F16" s="184">
        <v>4</v>
      </c>
      <c r="G16" s="179">
        <f>VLOOKUP($B$11:$B$20,'Constr. Wage Rate Calculations'!$A$19:$Z$288,23,FALSE)</f>
        <v>96.36</v>
      </c>
      <c r="H16" s="184"/>
      <c r="I16" s="179">
        <f>VLOOKUP($B$11:$B$20,'Constr. Wage Rate Calculations'!$A$19:$Z$288,24,FALSE)</f>
        <v>128.47</v>
      </c>
      <c r="J16" s="20">
        <f>VLOOKUP($B$11:$B$20,'Constr. Wage Rate Calculations'!$A$19:$Z$288,25,FALSE)</f>
        <v>85</v>
      </c>
      <c r="K16" s="179">
        <f t="shared" si="0"/>
        <v>984.3599999999999</v>
      </c>
    </row>
    <row r="17" spans="1:15" ht="15" customHeight="1">
      <c r="A17" s="48"/>
      <c r="B17" s="49">
        <f>VLOOKUP($C$11:$C$20,Personnel!$A$1:$B$1234,2,FALSE)</f>
        <v>0</v>
      </c>
      <c r="C17" s="36"/>
      <c r="D17" s="184"/>
      <c r="E17" s="179">
        <f>VLOOKUP($B$11:$B$20,'Constr. Wage Rate Calculations'!$A$19:$Z$288,22,FALSE)</f>
        <v>0</v>
      </c>
      <c r="F17" s="184"/>
      <c r="G17" s="179">
        <f>VLOOKUP($B$11:$B$20,'Constr. Wage Rate Calculations'!$A$19:$Z$288,23,FALSE)</f>
        <v>0</v>
      </c>
      <c r="H17" s="184"/>
      <c r="I17" s="179">
        <f>VLOOKUP($B$11:$B$20,'Constr. Wage Rate Calculations'!$A$19:$Z$288,24,FALSE)</f>
        <v>0</v>
      </c>
      <c r="J17" s="20">
        <f>VLOOKUP($B$11:$B$20,'Constr. Wage Rate Calculations'!$A$19:$Z$288,25,FALSE)</f>
        <v>0</v>
      </c>
      <c r="K17" s="179" t="str">
        <f t="shared" si="0"/>
        <v/>
      </c>
    </row>
    <row r="18" spans="1:15" ht="15" customHeight="1">
      <c r="A18" s="48"/>
      <c r="B18" s="49">
        <f>VLOOKUP($C$11:$C$20,Personnel!$A$1:$B$1234,2,FALSE)</f>
        <v>0</v>
      </c>
      <c r="C18" s="36"/>
      <c r="D18" s="184"/>
      <c r="E18" s="179">
        <f>VLOOKUP($B$11:$B$20,'Constr. Wage Rate Calculations'!$A$19:$Z$288,22,FALSE)</f>
        <v>0</v>
      </c>
      <c r="F18" s="184"/>
      <c r="G18" s="179">
        <f>VLOOKUP($B$11:$B$20,'Constr. Wage Rate Calculations'!$A$19:$Z$288,23,FALSE)</f>
        <v>0</v>
      </c>
      <c r="H18" s="184"/>
      <c r="I18" s="179">
        <f>VLOOKUP($B$11:$B$20,'Constr. Wage Rate Calculations'!$A$19:$Z$288,24,FALSE)</f>
        <v>0</v>
      </c>
      <c r="J18" s="20">
        <f>VLOOKUP($B$11:$B$20,'Constr. Wage Rate Calculations'!$A$19:$Z$288,25,FALSE)</f>
        <v>0</v>
      </c>
      <c r="K18" s="179" t="str">
        <f t="shared" si="0"/>
        <v/>
      </c>
    </row>
    <row r="19" spans="1:15" ht="15" customHeight="1">
      <c r="A19" s="48"/>
      <c r="B19" s="49">
        <f>VLOOKUP($C$11:$C$20,Personnel!$A$1:$B$1234,2,FALSE)</f>
        <v>0</v>
      </c>
      <c r="C19" s="36"/>
      <c r="D19" s="184"/>
      <c r="E19" s="179">
        <f>VLOOKUP($B$11:$B$20,'Constr. Wage Rate Calculations'!$A$19:$Z$288,22,FALSE)</f>
        <v>0</v>
      </c>
      <c r="F19" s="184"/>
      <c r="G19" s="179">
        <f>VLOOKUP($B$11:$B$20,'Constr. Wage Rate Calculations'!$A$19:$Z$288,23,FALSE)</f>
        <v>0</v>
      </c>
      <c r="H19" s="184"/>
      <c r="I19" s="179">
        <f>VLOOKUP($B$11:$B$20,'Constr. Wage Rate Calculations'!$A$19:$Z$288,24,FALSE)</f>
        <v>0</v>
      </c>
      <c r="J19" s="20">
        <f>VLOOKUP($B$11:$B$20,'Constr. Wage Rate Calculations'!$A$19:$Z$288,25,FALSE)</f>
        <v>0</v>
      </c>
      <c r="K19" s="179" t="str">
        <f t="shared" si="0"/>
        <v/>
      </c>
    </row>
    <row r="20" spans="1:15" ht="15" customHeight="1" thickBot="1">
      <c r="A20" s="48"/>
      <c r="B20" s="49">
        <f>VLOOKUP($C$11:$C$20,Personnel!$A$1:$B$1234,2,FALSE)</f>
        <v>0</v>
      </c>
      <c r="C20" s="36"/>
      <c r="D20" s="184"/>
      <c r="E20" s="179">
        <f>VLOOKUP($B$11:$B$20,'Constr. Wage Rate Calculations'!$A$19:$Z$288,22,FALSE)</f>
        <v>0</v>
      </c>
      <c r="F20" s="184"/>
      <c r="G20" s="179">
        <f>VLOOKUP($B$11:$B$20,'Constr. Wage Rate Calculations'!$A$19:$Z$288,23,FALSE)</f>
        <v>0</v>
      </c>
      <c r="H20" s="184"/>
      <c r="I20" s="179">
        <f>VLOOKUP($B$11:$B$20,'Constr. Wage Rate Calculations'!$A$19:$Z$288,24,FALSE)</f>
        <v>0</v>
      </c>
      <c r="J20" s="20">
        <f>VLOOKUP($B$11:$B$20,'Constr. Wage Rate Calculations'!$A$19:$Z$288,25,FALSE)</f>
        <v>0</v>
      </c>
      <c r="K20" s="179" t="str">
        <f t="shared" si="0"/>
        <v/>
      </c>
      <c r="M20" s="1">
        <f>SUM(M11:M19)</f>
        <v>2</v>
      </c>
    </row>
    <row r="21" spans="1:15" ht="15" customHeight="1" thickBot="1">
      <c r="A21"/>
      <c r="B21"/>
      <c r="C21"/>
      <c r="D21" s="21"/>
      <c r="E21" s="21"/>
      <c r="F21" s="21"/>
      <c r="G21" s="21"/>
      <c r="H21" s="21"/>
      <c r="I21" s="360" t="s">
        <v>18</v>
      </c>
      <c r="J21" s="361"/>
      <c r="K21" s="183">
        <f>SUM(K11:K20)</f>
        <v>5417.94</v>
      </c>
      <c r="M21" s="1">
        <f>SUMIFS(D11:D20,D11:D20,"&lt;3",D11:D20,"&lt;5")</f>
        <v>1</v>
      </c>
      <c r="N21" s="1">
        <f>SUMIFS(D11:D20,D11:D20,"&gt;3",D11:D20,"&gt;5")</f>
        <v>32</v>
      </c>
      <c r="O21" s="1">
        <f>SUM(M21,N21,F11:F20,H11:H20,-M20)</f>
        <v>58</v>
      </c>
    </row>
    <row r="22" spans="1:15" ht="10" customHeight="1" thickBot="1"/>
    <row r="23" spans="1:15" s="19" customFormat="1" ht="15" customHeight="1" thickBot="1">
      <c r="A23" s="22" t="s">
        <v>19</v>
      </c>
      <c r="B23" s="23" t="s">
        <v>20</v>
      </c>
      <c r="C23" s="23"/>
      <c r="D23" s="23"/>
      <c r="E23" s="23"/>
      <c r="F23" s="23"/>
      <c r="G23" s="23"/>
      <c r="H23" s="18" t="s">
        <v>21</v>
      </c>
      <c r="I23" s="18" t="s">
        <v>22</v>
      </c>
      <c r="J23" s="18" t="s">
        <v>23</v>
      </c>
      <c r="K23" s="18" t="s">
        <v>17</v>
      </c>
    </row>
    <row r="24" spans="1:15" ht="15" customHeight="1">
      <c r="A24" s="43"/>
      <c r="B24" s="49">
        <f>VLOOKUP($C$24:$C$43,Equipment!$A$1:$B$2322,2,FALSE)</f>
        <v>0</v>
      </c>
      <c r="C24" s="24"/>
      <c r="D24" s="24"/>
      <c r="E24" s="24"/>
      <c r="F24" s="24"/>
      <c r="G24" s="24"/>
      <c r="H24" s="185"/>
      <c r="I24" s="184"/>
      <c r="J24" s="42">
        <f>VLOOKUP($B$24:$B$43,'Alberta Equip. Rates Year 3'!$B$13:$K$314,10,FALSE)</f>
        <v>0</v>
      </c>
      <c r="K24" s="181">
        <f>(H24+I24)*J24</f>
        <v>0</v>
      </c>
    </row>
    <row r="25" spans="1:15" ht="15" customHeight="1">
      <c r="A25" s="43"/>
      <c r="B25" s="49" t="str">
        <f>VLOOKUP($C$24:$C$43,Equipment!$A$1:$B$2322,2,FALSE)</f>
        <v>Backhoe - Cat 336 (or equivalent)</v>
      </c>
      <c r="C25" s="24" t="s">
        <v>2096</v>
      </c>
      <c r="D25" s="24"/>
      <c r="E25" s="24"/>
      <c r="F25" s="24"/>
      <c r="G25" s="24"/>
      <c r="H25" s="185">
        <v>1</v>
      </c>
      <c r="I25" s="184"/>
      <c r="J25" s="42">
        <f>VLOOKUP($B$24:$B$43,'Alberta Equip. Rates Year 3'!$B$13:$K$314,10,FALSE)</f>
        <v>794</v>
      </c>
      <c r="K25" s="181">
        <f>(H25+I25)*J25</f>
        <v>794</v>
      </c>
    </row>
    <row r="26" spans="1:15" ht="15" customHeight="1">
      <c r="A26" s="43"/>
      <c r="B26" s="49" t="str">
        <f>VLOOKUP($C$24:$C$43,Equipment!$A$1:$B$2322,2,FALSE)</f>
        <v>Crewcab - 1 Ton</v>
      </c>
      <c r="C26" s="24" t="s">
        <v>4063</v>
      </c>
      <c r="D26" s="24"/>
      <c r="E26" s="24"/>
      <c r="F26" s="24"/>
      <c r="G26" s="24"/>
      <c r="H26" s="185">
        <v>1</v>
      </c>
      <c r="I26" s="184"/>
      <c r="J26" s="42">
        <f>VLOOKUP($B$24:$B$43,'Alberta Equip. Rates Year 3'!$B$13:$K$314,10,FALSE)</f>
        <v>163</v>
      </c>
      <c r="K26" s="181">
        <f>(H26+I26)*J26</f>
        <v>163</v>
      </c>
    </row>
    <row r="27" spans="1:15" ht="15" customHeight="1">
      <c r="A27" s="43"/>
      <c r="B27" s="49" t="str">
        <f>VLOOKUP($C$24:$C$43,Equipment!$A$1:$B$2322,2,FALSE)</f>
        <v>Crewcab - 1 Ton</v>
      </c>
      <c r="C27" s="24" t="s">
        <v>4128</v>
      </c>
      <c r="D27" s="24"/>
      <c r="E27" s="24"/>
      <c r="F27" s="24"/>
      <c r="G27" s="24"/>
      <c r="H27" s="185">
        <v>1</v>
      </c>
      <c r="I27" s="184"/>
      <c r="J27" s="42">
        <f>VLOOKUP($B$24:$B$43,'Alberta Equip. Rates Year 3'!$B$13:$K$314,10,FALSE)</f>
        <v>163</v>
      </c>
      <c r="K27" s="181">
        <f>(H27+I27)*J27</f>
        <v>163</v>
      </c>
    </row>
    <row r="28" spans="1:15" ht="15" customHeight="1">
      <c r="A28" s="43"/>
      <c r="B28" s="49" t="str">
        <f>VLOOKUP($C$24:$C$43,Equipment!$A$1:$B$2322,2,FALSE)</f>
        <v>Dozer - D6T LGP (or equivalent)</v>
      </c>
      <c r="C28" s="24" t="s">
        <v>2099</v>
      </c>
      <c r="D28" s="24"/>
      <c r="E28" s="24"/>
      <c r="F28" s="24"/>
      <c r="G28" s="24"/>
      <c r="H28" s="185">
        <v>1</v>
      </c>
      <c r="I28" s="184"/>
      <c r="J28" s="42">
        <f>VLOOKUP($B$24:$B$43,'Alberta Equip. Rates Year 3'!$B$13:$K$314,10,FALSE)</f>
        <v>964</v>
      </c>
      <c r="K28" s="181">
        <f t="shared" ref="K28:K43" si="1">(H28+I28)*J28</f>
        <v>964</v>
      </c>
    </row>
    <row r="29" spans="1:15" ht="15" customHeight="1">
      <c r="A29" s="43"/>
      <c r="B29" s="49" t="str">
        <f>VLOOKUP($C$24:$C$43,Equipment!$A$1:$B$2322,2,FALSE)</f>
        <v>Dozer - D6T LGP (or equivalent)</v>
      </c>
      <c r="C29" s="24" t="s">
        <v>1939</v>
      </c>
      <c r="D29" s="24"/>
      <c r="E29" s="24"/>
      <c r="F29" s="24"/>
      <c r="G29" s="24"/>
      <c r="H29" s="185">
        <v>1</v>
      </c>
      <c r="I29" s="184"/>
      <c r="J29" s="42">
        <f>VLOOKUP($B$24:$B$43,'Alberta Equip. Rates Year 3'!$B$13:$K$314,10,FALSE)</f>
        <v>964</v>
      </c>
      <c r="K29" s="181">
        <f t="shared" si="1"/>
        <v>964</v>
      </c>
    </row>
    <row r="30" spans="1:15" ht="15" customHeight="1">
      <c r="A30" s="43"/>
      <c r="B30" s="49">
        <f>VLOOKUP($C$24:$C$43,Equipment!$A$1:$B$2322,2,FALSE)</f>
        <v>0</v>
      </c>
      <c r="C30" s="24"/>
      <c r="D30" s="24"/>
      <c r="E30" s="24"/>
      <c r="F30" s="24"/>
      <c r="G30" s="24"/>
      <c r="H30" s="184"/>
      <c r="I30" s="184"/>
      <c r="J30" s="42">
        <f>VLOOKUP($B$24:$B$43,'Alberta Equip. Rates Year 3'!$B$13:$K$314,10,FALSE)</f>
        <v>0</v>
      </c>
      <c r="K30" s="181">
        <f t="shared" si="1"/>
        <v>0</v>
      </c>
    </row>
    <row r="31" spans="1:15" ht="15" customHeight="1">
      <c r="A31" s="43"/>
      <c r="B31" s="49">
        <f>VLOOKUP($C$24:$C$43,Equipment!$A$1:$B$2322,2,FALSE)</f>
        <v>0</v>
      </c>
      <c r="C31" s="24"/>
      <c r="D31" s="24"/>
      <c r="E31" s="24"/>
      <c r="F31" s="24"/>
      <c r="G31" s="24"/>
      <c r="H31" s="184"/>
      <c r="I31" s="184"/>
      <c r="J31" s="42">
        <f>VLOOKUP($B$24:$B$43,'Alberta Equip. Rates Year 3'!$B$13:$K$314,10,FALSE)</f>
        <v>0</v>
      </c>
      <c r="K31" s="181">
        <f t="shared" si="1"/>
        <v>0</v>
      </c>
    </row>
    <row r="32" spans="1:15" ht="15" customHeight="1">
      <c r="A32" s="43"/>
      <c r="B32" s="49">
        <f>VLOOKUP($C$24:$C$43,Equipment!$A$1:$B$2322,2,FALSE)</f>
        <v>0</v>
      </c>
      <c r="C32" s="24"/>
      <c r="D32" s="24"/>
      <c r="E32" s="24"/>
      <c r="F32" s="24"/>
      <c r="G32" s="24"/>
      <c r="H32" s="184"/>
      <c r="I32" s="184"/>
      <c r="J32" s="42">
        <f>VLOOKUP($B$24:$B$43,'Alberta Equip. Rates Year 3'!$B$13:$K$314,10,FALSE)</f>
        <v>0</v>
      </c>
      <c r="K32" s="181">
        <f t="shared" si="1"/>
        <v>0</v>
      </c>
    </row>
    <row r="33" spans="1:11" ht="15" customHeight="1">
      <c r="A33" s="43"/>
      <c r="B33" s="49">
        <f>VLOOKUP($C$24:$C$43,Equipment!$A$1:$B$2322,2,FALSE)</f>
        <v>0</v>
      </c>
      <c r="C33" s="24"/>
      <c r="D33" s="24"/>
      <c r="E33" s="24"/>
      <c r="F33" s="24"/>
      <c r="G33" s="24"/>
      <c r="H33" s="184"/>
      <c r="I33" s="184"/>
      <c r="J33" s="42">
        <f>VLOOKUP($B$24:$B$43,'Alberta Equip. Rates Year 3'!$B$13:$K$314,10,FALSE)</f>
        <v>0</v>
      </c>
      <c r="K33" s="181">
        <f t="shared" si="1"/>
        <v>0</v>
      </c>
    </row>
    <row r="34" spans="1:11" ht="15" customHeight="1">
      <c r="A34" s="43"/>
      <c r="B34" s="49">
        <f>VLOOKUP($C$24:$C$43,Equipment!$A$1:$B$2322,2,FALSE)</f>
        <v>0</v>
      </c>
      <c r="C34" s="24"/>
      <c r="D34" s="24"/>
      <c r="E34" s="24"/>
      <c r="F34" s="24"/>
      <c r="G34" s="24"/>
      <c r="H34" s="184"/>
      <c r="I34" s="184"/>
      <c r="J34" s="42">
        <f>VLOOKUP($B$24:$B$43,'Alberta Equip. Rates Year 3'!$B$13:$K$314,10,FALSE)</f>
        <v>0</v>
      </c>
      <c r="K34" s="181">
        <f t="shared" si="1"/>
        <v>0</v>
      </c>
    </row>
    <row r="35" spans="1:11" ht="15" customHeight="1">
      <c r="A35" s="43"/>
      <c r="B35" s="49">
        <f>VLOOKUP($C$24:$C$43,Equipment!$A$1:$B$2322,2,FALSE)</f>
        <v>0</v>
      </c>
      <c r="C35" s="24"/>
      <c r="D35" s="24"/>
      <c r="E35" s="24"/>
      <c r="F35" s="24"/>
      <c r="G35" s="24"/>
      <c r="H35" s="184"/>
      <c r="I35" s="184"/>
      <c r="J35" s="42">
        <f>VLOOKUP($B$24:$B$43,'Alberta Equip. Rates Year 3'!$B$13:$K$314,10,FALSE)</f>
        <v>0</v>
      </c>
      <c r="K35" s="181">
        <f t="shared" ref="K35:K39" si="2">(H35+I35)*J35</f>
        <v>0</v>
      </c>
    </row>
    <row r="36" spans="1:11" ht="15" customHeight="1">
      <c r="A36" s="43"/>
      <c r="B36" s="49">
        <f>VLOOKUP($C$24:$C$43,Equipment!$A$1:$B$2322,2,FALSE)</f>
        <v>0</v>
      </c>
      <c r="C36" s="24"/>
      <c r="D36" s="24"/>
      <c r="E36" s="24"/>
      <c r="F36" s="24"/>
      <c r="G36" s="24"/>
      <c r="H36" s="184"/>
      <c r="I36" s="184"/>
      <c r="J36" s="42">
        <f>VLOOKUP($B$24:$B$43,'Alberta Equip. Rates Year 3'!$B$13:$K$314,10,FALSE)</f>
        <v>0</v>
      </c>
      <c r="K36" s="181">
        <f t="shared" si="2"/>
        <v>0</v>
      </c>
    </row>
    <row r="37" spans="1:11" ht="15" customHeight="1">
      <c r="A37" s="43"/>
      <c r="B37" s="49">
        <f>VLOOKUP($C$24:$C$43,Equipment!$A$1:$B$2322,2,FALSE)</f>
        <v>0</v>
      </c>
      <c r="C37" s="24"/>
      <c r="D37" s="24"/>
      <c r="E37" s="24"/>
      <c r="F37" s="24"/>
      <c r="G37" s="24"/>
      <c r="H37" s="184"/>
      <c r="I37" s="184"/>
      <c r="J37" s="42">
        <f>VLOOKUP($B$24:$B$43,'Alberta Equip. Rates Year 3'!$B$13:$K$314,10,FALSE)</f>
        <v>0</v>
      </c>
      <c r="K37" s="181">
        <f t="shared" si="2"/>
        <v>0</v>
      </c>
    </row>
    <row r="38" spans="1:11" ht="15" customHeight="1">
      <c r="A38" s="43"/>
      <c r="B38" s="49">
        <f>VLOOKUP($C$24:$C$43,Equipment!$A$1:$B$2322,2,FALSE)</f>
        <v>0</v>
      </c>
      <c r="C38" s="24"/>
      <c r="D38" s="24"/>
      <c r="E38" s="24"/>
      <c r="F38" s="24"/>
      <c r="G38" s="24"/>
      <c r="H38" s="184"/>
      <c r="I38" s="184"/>
      <c r="J38" s="42">
        <f>VLOOKUP($B$24:$B$43,'Alberta Equip. Rates Year 3'!$B$13:$K$314,10,FALSE)</f>
        <v>0</v>
      </c>
      <c r="K38" s="181">
        <f t="shared" si="2"/>
        <v>0</v>
      </c>
    </row>
    <row r="39" spans="1:11" ht="15" customHeight="1">
      <c r="A39" s="43"/>
      <c r="B39" s="49">
        <f>VLOOKUP($C$24:$C$43,Equipment!$A$1:$B$2322,2,FALSE)</f>
        <v>0</v>
      </c>
      <c r="C39" s="24"/>
      <c r="D39" s="24"/>
      <c r="E39" s="24"/>
      <c r="F39" s="24"/>
      <c r="G39" s="24"/>
      <c r="H39" s="184"/>
      <c r="I39" s="184"/>
      <c r="J39" s="42">
        <f>VLOOKUP($B$24:$B$43,'Alberta Equip. Rates Year 3'!$B$13:$K$314,10,FALSE)</f>
        <v>0</v>
      </c>
      <c r="K39" s="181">
        <f t="shared" si="2"/>
        <v>0</v>
      </c>
    </row>
    <row r="40" spans="1:11" ht="15" customHeight="1">
      <c r="A40" s="43"/>
      <c r="B40" s="49">
        <f>VLOOKUP($C$24:$C$43,Equipment!$A$1:$B$2322,2,FALSE)</f>
        <v>0</v>
      </c>
      <c r="C40" s="24"/>
      <c r="D40" s="24"/>
      <c r="E40" s="24"/>
      <c r="F40" s="24"/>
      <c r="G40" s="24"/>
      <c r="H40" s="184"/>
      <c r="I40" s="184"/>
      <c r="J40" s="42">
        <f>VLOOKUP($B$24:$B$43,'Alberta Equip. Rates Year 3'!$B$13:$K$314,10,FALSE)</f>
        <v>0</v>
      </c>
      <c r="K40" s="181">
        <f t="shared" si="1"/>
        <v>0</v>
      </c>
    </row>
    <row r="41" spans="1:11" ht="15" customHeight="1">
      <c r="A41" s="43"/>
      <c r="B41" s="49">
        <f>VLOOKUP($C$24:$C$43,Equipment!$A$1:$B$2322,2,FALSE)</f>
        <v>0</v>
      </c>
      <c r="C41" s="24"/>
      <c r="D41" s="24"/>
      <c r="E41" s="24"/>
      <c r="F41" s="24"/>
      <c r="G41" s="24"/>
      <c r="H41" s="184"/>
      <c r="I41" s="184"/>
      <c r="J41" s="42">
        <f>VLOOKUP($B$24:$B$43,'Alberta Equip. Rates Year 3'!$B$13:$K$314,10,FALSE)</f>
        <v>0</v>
      </c>
      <c r="K41" s="181">
        <f t="shared" si="1"/>
        <v>0</v>
      </c>
    </row>
    <row r="42" spans="1:11" ht="15" customHeight="1">
      <c r="A42" s="43"/>
      <c r="B42" s="49">
        <f>VLOOKUP($C$24:$C$43,Equipment!$A$1:$B$2322,2,FALSE)</f>
        <v>0</v>
      </c>
      <c r="C42" s="24"/>
      <c r="D42" s="24"/>
      <c r="E42" s="24"/>
      <c r="F42" s="24"/>
      <c r="G42" s="24"/>
      <c r="H42" s="184"/>
      <c r="I42" s="184"/>
      <c r="J42" s="42">
        <f>VLOOKUP($B$24:$B$43,'Alberta Equip. Rates Year 3'!$B$13:$K$314,10,FALSE)</f>
        <v>0</v>
      </c>
      <c r="K42" s="181">
        <f t="shared" si="1"/>
        <v>0</v>
      </c>
    </row>
    <row r="43" spans="1:11" ht="15" customHeight="1" thickBot="1">
      <c r="A43" s="43"/>
      <c r="B43" s="49">
        <f>VLOOKUP($C$24:$C$43,Equipment!$A$1:$B$2322,2,FALSE)</f>
        <v>0</v>
      </c>
      <c r="C43" s="24"/>
      <c r="D43" s="24"/>
      <c r="E43" s="24"/>
      <c r="F43" s="24"/>
      <c r="G43" s="24"/>
      <c r="H43" s="185"/>
      <c r="I43" s="184"/>
      <c r="J43" s="42">
        <f>VLOOKUP($B$24:$B$43,'Alberta Equip. Rates Year 3'!$B$13:$K$314,10,FALSE)</f>
        <v>0</v>
      </c>
      <c r="K43" s="181">
        <f t="shared" si="1"/>
        <v>0</v>
      </c>
    </row>
    <row r="44" spans="1:11" ht="12" thickBot="1">
      <c r="A44" s="25"/>
      <c r="B44" s="25"/>
      <c r="C44" s="25"/>
      <c r="D44" s="21"/>
      <c r="E44" s="21"/>
      <c r="F44" s="21"/>
      <c r="G44" s="21"/>
      <c r="H44" s="21"/>
      <c r="I44" s="360" t="s">
        <v>24</v>
      </c>
      <c r="J44" s="361"/>
      <c r="K44" s="182">
        <f>SUM(K24:K43)</f>
        <v>3048</v>
      </c>
    </row>
    <row r="45" spans="1:11" ht="12" thickBot="1">
      <c r="A45" s="26"/>
      <c r="D45" s="26"/>
      <c r="I45" s="27"/>
      <c r="J45" s="27"/>
      <c r="K45" s="28"/>
    </row>
    <row r="46" spans="1:11">
      <c r="A46" s="1" t="s">
        <v>25</v>
      </c>
      <c r="B46" s="29"/>
      <c r="D46" s="1"/>
      <c r="E46" s="1"/>
      <c r="F46" s="1"/>
      <c r="G46" s="1"/>
      <c r="H46" s="1"/>
      <c r="I46" s="362" t="s">
        <v>26</v>
      </c>
      <c r="J46" s="362"/>
      <c r="K46" s="37">
        <f>K21</f>
        <v>5417.94</v>
      </c>
    </row>
    <row r="47" spans="1:11">
      <c r="D47" s="1"/>
      <c r="E47" s="1"/>
      <c r="F47" s="1"/>
      <c r="G47" s="1"/>
      <c r="H47" s="1"/>
      <c r="I47" s="362" t="s">
        <v>27</v>
      </c>
      <c r="J47" s="362"/>
      <c r="K47" s="38">
        <f>K44</f>
        <v>3048</v>
      </c>
    </row>
    <row r="48" spans="1:11">
      <c r="D48" s="1"/>
      <c r="E48" s="1"/>
      <c r="F48" s="1"/>
      <c r="G48" s="1"/>
      <c r="H48" s="1"/>
      <c r="I48" s="27" t="s">
        <v>28</v>
      </c>
      <c r="J48" s="27"/>
      <c r="K48" s="38">
        <f>(O21)*14.15</f>
        <v>820.7</v>
      </c>
    </row>
    <row r="49" spans="1:11">
      <c r="D49" s="1"/>
      <c r="E49" s="1"/>
      <c r="F49" s="1"/>
      <c r="G49" s="1"/>
      <c r="H49" s="1"/>
      <c r="I49" s="30" t="s">
        <v>29</v>
      </c>
      <c r="J49" s="30"/>
      <c r="K49" s="39"/>
    </row>
    <row r="50" spans="1:11">
      <c r="D50" s="1"/>
      <c r="E50" s="1"/>
      <c r="F50" s="1"/>
      <c r="G50" s="1"/>
      <c r="H50" s="1"/>
      <c r="I50" s="30" t="s">
        <v>30</v>
      </c>
      <c r="J50" s="30"/>
      <c r="K50" s="39"/>
    </row>
    <row r="51" spans="1:11">
      <c r="D51" s="1"/>
      <c r="E51" s="1"/>
      <c r="F51" s="1"/>
      <c r="G51" s="1"/>
      <c r="H51" s="1"/>
      <c r="I51" s="30" t="s">
        <v>31</v>
      </c>
      <c r="J51" s="30"/>
      <c r="K51" s="39"/>
    </row>
    <row r="52" spans="1:11" ht="12" thickBot="1">
      <c r="D52" s="1"/>
      <c r="E52" s="1"/>
      <c r="F52" s="1"/>
      <c r="G52" s="1"/>
      <c r="H52" s="1"/>
      <c r="I52" s="362" t="s">
        <v>32</v>
      </c>
      <c r="J52" s="362"/>
      <c r="K52" s="40">
        <f>SUM(K46:K51)</f>
        <v>9286.64</v>
      </c>
    </row>
    <row r="53" spans="1:11">
      <c r="D53" s="1"/>
      <c r="E53" s="1"/>
      <c r="F53" s="1"/>
      <c r="G53" s="1"/>
      <c r="H53" s="1"/>
      <c r="I53" s="27"/>
      <c r="J53" s="27"/>
    </row>
    <row r="54" spans="1:11">
      <c r="A54" s="31" t="s">
        <v>33</v>
      </c>
      <c r="B54" s="32"/>
      <c r="C54" s="32"/>
      <c r="D54" s="1"/>
      <c r="H54" s="33" t="s">
        <v>34</v>
      </c>
      <c r="I54" s="32"/>
      <c r="J54" s="32"/>
      <c r="K54" s="32"/>
    </row>
    <row r="55" spans="1:11" ht="15">
      <c r="A55" s="34"/>
      <c r="E55" s="8"/>
      <c r="F55" s="8"/>
      <c r="G55" s="8"/>
      <c r="H55" s="35"/>
      <c r="I55" s="35"/>
      <c r="J55" s="35"/>
      <c r="K55" s="35"/>
    </row>
    <row r="56" spans="1:11" ht="15">
      <c r="A56" s="34" t="s">
        <v>35</v>
      </c>
      <c r="E56" s="8"/>
      <c r="F56" s="8"/>
      <c r="G56" s="8"/>
      <c r="H56" s="35"/>
      <c r="I56" s="35"/>
      <c r="J56" s="35"/>
      <c r="K56" s="35"/>
    </row>
    <row r="57" spans="1:11" s="34" customFormat="1">
      <c r="A57" s="363">
        <v>41218.479166666664</v>
      </c>
      <c r="B57" s="363"/>
      <c r="C57" s="364"/>
      <c r="D57" s="364"/>
      <c r="E57" s="364"/>
      <c r="F57" s="364"/>
      <c r="G57" s="364"/>
      <c r="H57" s="364"/>
      <c r="I57" s="364"/>
      <c r="J57" s="364"/>
      <c r="K57" s="8"/>
    </row>
    <row r="67" s="1" customFormat="1"/>
    <row r="68" s="1" customFormat="1"/>
    <row r="69" s="1" customFormat="1"/>
    <row r="70" s="1" customFormat="1"/>
    <row r="71" s="1" customFormat="1"/>
    <row r="72" s="1" customFormat="1"/>
    <row r="73" s="1" customFormat="1"/>
    <row r="74" s="1" customFormat="1"/>
    <row r="75" s="1" customFormat="1"/>
    <row r="76" s="1" customFormat="1"/>
    <row r="77" s="1" customFormat="1"/>
    <row r="78" s="1" customFormat="1"/>
    <row r="79" s="1" customFormat="1"/>
    <row r="80" s="1" customFormat="1"/>
    <row r="85" s="1" customFormat="1"/>
    <row r="113" s="1" customFormat="1"/>
    <row r="114" s="1" customFormat="1"/>
    <row r="115" s="1" customFormat="1"/>
    <row r="116" s="1" customFormat="1"/>
  </sheetData>
  <mergeCells count="12">
    <mergeCell ref="I44:J44"/>
    <mergeCell ref="I46:J46"/>
    <mergeCell ref="I47:J47"/>
    <mergeCell ref="I52:J52"/>
    <mergeCell ref="A57:B57"/>
    <mergeCell ref="C57:J57"/>
    <mergeCell ref="I21:J21"/>
    <mergeCell ref="C1:H1"/>
    <mergeCell ref="C2:H2"/>
    <mergeCell ref="C3:H3"/>
    <mergeCell ref="H6:I6"/>
    <mergeCell ref="H7:I7"/>
  </mergeCells>
  <conditionalFormatting sqref="M11:M12 M16:M20">
    <cfRule type="expression" dxfId="60" priority="31550">
      <formula>ISTEXT(A11:A20)</formula>
    </cfRule>
  </conditionalFormatting>
  <conditionalFormatting sqref="M13:M14">
    <cfRule type="expression" dxfId="59" priority="40162">
      <formula>ISTEXT(A13:A23)</formula>
    </cfRule>
  </conditionalFormatting>
  <conditionalFormatting sqref="M15">
    <cfRule type="expression" dxfId="58" priority="40166">
      <formula>ISTEXT(A13:A22)</formula>
    </cfRule>
  </conditionalFormatting>
  <printOptions horizontalCentered="1"/>
  <pageMargins left="0.19685039370078741" right="0.19685039370078741" top="0.39370078740157483" bottom="0.39370078740157483" header="0" footer="0"/>
  <pageSetup orientation="portrait" horizontalDpi="4294967292" verticalDpi="4294967292"/>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2100-000000000000}">
          <x14:formula1>
            <xm:f>Accounts!$A$4:$A$60</xm:f>
          </x14:formula1>
          <xm:sqref>K7</xm:sqref>
        </x14:dataValidation>
        <x14:dataValidation type="list" allowBlank="1" showInputMessage="1" showErrorMessage="1" xr:uid="{00000000-0002-0000-2100-000001000000}">
          <x14:formula1>
            <xm:f>'Constr. Wage Rate Calculations'!$A$19:$A$288</xm:f>
          </x14:formula1>
          <xm:sqref>B11:B20</xm:sqref>
        </x14:dataValidation>
        <x14:dataValidation type="list" allowBlank="1" showInputMessage="1" showErrorMessage="1" xr:uid="{00000000-0002-0000-2100-000002000000}">
          <x14:formula1>
            <xm:f>Personnel!$A:$A</xm:f>
          </x14:formula1>
          <xm:sqref>C11:C20</xm:sqref>
        </x14:dataValidation>
        <x14:dataValidation type="list" allowBlank="1" showInputMessage="1" showErrorMessage="1" xr:uid="{00000000-0002-0000-2100-000003000000}">
          <x14:formula1>
            <xm:f>Equipment!$A:$A</xm:f>
          </x14:formula1>
          <xm:sqref>C24:C43</xm:sqref>
        </x14:dataValidation>
      </x14:dataValidations>
    </ext>
    <ext xmlns:mx="http://schemas.microsoft.com/office/mac/excel/2008/main" uri="{64002731-A6B0-56B0-2670-7721B7C09600}">
      <mx:PLV Mode="0" OnePage="0" WScale="0"/>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CCFFCC"/>
    <pageSetUpPr fitToPage="1"/>
  </sheetPr>
  <dimension ref="A1:P161"/>
  <sheetViews>
    <sheetView zoomScale="120" zoomScaleNormal="120" zoomScalePageLayoutView="120" workbookViewId="0">
      <selection activeCell="C23" sqref="C23"/>
    </sheetView>
  </sheetViews>
  <sheetFormatPr baseColWidth="10" defaultColWidth="8.83203125" defaultRowHeight="11"/>
  <cols>
    <col min="1" max="1" width="13" style="1" customWidth="1"/>
    <col min="2" max="2" width="30" style="1" customWidth="1"/>
    <col min="3" max="3" width="24.5" style="1" customWidth="1"/>
    <col min="4" max="4" width="8.6640625" style="2" customWidth="1"/>
    <col min="5" max="6" width="8.33203125" style="2" customWidth="1"/>
    <col min="7" max="8" width="8.6640625" style="2" customWidth="1"/>
    <col min="9" max="9" width="9.33203125" style="2" customWidth="1"/>
    <col min="10" max="10" width="8.6640625" style="2" customWidth="1"/>
    <col min="11" max="11" width="19.5" style="1" customWidth="1"/>
    <col min="12" max="12" width="3.5" style="1" hidden="1" customWidth="1"/>
    <col min="13" max="16384" width="8.83203125" style="1"/>
  </cols>
  <sheetData>
    <row r="1" spans="1:13" ht="15">
      <c r="C1" s="364"/>
      <c r="D1" s="365"/>
      <c r="E1" s="365"/>
      <c r="F1" s="365"/>
      <c r="G1" s="365"/>
      <c r="H1" s="366"/>
      <c r="J1" s="2" t="s">
        <v>0</v>
      </c>
      <c r="K1" s="197">
        <v>41659</v>
      </c>
      <c r="M1" s="45"/>
    </row>
    <row r="2" spans="1:13" ht="15">
      <c r="C2" s="367"/>
      <c r="D2" s="367"/>
      <c r="E2" s="367"/>
      <c r="F2" s="367"/>
      <c r="G2" s="367"/>
      <c r="H2" s="366"/>
      <c r="K2" s="41"/>
    </row>
    <row r="3" spans="1:13" ht="15">
      <c r="C3" s="368"/>
      <c r="D3" s="369"/>
      <c r="E3" s="369"/>
      <c r="F3" s="369"/>
      <c r="G3" s="369"/>
      <c r="H3" s="366"/>
    </row>
    <row r="4" spans="1:13">
      <c r="C4" s="3"/>
      <c r="D4" s="4"/>
      <c r="E4" s="4"/>
      <c r="F4" s="4"/>
      <c r="G4" s="4"/>
    </row>
    <row r="5" spans="1:13">
      <c r="C5" s="3"/>
      <c r="D5" s="4"/>
      <c r="E5" s="4"/>
      <c r="F5" s="4"/>
      <c r="G5" s="4"/>
    </row>
    <row r="6" spans="1:13" ht="12">
      <c r="B6" s="5"/>
      <c r="C6" s="6"/>
      <c r="D6" s="7"/>
      <c r="E6" s="8"/>
      <c r="F6" s="8"/>
      <c r="G6" s="1" t="s">
        <v>1</v>
      </c>
      <c r="H6" s="370">
        <v>18213</v>
      </c>
      <c r="I6" s="370"/>
      <c r="J6" s="1" t="s">
        <v>2</v>
      </c>
      <c r="K6" s="47"/>
    </row>
    <row r="7" spans="1:13" ht="12">
      <c r="A7" s="1" t="s">
        <v>3</v>
      </c>
      <c r="B7" s="9"/>
      <c r="C7" s="10"/>
      <c r="D7" s="11"/>
      <c r="E7" s="8"/>
      <c r="F7" s="8"/>
      <c r="G7" s="1" t="s">
        <v>4</v>
      </c>
      <c r="H7" s="371"/>
      <c r="I7" s="371"/>
      <c r="J7" s="1" t="s">
        <v>5</v>
      </c>
      <c r="K7" s="46"/>
    </row>
    <row r="8" spans="1:13" ht="12">
      <c r="B8" s="12"/>
      <c r="C8" s="13"/>
      <c r="D8" s="14"/>
      <c r="E8" s="8"/>
      <c r="F8" s="8"/>
      <c r="G8" s="1" t="s">
        <v>6</v>
      </c>
      <c r="H8" s="187"/>
      <c r="I8" s="188"/>
      <c r="J8" s="44"/>
    </row>
    <row r="9" spans="1:13" ht="16" thickBot="1">
      <c r="B9" s="15"/>
      <c r="C9" s="16"/>
      <c r="D9" s="16"/>
      <c r="E9" s="8"/>
      <c r="F9" s="8"/>
      <c r="G9" s="8"/>
    </row>
    <row r="10" spans="1:13" s="19" customFormat="1" ht="12" thickBot="1">
      <c r="A10" s="17" t="s">
        <v>7</v>
      </c>
      <c r="B10" s="17" t="s">
        <v>8</v>
      </c>
      <c r="C10" s="17" t="s">
        <v>9</v>
      </c>
      <c r="D10" s="18" t="s">
        <v>10</v>
      </c>
      <c r="E10" s="18" t="s">
        <v>11</v>
      </c>
      <c r="F10" s="18" t="s">
        <v>12</v>
      </c>
      <c r="G10" s="180" t="s">
        <v>13</v>
      </c>
      <c r="H10" s="18" t="s">
        <v>14</v>
      </c>
      <c r="I10" s="18" t="s">
        <v>15</v>
      </c>
      <c r="J10" s="18" t="s">
        <v>16</v>
      </c>
      <c r="K10" s="18" t="s">
        <v>17</v>
      </c>
      <c r="M10" s="19" t="s">
        <v>1797</v>
      </c>
    </row>
    <row r="11" spans="1:13" ht="15" customHeight="1">
      <c r="A11" s="48"/>
      <c r="B11" s="49">
        <f>VLOOKUP($C$11:$C$41,Personnel!$A$1:$B$1234,2,FALSE)</f>
        <v>0</v>
      </c>
      <c r="C11" s="36"/>
      <c r="D11" s="184"/>
      <c r="E11" s="179">
        <f>VLOOKUP($B$11:$B$41,'Constr. Wage Rate Calculations'!$A$19:$Z$288,22,FALSE)</f>
        <v>0</v>
      </c>
      <c r="F11" s="184"/>
      <c r="G11" s="179">
        <f>VLOOKUP($B$11:$B$41,'Constr. Wage Rate Calculations'!$A$19:$Z$288,23,FALSE)</f>
        <v>0</v>
      </c>
      <c r="H11" s="184"/>
      <c r="I11" s="179">
        <f>VLOOKUP($B$11:$B$41,'Constr. Wage Rate Calculations'!$A$19:$Z$288,24,FALSE)</f>
        <v>0</v>
      </c>
      <c r="J11" s="20">
        <f>VLOOKUP($B$11:$B$41,'Constr. Wage Rate Calculations'!$A$19:$Z$288,25,FALSE)</f>
        <v>0</v>
      </c>
      <c r="K11" s="179" t="str">
        <f>IF($D11&gt;=1,$J11+(D11*E11)+(F11*G11)+(H11*I11),IF($F11&gt;=1,$J11+(D11*E11)+(F11*G11)+(H11*I11),IF($H11&gt;=1,$J11+(D11*E11)+(F11*G11)+(H11*I11),"")))</f>
        <v/>
      </c>
    </row>
    <row r="12" spans="1:13" ht="15" customHeight="1">
      <c r="A12" s="48"/>
      <c r="B12" s="49" t="str">
        <f>VLOOKUP($C$11:$C$41,Personnel!$A$1:$B$1234,2,FALSE)</f>
        <v>PRINCIPAL OPER 1</v>
      </c>
      <c r="C12" s="36" t="s">
        <v>2647</v>
      </c>
      <c r="D12" s="184">
        <v>8</v>
      </c>
      <c r="E12" s="179">
        <f>VLOOKUP($B$11:$B$41,'Constr. Wage Rate Calculations'!$A$19:$Z$288,22,FALSE)</f>
        <v>64.239999999999995</v>
      </c>
      <c r="F12" s="184">
        <v>4</v>
      </c>
      <c r="G12" s="179">
        <f>VLOOKUP($B$11:$B$41,'Constr. Wage Rate Calculations'!$A$19:$Z$288,23,FALSE)</f>
        <v>96.36</v>
      </c>
      <c r="H12" s="184"/>
      <c r="I12" s="179">
        <f>VLOOKUP($B$11:$B$41,'Constr. Wage Rate Calculations'!$A$19:$Z$288,24,FALSE)</f>
        <v>128.47</v>
      </c>
      <c r="J12" s="20">
        <f>VLOOKUP($B$11:$B$41,'Constr. Wage Rate Calculations'!$A$19:$Z$288,25,FALSE)</f>
        <v>85</v>
      </c>
      <c r="K12" s="179">
        <f t="shared" ref="K12:K40" si="0">IF($D12&gt;=1,$J12+(D12*E12)+(F12*G12)+(H12*I12),IF($F12&gt;=1,$J12+(D12*E12)+(F12*G12)+(H12*I12),IF($H12&gt;=1,$J12+(D12*E12)+(F12*G12)+(H12*I12),"")))</f>
        <v>984.3599999999999</v>
      </c>
    </row>
    <row r="13" spans="1:13" ht="15" customHeight="1">
      <c r="A13" s="48"/>
      <c r="B13" s="49" t="str">
        <f>VLOOKUP($C$11:$C$41,Personnel!$A$1:$B$1234,2,FALSE)</f>
        <v>PRINCIPAL OPER 1</v>
      </c>
      <c r="C13" s="36" t="s">
        <v>1436</v>
      </c>
      <c r="D13" s="184">
        <v>8</v>
      </c>
      <c r="E13" s="179">
        <f>VLOOKUP($B$11:$B$41,'Constr. Wage Rate Calculations'!$A$19:$Z$288,22,FALSE)</f>
        <v>64.239999999999995</v>
      </c>
      <c r="F13" s="184">
        <v>4</v>
      </c>
      <c r="G13" s="179">
        <f>VLOOKUP($B$11:$B$41,'Constr. Wage Rate Calculations'!$A$19:$Z$288,23,FALSE)</f>
        <v>96.36</v>
      </c>
      <c r="H13" s="184"/>
      <c r="I13" s="179">
        <f>VLOOKUP($B$11:$B$41,'Constr. Wage Rate Calculations'!$A$19:$Z$288,24,FALSE)</f>
        <v>128.47</v>
      </c>
      <c r="J13" s="20">
        <f>VLOOKUP($B$11:$B$41,'Constr. Wage Rate Calculations'!$A$19:$Z$288,25,FALSE)</f>
        <v>85</v>
      </c>
      <c r="K13" s="179">
        <f t="shared" si="0"/>
        <v>984.3599999999999</v>
      </c>
      <c r="M13" s="1">
        <v>2</v>
      </c>
    </row>
    <row r="14" spans="1:13" ht="15" customHeight="1">
      <c r="A14" s="48"/>
      <c r="B14" s="49" t="str">
        <f>VLOOKUP($C$11:$C$41,Personnel!$A$1:$B$1234,2,FALSE)</f>
        <v>GENERAL LABOURER</v>
      </c>
      <c r="C14" s="36" t="s">
        <v>731</v>
      </c>
      <c r="D14" s="184">
        <v>8</v>
      </c>
      <c r="E14" s="179">
        <f>VLOOKUP($B$11:$B$41,'Constr. Wage Rate Calculations'!$A$19:$Z$288,22,FALSE)</f>
        <v>48.1</v>
      </c>
      <c r="F14" s="184">
        <v>6</v>
      </c>
      <c r="G14" s="179">
        <f>VLOOKUP($B$11:$B$41,'Constr. Wage Rate Calculations'!$A$19:$Z$288,23,FALSE)</f>
        <v>72.150000000000006</v>
      </c>
      <c r="H14" s="184"/>
      <c r="I14" s="179">
        <f>VLOOKUP($B$11:$B$41,'Constr. Wage Rate Calculations'!$A$19:$Z$288,24,FALSE)</f>
        <v>96.2</v>
      </c>
      <c r="J14" s="20">
        <f>VLOOKUP($B$11:$B$41,'Constr. Wage Rate Calculations'!$A$19:$Z$288,25,FALSE)</f>
        <v>85</v>
      </c>
      <c r="K14" s="179">
        <f t="shared" si="0"/>
        <v>902.7</v>
      </c>
      <c r="M14" s="1">
        <v>1</v>
      </c>
    </row>
    <row r="15" spans="1:13" ht="15" customHeight="1">
      <c r="A15" s="48"/>
      <c r="B15" s="49" t="str">
        <f>VLOOKUP($C$11:$C$41,Personnel!$A$1:$B$1234,2,FALSE)</f>
        <v>PRINCIPAL OPER 1</v>
      </c>
      <c r="C15" s="36" t="s">
        <v>3345</v>
      </c>
      <c r="D15" s="184">
        <v>8</v>
      </c>
      <c r="E15" s="179">
        <f>VLOOKUP($B$11:$B$41,'Constr. Wage Rate Calculations'!$A$19:$Z$288,22,FALSE)</f>
        <v>64.239999999999995</v>
      </c>
      <c r="F15" s="184">
        <v>5</v>
      </c>
      <c r="G15" s="179">
        <f>VLOOKUP($B$11:$B$41,'Constr. Wage Rate Calculations'!$A$19:$Z$288,23,FALSE)</f>
        <v>96.36</v>
      </c>
      <c r="H15" s="184"/>
      <c r="I15" s="179">
        <f>VLOOKUP($B$11:$B$41,'Constr. Wage Rate Calculations'!$A$19:$Z$288,24,FALSE)</f>
        <v>128.47</v>
      </c>
      <c r="J15" s="20">
        <f>VLOOKUP($B$11:$B$41,'Constr. Wage Rate Calculations'!$A$19:$Z$288,25,FALSE)</f>
        <v>85</v>
      </c>
      <c r="K15" s="179">
        <f t="shared" si="0"/>
        <v>1080.72</v>
      </c>
    </row>
    <row r="16" spans="1:13" ht="15" customHeight="1">
      <c r="A16" s="48"/>
      <c r="B16" s="49" t="str">
        <f>VLOOKUP($C$11:$C$41,Personnel!$A$1:$B$1234,2,FALSE)</f>
        <v>PRINCIPAL OPER 1</v>
      </c>
      <c r="C16" s="36" t="s">
        <v>3471</v>
      </c>
      <c r="D16" s="184">
        <v>8</v>
      </c>
      <c r="E16" s="179">
        <f>VLOOKUP($B$11:$B$41,'Constr. Wage Rate Calculations'!$A$19:$Z$288,22,FALSE)</f>
        <v>64.239999999999995</v>
      </c>
      <c r="F16" s="184">
        <v>4</v>
      </c>
      <c r="G16" s="179">
        <f>VLOOKUP($B$11:$B$41,'Constr. Wage Rate Calculations'!$A$19:$Z$288,23,FALSE)</f>
        <v>96.36</v>
      </c>
      <c r="H16" s="184"/>
      <c r="I16" s="179">
        <f>VLOOKUP($B$11:$B$41,'Constr. Wage Rate Calculations'!$A$19:$Z$288,24,FALSE)</f>
        <v>128.47</v>
      </c>
      <c r="J16" s="20">
        <f>VLOOKUP($B$11:$B$41,'Constr. Wage Rate Calculations'!$A$19:$Z$288,25,FALSE)</f>
        <v>85</v>
      </c>
      <c r="K16" s="179">
        <f t="shared" si="0"/>
        <v>984.3599999999999</v>
      </c>
    </row>
    <row r="17" spans="1:13" ht="15" customHeight="1">
      <c r="A17" s="48"/>
      <c r="B17" s="49" t="str">
        <f>VLOOKUP($C$11:$C$41,Personnel!$A$1:$B$1234,2,FALSE)</f>
        <v>APPRENTICE OPER/OILER</v>
      </c>
      <c r="C17" s="36" t="s">
        <v>3703</v>
      </c>
      <c r="D17" s="184">
        <v>8</v>
      </c>
      <c r="E17" s="179">
        <f>VLOOKUP($B$11:$B$41,'Constr. Wage Rate Calculations'!$A$19:$Z$288,22,FALSE)</f>
        <v>49.44</v>
      </c>
      <c r="F17" s="184">
        <v>4</v>
      </c>
      <c r="G17" s="179">
        <f>VLOOKUP($B$11:$B$41,'Constr. Wage Rate Calculations'!$A$19:$Z$288,23,FALSE)</f>
        <v>74.16</v>
      </c>
      <c r="H17" s="184"/>
      <c r="I17" s="179">
        <f>VLOOKUP($B$11:$B$41,'Constr. Wage Rate Calculations'!$A$19:$Z$288,24,FALSE)</f>
        <v>98.89</v>
      </c>
      <c r="J17" s="20">
        <f>VLOOKUP($B$11:$B$41,'Constr. Wage Rate Calculations'!$A$19:$Z$288,25,FALSE)</f>
        <v>85</v>
      </c>
      <c r="K17" s="179">
        <f t="shared" si="0"/>
        <v>777.16</v>
      </c>
    </row>
    <row r="18" spans="1:13" ht="15" customHeight="1">
      <c r="A18" s="48"/>
      <c r="B18" s="49" t="str">
        <f>VLOOKUP($C$11:$C$41,Personnel!$A$1:$B$1234,2,FALSE)</f>
        <v>PRINCIPAL OPER 1</v>
      </c>
      <c r="C18" s="36" t="s">
        <v>2899</v>
      </c>
      <c r="D18" s="184">
        <v>8</v>
      </c>
      <c r="E18" s="179">
        <f>VLOOKUP($B$11:$B$41,'Constr. Wage Rate Calculations'!$A$19:$Z$288,22,FALSE)</f>
        <v>64.239999999999995</v>
      </c>
      <c r="F18" s="184">
        <v>5</v>
      </c>
      <c r="G18" s="179">
        <f>VLOOKUP($B$11:$B$41,'Constr. Wage Rate Calculations'!$A$19:$Z$288,23,FALSE)</f>
        <v>96.36</v>
      </c>
      <c r="H18" s="184"/>
      <c r="I18" s="179">
        <f>VLOOKUP($B$11:$B$41,'Constr. Wage Rate Calculations'!$A$19:$Z$288,24,FALSE)</f>
        <v>128.47</v>
      </c>
      <c r="J18" s="20">
        <f>VLOOKUP($B$11:$B$41,'Constr. Wage Rate Calculations'!$A$19:$Z$288,25,FALSE)</f>
        <v>85</v>
      </c>
      <c r="K18" s="179">
        <f t="shared" si="0"/>
        <v>1080.72</v>
      </c>
      <c r="M18" s="1">
        <v>1</v>
      </c>
    </row>
    <row r="19" spans="1:13" ht="15" customHeight="1">
      <c r="A19" s="48"/>
      <c r="B19" s="49" t="str">
        <f>VLOOKUP($C$11:$C$41,Personnel!$A$1:$B$1234,2,FALSE)</f>
        <v>GENERAL LABOURER</v>
      </c>
      <c r="C19" s="36" t="s">
        <v>3636</v>
      </c>
      <c r="D19" s="184">
        <v>8</v>
      </c>
      <c r="E19" s="179">
        <f>VLOOKUP($B$11:$B$41,'Constr. Wage Rate Calculations'!$A$19:$Z$288,22,FALSE)</f>
        <v>48.1</v>
      </c>
      <c r="F19" s="184">
        <v>5</v>
      </c>
      <c r="G19" s="179">
        <f>VLOOKUP($B$11:$B$41,'Constr. Wage Rate Calculations'!$A$19:$Z$288,23,FALSE)</f>
        <v>72.150000000000006</v>
      </c>
      <c r="H19" s="184"/>
      <c r="I19" s="179">
        <f>VLOOKUP($B$11:$B$41,'Constr. Wage Rate Calculations'!$A$19:$Z$288,24,FALSE)</f>
        <v>96.2</v>
      </c>
      <c r="J19" s="20">
        <f>VLOOKUP($B$11:$B$41,'Constr. Wage Rate Calculations'!$A$19:$Z$288,25,FALSE)</f>
        <v>85</v>
      </c>
      <c r="K19" s="179">
        <f t="shared" si="0"/>
        <v>830.55</v>
      </c>
    </row>
    <row r="20" spans="1:13" ht="15" customHeight="1">
      <c r="A20" s="48"/>
      <c r="B20" s="49" t="str">
        <f>VLOOKUP($C$11:$C$41,Personnel!$A$1:$B$1234,2,FALSE)</f>
        <v>GENERAL LABOURER</v>
      </c>
      <c r="C20" s="36" t="s">
        <v>2762</v>
      </c>
      <c r="D20" s="184">
        <v>8</v>
      </c>
      <c r="E20" s="179">
        <f>VLOOKUP($B$11:$B$41,'Constr. Wage Rate Calculations'!$A$19:$Z$288,22,FALSE)</f>
        <v>48.1</v>
      </c>
      <c r="F20" s="184">
        <v>7</v>
      </c>
      <c r="G20" s="179">
        <f>VLOOKUP($B$11:$B$41,'Constr. Wage Rate Calculations'!$A$19:$Z$288,23,FALSE)</f>
        <v>72.150000000000006</v>
      </c>
      <c r="H20" s="184"/>
      <c r="I20" s="179">
        <f>VLOOKUP($B$11:$B$41,'Constr. Wage Rate Calculations'!$A$19:$Z$288,24,FALSE)</f>
        <v>96.2</v>
      </c>
      <c r="J20" s="20">
        <f>VLOOKUP($B$11:$B$41,'Constr. Wage Rate Calculations'!$A$19:$Z$288,25,FALSE)</f>
        <v>85</v>
      </c>
      <c r="K20" s="179">
        <f t="shared" si="0"/>
        <v>974.85000000000014</v>
      </c>
      <c r="M20" s="1">
        <v>3</v>
      </c>
    </row>
    <row r="21" spans="1:13" ht="15" customHeight="1">
      <c r="A21" s="48"/>
      <c r="B21" s="49" t="str">
        <f>VLOOKUP($C$11:$C$41,Personnel!$A$1:$B$1234,2,FALSE)</f>
        <v>PRINCIPAL OPER 1</v>
      </c>
      <c r="C21" s="36" t="s">
        <v>3609</v>
      </c>
      <c r="D21" s="184">
        <v>8</v>
      </c>
      <c r="E21" s="179">
        <f>VLOOKUP($B$11:$B$41,'Constr. Wage Rate Calculations'!$A$19:$Z$288,22,FALSE)</f>
        <v>64.239999999999995</v>
      </c>
      <c r="F21" s="184">
        <v>4</v>
      </c>
      <c r="G21" s="179">
        <f>VLOOKUP($B$11:$B$41,'Constr. Wage Rate Calculations'!$A$19:$Z$288,23,FALSE)</f>
        <v>96.36</v>
      </c>
      <c r="H21" s="184"/>
      <c r="I21" s="179">
        <f>VLOOKUP($B$11:$B$41,'Constr. Wage Rate Calculations'!$A$19:$Z$288,24,FALSE)</f>
        <v>128.47</v>
      </c>
      <c r="J21" s="20">
        <f>VLOOKUP($B$11:$B$41,'Constr. Wage Rate Calculations'!$A$19:$Z$288,25,FALSE)</f>
        <v>85</v>
      </c>
      <c r="K21" s="179">
        <f t="shared" si="0"/>
        <v>984.3599999999999</v>
      </c>
    </row>
    <row r="22" spans="1:13" ht="15" customHeight="1">
      <c r="A22" s="48"/>
      <c r="B22" s="49" t="str">
        <f>VLOOKUP($C$11:$C$41,Personnel!$A$1:$B$1234,2,FALSE)</f>
        <v>POWERSAW OPERATOR</v>
      </c>
      <c r="C22" s="36" t="s">
        <v>3372</v>
      </c>
      <c r="D22" s="184">
        <v>8</v>
      </c>
      <c r="E22" s="179">
        <f>VLOOKUP($B$11:$B$41,'Constr. Wage Rate Calculations'!$A$19:$Z$288,22,FALSE)</f>
        <v>48.62</v>
      </c>
      <c r="F22" s="184">
        <v>5</v>
      </c>
      <c r="G22" s="179">
        <f>VLOOKUP($B$11:$B$41,'Constr. Wage Rate Calculations'!$A$19:$Z$288,23,FALSE)</f>
        <v>72.930000000000007</v>
      </c>
      <c r="H22" s="184"/>
      <c r="I22" s="179">
        <f>VLOOKUP($B$11:$B$41,'Constr. Wage Rate Calculations'!$A$19:$Z$288,24,FALSE)</f>
        <v>97.24</v>
      </c>
      <c r="J22" s="20">
        <f>VLOOKUP($B$11:$B$41,'Constr. Wage Rate Calculations'!$A$19:$Z$288,25,FALSE)</f>
        <v>85</v>
      </c>
      <c r="K22" s="179">
        <f t="shared" si="0"/>
        <v>838.61</v>
      </c>
      <c r="M22" s="1">
        <v>1</v>
      </c>
    </row>
    <row r="23" spans="1:13" ht="15" customHeight="1">
      <c r="A23" s="48"/>
      <c r="B23" s="49" t="str">
        <f>VLOOKUP($C$11:$C$41,Personnel!$A$1:$B$1234,2,FALSE)</f>
        <v>PRINCIPAL OPER 1</v>
      </c>
      <c r="C23" s="36" t="s">
        <v>818</v>
      </c>
      <c r="D23" s="184">
        <v>8</v>
      </c>
      <c r="E23" s="179">
        <f>VLOOKUP($B$11:$B$41,'Constr. Wage Rate Calculations'!$A$19:$Z$288,22,FALSE)</f>
        <v>64.239999999999995</v>
      </c>
      <c r="F23" s="184">
        <v>5</v>
      </c>
      <c r="G23" s="179">
        <f>VLOOKUP($B$11:$B$41,'Constr. Wage Rate Calculations'!$A$19:$Z$288,23,FALSE)</f>
        <v>96.36</v>
      </c>
      <c r="H23" s="184"/>
      <c r="I23" s="179">
        <f>VLOOKUP($B$11:$B$41,'Constr. Wage Rate Calculations'!$A$19:$Z$288,24,FALSE)</f>
        <v>128.47</v>
      </c>
      <c r="J23" s="20">
        <f>VLOOKUP($B$11:$B$41,'Constr. Wage Rate Calculations'!$A$19:$Z$288,25,FALSE)</f>
        <v>85</v>
      </c>
      <c r="K23" s="179">
        <f t="shared" si="0"/>
        <v>1080.72</v>
      </c>
      <c r="M23" s="1">
        <v>1</v>
      </c>
    </row>
    <row r="24" spans="1:13" ht="15" customHeight="1">
      <c r="A24" s="48"/>
      <c r="B24" s="49" t="str">
        <f>VLOOKUP($C$11:$C$41,Personnel!$A$1:$B$1234,2,FALSE)</f>
        <v>OPERATOR JOB STEWARD</v>
      </c>
      <c r="C24" s="36" t="s">
        <v>718</v>
      </c>
      <c r="D24" s="184">
        <v>8</v>
      </c>
      <c r="E24" s="179">
        <f>VLOOKUP($B$11:$B$41,'Constr. Wage Rate Calculations'!$A$19:$Z$288,22,FALSE)</f>
        <v>64.84</v>
      </c>
      <c r="F24" s="184">
        <v>5</v>
      </c>
      <c r="G24" s="179">
        <f>VLOOKUP($B$11:$B$41,'Constr. Wage Rate Calculations'!$A$19:$Z$288,23,FALSE)</f>
        <v>97.27</v>
      </c>
      <c r="H24" s="184"/>
      <c r="I24" s="179">
        <f>VLOOKUP($B$11:$B$41,'Constr. Wage Rate Calculations'!$A$19:$Z$288,24,FALSE)</f>
        <v>129.69</v>
      </c>
      <c r="J24" s="20">
        <f>VLOOKUP($B$11:$B$41,'Constr. Wage Rate Calculations'!$A$19:$Z$288,25,FALSE)</f>
        <v>85</v>
      </c>
      <c r="K24" s="179">
        <f t="shared" si="0"/>
        <v>1090.07</v>
      </c>
    </row>
    <row r="25" spans="1:13" ht="15" customHeight="1">
      <c r="A25" s="48"/>
      <c r="B25" s="49" t="str">
        <f>VLOOKUP($C$11:$C$41,Personnel!$A$1:$B$1234,2,FALSE)</f>
        <v>PRINCIPAL OPER 1</v>
      </c>
      <c r="C25" s="36" t="s">
        <v>3359</v>
      </c>
      <c r="D25" s="184">
        <v>8</v>
      </c>
      <c r="E25" s="179">
        <f>VLOOKUP($B$11:$B$41,'Constr. Wage Rate Calculations'!$A$19:$Z$288,22,FALSE)</f>
        <v>64.239999999999995</v>
      </c>
      <c r="F25" s="184">
        <v>4</v>
      </c>
      <c r="G25" s="179">
        <f>VLOOKUP($B$11:$B$41,'Constr. Wage Rate Calculations'!$A$19:$Z$288,23,FALSE)</f>
        <v>96.36</v>
      </c>
      <c r="H25" s="184"/>
      <c r="I25" s="179">
        <f>VLOOKUP($B$11:$B$41,'Constr. Wage Rate Calculations'!$A$19:$Z$288,24,FALSE)</f>
        <v>128.47</v>
      </c>
      <c r="J25" s="20">
        <f>VLOOKUP($B$11:$B$41,'Constr. Wage Rate Calculations'!$A$19:$Z$288,25,FALSE)</f>
        <v>85</v>
      </c>
      <c r="K25" s="179">
        <f t="shared" si="0"/>
        <v>984.3599999999999</v>
      </c>
    </row>
    <row r="26" spans="1:13" ht="15" customHeight="1">
      <c r="A26" s="48"/>
      <c r="B26" s="49" t="str">
        <f>VLOOKUP($C$11:$C$41,Personnel!$A$1:$B$1234,2,FALSE)</f>
        <v>PRINCIPAL OPER 1</v>
      </c>
      <c r="C26" s="36" t="s">
        <v>2353</v>
      </c>
      <c r="D26" s="184">
        <v>8</v>
      </c>
      <c r="E26" s="179">
        <f>VLOOKUP($B$11:$B$41,'Constr. Wage Rate Calculations'!$A$19:$Z$288,22,FALSE)</f>
        <v>64.239999999999995</v>
      </c>
      <c r="F26" s="184">
        <v>5</v>
      </c>
      <c r="G26" s="179">
        <f>VLOOKUP($B$11:$B$41,'Constr. Wage Rate Calculations'!$A$19:$Z$288,23,FALSE)</f>
        <v>96.36</v>
      </c>
      <c r="H26" s="184"/>
      <c r="I26" s="179">
        <f>VLOOKUP($B$11:$B$41,'Constr. Wage Rate Calculations'!$A$19:$Z$288,24,FALSE)</f>
        <v>128.47</v>
      </c>
      <c r="J26" s="20">
        <f>VLOOKUP($B$11:$B$41,'Constr. Wage Rate Calculations'!$A$19:$Z$288,25,FALSE)</f>
        <v>85</v>
      </c>
      <c r="K26" s="179">
        <f t="shared" si="0"/>
        <v>1080.72</v>
      </c>
      <c r="M26" s="1">
        <v>1</v>
      </c>
    </row>
    <row r="27" spans="1:13" ht="15" customHeight="1">
      <c r="A27" s="48"/>
      <c r="B27" s="49" t="str">
        <f>VLOOKUP($C$11:$C$41,Personnel!$A$1:$B$1234,2,FALSE)</f>
        <v>GENERAL FOREMAN</v>
      </c>
      <c r="C27" s="36" t="s">
        <v>2154</v>
      </c>
      <c r="D27" s="184">
        <v>1</v>
      </c>
      <c r="E27" s="179">
        <f>VLOOKUP($B$11:$B$41,'Constr. Wage Rate Calculations'!$A$19:$Z$288,22,FALSE)</f>
        <v>1332.16</v>
      </c>
      <c r="F27" s="184">
        <v>9</v>
      </c>
      <c r="G27" s="179">
        <f>VLOOKUP($B$11:$B$41,'Constr. Wage Rate Calculations'!$A$19:$Z$288,23,FALSE)</f>
        <v>0</v>
      </c>
      <c r="H27" s="184"/>
      <c r="I27" s="179">
        <f>VLOOKUP($B$11:$B$41,'Constr. Wage Rate Calculations'!$A$19:$Z$288,24,FALSE)</f>
        <v>0</v>
      </c>
      <c r="J27" s="20">
        <f>VLOOKUP($B$11:$B$41,'Constr. Wage Rate Calculations'!$A$19:$Z$288,25,FALSE)</f>
        <v>230</v>
      </c>
      <c r="K27" s="179">
        <f t="shared" si="0"/>
        <v>1562.16</v>
      </c>
    </row>
    <row r="28" spans="1:13" ht="15" customHeight="1">
      <c r="A28" s="48"/>
      <c r="B28" s="49" t="str">
        <f>VLOOKUP($C$11:$C$41,Personnel!$A$1:$B$1234,2,FALSE)</f>
        <v>PRINCIPAL OPER 1</v>
      </c>
      <c r="C28" s="36" t="s">
        <v>2354</v>
      </c>
      <c r="D28" s="184">
        <v>8</v>
      </c>
      <c r="E28" s="179">
        <f>VLOOKUP($B$11:$B$41,'Constr. Wage Rate Calculations'!$A$19:$Z$288,22,FALSE)</f>
        <v>64.239999999999995</v>
      </c>
      <c r="F28" s="184">
        <v>5</v>
      </c>
      <c r="G28" s="179">
        <f>VLOOKUP($B$11:$B$41,'Constr. Wage Rate Calculations'!$A$19:$Z$288,23,FALSE)</f>
        <v>96.36</v>
      </c>
      <c r="H28" s="184"/>
      <c r="I28" s="179">
        <f>VLOOKUP($B$11:$B$41,'Constr. Wage Rate Calculations'!$A$19:$Z$288,24,FALSE)</f>
        <v>128.47</v>
      </c>
      <c r="J28" s="20">
        <f>VLOOKUP($B$11:$B$41,'Constr. Wage Rate Calculations'!$A$19:$Z$288,25,FALSE)</f>
        <v>85</v>
      </c>
      <c r="K28" s="179">
        <f t="shared" si="0"/>
        <v>1080.72</v>
      </c>
      <c r="M28" s="1">
        <v>1</v>
      </c>
    </row>
    <row r="29" spans="1:13" ht="15" customHeight="1">
      <c r="A29" s="48"/>
      <c r="B29" s="49" t="str">
        <f>VLOOKUP($C$11:$C$41,Personnel!$A$1:$B$1234,2,FALSE)</f>
        <v>APPRENTICE OPER/OILER</v>
      </c>
      <c r="C29" s="36" t="s">
        <v>3573</v>
      </c>
      <c r="D29" s="184">
        <v>8</v>
      </c>
      <c r="E29" s="179">
        <f>VLOOKUP($B$11:$B$41,'Constr. Wage Rate Calculations'!$A$19:$Z$288,22,FALSE)</f>
        <v>49.44</v>
      </c>
      <c r="F29" s="184">
        <v>5</v>
      </c>
      <c r="G29" s="179">
        <f>VLOOKUP($B$11:$B$41,'Constr. Wage Rate Calculations'!$A$19:$Z$288,23,FALSE)</f>
        <v>74.16</v>
      </c>
      <c r="H29" s="184"/>
      <c r="I29" s="179">
        <f>VLOOKUP($B$11:$B$41,'Constr. Wage Rate Calculations'!$A$19:$Z$288,24,FALSE)</f>
        <v>98.89</v>
      </c>
      <c r="J29" s="20">
        <f>VLOOKUP($B$11:$B$41,'Constr. Wage Rate Calculations'!$A$19:$Z$288,25,FALSE)</f>
        <v>85</v>
      </c>
      <c r="K29" s="179">
        <f t="shared" si="0"/>
        <v>851.31999999999994</v>
      </c>
      <c r="M29" s="1">
        <v>1</v>
      </c>
    </row>
    <row r="30" spans="1:13" ht="15" customHeight="1">
      <c r="A30" s="48"/>
      <c r="B30" s="49" t="str">
        <f>VLOOKUP($C$11:$C$41,Personnel!$A$1:$B$1234,2,FALSE)</f>
        <v>PRINCIPAL OPER 1</v>
      </c>
      <c r="C30" s="36" t="s">
        <v>2269</v>
      </c>
      <c r="D30" s="184">
        <v>8</v>
      </c>
      <c r="E30" s="179">
        <f>VLOOKUP($B$11:$B$41,'Constr. Wage Rate Calculations'!$A$19:$Z$288,22,FALSE)</f>
        <v>64.239999999999995</v>
      </c>
      <c r="F30" s="184">
        <v>4</v>
      </c>
      <c r="G30" s="179">
        <f>VLOOKUP($B$11:$B$41,'Constr. Wage Rate Calculations'!$A$19:$Z$288,23,FALSE)</f>
        <v>96.36</v>
      </c>
      <c r="H30" s="184"/>
      <c r="I30" s="179">
        <f>VLOOKUP($B$11:$B$41,'Constr. Wage Rate Calculations'!$A$19:$Z$288,24,FALSE)</f>
        <v>128.47</v>
      </c>
      <c r="J30" s="20">
        <f>VLOOKUP($B$11:$B$41,'Constr. Wage Rate Calculations'!$A$19:$Z$288,25,FALSE)</f>
        <v>85</v>
      </c>
      <c r="K30" s="179">
        <f t="shared" si="0"/>
        <v>984.3599999999999</v>
      </c>
    </row>
    <row r="31" spans="1:13" ht="15" customHeight="1">
      <c r="A31" s="48"/>
      <c r="B31" s="49" t="str">
        <f>VLOOKUP($C$11:$C$41,Personnel!$A$1:$B$1234,2,FALSE)</f>
        <v>PRINCIPAL OPER 1</v>
      </c>
      <c r="C31" s="36" t="s">
        <v>728</v>
      </c>
      <c r="D31" s="184">
        <v>8</v>
      </c>
      <c r="E31" s="179">
        <f>VLOOKUP($B$11:$B$41,'Constr. Wage Rate Calculations'!$A$19:$Z$288,22,FALSE)</f>
        <v>64.239999999999995</v>
      </c>
      <c r="F31" s="184">
        <v>5</v>
      </c>
      <c r="G31" s="179">
        <f>VLOOKUP($B$11:$B$41,'Constr. Wage Rate Calculations'!$A$19:$Z$288,23,FALSE)</f>
        <v>96.36</v>
      </c>
      <c r="H31" s="184"/>
      <c r="I31" s="179">
        <f>VLOOKUP($B$11:$B$41,'Constr. Wage Rate Calculations'!$A$19:$Z$288,24,FALSE)</f>
        <v>128.47</v>
      </c>
      <c r="J31" s="20">
        <f>VLOOKUP($B$11:$B$41,'Constr. Wage Rate Calculations'!$A$19:$Z$288,25,FALSE)</f>
        <v>85</v>
      </c>
      <c r="K31" s="179">
        <f t="shared" si="0"/>
        <v>1080.72</v>
      </c>
      <c r="M31" s="1">
        <v>1</v>
      </c>
    </row>
    <row r="32" spans="1:13" ht="13.5" customHeight="1">
      <c r="A32" s="48"/>
      <c r="B32" s="49" t="str">
        <f>VLOOKUP($C$11:$C$41,Personnel!$A$1:$B$1234,2,FALSE)</f>
        <v>PRINCIPAL OPER 1</v>
      </c>
      <c r="C32" s="36" t="s">
        <v>4170</v>
      </c>
      <c r="D32" s="184">
        <v>8</v>
      </c>
      <c r="E32" s="179">
        <f>VLOOKUP($B$11:$B$41,'Constr. Wage Rate Calculations'!$A$19:$Z$288,22,FALSE)</f>
        <v>64.239999999999995</v>
      </c>
      <c r="F32" s="184">
        <v>4</v>
      </c>
      <c r="G32" s="179">
        <f>VLOOKUP($B$11:$B$41,'Constr. Wage Rate Calculations'!$A$19:$Z$288,23,FALSE)</f>
        <v>96.36</v>
      </c>
      <c r="H32" s="184"/>
      <c r="I32" s="179">
        <f>VLOOKUP($B$11:$B$41,'Constr. Wage Rate Calculations'!$A$19:$Z$288,24,FALSE)</f>
        <v>128.47</v>
      </c>
      <c r="J32" s="20">
        <f>VLOOKUP($B$11:$B$41,'Constr. Wage Rate Calculations'!$A$19:$Z$288,25,FALSE)</f>
        <v>85</v>
      </c>
      <c r="K32" s="179">
        <f t="shared" si="0"/>
        <v>984.3599999999999</v>
      </c>
    </row>
    <row r="33" spans="1:16" ht="15" customHeight="1">
      <c r="A33" s="48"/>
      <c r="B33" s="49" t="str">
        <f>VLOOKUP($C$11:$C$41,Personnel!$A$1:$B$1234,2,FALSE)</f>
        <v>BUS/ CREWCAB DRIVER</v>
      </c>
      <c r="C33" s="36" t="s">
        <v>4007</v>
      </c>
      <c r="D33" s="184">
        <v>8</v>
      </c>
      <c r="E33" s="179">
        <f>VLOOKUP($B$11:$B$41,'Constr. Wage Rate Calculations'!$A$19:$Z$288,22,FALSE)</f>
        <v>56.73</v>
      </c>
      <c r="F33" s="184">
        <v>5</v>
      </c>
      <c r="G33" s="179">
        <f>VLOOKUP($B$11:$B$41,'Constr. Wage Rate Calculations'!$A$19:$Z$288,23,FALSE)</f>
        <v>85.1</v>
      </c>
      <c r="H33" s="184"/>
      <c r="I33" s="179">
        <f>VLOOKUP($B$11:$B$41,'Constr. Wage Rate Calculations'!$A$19:$Z$288,24,FALSE)</f>
        <v>113.46</v>
      </c>
      <c r="J33" s="20">
        <f>VLOOKUP($B$11:$B$41,'Constr. Wage Rate Calculations'!$A$19:$Z$288,25,FALSE)</f>
        <v>85</v>
      </c>
      <c r="K33" s="179">
        <f t="shared" si="0"/>
        <v>964.33999999999992</v>
      </c>
    </row>
    <row r="34" spans="1:16" ht="13.5" customHeight="1">
      <c r="A34" s="48"/>
      <c r="B34" s="49" t="str">
        <f>VLOOKUP($C$11:$C$41,Personnel!$A$1:$B$1234,2,FALSE)</f>
        <v>PRINCIPAL OPER 1</v>
      </c>
      <c r="C34" s="36" t="s">
        <v>3475</v>
      </c>
      <c r="D34" s="184">
        <v>8</v>
      </c>
      <c r="E34" s="179">
        <f>VLOOKUP($B$11:$B$41,'Constr. Wage Rate Calculations'!$A$19:$Z$288,22,FALSE)</f>
        <v>64.239999999999995</v>
      </c>
      <c r="F34" s="184">
        <v>4</v>
      </c>
      <c r="G34" s="179">
        <f>VLOOKUP($B$11:$B$41,'Constr. Wage Rate Calculations'!$A$19:$Z$288,23,FALSE)</f>
        <v>96.36</v>
      </c>
      <c r="H34" s="184"/>
      <c r="I34" s="179">
        <f>VLOOKUP($B$11:$B$41,'Constr. Wage Rate Calculations'!$A$19:$Z$288,24,FALSE)</f>
        <v>128.47</v>
      </c>
      <c r="J34" s="20">
        <f>VLOOKUP($B$11:$B$41,'Constr. Wage Rate Calculations'!$A$19:$Z$288,25,FALSE)</f>
        <v>85</v>
      </c>
      <c r="K34" s="179">
        <f t="shared" si="0"/>
        <v>984.3599999999999</v>
      </c>
    </row>
    <row r="35" spans="1:16" ht="13.5" customHeight="1">
      <c r="A35" s="48"/>
      <c r="B35" s="49" t="str">
        <f>VLOOKUP($C$11:$C$41,Personnel!$A$1:$B$1234,2,FALSE)</f>
        <v>PRINCIPAL OPER 1</v>
      </c>
      <c r="C35" s="36" t="s">
        <v>2240</v>
      </c>
      <c r="D35" s="184">
        <v>8</v>
      </c>
      <c r="E35" s="179">
        <f>VLOOKUP($B$11:$B$41,'Constr. Wage Rate Calculations'!$A$19:$Z$288,22,FALSE)</f>
        <v>64.239999999999995</v>
      </c>
      <c r="F35" s="184">
        <v>5</v>
      </c>
      <c r="G35" s="179">
        <f>VLOOKUP($B$11:$B$41,'Constr. Wage Rate Calculations'!$A$19:$Z$288,23,FALSE)</f>
        <v>96.36</v>
      </c>
      <c r="H35" s="184"/>
      <c r="I35" s="179">
        <f>VLOOKUP($B$11:$B$41,'Constr. Wage Rate Calculations'!$A$19:$Z$288,24,FALSE)</f>
        <v>128.47</v>
      </c>
      <c r="J35" s="20">
        <v>150</v>
      </c>
      <c r="K35" s="179">
        <f t="shared" si="0"/>
        <v>1145.72</v>
      </c>
      <c r="M35" s="1">
        <v>1</v>
      </c>
    </row>
    <row r="36" spans="1:16" ht="15" customHeight="1">
      <c r="A36" s="48"/>
      <c r="B36" s="49" t="str">
        <f>VLOOKUP($C$11:$C$41,Personnel!$A$1:$B$1234,2,FALSE)</f>
        <v>DUMP TRUCK DRIVER 12-23 Yds</v>
      </c>
      <c r="C36" s="36" t="s">
        <v>4051</v>
      </c>
      <c r="D36" s="184">
        <v>8</v>
      </c>
      <c r="E36" s="179">
        <f>VLOOKUP($B$11:$B$41,'Constr. Wage Rate Calculations'!$A$19:$Z$288,22,FALSE)</f>
        <v>64.239999999999995</v>
      </c>
      <c r="F36" s="184">
        <v>4</v>
      </c>
      <c r="G36" s="179">
        <f>VLOOKUP($B$11:$B$41,'Constr. Wage Rate Calculations'!$A$19:$Z$288,23,FALSE)</f>
        <v>96.37</v>
      </c>
      <c r="H36" s="184"/>
      <c r="I36" s="179">
        <f>VLOOKUP($B$11:$B$41,'Constr. Wage Rate Calculations'!$A$19:$Z$288,24,FALSE)</f>
        <v>128.49</v>
      </c>
      <c r="J36" s="20">
        <f>VLOOKUP($B$11:$B$41,'Constr. Wage Rate Calculations'!$A$19:$Z$288,25,FALSE)</f>
        <v>85</v>
      </c>
      <c r="K36" s="179">
        <f t="shared" si="0"/>
        <v>984.4</v>
      </c>
    </row>
    <row r="37" spans="1:16" ht="15" customHeight="1">
      <c r="A37" s="48"/>
      <c r="B37" s="49" t="str">
        <f>VLOOKUP($C$11:$C$41,Personnel!$A$1:$B$1234,2,FALSE)</f>
        <v>PRINCIPAL OPER 1</v>
      </c>
      <c r="C37" s="36" t="s">
        <v>4052</v>
      </c>
      <c r="D37" s="184">
        <v>8</v>
      </c>
      <c r="E37" s="179">
        <f>VLOOKUP($B$11:$B$41,'Constr. Wage Rate Calculations'!$A$19:$Z$288,22,FALSE)</f>
        <v>64.239999999999995</v>
      </c>
      <c r="F37" s="184">
        <v>4</v>
      </c>
      <c r="G37" s="179">
        <f>VLOOKUP($B$11:$B$41,'Constr. Wage Rate Calculations'!$A$19:$Z$288,23,FALSE)</f>
        <v>96.36</v>
      </c>
      <c r="H37" s="184"/>
      <c r="I37" s="179">
        <f>VLOOKUP($B$11:$B$41,'Constr. Wage Rate Calculations'!$A$19:$Z$288,24,FALSE)</f>
        <v>128.47</v>
      </c>
      <c r="J37" s="20">
        <f>VLOOKUP($B$11:$B$41,'Constr. Wage Rate Calculations'!$A$19:$Z$288,25,FALSE)</f>
        <v>85</v>
      </c>
      <c r="K37" s="179">
        <f t="shared" si="0"/>
        <v>984.3599999999999</v>
      </c>
    </row>
    <row r="38" spans="1:16" ht="13.5" customHeight="1">
      <c r="A38" s="48"/>
      <c r="B38" s="49" t="str">
        <f>VLOOKUP($C$11:$C$41,Personnel!$A$1:$B$1234,2,FALSE)</f>
        <v>PRINCIPAL OPER 1</v>
      </c>
      <c r="C38" s="36" t="s">
        <v>2281</v>
      </c>
      <c r="D38" s="184">
        <v>8</v>
      </c>
      <c r="E38" s="179">
        <f>VLOOKUP($B$11:$B$41,'Constr. Wage Rate Calculations'!$A$19:$Z$288,22,FALSE)</f>
        <v>64.239999999999995</v>
      </c>
      <c r="F38" s="184">
        <v>5</v>
      </c>
      <c r="G38" s="179">
        <f>VLOOKUP($B$11:$B$41,'Constr. Wage Rate Calculations'!$A$19:$Z$288,23,FALSE)</f>
        <v>96.36</v>
      </c>
      <c r="H38" s="184"/>
      <c r="I38" s="179">
        <f>VLOOKUP($B$11:$B$41,'Constr. Wage Rate Calculations'!$A$19:$Z$288,24,FALSE)</f>
        <v>128.47</v>
      </c>
      <c r="J38" s="20">
        <v>150</v>
      </c>
      <c r="K38" s="179">
        <f t="shared" si="0"/>
        <v>1145.72</v>
      </c>
      <c r="M38" s="1">
        <v>1</v>
      </c>
    </row>
    <row r="39" spans="1:16" ht="13.5" customHeight="1">
      <c r="A39" s="48"/>
      <c r="B39" s="49" t="str">
        <f>VLOOKUP($C$11:$C$41,Personnel!$A$1:$B$1234,2,FALSE)</f>
        <v>PRINCIPAL OPER 1</v>
      </c>
      <c r="C39" s="36" t="s">
        <v>1501</v>
      </c>
      <c r="D39" s="184">
        <v>8</v>
      </c>
      <c r="E39" s="179">
        <f>VLOOKUP($B$11:$B$41,'Constr. Wage Rate Calculations'!$A$19:$Z$288,22,FALSE)</f>
        <v>64.239999999999995</v>
      </c>
      <c r="F39" s="184">
        <v>4</v>
      </c>
      <c r="G39" s="179">
        <f>VLOOKUP($B$11:$B$41,'Constr. Wage Rate Calculations'!$A$19:$Z$288,23,FALSE)</f>
        <v>96.36</v>
      </c>
      <c r="H39" s="184"/>
      <c r="I39" s="179">
        <f>VLOOKUP($B$11:$B$41,'Constr. Wage Rate Calculations'!$A$19:$Z$288,24,FALSE)</f>
        <v>128.47</v>
      </c>
      <c r="J39" s="20">
        <f>VLOOKUP($B$11:$B$41,'Constr. Wage Rate Calculations'!$A$19:$Z$288,25,FALSE)</f>
        <v>85</v>
      </c>
      <c r="K39" s="179">
        <f t="shared" si="0"/>
        <v>984.3599999999999</v>
      </c>
    </row>
    <row r="40" spans="1:16" ht="15" customHeight="1">
      <c r="A40" s="48"/>
      <c r="B40" s="49" t="str">
        <f>VLOOKUP($C$11:$C$41,Personnel!$A$1:$B$1234,2,FALSE)</f>
        <v>DUMP TRUCK DRIVER 12-23 Yds</v>
      </c>
      <c r="C40" s="36" t="s">
        <v>4021</v>
      </c>
      <c r="D40" s="184">
        <v>8</v>
      </c>
      <c r="E40" s="179">
        <f>VLOOKUP($B$11:$B$41,'Constr. Wage Rate Calculations'!$A$19:$Z$288,22,FALSE)</f>
        <v>64.239999999999995</v>
      </c>
      <c r="F40" s="184">
        <v>4</v>
      </c>
      <c r="G40" s="179">
        <f>VLOOKUP($B$11:$B$41,'Constr. Wage Rate Calculations'!$A$19:$Z$288,23,FALSE)</f>
        <v>96.37</v>
      </c>
      <c r="H40" s="184"/>
      <c r="I40" s="179">
        <f>VLOOKUP($B$11:$B$41,'Constr. Wage Rate Calculations'!$A$19:$Z$288,24,FALSE)</f>
        <v>128.49</v>
      </c>
      <c r="J40" s="20">
        <f>VLOOKUP($B$11:$B$41,'Constr. Wage Rate Calculations'!$A$19:$Z$288,25,FALSE)</f>
        <v>85</v>
      </c>
      <c r="K40" s="179">
        <f t="shared" si="0"/>
        <v>984.4</v>
      </c>
    </row>
    <row r="41" spans="1:16" ht="15" customHeight="1" thickBot="1">
      <c r="A41" s="48"/>
      <c r="B41" s="49">
        <f>VLOOKUP($C$11:$C$41,Personnel!$A$1:$B$1234,2,FALSE)</f>
        <v>0</v>
      </c>
      <c r="C41" s="36"/>
      <c r="D41" s="184"/>
      <c r="E41" s="179">
        <f>VLOOKUP($B$11:$B$41,'Constr. Wage Rate Calculations'!$A$19:$Z$288,22,FALSE)</f>
        <v>0</v>
      </c>
      <c r="F41" s="184"/>
      <c r="G41" s="179">
        <f>VLOOKUP($B$11:$B$41,'Constr. Wage Rate Calculations'!$A$19:$Z$288,23,FALSE)</f>
        <v>0</v>
      </c>
      <c r="H41" s="184"/>
      <c r="I41" s="179">
        <f>VLOOKUP($B$11:$B$41,'Constr. Wage Rate Calculations'!$A$19:$Z$288,24,FALSE)</f>
        <v>0</v>
      </c>
      <c r="J41" s="20">
        <f>VLOOKUP($B$11:$B$41,'Constr. Wage Rate Calculations'!$A$19:$Z$288,25,FALSE)</f>
        <v>0</v>
      </c>
      <c r="K41" s="179" t="str">
        <f>IF($D41&gt;=1,$J41+(D41*E41)+(F41*G41)+(H41*I41),IF($F41&gt;=1,$J41+(D41*E41)+(F41*G41)+(H41*I41),IF($H41&gt;=1,$J41+(D41*E41)+(F41*G41)+(H41*I41),"")))</f>
        <v/>
      </c>
      <c r="M41" s="1">
        <f>SUM(M11:M40)</f>
        <v>15</v>
      </c>
    </row>
    <row r="42" spans="1:16" ht="15" customHeight="1" thickBot="1">
      <c r="A42"/>
      <c r="B42"/>
      <c r="C42"/>
      <c r="D42" s="21">
        <f>SUM(D11:D41)</f>
        <v>225</v>
      </c>
      <c r="E42" s="21"/>
      <c r="F42" s="21">
        <f>SUM(F11:F41)</f>
        <v>139</v>
      </c>
      <c r="G42" s="21"/>
      <c r="H42" s="21"/>
      <c r="I42" s="360" t="s">
        <v>18</v>
      </c>
      <c r="J42" s="361"/>
      <c r="K42" s="183">
        <f>SUM(K11:K41)</f>
        <v>29379.920000000009</v>
      </c>
      <c r="N42" s="1">
        <f>SUMIFS(D11:D41,D11:D41,"&gt;3",D11:D41,"&gt;5")</f>
        <v>224</v>
      </c>
      <c r="O42" s="1">
        <f>SUMIFS(D11:D41,D11:D41,"&lt;3",D11:D41,"&lt;5")</f>
        <v>1</v>
      </c>
      <c r="P42" s="1">
        <f>SUM(N42,O42,F11:F41,H11:H41,-M41)</f>
        <v>349</v>
      </c>
    </row>
    <row r="43" spans="1:16" ht="10" customHeight="1" thickBot="1"/>
    <row r="44" spans="1:16" s="19" customFormat="1" ht="15" customHeight="1" thickBot="1">
      <c r="A44" s="22" t="s">
        <v>19</v>
      </c>
      <c r="B44" s="23" t="s">
        <v>20</v>
      </c>
      <c r="C44" s="23"/>
      <c r="D44" s="23"/>
      <c r="E44" s="23"/>
      <c r="F44" s="23"/>
      <c r="G44" s="23"/>
      <c r="H44" s="18" t="s">
        <v>21</v>
      </c>
      <c r="I44" s="18" t="s">
        <v>22</v>
      </c>
      <c r="J44" s="18" t="s">
        <v>23</v>
      </c>
      <c r="K44" s="18" t="s">
        <v>17</v>
      </c>
    </row>
    <row r="45" spans="1:16" ht="15" customHeight="1">
      <c r="A45" s="43"/>
      <c r="B45" s="49">
        <f>VLOOKUP($C$45:$C$88,Equipment!$A$1:$B$2322,2,FALSE)</f>
        <v>0</v>
      </c>
      <c r="C45" s="24"/>
      <c r="D45" s="24"/>
      <c r="E45" s="24"/>
      <c r="F45" s="24"/>
      <c r="G45" s="24"/>
      <c r="H45" s="185"/>
      <c r="I45" s="184"/>
      <c r="J45" s="42">
        <f>VLOOKUP($B$45:$B$88,'Alberta Equip. Rates Year 3'!$B$13:$K$314,10,FALSE)</f>
        <v>0</v>
      </c>
      <c r="K45" s="181">
        <f t="shared" ref="K45:K88" si="1">(H45+I45)*J45</f>
        <v>0</v>
      </c>
    </row>
    <row r="46" spans="1:16" ht="15" customHeight="1">
      <c r="A46" s="43"/>
      <c r="B46" s="49" t="str">
        <f>VLOOKUP($C$45:$C$88,Equipment!$A$1:$B$2322,2,FALSE)</f>
        <v>ARGO ATV Side By Side</v>
      </c>
      <c r="C46" s="24" t="s">
        <v>2210</v>
      </c>
      <c r="D46" s="24"/>
      <c r="E46" s="24"/>
      <c r="F46" s="24"/>
      <c r="G46" s="24"/>
      <c r="H46" s="185">
        <v>1</v>
      </c>
      <c r="I46" s="20"/>
      <c r="J46" s="42">
        <f>VLOOKUP($B$45:$B$88,'Alberta Equip. Rates Year 3'!$B$13:$K$314,10,FALSE)</f>
        <v>238.13</v>
      </c>
      <c r="K46" s="181">
        <f t="shared" ref="K46:K65" si="2">(H46+I46)*J46</f>
        <v>238.13</v>
      </c>
    </row>
    <row r="47" spans="1:16" ht="15" customHeight="1">
      <c r="A47" s="43"/>
      <c r="B47" s="49" t="str">
        <f>VLOOKUP($C$45:$C$88,Equipment!$A$1:$B$2322,2,FALSE)</f>
        <v>Articulated Dump Truck - Cat/Volvo 30 Ton</v>
      </c>
      <c r="C47" s="24" t="s">
        <v>3192</v>
      </c>
      <c r="D47" s="24"/>
      <c r="E47" s="24"/>
      <c r="F47" s="24"/>
      <c r="G47" s="24"/>
      <c r="H47" s="185">
        <v>1</v>
      </c>
      <c r="I47" s="184"/>
      <c r="J47" s="42">
        <f>VLOOKUP($B$45:$B$88,'Alberta Equip. Rates Year 3'!$B$13:$K$314,10,FALSE)</f>
        <v>900</v>
      </c>
      <c r="K47" s="181">
        <f t="shared" si="2"/>
        <v>900</v>
      </c>
    </row>
    <row r="48" spans="1:16" ht="15" customHeight="1">
      <c r="A48" s="43"/>
      <c r="B48" s="49" t="str">
        <f>VLOOKUP($C$45:$C$88,Equipment!$A$1:$B$2322,2,FALSE)</f>
        <v>Articulated Dump Truck - Cat/Volvo 30 Ton</v>
      </c>
      <c r="C48" s="24" t="s">
        <v>2170</v>
      </c>
      <c r="D48" s="24"/>
      <c r="E48" s="24"/>
      <c r="F48" s="24"/>
      <c r="G48" s="24"/>
      <c r="H48" s="185">
        <v>1</v>
      </c>
      <c r="I48" s="184"/>
      <c r="J48" s="42">
        <f>VLOOKUP($B$45:$B$88,'Alberta Equip. Rates Year 3'!$B$13:$K$314,10,FALSE)</f>
        <v>900</v>
      </c>
      <c r="K48" s="181">
        <f t="shared" ref="K48" si="3">(H48+I48)*J48</f>
        <v>900</v>
      </c>
    </row>
    <row r="49" spans="1:11" ht="15" customHeight="1">
      <c r="A49" s="43"/>
      <c r="B49" s="49" t="str">
        <f>VLOOKUP($C$45:$C$88,Equipment!$A$1:$B$2322,2,FALSE)</f>
        <v>Articulated Dump Truck - Cat/Volvo 30 Ton</v>
      </c>
      <c r="C49" s="24" t="s">
        <v>3490</v>
      </c>
      <c r="D49" s="24"/>
      <c r="E49" s="24"/>
      <c r="F49" s="24"/>
      <c r="G49" s="24"/>
      <c r="H49" s="185">
        <v>1</v>
      </c>
      <c r="I49" s="184"/>
      <c r="J49" s="42">
        <f>VLOOKUP($B$45:$B$88,'Alberta Equip. Rates Year 3'!$B$13:$K$314,10,FALSE)</f>
        <v>900</v>
      </c>
      <c r="K49" s="181">
        <f t="shared" si="2"/>
        <v>900</v>
      </c>
    </row>
    <row r="50" spans="1:11" ht="15" customHeight="1">
      <c r="A50" s="43"/>
      <c r="B50" s="49" t="str">
        <f>VLOOKUP($C$45:$C$88,Equipment!$A$1:$B$2322,2,FALSE)</f>
        <v>Backhoe - Cat 336 (or equivalent)</v>
      </c>
      <c r="C50" s="24" t="s">
        <v>2159</v>
      </c>
      <c r="D50" s="24"/>
      <c r="E50" s="24"/>
      <c r="F50" s="24"/>
      <c r="G50" s="24"/>
      <c r="H50" s="185">
        <v>1</v>
      </c>
      <c r="I50" s="184"/>
      <c r="J50" s="42">
        <f>VLOOKUP($B$45:$B$88,'Alberta Equip. Rates Year 3'!$B$13:$K$314,10,FALSE)</f>
        <v>794</v>
      </c>
      <c r="K50" s="181">
        <f t="shared" si="2"/>
        <v>794</v>
      </c>
    </row>
    <row r="51" spans="1:11" ht="15" customHeight="1">
      <c r="A51" s="43"/>
      <c r="B51" s="49" t="str">
        <f>VLOOKUP($C$45:$C$88,Equipment!$A$1:$B$2322,2,FALSE)</f>
        <v>Backhoe - Cat 336 (or equivalent)</v>
      </c>
      <c r="C51" s="24" t="s">
        <v>2095</v>
      </c>
      <c r="D51" s="24"/>
      <c r="E51" s="24"/>
      <c r="F51" s="24"/>
      <c r="G51" s="24"/>
      <c r="H51" s="185">
        <v>1</v>
      </c>
      <c r="I51" s="184"/>
      <c r="J51" s="42">
        <f>VLOOKUP($B$45:$B$88,'Alberta Equip. Rates Year 3'!$B$13:$K$314,10,FALSE)</f>
        <v>794</v>
      </c>
      <c r="K51" s="181">
        <f t="shared" si="2"/>
        <v>794</v>
      </c>
    </row>
    <row r="52" spans="1:11" ht="15" customHeight="1">
      <c r="A52" s="43"/>
      <c r="B52" s="49" t="str">
        <f>VLOOKUP($C$45:$C$88,Equipment!$A$1:$B$2322,2,FALSE)</f>
        <v>Backhoe - Cat 345 (or Equivalent)</v>
      </c>
      <c r="C52" s="24" t="s">
        <v>2325</v>
      </c>
      <c r="D52" s="24"/>
      <c r="E52" s="24"/>
      <c r="F52" s="24"/>
      <c r="G52" s="24"/>
      <c r="H52" s="185">
        <v>1</v>
      </c>
      <c r="I52" s="184"/>
      <c r="J52" s="42">
        <f>VLOOKUP($B$45:$B$88,'Alberta Equip. Rates Year 3'!$B$13:$K$314,10,FALSE)</f>
        <v>1006</v>
      </c>
      <c r="K52" s="181">
        <f t="shared" si="2"/>
        <v>1006</v>
      </c>
    </row>
    <row r="53" spans="1:11" ht="15" customHeight="1">
      <c r="A53" s="43"/>
      <c r="B53" s="49" t="str">
        <f>VLOOKUP($C$45:$C$88,Equipment!$A$1:$B$2322,2,FALSE)</f>
        <v>Backhoe - Cat 345 (or Equivalent)</v>
      </c>
      <c r="C53" s="24" t="s">
        <v>2799</v>
      </c>
      <c r="D53" s="24"/>
      <c r="E53" s="24"/>
      <c r="F53" s="24"/>
      <c r="G53" s="24"/>
      <c r="H53" s="185">
        <v>1</v>
      </c>
      <c r="I53" s="184"/>
      <c r="J53" s="42">
        <f>VLOOKUP($B$45:$B$88,'Alberta Equip. Rates Year 3'!$B$13:$K$314,10,FALSE)</f>
        <v>1006</v>
      </c>
      <c r="K53" s="181">
        <f t="shared" si="2"/>
        <v>1006</v>
      </c>
    </row>
    <row r="54" spans="1:11" ht="15" customHeight="1">
      <c r="A54" s="43"/>
      <c r="B54" s="49" t="str">
        <f>VLOOKUP($C$45:$C$88,Equipment!$A$1:$B$2322,2,FALSE)</f>
        <v>Backhoe - Cat 345 (or Equivalent)</v>
      </c>
      <c r="C54" s="24" t="s">
        <v>2160</v>
      </c>
      <c r="D54" s="24"/>
      <c r="E54" s="24"/>
      <c r="F54" s="24"/>
      <c r="G54" s="24"/>
      <c r="H54" s="185">
        <v>1</v>
      </c>
      <c r="I54" s="184"/>
      <c r="J54" s="42">
        <f>VLOOKUP($B$45:$B$88,'Alberta Equip. Rates Year 3'!$B$13:$K$314,10,FALSE)</f>
        <v>1006</v>
      </c>
      <c r="K54" s="181">
        <f t="shared" si="2"/>
        <v>1006</v>
      </c>
    </row>
    <row r="55" spans="1:11" ht="15" customHeight="1">
      <c r="A55" s="43"/>
      <c r="B55" s="49" t="str">
        <f>VLOOKUP($C$45:$C$88,Equipment!$A$1:$B$2322,2,FALSE)</f>
        <v>Backhoe - Cat 345 (or Equivalent)</v>
      </c>
      <c r="C55" s="24" t="s">
        <v>2283</v>
      </c>
      <c r="D55" s="24"/>
      <c r="E55" s="24"/>
      <c r="F55" s="24"/>
      <c r="G55" s="24"/>
      <c r="H55" s="185">
        <v>1</v>
      </c>
      <c r="I55" s="184"/>
      <c r="J55" s="42">
        <f>VLOOKUP($B$45:$B$88,'Alberta Equip. Rates Year 3'!$B$13:$K$314,10,FALSE)</f>
        <v>1006</v>
      </c>
      <c r="K55" s="181">
        <f t="shared" si="2"/>
        <v>1006</v>
      </c>
    </row>
    <row r="56" spans="1:11" ht="15" customHeight="1">
      <c r="A56" s="43"/>
      <c r="B56" s="49" t="str">
        <f>VLOOKUP($C$45:$C$88,Equipment!$A$1:$B$2322,2,FALSE)</f>
        <v>Bus</v>
      </c>
      <c r="C56" s="24" t="s">
        <v>1876</v>
      </c>
      <c r="D56" s="24"/>
      <c r="E56" s="24"/>
      <c r="F56" s="24"/>
      <c r="G56" s="24"/>
      <c r="H56" s="185">
        <v>1</v>
      </c>
      <c r="I56" s="184"/>
      <c r="J56" s="42">
        <f>VLOOKUP($B$45:$B$88,'Alberta Equip. Rates Year 3'!$B$13:$K$314,10,FALSE)</f>
        <v>254</v>
      </c>
      <c r="K56" s="181">
        <f t="shared" si="2"/>
        <v>254</v>
      </c>
    </row>
    <row r="57" spans="1:11" ht="15" customHeight="1">
      <c r="A57" s="43"/>
      <c r="B57" s="49" t="str">
        <f>VLOOKUP($C$45:$C$88,Equipment!$A$1:$B$2322,2,FALSE)</f>
        <v>"Cabbed" Argo Side by Side C/W Trailer</v>
      </c>
      <c r="C57" s="24" t="s">
        <v>3944</v>
      </c>
      <c r="D57" s="24"/>
      <c r="E57" s="24"/>
      <c r="F57" s="24"/>
      <c r="G57" s="24"/>
      <c r="H57" s="185">
        <v>1</v>
      </c>
      <c r="I57" s="184"/>
      <c r="J57" s="42">
        <f>VLOOKUP($B$45:$B$88,'Alberta Equip. Rates Year 3'!$B$13:$K$314,10,FALSE)</f>
        <v>661.46</v>
      </c>
      <c r="K57" s="181">
        <f t="shared" si="2"/>
        <v>661.46</v>
      </c>
    </row>
    <row r="58" spans="1:11" ht="15" customHeight="1">
      <c r="A58" s="43"/>
      <c r="B58" s="49" t="str">
        <f>VLOOKUP($C$45:$C$88,Equipment!$A$1:$B$2322,2,FALSE)</f>
        <v>Crewcab - 1 Ton</v>
      </c>
      <c r="C58" s="24" t="s">
        <v>1957</v>
      </c>
      <c r="D58" s="24"/>
      <c r="E58" s="24"/>
      <c r="F58" s="24"/>
      <c r="G58" s="24"/>
      <c r="H58" s="185">
        <v>1</v>
      </c>
      <c r="I58" s="184"/>
      <c r="J58" s="42">
        <f>VLOOKUP($B$45:$B$88,'Alberta Equip. Rates Year 3'!$B$13:$K$314,10,FALSE)</f>
        <v>163</v>
      </c>
      <c r="K58" s="181">
        <f>(H58+I58)*J58</f>
        <v>163</v>
      </c>
    </row>
    <row r="59" spans="1:11" ht="15" customHeight="1">
      <c r="A59" s="43"/>
      <c r="B59" s="49" t="str">
        <f>VLOOKUP($C$45:$C$88,Equipment!$A$1:$B$2322,2,FALSE)</f>
        <v>Crewcab - 1 Ton</v>
      </c>
      <c r="C59" s="24" t="s">
        <v>1956</v>
      </c>
      <c r="D59" s="24"/>
      <c r="E59" s="24"/>
      <c r="F59" s="24"/>
      <c r="G59" s="24"/>
      <c r="H59" s="185">
        <v>1</v>
      </c>
      <c r="I59" s="184"/>
      <c r="J59" s="42">
        <f>VLOOKUP($B$45:$B$88,'Alberta Equip. Rates Year 3'!$B$13:$K$314,10,FALSE)</f>
        <v>163</v>
      </c>
      <c r="K59" s="181">
        <f t="shared" si="2"/>
        <v>163</v>
      </c>
    </row>
    <row r="60" spans="1:11" ht="15" customHeight="1">
      <c r="A60" s="43"/>
      <c r="B60" s="49" t="str">
        <f>VLOOKUP($C$45:$C$88,Equipment!$A$1:$B$2322,2,FALSE)</f>
        <v>Crewcab - 3/4 Ton</v>
      </c>
      <c r="C60" s="24" t="s">
        <v>1899</v>
      </c>
      <c r="D60" s="24"/>
      <c r="E60" s="24"/>
      <c r="F60" s="24"/>
      <c r="G60" s="24"/>
      <c r="H60" s="185">
        <v>1</v>
      </c>
      <c r="I60" s="20"/>
      <c r="J60" s="42">
        <f>VLOOKUP($B$45:$B$88,'Alberta Equip. Rates Year 3'!$B$13:$K$314,10,FALSE)</f>
        <v>153</v>
      </c>
      <c r="K60" s="181">
        <f>(H60+I60)*J60</f>
        <v>153</v>
      </c>
    </row>
    <row r="61" spans="1:11" ht="15" customHeight="1">
      <c r="A61" s="43"/>
      <c r="B61" s="49" t="str">
        <f>VLOOKUP($C$45:$C$88,Equipment!$A$1:$B$2322,2,FALSE)</f>
        <v>Crewcab - 3/4 Ton</v>
      </c>
      <c r="C61" s="24" t="s">
        <v>3882</v>
      </c>
      <c r="D61" s="24"/>
      <c r="E61" s="24"/>
      <c r="F61" s="24"/>
      <c r="G61" s="24"/>
      <c r="H61" s="185">
        <v>1</v>
      </c>
      <c r="I61" s="20"/>
      <c r="J61" s="42">
        <f>VLOOKUP($B$45:$B$88,'Alberta Equip. Rates Year 3'!$B$13:$K$314,10,FALSE)</f>
        <v>153</v>
      </c>
      <c r="K61" s="181">
        <f t="shared" si="2"/>
        <v>153</v>
      </c>
    </row>
    <row r="62" spans="1:11" ht="15" customHeight="1">
      <c r="A62" s="43"/>
      <c r="B62" s="49" t="str">
        <f>VLOOKUP($C$45:$C$88,Equipment!$A$1:$B$2322,2,FALSE)</f>
        <v>Dozer - D6T LGP (or equivalent)</v>
      </c>
      <c r="C62" s="24" t="s">
        <v>1637</v>
      </c>
      <c r="D62" s="24"/>
      <c r="E62" s="24"/>
      <c r="F62" s="24"/>
      <c r="G62" s="24"/>
      <c r="H62" s="185">
        <v>1</v>
      </c>
      <c r="I62" s="20"/>
      <c r="J62" s="42">
        <f>VLOOKUP($B$45:$B$88,'Alberta Equip. Rates Year 3'!$B$13:$K$314,10,FALSE)</f>
        <v>964</v>
      </c>
      <c r="K62" s="181">
        <f t="shared" si="2"/>
        <v>964</v>
      </c>
    </row>
    <row r="63" spans="1:11" ht="15" customHeight="1">
      <c r="A63" s="43"/>
      <c r="B63" s="49" t="str">
        <f>VLOOKUP($C$45:$C$88,Equipment!$A$1:$B$2322,2,FALSE)</f>
        <v>Dozer - D6T LGP (or equivalent)</v>
      </c>
      <c r="C63" s="24" t="s">
        <v>2112</v>
      </c>
      <c r="D63" s="24"/>
      <c r="E63" s="24"/>
      <c r="F63" s="24"/>
      <c r="G63" s="24"/>
      <c r="H63" s="185">
        <v>1</v>
      </c>
      <c r="I63" s="20"/>
      <c r="J63" s="42">
        <f>VLOOKUP($B$45:$B$88,'Alberta Equip. Rates Year 3'!$B$13:$K$314,10,FALSE)</f>
        <v>964</v>
      </c>
      <c r="K63" s="181">
        <f>(H63+I63)*J63</f>
        <v>964</v>
      </c>
    </row>
    <row r="64" spans="1:11" ht="15" customHeight="1">
      <c r="A64" s="43"/>
      <c r="B64" s="49" t="str">
        <f>VLOOKUP($C$45:$C$88,Equipment!$A$1:$B$2322,2,FALSE)</f>
        <v>Dozer - D6T LGP (or equivalent)</v>
      </c>
      <c r="C64" s="24" t="s">
        <v>2102</v>
      </c>
      <c r="D64" s="24"/>
      <c r="E64" s="24"/>
      <c r="F64" s="24"/>
      <c r="G64" s="24"/>
      <c r="H64" s="185">
        <v>1</v>
      </c>
      <c r="I64" s="20"/>
      <c r="J64" s="42">
        <f>VLOOKUP($B$45:$B$88,'Alberta Equip. Rates Year 3'!$B$13:$K$314,10,FALSE)</f>
        <v>964</v>
      </c>
      <c r="K64" s="181">
        <f t="shared" si="2"/>
        <v>964</v>
      </c>
    </row>
    <row r="65" spans="1:11" ht="15" customHeight="1">
      <c r="A65" s="43"/>
      <c r="B65" s="49" t="str">
        <f>VLOOKUP($C$45:$C$88,Equipment!$A$1:$B$2322,2,FALSE)</f>
        <v>Dozer - D6T LGP (or equivalent)</v>
      </c>
      <c r="C65" s="24" t="s">
        <v>2103</v>
      </c>
      <c r="D65" s="24"/>
      <c r="E65" s="24"/>
      <c r="F65" s="24"/>
      <c r="G65" s="24"/>
      <c r="H65" s="185">
        <v>1</v>
      </c>
      <c r="I65" s="20"/>
      <c r="J65" s="42">
        <f>VLOOKUP($B$45:$B$88,'Alberta Equip. Rates Year 3'!$B$13:$K$314,10,FALSE)</f>
        <v>964</v>
      </c>
      <c r="K65" s="181">
        <f t="shared" si="2"/>
        <v>964</v>
      </c>
    </row>
    <row r="66" spans="1:11" ht="15" customHeight="1">
      <c r="A66" s="43"/>
      <c r="B66" s="49" t="str">
        <f>VLOOKUP($C$45:$C$88,Equipment!$A$1:$B$2322,2,FALSE)</f>
        <v>Dozer - D6T LGP (or equivalent)</v>
      </c>
      <c r="C66" s="24" t="s">
        <v>2111</v>
      </c>
      <c r="D66" s="24"/>
      <c r="E66" s="24"/>
      <c r="F66" s="24"/>
      <c r="G66" s="24"/>
      <c r="H66" s="185">
        <v>1</v>
      </c>
      <c r="I66" s="20"/>
      <c r="J66" s="42">
        <f>VLOOKUP($B$45:$B$88,'Alberta Equip. Rates Year 3'!$B$13:$K$314,10,FALSE)</f>
        <v>964</v>
      </c>
      <c r="K66" s="181">
        <f t="shared" ref="K66:K86" si="4">(H66+I66)*J66</f>
        <v>964</v>
      </c>
    </row>
    <row r="67" spans="1:11" ht="15" customHeight="1">
      <c r="A67" s="43"/>
      <c r="B67" s="49" t="str">
        <f>VLOOKUP($C$45:$C$88,Equipment!$A$1:$B$2322,2,FALSE)</f>
        <v>Dozer - D8T (or equivalent)</v>
      </c>
      <c r="C67" s="24" t="s">
        <v>2219</v>
      </c>
      <c r="D67" s="24"/>
      <c r="E67" s="24"/>
      <c r="F67" s="24"/>
      <c r="G67" s="24"/>
      <c r="H67" s="185">
        <v>1</v>
      </c>
      <c r="I67" s="20"/>
      <c r="J67" s="42">
        <f>VLOOKUP($B$45:$B$88,'Alberta Equip. Rates Year 3'!$B$13:$K$314,10,FALSE)</f>
        <v>1165</v>
      </c>
      <c r="K67" s="181">
        <f t="shared" ref="K67:K82" si="5">(H67+I67)*J67</f>
        <v>1165</v>
      </c>
    </row>
    <row r="68" spans="1:11" ht="15" customHeight="1">
      <c r="A68" s="43"/>
      <c r="B68" s="49" t="str">
        <f>VLOOKUP($C$45:$C$88,Equipment!$A$1:$B$2322,2,FALSE)</f>
        <v>Dozer - D8T (or equivalent)</v>
      </c>
      <c r="C68" s="24" t="s">
        <v>1315</v>
      </c>
      <c r="D68" s="24"/>
      <c r="E68" s="24"/>
      <c r="F68" s="24"/>
      <c r="G68" s="24"/>
      <c r="H68" s="185">
        <v>1</v>
      </c>
      <c r="I68" s="20"/>
      <c r="J68" s="42">
        <f>VLOOKUP($B$45:$B$88,'Alberta Equip. Rates Year 3'!$B$13:$K$314,10,FALSE)</f>
        <v>1165</v>
      </c>
      <c r="K68" s="181">
        <f t="shared" si="5"/>
        <v>1165</v>
      </c>
    </row>
    <row r="69" spans="1:11" ht="15" customHeight="1">
      <c r="A69" s="43"/>
      <c r="B69" s="49" t="str">
        <f>VLOOKUP($C$45:$C$88,Equipment!$A$1:$B$2322,2,FALSE)</f>
        <v>Dozer - D8T (or equivalent)</v>
      </c>
      <c r="C69" s="24" t="s">
        <v>1014</v>
      </c>
      <c r="D69" s="24"/>
      <c r="E69" s="24"/>
      <c r="F69" s="24"/>
      <c r="G69" s="24"/>
      <c r="H69" s="185">
        <v>1</v>
      </c>
      <c r="I69" s="20"/>
      <c r="J69" s="42">
        <f>VLOOKUP($B$45:$B$88,'Alberta Equip. Rates Year 3'!$B$13:$K$314,10,FALSE)</f>
        <v>1165</v>
      </c>
      <c r="K69" s="181">
        <f t="shared" si="5"/>
        <v>1165</v>
      </c>
    </row>
    <row r="70" spans="1:11" ht="15" customHeight="1">
      <c r="A70" s="43"/>
      <c r="B70" s="49" t="str">
        <f>VLOOKUP($C$45:$C$88,Equipment!$A$1:$B$2322,2,FALSE)</f>
        <v>Dozer - D8T (or equivalent)</v>
      </c>
      <c r="C70" s="24" t="s">
        <v>1019</v>
      </c>
      <c r="D70" s="24"/>
      <c r="E70" s="24"/>
      <c r="F70" s="24"/>
      <c r="G70" s="24"/>
      <c r="H70" s="185">
        <v>1</v>
      </c>
      <c r="I70" s="20"/>
      <c r="J70" s="42">
        <f>VLOOKUP($B$45:$B$88,'Alberta Equip. Rates Year 3'!$B$13:$K$314,10,FALSE)</f>
        <v>1165</v>
      </c>
      <c r="K70" s="181">
        <f t="shared" si="5"/>
        <v>1165</v>
      </c>
    </row>
    <row r="71" spans="1:11" ht="15" customHeight="1">
      <c r="A71" s="43"/>
      <c r="B71" s="49" t="str">
        <f>VLOOKUP($C$45:$C$88,Equipment!$A$1:$B$2322,2,FALSE)</f>
        <v>Dozer - D8T (or equivalent)</v>
      </c>
      <c r="C71" s="24" t="s">
        <v>2216</v>
      </c>
      <c r="D71" s="24"/>
      <c r="E71" s="24"/>
      <c r="F71" s="24"/>
      <c r="G71" s="24"/>
      <c r="H71" s="185">
        <v>1</v>
      </c>
      <c r="I71" s="20"/>
      <c r="J71" s="42">
        <f>VLOOKUP($B$45:$B$88,'Alberta Equip. Rates Year 3'!$B$13:$K$314,10,FALSE)</f>
        <v>1165</v>
      </c>
      <c r="K71" s="181">
        <f t="shared" si="5"/>
        <v>1165</v>
      </c>
    </row>
    <row r="72" spans="1:11" ht="15" customHeight="1">
      <c r="A72" s="43"/>
      <c r="B72" s="49" t="str">
        <f>VLOOKUP($C$45:$C$88,Equipment!$A$1:$B$2322,2,FALSE)</f>
        <v>Dozer - D8T (or equivalent)</v>
      </c>
      <c r="C72" s="24" t="s">
        <v>2285</v>
      </c>
      <c r="D72" s="24"/>
      <c r="E72" s="24"/>
      <c r="F72" s="24"/>
      <c r="G72" s="24"/>
      <c r="H72" s="185">
        <v>1</v>
      </c>
      <c r="I72" s="20"/>
      <c r="J72" s="42">
        <f>VLOOKUP($B$45:$B$88,'Alberta Equip. Rates Year 3'!$B$13:$K$314,10,FALSE)</f>
        <v>1165</v>
      </c>
      <c r="K72" s="181">
        <f t="shared" si="5"/>
        <v>1165</v>
      </c>
    </row>
    <row r="73" spans="1:11" ht="15" customHeight="1">
      <c r="A73" s="43"/>
      <c r="B73" s="49" t="str">
        <f>VLOOKUP($C$45:$C$88,Equipment!$A$1:$B$2322,2,FALSE)</f>
        <v>Dozer - D8T (or equivalent)</v>
      </c>
      <c r="C73" s="24" t="s">
        <v>2194</v>
      </c>
      <c r="D73" s="24"/>
      <c r="E73" s="24"/>
      <c r="F73" s="24"/>
      <c r="G73" s="24"/>
      <c r="H73" s="185">
        <v>1</v>
      </c>
      <c r="I73" s="20"/>
      <c r="J73" s="42">
        <f>VLOOKUP($B$45:$B$88,'Alberta Equip. Rates Year 3'!$B$13:$K$314,10,FALSE)</f>
        <v>1165</v>
      </c>
      <c r="K73" s="181">
        <f t="shared" si="5"/>
        <v>1165</v>
      </c>
    </row>
    <row r="74" spans="1:11" ht="15" customHeight="1">
      <c r="A74" s="43"/>
      <c r="B74" s="49" t="str">
        <f>VLOOKUP($C$45:$C$88,Equipment!$A$1:$B$2322,2,FALSE)</f>
        <v>Dozer - D8T (or equivalent)</v>
      </c>
      <c r="C74" s="24" t="s">
        <v>2142</v>
      </c>
      <c r="D74" s="24"/>
      <c r="E74" s="24"/>
      <c r="F74" s="24"/>
      <c r="G74" s="24"/>
      <c r="H74" s="185">
        <v>1</v>
      </c>
      <c r="I74" s="20"/>
      <c r="J74" s="42">
        <f>VLOOKUP($B$45:$B$88,'Alberta Equip. Rates Year 3'!$B$13:$K$314,10,FALSE)</f>
        <v>1165</v>
      </c>
      <c r="K74" s="181">
        <f t="shared" si="5"/>
        <v>1165</v>
      </c>
    </row>
    <row r="75" spans="1:11" ht="15" customHeight="1">
      <c r="A75" s="43"/>
      <c r="B75" s="49" t="str">
        <f>VLOOKUP($C$45:$C$88,Equipment!$A$1:$B$2322,2,FALSE)</f>
        <v>Dozer - D8T (or equivalent)</v>
      </c>
      <c r="C75" s="24" t="s">
        <v>2983</v>
      </c>
      <c r="D75" s="24"/>
      <c r="E75" s="24"/>
      <c r="F75" s="24"/>
      <c r="G75" s="24"/>
      <c r="H75" s="185">
        <v>1</v>
      </c>
      <c r="I75" s="20"/>
      <c r="J75" s="42">
        <f>VLOOKUP($B$45:$B$88,'Alberta Equip. Rates Year 3'!$B$13:$K$314,10,FALSE)</f>
        <v>1165</v>
      </c>
      <c r="K75" s="181">
        <f t="shared" si="5"/>
        <v>1165</v>
      </c>
    </row>
    <row r="76" spans="1:11" ht="15" customHeight="1">
      <c r="A76" s="43"/>
      <c r="B76" s="49" t="str">
        <f>VLOOKUP($C$45:$C$88,Equipment!$A$1:$B$2322,2,FALSE)</f>
        <v>Dozer - D8T (or equivalent)</v>
      </c>
      <c r="C76" s="24" t="s">
        <v>3267</v>
      </c>
      <c r="D76" s="24"/>
      <c r="E76" s="24"/>
      <c r="F76" s="24"/>
      <c r="G76" s="24"/>
      <c r="H76" s="185">
        <v>1</v>
      </c>
      <c r="I76" s="20"/>
      <c r="J76" s="42">
        <f>VLOOKUP($B$45:$B$88,'Alberta Equip. Rates Year 3'!$B$13:$K$314,10,FALSE)</f>
        <v>1165</v>
      </c>
      <c r="K76" s="181">
        <f t="shared" si="5"/>
        <v>1165</v>
      </c>
    </row>
    <row r="77" spans="1:11" ht="15" customHeight="1">
      <c r="A77" s="43"/>
      <c r="B77" s="49" t="str">
        <f>VLOOKUP($C$45:$C$88,Equipment!$A$1:$B$2322,2,FALSE)</f>
        <v>Dozer - D9T (or equivalent)</v>
      </c>
      <c r="C77" s="24" t="s">
        <v>2555</v>
      </c>
      <c r="D77" s="24"/>
      <c r="E77" s="24"/>
      <c r="F77" s="24"/>
      <c r="G77" s="24"/>
      <c r="H77" s="185">
        <v>1</v>
      </c>
      <c r="I77" s="20"/>
      <c r="J77" s="42">
        <f>VLOOKUP($B$45:$B$88,'Alberta Equip. Rates Year 3'!$B$13:$K$314,10,FALSE)</f>
        <v>1847</v>
      </c>
      <c r="K77" s="181">
        <f t="shared" si="5"/>
        <v>1847</v>
      </c>
    </row>
    <row r="78" spans="1:11" ht="15" customHeight="1">
      <c r="A78" s="43"/>
      <c r="B78" s="49" t="str">
        <f>VLOOKUP($C$45:$C$88,Equipment!$A$1:$B$2322,2,FALSE)</f>
        <v>Dozer - D9T (or equivalent)</v>
      </c>
      <c r="C78" s="24" t="s">
        <v>2199</v>
      </c>
      <c r="D78" s="24"/>
      <c r="E78" s="24"/>
      <c r="F78" s="24"/>
      <c r="G78" s="24"/>
      <c r="H78" s="185">
        <v>1</v>
      </c>
      <c r="I78" s="20"/>
      <c r="J78" s="42">
        <f>VLOOKUP($B$45:$B$88,'Alberta Equip. Rates Year 3'!$B$13:$K$314,10,FALSE)</f>
        <v>1847</v>
      </c>
      <c r="K78" s="181">
        <f t="shared" si="5"/>
        <v>1847</v>
      </c>
    </row>
    <row r="79" spans="1:11" ht="15" customHeight="1">
      <c r="A79" s="43"/>
      <c r="B79" s="49" t="str">
        <f>VLOOKUP($C$45:$C$88,Equipment!$A$1:$B$2322,2,FALSE)</f>
        <v>Dozer - D9T (or equivalent)</v>
      </c>
      <c r="C79" s="24" t="s">
        <v>2200</v>
      </c>
      <c r="D79" s="24"/>
      <c r="E79" s="24"/>
      <c r="F79" s="24"/>
      <c r="G79" s="24"/>
      <c r="H79" s="185">
        <v>1</v>
      </c>
      <c r="I79" s="20"/>
      <c r="J79" s="42">
        <f>VLOOKUP($B$45:$B$88,'Alberta Equip. Rates Year 3'!$B$13:$K$314,10,FALSE)</f>
        <v>1847</v>
      </c>
      <c r="K79" s="181">
        <f t="shared" si="5"/>
        <v>1847</v>
      </c>
    </row>
    <row r="80" spans="1:11" ht="15" customHeight="1">
      <c r="A80" s="43"/>
      <c r="B80" s="49" t="str">
        <f>VLOOKUP($C$45:$C$88,Equipment!$A$1:$B$2322,2,FALSE)</f>
        <v>Dozer - D9T (or equivalent)</v>
      </c>
      <c r="C80" s="24" t="s">
        <v>4022</v>
      </c>
      <c r="D80" s="24"/>
      <c r="E80" s="24"/>
      <c r="F80" s="24"/>
      <c r="G80" s="24"/>
      <c r="H80" s="185">
        <v>1</v>
      </c>
      <c r="I80" s="20"/>
      <c r="J80" s="42">
        <f>VLOOKUP($B$45:$B$88,'Alberta Equip. Rates Year 3'!$B$13:$K$314,10,FALSE)</f>
        <v>1847</v>
      </c>
      <c r="K80" s="181">
        <f t="shared" si="5"/>
        <v>1847</v>
      </c>
    </row>
    <row r="81" spans="1:11" ht="15" customHeight="1">
      <c r="A81" s="43"/>
      <c r="B81" s="49" t="str">
        <f>VLOOKUP($C$45:$C$88,Equipment!$A$1:$B$2322,2,FALSE)</f>
        <v>Grader - Cat G14</v>
      </c>
      <c r="C81" s="24" t="s">
        <v>3400</v>
      </c>
      <c r="D81" s="24"/>
      <c r="E81" s="24"/>
      <c r="F81" s="24"/>
      <c r="G81" s="24"/>
      <c r="H81" s="185">
        <v>1</v>
      </c>
      <c r="I81" s="20"/>
      <c r="J81" s="42">
        <f>VLOOKUP($B$45:$B$88,'Alberta Equip. Rates Year 3'!$B$13:$K$314,10,FALSE)</f>
        <v>1138</v>
      </c>
      <c r="K81" s="181">
        <f t="shared" si="5"/>
        <v>1138</v>
      </c>
    </row>
    <row r="82" spans="1:11" ht="15" customHeight="1">
      <c r="A82" s="43"/>
      <c r="B82" s="49" t="str">
        <f>VLOOKUP($C$45:$C$88,Equipment!$A$1:$B$2322,2,FALSE)</f>
        <v>Grader - Cat G16</v>
      </c>
      <c r="C82" s="24" t="s">
        <v>4171</v>
      </c>
      <c r="D82" s="24"/>
      <c r="E82" s="24"/>
      <c r="F82" s="24"/>
      <c r="G82" s="24"/>
      <c r="H82" s="185">
        <v>1</v>
      </c>
      <c r="I82" s="20"/>
      <c r="J82" s="42">
        <f>VLOOKUP($B$45:$B$88,'Alberta Equip. Rates Year 3'!$B$13:$K$314,10,FALSE)</f>
        <v>1270</v>
      </c>
      <c r="K82" s="181">
        <f t="shared" si="5"/>
        <v>1270</v>
      </c>
    </row>
    <row r="83" spans="1:11" ht="15" customHeight="1">
      <c r="A83" s="43"/>
      <c r="B83" s="49" t="str">
        <f>VLOOKUP($C$45:$C$88,Equipment!$A$1:$B$2322,2,FALSE)</f>
        <v>Grader - Cat G16</v>
      </c>
      <c r="C83" s="24" t="s">
        <v>2551</v>
      </c>
      <c r="D83" s="24"/>
      <c r="E83" s="24"/>
      <c r="F83" s="24"/>
      <c r="G83" s="24"/>
      <c r="H83" s="185">
        <v>1</v>
      </c>
      <c r="I83" s="20"/>
      <c r="J83" s="42">
        <f>VLOOKUP($B$45:$B$88,'Alberta Equip. Rates Year 3'!$B$13:$K$314,10,FALSE)</f>
        <v>1270</v>
      </c>
      <c r="K83" s="181">
        <f t="shared" si="4"/>
        <v>1270</v>
      </c>
    </row>
    <row r="84" spans="1:11" ht="15" customHeight="1">
      <c r="A84" s="43"/>
      <c r="B84" s="49" t="str">
        <f>VLOOKUP($C$45:$C$88,Equipment!$A$1:$B$2322,2,FALSE)</f>
        <v>Flow Through</v>
      </c>
      <c r="C84" s="24" t="s">
        <v>4127</v>
      </c>
      <c r="D84" s="24"/>
      <c r="E84" s="24"/>
      <c r="F84" s="24"/>
      <c r="G84" s="24"/>
      <c r="H84" s="185">
        <v>1</v>
      </c>
      <c r="I84" s="20"/>
      <c r="J84" s="42">
        <f>VLOOKUP($B$45:$B$88,'Alberta Equip. Rates Year 3'!$B$13:$K$314,10,FALSE)</f>
        <v>0</v>
      </c>
      <c r="K84" s="181">
        <f t="shared" si="4"/>
        <v>0</v>
      </c>
    </row>
    <row r="85" spans="1:11" ht="15" customHeight="1">
      <c r="A85" s="43"/>
      <c r="B85" s="49">
        <f>VLOOKUP($C$45:$C$88,Equipment!$A$1:$B$2322,2,FALSE)</f>
        <v>0</v>
      </c>
      <c r="C85" s="24"/>
      <c r="D85" s="24"/>
      <c r="E85" s="24"/>
      <c r="F85" s="24"/>
      <c r="G85" s="24"/>
      <c r="H85" s="185"/>
      <c r="I85" s="20"/>
      <c r="J85" s="42">
        <f>VLOOKUP($B$45:$B$88,'Alberta Equip. Rates Year 3'!$B$13:$K$314,10,FALSE)</f>
        <v>0</v>
      </c>
      <c r="K85" s="181">
        <f t="shared" si="4"/>
        <v>0</v>
      </c>
    </row>
    <row r="86" spans="1:11" ht="15" customHeight="1">
      <c r="A86" s="43"/>
      <c r="B86" s="49">
        <f>VLOOKUP($C$45:$C$88,Equipment!$A$1:$B$2322,2,FALSE)</f>
        <v>0</v>
      </c>
      <c r="C86" s="24"/>
      <c r="D86" s="24"/>
      <c r="E86" s="24"/>
      <c r="F86" s="24"/>
      <c r="G86" s="24"/>
      <c r="H86" s="36"/>
      <c r="I86" s="20"/>
      <c r="J86" s="42">
        <f>VLOOKUP($B$45:$B$88,'Alberta Equip. Rates Year 3'!$B$13:$K$314,10,FALSE)</f>
        <v>0</v>
      </c>
      <c r="K86" s="181">
        <f t="shared" si="4"/>
        <v>0</v>
      </c>
    </row>
    <row r="87" spans="1:11" ht="15" customHeight="1">
      <c r="A87" s="43"/>
      <c r="B87" s="49">
        <f>VLOOKUP($C$45:$C$88,Equipment!$A$1:$B$2322,2,FALSE)</f>
        <v>0</v>
      </c>
      <c r="C87" s="24"/>
      <c r="D87" s="24"/>
      <c r="E87" s="24"/>
      <c r="F87" s="24"/>
      <c r="G87" s="24"/>
      <c r="H87" s="36"/>
      <c r="I87" s="20"/>
      <c r="J87" s="42">
        <f>VLOOKUP($B$45:$B$88,'Alberta Equip. Rates Year 3'!$B$13:$K$314,10,FALSE)</f>
        <v>0</v>
      </c>
      <c r="K87" s="181">
        <f>(H87+I87)*J87</f>
        <v>0</v>
      </c>
    </row>
    <row r="88" spans="1:11" ht="15" customHeight="1" thickBot="1">
      <c r="A88" s="43"/>
      <c r="B88" s="49">
        <f>VLOOKUP($C$45:$C$88,Equipment!$A$1:$B$2322,2,FALSE)</f>
        <v>0</v>
      </c>
      <c r="C88" s="24"/>
      <c r="D88" s="24"/>
      <c r="E88" s="24"/>
      <c r="F88" s="24"/>
      <c r="G88" s="24"/>
      <c r="H88" s="36"/>
      <c r="I88" s="20"/>
      <c r="J88" s="42">
        <f>VLOOKUP($B$45:$B$88,'Alberta Equip. Rates Year 3'!$B$13:$K$314,10,FALSE)</f>
        <v>0</v>
      </c>
      <c r="K88" s="181">
        <f t="shared" si="1"/>
        <v>0</v>
      </c>
    </row>
    <row r="89" spans="1:11" ht="12" thickBot="1">
      <c r="A89" s="25"/>
      <c r="B89" s="25"/>
      <c r="C89" s="25"/>
      <c r="D89" s="21"/>
      <c r="E89" s="21"/>
      <c r="F89" s="21"/>
      <c r="G89" s="21"/>
      <c r="H89" s="21"/>
      <c r="I89" s="360" t="s">
        <v>24</v>
      </c>
      <c r="J89" s="361"/>
      <c r="K89" s="182">
        <f>SUM(K45:K88)</f>
        <v>37633.589999999997</v>
      </c>
    </row>
    <row r="90" spans="1:11" ht="12" thickBot="1">
      <c r="A90" s="26"/>
      <c r="D90" s="26"/>
      <c r="I90" s="27"/>
      <c r="J90" s="27"/>
      <c r="K90" s="28"/>
    </row>
    <row r="91" spans="1:11">
      <c r="A91" s="1" t="s">
        <v>25</v>
      </c>
      <c r="B91" s="29"/>
      <c r="D91" s="1"/>
      <c r="E91" s="1"/>
      <c r="F91" s="1"/>
      <c r="G91" s="1"/>
      <c r="H91" s="1"/>
      <c r="I91" s="362" t="s">
        <v>26</v>
      </c>
      <c r="J91" s="362"/>
      <c r="K91" s="37">
        <f>K42</f>
        <v>29379.920000000009</v>
      </c>
    </row>
    <row r="92" spans="1:11">
      <c r="D92" s="1"/>
      <c r="E92" s="1"/>
      <c r="F92" s="1"/>
      <c r="G92" s="1"/>
      <c r="H92" s="1"/>
      <c r="I92" s="362" t="s">
        <v>27</v>
      </c>
      <c r="J92" s="362"/>
      <c r="K92" s="38">
        <f>K89</f>
        <v>37633.589999999997</v>
      </c>
    </row>
    <row r="93" spans="1:11">
      <c r="D93" s="1"/>
      <c r="E93" s="1"/>
      <c r="F93" s="1"/>
      <c r="G93" s="1"/>
      <c r="H93" s="1"/>
      <c r="I93" s="27" t="s">
        <v>28</v>
      </c>
      <c r="J93" s="27"/>
      <c r="K93" s="38">
        <f>(P42)*14.15</f>
        <v>4938.3500000000004</v>
      </c>
    </row>
    <row r="94" spans="1:11">
      <c r="D94" s="1"/>
      <c r="E94" s="1"/>
      <c r="F94" s="1"/>
      <c r="G94" s="1"/>
      <c r="H94" s="1"/>
      <c r="I94" s="30" t="s">
        <v>29</v>
      </c>
      <c r="J94" s="30"/>
      <c r="K94" s="39"/>
    </row>
    <row r="95" spans="1:11">
      <c r="D95" s="1"/>
      <c r="E95" s="1"/>
      <c r="F95" s="1"/>
      <c r="G95" s="1"/>
      <c r="H95" s="1"/>
      <c r="I95" s="30" t="s">
        <v>30</v>
      </c>
      <c r="J95" s="30"/>
      <c r="K95" s="39"/>
    </row>
    <row r="96" spans="1:11">
      <c r="D96" s="1"/>
      <c r="E96" s="1"/>
      <c r="F96" s="1"/>
      <c r="G96" s="1"/>
      <c r="H96" s="1"/>
      <c r="I96" s="30" t="s">
        <v>31</v>
      </c>
      <c r="J96" s="30"/>
      <c r="K96" s="39"/>
    </row>
    <row r="97" spans="1:11" ht="12" thickBot="1">
      <c r="D97" s="1"/>
      <c r="E97" s="1"/>
      <c r="F97" s="1"/>
      <c r="G97" s="1"/>
      <c r="H97" s="1"/>
      <c r="I97" s="362" t="s">
        <v>32</v>
      </c>
      <c r="J97" s="362"/>
      <c r="K97" s="40">
        <f>SUM(K91:K96)</f>
        <v>71951.860000000015</v>
      </c>
    </row>
    <row r="98" spans="1:11">
      <c r="D98" s="1"/>
      <c r="E98" s="1"/>
      <c r="F98" s="1"/>
      <c r="G98" s="1"/>
      <c r="H98" s="1"/>
      <c r="I98" s="27"/>
      <c r="J98" s="27"/>
    </row>
    <row r="99" spans="1:11">
      <c r="A99" s="31" t="s">
        <v>33</v>
      </c>
      <c r="B99" s="32"/>
      <c r="C99" s="32"/>
      <c r="D99" s="1"/>
      <c r="H99" s="33" t="s">
        <v>34</v>
      </c>
      <c r="I99" s="32"/>
      <c r="J99" s="32"/>
      <c r="K99" s="32"/>
    </row>
    <row r="100" spans="1:11" ht="15">
      <c r="A100" s="34"/>
      <c r="E100" s="8"/>
      <c r="F100" s="8"/>
      <c r="G100" s="8"/>
      <c r="H100" s="35"/>
      <c r="I100" s="35"/>
      <c r="J100" s="35"/>
      <c r="K100" s="35"/>
    </row>
    <row r="101" spans="1:11" ht="15">
      <c r="A101" s="34" t="s">
        <v>35</v>
      </c>
      <c r="E101" s="8"/>
      <c r="F101" s="8"/>
      <c r="G101" s="8"/>
      <c r="H101" s="35"/>
      <c r="I101" s="35"/>
      <c r="J101" s="35"/>
      <c r="K101" s="35"/>
    </row>
    <row r="102" spans="1:11" s="34" customFormat="1">
      <c r="A102" s="363">
        <v>41218.479166666664</v>
      </c>
      <c r="B102" s="363"/>
      <c r="C102" s="364"/>
      <c r="D102" s="364"/>
      <c r="E102" s="364"/>
      <c r="F102" s="364"/>
      <c r="G102" s="364"/>
      <c r="H102" s="364"/>
      <c r="I102" s="364"/>
      <c r="J102" s="364"/>
      <c r="K102" s="8"/>
    </row>
    <row r="112" spans="1:11">
      <c r="D112" s="1"/>
      <c r="E112" s="1"/>
      <c r="F112" s="1"/>
      <c r="G112" s="1"/>
      <c r="H112" s="1"/>
      <c r="I112" s="1"/>
      <c r="J112" s="1"/>
    </row>
    <row r="113" s="1" customFormat="1"/>
    <row r="114" s="1" customFormat="1"/>
    <row r="115" s="1" customFormat="1"/>
    <row r="116" s="1" customFormat="1"/>
    <row r="117" s="1" customFormat="1"/>
    <row r="118" s="1" customFormat="1"/>
    <row r="119" s="1" customFormat="1"/>
    <row r="120" s="1" customFormat="1"/>
    <row r="121" s="1" customFormat="1"/>
    <row r="122" s="1" customFormat="1"/>
    <row r="123" s="1" customFormat="1"/>
    <row r="124" s="1" customFormat="1"/>
    <row r="125" s="1" customFormat="1"/>
    <row r="130" s="1" customFormat="1"/>
    <row r="158" s="1" customFormat="1"/>
    <row r="159" s="1" customFormat="1"/>
    <row r="160" s="1" customFormat="1"/>
    <row r="161" s="1" customFormat="1"/>
  </sheetData>
  <mergeCells count="12">
    <mergeCell ref="I89:J89"/>
    <mergeCell ref="I91:J91"/>
    <mergeCell ref="I92:J92"/>
    <mergeCell ref="I97:J97"/>
    <mergeCell ref="A102:B102"/>
    <mergeCell ref="C102:J102"/>
    <mergeCell ref="I42:J42"/>
    <mergeCell ref="C1:H1"/>
    <mergeCell ref="C2:H2"/>
    <mergeCell ref="C3:H3"/>
    <mergeCell ref="H6:I6"/>
    <mergeCell ref="H7:I7"/>
  </mergeCells>
  <conditionalFormatting sqref="M11:M19">
    <cfRule type="expression" dxfId="57" priority="40034">
      <formula>ISTEXT(A11:A41)</formula>
    </cfRule>
  </conditionalFormatting>
  <conditionalFormatting sqref="M20:M31">
    <cfRule type="expression" dxfId="56" priority="37459">
      <formula>ISTEXT(A20:A51)</formula>
    </cfRule>
  </conditionalFormatting>
  <conditionalFormatting sqref="M33:M39">
    <cfRule type="expression" dxfId="55" priority="40159">
      <formula>ISTEXT(A33:A65)</formula>
    </cfRule>
  </conditionalFormatting>
  <printOptions horizontalCentered="1"/>
  <pageMargins left="0.19685039370078741" right="0.19685039370078741" top="0.39370078740157483" bottom="0.39370078740157483" header="0" footer="0"/>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2200-000000000000}">
          <x14:formula1>
            <xm:f>Accounts!$A$4:$A$60</xm:f>
          </x14:formula1>
          <xm:sqref>K7</xm:sqref>
        </x14:dataValidation>
        <x14:dataValidation type="list" allowBlank="1" showInputMessage="1" showErrorMessage="1" xr:uid="{00000000-0002-0000-2200-000001000000}">
          <x14:formula1>
            <xm:f>'Constr. Wage Rate Calculations'!$A$19:$A$288</xm:f>
          </x14:formula1>
          <xm:sqref>B11:B41</xm:sqref>
        </x14:dataValidation>
        <x14:dataValidation type="list" allowBlank="1" showInputMessage="1" showErrorMessage="1" xr:uid="{00000000-0002-0000-2200-000002000000}">
          <x14:formula1>
            <xm:f>Personnel!$A:$A</xm:f>
          </x14:formula1>
          <xm:sqref>C11:C41</xm:sqref>
        </x14:dataValidation>
        <x14:dataValidation type="list" allowBlank="1" showInputMessage="1" showErrorMessage="1" xr:uid="{00000000-0002-0000-2200-000003000000}">
          <x14:formula1>
            <xm:f>Equipment!$A:$A</xm:f>
          </x14:formula1>
          <xm:sqref>C45:C88</xm:sqref>
        </x14:dataValidation>
      </x14:dataValidations>
    </ext>
    <ext xmlns:mx="http://schemas.microsoft.com/office/mac/excel/2008/main" uri="{64002731-A6B0-56B0-2670-7721B7C09600}">
      <mx:PLV Mode="0" OnePage="0" WScale="0"/>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CCFFCC"/>
    <pageSetUpPr fitToPage="1"/>
  </sheetPr>
  <dimension ref="A1:O111"/>
  <sheetViews>
    <sheetView zoomScale="120" zoomScaleNormal="120" zoomScalePageLayoutView="120" workbookViewId="0">
      <selection activeCell="C18" sqref="C18"/>
    </sheetView>
  </sheetViews>
  <sheetFormatPr baseColWidth="10" defaultColWidth="8.83203125" defaultRowHeight="11"/>
  <cols>
    <col min="1" max="1" width="13" style="1" customWidth="1"/>
    <col min="2" max="2" width="30" style="1" customWidth="1"/>
    <col min="3" max="3" width="24.5" style="1" customWidth="1"/>
    <col min="4" max="4" width="8.6640625" style="2" customWidth="1"/>
    <col min="5" max="6" width="8.33203125" style="2" customWidth="1"/>
    <col min="7" max="8" width="8.6640625" style="2" customWidth="1"/>
    <col min="9" max="9" width="9.33203125" style="2" customWidth="1"/>
    <col min="10" max="10" width="8.6640625" style="2" customWidth="1"/>
    <col min="11" max="11" width="20.5" style="1" customWidth="1"/>
    <col min="12" max="12" width="3.5" style="1" hidden="1" customWidth="1"/>
    <col min="13" max="16384" width="8.83203125" style="1"/>
  </cols>
  <sheetData>
    <row r="1" spans="1:13" ht="15">
      <c r="C1" s="364"/>
      <c r="D1" s="365"/>
      <c r="E1" s="365"/>
      <c r="F1" s="365"/>
      <c r="G1" s="365"/>
      <c r="H1" s="366"/>
      <c r="J1" s="2" t="s">
        <v>0</v>
      </c>
      <c r="K1" s="197">
        <v>41659</v>
      </c>
      <c r="M1" s="194"/>
    </row>
    <row r="2" spans="1:13" ht="15">
      <c r="C2" s="367"/>
      <c r="D2" s="367"/>
      <c r="E2" s="367"/>
      <c r="F2" s="367"/>
      <c r="G2" s="367"/>
      <c r="H2" s="366"/>
      <c r="K2" s="41"/>
    </row>
    <row r="3" spans="1:13" ht="15">
      <c r="C3" s="368"/>
      <c r="D3" s="369"/>
      <c r="E3" s="369"/>
      <c r="F3" s="369"/>
      <c r="G3" s="369"/>
      <c r="H3" s="366"/>
    </row>
    <row r="4" spans="1:13">
      <c r="C4" s="3"/>
      <c r="D4" s="4"/>
      <c r="E4" s="4"/>
      <c r="F4" s="4"/>
      <c r="G4" s="4"/>
    </row>
    <row r="5" spans="1:13">
      <c r="C5" s="3"/>
      <c r="D5" s="4"/>
      <c r="E5" s="4"/>
      <c r="F5" s="4"/>
      <c r="G5" s="4"/>
    </row>
    <row r="6" spans="1:13" ht="12">
      <c r="B6" s="5"/>
      <c r="C6" s="6"/>
      <c r="D6" s="7"/>
      <c r="E6" s="8"/>
      <c r="F6" s="8"/>
      <c r="G6" s="1" t="s">
        <v>1</v>
      </c>
      <c r="H6" s="370">
        <v>18212</v>
      </c>
      <c r="I6" s="370"/>
      <c r="J6" s="1" t="s">
        <v>2</v>
      </c>
      <c r="K6" s="47"/>
    </row>
    <row r="7" spans="1:13" ht="12">
      <c r="A7" s="1" t="s">
        <v>3</v>
      </c>
      <c r="B7" s="9"/>
      <c r="C7" s="10"/>
      <c r="D7" s="11"/>
      <c r="E7" s="8"/>
      <c r="F7" s="8"/>
      <c r="G7" s="1" t="s">
        <v>4</v>
      </c>
      <c r="H7" s="371"/>
      <c r="I7" s="371"/>
      <c r="J7" s="1" t="s">
        <v>5</v>
      </c>
      <c r="K7" s="46"/>
    </row>
    <row r="8" spans="1:13" ht="12">
      <c r="B8" s="12"/>
      <c r="C8" s="13"/>
      <c r="D8" s="14"/>
      <c r="E8" s="8"/>
      <c r="F8" s="8"/>
      <c r="G8" s="1" t="s">
        <v>6</v>
      </c>
      <c r="H8" s="189"/>
      <c r="I8" s="190"/>
      <c r="J8" s="44"/>
    </row>
    <row r="9" spans="1:13" ht="16" thickBot="1">
      <c r="B9" s="15"/>
      <c r="C9" s="16"/>
      <c r="D9" s="16"/>
      <c r="E9" s="8"/>
      <c r="F9" s="8"/>
      <c r="G9" s="8"/>
    </row>
    <row r="10" spans="1:13" s="19" customFormat="1" ht="12" thickBot="1">
      <c r="A10" s="17" t="s">
        <v>7</v>
      </c>
      <c r="B10" s="17" t="s">
        <v>8</v>
      </c>
      <c r="C10" s="17" t="s">
        <v>9</v>
      </c>
      <c r="D10" s="18" t="s">
        <v>10</v>
      </c>
      <c r="E10" s="18" t="s">
        <v>11</v>
      </c>
      <c r="F10" s="18" t="s">
        <v>12</v>
      </c>
      <c r="G10" s="180" t="s">
        <v>13</v>
      </c>
      <c r="H10" s="18" t="s">
        <v>14</v>
      </c>
      <c r="I10" s="18" t="s">
        <v>15</v>
      </c>
      <c r="J10" s="18" t="s">
        <v>16</v>
      </c>
      <c r="K10" s="18" t="s">
        <v>17</v>
      </c>
      <c r="M10" s="19" t="s">
        <v>1797</v>
      </c>
    </row>
    <row r="11" spans="1:13" ht="15" customHeight="1">
      <c r="A11" s="48"/>
      <c r="B11" s="49">
        <f>VLOOKUP($C$11:$C$23,Personnel!$A$1:$B$1234,2,FALSE)</f>
        <v>0</v>
      </c>
      <c r="C11" s="36"/>
      <c r="D11" s="20"/>
      <c r="E11" s="179">
        <f>VLOOKUP($B$11:$B$23,'Constr. Wage Rate Calculations'!$A$19:$Z$288,22,FALSE)</f>
        <v>0</v>
      </c>
      <c r="F11" s="20"/>
      <c r="G11" s="179">
        <f>VLOOKUP($B$11:$B$23,'Constr. Wage Rate Calculations'!$A$19:$Z$288,23,FALSE)</f>
        <v>0</v>
      </c>
      <c r="H11" s="20"/>
      <c r="I11" s="179">
        <f>VLOOKUP($B$11:$B$23,'Constr. Wage Rate Calculations'!$A$19:$Z$288,24,FALSE)</f>
        <v>0</v>
      </c>
      <c r="J11" s="20">
        <f>VLOOKUP($B$11:$B$23,'Constr. Wage Rate Calculations'!$A$19:$Z$288,25,FALSE)</f>
        <v>0</v>
      </c>
      <c r="K11" s="179" t="str">
        <f t="shared" ref="K11:K21" si="0">IF($D11&gt;=1,$J11+(D11*E11)+(F11*G11)+(H11*I11),IF($F11&gt;=1,$J11+(D11*E11)+(F11*G11)+(H11*I11),IF($H11&gt;=1,$J11+(D11*E11)+(F11*G11)+(H11*I11),"")))</f>
        <v/>
      </c>
    </row>
    <row r="12" spans="1:13" ht="15" customHeight="1">
      <c r="A12" s="48" t="s">
        <v>3866</v>
      </c>
      <c r="B12" s="49" t="str">
        <f>VLOOKUP($C$11:$C$23,Personnel!$A$1:$B$1234,2,FALSE)</f>
        <v>WELDER HELPER</v>
      </c>
      <c r="C12" s="36" t="s">
        <v>2974</v>
      </c>
      <c r="D12" s="20"/>
      <c r="E12" s="179">
        <f>VLOOKUP($B$11:$B$23,'Constr. Wage Rate Calculations'!$A$19:$Z$288,22,FALSE)</f>
        <v>53.52</v>
      </c>
      <c r="F12" s="20"/>
      <c r="G12" s="179">
        <f>VLOOKUP($B$11:$B$23,'Constr. Wage Rate Calculations'!$A$19:$Z$288,23,FALSE)</f>
        <v>80.290000000000006</v>
      </c>
      <c r="H12" s="20"/>
      <c r="I12" s="179">
        <f>VLOOKUP($B$11:$B$23,'Constr. Wage Rate Calculations'!$A$19:$Z$288,24,FALSE)</f>
        <v>107.05</v>
      </c>
      <c r="J12" s="20">
        <f>VLOOKUP($B$11:$B$23,'Constr. Wage Rate Calculations'!$A$19:$Z$288,25,FALSE)</f>
        <v>85</v>
      </c>
      <c r="K12" s="179" t="str">
        <f t="shared" si="0"/>
        <v/>
      </c>
    </row>
    <row r="13" spans="1:13" ht="15" customHeight="1">
      <c r="A13" s="48"/>
      <c r="B13" s="49" t="str">
        <f>VLOOKUP($C$11:$C$23,Personnel!$A$1:$B$1234,2,FALSE)</f>
        <v>ENVIRONMENTAL COORDINATOR</v>
      </c>
      <c r="C13" s="36" t="s">
        <v>2152</v>
      </c>
      <c r="D13" s="20">
        <v>1</v>
      </c>
      <c r="E13" s="179">
        <f>VLOOKUP($B$11:$B$23,'Constr. Wage Rate Calculations'!$A$19:$Z$288,22,FALSE)</f>
        <v>1155.98</v>
      </c>
      <c r="F13" s="20">
        <v>9</v>
      </c>
      <c r="G13" s="179">
        <f>VLOOKUP($B$11:$B$23,'Constr. Wage Rate Calculations'!$A$19:$Z$288,23,FALSE)</f>
        <v>0</v>
      </c>
      <c r="H13" s="20"/>
      <c r="I13" s="179">
        <f>VLOOKUP($B$11:$B$23,'Constr. Wage Rate Calculations'!$A$19:$Z$288,24,FALSE)</f>
        <v>0</v>
      </c>
      <c r="J13" s="20">
        <f>VLOOKUP($B$11:$B$23,'Constr. Wage Rate Calculations'!$A$19:$Z$288,25,FALSE)</f>
        <v>230</v>
      </c>
      <c r="K13" s="179">
        <f t="shared" si="0"/>
        <v>1385.98</v>
      </c>
    </row>
    <row r="14" spans="1:13" ht="15" customHeight="1">
      <c r="A14" s="48"/>
      <c r="B14" s="49" t="str">
        <f>VLOOKUP($C$11:$C$23,Personnel!$A$1:$B$1234,2,FALSE)</f>
        <v>OFFICE MANAGER</v>
      </c>
      <c r="C14" s="36" t="s">
        <v>1803</v>
      </c>
      <c r="D14" s="20">
        <v>1</v>
      </c>
      <c r="E14" s="179">
        <f>VLOOKUP($B$11:$B$23,'Constr. Wage Rate Calculations'!$A$19:$Z$288,22,FALSE)</f>
        <v>1332.16</v>
      </c>
      <c r="F14" s="20">
        <v>9</v>
      </c>
      <c r="G14" s="179">
        <f>VLOOKUP($B$11:$B$23,'Constr. Wage Rate Calculations'!$A$19:$Z$288,23,FALSE)</f>
        <v>0</v>
      </c>
      <c r="H14" s="20"/>
      <c r="I14" s="179">
        <f>VLOOKUP($B$11:$B$23,'Constr. Wage Rate Calculations'!$A$19:$Z$288,24,FALSE)</f>
        <v>0</v>
      </c>
      <c r="J14" s="20">
        <v>230</v>
      </c>
      <c r="K14" s="179">
        <f t="shared" si="0"/>
        <v>1562.16</v>
      </c>
    </row>
    <row r="15" spans="1:13" ht="15" customHeight="1">
      <c r="A15" s="48"/>
      <c r="B15" s="49" t="str">
        <f>VLOOKUP($C$11:$C$23,Personnel!$A$1:$B$1234,2,FALSE)</f>
        <v>OFFICE CLERK</v>
      </c>
      <c r="C15" s="36" t="s">
        <v>1804</v>
      </c>
      <c r="D15" s="20">
        <v>1</v>
      </c>
      <c r="E15" s="179">
        <f>VLOOKUP($B$11:$B$23,'Constr. Wage Rate Calculations'!$A$19:$Z$288,22,FALSE)</f>
        <v>825.8</v>
      </c>
      <c r="F15" s="20">
        <v>9</v>
      </c>
      <c r="G15" s="179">
        <f>VLOOKUP($B$11:$B$23,'Constr. Wage Rate Calculations'!$A$19:$Z$288,23,FALSE)</f>
        <v>0</v>
      </c>
      <c r="H15" s="20"/>
      <c r="I15" s="179">
        <f>VLOOKUP($B$11:$B$23,'Constr. Wage Rate Calculations'!$A$19:$Z$288,24,FALSE)</f>
        <v>0</v>
      </c>
      <c r="J15" s="20">
        <f>VLOOKUP($B$11:$B$23,'Constr. Wage Rate Calculations'!$A$19:$Z$288,25,FALSE)</f>
        <v>230</v>
      </c>
      <c r="K15" s="179">
        <f t="shared" si="0"/>
        <v>1055.8</v>
      </c>
    </row>
    <row r="16" spans="1:13" ht="15" customHeight="1">
      <c r="A16" s="48"/>
      <c r="B16" s="49">
        <f>VLOOKUP($C$11:$C$23,Personnel!$A$1:$B$1234,2,FALSE)</f>
        <v>0</v>
      </c>
      <c r="C16" s="36"/>
      <c r="D16" s="20"/>
      <c r="E16" s="179">
        <f>VLOOKUP($B$11:$B$23,'Constr. Wage Rate Calculations'!$A$19:$Z$288,22,FALSE)</f>
        <v>0</v>
      </c>
      <c r="F16" s="20"/>
      <c r="G16" s="179">
        <f>VLOOKUP($B$11:$B$23,'Constr. Wage Rate Calculations'!$A$19:$Z$288,23,FALSE)</f>
        <v>0</v>
      </c>
      <c r="H16" s="20"/>
      <c r="I16" s="179">
        <f>VLOOKUP($B$11:$B$23,'Constr. Wage Rate Calculations'!$A$19:$Z$288,24,FALSE)</f>
        <v>0</v>
      </c>
      <c r="J16" s="20">
        <f>VLOOKUP($B$11:$B$23,'Constr. Wage Rate Calculations'!$A$19:$Z$288,25,FALSE)</f>
        <v>0</v>
      </c>
      <c r="K16" s="179" t="str">
        <f t="shared" si="0"/>
        <v/>
      </c>
    </row>
    <row r="17" spans="1:15" ht="15" customHeight="1">
      <c r="A17" s="48"/>
      <c r="B17" s="49">
        <f>VLOOKUP($C$11:$C$23,Personnel!$A$1:$B$1234,2,FALSE)</f>
        <v>0</v>
      </c>
      <c r="C17" s="36"/>
      <c r="D17" s="20"/>
      <c r="E17" s="179">
        <f>VLOOKUP($B$11:$B$23,'Constr. Wage Rate Calculations'!$A$19:$Z$288,22,FALSE)</f>
        <v>0</v>
      </c>
      <c r="F17" s="20"/>
      <c r="G17" s="179">
        <f>VLOOKUP($B$11:$B$23,'Constr. Wage Rate Calculations'!$A$19:$Z$288,23,FALSE)</f>
        <v>0</v>
      </c>
      <c r="H17" s="20"/>
      <c r="I17" s="179">
        <f>VLOOKUP($B$11:$B$23,'Constr. Wage Rate Calculations'!$A$19:$Z$288,24,FALSE)</f>
        <v>0</v>
      </c>
      <c r="J17" s="20">
        <f>VLOOKUP($B$11:$B$23,'Constr. Wage Rate Calculations'!$A$19:$Z$288,25,FALSE)</f>
        <v>0</v>
      </c>
      <c r="K17" s="179" t="str">
        <f t="shared" si="0"/>
        <v/>
      </c>
    </row>
    <row r="18" spans="1:15" ht="15" customHeight="1">
      <c r="A18" s="48"/>
      <c r="B18" s="49">
        <f>VLOOKUP($C$11:$C$23,Personnel!$A$1:$B$1234,2,FALSE)</f>
        <v>0</v>
      </c>
      <c r="C18" s="36"/>
      <c r="D18" s="20"/>
      <c r="E18" s="179">
        <f>VLOOKUP($B$11:$B$23,'Constr. Wage Rate Calculations'!$A$19:$Z$288,22,FALSE)</f>
        <v>0</v>
      </c>
      <c r="F18" s="20"/>
      <c r="G18" s="179">
        <f>VLOOKUP($B$11:$B$23,'Constr. Wage Rate Calculations'!$A$19:$Z$288,23,FALSE)</f>
        <v>0</v>
      </c>
      <c r="H18" s="20"/>
      <c r="I18" s="179">
        <f>VLOOKUP($B$11:$B$23,'Constr. Wage Rate Calculations'!$A$19:$Z$288,24,FALSE)</f>
        <v>0</v>
      </c>
      <c r="J18" s="20">
        <f>VLOOKUP($B$11:$B$23,'Constr. Wage Rate Calculations'!$A$19:$Z$288,25,FALSE)</f>
        <v>0</v>
      </c>
      <c r="K18" s="179" t="str">
        <f t="shared" si="0"/>
        <v/>
      </c>
    </row>
    <row r="19" spans="1:15" ht="15" customHeight="1">
      <c r="A19" s="48"/>
      <c r="B19" s="49">
        <f>VLOOKUP($C$11:$C$23,Personnel!$A$1:$B$1234,2,FALSE)</f>
        <v>0</v>
      </c>
      <c r="C19" s="36"/>
      <c r="D19" s="20"/>
      <c r="E19" s="179">
        <f>VLOOKUP($B$11:$B$23,'Constr. Wage Rate Calculations'!$A$19:$Z$288,22,FALSE)</f>
        <v>0</v>
      </c>
      <c r="F19" s="20"/>
      <c r="G19" s="179">
        <f>VLOOKUP($B$11:$B$23,'Constr. Wage Rate Calculations'!$A$19:$Z$288,23,FALSE)</f>
        <v>0</v>
      </c>
      <c r="H19" s="20"/>
      <c r="I19" s="179">
        <f>VLOOKUP($B$11:$B$23,'Constr. Wage Rate Calculations'!$A$19:$Z$288,24,FALSE)</f>
        <v>0</v>
      </c>
      <c r="J19" s="20">
        <f>VLOOKUP($B$11:$B$23,'Constr. Wage Rate Calculations'!$A$19:$Z$288,25,FALSE)</f>
        <v>0</v>
      </c>
      <c r="K19" s="179" t="str">
        <f t="shared" si="0"/>
        <v/>
      </c>
    </row>
    <row r="20" spans="1:15" ht="15" customHeight="1">
      <c r="A20" s="48"/>
      <c r="B20" s="49">
        <f>VLOOKUP($C$11:$C$23,Personnel!$A$1:$B$1234,2,FALSE)</f>
        <v>0</v>
      </c>
      <c r="C20" s="36"/>
      <c r="D20" s="184"/>
      <c r="E20" s="179">
        <f>VLOOKUP($B$11:$B$23,'Constr. Wage Rate Calculations'!$A$19:$Z$288,22,FALSE)</f>
        <v>0</v>
      </c>
      <c r="F20" s="184"/>
      <c r="G20" s="179">
        <f>VLOOKUP($B$11:$B$23,'Constr. Wage Rate Calculations'!$A$19:$Z$288,23,FALSE)</f>
        <v>0</v>
      </c>
      <c r="H20" s="184"/>
      <c r="I20" s="179">
        <f>VLOOKUP($B$11:$B$23,'Constr. Wage Rate Calculations'!$A$19:$Z$288,24,FALSE)</f>
        <v>0</v>
      </c>
      <c r="J20" s="20">
        <f>VLOOKUP($B$11:$B$23,'Constr. Wage Rate Calculations'!$A$19:$Z$288,25,FALSE)</f>
        <v>0</v>
      </c>
      <c r="K20" s="179" t="str">
        <f t="shared" si="0"/>
        <v/>
      </c>
    </row>
    <row r="21" spans="1:15" ht="15" customHeight="1">
      <c r="A21" s="48"/>
      <c r="B21" s="49">
        <f>VLOOKUP($C$11:$C$23,Personnel!$A$1:$B$1234,2,FALSE)</f>
        <v>0</v>
      </c>
      <c r="C21" s="36"/>
      <c r="D21" s="184"/>
      <c r="E21" s="179">
        <f>VLOOKUP($B$11:$B$23,'Constr. Wage Rate Calculations'!$A$19:$Z$288,22,FALSE)</f>
        <v>0</v>
      </c>
      <c r="F21" s="184"/>
      <c r="G21" s="179">
        <f>VLOOKUP($B$11:$B$23,'Constr. Wage Rate Calculations'!$A$19:$Z$288,23,FALSE)</f>
        <v>0</v>
      </c>
      <c r="H21" s="184"/>
      <c r="I21" s="179">
        <f>VLOOKUP($B$11:$B$23,'Constr. Wage Rate Calculations'!$A$19:$Z$288,24,FALSE)</f>
        <v>0</v>
      </c>
      <c r="J21" s="20">
        <f>VLOOKUP($B$11:$B$23,'Constr. Wage Rate Calculations'!$A$19:$Z$288,25,FALSE)</f>
        <v>0</v>
      </c>
      <c r="K21" s="179" t="str">
        <f t="shared" si="0"/>
        <v/>
      </c>
    </row>
    <row r="22" spans="1:15" ht="15" customHeight="1">
      <c r="A22" s="48"/>
      <c r="B22" s="49">
        <f>VLOOKUP($C$11:$C$23,Personnel!$A$1:$B$1234,2,FALSE)</f>
        <v>0</v>
      </c>
      <c r="C22" s="36"/>
      <c r="D22" s="184"/>
      <c r="E22" s="179">
        <f>VLOOKUP($B$11:$B$23,'Constr. Wage Rate Calculations'!$A$19:$Z$288,22,FALSE)</f>
        <v>0</v>
      </c>
      <c r="F22" s="184"/>
      <c r="G22" s="179">
        <f>VLOOKUP($B$11:$B$23,'Constr. Wage Rate Calculations'!$A$19:$Z$288,23,FALSE)</f>
        <v>0</v>
      </c>
      <c r="H22" s="184"/>
      <c r="I22" s="179">
        <f>VLOOKUP($B$11:$B$23,'Constr. Wage Rate Calculations'!$A$19:$Z$288,24,FALSE)</f>
        <v>0</v>
      </c>
      <c r="J22" s="20">
        <f>VLOOKUP($B$11:$B$23,'Constr. Wage Rate Calculations'!$A$19:$Z$288,25,FALSE)</f>
        <v>0</v>
      </c>
      <c r="K22" s="179" t="str">
        <f t="shared" ref="K22:K23" si="1">IF($D22&gt;=1,$J22+(D22*E22)+(F22*G22)+(H22*I22),IF($F22&gt;=1,$J22+(D22*E22)+(F22*G22)+(H22*I22),IF($H22&gt;=1,$J22+(D22*E22)+(F22*G22)+(H22*I22),"")))</f>
        <v/>
      </c>
    </row>
    <row r="23" spans="1:15" ht="15" customHeight="1" thickBot="1">
      <c r="A23" s="48"/>
      <c r="B23" s="49">
        <f>VLOOKUP($C$11:$C$23,Personnel!$A$1:$B$1234,2,FALSE)</f>
        <v>0</v>
      </c>
      <c r="C23" s="36"/>
      <c r="D23" s="184"/>
      <c r="E23" s="179">
        <f>VLOOKUP($B$11:$B$23,'Constr. Wage Rate Calculations'!$A$19:$Z$288,22,FALSE)</f>
        <v>0</v>
      </c>
      <c r="F23" s="184"/>
      <c r="G23" s="179">
        <f>VLOOKUP($B$11:$B$23,'Constr. Wage Rate Calculations'!$A$19:$Z$288,23,FALSE)</f>
        <v>0</v>
      </c>
      <c r="H23" s="184"/>
      <c r="I23" s="179">
        <f>VLOOKUP($B$11:$B$23,'Constr. Wage Rate Calculations'!$A$19:$Z$288,24,FALSE)</f>
        <v>0</v>
      </c>
      <c r="J23" s="20">
        <f>VLOOKUP($B$11:$B$23,'Constr. Wage Rate Calculations'!$A$19:$Z$288,25,FALSE)</f>
        <v>0</v>
      </c>
      <c r="K23" s="179" t="str">
        <f t="shared" si="1"/>
        <v/>
      </c>
      <c r="M23" s="1">
        <f>SUM(M11:M22)</f>
        <v>0</v>
      </c>
      <c r="N23" s="1">
        <f>SUM(N11:N22)</f>
        <v>0</v>
      </c>
    </row>
    <row r="24" spans="1:15" ht="15" customHeight="1" thickBot="1">
      <c r="A24"/>
      <c r="B24"/>
      <c r="C24"/>
      <c r="D24" s="21">
        <f>SUM(D14:D23)</f>
        <v>2</v>
      </c>
      <c r="E24" s="21">
        <f>SUM(E14:E23)</f>
        <v>2157.96</v>
      </c>
      <c r="F24" s="21">
        <f>SUM(F14:F23)</f>
        <v>18</v>
      </c>
      <c r="G24" s="21"/>
      <c r="H24" s="21"/>
      <c r="I24" s="360" t="s">
        <v>18</v>
      </c>
      <c r="J24" s="361"/>
      <c r="K24" s="183">
        <f>SUM(K11:K23)</f>
        <v>4003.9400000000005</v>
      </c>
      <c r="M24" s="1">
        <f>SUMIFS(D11:D23,D11:D23,"&lt;3",D11:D23,"&lt;5")</f>
        <v>3</v>
      </c>
      <c r="N24" s="1">
        <f>SUMIFS(D11:D23,D11:D23,"&gt;3",D11:D23,"&gt;5")</f>
        <v>0</v>
      </c>
      <c r="O24" s="1">
        <f>SUM(F11:F23,H11:H23,M24,N24)-M23+N23</f>
        <v>30</v>
      </c>
    </row>
    <row r="25" spans="1:15" ht="10" customHeight="1" thickBot="1"/>
    <row r="26" spans="1:15" s="19" customFormat="1" ht="15" customHeight="1" thickBot="1">
      <c r="A26" s="22" t="s">
        <v>19</v>
      </c>
      <c r="B26" s="23" t="s">
        <v>20</v>
      </c>
      <c r="C26" s="23"/>
      <c r="D26" s="23"/>
      <c r="E26" s="23"/>
      <c r="F26" s="23"/>
      <c r="G26" s="23"/>
      <c r="H26" s="18" t="s">
        <v>21</v>
      </c>
      <c r="I26" s="18" t="s">
        <v>22</v>
      </c>
      <c r="J26" s="18" t="s">
        <v>23</v>
      </c>
      <c r="K26" s="18" t="s">
        <v>17</v>
      </c>
    </row>
    <row r="27" spans="1:15" ht="15" customHeight="1">
      <c r="A27" s="43"/>
      <c r="B27" s="49">
        <f>VLOOKUP($C$27:$C$38,Equipment!$A$1:$B$2322,2,FALSE)</f>
        <v>0</v>
      </c>
      <c r="C27" s="24"/>
      <c r="D27" s="24"/>
      <c r="E27" s="24"/>
      <c r="F27" s="24"/>
      <c r="G27" s="24"/>
      <c r="H27" s="36"/>
      <c r="I27" s="20"/>
      <c r="J27" s="42">
        <f>VLOOKUP($B$27:$B$38,'Alberta Equip. Rates Year 3'!$B$13:$K$314,10,FALSE)</f>
        <v>0</v>
      </c>
      <c r="K27" s="181">
        <f t="shared" ref="K27:K30" si="2">(H27+I27)*J27</f>
        <v>0</v>
      </c>
    </row>
    <row r="28" spans="1:15" ht="15" customHeight="1">
      <c r="A28" s="43"/>
      <c r="B28" s="49" t="str">
        <f>VLOOKUP($C$27:$C$38,Equipment!$A$1:$B$2322,2,FALSE)</f>
        <v>ATV/Gator</v>
      </c>
      <c r="C28" s="24" t="s">
        <v>2141</v>
      </c>
      <c r="D28" s="24"/>
      <c r="E28" s="24"/>
      <c r="F28" s="24"/>
      <c r="G28" s="24"/>
      <c r="H28" s="36">
        <v>1</v>
      </c>
      <c r="I28" s="20"/>
      <c r="J28" s="42">
        <f>VLOOKUP($B$27:$B$38,'Alberta Equip. Rates Year 3'!$B$13:$K$314,10,FALSE)</f>
        <v>127</v>
      </c>
      <c r="K28" s="181">
        <f t="shared" si="2"/>
        <v>127</v>
      </c>
    </row>
    <row r="29" spans="1:15" ht="15" customHeight="1">
      <c r="A29" s="43"/>
      <c r="B29" s="49" t="str">
        <f>VLOOKUP($C$27:$C$38,Equipment!$A$1:$B$2322,2,FALSE)</f>
        <v>Crewcab - 1 Ton</v>
      </c>
      <c r="C29" s="24" t="s">
        <v>2146</v>
      </c>
      <c r="D29" s="24"/>
      <c r="E29" s="24"/>
      <c r="F29" s="24"/>
      <c r="G29" s="24"/>
      <c r="H29" s="36">
        <v>1</v>
      </c>
      <c r="I29" s="20"/>
      <c r="J29" s="42">
        <f>VLOOKUP($B$27:$B$38,'Alberta Equip. Rates Year 3'!$B$13:$K$314,10,FALSE)</f>
        <v>163</v>
      </c>
      <c r="K29" s="181">
        <f>(H29+I29)*J29</f>
        <v>163</v>
      </c>
    </row>
    <row r="30" spans="1:15" ht="15" customHeight="1">
      <c r="A30" s="43"/>
      <c r="B30" s="49" t="str">
        <f>VLOOKUP($C$27:$C$38,Equipment!$A$1:$B$2322,2,FALSE)</f>
        <v>SUV  - Expedition/ Lexus/ Denali/ Yukon/ Navigator</v>
      </c>
      <c r="C30" s="24" t="s">
        <v>2147</v>
      </c>
      <c r="D30" s="24"/>
      <c r="E30" s="24"/>
      <c r="F30" s="24"/>
      <c r="G30" s="24"/>
      <c r="H30" s="36">
        <v>1</v>
      </c>
      <c r="I30" s="20"/>
      <c r="J30" s="42">
        <f>VLOOKUP($B$27:$B$38,'Alberta Equip. Rates Year 3'!$B$13:$K$314,10,FALSE)</f>
        <v>138</v>
      </c>
      <c r="K30" s="181">
        <f t="shared" si="2"/>
        <v>138</v>
      </c>
    </row>
    <row r="31" spans="1:15" ht="15" customHeight="1">
      <c r="A31" s="43"/>
      <c r="B31" s="49" t="str">
        <f>VLOOKUP($C$27:$C$38,Equipment!$A$1:$B$2322,2,FALSE)</f>
        <v>SUV  - Expedition/ Lexus/ Denali/ Yukon/ Navigator</v>
      </c>
      <c r="C31" s="24" t="s">
        <v>1865</v>
      </c>
      <c r="D31" s="24"/>
      <c r="E31" s="24"/>
      <c r="F31" s="24"/>
      <c r="G31" s="24"/>
      <c r="H31" s="36">
        <v>1</v>
      </c>
      <c r="I31" s="20"/>
      <c r="J31" s="42">
        <f>VLOOKUP($B$27:$B$38,'Alberta Equip. Rates Year 3'!$B$13:$K$314,10,FALSE)</f>
        <v>138</v>
      </c>
      <c r="K31" s="181">
        <f t="shared" ref="K31" si="3">(H31+I31)*J31</f>
        <v>138</v>
      </c>
    </row>
    <row r="32" spans="1:15" ht="15" customHeight="1">
      <c r="A32" s="43"/>
      <c r="B32" s="49">
        <f>VLOOKUP($C$27:$C$38,Equipment!$A$1:$B$2322,2,FALSE)</f>
        <v>0</v>
      </c>
      <c r="C32" s="24"/>
      <c r="D32" s="24"/>
      <c r="E32" s="24"/>
      <c r="F32" s="24"/>
      <c r="G32" s="24"/>
      <c r="H32" s="185"/>
      <c r="I32" s="20"/>
      <c r="J32" s="42">
        <f>VLOOKUP($B$27:$B$38,'Alberta Equip. Rates Year 3'!$B$13:$K$314,10,FALSE)</f>
        <v>0</v>
      </c>
      <c r="K32" s="181">
        <f>(H32+I32)*J32</f>
        <v>0</v>
      </c>
    </row>
    <row r="33" spans="1:11" ht="15" customHeight="1">
      <c r="A33" s="43"/>
      <c r="B33" s="49">
        <f>VLOOKUP($C$27:$C$38,Equipment!$A$1:$B$2322,2,FALSE)</f>
        <v>0</v>
      </c>
      <c r="C33" s="24"/>
      <c r="D33" s="24"/>
      <c r="E33" s="24"/>
      <c r="F33" s="24"/>
      <c r="G33" s="24"/>
      <c r="H33" s="185"/>
      <c r="I33" s="184"/>
      <c r="J33" s="42">
        <f>VLOOKUP($B$27:$B$38,'Alberta Equip. Rates Year 3'!$B$13:$K$314,10,FALSE)</f>
        <v>0</v>
      </c>
      <c r="K33" s="181">
        <f>(H33+I33)*J33</f>
        <v>0</v>
      </c>
    </row>
    <row r="34" spans="1:11" ht="15" customHeight="1">
      <c r="A34" s="43"/>
      <c r="B34" s="49">
        <f>VLOOKUP($C$27:$C$38,Equipment!$A$1:$B$2322,2,FALSE)</f>
        <v>0</v>
      </c>
      <c r="C34" s="24"/>
      <c r="D34" s="24"/>
      <c r="E34" s="24"/>
      <c r="F34" s="24"/>
      <c r="G34" s="24"/>
      <c r="H34" s="185"/>
      <c r="I34" s="184"/>
      <c r="J34" s="42">
        <f>VLOOKUP($B$27:$B$38,'Alberta Equip. Rates Year 3'!$B$13:$K$314,10,FALSE)</f>
        <v>0</v>
      </c>
      <c r="K34" s="181">
        <f>(H34+I34)*J34</f>
        <v>0</v>
      </c>
    </row>
    <row r="35" spans="1:11" ht="15" customHeight="1">
      <c r="A35" s="43"/>
      <c r="B35" s="49">
        <f>VLOOKUP($C$27:$C$38,Equipment!$A$1:$B$2322,2,FALSE)</f>
        <v>0</v>
      </c>
      <c r="C35" s="24"/>
      <c r="D35" s="24"/>
      <c r="E35" s="24"/>
      <c r="F35" s="24"/>
      <c r="G35" s="24"/>
      <c r="H35" s="185"/>
      <c r="I35" s="184"/>
      <c r="J35" s="42">
        <f>VLOOKUP($B$27:$B$38,'Alberta Equip. Rates Year 3'!$B$13:$K$314,10,FALSE)</f>
        <v>0</v>
      </c>
      <c r="K35" s="181">
        <f t="shared" ref="K35:K38" si="4">(H35+I35)*J35</f>
        <v>0</v>
      </c>
    </row>
    <row r="36" spans="1:11" ht="15" customHeight="1">
      <c r="A36" s="43"/>
      <c r="B36" s="49">
        <f>VLOOKUP($C$27:$C$38,Equipment!$A$1:$B$2322,2,FALSE)</f>
        <v>0</v>
      </c>
      <c r="C36" s="24"/>
      <c r="D36" s="24"/>
      <c r="E36" s="24"/>
      <c r="F36" s="24"/>
      <c r="G36" s="24"/>
      <c r="H36" s="185"/>
      <c r="I36" s="184"/>
      <c r="J36" s="42">
        <f>VLOOKUP($B$27:$B$38,'Alberta Equip. Rates Year 3'!$B$13:$K$314,10,FALSE)</f>
        <v>0</v>
      </c>
      <c r="K36" s="181">
        <f t="shared" si="4"/>
        <v>0</v>
      </c>
    </row>
    <row r="37" spans="1:11" ht="15" customHeight="1">
      <c r="A37" s="43"/>
      <c r="B37" s="49">
        <f>VLOOKUP($C$27:$C$38,Equipment!$A$1:$B$2322,2,FALSE)</f>
        <v>0</v>
      </c>
      <c r="C37" s="24"/>
      <c r="D37" s="24"/>
      <c r="E37" s="24"/>
      <c r="F37" s="24"/>
      <c r="G37" s="24"/>
      <c r="H37" s="185"/>
      <c r="I37" s="184"/>
      <c r="J37" s="42">
        <f>VLOOKUP($B$27:$B$38,'Alberta Equip. Rates Year 3'!$B$13:$K$314,10,FALSE)</f>
        <v>0</v>
      </c>
      <c r="K37" s="181">
        <f t="shared" si="4"/>
        <v>0</v>
      </c>
    </row>
    <row r="38" spans="1:11" ht="15" customHeight="1" thickBot="1">
      <c r="A38" s="43"/>
      <c r="B38" s="49">
        <f>VLOOKUP($C$27:$C$38,Equipment!$A$1:$B$2322,2,FALSE)</f>
        <v>0</v>
      </c>
      <c r="C38" s="24"/>
      <c r="D38" s="24"/>
      <c r="E38" s="24"/>
      <c r="F38" s="24"/>
      <c r="G38" s="24"/>
      <c r="H38" s="185"/>
      <c r="I38" s="184"/>
      <c r="J38" s="42">
        <f>VLOOKUP($B$27:$B$38,'Alberta Equip. Rates Year 3'!$B$13:$K$314,10,FALSE)</f>
        <v>0</v>
      </c>
      <c r="K38" s="181">
        <f t="shared" si="4"/>
        <v>0</v>
      </c>
    </row>
    <row r="39" spans="1:11" ht="12" thickBot="1">
      <c r="A39" s="25"/>
      <c r="B39" s="25"/>
      <c r="C39" s="25"/>
      <c r="D39" s="21"/>
      <c r="E39" s="21"/>
      <c r="F39" s="21"/>
      <c r="G39" s="21"/>
      <c r="H39" s="21"/>
      <c r="I39" s="360" t="s">
        <v>24</v>
      </c>
      <c r="J39" s="361"/>
      <c r="K39" s="182">
        <f>SUM(K27:K38)</f>
        <v>566</v>
      </c>
    </row>
    <row r="40" spans="1:11" ht="12" thickBot="1">
      <c r="A40" s="26"/>
      <c r="D40" s="26"/>
      <c r="I40" s="27"/>
      <c r="J40" s="27"/>
      <c r="K40" s="28"/>
    </row>
    <row r="41" spans="1:11">
      <c r="A41" s="1" t="s">
        <v>25</v>
      </c>
      <c r="B41" s="29"/>
      <c r="D41" s="1"/>
      <c r="E41" s="1"/>
      <c r="F41" s="1"/>
      <c r="G41" s="1"/>
      <c r="H41" s="1"/>
      <c r="I41" s="362" t="s">
        <v>26</v>
      </c>
      <c r="J41" s="362"/>
      <c r="K41" s="37">
        <f>K24</f>
        <v>4003.9400000000005</v>
      </c>
    </row>
    <row r="42" spans="1:11">
      <c r="D42" s="1"/>
      <c r="E42" s="1"/>
      <c r="F42" s="1"/>
      <c r="G42" s="1"/>
      <c r="H42" s="1"/>
      <c r="I42" s="362" t="s">
        <v>27</v>
      </c>
      <c r="J42" s="362"/>
      <c r="K42" s="38">
        <f>K39</f>
        <v>566</v>
      </c>
    </row>
    <row r="43" spans="1:11">
      <c r="D43" s="1"/>
      <c r="E43" s="1"/>
      <c r="F43" s="1"/>
      <c r="G43" s="1"/>
      <c r="H43" s="1"/>
      <c r="I43" s="27" t="s">
        <v>28</v>
      </c>
      <c r="J43" s="27"/>
      <c r="K43" s="38">
        <f>(O24)*14.15</f>
        <v>424.5</v>
      </c>
    </row>
    <row r="44" spans="1:11">
      <c r="D44" s="1"/>
      <c r="E44" s="1"/>
      <c r="F44" s="1"/>
      <c r="G44" s="1"/>
      <c r="H44" s="1"/>
      <c r="I44" s="30" t="s">
        <v>29</v>
      </c>
      <c r="J44" s="30"/>
      <c r="K44" s="39"/>
    </row>
    <row r="45" spans="1:11">
      <c r="D45" s="1"/>
      <c r="E45" s="1"/>
      <c r="F45" s="1"/>
      <c r="G45" s="1"/>
      <c r="H45" s="1"/>
      <c r="I45" s="30" t="s">
        <v>30</v>
      </c>
      <c r="J45" s="30"/>
      <c r="K45" s="39"/>
    </row>
    <row r="46" spans="1:11">
      <c r="D46" s="1"/>
      <c r="E46" s="1"/>
      <c r="F46" s="1"/>
      <c r="G46" s="1"/>
      <c r="H46" s="1"/>
      <c r="I46" s="30" t="s">
        <v>31</v>
      </c>
      <c r="J46" s="30"/>
      <c r="K46" s="39"/>
    </row>
    <row r="47" spans="1:11" ht="12" thickBot="1">
      <c r="D47" s="1"/>
      <c r="E47" s="1"/>
      <c r="F47" s="1"/>
      <c r="G47" s="1"/>
      <c r="H47" s="1"/>
      <c r="I47" s="362" t="s">
        <v>32</v>
      </c>
      <c r="J47" s="362"/>
      <c r="K47" s="40">
        <f>SUM(K41:K46)</f>
        <v>4994.4400000000005</v>
      </c>
    </row>
    <row r="48" spans="1:11">
      <c r="D48" s="1"/>
      <c r="E48" s="1"/>
      <c r="F48" s="1"/>
      <c r="G48" s="1"/>
      <c r="H48" s="1"/>
      <c r="I48" s="27"/>
      <c r="J48" s="27"/>
    </row>
    <row r="49" spans="1:11">
      <c r="A49" s="31" t="s">
        <v>33</v>
      </c>
      <c r="B49" s="32"/>
      <c r="C49" s="32"/>
      <c r="D49" s="1"/>
      <c r="H49" s="33" t="s">
        <v>34</v>
      </c>
      <c r="I49" s="32"/>
      <c r="J49" s="32"/>
      <c r="K49" s="32"/>
    </row>
    <row r="50" spans="1:11" ht="15">
      <c r="A50" s="34"/>
      <c r="E50" s="8"/>
      <c r="F50" s="8"/>
      <c r="G50" s="8"/>
      <c r="H50" s="35"/>
      <c r="I50" s="35"/>
      <c r="J50" s="35"/>
      <c r="K50" s="35"/>
    </row>
    <row r="51" spans="1:11" ht="15">
      <c r="A51" s="34" t="s">
        <v>35</v>
      </c>
      <c r="E51" s="8"/>
      <c r="F51" s="8"/>
      <c r="G51" s="8"/>
      <c r="H51" s="35"/>
      <c r="I51" s="35"/>
      <c r="J51" s="35"/>
      <c r="K51" s="35"/>
    </row>
    <row r="52" spans="1:11" s="34" customFormat="1">
      <c r="A52" s="363">
        <v>41218.479166666664</v>
      </c>
      <c r="B52" s="363"/>
      <c r="C52" s="364"/>
      <c r="D52" s="364"/>
      <c r="E52" s="364"/>
      <c r="F52" s="364"/>
      <c r="G52" s="364"/>
      <c r="H52" s="364"/>
      <c r="I52" s="364"/>
      <c r="J52" s="364"/>
      <c r="K52" s="8"/>
    </row>
    <row r="62" spans="1:11">
      <c r="D62" s="1"/>
      <c r="E62" s="1"/>
      <c r="F62" s="1"/>
      <c r="G62" s="1"/>
      <c r="H62" s="1"/>
      <c r="I62" s="1"/>
      <c r="J62" s="1"/>
    </row>
    <row r="63" spans="1:11">
      <c r="D63" s="1"/>
      <c r="E63" s="1"/>
      <c r="F63" s="1"/>
      <c r="G63" s="1"/>
      <c r="H63" s="1"/>
      <c r="I63" s="1"/>
      <c r="J63" s="1"/>
    </row>
    <row r="64" spans="1:11">
      <c r="D64" s="1"/>
      <c r="E64" s="1"/>
      <c r="F64" s="1"/>
      <c r="G64" s="1"/>
      <c r="H64" s="1"/>
      <c r="I64" s="1"/>
      <c r="J64" s="1"/>
    </row>
    <row r="65" s="1" customFormat="1"/>
    <row r="66" s="1" customFormat="1"/>
    <row r="67" s="1" customFormat="1"/>
    <row r="68" s="1" customFormat="1"/>
    <row r="69" s="1" customFormat="1"/>
    <row r="70" s="1" customFormat="1"/>
    <row r="71" s="1" customFormat="1"/>
    <row r="72" s="1" customFormat="1"/>
    <row r="73" s="1" customFormat="1"/>
    <row r="74" s="1" customFormat="1"/>
    <row r="75" s="1" customFormat="1"/>
    <row r="80" s="1" customFormat="1"/>
    <row r="108" s="1" customFormat="1"/>
    <row r="109" s="1" customFormat="1"/>
    <row r="110" s="1" customFormat="1"/>
    <row r="111" s="1" customFormat="1"/>
  </sheetData>
  <mergeCells count="12">
    <mergeCell ref="I39:J39"/>
    <mergeCell ref="I41:J41"/>
    <mergeCell ref="I42:J42"/>
    <mergeCell ref="I47:J47"/>
    <mergeCell ref="A52:B52"/>
    <mergeCell ref="C52:J52"/>
    <mergeCell ref="I24:J24"/>
    <mergeCell ref="C1:H1"/>
    <mergeCell ref="C2:H2"/>
    <mergeCell ref="C3:H3"/>
    <mergeCell ref="H6:I6"/>
    <mergeCell ref="H7:I7"/>
  </mergeCells>
  <conditionalFormatting sqref="M11:M23">
    <cfRule type="expression" dxfId="54" priority="27677">
      <formula>ISTEXT(A11:A23)</formula>
    </cfRule>
  </conditionalFormatting>
  <printOptions horizontalCentered="1"/>
  <pageMargins left="0.19685039370078741" right="0.19685039370078741" top="0.39370078740157483" bottom="0.39370078740157483" header="0" footer="0"/>
  <pageSetup orientation="portrait" horizontalDpi="4294967292" verticalDpi="4294967292"/>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2300-000000000000}">
          <x14:formula1>
            <xm:f>Accounts!$A$4:$A$60</xm:f>
          </x14:formula1>
          <xm:sqref>K7</xm:sqref>
        </x14:dataValidation>
        <x14:dataValidation type="list" allowBlank="1" showInputMessage="1" showErrorMessage="1" xr:uid="{00000000-0002-0000-2300-000001000000}">
          <x14:formula1>
            <xm:f>'Constr. Wage Rate Calculations'!$A$19:$A$288</xm:f>
          </x14:formula1>
          <xm:sqref>B11:B23</xm:sqref>
        </x14:dataValidation>
        <x14:dataValidation type="list" allowBlank="1" showInputMessage="1" showErrorMessage="1" xr:uid="{00000000-0002-0000-2300-000002000000}">
          <x14:formula1>
            <xm:f>Personnel!$A:$A</xm:f>
          </x14:formula1>
          <xm:sqref>C11:C23</xm:sqref>
        </x14:dataValidation>
        <x14:dataValidation type="list" allowBlank="1" showInputMessage="1" showErrorMessage="1" xr:uid="{00000000-0002-0000-2300-000003000000}">
          <x14:formula1>
            <xm:f>Equipment!$A:$A</xm:f>
          </x14:formula1>
          <xm:sqref>C27:C38</xm:sqref>
        </x14:dataValidation>
      </x14:dataValidations>
    </ext>
    <ext xmlns:mx="http://schemas.microsoft.com/office/mac/excel/2008/main" uri="{64002731-A6B0-56B0-2670-7721B7C09600}">
      <mx:PLV Mode="0" OnePage="0" WScale="0"/>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CCFFCC"/>
    <pageSetUpPr fitToPage="1"/>
  </sheetPr>
  <dimension ref="A1:O150"/>
  <sheetViews>
    <sheetView zoomScale="120" zoomScaleNormal="120" zoomScalePageLayoutView="120" workbookViewId="0">
      <selection activeCell="E28" sqref="E28"/>
    </sheetView>
  </sheetViews>
  <sheetFormatPr baseColWidth="10" defaultColWidth="8.83203125" defaultRowHeight="11"/>
  <cols>
    <col min="1" max="1" width="13" style="1" customWidth="1"/>
    <col min="2" max="2" width="30" style="1" customWidth="1"/>
    <col min="3" max="3" width="24.5" style="1" customWidth="1"/>
    <col min="4" max="4" width="8.6640625" style="2" customWidth="1"/>
    <col min="5" max="6" width="8.33203125" style="2" customWidth="1"/>
    <col min="7" max="8" width="8.6640625" style="2" customWidth="1"/>
    <col min="9" max="9" width="9.33203125" style="2" customWidth="1"/>
    <col min="10" max="10" width="8.6640625" style="2" customWidth="1"/>
    <col min="11" max="11" width="19.83203125" style="1" customWidth="1"/>
    <col min="12" max="12" width="3.5" style="1" hidden="1" customWidth="1"/>
    <col min="13" max="16384" width="8.83203125" style="1"/>
  </cols>
  <sheetData>
    <row r="1" spans="1:13" ht="15">
      <c r="C1" s="364"/>
      <c r="D1" s="365"/>
      <c r="E1" s="365"/>
      <c r="F1" s="365"/>
      <c r="G1" s="365"/>
      <c r="H1" s="366"/>
      <c r="J1" s="2" t="s">
        <v>0</v>
      </c>
      <c r="K1" s="197">
        <v>41659</v>
      </c>
      <c r="M1" s="45"/>
    </row>
    <row r="2" spans="1:13" ht="15">
      <c r="C2" s="367"/>
      <c r="D2" s="367"/>
      <c r="E2" s="367"/>
      <c r="F2" s="367"/>
      <c r="G2" s="367"/>
      <c r="H2" s="366"/>
      <c r="K2" s="41"/>
    </row>
    <row r="3" spans="1:13" ht="15">
      <c r="C3" s="368"/>
      <c r="D3" s="369"/>
      <c r="E3" s="369"/>
      <c r="F3" s="369"/>
      <c r="G3" s="369"/>
      <c r="H3" s="366"/>
    </row>
    <row r="4" spans="1:13">
      <c r="C4" s="3"/>
      <c r="D4" s="4"/>
      <c r="E4" s="4"/>
      <c r="F4" s="4"/>
      <c r="G4" s="4"/>
    </row>
    <row r="5" spans="1:13">
      <c r="C5" s="3"/>
      <c r="D5" s="4"/>
      <c r="E5" s="4"/>
      <c r="F5" s="4"/>
      <c r="G5" s="4"/>
    </row>
    <row r="6" spans="1:13" ht="12">
      <c r="B6" s="5"/>
      <c r="C6" s="6"/>
      <c r="D6" s="7"/>
      <c r="E6" s="8"/>
      <c r="F6" s="8"/>
      <c r="G6" s="1" t="s">
        <v>1</v>
      </c>
      <c r="H6" s="370">
        <v>18211</v>
      </c>
      <c r="I6" s="370"/>
      <c r="J6" s="1" t="s">
        <v>2</v>
      </c>
      <c r="K6" s="47"/>
    </row>
    <row r="7" spans="1:13" ht="12">
      <c r="A7" s="1" t="s">
        <v>3</v>
      </c>
      <c r="B7" s="9"/>
      <c r="C7" s="10"/>
      <c r="D7" s="11"/>
      <c r="E7" s="8"/>
      <c r="F7" s="8"/>
      <c r="G7" s="1" t="s">
        <v>4</v>
      </c>
      <c r="H7" s="371"/>
      <c r="I7" s="371"/>
      <c r="J7" s="1" t="s">
        <v>5</v>
      </c>
      <c r="K7" s="46"/>
    </row>
    <row r="8" spans="1:13" ht="12">
      <c r="B8" s="12"/>
      <c r="C8" s="13"/>
      <c r="D8" s="14"/>
      <c r="E8" s="8"/>
      <c r="F8" s="8"/>
      <c r="G8" s="1" t="s">
        <v>6</v>
      </c>
      <c r="H8" s="187"/>
      <c r="I8" s="188"/>
      <c r="J8" s="44"/>
    </row>
    <row r="9" spans="1:13" ht="16" thickBot="1">
      <c r="B9" s="15"/>
      <c r="C9" s="16"/>
      <c r="D9" s="16"/>
      <c r="E9" s="8"/>
      <c r="F9" s="8"/>
      <c r="G9" s="8"/>
    </row>
    <row r="10" spans="1:13" s="19" customFormat="1" ht="12" thickBot="1">
      <c r="A10" s="17" t="s">
        <v>7</v>
      </c>
      <c r="B10" s="17" t="s">
        <v>8</v>
      </c>
      <c r="C10" s="17" t="s">
        <v>9</v>
      </c>
      <c r="D10" s="18" t="s">
        <v>10</v>
      </c>
      <c r="E10" s="18" t="s">
        <v>11</v>
      </c>
      <c r="F10" s="18" t="s">
        <v>12</v>
      </c>
      <c r="G10" s="180" t="s">
        <v>13</v>
      </c>
      <c r="H10" s="18" t="s">
        <v>14</v>
      </c>
      <c r="I10" s="18" t="s">
        <v>15</v>
      </c>
      <c r="J10" s="18" t="s">
        <v>16</v>
      </c>
      <c r="K10" s="18" t="s">
        <v>17</v>
      </c>
      <c r="M10" s="19" t="s">
        <v>1797</v>
      </c>
    </row>
    <row r="11" spans="1:13" ht="15" customHeight="1">
      <c r="A11" s="48"/>
      <c r="B11" s="49">
        <f>VLOOKUP($C$11:$C$46,Personnel!$A$1:$B$1234,2,FALSE)</f>
        <v>0</v>
      </c>
      <c r="C11" s="36"/>
      <c r="D11" s="184"/>
      <c r="E11" s="179">
        <f>VLOOKUP($B$11:$B$46,'Constr. Wage Rate Calculations'!$A$19:$Z$288,22,FALSE)</f>
        <v>0</v>
      </c>
      <c r="F11" s="184"/>
      <c r="G11" s="179">
        <f>VLOOKUP($B$11:$B$46,'Constr. Wage Rate Calculations'!$A$19:$Z$288,23,FALSE)</f>
        <v>0</v>
      </c>
      <c r="H11" s="184"/>
      <c r="I11" s="179">
        <f>VLOOKUP($B$11:$B$46,'Constr. Wage Rate Calculations'!$A$19:$Z$288,24,FALSE)</f>
        <v>0</v>
      </c>
      <c r="J11" s="20">
        <f>VLOOKUP($B$11:$B$46,'Constr. Wage Rate Calculations'!$A$19:$Z$288,25,FALSE)</f>
        <v>0</v>
      </c>
      <c r="K11" s="179" t="str">
        <f t="shared" ref="K11:K46" si="0">IF($D11&gt;=1,$J11+(D11*E11)+(F11*G11)+(H11*I11),IF($F11&gt;=1,$J11+(D11*E11)+(F11*G11)+(H11*I11),IF($H11&gt;=1,$J11+(D11*E11)+(F11*G11)+(H11*I11),"")))</f>
        <v/>
      </c>
    </row>
    <row r="12" spans="1:13" ht="15" customHeight="1">
      <c r="A12" s="48"/>
      <c r="B12" s="49" t="str">
        <f>VLOOKUP($C$11:$C$46,Personnel!$A$1:$B$1234,2,FALSE)</f>
        <v>SPEC LABOUR (CARPENTER, ETC.)</v>
      </c>
      <c r="C12" s="36" t="s">
        <v>4163</v>
      </c>
      <c r="D12" s="184">
        <v>8</v>
      </c>
      <c r="E12" s="179">
        <f>VLOOKUP($B$11:$B$46,'Constr. Wage Rate Calculations'!$A$19:$Z$288,22,FALSE)</f>
        <v>49.84</v>
      </c>
      <c r="F12" s="184">
        <v>4</v>
      </c>
      <c r="G12" s="179">
        <f>VLOOKUP($B$11:$B$46,'Constr. Wage Rate Calculations'!$A$19:$Z$288,23,FALSE)</f>
        <v>74.75</v>
      </c>
      <c r="H12" s="184"/>
      <c r="I12" s="179">
        <f>VLOOKUP($B$11:$B$46,'Constr. Wage Rate Calculations'!$A$19:$Z$288,24,FALSE)</f>
        <v>99.67</v>
      </c>
      <c r="J12" s="20">
        <f>VLOOKUP($B$11:$B$46,'Constr. Wage Rate Calculations'!$A$19:$Z$288,25,FALSE)</f>
        <v>85</v>
      </c>
      <c r="K12" s="179">
        <f t="shared" si="0"/>
        <v>782.72</v>
      </c>
    </row>
    <row r="13" spans="1:13" ht="15" customHeight="1">
      <c r="A13" s="48"/>
      <c r="B13" s="49" t="str">
        <f>VLOOKUP($C$11:$C$46,Personnel!$A$1:$B$1234,2,FALSE)</f>
        <v>GENERAL LABOURER</v>
      </c>
      <c r="C13" s="36" t="s">
        <v>4164</v>
      </c>
      <c r="D13" s="184">
        <v>8</v>
      </c>
      <c r="E13" s="179">
        <f>VLOOKUP($B$11:$B$46,'Constr. Wage Rate Calculations'!$A$19:$Z$288,22,FALSE)</f>
        <v>48.1</v>
      </c>
      <c r="F13" s="184">
        <v>4</v>
      </c>
      <c r="G13" s="179">
        <f>VLOOKUP($B$11:$B$46,'Constr. Wage Rate Calculations'!$A$19:$Z$288,23,FALSE)</f>
        <v>72.150000000000006</v>
      </c>
      <c r="H13" s="184"/>
      <c r="I13" s="179">
        <f>VLOOKUP($B$11:$B$46,'Constr. Wage Rate Calculations'!$A$19:$Z$288,24,FALSE)</f>
        <v>96.2</v>
      </c>
      <c r="J13" s="20">
        <f>VLOOKUP($B$11:$B$46,'Constr. Wage Rate Calculations'!$A$19:$Z$288,25,FALSE)</f>
        <v>85</v>
      </c>
      <c r="K13" s="179">
        <f t="shared" si="0"/>
        <v>758.40000000000009</v>
      </c>
    </row>
    <row r="14" spans="1:13" ht="15" customHeight="1">
      <c r="A14" s="48"/>
      <c r="B14" s="49" t="str">
        <f>VLOOKUP($C$11:$C$46,Personnel!$A$1:$B$1234,2,FALSE)</f>
        <v>GENERAL LABOURER</v>
      </c>
      <c r="C14" s="36" t="s">
        <v>4200</v>
      </c>
      <c r="D14" s="184">
        <v>8</v>
      </c>
      <c r="E14" s="179">
        <f>VLOOKUP($B$11:$B$46,'Constr. Wage Rate Calculations'!$A$19:$Z$288,22,FALSE)</f>
        <v>48.1</v>
      </c>
      <c r="F14" s="184">
        <v>4</v>
      </c>
      <c r="G14" s="179">
        <f>VLOOKUP($B$11:$B$46,'Constr. Wage Rate Calculations'!$A$19:$Z$288,23,FALSE)</f>
        <v>72.150000000000006</v>
      </c>
      <c r="H14" s="184"/>
      <c r="I14" s="179">
        <f>VLOOKUP($B$11:$B$46,'Constr. Wage Rate Calculations'!$A$19:$Z$288,24,FALSE)</f>
        <v>96.2</v>
      </c>
      <c r="J14" s="20">
        <f>VLOOKUP($B$11:$B$46,'Constr. Wage Rate Calculations'!$A$19:$Z$288,25,FALSE)</f>
        <v>85</v>
      </c>
      <c r="K14" s="179">
        <f t="shared" si="0"/>
        <v>758.40000000000009</v>
      </c>
    </row>
    <row r="15" spans="1:13" ht="15" customHeight="1">
      <c r="A15" s="48"/>
      <c r="B15" s="49" t="str">
        <f>VLOOKUP($C$11:$C$46,Personnel!$A$1:$B$1234,2,FALSE)</f>
        <v>PRINCIPAL OPER 1</v>
      </c>
      <c r="C15" s="36" t="s">
        <v>4165</v>
      </c>
      <c r="D15" s="184">
        <v>8</v>
      </c>
      <c r="E15" s="179">
        <f>VLOOKUP($B$11:$B$46,'Constr. Wage Rate Calculations'!$A$19:$Z$288,22,FALSE)</f>
        <v>64.239999999999995</v>
      </c>
      <c r="F15" s="184">
        <v>4</v>
      </c>
      <c r="G15" s="179">
        <f>VLOOKUP($B$11:$B$46,'Constr. Wage Rate Calculations'!$A$19:$Z$288,23,FALSE)</f>
        <v>96.36</v>
      </c>
      <c r="H15" s="184"/>
      <c r="I15" s="179">
        <f>VLOOKUP($B$11:$B$46,'Constr. Wage Rate Calculations'!$A$19:$Z$288,24,FALSE)</f>
        <v>128.47</v>
      </c>
      <c r="J15" s="20">
        <f>VLOOKUP($B$11:$B$46,'Constr. Wage Rate Calculations'!$A$19:$Z$288,25,FALSE)</f>
        <v>85</v>
      </c>
      <c r="K15" s="179">
        <f t="shared" si="0"/>
        <v>984.3599999999999</v>
      </c>
    </row>
    <row r="16" spans="1:13" ht="15" customHeight="1">
      <c r="A16" s="48"/>
      <c r="B16" s="49" t="str">
        <f>VLOOKUP($C$11:$C$46,Personnel!$A$1:$B$1234,2,FALSE)</f>
        <v>GENERAL LABOURER</v>
      </c>
      <c r="C16" s="36" t="s">
        <v>1557</v>
      </c>
      <c r="D16" s="184">
        <v>8</v>
      </c>
      <c r="E16" s="179">
        <f>VLOOKUP($B$11:$B$46,'Constr. Wage Rate Calculations'!$A$19:$Z$288,22,FALSE)</f>
        <v>48.1</v>
      </c>
      <c r="F16" s="184">
        <v>4</v>
      </c>
      <c r="G16" s="179">
        <f>VLOOKUP($B$11:$B$46,'Constr. Wage Rate Calculations'!$A$19:$Z$288,23,FALSE)</f>
        <v>72.150000000000006</v>
      </c>
      <c r="H16" s="184"/>
      <c r="I16" s="179">
        <f>VLOOKUP($B$11:$B$46,'Constr. Wage Rate Calculations'!$A$19:$Z$288,24,FALSE)</f>
        <v>96.2</v>
      </c>
      <c r="J16" s="20">
        <f>VLOOKUP($B$11:$B$46,'Constr. Wage Rate Calculations'!$A$19:$Z$288,25,FALSE)</f>
        <v>85</v>
      </c>
      <c r="K16" s="179">
        <f t="shared" si="0"/>
        <v>758.40000000000009</v>
      </c>
    </row>
    <row r="17" spans="1:13" ht="15" customHeight="1">
      <c r="A17" s="48"/>
      <c r="B17" s="49" t="str">
        <f>VLOOKUP($C$11:$C$46,Personnel!$A$1:$B$1234,2,FALSE)</f>
        <v>PRINCIPAL OPER 1</v>
      </c>
      <c r="C17" s="36" t="s">
        <v>2675</v>
      </c>
      <c r="D17" s="184">
        <v>8</v>
      </c>
      <c r="E17" s="179">
        <f>VLOOKUP($B$11:$B$46,'Constr. Wage Rate Calculations'!$A$19:$Z$288,22,FALSE)</f>
        <v>64.239999999999995</v>
      </c>
      <c r="F17" s="184">
        <v>4</v>
      </c>
      <c r="G17" s="179">
        <f>VLOOKUP($B$11:$B$46,'Constr. Wage Rate Calculations'!$A$19:$Z$288,23,FALSE)</f>
        <v>96.36</v>
      </c>
      <c r="H17" s="184"/>
      <c r="I17" s="179">
        <f>VLOOKUP($B$11:$B$46,'Constr. Wage Rate Calculations'!$A$19:$Z$288,24,FALSE)</f>
        <v>128.47</v>
      </c>
      <c r="J17" s="20">
        <f>VLOOKUP($B$11:$B$46,'Constr. Wage Rate Calculations'!$A$19:$Z$288,25,FALSE)</f>
        <v>85</v>
      </c>
      <c r="K17" s="179">
        <f t="shared" si="0"/>
        <v>984.3599999999999</v>
      </c>
    </row>
    <row r="18" spans="1:13" ht="15" customHeight="1">
      <c r="A18" s="48"/>
      <c r="B18" s="49" t="str">
        <f>VLOOKUP($C$11:$C$46,Personnel!$A$1:$B$1234,2,FALSE)</f>
        <v>SPEC LABOUR (CARPENTER, ETC.)</v>
      </c>
      <c r="C18" s="36" t="s">
        <v>792</v>
      </c>
      <c r="D18" s="184">
        <v>8</v>
      </c>
      <c r="E18" s="179">
        <f>VLOOKUP($B$11:$B$46,'Constr. Wage Rate Calculations'!$A$19:$Z$288,22,FALSE)</f>
        <v>49.84</v>
      </c>
      <c r="F18" s="184">
        <v>5</v>
      </c>
      <c r="G18" s="179">
        <f>VLOOKUP($B$11:$B$46,'Constr. Wage Rate Calculations'!$A$19:$Z$288,23,FALSE)</f>
        <v>74.75</v>
      </c>
      <c r="H18" s="184"/>
      <c r="I18" s="179">
        <f>VLOOKUP($B$11:$B$46,'Constr. Wage Rate Calculations'!$A$19:$Z$288,24,FALSE)</f>
        <v>99.67</v>
      </c>
      <c r="J18" s="20">
        <f>VLOOKUP($B$11:$B$46,'Constr. Wage Rate Calculations'!$A$19:$Z$288,25,FALSE)</f>
        <v>85</v>
      </c>
      <c r="K18" s="179">
        <f t="shared" si="0"/>
        <v>857.47</v>
      </c>
      <c r="M18" s="1">
        <v>1</v>
      </c>
    </row>
    <row r="19" spans="1:13" ht="15" customHeight="1">
      <c r="A19" s="48"/>
      <c r="B19" s="49" t="str">
        <f>VLOOKUP($C$11:$C$46,Personnel!$A$1:$B$1234,2,FALSE)</f>
        <v>GENERAL LABOURER</v>
      </c>
      <c r="C19" s="36" t="s">
        <v>1466</v>
      </c>
      <c r="D19" s="184">
        <v>8</v>
      </c>
      <c r="E19" s="179">
        <f>VLOOKUP($B$11:$B$46,'Constr. Wage Rate Calculations'!$A$19:$Z$288,22,FALSE)</f>
        <v>48.1</v>
      </c>
      <c r="F19" s="184">
        <v>4</v>
      </c>
      <c r="G19" s="179">
        <f>VLOOKUP($B$11:$B$46,'Constr. Wage Rate Calculations'!$A$19:$Z$288,23,FALSE)</f>
        <v>72.150000000000006</v>
      </c>
      <c r="H19" s="184"/>
      <c r="I19" s="179">
        <f>VLOOKUP($B$11:$B$46,'Constr. Wage Rate Calculations'!$A$19:$Z$288,24,FALSE)</f>
        <v>96.2</v>
      </c>
      <c r="J19" s="20">
        <f>VLOOKUP($B$11:$B$46,'Constr. Wage Rate Calculations'!$A$19:$Z$288,25,FALSE)</f>
        <v>85</v>
      </c>
      <c r="K19" s="179">
        <f t="shared" si="0"/>
        <v>758.40000000000009</v>
      </c>
    </row>
    <row r="20" spans="1:13" ht="15" customHeight="1">
      <c r="A20" s="48"/>
      <c r="B20" s="49" t="str">
        <f>VLOOKUP($C$11:$C$46,Personnel!$A$1:$B$1234,2,FALSE)</f>
        <v>QUALITY CONTROL TECHNICIAN</v>
      </c>
      <c r="C20" s="36" t="s">
        <v>4166</v>
      </c>
      <c r="D20" s="184">
        <v>1</v>
      </c>
      <c r="E20" s="179">
        <f>VLOOKUP($B$11:$B$46,'Constr. Wage Rate Calculations'!$A$19:$Z$288,22,FALSE)</f>
        <v>1186.32</v>
      </c>
      <c r="F20" s="184">
        <v>9</v>
      </c>
      <c r="G20" s="179">
        <f>VLOOKUP($B$11:$B$46,'Constr. Wage Rate Calculations'!$A$19:$Z$288,23,FALSE)</f>
        <v>0</v>
      </c>
      <c r="H20" s="184"/>
      <c r="I20" s="179">
        <f>VLOOKUP($B$11:$B$46,'Constr. Wage Rate Calculations'!$A$19:$Z$288,24,FALSE)</f>
        <v>0</v>
      </c>
      <c r="J20" s="20">
        <f>VLOOKUP($B$11:$B$46,'Constr. Wage Rate Calculations'!$A$19:$Z$288,25,FALSE)</f>
        <v>230</v>
      </c>
      <c r="K20" s="179">
        <f t="shared" si="0"/>
        <v>1416.32</v>
      </c>
    </row>
    <row r="21" spans="1:13" ht="15" customHeight="1">
      <c r="A21" s="48"/>
      <c r="B21" s="49" t="str">
        <f>VLOOKUP($C$11:$C$46,Personnel!$A$1:$B$1234,2,FALSE)</f>
        <v>GENERAL LABOURER</v>
      </c>
      <c r="C21" s="36" t="s">
        <v>4124</v>
      </c>
      <c r="D21" s="184">
        <v>8</v>
      </c>
      <c r="E21" s="179">
        <f>VLOOKUP($B$11:$B$46,'Constr. Wage Rate Calculations'!$A$19:$Z$288,22,FALSE)</f>
        <v>48.1</v>
      </c>
      <c r="F21" s="184">
        <v>4</v>
      </c>
      <c r="G21" s="179">
        <f>VLOOKUP($B$11:$B$46,'Constr. Wage Rate Calculations'!$A$19:$Z$288,23,FALSE)</f>
        <v>72.150000000000006</v>
      </c>
      <c r="H21" s="184"/>
      <c r="I21" s="179">
        <f>VLOOKUP($B$11:$B$46,'Constr. Wage Rate Calculations'!$A$19:$Z$288,24,FALSE)</f>
        <v>96.2</v>
      </c>
      <c r="J21" s="20">
        <f>VLOOKUP($B$11:$B$46,'Constr. Wage Rate Calculations'!$A$19:$Z$288,25,FALSE)</f>
        <v>85</v>
      </c>
      <c r="K21" s="179">
        <f t="shared" si="0"/>
        <v>758.40000000000009</v>
      </c>
    </row>
    <row r="22" spans="1:13" ht="15" customHeight="1">
      <c r="A22" s="48"/>
      <c r="B22" s="49" t="str">
        <f>VLOOKUP($C$11:$C$46,Personnel!$A$1:$B$1234,2,FALSE)</f>
        <v>PRINCIPAL OPER 1</v>
      </c>
      <c r="C22" s="36" t="s">
        <v>2772</v>
      </c>
      <c r="D22" s="184">
        <v>8</v>
      </c>
      <c r="E22" s="179">
        <f>VLOOKUP($B$11:$B$46,'Constr. Wage Rate Calculations'!$A$19:$Z$288,22,FALSE)</f>
        <v>64.239999999999995</v>
      </c>
      <c r="F22" s="184">
        <v>4</v>
      </c>
      <c r="G22" s="179">
        <f>VLOOKUP($B$11:$B$46,'Constr. Wage Rate Calculations'!$A$19:$Z$288,23,FALSE)</f>
        <v>96.36</v>
      </c>
      <c r="H22" s="184"/>
      <c r="I22" s="179">
        <f>VLOOKUP($B$11:$B$46,'Constr. Wage Rate Calculations'!$A$19:$Z$288,24,FALSE)</f>
        <v>128.47</v>
      </c>
      <c r="J22" s="20">
        <f>VLOOKUP($B$11:$B$46,'Constr. Wage Rate Calculations'!$A$19:$Z$288,25,FALSE)</f>
        <v>85</v>
      </c>
      <c r="K22" s="179">
        <f t="shared" si="0"/>
        <v>984.3599999999999</v>
      </c>
    </row>
    <row r="23" spans="1:13" ht="15" customHeight="1">
      <c r="A23" s="48"/>
      <c r="B23" s="49" t="str">
        <f>VLOOKUP($C$11:$C$46,Personnel!$A$1:$B$1234,2,FALSE)</f>
        <v>STRAW - LABOURER</v>
      </c>
      <c r="C23" s="36" t="s">
        <v>656</v>
      </c>
      <c r="D23" s="184">
        <v>8</v>
      </c>
      <c r="E23" s="179">
        <f>VLOOKUP($B$11:$B$46,'Constr. Wage Rate Calculations'!$A$19:$Z$288,22,FALSE)</f>
        <v>48.1</v>
      </c>
      <c r="F23" s="184">
        <v>5</v>
      </c>
      <c r="G23" s="179">
        <f>VLOOKUP($B$11:$B$46,'Constr. Wage Rate Calculations'!$A$19:$Z$288,23,FALSE)</f>
        <v>72.150000000000006</v>
      </c>
      <c r="H23" s="184"/>
      <c r="I23" s="179">
        <f>VLOOKUP($B$11:$B$46,'Constr. Wage Rate Calculations'!$A$19:$Z$288,24,FALSE)</f>
        <v>96.2</v>
      </c>
      <c r="J23" s="20">
        <f>VLOOKUP($B$11:$B$46,'Constr. Wage Rate Calculations'!$A$19:$Z$288,25,FALSE)</f>
        <v>85</v>
      </c>
      <c r="K23" s="179">
        <f t="shared" si="0"/>
        <v>830.55</v>
      </c>
      <c r="M23" s="1">
        <v>1</v>
      </c>
    </row>
    <row r="24" spans="1:13" ht="15" customHeight="1">
      <c r="A24" s="48"/>
      <c r="B24" s="49" t="str">
        <f>VLOOKUP($C$11:$C$46,Personnel!$A$1:$B$1234,2,FALSE)</f>
        <v>GENERAL LABOURER</v>
      </c>
      <c r="C24" s="36" t="s">
        <v>3463</v>
      </c>
      <c r="D24" s="184">
        <v>8</v>
      </c>
      <c r="E24" s="179">
        <f>VLOOKUP($B$11:$B$46,'Constr. Wage Rate Calculations'!$A$19:$Z$288,22,FALSE)</f>
        <v>48.1</v>
      </c>
      <c r="F24" s="184">
        <v>2</v>
      </c>
      <c r="G24" s="179">
        <f>VLOOKUP($B$11:$B$46,'Constr. Wage Rate Calculations'!$A$19:$Z$288,23,FALSE)</f>
        <v>72.150000000000006</v>
      </c>
      <c r="H24" s="184"/>
      <c r="I24" s="179">
        <f>VLOOKUP($B$11:$B$46,'Constr. Wage Rate Calculations'!$A$19:$Z$288,24,FALSE)</f>
        <v>96.2</v>
      </c>
      <c r="J24" s="20">
        <f>VLOOKUP($B$11:$B$46,'Constr. Wage Rate Calculations'!$A$19:$Z$288,25,FALSE)</f>
        <v>85</v>
      </c>
      <c r="K24" s="179">
        <f t="shared" si="0"/>
        <v>614.1</v>
      </c>
    </row>
    <row r="25" spans="1:13" ht="15" customHeight="1">
      <c r="A25" s="48"/>
      <c r="B25" s="49" t="str">
        <f>VLOOKUP($C$11:$C$46,Personnel!$A$1:$B$1234,2,FALSE)</f>
        <v>GENERAL LABOURER</v>
      </c>
      <c r="C25" s="36" t="s">
        <v>4123</v>
      </c>
      <c r="D25" s="184">
        <v>8</v>
      </c>
      <c r="E25" s="179">
        <f>VLOOKUP($B$11:$B$46,'Constr. Wage Rate Calculations'!$A$19:$Z$288,22,FALSE)</f>
        <v>48.1</v>
      </c>
      <c r="F25" s="184">
        <v>4</v>
      </c>
      <c r="G25" s="179">
        <f>VLOOKUP($B$11:$B$46,'Constr. Wage Rate Calculations'!$A$19:$Z$288,23,FALSE)</f>
        <v>72.150000000000006</v>
      </c>
      <c r="H25" s="184"/>
      <c r="I25" s="179">
        <f>VLOOKUP($B$11:$B$46,'Constr. Wage Rate Calculations'!$A$19:$Z$288,24,FALSE)</f>
        <v>96.2</v>
      </c>
      <c r="J25" s="20">
        <f>VLOOKUP($B$11:$B$46,'Constr. Wage Rate Calculations'!$A$19:$Z$288,25,FALSE)</f>
        <v>85</v>
      </c>
      <c r="K25" s="179">
        <f t="shared" si="0"/>
        <v>758.40000000000009</v>
      </c>
    </row>
    <row r="26" spans="1:13" ht="15" customHeight="1">
      <c r="A26" s="48"/>
      <c r="B26" s="49" t="str">
        <f>VLOOKUP($C$11:$C$46,Personnel!$A$1:$B$1234,2,FALSE)</f>
        <v>PRINCIPAL OPER 1</v>
      </c>
      <c r="C26" s="36" t="s">
        <v>4167</v>
      </c>
      <c r="D26" s="184">
        <v>8</v>
      </c>
      <c r="E26" s="179">
        <f>VLOOKUP($B$11:$B$46,'Constr. Wage Rate Calculations'!$A$19:$Z$288,22,FALSE)</f>
        <v>64.239999999999995</v>
      </c>
      <c r="F26" s="184">
        <v>4</v>
      </c>
      <c r="G26" s="179">
        <f>VLOOKUP($B$11:$B$46,'Constr. Wage Rate Calculations'!$A$19:$Z$288,23,FALSE)</f>
        <v>96.36</v>
      </c>
      <c r="H26" s="184"/>
      <c r="I26" s="179">
        <f>VLOOKUP($B$11:$B$46,'Constr. Wage Rate Calculations'!$A$19:$Z$288,24,FALSE)</f>
        <v>128.47</v>
      </c>
      <c r="J26" s="20">
        <f>VLOOKUP($B$11:$B$46,'Constr. Wage Rate Calculations'!$A$19:$Z$288,25,FALSE)</f>
        <v>85</v>
      </c>
      <c r="K26" s="179">
        <f t="shared" si="0"/>
        <v>984.3599999999999</v>
      </c>
    </row>
    <row r="27" spans="1:13" ht="15" customHeight="1">
      <c r="A27" s="48"/>
      <c r="B27" s="49" t="str">
        <f>VLOOKUP($C$11:$C$46,Personnel!$A$1:$B$1234,2,FALSE)</f>
        <v>GENERAL LABOURER</v>
      </c>
      <c r="C27" s="36" t="s">
        <v>1586</v>
      </c>
      <c r="D27" s="184">
        <v>8</v>
      </c>
      <c r="E27" s="179">
        <f>VLOOKUP($B$11:$B$46,'Constr. Wage Rate Calculations'!$A$19:$Z$288,22,FALSE)</f>
        <v>48.1</v>
      </c>
      <c r="F27" s="184">
        <v>4</v>
      </c>
      <c r="G27" s="179">
        <f>VLOOKUP($B$11:$B$46,'Constr. Wage Rate Calculations'!$A$19:$Z$288,23,FALSE)</f>
        <v>72.150000000000006</v>
      </c>
      <c r="H27" s="184"/>
      <c r="I27" s="179">
        <f>VLOOKUP($B$11:$B$46,'Constr. Wage Rate Calculations'!$A$19:$Z$288,24,FALSE)</f>
        <v>96.2</v>
      </c>
      <c r="J27" s="20">
        <f>VLOOKUP($B$11:$B$46,'Constr. Wage Rate Calculations'!$A$19:$Z$288,25,FALSE)</f>
        <v>85</v>
      </c>
      <c r="K27" s="179">
        <f t="shared" si="0"/>
        <v>758.40000000000009</v>
      </c>
    </row>
    <row r="28" spans="1:13" ht="15" customHeight="1">
      <c r="A28" s="48"/>
      <c r="B28" s="49" t="str">
        <f>VLOOKUP($C$11:$C$46,Personnel!$A$1:$B$1234,2,FALSE)</f>
        <v>PRINCIPAL OPER 1</v>
      </c>
      <c r="C28" s="36" t="s">
        <v>4096</v>
      </c>
      <c r="D28" s="184">
        <v>8</v>
      </c>
      <c r="E28" s="179">
        <f>VLOOKUP($B$11:$B$46,'Constr. Wage Rate Calculations'!$A$19:$Z$288,22,FALSE)</f>
        <v>64.239999999999995</v>
      </c>
      <c r="F28" s="184">
        <v>4</v>
      </c>
      <c r="G28" s="179">
        <f>VLOOKUP($B$11:$B$46,'Constr. Wage Rate Calculations'!$A$19:$Z$288,23,FALSE)</f>
        <v>96.36</v>
      </c>
      <c r="H28" s="184"/>
      <c r="I28" s="179">
        <f>VLOOKUP($B$11:$B$46,'Constr. Wage Rate Calculations'!$A$19:$Z$288,24,FALSE)</f>
        <v>128.47</v>
      </c>
      <c r="J28" s="20">
        <f>VLOOKUP($B$11:$B$46,'Constr. Wage Rate Calculations'!$A$19:$Z$288,25,FALSE)</f>
        <v>85</v>
      </c>
      <c r="K28" s="179">
        <f t="shared" si="0"/>
        <v>984.3599999999999</v>
      </c>
    </row>
    <row r="29" spans="1:13" ht="15" customHeight="1">
      <c r="A29" s="48"/>
      <c r="B29" s="49" t="str">
        <f>VLOOKUP($C$11:$C$46,Personnel!$A$1:$B$1234,2,FALSE)</f>
        <v>GENERAL FOREMAN</v>
      </c>
      <c r="C29" s="36" t="s">
        <v>668</v>
      </c>
      <c r="D29" s="184">
        <v>1</v>
      </c>
      <c r="E29" s="179">
        <f>VLOOKUP($B$11:$B$46,'Constr. Wage Rate Calculations'!$A$19:$Z$288,22,FALSE)</f>
        <v>1332.16</v>
      </c>
      <c r="F29" s="184">
        <v>9</v>
      </c>
      <c r="G29" s="179">
        <f>VLOOKUP($B$11:$B$46,'Constr. Wage Rate Calculations'!$A$19:$Z$288,23,FALSE)</f>
        <v>0</v>
      </c>
      <c r="H29" s="184"/>
      <c r="I29" s="179">
        <f>VLOOKUP($B$11:$B$46,'Constr. Wage Rate Calculations'!$A$19:$Z$288,24,FALSE)</f>
        <v>0</v>
      </c>
      <c r="J29" s="20">
        <f>VLOOKUP($B$11:$B$46,'Constr. Wage Rate Calculations'!$A$19:$Z$288,25,FALSE)</f>
        <v>230</v>
      </c>
      <c r="K29" s="179">
        <f t="shared" si="0"/>
        <v>1562.16</v>
      </c>
    </row>
    <row r="30" spans="1:13" ht="15" customHeight="1">
      <c r="A30" s="48"/>
      <c r="B30" s="49" t="str">
        <f>VLOOKUP($C$11:$C$46,Personnel!$A$1:$B$1234,2,FALSE)</f>
        <v>GENERAL LABOURER</v>
      </c>
      <c r="C30" s="36" t="s">
        <v>1598</v>
      </c>
      <c r="D30" s="184">
        <v>8</v>
      </c>
      <c r="E30" s="179">
        <f>VLOOKUP($B$11:$B$46,'Constr. Wage Rate Calculations'!$A$19:$Z$288,22,FALSE)</f>
        <v>48.1</v>
      </c>
      <c r="F30" s="184">
        <v>4</v>
      </c>
      <c r="G30" s="179">
        <f>VLOOKUP($B$11:$B$46,'Constr. Wage Rate Calculations'!$A$19:$Z$288,23,FALSE)</f>
        <v>72.150000000000006</v>
      </c>
      <c r="H30" s="184"/>
      <c r="I30" s="179">
        <f>VLOOKUP($B$11:$B$46,'Constr. Wage Rate Calculations'!$A$19:$Z$288,24,FALSE)</f>
        <v>96.2</v>
      </c>
      <c r="J30" s="20">
        <f>VLOOKUP($B$11:$B$46,'Constr. Wage Rate Calculations'!$A$19:$Z$288,25,FALSE)</f>
        <v>85</v>
      </c>
      <c r="K30" s="179">
        <f t="shared" si="0"/>
        <v>758.40000000000009</v>
      </c>
    </row>
    <row r="31" spans="1:13" ht="15" customHeight="1">
      <c r="A31" s="48"/>
      <c r="B31" s="49" t="str">
        <f>VLOOKUP($C$11:$C$46,Personnel!$A$1:$B$1234,2,FALSE)</f>
        <v>PRINCIPAL OPER 1</v>
      </c>
      <c r="C31" s="36" t="s">
        <v>4168</v>
      </c>
      <c r="D31" s="184">
        <v>8</v>
      </c>
      <c r="E31" s="179">
        <f>VLOOKUP($B$11:$B$46,'Constr. Wage Rate Calculations'!$A$19:$Z$288,22,FALSE)</f>
        <v>64.239999999999995</v>
      </c>
      <c r="F31" s="184">
        <v>4</v>
      </c>
      <c r="G31" s="179">
        <f>VLOOKUP($B$11:$B$46,'Constr. Wage Rate Calculations'!$A$19:$Z$288,23,FALSE)</f>
        <v>96.36</v>
      </c>
      <c r="H31" s="184"/>
      <c r="I31" s="179">
        <f>VLOOKUP($B$11:$B$46,'Constr. Wage Rate Calculations'!$A$19:$Z$288,24,FALSE)</f>
        <v>128.47</v>
      </c>
      <c r="J31" s="20">
        <f>VLOOKUP($B$11:$B$46,'Constr. Wage Rate Calculations'!$A$19:$Z$288,25,FALSE)</f>
        <v>85</v>
      </c>
      <c r="K31" s="179">
        <f t="shared" si="0"/>
        <v>984.3599999999999</v>
      </c>
    </row>
    <row r="32" spans="1:13" ht="15" customHeight="1">
      <c r="A32" s="48"/>
      <c r="B32" s="49" t="str">
        <f>VLOOKUP($C$11:$C$46,Personnel!$A$1:$B$1234,2,FALSE)</f>
        <v>GENERAL LABOURER</v>
      </c>
      <c r="C32" s="36" t="s">
        <v>2945</v>
      </c>
      <c r="D32" s="184">
        <v>8</v>
      </c>
      <c r="E32" s="179">
        <f>VLOOKUP($B$11:$B$46,'Constr. Wage Rate Calculations'!$A$19:$Z$288,22,FALSE)</f>
        <v>48.1</v>
      </c>
      <c r="F32" s="184">
        <v>4</v>
      </c>
      <c r="G32" s="179">
        <f>VLOOKUP($B$11:$B$46,'Constr. Wage Rate Calculations'!$A$19:$Z$288,23,FALSE)</f>
        <v>72.150000000000006</v>
      </c>
      <c r="H32" s="184"/>
      <c r="I32" s="179">
        <f>VLOOKUP($B$11:$B$46,'Constr. Wage Rate Calculations'!$A$19:$Z$288,24,FALSE)</f>
        <v>96.2</v>
      </c>
      <c r="J32" s="20">
        <f>VLOOKUP($B$11:$B$46,'Constr. Wage Rate Calculations'!$A$19:$Z$288,25,FALSE)</f>
        <v>85</v>
      </c>
      <c r="K32" s="179">
        <f t="shared" si="0"/>
        <v>758.40000000000009</v>
      </c>
    </row>
    <row r="33" spans="1:15" ht="15" customHeight="1">
      <c r="A33" s="48"/>
      <c r="B33" s="49" t="str">
        <f>VLOOKUP($C$11:$C$46,Personnel!$A$1:$B$1234,2,FALSE)</f>
        <v>PRINCIPAL OPER 1</v>
      </c>
      <c r="C33" s="36" t="s">
        <v>3495</v>
      </c>
      <c r="D33" s="184">
        <v>8</v>
      </c>
      <c r="E33" s="179">
        <f>VLOOKUP($B$11:$B$46,'Constr. Wage Rate Calculations'!$A$19:$Z$288,22,FALSE)</f>
        <v>64.239999999999995</v>
      </c>
      <c r="F33" s="184">
        <v>4</v>
      </c>
      <c r="G33" s="179">
        <f>VLOOKUP($B$11:$B$46,'Constr. Wage Rate Calculations'!$A$19:$Z$288,23,FALSE)</f>
        <v>96.36</v>
      </c>
      <c r="H33" s="184"/>
      <c r="I33" s="179">
        <f>VLOOKUP($B$11:$B$46,'Constr. Wage Rate Calculations'!$A$19:$Z$288,24,FALSE)</f>
        <v>128.47</v>
      </c>
      <c r="J33" s="20">
        <f>VLOOKUP($B$11:$B$46,'Constr. Wage Rate Calculations'!$A$19:$Z$288,25,FALSE)</f>
        <v>85</v>
      </c>
      <c r="K33" s="179">
        <f t="shared" si="0"/>
        <v>984.3599999999999</v>
      </c>
    </row>
    <row r="34" spans="1:15" ht="15" customHeight="1">
      <c r="A34" s="48"/>
      <c r="B34" s="49" t="str">
        <f>VLOOKUP($C$11:$C$46,Personnel!$A$1:$B$1234,2,FALSE)</f>
        <v>GENERAL LABOURER</v>
      </c>
      <c r="C34" s="36" t="s">
        <v>1442</v>
      </c>
      <c r="D34" s="184">
        <v>8</v>
      </c>
      <c r="E34" s="179">
        <f>VLOOKUP($B$11:$B$46,'Constr. Wage Rate Calculations'!$A$19:$Z$288,22,FALSE)</f>
        <v>48.1</v>
      </c>
      <c r="F34" s="184">
        <v>4</v>
      </c>
      <c r="G34" s="179">
        <f>VLOOKUP($B$11:$B$46,'Constr. Wage Rate Calculations'!$A$19:$Z$288,23,FALSE)</f>
        <v>72.150000000000006</v>
      </c>
      <c r="H34" s="184"/>
      <c r="I34" s="179">
        <f>VLOOKUP($B$11:$B$46,'Constr. Wage Rate Calculations'!$A$19:$Z$288,24,FALSE)</f>
        <v>96.2</v>
      </c>
      <c r="J34" s="20">
        <f>VLOOKUP($B$11:$B$46,'Constr. Wage Rate Calculations'!$A$19:$Z$288,25,FALSE)</f>
        <v>85</v>
      </c>
      <c r="K34" s="179">
        <f t="shared" si="0"/>
        <v>758.40000000000009</v>
      </c>
    </row>
    <row r="35" spans="1:15" ht="15" customHeight="1">
      <c r="A35" s="48"/>
      <c r="B35" s="49" t="str">
        <f>VLOOKUP($C$11:$C$46,Personnel!$A$1:$B$1234,2,FALSE)</f>
        <v>FLAT DECK &lt; 5 TON</v>
      </c>
      <c r="C35" s="36" t="s">
        <v>1041</v>
      </c>
      <c r="D35" s="184">
        <v>8</v>
      </c>
      <c r="E35" s="179">
        <f>VLOOKUP($B$11:$B$46,'Constr. Wage Rate Calculations'!$A$19:$Z$288,22,FALSE)</f>
        <v>59.79</v>
      </c>
      <c r="F35" s="184">
        <v>5</v>
      </c>
      <c r="G35" s="179">
        <f>VLOOKUP($B$11:$B$46,'Constr. Wage Rate Calculations'!$A$19:$Z$288,23,FALSE)</f>
        <v>89.69</v>
      </c>
      <c r="H35" s="184"/>
      <c r="I35" s="179">
        <f>VLOOKUP($B$11:$B$46,'Constr. Wage Rate Calculations'!$A$19:$Z$288,24,FALSE)</f>
        <v>119.58</v>
      </c>
      <c r="J35" s="20">
        <f>VLOOKUP($B$11:$B$46,'Constr. Wage Rate Calculations'!$A$19:$Z$288,25,FALSE)</f>
        <v>85</v>
      </c>
      <c r="K35" s="179">
        <f t="shared" si="0"/>
        <v>1011.77</v>
      </c>
      <c r="M35" s="1">
        <v>1</v>
      </c>
    </row>
    <row r="36" spans="1:15" ht="15" customHeight="1">
      <c r="A36" s="48"/>
      <c r="B36" s="49" t="str">
        <f>VLOOKUP($C$11:$C$46,Personnel!$A$1:$B$1234,2,FALSE)</f>
        <v>GENERAL LABOURER</v>
      </c>
      <c r="C36" s="36" t="s">
        <v>4201</v>
      </c>
      <c r="D36" s="184">
        <v>8</v>
      </c>
      <c r="E36" s="179">
        <f>VLOOKUP($B$11:$B$46,'Constr. Wage Rate Calculations'!$A$19:$Z$288,22,FALSE)</f>
        <v>48.1</v>
      </c>
      <c r="F36" s="184">
        <v>4</v>
      </c>
      <c r="G36" s="179">
        <f>VLOOKUP($B$11:$B$46,'Constr. Wage Rate Calculations'!$A$19:$Z$288,23,FALSE)</f>
        <v>72.150000000000006</v>
      </c>
      <c r="H36" s="184"/>
      <c r="I36" s="179">
        <f>VLOOKUP($B$11:$B$46,'Constr. Wage Rate Calculations'!$A$19:$Z$288,24,FALSE)</f>
        <v>96.2</v>
      </c>
      <c r="J36" s="20">
        <f>VLOOKUP($B$11:$B$46,'Constr. Wage Rate Calculations'!$A$19:$Z$288,25,FALSE)</f>
        <v>85</v>
      </c>
      <c r="K36" s="179">
        <f t="shared" si="0"/>
        <v>758.40000000000009</v>
      </c>
    </row>
    <row r="37" spans="1:15" ht="15" customHeight="1">
      <c r="A37" s="48"/>
      <c r="B37" s="49" t="str">
        <f>VLOOKUP($C$11:$C$46,Personnel!$A$1:$B$1234,2,FALSE)</f>
        <v>GENERAL LABOURER</v>
      </c>
      <c r="C37" s="36" t="s">
        <v>2946</v>
      </c>
      <c r="D37" s="184">
        <v>8</v>
      </c>
      <c r="E37" s="179">
        <f>VLOOKUP($B$11:$B$46,'Constr. Wage Rate Calculations'!$A$19:$Z$288,22,FALSE)</f>
        <v>48.1</v>
      </c>
      <c r="F37" s="184">
        <v>4</v>
      </c>
      <c r="G37" s="179">
        <f>VLOOKUP($B$11:$B$46,'Constr. Wage Rate Calculations'!$A$19:$Z$288,23,FALSE)</f>
        <v>72.150000000000006</v>
      </c>
      <c r="H37" s="184"/>
      <c r="I37" s="179">
        <f>VLOOKUP($B$11:$B$46,'Constr. Wage Rate Calculations'!$A$19:$Z$288,24,FALSE)</f>
        <v>96.2</v>
      </c>
      <c r="J37" s="20">
        <f>VLOOKUP($B$11:$B$46,'Constr. Wage Rate Calculations'!$A$19:$Z$288,25,FALSE)</f>
        <v>85</v>
      </c>
      <c r="K37" s="179">
        <f t="shared" si="0"/>
        <v>758.40000000000009</v>
      </c>
    </row>
    <row r="38" spans="1:15" ht="15" customHeight="1">
      <c r="A38" s="48"/>
      <c r="B38" s="49" t="str">
        <f>VLOOKUP($C$11:$C$46,Personnel!$A$1:$B$1234,2,FALSE)</f>
        <v>SPEC LABOUR (CARPENTER, ETC.)</v>
      </c>
      <c r="C38" s="36" t="s">
        <v>2407</v>
      </c>
      <c r="D38" s="184">
        <v>8</v>
      </c>
      <c r="E38" s="179">
        <f>VLOOKUP($B$11:$B$46,'Constr. Wage Rate Calculations'!$A$19:$Z$288,22,FALSE)</f>
        <v>49.84</v>
      </c>
      <c r="F38" s="184">
        <v>5</v>
      </c>
      <c r="G38" s="179">
        <f>VLOOKUP($B$11:$B$46,'Constr. Wage Rate Calculations'!$A$19:$Z$288,23,FALSE)</f>
        <v>74.75</v>
      </c>
      <c r="H38" s="184"/>
      <c r="I38" s="179">
        <f>VLOOKUP($B$11:$B$46,'Constr. Wage Rate Calculations'!$A$19:$Z$288,24,FALSE)</f>
        <v>99.67</v>
      </c>
      <c r="J38" s="20">
        <f>VLOOKUP($B$11:$B$46,'Constr. Wage Rate Calculations'!$A$19:$Z$288,25,FALSE)</f>
        <v>85</v>
      </c>
      <c r="K38" s="179">
        <f t="shared" si="0"/>
        <v>857.47</v>
      </c>
      <c r="M38" s="1">
        <v>1</v>
      </c>
    </row>
    <row r="39" spans="1:15" ht="15" customHeight="1">
      <c r="A39" s="48"/>
      <c r="B39" s="49" t="str">
        <f>VLOOKUP($C$11:$C$46,Personnel!$A$1:$B$1234,2,FALSE)</f>
        <v>QUALITY CONTROL TECHNICIAN</v>
      </c>
      <c r="C39" s="36" t="s">
        <v>1505</v>
      </c>
      <c r="D39" s="184">
        <v>1</v>
      </c>
      <c r="E39" s="179">
        <f>VLOOKUP($B$11:$B$46,'Constr. Wage Rate Calculations'!$A$19:$Z$288,22,FALSE)</f>
        <v>1186.32</v>
      </c>
      <c r="F39" s="184">
        <v>9</v>
      </c>
      <c r="G39" s="179">
        <f>VLOOKUP($B$11:$B$46,'Constr. Wage Rate Calculations'!$A$19:$Z$288,23,FALSE)</f>
        <v>0</v>
      </c>
      <c r="H39" s="184"/>
      <c r="I39" s="179">
        <f>VLOOKUP($B$11:$B$46,'Constr. Wage Rate Calculations'!$A$19:$Z$288,24,FALSE)</f>
        <v>0</v>
      </c>
      <c r="J39" s="20">
        <f>VLOOKUP($B$11:$B$46,'Constr. Wage Rate Calculations'!$A$19:$Z$288,25,FALSE)</f>
        <v>230</v>
      </c>
      <c r="K39" s="179">
        <f t="shared" si="0"/>
        <v>1416.32</v>
      </c>
    </row>
    <row r="40" spans="1:15" ht="15" customHeight="1">
      <c r="A40" s="48"/>
      <c r="B40" s="49" t="str">
        <f>VLOOKUP($C$11:$C$46,Personnel!$A$1:$B$1234,2,FALSE)</f>
        <v>GENERAL LABOURER</v>
      </c>
      <c r="C40" s="36" t="s">
        <v>1371</v>
      </c>
      <c r="D40" s="184">
        <v>8</v>
      </c>
      <c r="E40" s="179">
        <f>VLOOKUP($B$11:$B$46,'Constr. Wage Rate Calculations'!$A$19:$Z$288,22,FALSE)</f>
        <v>48.1</v>
      </c>
      <c r="F40" s="184">
        <v>4</v>
      </c>
      <c r="G40" s="179">
        <f>VLOOKUP($B$11:$B$46,'Constr. Wage Rate Calculations'!$A$19:$Z$288,23,FALSE)</f>
        <v>72.150000000000006</v>
      </c>
      <c r="H40" s="184"/>
      <c r="I40" s="179">
        <f>VLOOKUP($B$11:$B$46,'Constr. Wage Rate Calculations'!$A$19:$Z$288,24,FALSE)</f>
        <v>96.2</v>
      </c>
      <c r="J40" s="20">
        <f>VLOOKUP($B$11:$B$46,'Constr. Wage Rate Calculations'!$A$19:$Z$288,25,FALSE)</f>
        <v>85</v>
      </c>
      <c r="K40" s="179">
        <f t="shared" si="0"/>
        <v>758.40000000000009</v>
      </c>
    </row>
    <row r="41" spans="1:15" ht="15" customHeight="1">
      <c r="A41" s="48"/>
      <c r="B41" s="49" t="str">
        <f>VLOOKUP($C$11:$C$46,Personnel!$A$1:$B$1234,2,FALSE)</f>
        <v>SPEC LABOUR (CARPENTER, ETC.)</v>
      </c>
      <c r="C41" s="36" t="s">
        <v>3059</v>
      </c>
      <c r="D41" s="184">
        <v>8</v>
      </c>
      <c r="E41" s="179">
        <f>VLOOKUP($B$11:$B$46,'Constr. Wage Rate Calculations'!$A$19:$Z$288,22,FALSE)</f>
        <v>49.84</v>
      </c>
      <c r="F41" s="184">
        <v>4</v>
      </c>
      <c r="G41" s="179">
        <f>VLOOKUP($B$11:$B$46,'Constr. Wage Rate Calculations'!$A$19:$Z$288,23,FALSE)</f>
        <v>74.75</v>
      </c>
      <c r="H41" s="184"/>
      <c r="I41" s="179">
        <f>VLOOKUP($B$11:$B$46,'Constr. Wage Rate Calculations'!$A$19:$Z$288,24,FALSE)</f>
        <v>99.67</v>
      </c>
      <c r="J41" s="20">
        <f>VLOOKUP($B$11:$B$46,'Constr. Wage Rate Calculations'!$A$19:$Z$288,25,FALSE)</f>
        <v>85</v>
      </c>
      <c r="K41" s="179">
        <f t="shared" si="0"/>
        <v>782.72</v>
      </c>
    </row>
    <row r="42" spans="1:15" ht="15" customHeight="1">
      <c r="A42" s="48"/>
      <c r="B42" s="49" t="str">
        <f>VLOOKUP($C$11:$C$46,Personnel!$A$1:$B$1234,2,FALSE)</f>
        <v>SPEC LABOUR (CARPENTER, ETC.)</v>
      </c>
      <c r="C42" s="36" t="s">
        <v>2087</v>
      </c>
      <c r="D42" s="184">
        <v>8</v>
      </c>
      <c r="E42" s="179">
        <f>VLOOKUP($B$11:$B$46,'Constr. Wage Rate Calculations'!$A$19:$Z$288,22,FALSE)</f>
        <v>49.84</v>
      </c>
      <c r="F42" s="184">
        <v>5</v>
      </c>
      <c r="G42" s="179">
        <f>VLOOKUP($B$11:$B$46,'Constr. Wage Rate Calculations'!$A$19:$Z$288,23,FALSE)</f>
        <v>74.75</v>
      </c>
      <c r="H42" s="184"/>
      <c r="I42" s="179">
        <f>VLOOKUP($B$11:$B$46,'Constr. Wage Rate Calculations'!$A$19:$Z$288,24,FALSE)</f>
        <v>99.67</v>
      </c>
      <c r="J42" s="20">
        <f>VLOOKUP($B$11:$B$46,'Constr. Wage Rate Calculations'!$A$19:$Z$288,25,FALSE)</f>
        <v>85</v>
      </c>
      <c r="K42" s="179">
        <f t="shared" si="0"/>
        <v>857.47</v>
      </c>
      <c r="M42" s="1">
        <v>1</v>
      </c>
    </row>
    <row r="43" spans="1:15" ht="15" customHeight="1">
      <c r="A43" s="48"/>
      <c r="B43" s="49" t="str">
        <f>VLOOKUP($C$11:$C$46,Personnel!$A$1:$B$1234,2,FALSE)</f>
        <v>PRINCIPAL OPER 1</v>
      </c>
      <c r="C43" s="36" t="s">
        <v>3467</v>
      </c>
      <c r="D43" s="184">
        <v>8</v>
      </c>
      <c r="E43" s="179">
        <f>VLOOKUP($B$11:$B$46,'Constr. Wage Rate Calculations'!$A$19:$Z$288,22,FALSE)</f>
        <v>64.239999999999995</v>
      </c>
      <c r="F43" s="184">
        <v>4</v>
      </c>
      <c r="G43" s="179">
        <f>VLOOKUP($B$11:$B$46,'Constr. Wage Rate Calculations'!$A$19:$Z$288,23,FALSE)</f>
        <v>96.36</v>
      </c>
      <c r="H43" s="184"/>
      <c r="I43" s="179">
        <f>VLOOKUP($B$11:$B$46,'Constr. Wage Rate Calculations'!$A$19:$Z$288,24,FALSE)</f>
        <v>128.47</v>
      </c>
      <c r="J43" s="20">
        <f>VLOOKUP($B$11:$B$46,'Constr. Wage Rate Calculations'!$A$19:$Z$288,25,FALSE)</f>
        <v>85</v>
      </c>
      <c r="K43" s="179">
        <f t="shared" si="0"/>
        <v>984.3599999999999</v>
      </c>
    </row>
    <row r="44" spans="1:15" ht="15" customHeight="1">
      <c r="A44" s="48"/>
      <c r="B44" s="49" t="str">
        <f>VLOOKUP($C$11:$C$46,Personnel!$A$1:$B$1234,2,FALSE)</f>
        <v>SPEC LABOUR (CARPENTER, ETC.)</v>
      </c>
      <c r="C44" s="36" t="s">
        <v>4050</v>
      </c>
      <c r="D44" s="184">
        <v>8</v>
      </c>
      <c r="E44" s="179">
        <f>VLOOKUP($B$11:$B$46,'Constr. Wage Rate Calculations'!$A$19:$Z$288,22,FALSE)</f>
        <v>49.84</v>
      </c>
      <c r="F44" s="184">
        <v>5</v>
      </c>
      <c r="G44" s="179">
        <f>VLOOKUP($B$11:$B$46,'Constr. Wage Rate Calculations'!$A$19:$Z$288,23,FALSE)</f>
        <v>74.75</v>
      </c>
      <c r="H44" s="184"/>
      <c r="I44" s="179">
        <f>VLOOKUP($B$11:$B$46,'Constr. Wage Rate Calculations'!$A$19:$Z$288,24,FALSE)</f>
        <v>99.67</v>
      </c>
      <c r="J44" s="20">
        <f>VLOOKUP($B$11:$B$46,'Constr. Wage Rate Calculations'!$A$19:$Z$288,25,FALSE)</f>
        <v>85</v>
      </c>
      <c r="K44" s="179">
        <f t="shared" si="0"/>
        <v>857.47</v>
      </c>
      <c r="M44" s="1">
        <v>1</v>
      </c>
    </row>
    <row r="45" spans="1:15" ht="15" customHeight="1">
      <c r="A45" s="48"/>
      <c r="B45" s="49" t="str">
        <f>VLOOKUP($C$11:$C$46,Personnel!$A$1:$B$1234,2,FALSE)</f>
        <v>GENERAL LABOURER</v>
      </c>
      <c r="C45" s="36" t="s">
        <v>3474</v>
      </c>
      <c r="D45" s="184">
        <v>8</v>
      </c>
      <c r="E45" s="179">
        <f>VLOOKUP($B$11:$B$46,'Constr. Wage Rate Calculations'!$A$19:$Z$288,22,FALSE)</f>
        <v>48.1</v>
      </c>
      <c r="F45" s="184">
        <v>4</v>
      </c>
      <c r="G45" s="179">
        <f>VLOOKUP($B$11:$B$46,'Constr. Wage Rate Calculations'!$A$19:$Z$288,23,FALSE)</f>
        <v>72.150000000000006</v>
      </c>
      <c r="H45" s="184"/>
      <c r="I45" s="179">
        <f>VLOOKUP($B$11:$B$46,'Constr. Wage Rate Calculations'!$A$19:$Z$288,24,FALSE)</f>
        <v>96.2</v>
      </c>
      <c r="J45" s="20">
        <f>VLOOKUP($B$11:$B$46,'Constr. Wage Rate Calculations'!$A$19:$Z$288,25,FALSE)</f>
        <v>85</v>
      </c>
      <c r="K45" s="179">
        <f t="shared" si="0"/>
        <v>758.40000000000009</v>
      </c>
    </row>
    <row r="46" spans="1:15" ht="15" customHeight="1" thickBot="1">
      <c r="A46" s="48"/>
      <c r="B46" s="49">
        <f>VLOOKUP($C$11:$C$46,Personnel!$A$1:$B$1234,2,FALSE)</f>
        <v>0</v>
      </c>
      <c r="C46" s="36"/>
      <c r="D46" s="184"/>
      <c r="E46" s="179">
        <f>VLOOKUP($B$11:$B$46,'Constr. Wage Rate Calculations'!$A$19:$Z$288,22,FALSE)</f>
        <v>0</v>
      </c>
      <c r="F46" s="184"/>
      <c r="G46" s="179">
        <f>VLOOKUP($B$11:$B$46,'Constr. Wage Rate Calculations'!$A$19:$Z$288,23,FALSE)</f>
        <v>0</v>
      </c>
      <c r="H46" s="184"/>
      <c r="I46" s="179">
        <f>VLOOKUP($B$11:$B$46,'Constr. Wage Rate Calculations'!$A$19:$Z$288,24,FALSE)</f>
        <v>0</v>
      </c>
      <c r="J46" s="20">
        <f>VLOOKUP($B$11:$B$46,'Constr. Wage Rate Calculations'!$A$19:$Z$288,25,FALSE)</f>
        <v>0</v>
      </c>
      <c r="K46" s="179" t="str">
        <f t="shared" si="0"/>
        <v/>
      </c>
      <c r="M46" s="1">
        <f>SUM(M11:M44)</f>
        <v>6</v>
      </c>
    </row>
    <row r="47" spans="1:15" ht="15" customHeight="1" thickBot="1">
      <c r="A47"/>
      <c r="B47"/>
      <c r="C47"/>
      <c r="D47" s="21">
        <f>SUM(D12:D45)</f>
        <v>251</v>
      </c>
      <c r="E47" s="21"/>
      <c r="F47" s="21">
        <f>SUM(F12:F45)</f>
        <v>155</v>
      </c>
      <c r="G47" s="21"/>
      <c r="H47" s="21"/>
      <c r="I47" s="360" t="s">
        <v>18</v>
      </c>
      <c r="J47" s="361"/>
      <c r="K47" s="183">
        <f>SUM(K11:K46)</f>
        <v>30339.020000000015</v>
      </c>
      <c r="M47" s="1">
        <f>SUMIFS(D11:D46,D11:D46,"&lt;3",D11:D46,"&lt;5")</f>
        <v>3</v>
      </c>
      <c r="N47" s="1">
        <f>SUMIFS(D11:D46,D11:D46,"&gt;3",D11:D46,"&gt;5")</f>
        <v>248</v>
      </c>
      <c r="O47" s="1">
        <f>SUM(F11:F46,H11:H46,M47,N47)-M46</f>
        <v>400</v>
      </c>
    </row>
    <row r="48" spans="1:15" ht="10" customHeight="1" thickBot="1"/>
    <row r="49" spans="1:11" s="19" customFormat="1" ht="15" customHeight="1" thickBot="1">
      <c r="A49" s="22" t="s">
        <v>19</v>
      </c>
      <c r="B49" s="23" t="s">
        <v>20</v>
      </c>
      <c r="C49" s="23"/>
      <c r="D49" s="23"/>
      <c r="E49" s="23"/>
      <c r="F49" s="23"/>
      <c r="G49" s="23"/>
      <c r="H49" s="18" t="s">
        <v>21</v>
      </c>
      <c r="I49" s="18" t="s">
        <v>22</v>
      </c>
      <c r="J49" s="18" t="s">
        <v>23</v>
      </c>
      <c r="K49" s="18" t="s">
        <v>17</v>
      </c>
    </row>
    <row r="50" spans="1:11" ht="15" customHeight="1">
      <c r="A50" s="43"/>
      <c r="B50" s="49">
        <f>VLOOKUP($C$50:$C$77,Equipment!$A$1:$B$2322,2,FALSE)</f>
        <v>0</v>
      </c>
      <c r="C50" s="24"/>
      <c r="D50" s="24"/>
      <c r="E50" s="24"/>
      <c r="F50" s="24"/>
      <c r="G50" s="24"/>
      <c r="H50" s="185"/>
      <c r="I50" s="184"/>
      <c r="J50" s="42">
        <f>VLOOKUP($B$50:$B$77,'Alberta Equip. Rates Year 3'!$B$13:$K$314,10,FALSE)</f>
        <v>0</v>
      </c>
      <c r="K50" s="181">
        <f t="shared" ref="K50:K64" si="1">(H50+I50)*J50</f>
        <v>0</v>
      </c>
    </row>
    <row r="51" spans="1:11" ht="15" customHeight="1">
      <c r="A51" s="43"/>
      <c r="B51" s="49">
        <f>VLOOKUP($C$50:$C$77,Equipment!$A$1:$B$2322,2,FALSE)</f>
        <v>0</v>
      </c>
      <c r="C51" s="24"/>
      <c r="D51" s="24"/>
      <c r="E51" s="24"/>
      <c r="F51" s="24"/>
      <c r="G51" s="24"/>
      <c r="H51" s="185">
        <v>1</v>
      </c>
      <c r="I51" s="184"/>
      <c r="J51" s="42">
        <f>VLOOKUP($B$50:$B$77,'Alberta Equip. Rates Year 3'!$B$13:$K$314,10,FALSE)</f>
        <v>0</v>
      </c>
      <c r="K51" s="181">
        <f t="shared" si="1"/>
        <v>0</v>
      </c>
    </row>
    <row r="52" spans="1:11" ht="15" customHeight="1">
      <c r="A52" s="43"/>
      <c r="B52" s="49">
        <f>VLOOKUP($C$50:$C$77,Equipment!$A$1:$B$2322,2,FALSE)</f>
        <v>0</v>
      </c>
      <c r="C52" s="24"/>
      <c r="D52" s="24"/>
      <c r="E52" s="24"/>
      <c r="F52" s="24"/>
      <c r="G52" s="24"/>
      <c r="H52" s="185">
        <v>1</v>
      </c>
      <c r="I52" s="184"/>
      <c r="J52" s="42">
        <f>VLOOKUP($B$50:$B$77,'Alberta Equip. Rates Year 3'!$B$13:$K$314,10,FALSE)</f>
        <v>0</v>
      </c>
      <c r="K52" s="181">
        <f t="shared" si="1"/>
        <v>0</v>
      </c>
    </row>
    <row r="53" spans="1:11" ht="15" customHeight="1">
      <c r="A53" s="43"/>
      <c r="B53" s="49" t="str">
        <f>VLOOKUP($C$50:$C$77,Equipment!$A$1:$B$2322,2,FALSE)</f>
        <v>Bus</v>
      </c>
      <c r="C53" s="24" t="s">
        <v>1879</v>
      </c>
      <c r="D53" s="24"/>
      <c r="E53" s="24"/>
      <c r="F53" s="24"/>
      <c r="G53" s="24"/>
      <c r="H53" s="185">
        <v>1</v>
      </c>
      <c r="I53" s="184"/>
      <c r="J53" s="42">
        <f>VLOOKUP($B$50:$B$77,'Alberta Equip. Rates Year 3'!$B$13:$K$314,10,FALSE)</f>
        <v>254</v>
      </c>
      <c r="K53" s="181">
        <f t="shared" ref="K53" si="2">(H53+I53)*J53</f>
        <v>254</v>
      </c>
    </row>
    <row r="54" spans="1:11" ht="15" customHeight="1">
      <c r="A54" s="43"/>
      <c r="B54" s="49" t="str">
        <f>VLOOKUP($C$50:$C$77,Equipment!$A$1:$B$2322,2,FALSE)</f>
        <v>Coating Pre-Heat Generator &amp; Coil</v>
      </c>
      <c r="C54" s="24" t="s">
        <v>4137</v>
      </c>
      <c r="D54" s="24"/>
      <c r="E54" s="24"/>
      <c r="F54" s="24"/>
      <c r="G54" s="24"/>
      <c r="H54" s="185">
        <v>1</v>
      </c>
      <c r="I54" s="184"/>
      <c r="J54" s="42">
        <f>VLOOKUP($B$50:$B$77,'Alberta Equip. Rates Year 3'!$B$13:$K$314,10,FALSE)</f>
        <v>1016</v>
      </c>
      <c r="K54" s="181">
        <f t="shared" ref="K54" si="3">(H54+I54)*J54</f>
        <v>1016</v>
      </c>
    </row>
    <row r="55" spans="1:11" ht="15" customHeight="1">
      <c r="A55" s="43"/>
      <c r="B55" s="49" t="str">
        <f>VLOOKUP($C$50:$C$77,Equipment!$A$1:$B$2322,2,FALSE)</f>
        <v>Coating Pre-Heat Generator &amp; Coil</v>
      </c>
      <c r="C55" s="24" t="s">
        <v>4138</v>
      </c>
      <c r="D55" s="24"/>
      <c r="E55" s="24"/>
      <c r="F55" s="24"/>
      <c r="G55" s="24"/>
      <c r="H55" s="185">
        <v>1</v>
      </c>
      <c r="I55" s="184"/>
      <c r="J55" s="42">
        <f>VLOOKUP($B$50:$B$77,'Alberta Equip. Rates Year 3'!$B$13:$K$314,10,FALSE)</f>
        <v>1016</v>
      </c>
      <c r="K55" s="181">
        <f t="shared" si="1"/>
        <v>1016</v>
      </c>
    </row>
    <row r="56" spans="1:11" ht="15" customHeight="1">
      <c r="A56" s="43"/>
      <c r="B56" s="49" t="str">
        <f>VLOOKUP($C$50:$C$77,Equipment!$A$1:$B$2322,2,FALSE)</f>
        <v>Coating Pre-Heat Generator &amp; Coil</v>
      </c>
      <c r="C56" s="24" t="s">
        <v>4202</v>
      </c>
      <c r="D56" s="24"/>
      <c r="E56" s="24"/>
      <c r="F56" s="24"/>
      <c r="G56" s="24"/>
      <c r="H56" s="185">
        <v>1</v>
      </c>
      <c r="I56" s="184"/>
      <c r="J56" s="42">
        <f>VLOOKUP($B$50:$B$77,'Alberta Equip. Rates Year 3'!$B$13:$K$314,10,FALSE)</f>
        <v>1016</v>
      </c>
      <c r="K56" s="181">
        <f>(H56+I56)*J56</f>
        <v>1016</v>
      </c>
    </row>
    <row r="57" spans="1:11" ht="15" customHeight="1">
      <c r="A57" s="43"/>
      <c r="B57" s="49" t="str">
        <f>VLOOKUP($C$50:$C$77,Equipment!$A$1:$B$2322,2,FALSE)</f>
        <v>Crewcab - 1 Ton</v>
      </c>
      <c r="C57" s="24" t="s">
        <v>1796</v>
      </c>
      <c r="D57" s="24"/>
      <c r="E57" s="24"/>
      <c r="F57" s="24"/>
      <c r="G57" s="24"/>
      <c r="H57" s="185">
        <v>1</v>
      </c>
      <c r="I57" s="184"/>
      <c r="J57" s="42">
        <f>VLOOKUP($B$50:$B$77,'Alberta Equip. Rates Year 3'!$B$13:$K$314,10,FALSE)</f>
        <v>163</v>
      </c>
      <c r="K57" s="181">
        <f t="shared" si="1"/>
        <v>163</v>
      </c>
    </row>
    <row r="58" spans="1:11" ht="15" customHeight="1">
      <c r="A58" s="43"/>
      <c r="B58" s="49" t="str">
        <f>VLOOKUP($C$50:$C$77,Equipment!$A$1:$B$2322,2,FALSE)</f>
        <v>Crewcab - 1 Ton</v>
      </c>
      <c r="C58" s="24" t="s">
        <v>4099</v>
      </c>
      <c r="D58" s="24"/>
      <c r="E58" s="24"/>
      <c r="F58" s="24"/>
      <c r="G58" s="24"/>
      <c r="H58" s="185">
        <v>1</v>
      </c>
      <c r="I58" s="184"/>
      <c r="J58" s="42">
        <f>VLOOKUP($B$50:$B$77,'Alberta Equip. Rates Year 3'!$B$13:$K$314,10,FALSE)</f>
        <v>163</v>
      </c>
      <c r="K58" s="181">
        <f t="shared" si="1"/>
        <v>163</v>
      </c>
    </row>
    <row r="59" spans="1:11" ht="15" customHeight="1">
      <c r="A59" s="43"/>
      <c r="B59" s="49" t="str">
        <f>VLOOKUP($C$50:$C$77,Equipment!$A$1:$B$2322,2,FALSE)</f>
        <v>Crewcab - 3/4 Ton</v>
      </c>
      <c r="C59" s="24" t="s">
        <v>1923</v>
      </c>
      <c r="D59" s="24"/>
      <c r="E59" s="24"/>
      <c r="F59" s="24"/>
      <c r="G59" s="24"/>
      <c r="H59" s="185">
        <v>1</v>
      </c>
      <c r="I59" s="184"/>
      <c r="J59" s="42">
        <f>VLOOKUP($B$50:$B$77,'Alberta Equip. Rates Year 3'!$B$13:$K$314,10,FALSE)</f>
        <v>153</v>
      </c>
      <c r="K59" s="181">
        <f t="shared" si="1"/>
        <v>153</v>
      </c>
    </row>
    <row r="60" spans="1:11" ht="15" customHeight="1">
      <c r="A60" s="43"/>
      <c r="B60" s="49" t="str">
        <f>VLOOKUP($C$50:$C$77,Equipment!$A$1:$B$2322,2,FALSE)</f>
        <v>Crewcab - 3/4 Ton</v>
      </c>
      <c r="C60" s="24" t="s">
        <v>4020</v>
      </c>
      <c r="D60" s="24"/>
      <c r="E60" s="24"/>
      <c r="F60" s="24"/>
      <c r="G60" s="24"/>
      <c r="H60" s="185">
        <v>1</v>
      </c>
      <c r="I60" s="184"/>
      <c r="J60" s="42">
        <f>VLOOKUP($B$50:$B$77,'Alberta Equip. Rates Year 3'!$B$13:$K$314,10,FALSE)</f>
        <v>153</v>
      </c>
      <c r="K60" s="181">
        <f t="shared" si="1"/>
        <v>153</v>
      </c>
    </row>
    <row r="61" spans="1:11" ht="15" customHeight="1">
      <c r="A61" s="43"/>
      <c r="B61" s="49" t="str">
        <f>VLOOKUP($C$50:$C$77,Equipment!$A$1:$B$2322,2,FALSE)</f>
        <v>Flatdeck - 1 Ton</v>
      </c>
      <c r="C61" s="24" t="s">
        <v>857</v>
      </c>
      <c r="D61" s="24"/>
      <c r="E61" s="24"/>
      <c r="F61" s="24"/>
      <c r="G61" s="24"/>
      <c r="H61" s="185">
        <v>1</v>
      </c>
      <c r="I61" s="184"/>
      <c r="J61" s="42">
        <f>VLOOKUP($B$50:$B$77,'Alberta Equip. Rates Year 3'!$B$13:$K$314,10,FALSE)</f>
        <v>153</v>
      </c>
      <c r="K61" s="181">
        <f t="shared" ref="K61" si="4">(H61+I61)*J61</f>
        <v>153</v>
      </c>
    </row>
    <row r="62" spans="1:11" ht="15" customHeight="1">
      <c r="A62" s="43"/>
      <c r="B62" s="49" t="str">
        <f>VLOOKUP($C$50:$C$77,Equipment!$A$1:$B$2322,2,FALSE)</f>
        <v>Light Tower  - 6 kW</v>
      </c>
      <c r="C62" s="24" t="s">
        <v>4067</v>
      </c>
      <c r="D62" s="24"/>
      <c r="E62" s="24"/>
      <c r="F62" s="24"/>
      <c r="G62" s="24"/>
      <c r="H62" s="185">
        <v>1</v>
      </c>
      <c r="I62" s="184"/>
      <c r="J62" s="42">
        <f>VLOOKUP($B$50:$B$77,'Alberta Equip. Rates Year 3'!$B$13:$K$314,10,FALSE)</f>
        <v>212</v>
      </c>
      <c r="K62" s="181">
        <f t="shared" si="1"/>
        <v>212</v>
      </c>
    </row>
    <row r="63" spans="1:11" ht="15" customHeight="1">
      <c r="A63" s="43"/>
      <c r="B63" s="49" t="str">
        <f>VLOOKUP($C$50:$C$77,Equipment!$A$1:$B$2322,2,FALSE)</f>
        <v>Mainline Sandblast Unit - Dual Sandblast Units c/w Compressor, Pots</v>
      </c>
      <c r="C63" s="24" t="s">
        <v>974</v>
      </c>
      <c r="D63" s="24"/>
      <c r="E63" s="24"/>
      <c r="F63" s="24"/>
      <c r="G63" s="24"/>
      <c r="H63" s="185">
        <v>1</v>
      </c>
      <c r="I63" s="184"/>
      <c r="J63" s="42">
        <f>VLOOKUP($B$50:$B$77,'Alberta Equip. Rates Year 3'!$B$13:$K$314,10,FALSE)</f>
        <v>736</v>
      </c>
      <c r="K63" s="181">
        <f t="shared" si="1"/>
        <v>736</v>
      </c>
    </row>
    <row r="64" spans="1:11" ht="15" customHeight="1">
      <c r="A64" s="43"/>
      <c r="B64" s="49" t="str">
        <f>VLOOKUP($C$50:$C$77,Equipment!$A$1:$B$2322,2,FALSE)</f>
        <v>Picker Truck - 8 Ton</v>
      </c>
      <c r="C64" s="24" t="s">
        <v>4125</v>
      </c>
      <c r="D64" s="24"/>
      <c r="E64" s="24"/>
      <c r="F64" s="24"/>
      <c r="G64" s="24"/>
      <c r="H64" s="185">
        <v>1</v>
      </c>
      <c r="I64" s="184"/>
      <c r="J64" s="42">
        <f>VLOOKUP($B$50:$B$77,'Alberta Equip. Rates Year 3'!$B$13:$K$314,10,FALSE)</f>
        <v>307</v>
      </c>
      <c r="K64" s="181">
        <f t="shared" si="1"/>
        <v>307</v>
      </c>
    </row>
    <row r="65" spans="1:11" ht="15" customHeight="1">
      <c r="A65" s="43"/>
      <c r="B65" s="49" t="str">
        <f>VLOOKUP($C$50:$C$77,Equipment!$A$1:$B$2322,2,FALSE)</f>
        <v>Portable Plug In Panel with Generator</v>
      </c>
      <c r="C65" s="24" t="s">
        <v>4126</v>
      </c>
      <c r="D65" s="24"/>
      <c r="E65" s="24"/>
      <c r="F65" s="24"/>
      <c r="G65" s="24"/>
      <c r="H65" s="185">
        <v>1</v>
      </c>
      <c r="I65" s="184"/>
      <c r="J65" s="42">
        <f>VLOOKUP($B$50:$B$77,'Alberta Equip. Rates Year 3'!$B$13:$K$314,10,FALSE)</f>
        <v>140.76</v>
      </c>
      <c r="K65" s="181">
        <f t="shared" ref="K65:K77" si="5">(H65+I65)*J65</f>
        <v>140.76</v>
      </c>
    </row>
    <row r="66" spans="1:11" ht="15" customHeight="1">
      <c r="A66" s="43"/>
      <c r="B66" s="49" t="str">
        <f>VLOOKUP($C$50:$C$77,Equipment!$A$1:$B$2322,2,FALSE)</f>
        <v>Sideboom - Cat 571</v>
      </c>
      <c r="C66" s="24" t="s">
        <v>1240</v>
      </c>
      <c r="D66" s="24"/>
      <c r="E66" s="24"/>
      <c r="F66" s="24"/>
      <c r="G66" s="24"/>
      <c r="H66" s="185">
        <v>1</v>
      </c>
      <c r="I66" s="184"/>
      <c r="J66" s="42">
        <f>VLOOKUP($B$50:$B$77,'Alberta Equip. Rates Year 3'!$B$13:$K$314,10,FALSE)</f>
        <v>699</v>
      </c>
      <c r="K66" s="181">
        <f t="shared" si="5"/>
        <v>699</v>
      </c>
    </row>
    <row r="67" spans="1:11" ht="15" customHeight="1">
      <c r="A67" s="43"/>
      <c r="B67" s="49" t="str">
        <f>VLOOKUP($C$50:$C$77,Equipment!$A$1:$B$2322,2,FALSE)</f>
        <v>Sideboom - Cat 572</v>
      </c>
      <c r="C67" s="24" t="s">
        <v>4116</v>
      </c>
      <c r="D67" s="24"/>
      <c r="E67" s="24"/>
      <c r="F67" s="24"/>
      <c r="G67" s="24"/>
      <c r="H67" s="185">
        <v>1</v>
      </c>
      <c r="I67" s="184"/>
      <c r="J67" s="42">
        <f>VLOOKUP($B$50:$B$77,'Alberta Equip. Rates Year 3'!$B$13:$K$314,10,FALSE)</f>
        <v>805</v>
      </c>
      <c r="K67" s="181">
        <f t="shared" si="5"/>
        <v>805</v>
      </c>
    </row>
    <row r="68" spans="1:11" ht="15" customHeight="1">
      <c r="A68" s="43"/>
      <c r="B68" s="49" t="str">
        <f>VLOOKUP($C$50:$C$77,Equipment!$A$1:$B$2322,2,FALSE)</f>
        <v>Sideboom - Cat 572</v>
      </c>
      <c r="C68" s="24" t="s">
        <v>4117</v>
      </c>
      <c r="D68" s="24"/>
      <c r="E68" s="24"/>
      <c r="F68" s="24"/>
      <c r="G68" s="24"/>
      <c r="H68" s="185">
        <v>1</v>
      </c>
      <c r="I68" s="184"/>
      <c r="J68" s="42">
        <f>VLOOKUP($B$50:$B$77,'Alberta Equip. Rates Year 3'!$B$13:$K$314,10,FALSE)</f>
        <v>805</v>
      </c>
      <c r="K68" s="181">
        <f t="shared" si="5"/>
        <v>805</v>
      </c>
    </row>
    <row r="69" spans="1:11" ht="15" customHeight="1">
      <c r="A69" s="43"/>
      <c r="B69" s="49" t="str">
        <f>VLOOKUP($C$50:$C$77,Equipment!$A$1:$B$2322,2,FALSE)</f>
        <v>Skid Mounted - Mainline Coating Unit</v>
      </c>
      <c r="C69" s="24" t="s">
        <v>794</v>
      </c>
      <c r="D69" s="24"/>
      <c r="E69" s="24"/>
      <c r="F69" s="24"/>
      <c r="G69" s="24"/>
      <c r="H69" s="185">
        <v>1</v>
      </c>
      <c r="I69" s="184"/>
      <c r="J69" s="42">
        <f>VLOOKUP($B$50:$B$77,'Alberta Equip. Rates Year 3'!$B$13:$K$314,10,FALSE)</f>
        <v>793.75</v>
      </c>
      <c r="K69" s="181">
        <f t="shared" si="5"/>
        <v>793.75</v>
      </c>
    </row>
    <row r="70" spans="1:11" ht="15" customHeight="1">
      <c r="A70" s="43"/>
      <c r="B70" s="49" t="str">
        <f>VLOOKUP($C$50:$C$77,Equipment!$A$1:$B$2322,2,FALSE)</f>
        <v>Tag-A-Long Trailer (6 Ton)</v>
      </c>
      <c r="C70" s="24" t="s">
        <v>3157</v>
      </c>
      <c r="D70" s="24"/>
      <c r="E70" s="24"/>
      <c r="F70" s="24"/>
      <c r="G70" s="24"/>
      <c r="H70" s="185">
        <v>1</v>
      </c>
      <c r="I70" s="184"/>
      <c r="J70" s="42">
        <f>VLOOKUP($B$50:$B$77,'Alberta Equip. Rates Year 3'!$B$13:$K$314,10,FALSE)</f>
        <v>96</v>
      </c>
      <c r="K70" s="181">
        <f t="shared" si="5"/>
        <v>96</v>
      </c>
    </row>
    <row r="71" spans="1:11" ht="15" customHeight="1">
      <c r="A71" s="43"/>
      <c r="B71" s="49" t="str">
        <f>VLOOKUP($C$50:$C$77,Equipment!$A$1:$B$2322,2,FALSE)</f>
        <v>Tag-A-Long Trailer (6 Ton)</v>
      </c>
      <c r="C71" s="24" t="s">
        <v>3232</v>
      </c>
      <c r="D71" s="24"/>
      <c r="E71" s="24"/>
      <c r="F71" s="24"/>
      <c r="G71" s="24"/>
      <c r="H71" s="185">
        <v>1</v>
      </c>
      <c r="I71" s="184"/>
      <c r="J71" s="42">
        <f>VLOOKUP($B$50:$B$77,'Alberta Equip. Rates Year 3'!$B$13:$K$314,10,FALSE)</f>
        <v>96</v>
      </c>
      <c r="K71" s="181">
        <f t="shared" si="5"/>
        <v>96</v>
      </c>
    </row>
    <row r="72" spans="1:11" ht="15" customHeight="1">
      <c r="A72" s="43"/>
      <c r="B72" s="49" t="str">
        <f>VLOOKUP($C$50:$C$77,Equipment!$A$1:$B$2322,2,FALSE)</f>
        <v>Warehouse Trailer/ Van Diesel Heated Storage</v>
      </c>
      <c r="C72" s="24" t="s">
        <v>4169</v>
      </c>
      <c r="D72" s="24"/>
      <c r="E72" s="24"/>
      <c r="F72" s="24"/>
      <c r="G72" s="24"/>
      <c r="H72" s="185">
        <v>1</v>
      </c>
      <c r="I72" s="184"/>
      <c r="J72" s="42">
        <f>VLOOKUP($B$50:$B$77,'Alberta Equip. Rates Year 3'!$B$13:$K$314,10,FALSE)</f>
        <v>196.85</v>
      </c>
      <c r="K72" s="181">
        <f t="shared" ref="K72" si="6">(H72+I72)*J72</f>
        <v>196.85</v>
      </c>
    </row>
    <row r="73" spans="1:11" ht="15" customHeight="1">
      <c r="A73" s="43"/>
      <c r="B73" s="49" t="str">
        <f>VLOOKUP($C$50:$C$77,Equipment!$A$1:$B$2322,2,FALSE)</f>
        <v>Crewcab - 3/4 Ton</v>
      </c>
      <c r="C73" s="24" t="s">
        <v>4098</v>
      </c>
      <c r="D73" s="24"/>
      <c r="E73" s="24"/>
      <c r="F73" s="24"/>
      <c r="G73" s="24"/>
      <c r="H73" s="185">
        <v>1</v>
      </c>
      <c r="I73" s="184"/>
      <c r="J73" s="42">
        <f>VLOOKUP($B$50:$B$77,'Alberta Equip. Rates Year 3'!$B$13:$K$314,10,FALSE)</f>
        <v>153</v>
      </c>
      <c r="K73" s="181">
        <f t="shared" ref="K73:K76" si="7">(H73+I73)*J73</f>
        <v>153</v>
      </c>
    </row>
    <row r="74" spans="1:11" ht="15" customHeight="1">
      <c r="A74" s="43"/>
      <c r="B74" s="49" t="str">
        <f>VLOOKUP($C$50:$C$77,Equipment!$A$1:$B$2322,2,FALSE)</f>
        <v>Pickup - 3/4 Ton</v>
      </c>
      <c r="C74" s="24" t="s">
        <v>1636</v>
      </c>
      <c r="D74" s="24"/>
      <c r="E74" s="24"/>
      <c r="F74" s="24"/>
      <c r="G74" s="24"/>
      <c r="H74" s="185">
        <v>1</v>
      </c>
      <c r="I74" s="184"/>
      <c r="J74" s="42">
        <f>VLOOKUP($B$50:$B$77,'Alberta Equip. Rates Year 3'!$B$13:$K$314,10,FALSE)</f>
        <v>145</v>
      </c>
      <c r="K74" s="181">
        <f t="shared" si="7"/>
        <v>145</v>
      </c>
    </row>
    <row r="75" spans="1:11" ht="15" customHeight="1">
      <c r="A75" s="43"/>
      <c r="B75" s="49">
        <f>VLOOKUP($C$50:$C$77,Equipment!$A$1:$B$2322,2,FALSE)</f>
        <v>0</v>
      </c>
      <c r="C75" s="24"/>
      <c r="D75" s="24"/>
      <c r="E75" s="24"/>
      <c r="F75" s="24"/>
      <c r="G75" s="24"/>
      <c r="H75" s="185"/>
      <c r="I75" s="184"/>
      <c r="J75" s="42">
        <f>VLOOKUP($B$50:$B$77,'Alberta Equip. Rates Year 3'!$B$13:$K$314,10,FALSE)</f>
        <v>0</v>
      </c>
      <c r="K75" s="181">
        <f t="shared" si="7"/>
        <v>0</v>
      </c>
    </row>
    <row r="76" spans="1:11" ht="15" customHeight="1">
      <c r="A76" s="43"/>
      <c r="B76" s="49">
        <f>VLOOKUP($C$50:$C$77,Equipment!$A$1:$B$2322,2,FALSE)</f>
        <v>0</v>
      </c>
      <c r="C76" s="24"/>
      <c r="D76" s="24"/>
      <c r="E76" s="24"/>
      <c r="F76" s="24"/>
      <c r="G76" s="24"/>
      <c r="H76" s="185"/>
      <c r="I76" s="184"/>
      <c r="J76" s="42">
        <f>VLOOKUP($B$50:$B$77,'Alberta Equip. Rates Year 3'!$B$13:$K$314,10,FALSE)</f>
        <v>0</v>
      </c>
      <c r="K76" s="181">
        <f t="shared" si="7"/>
        <v>0</v>
      </c>
    </row>
    <row r="77" spans="1:11" ht="15" customHeight="1" thickBot="1">
      <c r="A77" s="43"/>
      <c r="B77" s="49">
        <f>VLOOKUP($C$50:$C$77,Equipment!$A$1:$B$2322,2,FALSE)</f>
        <v>0</v>
      </c>
      <c r="C77" s="24"/>
      <c r="D77" s="24"/>
      <c r="E77" s="24"/>
      <c r="F77" s="24"/>
      <c r="G77" s="24"/>
      <c r="H77" s="185"/>
      <c r="I77" s="184"/>
      <c r="J77" s="42">
        <f>VLOOKUP($B$50:$B$77,'Alberta Equip. Rates Year 3'!$B$13:$K$314,10,FALSE)</f>
        <v>0</v>
      </c>
      <c r="K77" s="181">
        <f t="shared" si="5"/>
        <v>0</v>
      </c>
    </row>
    <row r="78" spans="1:11" ht="12" thickBot="1">
      <c r="A78" s="25"/>
      <c r="B78" s="25"/>
      <c r="C78" s="25"/>
      <c r="D78" s="21"/>
      <c r="E78" s="21"/>
      <c r="F78" s="21"/>
      <c r="G78" s="21"/>
      <c r="H78" s="21"/>
      <c r="I78" s="360" t="s">
        <v>24</v>
      </c>
      <c r="J78" s="361"/>
      <c r="K78" s="182">
        <f>SUM(K50:K77)</f>
        <v>9272.36</v>
      </c>
    </row>
    <row r="79" spans="1:11" ht="12" thickBot="1">
      <c r="A79" s="26"/>
      <c r="D79" s="26"/>
      <c r="I79" s="27"/>
      <c r="J79" s="27"/>
      <c r="K79" s="28"/>
    </row>
    <row r="80" spans="1:11">
      <c r="A80" s="1" t="s">
        <v>25</v>
      </c>
      <c r="B80" s="29"/>
      <c r="D80" s="1"/>
      <c r="E80" s="1"/>
      <c r="F80" s="1"/>
      <c r="G80" s="1"/>
      <c r="H80" s="1"/>
      <c r="I80" s="362" t="s">
        <v>26</v>
      </c>
      <c r="J80" s="362"/>
      <c r="K80" s="37">
        <f>K47</f>
        <v>30339.020000000015</v>
      </c>
    </row>
    <row r="81" spans="1:11">
      <c r="D81" s="1"/>
      <c r="E81" s="1"/>
      <c r="F81" s="1"/>
      <c r="G81" s="1"/>
      <c r="H81" s="1"/>
      <c r="I81" s="362" t="s">
        <v>27</v>
      </c>
      <c r="J81" s="362"/>
      <c r="K81" s="38">
        <f>K78</f>
        <v>9272.36</v>
      </c>
    </row>
    <row r="82" spans="1:11">
      <c r="D82" s="1"/>
      <c r="E82" s="1"/>
      <c r="F82" s="1"/>
      <c r="G82" s="1"/>
      <c r="H82" s="1"/>
      <c r="I82" s="27" t="s">
        <v>28</v>
      </c>
      <c r="J82" s="27"/>
      <c r="K82" s="38">
        <f>(O47)*14.15</f>
        <v>5660</v>
      </c>
    </row>
    <row r="83" spans="1:11">
      <c r="D83" s="1"/>
      <c r="E83" s="1"/>
      <c r="F83" s="1"/>
      <c r="G83" s="1"/>
      <c r="H83" s="1"/>
      <c r="I83" s="30" t="s">
        <v>29</v>
      </c>
      <c r="J83" s="30"/>
      <c r="K83" s="39"/>
    </row>
    <row r="84" spans="1:11">
      <c r="D84" s="1"/>
      <c r="E84" s="1"/>
      <c r="F84" s="1"/>
      <c r="G84" s="1"/>
      <c r="H84" s="1"/>
      <c r="I84" s="30" t="s">
        <v>30</v>
      </c>
      <c r="J84" s="30"/>
      <c r="K84" s="39"/>
    </row>
    <row r="85" spans="1:11">
      <c r="D85" s="1"/>
      <c r="E85" s="1"/>
      <c r="F85" s="1"/>
      <c r="G85" s="1"/>
      <c r="H85" s="1"/>
      <c r="I85" s="30" t="s">
        <v>31</v>
      </c>
      <c r="J85" s="30"/>
      <c r="K85" s="39"/>
    </row>
    <row r="86" spans="1:11" ht="12" thickBot="1">
      <c r="D86" s="1"/>
      <c r="E86" s="1"/>
      <c r="F86" s="1"/>
      <c r="G86" s="1"/>
      <c r="H86" s="1"/>
      <c r="I86" s="362" t="s">
        <v>32</v>
      </c>
      <c r="J86" s="362"/>
      <c r="K86" s="40">
        <f>SUM(K80:K85)</f>
        <v>45271.380000000019</v>
      </c>
    </row>
    <row r="87" spans="1:11">
      <c r="D87" s="1"/>
      <c r="E87" s="1"/>
      <c r="F87" s="1"/>
      <c r="G87" s="1"/>
      <c r="H87" s="1"/>
      <c r="I87" s="27"/>
      <c r="J87" s="27"/>
    </row>
    <row r="88" spans="1:11">
      <c r="A88" s="31" t="s">
        <v>33</v>
      </c>
      <c r="B88" s="32"/>
      <c r="C88" s="32"/>
      <c r="D88" s="1"/>
      <c r="H88" s="33" t="s">
        <v>34</v>
      </c>
      <c r="I88" s="32"/>
      <c r="J88" s="32"/>
      <c r="K88" s="32"/>
    </row>
    <row r="89" spans="1:11" ht="15">
      <c r="A89" s="34"/>
      <c r="E89" s="8"/>
      <c r="F89" s="8"/>
      <c r="G89" s="8"/>
      <c r="H89" s="35"/>
      <c r="I89" s="35"/>
      <c r="J89" s="35"/>
      <c r="K89" s="35"/>
    </row>
    <row r="90" spans="1:11" ht="15">
      <c r="A90" s="34" t="s">
        <v>35</v>
      </c>
      <c r="E90" s="8"/>
      <c r="F90" s="8"/>
      <c r="G90" s="8"/>
      <c r="H90" s="35"/>
      <c r="I90" s="35"/>
      <c r="J90" s="35"/>
      <c r="K90" s="35"/>
    </row>
    <row r="91" spans="1:11" s="34" customFormat="1">
      <c r="A91" s="363">
        <v>41218.479166666664</v>
      </c>
      <c r="B91" s="363"/>
      <c r="C91" s="364"/>
      <c r="D91" s="364"/>
      <c r="E91" s="364"/>
      <c r="F91" s="364"/>
      <c r="G91" s="364"/>
      <c r="H91" s="364"/>
      <c r="I91" s="364"/>
      <c r="J91" s="364"/>
      <c r="K91" s="8"/>
    </row>
    <row r="101" s="1" customFormat="1"/>
    <row r="102" s="1" customFormat="1"/>
    <row r="103" s="1" customFormat="1"/>
    <row r="104" s="1" customFormat="1"/>
    <row r="105" s="1" customFormat="1"/>
    <row r="106" s="1" customFormat="1"/>
    <row r="107" s="1" customFormat="1"/>
    <row r="108" s="1" customFormat="1"/>
    <row r="109" s="1" customFormat="1"/>
    <row r="110" s="1" customFormat="1"/>
    <row r="111" s="1" customFormat="1"/>
    <row r="112" s="1" customFormat="1"/>
    <row r="113" s="1" customFormat="1"/>
    <row r="114" s="1" customFormat="1"/>
    <row r="119" s="1" customFormat="1"/>
    <row r="147" s="1" customFormat="1"/>
    <row r="148" s="1" customFormat="1"/>
    <row r="149" s="1" customFormat="1"/>
    <row r="150" s="1" customFormat="1"/>
  </sheetData>
  <mergeCells count="12">
    <mergeCell ref="I78:J78"/>
    <mergeCell ref="I80:J80"/>
    <mergeCell ref="I81:J81"/>
    <mergeCell ref="I86:J86"/>
    <mergeCell ref="A91:B91"/>
    <mergeCell ref="C91:J91"/>
    <mergeCell ref="I47:J47"/>
    <mergeCell ref="C1:H1"/>
    <mergeCell ref="C2:H2"/>
    <mergeCell ref="C3:H3"/>
    <mergeCell ref="H6:I6"/>
    <mergeCell ref="H7:I7"/>
  </mergeCells>
  <printOptions horizontalCentered="1"/>
  <pageMargins left="0.19685039370078741" right="0.19685039370078741" top="0.39370078740157483" bottom="0.39370078740157483" header="0" footer="0"/>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2400-000000000000}">
          <x14:formula1>
            <xm:f>Accounts!$A$4:$A$60</xm:f>
          </x14:formula1>
          <xm:sqref>K7</xm:sqref>
        </x14:dataValidation>
        <x14:dataValidation type="list" allowBlank="1" showInputMessage="1" showErrorMessage="1" xr:uid="{00000000-0002-0000-2400-000001000000}">
          <x14:formula1>
            <xm:f>'Constr. Wage Rate Calculations'!$A$19:$A$288</xm:f>
          </x14:formula1>
          <xm:sqref>B11:B46</xm:sqref>
        </x14:dataValidation>
        <x14:dataValidation type="list" allowBlank="1" showInputMessage="1" showErrorMessage="1" xr:uid="{00000000-0002-0000-2400-000002000000}">
          <x14:formula1>
            <xm:f>Personnel!$A:$A</xm:f>
          </x14:formula1>
          <xm:sqref>C11:C46</xm:sqref>
        </x14:dataValidation>
        <x14:dataValidation type="list" allowBlank="1" showInputMessage="1" showErrorMessage="1" xr:uid="{00000000-0002-0000-2400-000003000000}">
          <x14:formula1>
            <xm:f>Equipment!$A:$A</xm:f>
          </x14:formula1>
          <xm:sqref>C50:C77</xm:sqref>
        </x14:dataValidation>
      </x14:dataValidations>
    </ext>
    <ext xmlns:mx="http://schemas.microsoft.com/office/mac/excel/2008/main" uri="{64002731-A6B0-56B0-2670-7721B7C09600}">
      <mx:PLV Mode="0" OnePage="0" WScale="0"/>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CCFFCC"/>
    <pageSetUpPr fitToPage="1"/>
  </sheetPr>
  <dimension ref="A1:O143"/>
  <sheetViews>
    <sheetView zoomScale="120" zoomScaleNormal="120" zoomScalePageLayoutView="120" workbookViewId="0">
      <selection activeCell="C10" sqref="C10"/>
    </sheetView>
  </sheetViews>
  <sheetFormatPr baseColWidth="10" defaultColWidth="8.83203125" defaultRowHeight="11"/>
  <cols>
    <col min="1" max="1" width="13" style="1" customWidth="1"/>
    <col min="2" max="2" width="30" style="1" customWidth="1"/>
    <col min="3" max="3" width="24.5" style="1" customWidth="1"/>
    <col min="4" max="4" width="8.6640625" style="2" customWidth="1"/>
    <col min="5" max="6" width="8.33203125" style="2" customWidth="1"/>
    <col min="7" max="8" width="8.6640625" style="2" customWidth="1"/>
    <col min="9" max="9" width="9.33203125" style="2" customWidth="1"/>
    <col min="10" max="10" width="8.6640625" style="2" customWidth="1"/>
    <col min="11" max="11" width="20.6640625" style="1" customWidth="1"/>
    <col min="12" max="12" width="3.5" style="1" hidden="1" customWidth="1"/>
    <col min="13" max="16384" width="8.83203125" style="1"/>
  </cols>
  <sheetData>
    <row r="1" spans="1:13" ht="15">
      <c r="C1" s="364"/>
      <c r="D1" s="365"/>
      <c r="E1" s="365"/>
      <c r="F1" s="365"/>
      <c r="G1" s="365"/>
      <c r="H1" s="366"/>
      <c r="J1" s="2" t="s">
        <v>0</v>
      </c>
      <c r="K1" s="197">
        <v>41659</v>
      </c>
      <c r="M1" s="45"/>
    </row>
    <row r="2" spans="1:13" ht="15">
      <c r="C2" s="367"/>
      <c r="D2" s="367"/>
      <c r="E2" s="367"/>
      <c r="F2" s="367"/>
      <c r="G2" s="367"/>
      <c r="H2" s="366"/>
      <c r="K2" s="41"/>
    </row>
    <row r="3" spans="1:13" ht="15">
      <c r="C3" s="368"/>
      <c r="D3" s="369"/>
      <c r="E3" s="369"/>
      <c r="F3" s="369"/>
      <c r="G3" s="369"/>
      <c r="H3" s="366"/>
    </row>
    <row r="4" spans="1:13">
      <c r="C4" s="3"/>
      <c r="D4" s="4"/>
      <c r="E4" s="4"/>
      <c r="F4" s="4"/>
      <c r="G4" s="4"/>
    </row>
    <row r="5" spans="1:13">
      <c r="C5" s="3"/>
      <c r="D5" s="4"/>
      <c r="E5" s="4"/>
      <c r="F5" s="4"/>
      <c r="G5" s="4"/>
    </row>
    <row r="6" spans="1:13" ht="12">
      <c r="B6" s="5"/>
      <c r="C6" s="6"/>
      <c r="D6" s="7"/>
      <c r="E6" s="8"/>
      <c r="F6" s="8"/>
      <c r="G6" s="1" t="s">
        <v>1</v>
      </c>
      <c r="H6" s="370">
        <v>18210</v>
      </c>
      <c r="I6" s="370"/>
      <c r="J6" s="1" t="s">
        <v>2</v>
      </c>
      <c r="K6" s="47"/>
    </row>
    <row r="7" spans="1:13" ht="12">
      <c r="A7" s="1" t="s">
        <v>3</v>
      </c>
      <c r="B7" s="9"/>
      <c r="C7" s="10"/>
      <c r="D7" s="11"/>
      <c r="E7" s="8"/>
      <c r="F7" s="8"/>
      <c r="G7" s="1" t="s">
        <v>4</v>
      </c>
      <c r="H7" s="371"/>
      <c r="I7" s="371"/>
      <c r="J7" s="1" t="s">
        <v>5</v>
      </c>
      <c r="K7" s="46"/>
    </row>
    <row r="8" spans="1:13" ht="12">
      <c r="B8" s="12"/>
      <c r="C8" s="13"/>
      <c r="D8" s="14"/>
      <c r="E8" s="8"/>
      <c r="F8" s="8"/>
      <c r="G8" s="1" t="s">
        <v>6</v>
      </c>
      <c r="H8" s="187"/>
      <c r="I8" s="188"/>
      <c r="J8" s="44"/>
    </row>
    <row r="9" spans="1:13" ht="16" thickBot="1">
      <c r="B9" s="15"/>
      <c r="C9" s="16"/>
      <c r="D9" s="16"/>
      <c r="E9" s="8"/>
      <c r="F9" s="8"/>
      <c r="G9" s="8"/>
    </row>
    <row r="10" spans="1:13" s="19" customFormat="1" ht="12" thickBot="1">
      <c r="A10" s="17" t="s">
        <v>7</v>
      </c>
      <c r="B10" s="17" t="s">
        <v>8</v>
      </c>
      <c r="C10" s="17" t="s">
        <v>9</v>
      </c>
      <c r="D10" s="18" t="s">
        <v>10</v>
      </c>
      <c r="E10" s="18" t="s">
        <v>11</v>
      </c>
      <c r="F10" s="18" t="s">
        <v>12</v>
      </c>
      <c r="G10" s="180" t="s">
        <v>13</v>
      </c>
      <c r="H10" s="18" t="s">
        <v>14</v>
      </c>
      <c r="I10" s="18" t="s">
        <v>15</v>
      </c>
      <c r="J10" s="18" t="s">
        <v>16</v>
      </c>
      <c r="K10" s="18" t="s">
        <v>17</v>
      </c>
      <c r="M10" s="19" t="s">
        <v>1797</v>
      </c>
    </row>
    <row r="11" spans="1:13" ht="15" customHeight="1">
      <c r="A11" s="48"/>
      <c r="B11" s="49">
        <f>VLOOKUP($C$11:$C$47,Personnel!$A$1:$B$1234,2,FALSE)</f>
        <v>0</v>
      </c>
      <c r="C11" s="36"/>
      <c r="D11" s="184"/>
      <c r="E11" s="179">
        <f>VLOOKUP($B$11:$B$47,'Constr. Wage Rate Calculations'!$A$19:$Z$288,22,FALSE)</f>
        <v>0</v>
      </c>
      <c r="F11" s="184"/>
      <c r="G11" s="179">
        <f>VLOOKUP($B$11:$B$47,'Constr. Wage Rate Calculations'!$A$19:$Z$288,23,FALSE)</f>
        <v>0</v>
      </c>
      <c r="H11" s="184"/>
      <c r="I11" s="179">
        <f>VLOOKUP($B$11:$B$47,'Constr. Wage Rate Calculations'!$A$19:$Z$288,24,FALSE)</f>
        <v>0</v>
      </c>
      <c r="J11" s="20">
        <f>VLOOKUP($B$11:$B$47,'Constr. Wage Rate Calculations'!$A$19:$Z$288,25,FALSE)</f>
        <v>0</v>
      </c>
      <c r="K11" s="179" t="str">
        <f t="shared" ref="K11:K23" si="0">IF($D11&gt;=1,$J11+(D11*E11)+(F11*G11)+(H11*I11),IF($F11&gt;=1,$J11+(D11*E11)+(F11*G11)+(H11*I11),IF($H11&gt;=1,$J11+(D11*E11)+(F11*G11)+(H11*I11),"")))</f>
        <v/>
      </c>
    </row>
    <row r="12" spans="1:13" ht="15" customHeight="1">
      <c r="A12" s="48"/>
      <c r="B12" s="49" t="str">
        <f>VLOOKUP($C$11:$C$47,Personnel!$A$1:$B$1234,2,FALSE)</f>
        <v>FLAT DECK &lt; 5 TON</v>
      </c>
      <c r="C12" s="36" t="s">
        <v>3487</v>
      </c>
      <c r="D12" s="184">
        <v>8</v>
      </c>
      <c r="E12" s="179">
        <f>VLOOKUP($B$11:$B$47,'Constr. Wage Rate Calculations'!$A$19:$Z$288,22,FALSE)</f>
        <v>59.79</v>
      </c>
      <c r="F12" s="184">
        <v>4</v>
      </c>
      <c r="G12" s="179">
        <f>VLOOKUP($B$11:$B$47,'Constr. Wage Rate Calculations'!$A$19:$Z$288,23,FALSE)</f>
        <v>89.69</v>
      </c>
      <c r="H12" s="184"/>
      <c r="I12" s="179">
        <f>VLOOKUP($B$11:$B$47,'Constr. Wage Rate Calculations'!$A$19:$Z$288,24,FALSE)</f>
        <v>119.58</v>
      </c>
      <c r="J12" s="20">
        <f>VLOOKUP($B$11:$B$47,'Constr. Wage Rate Calculations'!$A$19:$Z$288,25,FALSE)</f>
        <v>85</v>
      </c>
      <c r="K12" s="179">
        <f t="shared" si="0"/>
        <v>922.07999999999993</v>
      </c>
    </row>
    <row r="13" spans="1:13" ht="15" customHeight="1">
      <c r="A13" s="48"/>
      <c r="B13" s="49" t="str">
        <f>VLOOKUP($C$11:$C$47,Personnel!$A$1:$B$1234,2,FALSE)</f>
        <v>SPEC LABOUR (CARPENTER, ETC.)</v>
      </c>
      <c r="C13" s="36" t="s">
        <v>1477</v>
      </c>
      <c r="D13" s="184">
        <v>8</v>
      </c>
      <c r="E13" s="179">
        <f>VLOOKUP($B$11:$B$47,'Constr. Wage Rate Calculations'!$A$19:$Z$288,22,FALSE)</f>
        <v>49.84</v>
      </c>
      <c r="F13" s="184">
        <v>4</v>
      </c>
      <c r="G13" s="179">
        <f>VLOOKUP($B$11:$B$47,'Constr. Wage Rate Calculations'!$A$19:$Z$288,23,FALSE)</f>
        <v>74.75</v>
      </c>
      <c r="H13" s="184"/>
      <c r="I13" s="179">
        <f>VLOOKUP($B$11:$B$47,'Constr. Wage Rate Calculations'!$A$19:$Z$288,24,FALSE)</f>
        <v>99.67</v>
      </c>
      <c r="J13" s="20">
        <f>VLOOKUP($B$11:$B$47,'Constr. Wage Rate Calculations'!$A$19:$Z$288,25,FALSE)</f>
        <v>85</v>
      </c>
      <c r="K13" s="179">
        <f t="shared" si="0"/>
        <v>782.72</v>
      </c>
    </row>
    <row r="14" spans="1:13" ht="15" customHeight="1">
      <c r="A14" s="48"/>
      <c r="B14" s="49" t="str">
        <f>VLOOKUP($C$11:$C$47,Personnel!$A$1:$B$1234,2,FALSE)</f>
        <v>FLAT DECK &lt; 5 TON</v>
      </c>
      <c r="C14" s="36" t="s">
        <v>4122</v>
      </c>
      <c r="D14" s="184">
        <v>8</v>
      </c>
      <c r="E14" s="179">
        <f>VLOOKUP($B$11:$B$47,'Constr. Wage Rate Calculations'!$A$19:$Z$288,22,FALSE)</f>
        <v>59.79</v>
      </c>
      <c r="F14" s="184">
        <v>4</v>
      </c>
      <c r="G14" s="179">
        <f>VLOOKUP($B$11:$B$47,'Constr. Wage Rate Calculations'!$A$19:$Z$288,23,FALSE)</f>
        <v>89.69</v>
      </c>
      <c r="H14" s="184"/>
      <c r="I14" s="179">
        <f>VLOOKUP($B$11:$B$47,'Constr. Wage Rate Calculations'!$A$19:$Z$288,24,FALSE)</f>
        <v>119.58</v>
      </c>
      <c r="J14" s="20">
        <f>VLOOKUP($B$11:$B$47,'Constr. Wage Rate Calculations'!$A$19:$Z$288,25,FALSE)</f>
        <v>85</v>
      </c>
      <c r="K14" s="179">
        <f t="shared" si="0"/>
        <v>922.07999999999993</v>
      </c>
    </row>
    <row r="15" spans="1:13" ht="15" customHeight="1">
      <c r="A15" s="48"/>
      <c r="B15" s="49" t="str">
        <f>VLOOKUP($C$11:$C$47,Personnel!$A$1:$B$1234,2,FALSE)</f>
        <v>SPEC LABOUR (CARPENTER, ETC.)</v>
      </c>
      <c r="C15" s="36" t="s">
        <v>1133</v>
      </c>
      <c r="D15" s="184">
        <v>8</v>
      </c>
      <c r="E15" s="179">
        <f>VLOOKUP($B$11:$B$47,'Constr. Wage Rate Calculations'!$A$19:$Z$288,22,FALSE)</f>
        <v>49.84</v>
      </c>
      <c r="F15" s="184">
        <v>4</v>
      </c>
      <c r="G15" s="179">
        <f>VLOOKUP($B$11:$B$47,'Constr. Wage Rate Calculations'!$A$19:$Z$288,23,FALSE)</f>
        <v>74.75</v>
      </c>
      <c r="H15" s="184"/>
      <c r="I15" s="179">
        <f>VLOOKUP($B$11:$B$47,'Constr. Wage Rate Calculations'!$A$19:$Z$288,24,FALSE)</f>
        <v>99.67</v>
      </c>
      <c r="J15" s="20">
        <f>VLOOKUP($B$11:$B$47,'Constr. Wage Rate Calculations'!$A$19:$Z$288,25,FALSE)</f>
        <v>85</v>
      </c>
      <c r="K15" s="179">
        <f t="shared" si="0"/>
        <v>782.72</v>
      </c>
    </row>
    <row r="16" spans="1:13" ht="15" customHeight="1">
      <c r="A16" s="48"/>
      <c r="B16" s="49" t="str">
        <f>VLOOKUP($C$11:$C$47,Personnel!$A$1:$B$1234,2,FALSE)</f>
        <v>SPEC LABOUR (CARPENTER, ETC.)</v>
      </c>
      <c r="C16" s="36" t="s">
        <v>1176</v>
      </c>
      <c r="D16" s="184">
        <v>8</v>
      </c>
      <c r="E16" s="179">
        <f>VLOOKUP($B$11:$B$47,'Constr. Wage Rate Calculations'!$A$19:$Z$288,22,FALSE)</f>
        <v>49.84</v>
      </c>
      <c r="F16" s="184">
        <v>4</v>
      </c>
      <c r="G16" s="179">
        <f>VLOOKUP($B$11:$B$47,'Constr. Wage Rate Calculations'!$A$19:$Z$288,23,FALSE)</f>
        <v>74.75</v>
      </c>
      <c r="H16" s="184"/>
      <c r="I16" s="179">
        <f>VLOOKUP($B$11:$B$47,'Constr. Wage Rate Calculations'!$A$19:$Z$288,24,FALSE)</f>
        <v>99.67</v>
      </c>
      <c r="J16" s="20">
        <f>VLOOKUP($B$11:$B$47,'Constr. Wage Rate Calculations'!$A$19:$Z$288,25,FALSE)</f>
        <v>85</v>
      </c>
      <c r="K16" s="179">
        <f t="shared" si="0"/>
        <v>782.72</v>
      </c>
    </row>
    <row r="17" spans="1:11" ht="15" customHeight="1">
      <c r="A17" s="48"/>
      <c r="B17" s="49" t="str">
        <f>VLOOKUP($C$11:$C$47,Personnel!$A$1:$B$1234,2,FALSE)</f>
        <v>SPEC LABOUR (CARPENTER, ETC.)</v>
      </c>
      <c r="C17" s="36" t="s">
        <v>1154</v>
      </c>
      <c r="D17" s="184">
        <v>8</v>
      </c>
      <c r="E17" s="179">
        <f>VLOOKUP($B$11:$B$47,'Constr. Wage Rate Calculations'!$A$19:$Z$288,22,FALSE)</f>
        <v>49.84</v>
      </c>
      <c r="F17" s="184">
        <v>4</v>
      </c>
      <c r="G17" s="179">
        <f>VLOOKUP($B$11:$B$47,'Constr. Wage Rate Calculations'!$A$19:$Z$288,23,FALSE)</f>
        <v>74.75</v>
      </c>
      <c r="H17" s="184"/>
      <c r="I17" s="179">
        <f>VLOOKUP($B$11:$B$47,'Constr. Wage Rate Calculations'!$A$19:$Z$288,24,FALSE)</f>
        <v>99.67</v>
      </c>
      <c r="J17" s="20">
        <f>VLOOKUP($B$11:$B$47,'Constr. Wage Rate Calculations'!$A$19:$Z$288,25,FALSE)</f>
        <v>85</v>
      </c>
      <c r="K17" s="179">
        <f t="shared" si="0"/>
        <v>782.72</v>
      </c>
    </row>
    <row r="18" spans="1:11" ht="15" customHeight="1">
      <c r="A18" s="48"/>
      <c r="B18" s="49" t="str">
        <f>VLOOKUP($C$11:$C$47,Personnel!$A$1:$B$1234,2,FALSE)</f>
        <v>SPEC LABOUR (CARPENTER, ETC.)</v>
      </c>
      <c r="C18" s="36" t="s">
        <v>1208</v>
      </c>
      <c r="D18" s="184">
        <v>8</v>
      </c>
      <c r="E18" s="179">
        <f>VLOOKUP($B$11:$B$47,'Constr. Wage Rate Calculations'!$A$19:$Z$288,22,FALSE)</f>
        <v>49.84</v>
      </c>
      <c r="F18" s="184">
        <v>4</v>
      </c>
      <c r="G18" s="179">
        <f>VLOOKUP($B$11:$B$47,'Constr. Wage Rate Calculations'!$A$19:$Z$288,23,FALSE)</f>
        <v>74.75</v>
      </c>
      <c r="H18" s="184"/>
      <c r="I18" s="179">
        <f>VLOOKUP($B$11:$B$47,'Constr. Wage Rate Calculations'!$A$19:$Z$288,24,FALSE)</f>
        <v>99.67</v>
      </c>
      <c r="J18" s="20">
        <f>VLOOKUP($B$11:$B$47,'Constr. Wage Rate Calculations'!$A$19:$Z$288,25,FALSE)</f>
        <v>85</v>
      </c>
      <c r="K18" s="179">
        <f t="shared" si="0"/>
        <v>782.72</v>
      </c>
    </row>
    <row r="19" spans="1:11" ht="15" customHeight="1">
      <c r="A19" s="48"/>
      <c r="B19" s="49" t="str">
        <f>VLOOKUP($C$11:$C$47,Personnel!$A$1:$B$1234,2,FALSE)</f>
        <v>FLAT DECK &lt; 5 TON</v>
      </c>
      <c r="C19" s="36" t="s">
        <v>4097</v>
      </c>
      <c r="D19" s="184">
        <v>8</v>
      </c>
      <c r="E19" s="179">
        <f>VLOOKUP($B$11:$B$47,'Constr. Wage Rate Calculations'!$A$19:$Z$288,22,FALSE)</f>
        <v>59.79</v>
      </c>
      <c r="F19" s="184">
        <v>4</v>
      </c>
      <c r="G19" s="179">
        <f>VLOOKUP($B$11:$B$47,'Constr. Wage Rate Calculations'!$A$19:$Z$288,23,FALSE)</f>
        <v>89.69</v>
      </c>
      <c r="H19" s="184"/>
      <c r="I19" s="179">
        <f>VLOOKUP($B$11:$B$47,'Constr. Wage Rate Calculations'!$A$19:$Z$288,24,FALSE)</f>
        <v>119.58</v>
      </c>
      <c r="J19" s="20">
        <f>VLOOKUP($B$11:$B$47,'Constr. Wage Rate Calculations'!$A$19:$Z$288,25,FALSE)</f>
        <v>85</v>
      </c>
      <c r="K19" s="179">
        <f t="shared" si="0"/>
        <v>922.07999999999993</v>
      </c>
    </row>
    <row r="20" spans="1:11" ht="15" customHeight="1">
      <c r="A20" s="48"/>
      <c r="B20" s="49">
        <f>VLOOKUP($C$11:$C$47,Personnel!$A$1:$B$1234,2,FALSE)</f>
        <v>0</v>
      </c>
      <c r="C20" s="36"/>
      <c r="D20" s="184"/>
      <c r="E20" s="179">
        <f>VLOOKUP($B$11:$B$47,'Constr. Wage Rate Calculations'!$A$19:$Z$288,22,FALSE)</f>
        <v>0</v>
      </c>
      <c r="F20" s="184"/>
      <c r="G20" s="179">
        <f>VLOOKUP($B$11:$B$47,'Constr. Wage Rate Calculations'!$A$19:$Z$288,23,FALSE)</f>
        <v>0</v>
      </c>
      <c r="H20" s="184"/>
      <c r="I20" s="179">
        <f>VLOOKUP($B$11:$B$47,'Constr. Wage Rate Calculations'!$A$19:$Z$288,24,FALSE)</f>
        <v>0</v>
      </c>
      <c r="J20" s="20">
        <f>VLOOKUP($B$11:$B$47,'Constr. Wage Rate Calculations'!$A$19:$Z$288,25,FALSE)</f>
        <v>0</v>
      </c>
      <c r="K20" s="179"/>
    </row>
    <row r="21" spans="1:11" ht="15" customHeight="1">
      <c r="A21" s="48"/>
      <c r="B21" s="49">
        <f>VLOOKUP($C$11:$C$47,Personnel!$A$1:$B$1234,2,FALSE)</f>
        <v>0</v>
      </c>
      <c r="C21" s="36"/>
      <c r="D21" s="184"/>
      <c r="E21" s="179">
        <f>VLOOKUP($B$11:$B$47,'Constr. Wage Rate Calculations'!$A$19:$Z$288,22,FALSE)</f>
        <v>0</v>
      </c>
      <c r="F21" s="184"/>
      <c r="G21" s="179">
        <f>VLOOKUP($B$11:$B$47,'Constr. Wage Rate Calculations'!$A$19:$Z$288,23,FALSE)</f>
        <v>0</v>
      </c>
      <c r="H21" s="184"/>
      <c r="I21" s="179">
        <f>VLOOKUP($B$11:$B$47,'Constr. Wage Rate Calculations'!$A$19:$Z$288,24,FALSE)</f>
        <v>0</v>
      </c>
      <c r="J21" s="20">
        <f>VLOOKUP($B$11:$B$47,'Constr. Wage Rate Calculations'!$A$19:$Z$288,25,FALSE)</f>
        <v>0</v>
      </c>
      <c r="K21" s="179" t="str">
        <f t="shared" si="0"/>
        <v/>
      </c>
    </row>
    <row r="22" spans="1:11" ht="15" customHeight="1">
      <c r="A22" s="48"/>
      <c r="B22" s="49">
        <f>VLOOKUP($C$11:$C$47,Personnel!$A$1:$B$1234,2,FALSE)</f>
        <v>0</v>
      </c>
      <c r="C22" s="36"/>
      <c r="D22" s="184"/>
      <c r="E22" s="179">
        <f>VLOOKUP($B$11:$B$47,'Constr. Wage Rate Calculations'!$A$19:$Z$288,22,FALSE)</f>
        <v>0</v>
      </c>
      <c r="F22" s="184"/>
      <c r="G22" s="179">
        <f>VLOOKUP($B$11:$B$47,'Constr. Wage Rate Calculations'!$A$19:$Z$288,23,FALSE)</f>
        <v>0</v>
      </c>
      <c r="H22" s="184"/>
      <c r="I22" s="179">
        <f>VLOOKUP($B$11:$B$47,'Constr. Wage Rate Calculations'!$A$19:$Z$288,24,FALSE)</f>
        <v>0</v>
      </c>
      <c r="J22" s="20">
        <f>VLOOKUP($B$11:$B$47,'Constr. Wage Rate Calculations'!$A$19:$Z$288,25,FALSE)</f>
        <v>0</v>
      </c>
      <c r="K22" s="179" t="str">
        <f t="shared" si="0"/>
        <v/>
      </c>
    </row>
    <row r="23" spans="1:11" ht="15" customHeight="1">
      <c r="A23" s="48"/>
      <c r="B23" s="49">
        <f>VLOOKUP($C$11:$C$47,Personnel!$A$1:$B$1234,2,FALSE)</f>
        <v>0</v>
      </c>
      <c r="C23" s="36"/>
      <c r="D23" s="184"/>
      <c r="E23" s="179">
        <f>VLOOKUP($B$11:$B$47,'Constr. Wage Rate Calculations'!$A$19:$Z$288,22,FALSE)</f>
        <v>0</v>
      </c>
      <c r="F23" s="184"/>
      <c r="G23" s="179">
        <f>VLOOKUP($B$11:$B$47,'Constr. Wage Rate Calculations'!$A$19:$Z$288,23,FALSE)</f>
        <v>0</v>
      </c>
      <c r="H23" s="184"/>
      <c r="I23" s="179">
        <f>VLOOKUP($B$11:$B$47,'Constr. Wage Rate Calculations'!$A$19:$Z$288,24,FALSE)</f>
        <v>0</v>
      </c>
      <c r="J23" s="20">
        <f>VLOOKUP($B$11:$B$47,'Constr. Wage Rate Calculations'!$A$19:$Z$288,25,FALSE)</f>
        <v>0</v>
      </c>
      <c r="K23" s="179" t="str">
        <f t="shared" si="0"/>
        <v/>
      </c>
    </row>
    <row r="24" spans="1:11" ht="15" customHeight="1">
      <c r="A24" s="48"/>
      <c r="B24" s="49">
        <f>VLOOKUP($C$11:$C$47,Personnel!$A$1:$B$1234,2,FALSE)</f>
        <v>0</v>
      </c>
      <c r="C24" s="36"/>
      <c r="D24" s="184"/>
      <c r="E24" s="179">
        <f>VLOOKUP($B$11:$B$47,'Constr. Wage Rate Calculations'!$A$19:$Z$288,22,FALSE)</f>
        <v>0</v>
      </c>
      <c r="F24" s="184"/>
      <c r="G24" s="179">
        <f>VLOOKUP($B$11:$B$47,'Constr. Wage Rate Calculations'!$A$19:$Z$288,23,FALSE)</f>
        <v>0</v>
      </c>
      <c r="H24" s="184"/>
      <c r="I24" s="179">
        <f>VLOOKUP($B$11:$B$47,'Constr. Wage Rate Calculations'!$A$19:$Z$288,24,FALSE)</f>
        <v>0</v>
      </c>
      <c r="J24" s="20">
        <f>VLOOKUP($B$11:$B$47,'Constr. Wage Rate Calculations'!$A$19:$Z$288,25,FALSE)</f>
        <v>0</v>
      </c>
      <c r="K24" s="179" t="str">
        <f t="shared" ref="K24:K43" si="1">IF($D24&gt;=1,$J24+(D24*E24)+(F24*G24)+(H24*I24),IF($F24&gt;=1,$J24+(D24*E24)+(F24*G24)+(H24*I24),IF($H24&gt;=1,$J24+(D24*E24)+(F24*G24)+(H24*I24),"")))</f>
        <v/>
      </c>
    </row>
    <row r="25" spans="1:11" ht="15" customHeight="1">
      <c r="A25" s="48"/>
      <c r="B25" s="49">
        <f>VLOOKUP($C$11:$C$47,Personnel!$A$1:$B$1234,2,FALSE)</f>
        <v>0</v>
      </c>
      <c r="C25" s="36"/>
      <c r="D25" s="184"/>
      <c r="E25" s="179">
        <f>VLOOKUP($B$11:$B$47,'Constr. Wage Rate Calculations'!$A$19:$Z$288,22,FALSE)</f>
        <v>0</v>
      </c>
      <c r="F25" s="184"/>
      <c r="G25" s="179">
        <f>VLOOKUP($B$11:$B$47,'Constr. Wage Rate Calculations'!$A$19:$Z$288,23,FALSE)</f>
        <v>0</v>
      </c>
      <c r="H25" s="184"/>
      <c r="I25" s="179">
        <f>VLOOKUP($B$11:$B$47,'Constr. Wage Rate Calculations'!$A$19:$Z$288,24,FALSE)</f>
        <v>0</v>
      </c>
      <c r="J25" s="20">
        <f>VLOOKUP($B$11:$B$47,'Constr. Wage Rate Calculations'!$A$19:$Z$288,25,FALSE)</f>
        <v>0</v>
      </c>
      <c r="K25" s="179" t="str">
        <f t="shared" si="1"/>
        <v/>
      </c>
    </row>
    <row r="26" spans="1:11" ht="15" customHeight="1">
      <c r="A26" s="48"/>
      <c r="B26" s="49">
        <f>VLOOKUP($C$11:$C$47,Personnel!$A$1:$B$1234,2,FALSE)</f>
        <v>0</v>
      </c>
      <c r="C26" s="36"/>
      <c r="D26" s="184"/>
      <c r="E26" s="179">
        <f>VLOOKUP($B$11:$B$47,'Constr. Wage Rate Calculations'!$A$19:$Z$288,22,FALSE)</f>
        <v>0</v>
      </c>
      <c r="F26" s="184"/>
      <c r="G26" s="179">
        <f>VLOOKUP($B$11:$B$47,'Constr. Wage Rate Calculations'!$A$19:$Z$288,23,FALSE)</f>
        <v>0</v>
      </c>
      <c r="H26" s="184"/>
      <c r="I26" s="179">
        <f>VLOOKUP($B$11:$B$47,'Constr. Wage Rate Calculations'!$A$19:$Z$288,24,FALSE)</f>
        <v>0</v>
      </c>
      <c r="J26" s="20">
        <f>VLOOKUP($B$11:$B$47,'Constr. Wage Rate Calculations'!$A$19:$Z$288,25,FALSE)</f>
        <v>0</v>
      </c>
      <c r="K26" s="179" t="str">
        <f t="shared" si="1"/>
        <v/>
      </c>
    </row>
    <row r="27" spans="1:11" ht="15" customHeight="1">
      <c r="A27" s="48"/>
      <c r="B27" s="49">
        <f>VLOOKUP($C$11:$C$47,Personnel!$A$1:$B$1234,2,FALSE)</f>
        <v>0</v>
      </c>
      <c r="C27" s="36"/>
      <c r="D27" s="184"/>
      <c r="E27" s="179">
        <f>VLOOKUP($B$11:$B$47,'Constr. Wage Rate Calculations'!$A$19:$Z$288,22,FALSE)</f>
        <v>0</v>
      </c>
      <c r="F27" s="184"/>
      <c r="G27" s="179">
        <f>VLOOKUP($B$11:$B$47,'Constr. Wage Rate Calculations'!$A$19:$Z$288,23,FALSE)</f>
        <v>0</v>
      </c>
      <c r="H27" s="184"/>
      <c r="I27" s="179">
        <f>VLOOKUP($B$11:$B$47,'Constr. Wage Rate Calculations'!$A$19:$Z$288,24,FALSE)</f>
        <v>0</v>
      </c>
      <c r="J27" s="20">
        <f>VLOOKUP($B$11:$B$47,'Constr. Wage Rate Calculations'!$A$19:$Z$288,25,FALSE)</f>
        <v>0</v>
      </c>
      <c r="K27" s="179" t="str">
        <f t="shared" si="1"/>
        <v/>
      </c>
    </row>
    <row r="28" spans="1:11" ht="15" customHeight="1">
      <c r="A28" s="48"/>
      <c r="B28" s="49">
        <f>VLOOKUP($C$11:$C$47,Personnel!$A$1:$B$1234,2,FALSE)</f>
        <v>0</v>
      </c>
      <c r="C28" s="36"/>
      <c r="D28" s="184"/>
      <c r="E28" s="179">
        <f>VLOOKUP($B$11:$B$47,'Constr. Wage Rate Calculations'!$A$19:$Z$288,22,FALSE)</f>
        <v>0</v>
      </c>
      <c r="F28" s="184"/>
      <c r="G28" s="179">
        <f>VLOOKUP($B$11:$B$47,'Constr. Wage Rate Calculations'!$A$19:$Z$288,23,FALSE)</f>
        <v>0</v>
      </c>
      <c r="H28" s="184"/>
      <c r="I28" s="179">
        <f>VLOOKUP($B$11:$B$47,'Constr. Wage Rate Calculations'!$A$19:$Z$288,24,FALSE)</f>
        <v>0</v>
      </c>
      <c r="J28" s="20">
        <f>VLOOKUP($B$11:$B$47,'Constr. Wage Rate Calculations'!$A$19:$Z$288,25,FALSE)</f>
        <v>0</v>
      </c>
      <c r="K28" s="179" t="str">
        <f t="shared" si="1"/>
        <v/>
      </c>
    </row>
    <row r="29" spans="1:11" ht="15" customHeight="1">
      <c r="A29" s="48"/>
      <c r="B29" s="49">
        <f>VLOOKUP($C$11:$C$47,Personnel!$A$1:$B$1234,2,FALSE)</f>
        <v>0</v>
      </c>
      <c r="C29" s="36"/>
      <c r="D29" s="184"/>
      <c r="E29" s="179">
        <f>VLOOKUP($B$11:$B$47,'Constr. Wage Rate Calculations'!$A$19:$Z$288,22,FALSE)</f>
        <v>0</v>
      </c>
      <c r="F29" s="184"/>
      <c r="G29" s="179">
        <f>VLOOKUP($B$11:$B$47,'Constr. Wage Rate Calculations'!$A$19:$Z$288,23,FALSE)</f>
        <v>0</v>
      </c>
      <c r="H29" s="184"/>
      <c r="I29" s="179">
        <f>VLOOKUP($B$11:$B$47,'Constr. Wage Rate Calculations'!$A$19:$Z$288,24,FALSE)</f>
        <v>0</v>
      </c>
      <c r="J29" s="20">
        <f>VLOOKUP($B$11:$B$47,'Constr. Wage Rate Calculations'!$A$19:$Z$288,25,FALSE)</f>
        <v>0</v>
      </c>
      <c r="K29" s="179" t="str">
        <f t="shared" si="1"/>
        <v/>
      </c>
    </row>
    <row r="30" spans="1:11" ht="15" customHeight="1">
      <c r="A30" s="48"/>
      <c r="B30" s="49">
        <f>VLOOKUP($C$11:$C$47,Personnel!$A$1:$B$1234,2,FALSE)</f>
        <v>0</v>
      </c>
      <c r="C30" s="36"/>
      <c r="D30" s="184"/>
      <c r="E30" s="179">
        <f>VLOOKUP($B$11:$B$47,'Constr. Wage Rate Calculations'!$A$19:$Z$288,22,FALSE)</f>
        <v>0</v>
      </c>
      <c r="F30" s="184"/>
      <c r="G30" s="179">
        <f>VLOOKUP($B$11:$B$47,'Constr. Wage Rate Calculations'!$A$19:$Z$288,23,FALSE)</f>
        <v>0</v>
      </c>
      <c r="H30" s="184"/>
      <c r="I30" s="179">
        <f>VLOOKUP($B$11:$B$47,'Constr. Wage Rate Calculations'!$A$19:$Z$288,24,FALSE)</f>
        <v>0</v>
      </c>
      <c r="J30" s="20">
        <f>VLOOKUP($B$11:$B$47,'Constr. Wage Rate Calculations'!$A$19:$Z$288,25,FALSE)</f>
        <v>0</v>
      </c>
      <c r="K30" s="179" t="str">
        <f t="shared" si="1"/>
        <v/>
      </c>
    </row>
    <row r="31" spans="1:11" ht="15" customHeight="1">
      <c r="A31" s="48"/>
      <c r="B31" s="49">
        <f>VLOOKUP($C$11:$C$47,Personnel!$A$1:$B$1234,2,FALSE)</f>
        <v>0</v>
      </c>
      <c r="C31" s="36"/>
      <c r="D31" s="184"/>
      <c r="E31" s="179">
        <f>VLOOKUP($B$11:$B$47,'Constr. Wage Rate Calculations'!$A$19:$Z$288,22,FALSE)</f>
        <v>0</v>
      </c>
      <c r="F31" s="184"/>
      <c r="G31" s="179">
        <f>VLOOKUP($B$11:$B$47,'Constr. Wage Rate Calculations'!$A$19:$Z$288,23,FALSE)</f>
        <v>0</v>
      </c>
      <c r="H31" s="184"/>
      <c r="I31" s="179">
        <f>VLOOKUP($B$11:$B$47,'Constr. Wage Rate Calculations'!$A$19:$Z$288,24,FALSE)</f>
        <v>0</v>
      </c>
      <c r="J31" s="20">
        <f>VLOOKUP($B$11:$B$47,'Constr. Wage Rate Calculations'!$A$19:$Z$288,25,FALSE)</f>
        <v>0</v>
      </c>
      <c r="K31" s="179" t="str">
        <f t="shared" si="1"/>
        <v/>
      </c>
    </row>
    <row r="32" spans="1:11" ht="15" customHeight="1">
      <c r="A32" s="48"/>
      <c r="B32" s="49">
        <f>VLOOKUP($C$11:$C$47,Personnel!$A$1:$B$1234,2,FALSE)</f>
        <v>0</v>
      </c>
      <c r="C32" s="36"/>
      <c r="D32" s="184"/>
      <c r="E32" s="179">
        <f>VLOOKUP($B$11:$B$47,'Constr. Wage Rate Calculations'!$A$19:$Z$288,22,FALSE)</f>
        <v>0</v>
      </c>
      <c r="F32" s="184"/>
      <c r="G32" s="179">
        <f>VLOOKUP($B$11:$B$47,'Constr. Wage Rate Calculations'!$A$19:$Z$288,23,FALSE)</f>
        <v>0</v>
      </c>
      <c r="H32" s="184"/>
      <c r="I32" s="179">
        <f>VLOOKUP($B$11:$B$47,'Constr. Wage Rate Calculations'!$A$19:$Z$288,24,FALSE)</f>
        <v>0</v>
      </c>
      <c r="J32" s="20">
        <f>VLOOKUP($B$11:$B$47,'Constr. Wage Rate Calculations'!$A$19:$Z$288,25,FALSE)</f>
        <v>0</v>
      </c>
      <c r="K32" s="179" t="str">
        <f t="shared" si="1"/>
        <v/>
      </c>
    </row>
    <row r="33" spans="1:15" ht="15" customHeight="1">
      <c r="A33" s="48"/>
      <c r="B33" s="49">
        <f>VLOOKUP($C$11:$C$47,Personnel!$A$1:$B$1234,2,FALSE)</f>
        <v>0</v>
      </c>
      <c r="C33" s="36"/>
      <c r="D33" s="184"/>
      <c r="E33" s="179">
        <f>VLOOKUP($B$11:$B$47,'Constr. Wage Rate Calculations'!$A$19:$Z$288,22,FALSE)</f>
        <v>0</v>
      </c>
      <c r="F33" s="184"/>
      <c r="G33" s="179">
        <f>VLOOKUP($B$11:$B$47,'Constr. Wage Rate Calculations'!$A$19:$Z$288,23,FALSE)</f>
        <v>0</v>
      </c>
      <c r="H33" s="184"/>
      <c r="I33" s="179">
        <f>VLOOKUP($B$11:$B$47,'Constr. Wage Rate Calculations'!$A$19:$Z$288,24,FALSE)</f>
        <v>0</v>
      </c>
      <c r="J33" s="20">
        <f>VLOOKUP($B$11:$B$47,'Constr. Wage Rate Calculations'!$A$19:$Z$288,25,FALSE)</f>
        <v>0</v>
      </c>
      <c r="K33" s="179" t="str">
        <f t="shared" si="1"/>
        <v/>
      </c>
    </row>
    <row r="34" spans="1:15" ht="15" customHeight="1">
      <c r="A34" s="48"/>
      <c r="B34" s="49">
        <f>VLOOKUP($C$11:$C$47,Personnel!$A$1:$B$1234,2,FALSE)</f>
        <v>0</v>
      </c>
      <c r="C34" s="36"/>
      <c r="D34" s="184"/>
      <c r="E34" s="179">
        <f>VLOOKUP($B$11:$B$47,'Constr. Wage Rate Calculations'!$A$19:$Z$288,22,FALSE)</f>
        <v>0</v>
      </c>
      <c r="F34" s="184"/>
      <c r="G34" s="179">
        <f>VLOOKUP($B$11:$B$47,'Constr. Wage Rate Calculations'!$A$19:$Z$288,23,FALSE)</f>
        <v>0</v>
      </c>
      <c r="H34" s="184"/>
      <c r="I34" s="179">
        <f>VLOOKUP($B$11:$B$47,'Constr. Wage Rate Calculations'!$A$19:$Z$288,24,FALSE)</f>
        <v>0</v>
      </c>
      <c r="J34" s="20">
        <f>VLOOKUP($B$11:$B$47,'Constr. Wage Rate Calculations'!$A$19:$Z$288,25,FALSE)</f>
        <v>0</v>
      </c>
      <c r="K34" s="179" t="str">
        <f t="shared" si="1"/>
        <v/>
      </c>
    </row>
    <row r="35" spans="1:15" ht="15" customHeight="1">
      <c r="A35" s="48"/>
      <c r="B35" s="49">
        <f>VLOOKUP($C$11:$C$47,Personnel!$A$1:$B$1234,2,FALSE)</f>
        <v>0</v>
      </c>
      <c r="C35" s="36"/>
      <c r="D35" s="184"/>
      <c r="E35" s="179">
        <f>VLOOKUP($B$11:$B$47,'Constr. Wage Rate Calculations'!$A$19:$Z$288,22,FALSE)</f>
        <v>0</v>
      </c>
      <c r="F35" s="184"/>
      <c r="G35" s="179">
        <f>VLOOKUP($B$11:$B$47,'Constr. Wage Rate Calculations'!$A$19:$Z$288,23,FALSE)</f>
        <v>0</v>
      </c>
      <c r="H35" s="184"/>
      <c r="I35" s="179">
        <f>VLOOKUP($B$11:$B$47,'Constr. Wage Rate Calculations'!$A$19:$Z$288,24,FALSE)</f>
        <v>0</v>
      </c>
      <c r="J35" s="20">
        <f>VLOOKUP($B$11:$B$47,'Constr. Wage Rate Calculations'!$A$19:$Z$288,25,FALSE)</f>
        <v>0</v>
      </c>
      <c r="K35" s="179" t="str">
        <f t="shared" si="1"/>
        <v/>
      </c>
    </row>
    <row r="36" spans="1:15" ht="15" customHeight="1">
      <c r="A36" s="48"/>
      <c r="B36" s="49">
        <f>VLOOKUP($C$11:$C$47,Personnel!$A$1:$B$1234,2,FALSE)</f>
        <v>0</v>
      </c>
      <c r="C36" s="36"/>
      <c r="D36" s="184"/>
      <c r="E36" s="179">
        <f>VLOOKUP($B$11:$B$47,'Constr. Wage Rate Calculations'!$A$19:$Z$288,22,FALSE)</f>
        <v>0</v>
      </c>
      <c r="F36" s="184"/>
      <c r="G36" s="179">
        <f>VLOOKUP($B$11:$B$47,'Constr. Wage Rate Calculations'!$A$19:$Z$288,23,FALSE)</f>
        <v>0</v>
      </c>
      <c r="H36" s="184"/>
      <c r="I36" s="179">
        <f>VLOOKUP($B$11:$B$47,'Constr. Wage Rate Calculations'!$A$19:$Z$288,24,FALSE)</f>
        <v>0</v>
      </c>
      <c r="J36" s="20">
        <f>VLOOKUP($B$11:$B$47,'Constr. Wage Rate Calculations'!$A$19:$Z$288,25,FALSE)</f>
        <v>0</v>
      </c>
      <c r="K36" s="179" t="str">
        <f t="shared" si="1"/>
        <v/>
      </c>
    </row>
    <row r="37" spans="1:15" ht="15" customHeight="1">
      <c r="A37" s="48"/>
      <c r="B37" s="49">
        <f>VLOOKUP($C$11:$C$47,Personnel!$A$1:$B$1234,2,FALSE)</f>
        <v>0</v>
      </c>
      <c r="C37" s="36"/>
      <c r="D37" s="184"/>
      <c r="E37" s="179">
        <f>VLOOKUP($B$11:$B$47,'Constr. Wage Rate Calculations'!$A$19:$Z$288,22,FALSE)</f>
        <v>0</v>
      </c>
      <c r="F37" s="184"/>
      <c r="G37" s="179">
        <f>VLOOKUP($B$11:$B$47,'Constr. Wage Rate Calculations'!$A$19:$Z$288,23,FALSE)</f>
        <v>0</v>
      </c>
      <c r="H37" s="184"/>
      <c r="I37" s="179">
        <f>VLOOKUP($B$11:$B$47,'Constr. Wage Rate Calculations'!$A$19:$Z$288,24,FALSE)</f>
        <v>0</v>
      </c>
      <c r="J37" s="20">
        <f>VLOOKUP($B$11:$B$47,'Constr. Wage Rate Calculations'!$A$19:$Z$288,25,FALSE)</f>
        <v>0</v>
      </c>
      <c r="K37" s="179" t="str">
        <f t="shared" ref="K37:K42" si="2">IF($D37&gt;=1,$J37+(D37*E37)+(F37*G37)+(H37*I37),IF($F37&gt;=1,$J37+(D37*E37)+(F37*G37)+(H37*I37),IF($H37&gt;=1,$J37+(D37*E37)+(F37*G37)+(H37*I37),"")))</f>
        <v/>
      </c>
    </row>
    <row r="38" spans="1:15" ht="15" customHeight="1">
      <c r="A38" s="48"/>
      <c r="B38" s="49">
        <f>VLOOKUP($C$11:$C$47,Personnel!$A$1:$B$1234,2,FALSE)</f>
        <v>0</v>
      </c>
      <c r="C38" s="36"/>
      <c r="D38" s="184"/>
      <c r="E38" s="179">
        <f>VLOOKUP($B$11:$B$47,'Constr. Wage Rate Calculations'!$A$19:$Z$288,22,FALSE)</f>
        <v>0</v>
      </c>
      <c r="F38" s="184"/>
      <c r="G38" s="179">
        <f>VLOOKUP($B$11:$B$47,'Constr. Wage Rate Calculations'!$A$19:$Z$288,23,FALSE)</f>
        <v>0</v>
      </c>
      <c r="H38" s="184"/>
      <c r="I38" s="179">
        <f>VLOOKUP($B$11:$B$47,'Constr. Wage Rate Calculations'!$A$19:$Z$288,24,FALSE)</f>
        <v>0</v>
      </c>
      <c r="J38" s="20">
        <f>VLOOKUP($B$11:$B$47,'Constr. Wage Rate Calculations'!$A$19:$Z$288,25,FALSE)</f>
        <v>0</v>
      </c>
      <c r="K38" s="179" t="str">
        <f t="shared" si="2"/>
        <v/>
      </c>
    </row>
    <row r="39" spans="1:15" ht="15" customHeight="1">
      <c r="A39" s="48"/>
      <c r="B39" s="49">
        <f>VLOOKUP($C$11:$C$47,Personnel!$A$1:$B$1234,2,FALSE)</f>
        <v>0</v>
      </c>
      <c r="C39" s="36"/>
      <c r="D39" s="184"/>
      <c r="E39" s="179">
        <f>VLOOKUP($B$11:$B$47,'Constr. Wage Rate Calculations'!$A$19:$Z$288,22,FALSE)</f>
        <v>0</v>
      </c>
      <c r="F39" s="184"/>
      <c r="G39" s="179">
        <f>VLOOKUP($B$11:$B$47,'Constr. Wage Rate Calculations'!$A$19:$Z$288,23,FALSE)</f>
        <v>0</v>
      </c>
      <c r="H39" s="184"/>
      <c r="I39" s="179">
        <f>VLOOKUP($B$11:$B$47,'Constr. Wage Rate Calculations'!$A$19:$Z$288,24,FALSE)</f>
        <v>0</v>
      </c>
      <c r="J39" s="20">
        <f>VLOOKUP($B$11:$B$47,'Constr. Wage Rate Calculations'!$A$19:$Z$288,25,FALSE)</f>
        <v>0</v>
      </c>
      <c r="K39" s="179" t="str">
        <f t="shared" si="2"/>
        <v/>
      </c>
    </row>
    <row r="40" spans="1:15" ht="15" customHeight="1">
      <c r="A40" s="48"/>
      <c r="B40" s="49">
        <f>VLOOKUP($C$11:$C$47,Personnel!$A$1:$B$1234,2,FALSE)</f>
        <v>0</v>
      </c>
      <c r="C40" s="36"/>
      <c r="D40" s="184"/>
      <c r="E40" s="179">
        <f>VLOOKUP($B$11:$B$47,'Constr. Wage Rate Calculations'!$A$19:$Z$288,22,FALSE)</f>
        <v>0</v>
      </c>
      <c r="F40" s="184"/>
      <c r="G40" s="179">
        <f>VLOOKUP($B$11:$B$47,'Constr. Wage Rate Calculations'!$A$19:$Z$288,23,FALSE)</f>
        <v>0</v>
      </c>
      <c r="H40" s="184"/>
      <c r="I40" s="179">
        <f>VLOOKUP($B$11:$B$47,'Constr. Wage Rate Calculations'!$A$19:$Z$288,24,FALSE)</f>
        <v>0</v>
      </c>
      <c r="J40" s="20">
        <f>VLOOKUP($B$11:$B$47,'Constr. Wage Rate Calculations'!$A$19:$Z$288,25,FALSE)</f>
        <v>0</v>
      </c>
      <c r="K40" s="179" t="str">
        <f t="shared" si="2"/>
        <v/>
      </c>
    </row>
    <row r="41" spans="1:15" ht="15" customHeight="1">
      <c r="A41" s="48"/>
      <c r="B41" s="49">
        <f>VLOOKUP($C$11:$C$47,Personnel!$A$1:$B$1234,2,FALSE)</f>
        <v>0</v>
      </c>
      <c r="C41" s="36"/>
      <c r="D41" s="184"/>
      <c r="E41" s="179">
        <f>VLOOKUP($B$11:$B$47,'Constr. Wage Rate Calculations'!$A$19:$Z$288,22,FALSE)</f>
        <v>0</v>
      </c>
      <c r="F41" s="184"/>
      <c r="G41" s="179">
        <f>VLOOKUP($B$11:$B$47,'Constr. Wage Rate Calculations'!$A$19:$Z$288,23,FALSE)</f>
        <v>0</v>
      </c>
      <c r="H41" s="184"/>
      <c r="I41" s="179">
        <f>VLOOKUP($B$11:$B$47,'Constr. Wage Rate Calculations'!$A$19:$Z$288,24,FALSE)</f>
        <v>0</v>
      </c>
      <c r="J41" s="20">
        <f>VLOOKUP($B$11:$B$47,'Constr. Wage Rate Calculations'!$A$19:$Z$288,25,FALSE)</f>
        <v>0</v>
      </c>
      <c r="K41" s="179" t="str">
        <f t="shared" si="2"/>
        <v/>
      </c>
    </row>
    <row r="42" spans="1:15" ht="15" customHeight="1">
      <c r="A42" s="48"/>
      <c r="B42" s="49">
        <f>VLOOKUP($C$11:$C$47,Personnel!$A$1:$B$1234,2,FALSE)</f>
        <v>0</v>
      </c>
      <c r="C42" s="36"/>
      <c r="D42" s="184"/>
      <c r="E42" s="179">
        <f>VLOOKUP($B$11:$B$47,'Constr. Wage Rate Calculations'!$A$19:$Z$288,22,FALSE)</f>
        <v>0</v>
      </c>
      <c r="F42" s="184"/>
      <c r="G42" s="179">
        <f>VLOOKUP($B$11:$B$47,'Constr. Wage Rate Calculations'!$A$19:$Z$288,23,FALSE)</f>
        <v>0</v>
      </c>
      <c r="H42" s="184"/>
      <c r="I42" s="179">
        <f>VLOOKUP($B$11:$B$47,'Constr. Wage Rate Calculations'!$A$19:$Z$288,24,FALSE)</f>
        <v>0</v>
      </c>
      <c r="J42" s="20">
        <f>VLOOKUP($B$11:$B$47,'Constr. Wage Rate Calculations'!$A$19:$Z$288,25,FALSE)</f>
        <v>0</v>
      </c>
      <c r="K42" s="179" t="str">
        <f t="shared" si="2"/>
        <v/>
      </c>
    </row>
    <row r="43" spans="1:15" ht="15" customHeight="1">
      <c r="A43" s="48"/>
      <c r="B43" s="49">
        <f>VLOOKUP($C$11:$C$47,Personnel!$A$1:$B$1234,2,FALSE)</f>
        <v>0</v>
      </c>
      <c r="C43" s="36"/>
      <c r="D43" s="184"/>
      <c r="E43" s="179">
        <f>VLOOKUP($B$11:$B$47,'Constr. Wage Rate Calculations'!$A$19:$Z$288,22,FALSE)</f>
        <v>0</v>
      </c>
      <c r="F43" s="184"/>
      <c r="G43" s="179">
        <f>VLOOKUP($B$11:$B$47,'Constr. Wage Rate Calculations'!$A$19:$Z$288,23,FALSE)</f>
        <v>0</v>
      </c>
      <c r="H43" s="184"/>
      <c r="I43" s="179">
        <f>VLOOKUP($B$11:$B$47,'Constr. Wage Rate Calculations'!$A$19:$Z$288,24,FALSE)</f>
        <v>0</v>
      </c>
      <c r="J43" s="20">
        <f>VLOOKUP($B$11:$B$47,'Constr. Wage Rate Calculations'!$A$19:$Z$288,25,FALSE)</f>
        <v>0</v>
      </c>
      <c r="K43" s="179" t="str">
        <f t="shared" si="1"/>
        <v/>
      </c>
    </row>
    <row r="44" spans="1:15" ht="15" customHeight="1">
      <c r="A44" s="48"/>
      <c r="B44" s="49">
        <f>VLOOKUP($C$11:$C$47,Personnel!$A$1:$B$1234,2,FALSE)</f>
        <v>0</v>
      </c>
      <c r="C44" s="36"/>
      <c r="D44" s="184"/>
      <c r="E44" s="179">
        <f>VLOOKUP($B$11:$B$47,'Constr. Wage Rate Calculations'!$A$19:$Z$288,22,FALSE)</f>
        <v>0</v>
      </c>
      <c r="F44" s="184"/>
      <c r="G44" s="179">
        <f>VLOOKUP($B$11:$B$47,'Constr. Wage Rate Calculations'!$A$19:$Z$288,23,FALSE)</f>
        <v>0</v>
      </c>
      <c r="H44" s="184"/>
      <c r="I44" s="179">
        <f>VLOOKUP($B$11:$B$47,'Constr. Wage Rate Calculations'!$A$19:$Z$288,24,FALSE)</f>
        <v>0</v>
      </c>
      <c r="J44" s="20">
        <f>VLOOKUP($B$11:$B$47,'Constr. Wage Rate Calculations'!$A$19:$Z$288,25,FALSE)</f>
        <v>0</v>
      </c>
      <c r="K44" s="179" t="str">
        <f>IF($D44&gt;=1,$J44+(D44*E44)+(F44*G44)+(H44*I44),IF($F44&gt;=1,$J44+(D44*E44)+(F44*G44)+(H44*I44),IF($H44&gt;=1,$J44+(D44*E44)+(F44*G44)+(H44*I44),"")))</f>
        <v/>
      </c>
    </row>
    <row r="45" spans="1:15" ht="15" customHeight="1">
      <c r="A45" s="48"/>
      <c r="B45" s="49">
        <f>VLOOKUP($C$11:$C$47,Personnel!$A$1:$B$1234,2,FALSE)</f>
        <v>0</v>
      </c>
      <c r="C45" s="36"/>
      <c r="D45" s="184"/>
      <c r="E45" s="179">
        <f>VLOOKUP($B$11:$B$47,'Constr. Wage Rate Calculations'!$A$19:$Z$288,22,FALSE)</f>
        <v>0</v>
      </c>
      <c r="F45" s="184"/>
      <c r="G45" s="179">
        <f>VLOOKUP($B$11:$B$47,'Constr. Wage Rate Calculations'!$A$19:$Z$288,23,FALSE)</f>
        <v>0</v>
      </c>
      <c r="H45" s="184"/>
      <c r="I45" s="179">
        <f>VLOOKUP($B$11:$B$47,'Constr. Wage Rate Calculations'!$A$19:$Z$288,24,FALSE)</f>
        <v>0</v>
      </c>
      <c r="J45" s="20">
        <f>VLOOKUP($B$11:$B$47,'Constr. Wage Rate Calculations'!$A$19:$Z$288,25,FALSE)</f>
        <v>0</v>
      </c>
      <c r="K45" s="179" t="str">
        <f>IF($D45&gt;=1,$J45+(D45*E45)+(F45*G45)+(H45*I45),IF($F45&gt;=1,$J45+(D45*E45)+(F45*G45)+(H45*I45),IF($H45&gt;=1,$J45+(D45*E45)+(F45*G45)+(H45*I45),"")))</f>
        <v/>
      </c>
    </row>
    <row r="46" spans="1:15" ht="15" customHeight="1">
      <c r="A46" s="48"/>
      <c r="B46" s="49">
        <f>VLOOKUP($C$11:$C$47,Personnel!$A$1:$B$1234,2,FALSE)</f>
        <v>0</v>
      </c>
      <c r="C46" s="36"/>
      <c r="D46" s="184"/>
      <c r="E46" s="179">
        <f>VLOOKUP($B$11:$B$47,'Constr. Wage Rate Calculations'!$A$19:$Z$288,22,FALSE)</f>
        <v>0</v>
      </c>
      <c r="F46" s="184"/>
      <c r="G46" s="179">
        <f>VLOOKUP($B$11:$B$47,'Constr. Wage Rate Calculations'!$A$19:$Z$288,23,FALSE)</f>
        <v>0</v>
      </c>
      <c r="H46" s="184"/>
      <c r="I46" s="179">
        <f>VLOOKUP($B$11:$B$47,'Constr. Wage Rate Calculations'!$A$19:$Z$288,24,FALSE)</f>
        <v>0</v>
      </c>
      <c r="J46" s="20">
        <f>VLOOKUP($B$11:$B$47,'Constr. Wage Rate Calculations'!$A$19:$Z$288,25,FALSE)</f>
        <v>0</v>
      </c>
      <c r="K46" s="179" t="str">
        <f>IF($D46&gt;=1,$J46+(D46*E46)+(F46*G46)+(H46*I46),IF($F46&gt;=1,$J46+(D46*E46)+(F46*G46)+(H46*I46),IF($H46&gt;=1,$J46+(D46*E46)+(F46*G46)+(H46*I46),"")))</f>
        <v/>
      </c>
    </row>
    <row r="47" spans="1:15" ht="15" customHeight="1" thickBot="1">
      <c r="A47" s="48"/>
      <c r="B47" s="49">
        <f>VLOOKUP($C$11:$C$47,Personnel!$A$1:$B$1234,2,FALSE)</f>
        <v>0</v>
      </c>
      <c r="C47" s="36"/>
      <c r="D47" s="184"/>
      <c r="E47" s="179">
        <f>VLOOKUP($B$11:$B$47,'Constr. Wage Rate Calculations'!$A$19:$Z$288,22,FALSE)</f>
        <v>0</v>
      </c>
      <c r="F47" s="184"/>
      <c r="G47" s="179">
        <f>VLOOKUP($B$11:$B$47,'Constr. Wage Rate Calculations'!$A$19:$Z$288,23,FALSE)</f>
        <v>0</v>
      </c>
      <c r="H47" s="184"/>
      <c r="I47" s="179">
        <f>VLOOKUP($B$11:$B$47,'Constr. Wage Rate Calculations'!$A$19:$Z$288,24,FALSE)</f>
        <v>0</v>
      </c>
      <c r="J47" s="20">
        <f>VLOOKUP($B$11:$B$47,'Constr. Wage Rate Calculations'!$A$19:$Z$288,25,FALSE)</f>
        <v>0</v>
      </c>
      <c r="K47" s="179" t="str">
        <f>IF($D47&gt;=1,$J47+(D47*E47)+(F47*G47)+(H47*I47),IF($F47&gt;=1,$J47+(D47*E47)+(F47*G47)+(H47*I47),IF($H47&gt;=1,$J47+(D47*E47)+(F47*G47)+(H47*I47),"")))</f>
        <v/>
      </c>
      <c r="M47" s="1">
        <f>SUM(M11:M46)</f>
        <v>0</v>
      </c>
    </row>
    <row r="48" spans="1:15" ht="15" customHeight="1" thickBot="1">
      <c r="A48"/>
      <c r="B48"/>
      <c r="C48"/>
      <c r="D48" s="21"/>
      <c r="E48" s="21"/>
      <c r="F48" s="21"/>
      <c r="G48" s="21"/>
      <c r="H48" s="21"/>
      <c r="I48" s="360" t="s">
        <v>18</v>
      </c>
      <c r="J48" s="361"/>
      <c r="K48" s="206">
        <f>SUM(K11:K47)</f>
        <v>6679.8400000000011</v>
      </c>
      <c r="M48" s="1">
        <f>SUMIFS(D11:D47,D11:D47,"&lt;3",D11:D47,"&lt;5")</f>
        <v>0</v>
      </c>
      <c r="N48" s="1">
        <f>SUMIFS(D11:D47,D11:D47,"&gt;3",D11:D47,"&gt;5")</f>
        <v>64</v>
      </c>
      <c r="O48" s="1">
        <f>SUM(F11:F47,H11:H47,M48,N48)-M47</f>
        <v>96</v>
      </c>
    </row>
    <row r="49" spans="1:11" ht="10" customHeight="1" thickBot="1"/>
    <row r="50" spans="1:11" s="19" customFormat="1" ht="15" customHeight="1" thickBot="1">
      <c r="A50" s="22" t="s">
        <v>19</v>
      </c>
      <c r="B50" s="23" t="s">
        <v>20</v>
      </c>
      <c r="C50" s="23"/>
      <c r="D50" s="23"/>
      <c r="E50" s="23"/>
      <c r="F50" s="23"/>
      <c r="G50" s="23"/>
      <c r="H50" s="18" t="s">
        <v>21</v>
      </c>
      <c r="I50" s="18" t="s">
        <v>22</v>
      </c>
      <c r="J50" s="18" t="s">
        <v>23</v>
      </c>
      <c r="K50" s="18" t="s">
        <v>17</v>
      </c>
    </row>
    <row r="51" spans="1:11" ht="15" customHeight="1">
      <c r="A51" s="43"/>
      <c r="B51" s="49">
        <f>VLOOKUP($C$51:$C$70,Equipment!$A$1:$B$2322,2,FALSE)</f>
        <v>0</v>
      </c>
      <c r="C51" s="24"/>
      <c r="D51" s="24"/>
      <c r="E51" s="24"/>
      <c r="F51" s="24"/>
      <c r="G51" s="24"/>
      <c r="H51" s="185"/>
      <c r="I51" s="184"/>
      <c r="J51" s="42">
        <f>VLOOKUP($B$51:$B$70,'Alberta Equip. Rates Year 3'!$B$13:$K$314,10,FALSE)</f>
        <v>0</v>
      </c>
      <c r="K51" s="181">
        <f t="shared" ref="K51:K58" si="3">(H51+I51)*J51</f>
        <v>0</v>
      </c>
    </row>
    <row r="52" spans="1:11" ht="15" customHeight="1">
      <c r="A52" s="43"/>
      <c r="B52" s="49" t="str">
        <f>VLOOKUP($C$51:$C$70,Equipment!$A$1:$B$2322,2,FALSE)</f>
        <v>2 Ton Sandblast Unit - Truck, Compressor, Pot</v>
      </c>
      <c r="C52" s="24" t="s">
        <v>3159</v>
      </c>
      <c r="D52" s="24"/>
      <c r="E52" s="24"/>
      <c r="F52" s="24"/>
      <c r="G52" s="24"/>
      <c r="H52" s="185">
        <v>1</v>
      </c>
      <c r="I52" s="184"/>
      <c r="J52" s="42">
        <f>VLOOKUP($B$51:$B$70,'Alberta Equip. Rates Year 3'!$B$13:$K$314,10,FALSE)</f>
        <v>410</v>
      </c>
      <c r="K52" s="181">
        <f t="shared" si="3"/>
        <v>410</v>
      </c>
    </row>
    <row r="53" spans="1:11" ht="15" customHeight="1">
      <c r="A53" s="43"/>
      <c r="B53" s="49" t="str">
        <f>VLOOKUP($C$51:$C$70,Equipment!$A$1:$B$2322,2,FALSE)</f>
        <v>2 Ton Sandblast Unit - Truck, Compressor, Pot</v>
      </c>
      <c r="C53" s="24" t="s">
        <v>3160</v>
      </c>
      <c r="D53" s="24"/>
      <c r="E53" s="24"/>
      <c r="F53" s="24"/>
      <c r="G53" s="24"/>
      <c r="H53" s="185">
        <v>1</v>
      </c>
      <c r="I53" s="184"/>
      <c r="J53" s="208">
        <f>VLOOKUP($B$51:$B$70,'Alberta Equip. Rates Year 3'!$B$13:$K$314,10,FALSE)</f>
        <v>410</v>
      </c>
      <c r="K53" s="181">
        <f t="shared" si="3"/>
        <v>410</v>
      </c>
    </row>
    <row r="54" spans="1:11" ht="15" customHeight="1">
      <c r="A54" s="43"/>
      <c r="B54" s="49" t="str">
        <f>VLOOKUP($C$51:$C$70,Equipment!$A$1:$B$2322,2,FALSE)</f>
        <v>2 Ton Sandblast Unit - Truck, Compressor, Pot</v>
      </c>
      <c r="C54" s="24" t="s">
        <v>4198</v>
      </c>
      <c r="D54" s="24"/>
      <c r="E54" s="24"/>
      <c r="F54" s="24"/>
      <c r="G54" s="24"/>
      <c r="H54" s="185">
        <v>1</v>
      </c>
      <c r="I54" s="184"/>
      <c r="J54" s="42">
        <f>VLOOKUP($B$51:$B$70,'Alberta Equip. Rates Year 3'!$B$13:$K$314,10,FALSE)</f>
        <v>410</v>
      </c>
      <c r="K54" s="181">
        <f t="shared" si="3"/>
        <v>410</v>
      </c>
    </row>
    <row r="55" spans="1:11" ht="15" customHeight="1">
      <c r="A55" s="43"/>
      <c r="B55" s="49" t="str">
        <f>VLOOKUP($C$51:$C$70,Equipment!$A$1:$B$2322,2,FALSE)</f>
        <v>2 Ton Sandblast Unit - Truck, Compressor, Pot</v>
      </c>
      <c r="C55" s="24" t="s">
        <v>973</v>
      </c>
      <c r="D55" s="24"/>
      <c r="E55" s="24"/>
      <c r="F55" s="24"/>
      <c r="G55" s="24"/>
      <c r="H55" s="185">
        <v>1</v>
      </c>
      <c r="I55" s="184"/>
      <c r="J55" s="42">
        <f>VLOOKUP($B$51:$B$70,'Alberta Equip. Rates Year 3'!$B$13:$K$314,10,FALSE)</f>
        <v>410</v>
      </c>
      <c r="K55" s="181">
        <f t="shared" si="3"/>
        <v>410</v>
      </c>
    </row>
    <row r="56" spans="1:11" ht="15" customHeight="1">
      <c r="A56" s="43"/>
      <c r="B56" s="49" t="str">
        <f>VLOOKUP($C$51:$C$70,Equipment!$A$1:$B$2322,2,FALSE)</f>
        <v>Crewcab - 1 Ton</v>
      </c>
      <c r="C56" s="24" t="s">
        <v>2734</v>
      </c>
      <c r="D56" s="24"/>
      <c r="E56" s="24"/>
      <c r="F56" s="24"/>
      <c r="G56" s="24"/>
      <c r="H56" s="185">
        <v>1</v>
      </c>
      <c r="I56" s="184"/>
      <c r="J56" s="42">
        <f>VLOOKUP($B$51:$B$70,'Alberta Equip. Rates Year 3'!$B$13:$K$314,10,FALSE)</f>
        <v>163</v>
      </c>
      <c r="K56" s="181">
        <f t="shared" si="3"/>
        <v>163</v>
      </c>
    </row>
    <row r="57" spans="1:11" ht="15" customHeight="1">
      <c r="A57" s="43"/>
      <c r="B57" s="49" t="str">
        <f>VLOOKUP($C$51:$C$70,Equipment!$A$1:$B$2322,2,FALSE)</f>
        <v>Pickup - 1/2 Ton</v>
      </c>
      <c r="C57" s="24" t="s">
        <v>2661</v>
      </c>
      <c r="D57" s="24"/>
      <c r="E57" s="24"/>
      <c r="F57" s="24"/>
      <c r="G57" s="24"/>
      <c r="H57" s="185">
        <v>1</v>
      </c>
      <c r="I57" s="184"/>
      <c r="J57" s="42">
        <f>VLOOKUP($B$51:$B$70,'Alberta Equip. Rates Year 3'!$B$13:$K$314,10,FALSE)</f>
        <v>125</v>
      </c>
      <c r="K57" s="181">
        <f t="shared" si="3"/>
        <v>125</v>
      </c>
    </row>
    <row r="58" spans="1:11" ht="15" customHeight="1">
      <c r="A58" s="43"/>
      <c r="B58" s="49">
        <f>VLOOKUP($C$51:$C$70,Equipment!$A$1:$B$2322,2,FALSE)</f>
        <v>0</v>
      </c>
      <c r="C58" s="24"/>
      <c r="D58" s="24"/>
      <c r="E58" s="24"/>
      <c r="F58" s="24"/>
      <c r="G58" s="24"/>
      <c r="H58" s="185"/>
      <c r="I58" s="184"/>
      <c r="J58" s="42">
        <f>VLOOKUP($B$51:$B$70,'Alberta Equip. Rates Year 3'!$B$13:$K$314,10,FALSE)</f>
        <v>0</v>
      </c>
      <c r="K58" s="181">
        <f t="shared" si="3"/>
        <v>0</v>
      </c>
    </row>
    <row r="59" spans="1:11" ht="15" customHeight="1">
      <c r="A59" s="43"/>
      <c r="B59" s="49">
        <f>VLOOKUP($C$51:$C$70,Equipment!$A$1:$B$2322,2,FALSE)</f>
        <v>0</v>
      </c>
      <c r="C59" s="24"/>
      <c r="D59" s="24"/>
      <c r="E59" s="24"/>
      <c r="F59" s="24"/>
      <c r="G59" s="24"/>
      <c r="H59" s="185"/>
      <c r="I59" s="184"/>
      <c r="J59" s="42">
        <f>VLOOKUP($B$51:$B$70,'Alberta Equip. Rates Year 3'!$B$13:$K$314,10,FALSE)</f>
        <v>0</v>
      </c>
      <c r="K59" s="181">
        <f t="shared" ref="K59:K67" si="4">(H59+I59)*J59</f>
        <v>0</v>
      </c>
    </row>
    <row r="60" spans="1:11" ht="15" customHeight="1">
      <c r="A60" s="43"/>
      <c r="B60" s="49">
        <f>VLOOKUP($C$51:$C$70,Equipment!$A$1:$B$2322,2,FALSE)</f>
        <v>0</v>
      </c>
      <c r="C60" s="24"/>
      <c r="D60" s="24"/>
      <c r="E60" s="24"/>
      <c r="F60" s="24"/>
      <c r="G60" s="24"/>
      <c r="H60" s="185"/>
      <c r="I60" s="184"/>
      <c r="J60" s="42">
        <f>VLOOKUP($B$51:$B$70,'Alberta Equip. Rates Year 3'!$B$13:$K$314,10,FALSE)</f>
        <v>0</v>
      </c>
      <c r="K60" s="181">
        <f t="shared" si="4"/>
        <v>0</v>
      </c>
    </row>
    <row r="61" spans="1:11" ht="15" customHeight="1">
      <c r="A61" s="43"/>
      <c r="B61" s="49">
        <f>VLOOKUP($C$51:$C$70,Equipment!$A$1:$B$2322,2,FALSE)</f>
        <v>0</v>
      </c>
      <c r="C61" s="24"/>
      <c r="D61" s="24"/>
      <c r="E61" s="24"/>
      <c r="F61" s="24"/>
      <c r="G61" s="24"/>
      <c r="H61" s="185"/>
      <c r="I61" s="184"/>
      <c r="J61" s="42">
        <f>VLOOKUP($B$51:$B$70,'Alberta Equip. Rates Year 3'!$B$13:$K$314,10,FALSE)</f>
        <v>0</v>
      </c>
      <c r="K61" s="181">
        <f t="shared" si="4"/>
        <v>0</v>
      </c>
    </row>
    <row r="62" spans="1:11" ht="15" customHeight="1">
      <c r="A62" s="43"/>
      <c r="B62" s="49">
        <f>VLOOKUP($C$51:$C$70,Equipment!$A$1:$B$2322,2,FALSE)</f>
        <v>0</v>
      </c>
      <c r="C62" s="24"/>
      <c r="D62" s="24"/>
      <c r="E62" s="24"/>
      <c r="F62" s="24"/>
      <c r="G62" s="24"/>
      <c r="H62" s="185"/>
      <c r="I62" s="184"/>
      <c r="J62" s="42">
        <f>VLOOKUP($B$51:$B$70,'Alberta Equip. Rates Year 3'!$B$13:$K$314,10,FALSE)</f>
        <v>0</v>
      </c>
      <c r="K62" s="181">
        <f t="shared" si="4"/>
        <v>0</v>
      </c>
    </row>
    <row r="63" spans="1:11" ht="15" customHeight="1">
      <c r="A63" s="43"/>
      <c r="B63" s="49">
        <f>VLOOKUP($C$51:$C$70,Equipment!$A$1:$B$2322,2,FALSE)</f>
        <v>0</v>
      </c>
      <c r="C63" s="24"/>
      <c r="D63" s="24"/>
      <c r="E63" s="24"/>
      <c r="F63" s="24"/>
      <c r="G63" s="24"/>
      <c r="H63" s="185"/>
      <c r="I63" s="184"/>
      <c r="J63" s="208">
        <f>VLOOKUP($B$51:$B$70,'Alberta Equip. Rates Year 3'!$B$13:$K$314,10,FALSE)</f>
        <v>0</v>
      </c>
      <c r="K63" s="181">
        <f t="shared" si="4"/>
        <v>0</v>
      </c>
    </row>
    <row r="64" spans="1:11" ht="15" customHeight="1">
      <c r="A64" s="43"/>
      <c r="B64" s="49">
        <f>VLOOKUP($C$51:$C$70,Equipment!$A$1:$B$2322,2,FALSE)</f>
        <v>0</v>
      </c>
      <c r="C64" s="24"/>
      <c r="D64" s="24"/>
      <c r="E64" s="24"/>
      <c r="F64" s="24"/>
      <c r="G64" s="24"/>
      <c r="H64" s="185"/>
      <c r="I64" s="184"/>
      <c r="J64" s="42">
        <f>VLOOKUP($B$51:$B$70,'Alberta Equip. Rates Year 3'!$B$13:$K$314,10,FALSE)</f>
        <v>0</v>
      </c>
      <c r="K64" s="181">
        <f t="shared" si="4"/>
        <v>0</v>
      </c>
    </row>
    <row r="65" spans="1:11" ht="15" customHeight="1">
      <c r="A65" s="43"/>
      <c r="B65" s="49">
        <f>VLOOKUP($C$51:$C$70,Equipment!$A$1:$B$2322,2,FALSE)</f>
        <v>0</v>
      </c>
      <c r="C65" s="24"/>
      <c r="D65" s="24"/>
      <c r="E65" s="24"/>
      <c r="F65" s="24"/>
      <c r="G65" s="24"/>
      <c r="H65" s="185"/>
      <c r="I65" s="184"/>
      <c r="J65" s="42">
        <f>VLOOKUP($B$51:$B$70,'Alberta Equip. Rates Year 3'!$B$13:$K$314,10,FALSE)</f>
        <v>0</v>
      </c>
      <c r="K65" s="181">
        <f t="shared" si="4"/>
        <v>0</v>
      </c>
    </row>
    <row r="66" spans="1:11" ht="15" customHeight="1">
      <c r="A66" s="43"/>
      <c r="B66" s="49">
        <f>VLOOKUP($C$51:$C$70,Equipment!$A$1:$B$2322,2,FALSE)</f>
        <v>0</v>
      </c>
      <c r="C66" s="24"/>
      <c r="D66" s="24"/>
      <c r="E66" s="24"/>
      <c r="F66" s="24"/>
      <c r="G66" s="24"/>
      <c r="H66" s="185"/>
      <c r="I66" s="184"/>
      <c r="J66" s="42">
        <f>VLOOKUP($B$51:$B$70,'Alberta Equip. Rates Year 3'!$B$13:$K$314,10,FALSE)</f>
        <v>0</v>
      </c>
      <c r="K66" s="181">
        <f t="shared" si="4"/>
        <v>0</v>
      </c>
    </row>
    <row r="67" spans="1:11" ht="15" customHeight="1">
      <c r="A67" s="43"/>
      <c r="B67" s="49">
        <f>VLOOKUP($C$51:$C$70,Equipment!$A$1:$B$2322,2,FALSE)</f>
        <v>0</v>
      </c>
      <c r="C67" s="24"/>
      <c r="D67" s="24"/>
      <c r="E67" s="24"/>
      <c r="F67" s="24"/>
      <c r="G67" s="24"/>
      <c r="H67" s="185"/>
      <c r="I67" s="184"/>
      <c r="J67" s="42">
        <f>VLOOKUP($B$51:$B$70,'Alberta Equip. Rates Year 3'!$B$13:$K$314,10,FALSE)</f>
        <v>0</v>
      </c>
      <c r="K67" s="181">
        <f t="shared" si="4"/>
        <v>0</v>
      </c>
    </row>
    <row r="68" spans="1:11" ht="15" customHeight="1">
      <c r="A68" s="43"/>
      <c r="B68" s="49">
        <f>VLOOKUP($C$51:$C$70,Equipment!$A$1:$B$2322,2,FALSE)</f>
        <v>0</v>
      </c>
      <c r="C68" s="24"/>
      <c r="D68" s="24"/>
      <c r="E68" s="24"/>
      <c r="F68" s="24"/>
      <c r="G68" s="24"/>
      <c r="H68" s="185"/>
      <c r="I68" s="184"/>
      <c r="J68" s="42">
        <f>VLOOKUP($B$51:$B$70,'Alberta Equip. Rates Year 3'!$B$13:$K$314,10,FALSE)</f>
        <v>0</v>
      </c>
      <c r="K68" s="181">
        <f>(H68+I68)*J68</f>
        <v>0</v>
      </c>
    </row>
    <row r="69" spans="1:11" ht="15" customHeight="1">
      <c r="A69" s="43"/>
      <c r="B69" s="49">
        <f>VLOOKUP($C$51:$C$70,Equipment!$A$1:$B$2322,2,FALSE)</f>
        <v>0</v>
      </c>
      <c r="C69" s="24"/>
      <c r="D69" s="24"/>
      <c r="E69" s="24"/>
      <c r="F69" s="24"/>
      <c r="G69" s="24"/>
      <c r="H69" s="185"/>
      <c r="I69" s="184"/>
      <c r="J69" s="42">
        <f>VLOOKUP($B$51:$B$70,'Alberta Equip. Rates Year 3'!$B$13:$K$314,10,FALSE)</f>
        <v>0</v>
      </c>
      <c r="K69" s="181">
        <f>(H69+I69)*J69</f>
        <v>0</v>
      </c>
    </row>
    <row r="70" spans="1:11" ht="15" customHeight="1" thickBot="1">
      <c r="A70" s="43"/>
      <c r="B70" s="49">
        <f>VLOOKUP($C$51:$C$70,Equipment!$A$1:$B$2322,2,FALSE)</f>
        <v>0</v>
      </c>
      <c r="C70" s="24"/>
      <c r="D70" s="24"/>
      <c r="E70" s="24"/>
      <c r="F70" s="24"/>
      <c r="G70" s="24"/>
      <c r="H70" s="185"/>
      <c r="I70" s="184"/>
      <c r="J70" s="42">
        <f>VLOOKUP($B$51:$B$70,'Alberta Equip. Rates Year 3'!$B$13:$K$314,10,FALSE)</f>
        <v>0</v>
      </c>
      <c r="K70" s="181">
        <f>(H70+I70)*J70</f>
        <v>0</v>
      </c>
    </row>
    <row r="71" spans="1:11" ht="12" thickBot="1">
      <c r="A71" s="25"/>
      <c r="B71" s="25"/>
      <c r="C71" s="25"/>
      <c r="D71" s="21"/>
      <c r="E71" s="21"/>
      <c r="F71" s="21"/>
      <c r="G71" s="21"/>
      <c r="H71" s="21"/>
      <c r="I71" s="360" t="s">
        <v>24</v>
      </c>
      <c r="J71" s="361"/>
      <c r="K71" s="182">
        <f>SUM(K51:K70)</f>
        <v>1928</v>
      </c>
    </row>
    <row r="72" spans="1:11" ht="12" thickBot="1">
      <c r="A72" s="26"/>
      <c r="D72" s="26"/>
      <c r="I72" s="27"/>
      <c r="J72" s="27"/>
      <c r="K72" s="28"/>
    </row>
    <row r="73" spans="1:11">
      <c r="A73" s="1" t="s">
        <v>25</v>
      </c>
      <c r="B73" s="29"/>
      <c r="D73" s="1"/>
      <c r="E73" s="1"/>
      <c r="F73" s="1"/>
      <c r="G73" s="1"/>
      <c r="H73" s="1"/>
      <c r="I73" s="362" t="s">
        <v>26</v>
      </c>
      <c r="J73" s="362"/>
      <c r="K73" s="37">
        <f>K48</f>
        <v>6679.8400000000011</v>
      </c>
    </row>
    <row r="74" spans="1:11">
      <c r="D74" s="1"/>
      <c r="E74" s="1"/>
      <c r="F74" s="1"/>
      <c r="G74" s="1"/>
      <c r="H74" s="1"/>
      <c r="I74" s="362" t="s">
        <v>27</v>
      </c>
      <c r="J74" s="362"/>
      <c r="K74" s="38">
        <f>K71</f>
        <v>1928</v>
      </c>
    </row>
    <row r="75" spans="1:11">
      <c r="D75" s="1"/>
      <c r="E75" s="1"/>
      <c r="F75" s="1"/>
      <c r="G75" s="1"/>
      <c r="H75" s="1"/>
      <c r="I75" s="27" t="s">
        <v>28</v>
      </c>
      <c r="J75" s="27"/>
      <c r="K75" s="38">
        <f>(O48)*14.15</f>
        <v>1358.4</v>
      </c>
    </row>
    <row r="76" spans="1:11">
      <c r="D76" s="1"/>
      <c r="E76" s="1"/>
      <c r="F76" s="1"/>
      <c r="G76" s="1"/>
      <c r="H76" s="1"/>
      <c r="I76" s="30" t="s">
        <v>29</v>
      </c>
      <c r="J76" s="30"/>
      <c r="K76" s="39"/>
    </row>
    <row r="77" spans="1:11">
      <c r="D77" s="1"/>
      <c r="E77" s="1"/>
      <c r="F77" s="1"/>
      <c r="G77" s="1"/>
      <c r="H77" s="1"/>
      <c r="I77" s="30" t="s">
        <v>30</v>
      </c>
      <c r="J77" s="30"/>
      <c r="K77" s="39"/>
    </row>
    <row r="78" spans="1:11">
      <c r="D78" s="1"/>
      <c r="E78" s="1"/>
      <c r="F78" s="1"/>
      <c r="G78" s="1"/>
      <c r="H78" s="1"/>
      <c r="I78" s="30" t="s">
        <v>31</v>
      </c>
      <c r="J78" s="30"/>
      <c r="K78" s="39"/>
    </row>
    <row r="79" spans="1:11" ht="12" thickBot="1">
      <c r="D79" s="1"/>
      <c r="E79" s="1"/>
      <c r="F79" s="1"/>
      <c r="G79" s="1"/>
      <c r="H79" s="1"/>
      <c r="I79" s="362" t="s">
        <v>32</v>
      </c>
      <c r="J79" s="362"/>
      <c r="K79" s="40">
        <f>SUM(K73:K78)</f>
        <v>9966.24</v>
      </c>
    </row>
    <row r="80" spans="1:11">
      <c r="D80" s="1"/>
      <c r="E80" s="1"/>
      <c r="F80" s="1"/>
      <c r="G80" s="1"/>
      <c r="H80" s="1"/>
      <c r="I80" s="27"/>
      <c r="J80" s="27"/>
    </row>
    <row r="81" spans="1:11">
      <c r="A81" s="31" t="s">
        <v>33</v>
      </c>
      <c r="B81" s="32"/>
      <c r="C81" s="32"/>
      <c r="D81" s="1"/>
      <c r="H81" s="33" t="s">
        <v>34</v>
      </c>
      <c r="I81" s="32"/>
      <c r="J81" s="32"/>
      <c r="K81" s="32"/>
    </row>
    <row r="82" spans="1:11" ht="15">
      <c r="A82" s="34"/>
      <c r="E82" s="8"/>
      <c r="F82" s="8"/>
      <c r="G82" s="8"/>
      <c r="H82" s="35"/>
      <c r="I82" s="35"/>
      <c r="J82" s="35"/>
      <c r="K82" s="35"/>
    </row>
    <row r="83" spans="1:11" ht="15">
      <c r="A83" s="34" t="s">
        <v>35</v>
      </c>
      <c r="E83" s="8"/>
      <c r="F83" s="8"/>
      <c r="G83" s="8"/>
      <c r="H83" s="35"/>
      <c r="I83" s="35"/>
      <c r="J83" s="35"/>
      <c r="K83" s="35"/>
    </row>
    <row r="84" spans="1:11" s="34" customFormat="1">
      <c r="A84" s="363">
        <v>41218.479166666664</v>
      </c>
      <c r="B84" s="363"/>
      <c r="C84" s="364"/>
      <c r="D84" s="364"/>
      <c r="E84" s="364"/>
      <c r="F84" s="364"/>
      <c r="G84" s="364"/>
      <c r="H84" s="364"/>
      <c r="I84" s="364"/>
      <c r="J84" s="364"/>
      <c r="K84" s="8"/>
    </row>
    <row r="94" spans="1:11">
      <c r="D94" s="1"/>
      <c r="E94" s="1"/>
      <c r="F94" s="1"/>
      <c r="G94" s="1"/>
      <c r="H94" s="1"/>
      <c r="I94" s="1"/>
      <c r="J94" s="1"/>
    </row>
    <row r="95" spans="1:11">
      <c r="D95" s="1"/>
      <c r="E95" s="1"/>
      <c r="F95" s="1"/>
      <c r="G95" s="1"/>
      <c r="H95" s="1"/>
      <c r="I95" s="1"/>
      <c r="J95" s="1"/>
    </row>
    <row r="96" spans="1:11">
      <c r="D96" s="1"/>
      <c r="E96" s="1"/>
      <c r="F96" s="1"/>
      <c r="G96" s="1"/>
      <c r="H96" s="1"/>
      <c r="I96" s="1"/>
      <c r="J96" s="1"/>
    </row>
    <row r="97" s="1" customFormat="1"/>
    <row r="98" s="1" customFormat="1"/>
    <row r="99" s="1" customFormat="1"/>
    <row r="100" s="1" customFormat="1"/>
    <row r="101" s="1" customFormat="1"/>
    <row r="102" s="1" customFormat="1"/>
    <row r="103" s="1" customFormat="1"/>
    <row r="104" s="1" customFormat="1"/>
    <row r="105" s="1" customFormat="1"/>
    <row r="106" s="1" customFormat="1"/>
    <row r="107" s="1" customFormat="1"/>
    <row r="112" s="1" customFormat="1"/>
    <row r="140" s="1" customFormat="1"/>
    <row r="141" s="1" customFormat="1"/>
    <row r="142" s="1" customFormat="1"/>
    <row r="143" s="1" customFormat="1"/>
  </sheetData>
  <mergeCells count="12">
    <mergeCell ref="I71:J71"/>
    <mergeCell ref="I73:J73"/>
    <mergeCell ref="I74:J74"/>
    <mergeCell ref="I79:J79"/>
    <mergeCell ref="A84:B84"/>
    <mergeCell ref="C84:J84"/>
    <mergeCell ref="I48:J48"/>
    <mergeCell ref="C1:H1"/>
    <mergeCell ref="C2:H2"/>
    <mergeCell ref="C3:H3"/>
    <mergeCell ref="H6:I6"/>
    <mergeCell ref="H7:I7"/>
  </mergeCells>
  <conditionalFormatting sqref="M11:M12">
    <cfRule type="expression" dxfId="53" priority="1">
      <formula>ISTEXT(A11:A47)</formula>
    </cfRule>
  </conditionalFormatting>
  <conditionalFormatting sqref="M13:M14">
    <cfRule type="expression" dxfId="52" priority="40152">
      <formula>ISTEXT(A13:A54)</formula>
    </cfRule>
  </conditionalFormatting>
  <conditionalFormatting sqref="M15:M19">
    <cfRule type="expression" dxfId="51" priority="40153">
      <formula>ISTEXT(A15:A49)</formula>
    </cfRule>
  </conditionalFormatting>
  <conditionalFormatting sqref="M20:M47">
    <cfRule type="expression" dxfId="50" priority="40156">
      <formula>ISTEXT(A20:A55)</formula>
    </cfRule>
  </conditionalFormatting>
  <printOptions horizontalCentered="1"/>
  <pageMargins left="0.19685039370078741" right="0.19685039370078741" top="0.39370078740157483" bottom="0.39370078740157483" header="0" footer="0"/>
  <pageSetup orientation="portrait" horizontalDpi="4294967292" verticalDpi="4294967292"/>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2500-000000000000}">
          <x14:formula1>
            <xm:f>Accounts!$A$4:$A$60</xm:f>
          </x14:formula1>
          <xm:sqref>K7</xm:sqref>
        </x14:dataValidation>
        <x14:dataValidation type="list" allowBlank="1" showInputMessage="1" showErrorMessage="1" xr:uid="{00000000-0002-0000-2500-000001000000}">
          <x14:formula1>
            <xm:f>'Constr. Wage Rate Calculations'!$A$19:$A$288</xm:f>
          </x14:formula1>
          <xm:sqref>B11:B47</xm:sqref>
        </x14:dataValidation>
        <x14:dataValidation type="list" allowBlank="1" showInputMessage="1" showErrorMessage="1" xr:uid="{00000000-0002-0000-2500-000002000000}">
          <x14:formula1>
            <xm:f>Personnel!$A:$A</xm:f>
          </x14:formula1>
          <xm:sqref>C11:C47</xm:sqref>
        </x14:dataValidation>
        <x14:dataValidation type="list" allowBlank="1" showInputMessage="1" showErrorMessage="1" xr:uid="{00000000-0002-0000-2500-000003000000}">
          <x14:formula1>
            <xm:f>Equipment!$A:$A</xm:f>
          </x14:formula1>
          <xm:sqref>C51:C70</xm:sqref>
        </x14:dataValidation>
      </x14:dataValidations>
    </ext>
    <ext xmlns:mx="http://schemas.microsoft.com/office/mac/excel/2008/main" uri="{64002731-A6B0-56B0-2670-7721B7C09600}">
      <mx:PLV Mode="0" OnePage="0" WScale="0"/>
    </ext>
  </extLs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CCFFCC"/>
    <pageSetUpPr fitToPage="1"/>
  </sheetPr>
  <dimension ref="A1:O158"/>
  <sheetViews>
    <sheetView zoomScale="120" zoomScaleNormal="120" zoomScalePageLayoutView="120" workbookViewId="0">
      <selection activeCell="E25" sqref="E25"/>
    </sheetView>
  </sheetViews>
  <sheetFormatPr baseColWidth="10" defaultColWidth="8.83203125" defaultRowHeight="11"/>
  <cols>
    <col min="1" max="1" width="13" style="1" customWidth="1"/>
    <col min="2" max="2" width="30" style="1" customWidth="1"/>
    <col min="3" max="3" width="24.5" style="1" customWidth="1"/>
    <col min="4" max="4" width="8.6640625" style="2" customWidth="1"/>
    <col min="5" max="6" width="8.33203125" style="2" customWidth="1"/>
    <col min="7" max="8" width="8.6640625" style="2" customWidth="1"/>
    <col min="9" max="9" width="9.33203125" style="2" customWidth="1"/>
    <col min="10" max="10" width="8.6640625" style="2" customWidth="1"/>
    <col min="11" max="11" width="19.5" style="1" customWidth="1"/>
    <col min="12" max="12" width="3.5" style="1" hidden="1" customWidth="1"/>
    <col min="13" max="16384" width="8.83203125" style="1"/>
  </cols>
  <sheetData>
    <row r="1" spans="1:13" ht="15">
      <c r="C1" s="364"/>
      <c r="D1" s="365"/>
      <c r="E1" s="365"/>
      <c r="F1" s="365"/>
      <c r="G1" s="365"/>
      <c r="H1" s="366"/>
      <c r="J1" s="2" t="s">
        <v>0</v>
      </c>
      <c r="K1" s="197">
        <v>41659</v>
      </c>
      <c r="M1" s="45"/>
    </row>
    <row r="2" spans="1:13" ht="15">
      <c r="C2" s="367"/>
      <c r="D2" s="367"/>
      <c r="E2" s="367"/>
      <c r="F2" s="367"/>
      <c r="G2" s="367"/>
      <c r="H2" s="366"/>
      <c r="K2" s="41"/>
    </row>
    <row r="3" spans="1:13" ht="15">
      <c r="C3" s="368"/>
      <c r="D3" s="369"/>
      <c r="E3" s="369"/>
      <c r="F3" s="369"/>
      <c r="G3" s="369"/>
      <c r="H3" s="366"/>
    </row>
    <row r="4" spans="1:13">
      <c r="C4" s="3"/>
      <c r="D4" s="4"/>
      <c r="E4" s="4"/>
      <c r="F4" s="4"/>
      <c r="G4" s="4"/>
    </row>
    <row r="5" spans="1:13">
      <c r="C5" s="3"/>
      <c r="D5" s="4"/>
      <c r="E5" s="4"/>
      <c r="F5" s="4"/>
      <c r="G5" s="4"/>
    </row>
    <row r="6" spans="1:13" ht="12">
      <c r="B6" s="5"/>
      <c r="C6" s="6"/>
      <c r="D6" s="7"/>
      <c r="E6" s="8"/>
      <c r="F6" s="8"/>
      <c r="G6" s="1" t="s">
        <v>1</v>
      </c>
      <c r="H6" s="370">
        <v>18209</v>
      </c>
      <c r="I6" s="370"/>
      <c r="J6" s="1" t="s">
        <v>2</v>
      </c>
      <c r="K6" s="47"/>
    </row>
    <row r="7" spans="1:13" ht="12">
      <c r="A7" s="1" t="s">
        <v>3</v>
      </c>
      <c r="B7" s="9"/>
      <c r="C7" s="10"/>
      <c r="D7" s="11"/>
      <c r="E7" s="8"/>
      <c r="F7" s="8"/>
      <c r="G7" s="1" t="s">
        <v>4</v>
      </c>
      <c r="H7" s="371"/>
      <c r="I7" s="371"/>
      <c r="J7" s="1" t="s">
        <v>5</v>
      </c>
      <c r="K7" s="46"/>
    </row>
    <row r="8" spans="1:13" ht="12">
      <c r="B8" s="12"/>
      <c r="C8" s="13"/>
      <c r="D8" s="14"/>
      <c r="E8" s="8"/>
      <c r="F8" s="8"/>
      <c r="G8" s="1" t="s">
        <v>6</v>
      </c>
      <c r="H8" s="187"/>
      <c r="I8" s="188"/>
      <c r="J8" s="44"/>
    </row>
    <row r="9" spans="1:13" ht="16" thickBot="1">
      <c r="B9" s="15"/>
      <c r="C9" s="16"/>
      <c r="D9" s="16"/>
      <c r="E9" s="8"/>
      <c r="F9" s="8"/>
      <c r="G9" s="8"/>
    </row>
    <row r="10" spans="1:13" s="19" customFormat="1" ht="12" thickBot="1">
      <c r="A10" s="17" t="s">
        <v>7</v>
      </c>
      <c r="B10" s="17" t="s">
        <v>8</v>
      </c>
      <c r="C10" s="17" t="s">
        <v>9</v>
      </c>
      <c r="D10" s="18" t="s">
        <v>10</v>
      </c>
      <c r="E10" s="18" t="s">
        <v>11</v>
      </c>
      <c r="F10" s="18" t="s">
        <v>12</v>
      </c>
      <c r="G10" s="180" t="s">
        <v>13</v>
      </c>
      <c r="H10" s="18" t="s">
        <v>14</v>
      </c>
      <c r="I10" s="18" t="s">
        <v>15</v>
      </c>
      <c r="J10" s="18" t="s">
        <v>16</v>
      </c>
      <c r="K10" s="18" t="s">
        <v>17</v>
      </c>
      <c r="M10" s="19" t="s">
        <v>1797</v>
      </c>
    </row>
    <row r="11" spans="1:13" ht="16.5" customHeight="1">
      <c r="A11" s="48"/>
      <c r="B11" s="49">
        <f>VLOOKUP($C$11:$C$46,Personnel!$A$1:$B$1234,2,FALSE)</f>
        <v>0</v>
      </c>
      <c r="C11" s="36"/>
      <c r="D11" s="184"/>
      <c r="E11" s="214">
        <f>VLOOKUP($B$11:$B$46,'Constr. Wage Rate Calculations'!$A$19:$Z$288,22,FALSE)</f>
        <v>0</v>
      </c>
      <c r="F11" s="184"/>
      <c r="G11" s="179">
        <f>VLOOKUP($B$11:$B$46,'Constr. Wage Rate Calculations'!$A$19:$Z$288,23,FALSE)</f>
        <v>0</v>
      </c>
      <c r="H11" s="184"/>
      <c r="I11" s="179">
        <f>VLOOKUP($B$11:$B$46,'Constr. Wage Rate Calculations'!$A$19:$Z$288,24,FALSE)</f>
        <v>0</v>
      </c>
      <c r="J11" s="20">
        <f>VLOOKUP($B$11:$B$46,'Constr. Wage Rate Calculations'!$A$19:$Z$288,25,FALSE)</f>
        <v>0</v>
      </c>
      <c r="K11" s="179" t="str">
        <f t="shared" ref="K11:K46" si="0">IF($D11&gt;=1,$J11+(D11*E11)+(F11*G11)+(H11*I11),IF($F11&gt;=1,$J11+(D11*E11)+(F11*G11)+(H11*I11),IF($H11&gt;=1,$J11+(D11*E11)+(F11*G11)+(H11*I11),"")))</f>
        <v/>
      </c>
    </row>
    <row r="12" spans="1:13" ht="18" customHeight="1">
      <c r="A12" s="48"/>
      <c r="B12" s="49" t="str">
        <f>VLOOKUP($C$11:$C$46,Personnel!$A$1:$B$1234,2,FALSE)</f>
        <v>SPEC LABOUR (CARPENTER, ETC.)</v>
      </c>
      <c r="C12" s="36" t="s">
        <v>2528</v>
      </c>
      <c r="D12" s="184">
        <v>8</v>
      </c>
      <c r="E12" s="214">
        <f>VLOOKUP($B$11:$B$46,'Constr. Wage Rate Calculations'!$A$19:$Z$288,22,FALSE)</f>
        <v>49.84</v>
      </c>
      <c r="F12" s="184">
        <v>5</v>
      </c>
      <c r="G12" s="179">
        <f>VLOOKUP($B$11:$B$46,'Constr. Wage Rate Calculations'!$A$19:$Z$288,23,FALSE)</f>
        <v>74.75</v>
      </c>
      <c r="H12" s="184"/>
      <c r="I12" s="179">
        <f>VLOOKUP($B$11:$B$46,'Constr. Wage Rate Calculations'!$A$19:$Z$288,24,FALSE)</f>
        <v>99.67</v>
      </c>
      <c r="J12" s="20">
        <f>VLOOKUP($B$11:$B$46,'Constr. Wage Rate Calculations'!$A$19:$Z$288,25,FALSE)</f>
        <v>85</v>
      </c>
      <c r="K12" s="179">
        <f t="shared" si="0"/>
        <v>857.47</v>
      </c>
      <c r="M12" s="1">
        <v>1</v>
      </c>
    </row>
    <row r="13" spans="1:13" ht="15" customHeight="1">
      <c r="A13" s="48"/>
      <c r="B13" s="49" t="str">
        <f>VLOOKUP($C$11:$C$46,Personnel!$A$1:$B$1234,2,FALSE)</f>
        <v>GENERAL FOREMAN</v>
      </c>
      <c r="C13" s="36" t="s">
        <v>2529</v>
      </c>
      <c r="D13" s="184">
        <v>1</v>
      </c>
      <c r="E13" s="214">
        <f>VLOOKUP($B$11:$B$46,'Constr. Wage Rate Calculations'!$A$19:$Z$288,22,FALSE)</f>
        <v>1332.16</v>
      </c>
      <c r="F13" s="184">
        <v>9</v>
      </c>
      <c r="G13" s="179">
        <f>VLOOKUP($B$11:$B$46,'Constr. Wage Rate Calculations'!$A$19:$Z$288,23,FALSE)</f>
        <v>0</v>
      </c>
      <c r="H13" s="184"/>
      <c r="I13" s="179">
        <f>VLOOKUP($B$11:$B$46,'Constr. Wage Rate Calculations'!$A$19:$Z$288,24,FALSE)</f>
        <v>0</v>
      </c>
      <c r="J13" s="20">
        <f>VLOOKUP($B$11:$B$46,'Constr. Wage Rate Calculations'!$A$19:$Z$288,25,FALSE)</f>
        <v>230</v>
      </c>
      <c r="K13" s="179">
        <f t="shared" si="0"/>
        <v>1562.16</v>
      </c>
    </row>
    <row r="14" spans="1:13" ht="15" customHeight="1">
      <c r="A14" s="48"/>
      <c r="B14" s="49">
        <f>VLOOKUP($C$11:$C$46,Personnel!$A$1:$B$1234,2,FALSE)</f>
        <v>0</v>
      </c>
      <c r="C14" s="36"/>
      <c r="D14" s="184"/>
      <c r="E14" s="214">
        <f>VLOOKUP($B$11:$B$46,'Constr. Wage Rate Calculations'!$A$19:$Z$288,22,FALSE)</f>
        <v>0</v>
      </c>
      <c r="F14" s="184"/>
      <c r="G14" s="179">
        <f>VLOOKUP($B$11:$B$46,'Constr. Wage Rate Calculations'!$A$19:$Z$288,23,FALSE)</f>
        <v>0</v>
      </c>
      <c r="H14" s="184"/>
      <c r="I14" s="179">
        <f>VLOOKUP($B$11:$B$46,'Constr. Wage Rate Calculations'!$A$19:$Z$288,24,FALSE)</f>
        <v>0</v>
      </c>
      <c r="J14" s="20">
        <f>VLOOKUP($B$11:$B$46,'Constr. Wage Rate Calculations'!$A$19:$Z$288,25,FALSE)</f>
        <v>0</v>
      </c>
      <c r="K14" s="179" t="str">
        <f t="shared" si="0"/>
        <v/>
      </c>
    </row>
    <row r="15" spans="1:13" ht="15" customHeight="1">
      <c r="A15" s="48"/>
      <c r="B15" s="49">
        <f>VLOOKUP($C$11:$C$46,Personnel!$A$1:$B$1234,2,FALSE)</f>
        <v>0</v>
      </c>
      <c r="C15" s="36"/>
      <c r="D15" s="184"/>
      <c r="E15" s="214">
        <f>VLOOKUP($B$11:$B$46,'Constr. Wage Rate Calculations'!$A$19:$Z$288,22,FALSE)</f>
        <v>0</v>
      </c>
      <c r="F15" s="184"/>
      <c r="G15" s="179">
        <f>VLOOKUP($B$11:$B$46,'Constr. Wage Rate Calculations'!$A$19:$Z$288,23,FALSE)</f>
        <v>0</v>
      </c>
      <c r="H15" s="184"/>
      <c r="I15" s="179">
        <f>VLOOKUP($B$11:$B$46,'Constr. Wage Rate Calculations'!$A$19:$Z$288,24,FALSE)</f>
        <v>0</v>
      </c>
      <c r="J15" s="20">
        <f>VLOOKUP($B$11:$B$46,'Constr. Wage Rate Calculations'!$A$19:$Z$288,25,FALSE)</f>
        <v>0</v>
      </c>
      <c r="K15" s="179" t="str">
        <f t="shared" si="0"/>
        <v/>
      </c>
    </row>
    <row r="16" spans="1:13" ht="15" customHeight="1">
      <c r="A16" s="48"/>
      <c r="B16" s="49">
        <f>VLOOKUP($C$11:$C$46,Personnel!$A$1:$B$1234,2,FALSE)</f>
        <v>0</v>
      </c>
      <c r="C16" s="36"/>
      <c r="D16" s="184"/>
      <c r="E16" s="214">
        <f>VLOOKUP($B$11:$B$46,'Constr. Wage Rate Calculations'!$A$19:$Z$288,22,FALSE)</f>
        <v>0</v>
      </c>
      <c r="F16" s="184"/>
      <c r="G16" s="179">
        <f>VLOOKUP($B$11:$B$46,'Constr. Wage Rate Calculations'!$A$19:$Z$288,23,FALSE)</f>
        <v>0</v>
      </c>
      <c r="H16" s="184"/>
      <c r="I16" s="179">
        <f>VLOOKUP($B$11:$B$46,'Constr. Wage Rate Calculations'!$A$19:$Z$288,24,FALSE)</f>
        <v>0</v>
      </c>
      <c r="J16" s="20">
        <f>VLOOKUP($B$11:$B$46,'Constr. Wage Rate Calculations'!$A$19:$Z$288,25,FALSE)</f>
        <v>0</v>
      </c>
      <c r="K16" s="179" t="str">
        <f t="shared" si="0"/>
        <v/>
      </c>
    </row>
    <row r="17" spans="1:11" ht="15" customHeight="1">
      <c r="A17" s="48"/>
      <c r="B17" s="49">
        <f>VLOOKUP($C$11:$C$46,Personnel!$A$1:$B$1234,2,FALSE)</f>
        <v>0</v>
      </c>
      <c r="C17" s="36"/>
      <c r="D17" s="184"/>
      <c r="E17" s="214">
        <f>VLOOKUP($B$11:$B$46,'Constr. Wage Rate Calculations'!$A$19:$Z$288,22,FALSE)</f>
        <v>0</v>
      </c>
      <c r="F17" s="184"/>
      <c r="G17" s="179">
        <f>VLOOKUP($B$11:$B$46,'Constr. Wage Rate Calculations'!$A$19:$Z$288,23,FALSE)</f>
        <v>0</v>
      </c>
      <c r="H17" s="184"/>
      <c r="I17" s="179">
        <f>VLOOKUP($B$11:$B$46,'Constr. Wage Rate Calculations'!$A$19:$Z$288,24,FALSE)</f>
        <v>0</v>
      </c>
      <c r="J17" s="20">
        <f>VLOOKUP($B$11:$B$46,'Constr. Wage Rate Calculations'!$A$19:$Z$288,25,FALSE)</f>
        <v>0</v>
      </c>
      <c r="K17" s="179" t="str">
        <f t="shared" si="0"/>
        <v/>
      </c>
    </row>
    <row r="18" spans="1:11" ht="15" customHeight="1">
      <c r="A18" s="48"/>
      <c r="B18" s="49">
        <f>VLOOKUP($C$11:$C$46,Personnel!$A$1:$B$1234,2,FALSE)</f>
        <v>0</v>
      </c>
      <c r="C18" s="36"/>
      <c r="D18" s="184"/>
      <c r="E18" s="214">
        <f>VLOOKUP($B$11:$B$46,'Constr. Wage Rate Calculations'!$A$19:$Z$288,22,FALSE)</f>
        <v>0</v>
      </c>
      <c r="F18" s="184"/>
      <c r="G18" s="179">
        <f>VLOOKUP($B$11:$B$46,'Constr. Wage Rate Calculations'!$A$19:$Z$288,23,FALSE)</f>
        <v>0</v>
      </c>
      <c r="H18" s="184"/>
      <c r="I18" s="179">
        <f>VLOOKUP($B$11:$B$46,'Constr. Wage Rate Calculations'!$A$19:$Z$288,24,FALSE)</f>
        <v>0</v>
      </c>
      <c r="J18" s="20">
        <f>VLOOKUP($B$11:$B$46,'Constr. Wage Rate Calculations'!$A$19:$Z$288,25,FALSE)</f>
        <v>0</v>
      </c>
      <c r="K18" s="179" t="str">
        <f t="shared" si="0"/>
        <v/>
      </c>
    </row>
    <row r="19" spans="1:11" ht="15" customHeight="1">
      <c r="A19" s="48"/>
      <c r="B19" s="49">
        <f>VLOOKUP($C$11:$C$46,Personnel!$A$1:$B$1234,2,FALSE)</f>
        <v>0</v>
      </c>
      <c r="C19" s="36"/>
      <c r="D19" s="184"/>
      <c r="E19" s="214">
        <f>VLOOKUP($B$11:$B$46,'Constr. Wage Rate Calculations'!$A$19:$Z$288,22,FALSE)</f>
        <v>0</v>
      </c>
      <c r="F19" s="184"/>
      <c r="G19" s="179">
        <f>VLOOKUP($B$11:$B$46,'Constr. Wage Rate Calculations'!$A$19:$Z$288,23,FALSE)</f>
        <v>0</v>
      </c>
      <c r="H19" s="184"/>
      <c r="I19" s="179">
        <f>VLOOKUP($B$11:$B$46,'Constr. Wage Rate Calculations'!$A$19:$Z$288,24,FALSE)</f>
        <v>0</v>
      </c>
      <c r="J19" s="20">
        <f>VLOOKUP($B$11:$B$46,'Constr. Wage Rate Calculations'!$A$19:$Z$288,25,FALSE)</f>
        <v>0</v>
      </c>
      <c r="K19" s="179" t="str">
        <f t="shared" si="0"/>
        <v/>
      </c>
    </row>
    <row r="20" spans="1:11" ht="15" customHeight="1">
      <c r="A20" s="48"/>
      <c r="B20" s="49">
        <f>VLOOKUP($C$11:$C$46,Personnel!$A$1:$B$1234,2,FALSE)</f>
        <v>0</v>
      </c>
      <c r="C20" s="36"/>
      <c r="D20" s="184"/>
      <c r="E20" s="214">
        <f>VLOOKUP($B$11:$B$46,'Constr. Wage Rate Calculations'!$A$19:$Z$288,22,FALSE)</f>
        <v>0</v>
      </c>
      <c r="F20" s="184"/>
      <c r="G20" s="179">
        <f>VLOOKUP($B$11:$B$46,'Constr. Wage Rate Calculations'!$A$19:$Z$288,23,FALSE)</f>
        <v>0</v>
      </c>
      <c r="H20" s="184"/>
      <c r="I20" s="179">
        <f>VLOOKUP($B$11:$B$46,'Constr. Wage Rate Calculations'!$A$19:$Z$288,24,FALSE)</f>
        <v>0</v>
      </c>
      <c r="J20" s="20">
        <f>VLOOKUP($B$11:$B$46,'Constr. Wage Rate Calculations'!$A$19:$Z$288,25,FALSE)</f>
        <v>0</v>
      </c>
      <c r="K20" s="179" t="str">
        <f t="shared" si="0"/>
        <v/>
      </c>
    </row>
    <row r="21" spans="1:11" ht="16.5" customHeight="1">
      <c r="A21" s="48"/>
      <c r="B21" s="49">
        <f>VLOOKUP($C$11:$C$46,Personnel!$A$1:$B$1234,2,FALSE)</f>
        <v>0</v>
      </c>
      <c r="C21" s="36"/>
      <c r="D21" s="184"/>
      <c r="E21" s="214">
        <f>VLOOKUP($B$11:$B$46,'Constr. Wage Rate Calculations'!$A$19:$Z$288,22,FALSE)</f>
        <v>0</v>
      </c>
      <c r="F21" s="184"/>
      <c r="G21" s="179">
        <f>VLOOKUP($B$11:$B$46,'Constr. Wage Rate Calculations'!$A$19:$Z$288,23,FALSE)</f>
        <v>0</v>
      </c>
      <c r="H21" s="184"/>
      <c r="I21" s="179">
        <f>VLOOKUP($B$11:$B$46,'Constr. Wage Rate Calculations'!$A$19:$Z$288,24,FALSE)</f>
        <v>0</v>
      </c>
      <c r="J21" s="20">
        <f>VLOOKUP($B$11:$B$46,'Constr. Wage Rate Calculations'!$A$19:$Z$288,25,FALSE)</f>
        <v>0</v>
      </c>
      <c r="K21" s="179" t="str">
        <f t="shared" si="0"/>
        <v/>
      </c>
    </row>
    <row r="22" spans="1:11" ht="15" customHeight="1">
      <c r="A22" s="48"/>
      <c r="B22" s="49">
        <f>VLOOKUP($C$11:$C$46,Personnel!$A$1:$B$1234,2,FALSE)</f>
        <v>0</v>
      </c>
      <c r="C22" s="36"/>
      <c r="D22" s="184"/>
      <c r="E22" s="214">
        <f>VLOOKUP($B$11:$B$46,'Constr. Wage Rate Calculations'!$A$19:$Z$288,22,FALSE)</f>
        <v>0</v>
      </c>
      <c r="F22" s="184"/>
      <c r="G22" s="179">
        <f>VLOOKUP($B$11:$B$46,'Constr. Wage Rate Calculations'!$A$19:$Z$288,23,FALSE)</f>
        <v>0</v>
      </c>
      <c r="H22" s="184"/>
      <c r="I22" s="179">
        <f>VLOOKUP($B$11:$B$46,'Constr. Wage Rate Calculations'!$A$19:$Z$288,24,FALSE)</f>
        <v>0</v>
      </c>
      <c r="J22" s="20">
        <f>VLOOKUP($B$11:$B$46,'Constr. Wage Rate Calculations'!$A$19:$Z$288,25,FALSE)</f>
        <v>0</v>
      </c>
      <c r="K22" s="179" t="str">
        <f t="shared" si="0"/>
        <v/>
      </c>
    </row>
    <row r="23" spans="1:11" ht="15" customHeight="1">
      <c r="A23" s="48"/>
      <c r="B23" s="49">
        <f>VLOOKUP($C$11:$C$46,Personnel!$A$1:$B$1234,2,FALSE)</f>
        <v>0</v>
      </c>
      <c r="C23" s="36"/>
      <c r="D23" s="184"/>
      <c r="E23" s="214">
        <f>VLOOKUP($B$11:$B$46,'Constr. Wage Rate Calculations'!$A$19:$Z$288,22,FALSE)</f>
        <v>0</v>
      </c>
      <c r="F23" s="184"/>
      <c r="G23" s="179">
        <f>VLOOKUP($B$11:$B$46,'Constr. Wage Rate Calculations'!$A$19:$Z$288,23,FALSE)</f>
        <v>0</v>
      </c>
      <c r="H23" s="184"/>
      <c r="I23" s="179">
        <f>VLOOKUP($B$11:$B$46,'Constr. Wage Rate Calculations'!$A$19:$Z$288,24,FALSE)</f>
        <v>0</v>
      </c>
      <c r="J23" s="20">
        <f>VLOOKUP($B$11:$B$46,'Constr. Wage Rate Calculations'!$A$19:$Z$288,25,FALSE)</f>
        <v>0</v>
      </c>
      <c r="K23" s="179" t="str">
        <f t="shared" si="0"/>
        <v/>
      </c>
    </row>
    <row r="24" spans="1:11" ht="15" customHeight="1">
      <c r="A24" s="48"/>
      <c r="B24" s="49">
        <f>VLOOKUP($C$11:$C$46,Personnel!$A$1:$B$1234,2,FALSE)</f>
        <v>0</v>
      </c>
      <c r="C24" s="36"/>
      <c r="D24" s="184"/>
      <c r="E24" s="214">
        <f>VLOOKUP($B$11:$B$46,'Constr. Wage Rate Calculations'!$A$19:$Z$288,22,FALSE)</f>
        <v>0</v>
      </c>
      <c r="F24" s="184"/>
      <c r="G24" s="179">
        <f>VLOOKUP($B$11:$B$46,'Constr. Wage Rate Calculations'!$A$19:$Z$288,23,FALSE)</f>
        <v>0</v>
      </c>
      <c r="H24" s="184"/>
      <c r="I24" s="179">
        <f>VLOOKUP($B$11:$B$46,'Constr. Wage Rate Calculations'!$A$19:$Z$288,24,FALSE)</f>
        <v>0</v>
      </c>
      <c r="J24" s="20">
        <f>VLOOKUP($B$11:$B$46,'Constr. Wage Rate Calculations'!$A$19:$Z$288,25,FALSE)</f>
        <v>0</v>
      </c>
      <c r="K24" s="179" t="str">
        <f t="shared" si="0"/>
        <v/>
      </c>
    </row>
    <row r="25" spans="1:11" ht="15" customHeight="1">
      <c r="A25" s="48"/>
      <c r="B25" s="49">
        <f>VLOOKUP($C$11:$C$46,Personnel!$A$1:$B$1234,2,FALSE)</f>
        <v>0</v>
      </c>
      <c r="C25" s="36"/>
      <c r="D25" s="184"/>
      <c r="E25" s="214">
        <f>VLOOKUP($B$11:$B$46,'Constr. Wage Rate Calculations'!$A$19:$Z$288,22,FALSE)</f>
        <v>0</v>
      </c>
      <c r="F25" s="184"/>
      <c r="G25" s="179">
        <f>VLOOKUP($B$11:$B$46,'Constr. Wage Rate Calculations'!$A$19:$Z$288,23,FALSE)</f>
        <v>0</v>
      </c>
      <c r="H25" s="184"/>
      <c r="I25" s="179">
        <f>VLOOKUP($B$11:$B$46,'Constr. Wage Rate Calculations'!$A$19:$Z$288,24,FALSE)</f>
        <v>0</v>
      </c>
      <c r="J25" s="20">
        <f>VLOOKUP($B$11:$B$46,'Constr. Wage Rate Calculations'!$A$19:$Z$288,25,FALSE)</f>
        <v>0</v>
      </c>
      <c r="K25" s="179" t="str">
        <f t="shared" si="0"/>
        <v/>
      </c>
    </row>
    <row r="26" spans="1:11" ht="17.25" customHeight="1">
      <c r="A26" s="48"/>
      <c r="B26" s="49">
        <f>VLOOKUP($C$11:$C$46,Personnel!$A$1:$B$1234,2,FALSE)</f>
        <v>0</v>
      </c>
      <c r="C26" s="36"/>
      <c r="D26" s="184"/>
      <c r="E26" s="214">
        <f>VLOOKUP($B$11:$B$46,'Constr. Wage Rate Calculations'!$A$19:$Z$288,22,FALSE)</f>
        <v>0</v>
      </c>
      <c r="F26" s="184"/>
      <c r="G26" s="179">
        <f>VLOOKUP($B$11:$B$46,'Constr. Wage Rate Calculations'!$A$19:$Z$288,23,FALSE)</f>
        <v>0</v>
      </c>
      <c r="H26" s="184"/>
      <c r="I26" s="179">
        <f>VLOOKUP($B$11:$B$46,'Constr. Wage Rate Calculations'!$A$19:$Z$288,24,FALSE)</f>
        <v>0</v>
      </c>
      <c r="J26" s="20">
        <f>VLOOKUP($B$11:$B$46,'Constr. Wage Rate Calculations'!$A$19:$Z$288,25,FALSE)</f>
        <v>0</v>
      </c>
      <c r="K26" s="179" t="str">
        <f t="shared" si="0"/>
        <v/>
      </c>
    </row>
    <row r="27" spans="1:11" ht="15" customHeight="1">
      <c r="A27" s="48"/>
      <c r="B27" s="49">
        <f>VLOOKUP($C$11:$C$46,Personnel!$A$1:$B$1234,2,FALSE)</f>
        <v>0</v>
      </c>
      <c r="C27" s="36"/>
      <c r="D27" s="184"/>
      <c r="E27" s="214">
        <f>VLOOKUP($B$11:$B$46,'Constr. Wage Rate Calculations'!$A$19:$Z$288,22,FALSE)</f>
        <v>0</v>
      </c>
      <c r="F27" s="184"/>
      <c r="G27" s="179">
        <f>VLOOKUP($B$11:$B$46,'Constr. Wage Rate Calculations'!$A$19:$Z$288,23,FALSE)</f>
        <v>0</v>
      </c>
      <c r="H27" s="184"/>
      <c r="I27" s="179">
        <f>VLOOKUP($B$11:$B$46,'Constr. Wage Rate Calculations'!$A$19:$Z$288,24,FALSE)</f>
        <v>0</v>
      </c>
      <c r="J27" s="20">
        <f>VLOOKUP($B$11:$B$46,'Constr. Wage Rate Calculations'!$A$19:$Z$288,25,FALSE)</f>
        <v>0</v>
      </c>
      <c r="K27" s="179" t="str">
        <f t="shared" si="0"/>
        <v/>
      </c>
    </row>
    <row r="28" spans="1:11" ht="15" customHeight="1">
      <c r="A28" s="48"/>
      <c r="B28" s="49">
        <f>VLOOKUP($C$11:$C$46,Personnel!$A$1:$B$1234,2,FALSE)</f>
        <v>0</v>
      </c>
      <c r="C28" s="36"/>
      <c r="D28" s="184"/>
      <c r="E28" s="214">
        <f>VLOOKUP($B$11:$B$46,'Constr. Wage Rate Calculations'!$A$19:$Z$288,22,FALSE)</f>
        <v>0</v>
      </c>
      <c r="F28" s="184"/>
      <c r="G28" s="179">
        <f>VLOOKUP($B$11:$B$46,'Constr. Wage Rate Calculations'!$A$19:$Z$288,23,FALSE)</f>
        <v>0</v>
      </c>
      <c r="H28" s="184"/>
      <c r="I28" s="179">
        <f>VLOOKUP($B$11:$B$46,'Constr. Wage Rate Calculations'!$A$19:$Z$288,24,FALSE)</f>
        <v>0</v>
      </c>
      <c r="J28" s="20">
        <f>VLOOKUP($B$11:$B$46,'Constr. Wage Rate Calculations'!$A$19:$Z$288,25,FALSE)</f>
        <v>0</v>
      </c>
      <c r="K28" s="179" t="str">
        <f t="shared" si="0"/>
        <v/>
      </c>
    </row>
    <row r="29" spans="1:11" ht="15" customHeight="1">
      <c r="A29" s="48"/>
      <c r="B29" s="49">
        <f>VLOOKUP($C$11:$C$46,Personnel!$A$1:$B$1234,2,FALSE)</f>
        <v>0</v>
      </c>
      <c r="C29" s="36"/>
      <c r="D29" s="184"/>
      <c r="E29" s="214">
        <f>VLOOKUP($B$11:$B$46,'Constr. Wage Rate Calculations'!$A$19:$Z$288,22,FALSE)</f>
        <v>0</v>
      </c>
      <c r="F29" s="184"/>
      <c r="G29" s="179">
        <f>VLOOKUP($B$11:$B$46,'Constr. Wage Rate Calculations'!$A$19:$Z$288,23,FALSE)</f>
        <v>0</v>
      </c>
      <c r="H29" s="184"/>
      <c r="I29" s="179">
        <f>VLOOKUP($B$11:$B$46,'Constr. Wage Rate Calculations'!$A$19:$Z$288,24,FALSE)</f>
        <v>0</v>
      </c>
      <c r="J29" s="20">
        <f>VLOOKUP($B$11:$B$46,'Constr. Wage Rate Calculations'!$A$19:$Z$288,25,FALSE)</f>
        <v>0</v>
      </c>
      <c r="K29" s="179" t="str">
        <f t="shared" si="0"/>
        <v/>
      </c>
    </row>
    <row r="30" spans="1:11" ht="15" customHeight="1">
      <c r="A30" s="48"/>
      <c r="B30" s="49">
        <f>VLOOKUP($C$11:$C$46,Personnel!$A$1:$B$1234,2,FALSE)</f>
        <v>0</v>
      </c>
      <c r="C30" s="36"/>
      <c r="D30" s="184"/>
      <c r="E30" s="214">
        <f>VLOOKUP($B$11:$B$46,'Constr. Wage Rate Calculations'!$A$19:$Z$288,22,FALSE)</f>
        <v>0</v>
      </c>
      <c r="F30" s="184"/>
      <c r="G30" s="179">
        <f>VLOOKUP($B$11:$B$46,'Constr. Wage Rate Calculations'!$A$19:$Z$288,23,FALSE)</f>
        <v>0</v>
      </c>
      <c r="H30" s="184"/>
      <c r="I30" s="179">
        <f>VLOOKUP($B$11:$B$46,'Constr. Wage Rate Calculations'!$A$19:$Z$288,24,FALSE)</f>
        <v>0</v>
      </c>
      <c r="J30" s="20">
        <f>VLOOKUP($B$11:$B$46,'Constr. Wage Rate Calculations'!$A$19:$Z$288,25,FALSE)</f>
        <v>0</v>
      </c>
      <c r="K30" s="179" t="str">
        <f t="shared" si="0"/>
        <v/>
      </c>
    </row>
    <row r="31" spans="1:11" ht="15" customHeight="1">
      <c r="A31" s="48"/>
      <c r="B31" s="49">
        <f>VLOOKUP($C$11:$C$46,Personnel!$A$1:$B$1234,2,FALSE)</f>
        <v>0</v>
      </c>
      <c r="C31" s="36"/>
      <c r="D31" s="184"/>
      <c r="E31" s="214">
        <f>VLOOKUP($B$11:$B$46,'Constr. Wage Rate Calculations'!$A$19:$Z$288,22,FALSE)</f>
        <v>0</v>
      </c>
      <c r="F31" s="184"/>
      <c r="G31" s="179">
        <f>VLOOKUP($B$11:$B$46,'Constr. Wage Rate Calculations'!$A$19:$Z$288,23,FALSE)</f>
        <v>0</v>
      </c>
      <c r="H31" s="184"/>
      <c r="I31" s="179">
        <f>VLOOKUP($B$11:$B$46,'Constr. Wage Rate Calculations'!$A$19:$Z$288,24,FALSE)</f>
        <v>0</v>
      </c>
      <c r="J31" s="20">
        <f>VLOOKUP($B$11:$B$46,'Constr. Wage Rate Calculations'!$A$19:$Z$288,25,FALSE)</f>
        <v>0</v>
      </c>
      <c r="K31" s="179" t="str">
        <f t="shared" si="0"/>
        <v/>
      </c>
    </row>
    <row r="32" spans="1:11" ht="15" customHeight="1">
      <c r="A32" s="48"/>
      <c r="B32" s="49">
        <f>VLOOKUP($C$11:$C$46,Personnel!$A$1:$B$1234,2,FALSE)</f>
        <v>0</v>
      </c>
      <c r="C32" s="36"/>
      <c r="D32" s="184"/>
      <c r="E32" s="214">
        <f>VLOOKUP($B$11:$B$46,'Constr. Wage Rate Calculations'!$A$19:$Z$288,22,FALSE)</f>
        <v>0</v>
      </c>
      <c r="F32" s="184"/>
      <c r="G32" s="179">
        <f>VLOOKUP($B$11:$B$46,'Constr. Wage Rate Calculations'!$A$19:$Z$288,23,FALSE)</f>
        <v>0</v>
      </c>
      <c r="H32" s="184"/>
      <c r="I32" s="179">
        <f>VLOOKUP($B$11:$B$46,'Constr. Wage Rate Calculations'!$A$19:$Z$288,24,FALSE)</f>
        <v>0</v>
      </c>
      <c r="J32" s="20">
        <f>VLOOKUP($B$11:$B$46,'Constr. Wage Rate Calculations'!$A$19:$Z$288,25,FALSE)</f>
        <v>0</v>
      </c>
      <c r="K32" s="179" t="str">
        <f t="shared" si="0"/>
        <v/>
      </c>
    </row>
    <row r="33" spans="1:15" ht="15" customHeight="1">
      <c r="A33" s="48"/>
      <c r="B33" s="49">
        <f>VLOOKUP($C$11:$C$46,Personnel!$A$1:$B$1234,2,FALSE)</f>
        <v>0</v>
      </c>
      <c r="C33" s="36"/>
      <c r="D33" s="184"/>
      <c r="E33" s="214">
        <f>VLOOKUP($B$11:$B$46,'Constr. Wage Rate Calculations'!$A$19:$Z$288,22,FALSE)</f>
        <v>0</v>
      </c>
      <c r="F33" s="184"/>
      <c r="G33" s="179">
        <f>VLOOKUP($B$11:$B$46,'Constr. Wage Rate Calculations'!$A$19:$Z$288,23,FALSE)</f>
        <v>0</v>
      </c>
      <c r="H33" s="184"/>
      <c r="I33" s="179">
        <f>VLOOKUP($B$11:$B$46,'Constr. Wage Rate Calculations'!$A$19:$Z$288,24,FALSE)</f>
        <v>0</v>
      </c>
      <c r="J33" s="20">
        <f>VLOOKUP($B$11:$B$46,'Constr. Wage Rate Calculations'!$A$19:$Z$288,25,FALSE)</f>
        <v>0</v>
      </c>
      <c r="K33" s="179" t="str">
        <f t="shared" si="0"/>
        <v/>
      </c>
    </row>
    <row r="34" spans="1:15" ht="18" customHeight="1">
      <c r="A34" s="48"/>
      <c r="B34" s="49">
        <f>VLOOKUP($C$11:$C$46,Personnel!$A$1:$B$1234,2,FALSE)</f>
        <v>0</v>
      </c>
      <c r="C34" s="36"/>
      <c r="D34" s="184"/>
      <c r="E34" s="214">
        <f>VLOOKUP($B$11:$B$46,'Constr. Wage Rate Calculations'!$A$19:$Z$288,22,FALSE)</f>
        <v>0</v>
      </c>
      <c r="F34" s="184"/>
      <c r="G34" s="179">
        <f>VLOOKUP($B$11:$B$46,'Constr. Wage Rate Calculations'!$A$19:$Z$288,23,FALSE)</f>
        <v>0</v>
      </c>
      <c r="H34" s="184"/>
      <c r="I34" s="179">
        <f>VLOOKUP($B$11:$B$46,'Constr. Wage Rate Calculations'!$A$19:$Z$288,24,FALSE)</f>
        <v>0</v>
      </c>
      <c r="J34" s="20">
        <f>VLOOKUP($B$11:$B$46,'Constr. Wage Rate Calculations'!$A$19:$Z$288,25,FALSE)</f>
        <v>0</v>
      </c>
      <c r="K34" s="179" t="str">
        <f t="shared" si="0"/>
        <v/>
      </c>
    </row>
    <row r="35" spans="1:15" ht="15" customHeight="1">
      <c r="A35" s="48"/>
      <c r="B35" s="49">
        <f>VLOOKUP($C$11:$C$46,Personnel!$A$1:$B$1234,2,FALSE)</f>
        <v>0</v>
      </c>
      <c r="C35" s="36"/>
      <c r="D35" s="184"/>
      <c r="E35" s="214">
        <f>VLOOKUP($B$11:$B$46,'Constr. Wage Rate Calculations'!$A$19:$Z$288,22,FALSE)</f>
        <v>0</v>
      </c>
      <c r="F35" s="184"/>
      <c r="G35" s="179">
        <f>VLOOKUP($B$11:$B$46,'Constr. Wage Rate Calculations'!$A$19:$Z$288,23,FALSE)</f>
        <v>0</v>
      </c>
      <c r="H35" s="184"/>
      <c r="I35" s="179">
        <f>VLOOKUP($B$11:$B$46,'Constr. Wage Rate Calculations'!$A$19:$Z$288,24,FALSE)</f>
        <v>0</v>
      </c>
      <c r="J35" s="20">
        <f>VLOOKUP($B$11:$B$46,'Constr. Wage Rate Calculations'!$A$19:$Z$288,25,FALSE)</f>
        <v>0</v>
      </c>
      <c r="K35" s="179" t="str">
        <f t="shared" si="0"/>
        <v/>
      </c>
    </row>
    <row r="36" spans="1:15" ht="15" customHeight="1">
      <c r="A36" s="48"/>
      <c r="B36" s="49">
        <f>VLOOKUP($C$11:$C$46,Personnel!$A$1:$B$1234,2,FALSE)</f>
        <v>0</v>
      </c>
      <c r="C36" s="36"/>
      <c r="D36" s="184"/>
      <c r="E36" s="214">
        <f>VLOOKUP($B$11:$B$46,'Constr. Wage Rate Calculations'!$A$19:$Z$288,22,FALSE)</f>
        <v>0</v>
      </c>
      <c r="F36" s="184"/>
      <c r="G36" s="179">
        <f>VLOOKUP($B$11:$B$46,'Constr. Wage Rate Calculations'!$A$19:$Z$288,23,FALSE)</f>
        <v>0</v>
      </c>
      <c r="H36" s="184"/>
      <c r="I36" s="179">
        <f>VLOOKUP($B$11:$B$46,'Constr. Wage Rate Calculations'!$A$19:$Z$288,24,FALSE)</f>
        <v>0</v>
      </c>
      <c r="J36" s="20">
        <f>VLOOKUP($B$11:$B$46,'Constr. Wage Rate Calculations'!$A$19:$Z$288,25,FALSE)</f>
        <v>0</v>
      </c>
      <c r="K36" s="179" t="str">
        <f t="shared" si="0"/>
        <v/>
      </c>
    </row>
    <row r="37" spans="1:15" ht="15" customHeight="1">
      <c r="A37" s="48"/>
      <c r="B37" s="49">
        <f>VLOOKUP($C$11:$C$46,Personnel!$A$1:$B$1234,2,FALSE)</f>
        <v>0</v>
      </c>
      <c r="C37" s="36"/>
      <c r="D37" s="184"/>
      <c r="E37" s="214">
        <f>VLOOKUP($B$11:$B$46,'Constr. Wage Rate Calculations'!$A$19:$Z$288,22,FALSE)</f>
        <v>0</v>
      </c>
      <c r="F37" s="184"/>
      <c r="G37" s="179">
        <f>VLOOKUP($B$11:$B$46,'Constr. Wage Rate Calculations'!$A$19:$Z$288,23,FALSE)</f>
        <v>0</v>
      </c>
      <c r="H37" s="184"/>
      <c r="I37" s="179">
        <f>VLOOKUP($B$11:$B$46,'Constr. Wage Rate Calculations'!$A$19:$Z$288,24,FALSE)</f>
        <v>0</v>
      </c>
      <c r="J37" s="20">
        <f>VLOOKUP($B$11:$B$46,'Constr. Wage Rate Calculations'!$A$19:$Z$288,25,FALSE)</f>
        <v>0</v>
      </c>
      <c r="K37" s="179" t="str">
        <f t="shared" si="0"/>
        <v/>
      </c>
    </row>
    <row r="38" spans="1:15" ht="15" customHeight="1">
      <c r="A38" s="48"/>
      <c r="B38" s="49">
        <f>VLOOKUP($C$11:$C$46,Personnel!$A$1:$B$1234,2,FALSE)</f>
        <v>0</v>
      </c>
      <c r="C38" s="36"/>
      <c r="D38" s="184"/>
      <c r="E38" s="214">
        <f>VLOOKUP($B$11:$B$46,'Constr. Wage Rate Calculations'!$A$19:$Z$288,22,FALSE)</f>
        <v>0</v>
      </c>
      <c r="F38" s="184"/>
      <c r="G38" s="179">
        <f>VLOOKUP($B$11:$B$46,'Constr. Wage Rate Calculations'!$A$19:$Z$288,23,FALSE)</f>
        <v>0</v>
      </c>
      <c r="H38" s="184"/>
      <c r="I38" s="179">
        <f>VLOOKUP($B$11:$B$46,'Constr. Wage Rate Calculations'!$A$19:$Z$288,24,FALSE)</f>
        <v>0</v>
      </c>
      <c r="J38" s="20">
        <f>VLOOKUP($B$11:$B$46,'Constr. Wage Rate Calculations'!$A$19:$Z$288,25,FALSE)</f>
        <v>0</v>
      </c>
      <c r="K38" s="179" t="str">
        <f t="shared" si="0"/>
        <v/>
      </c>
    </row>
    <row r="39" spans="1:15" ht="15" customHeight="1">
      <c r="A39" s="48"/>
      <c r="B39" s="49">
        <f>VLOOKUP($C$11:$C$46,Personnel!$A$1:$B$1234,2,FALSE)</f>
        <v>0</v>
      </c>
      <c r="C39" s="36"/>
      <c r="D39" s="184"/>
      <c r="E39" s="214">
        <f>VLOOKUP($B$11:$B$46,'Constr. Wage Rate Calculations'!$A$19:$Z$288,22,FALSE)</f>
        <v>0</v>
      </c>
      <c r="F39" s="184"/>
      <c r="G39" s="179">
        <f>VLOOKUP($B$11:$B$46,'Constr. Wage Rate Calculations'!$A$19:$Z$288,23,FALSE)</f>
        <v>0</v>
      </c>
      <c r="H39" s="184"/>
      <c r="I39" s="179">
        <f>VLOOKUP($B$11:$B$46,'Constr. Wage Rate Calculations'!$A$19:$Z$288,24,FALSE)</f>
        <v>0</v>
      </c>
      <c r="J39" s="20">
        <f>VLOOKUP($B$11:$B$46,'Constr. Wage Rate Calculations'!$A$19:$Z$288,25,FALSE)</f>
        <v>0</v>
      </c>
      <c r="K39" s="179" t="str">
        <f t="shared" si="0"/>
        <v/>
      </c>
    </row>
    <row r="40" spans="1:15" ht="18" customHeight="1">
      <c r="A40" s="48"/>
      <c r="B40" s="49">
        <f>VLOOKUP($C$11:$C$46,Personnel!$A$1:$B$1234,2,FALSE)</f>
        <v>0</v>
      </c>
      <c r="C40" s="36"/>
      <c r="D40" s="184"/>
      <c r="E40" s="214">
        <f>VLOOKUP($B$11:$B$46,'Constr. Wage Rate Calculations'!$A$19:$Z$288,22,FALSE)</f>
        <v>0</v>
      </c>
      <c r="F40" s="184"/>
      <c r="G40" s="179">
        <f>VLOOKUP($B$11:$B$46,'Constr. Wage Rate Calculations'!$A$19:$Z$288,23,FALSE)</f>
        <v>0</v>
      </c>
      <c r="H40" s="184"/>
      <c r="I40" s="179">
        <f>VLOOKUP($B$11:$B$46,'Constr. Wage Rate Calculations'!$A$19:$Z$288,24,FALSE)</f>
        <v>0</v>
      </c>
      <c r="J40" s="20">
        <f>VLOOKUP($B$11:$B$46,'Constr. Wage Rate Calculations'!$A$19:$Z$288,25,FALSE)</f>
        <v>0</v>
      </c>
      <c r="K40" s="179" t="str">
        <f t="shared" si="0"/>
        <v/>
      </c>
    </row>
    <row r="41" spans="1:15" ht="18" customHeight="1">
      <c r="A41" s="48"/>
      <c r="B41" s="49">
        <f>VLOOKUP($C$11:$C$46,Personnel!$A$1:$B$1234,2,FALSE)</f>
        <v>0</v>
      </c>
      <c r="C41" s="36"/>
      <c r="D41" s="184"/>
      <c r="E41" s="214">
        <f>VLOOKUP($B$11:$B$46,'Constr. Wage Rate Calculations'!$A$19:$Z$288,22,FALSE)</f>
        <v>0</v>
      </c>
      <c r="F41" s="184"/>
      <c r="G41" s="179">
        <f>VLOOKUP($B$11:$B$46,'Constr. Wage Rate Calculations'!$A$19:$Z$288,23,FALSE)</f>
        <v>0</v>
      </c>
      <c r="H41" s="184"/>
      <c r="I41" s="179">
        <f>VLOOKUP($B$11:$B$46,'Constr. Wage Rate Calculations'!$A$19:$Z$288,24,FALSE)</f>
        <v>0</v>
      </c>
      <c r="J41" s="20">
        <f>VLOOKUP($B$11:$B$46,'Constr. Wage Rate Calculations'!$A$19:$Z$288,25,FALSE)</f>
        <v>0</v>
      </c>
      <c r="K41" s="179" t="str">
        <f t="shared" si="0"/>
        <v/>
      </c>
    </row>
    <row r="42" spans="1:15" ht="18" customHeight="1">
      <c r="A42" s="48"/>
      <c r="B42" s="49">
        <f>VLOOKUP($C$11:$C$46,Personnel!$A$1:$B$1234,2,FALSE)</f>
        <v>0</v>
      </c>
      <c r="C42" s="36"/>
      <c r="D42" s="184"/>
      <c r="E42" s="214">
        <f>VLOOKUP($B$11:$B$46,'Constr. Wage Rate Calculations'!$A$19:$Z$288,22,FALSE)</f>
        <v>0</v>
      </c>
      <c r="F42" s="184"/>
      <c r="G42" s="179">
        <f>VLOOKUP($B$11:$B$46,'Constr. Wage Rate Calculations'!$A$19:$Z$288,23,FALSE)</f>
        <v>0</v>
      </c>
      <c r="H42" s="184"/>
      <c r="I42" s="179">
        <f>VLOOKUP($B$11:$B$46,'Constr. Wage Rate Calculations'!$A$19:$Z$288,24,FALSE)</f>
        <v>0</v>
      </c>
      <c r="J42" s="20">
        <f>VLOOKUP($B$11:$B$46,'Constr. Wage Rate Calculations'!$A$19:$Z$288,25,FALSE)</f>
        <v>0</v>
      </c>
      <c r="K42" s="179" t="str">
        <f t="shared" ref="K42:K45" si="1">IF($D42&gt;=1,$J42+(D42*E42)+(F42*G42)+(H42*I42),IF($F42&gt;=1,$J42+(D42*E42)+(F42*G42)+(H42*I42),IF($H42&gt;=1,$J42+(D42*E42)+(F42*G42)+(H42*I42),"")))</f>
        <v/>
      </c>
    </row>
    <row r="43" spans="1:15" ht="18" customHeight="1">
      <c r="A43" s="48"/>
      <c r="B43" s="49">
        <f>VLOOKUP($C$11:$C$46,Personnel!$A$1:$B$1234,2,FALSE)</f>
        <v>0</v>
      </c>
      <c r="C43" s="36"/>
      <c r="D43" s="184"/>
      <c r="E43" s="214">
        <f>VLOOKUP($B$11:$B$46,'Constr. Wage Rate Calculations'!$A$19:$Z$288,22,FALSE)</f>
        <v>0</v>
      </c>
      <c r="F43" s="184"/>
      <c r="G43" s="179">
        <f>VLOOKUP($B$11:$B$46,'Constr. Wage Rate Calculations'!$A$19:$Z$288,23,FALSE)</f>
        <v>0</v>
      </c>
      <c r="H43" s="184"/>
      <c r="I43" s="179">
        <f>VLOOKUP($B$11:$B$46,'Constr. Wage Rate Calculations'!$A$19:$Z$288,24,FALSE)</f>
        <v>0</v>
      </c>
      <c r="J43" s="20">
        <f>VLOOKUP($B$11:$B$46,'Constr. Wage Rate Calculations'!$A$19:$Z$288,25,FALSE)</f>
        <v>0</v>
      </c>
      <c r="K43" s="179" t="str">
        <f t="shared" si="1"/>
        <v/>
      </c>
    </row>
    <row r="44" spans="1:15" ht="18" customHeight="1">
      <c r="A44" s="48"/>
      <c r="B44" s="49">
        <f>VLOOKUP($C$11:$C$46,Personnel!$A$1:$B$1234,2,FALSE)</f>
        <v>0</v>
      </c>
      <c r="C44" s="36"/>
      <c r="D44" s="184"/>
      <c r="E44" s="214">
        <f>VLOOKUP($B$11:$B$46,'Constr. Wage Rate Calculations'!$A$19:$Z$288,22,FALSE)</f>
        <v>0</v>
      </c>
      <c r="F44" s="184"/>
      <c r="G44" s="179">
        <f>VLOOKUP($B$11:$B$46,'Constr. Wage Rate Calculations'!$A$19:$Z$288,23,FALSE)</f>
        <v>0</v>
      </c>
      <c r="H44" s="184"/>
      <c r="I44" s="179">
        <f>VLOOKUP($B$11:$B$46,'Constr. Wage Rate Calculations'!$A$19:$Z$288,24,FALSE)</f>
        <v>0</v>
      </c>
      <c r="J44" s="20">
        <f>VLOOKUP($B$11:$B$46,'Constr. Wage Rate Calculations'!$A$19:$Z$288,25,FALSE)</f>
        <v>0</v>
      </c>
      <c r="K44" s="179" t="str">
        <f t="shared" si="1"/>
        <v/>
      </c>
    </row>
    <row r="45" spans="1:15" ht="18" customHeight="1">
      <c r="A45" s="48"/>
      <c r="B45" s="49">
        <f>VLOOKUP($C$11:$C$46,Personnel!$A$1:$B$1234,2,FALSE)</f>
        <v>0</v>
      </c>
      <c r="C45" s="36"/>
      <c r="D45" s="184"/>
      <c r="E45" s="214">
        <f>VLOOKUP($B$11:$B$46,'Constr. Wage Rate Calculations'!$A$19:$Z$288,22,FALSE)</f>
        <v>0</v>
      </c>
      <c r="F45" s="184"/>
      <c r="G45" s="179">
        <f>VLOOKUP($B$11:$B$46,'Constr. Wage Rate Calculations'!$A$19:$Z$288,23,FALSE)</f>
        <v>0</v>
      </c>
      <c r="H45" s="184"/>
      <c r="I45" s="179">
        <f>VLOOKUP($B$11:$B$46,'Constr. Wage Rate Calculations'!$A$19:$Z$288,24,FALSE)</f>
        <v>0</v>
      </c>
      <c r="J45" s="20">
        <f>VLOOKUP($B$11:$B$46,'Constr. Wage Rate Calculations'!$A$19:$Z$288,25,FALSE)</f>
        <v>0</v>
      </c>
      <c r="K45" s="179" t="str">
        <f t="shared" si="1"/>
        <v/>
      </c>
    </row>
    <row r="46" spans="1:15" ht="15" customHeight="1" thickBot="1">
      <c r="A46" s="48"/>
      <c r="B46" s="49">
        <f>VLOOKUP($C$11:$C$46,Personnel!$A$1:$B$1234,2,FALSE)</f>
        <v>0</v>
      </c>
      <c r="C46" s="36"/>
      <c r="D46" s="184"/>
      <c r="E46" s="179">
        <f>VLOOKUP($B$11:$B$46,'Constr. Wage Rate Calculations'!$A$19:$Z$288,22,FALSE)</f>
        <v>0</v>
      </c>
      <c r="F46" s="184"/>
      <c r="G46" s="179">
        <f>VLOOKUP($B$11:$B$46,'Constr. Wage Rate Calculations'!$A$19:$Z$288,23,FALSE)</f>
        <v>0</v>
      </c>
      <c r="H46" s="184"/>
      <c r="I46" s="179">
        <f>VLOOKUP($B$11:$B$46,'Constr. Wage Rate Calculations'!$A$19:$Z$288,24,FALSE)</f>
        <v>0</v>
      </c>
      <c r="J46" s="20">
        <f>VLOOKUP($B$11:$B$46,'Constr. Wage Rate Calculations'!$A$19:$Z$288,25,FALSE)</f>
        <v>0</v>
      </c>
      <c r="K46" s="179" t="str">
        <f t="shared" si="0"/>
        <v/>
      </c>
      <c r="M46" s="1">
        <f>SUM(M11:M39)</f>
        <v>1</v>
      </c>
    </row>
    <row r="47" spans="1:15" ht="15" customHeight="1" thickBot="1">
      <c r="A47"/>
      <c r="B47"/>
      <c r="C47"/>
      <c r="D47" s="21"/>
      <c r="E47" s="21"/>
      <c r="F47" s="21"/>
      <c r="G47" s="21"/>
      <c r="H47" s="21"/>
      <c r="I47" s="360" t="s">
        <v>18</v>
      </c>
      <c r="J47" s="361"/>
      <c r="K47" s="205">
        <f>SUM(K11:K46)</f>
        <v>2419.63</v>
      </c>
      <c r="M47" s="1">
        <f>SUMIFS(D11:D46,D11:D46,"&gt;3",D11:D46,"&gt;5")</f>
        <v>8</v>
      </c>
      <c r="N47" s="1">
        <f>SUMIFS(D11:D46,D11:D46,"&lt;3",D11:D46,"&lt;5")</f>
        <v>1</v>
      </c>
      <c r="O47" s="1">
        <f>SUM(F11:F46,H11:H46,M47,N47)-M46</f>
        <v>22</v>
      </c>
    </row>
    <row r="48" spans="1:15" ht="10" customHeight="1" thickBot="1"/>
    <row r="49" spans="1:11" s="19" customFormat="1" ht="15" customHeight="1" thickBot="1">
      <c r="A49" s="22" t="s">
        <v>19</v>
      </c>
      <c r="B49" s="23" t="s">
        <v>20</v>
      </c>
      <c r="C49" s="23"/>
      <c r="D49" s="23"/>
      <c r="E49" s="23"/>
      <c r="F49" s="23"/>
      <c r="G49" s="23"/>
      <c r="H49" s="18" t="s">
        <v>21</v>
      </c>
      <c r="I49" s="18" t="s">
        <v>22</v>
      </c>
      <c r="J49" s="18" t="s">
        <v>23</v>
      </c>
      <c r="K49" s="18" t="s">
        <v>17</v>
      </c>
    </row>
    <row r="50" spans="1:11" ht="15" customHeight="1">
      <c r="A50" s="43"/>
      <c r="B50" s="49">
        <f>VLOOKUP($C$50:$C$85,Equipment!$A$1:$B$2322,2,FALSE)</f>
        <v>0</v>
      </c>
      <c r="C50" s="24"/>
      <c r="D50" s="24"/>
      <c r="E50" s="24"/>
      <c r="F50" s="24"/>
      <c r="G50" s="24"/>
      <c r="H50" s="185"/>
      <c r="I50" s="184"/>
      <c r="J50" s="42">
        <f>VLOOKUP($B$50:$B$85,'Alberta Equip. Rates Year 3'!$B$13:$K$314,10,FALSE)</f>
        <v>0</v>
      </c>
      <c r="K50" s="181">
        <f t="shared" ref="K50:K57" si="2">(H50+I50)*J50</f>
        <v>0</v>
      </c>
    </row>
    <row r="51" spans="1:11" ht="15" customHeight="1">
      <c r="A51" s="43"/>
      <c r="B51" s="49" t="str">
        <f>VLOOKUP($C$50:$C$85,Equipment!$A$1:$B$2322,2,FALSE)</f>
        <v>SUV  - Expedition/ Lexus/ Denali/ Yukon/ Navigator</v>
      </c>
      <c r="C51" s="24" t="s">
        <v>2918</v>
      </c>
      <c r="D51" s="24"/>
      <c r="E51" s="24"/>
      <c r="F51" s="24"/>
      <c r="G51" s="24"/>
      <c r="H51" s="185">
        <v>1</v>
      </c>
      <c r="I51" s="184"/>
      <c r="J51" s="42">
        <f>VLOOKUP($B$50:$B$85,'Alberta Equip. Rates Year 3'!$B$13:$K$314,10,FALSE)</f>
        <v>138</v>
      </c>
      <c r="K51" s="181">
        <f t="shared" si="2"/>
        <v>138</v>
      </c>
    </row>
    <row r="52" spans="1:11" ht="15" customHeight="1">
      <c r="A52" s="43"/>
      <c r="B52" s="49">
        <f>VLOOKUP($C$50:$C$85,Equipment!$A$1:$B$2322,2,FALSE)</f>
        <v>0</v>
      </c>
      <c r="C52" s="24"/>
      <c r="D52" s="24"/>
      <c r="E52" s="24"/>
      <c r="F52" s="24"/>
      <c r="G52" s="24"/>
      <c r="H52" s="185"/>
      <c r="I52" s="184"/>
      <c r="J52" s="42">
        <f>VLOOKUP($B$50:$B$85,'Alberta Equip. Rates Year 3'!$B$13:$K$314,10,FALSE)</f>
        <v>0</v>
      </c>
      <c r="K52" s="181">
        <f>(H52+I52)*J52</f>
        <v>0</v>
      </c>
    </row>
    <row r="53" spans="1:11" ht="15" customHeight="1">
      <c r="A53" s="43"/>
      <c r="B53" s="49">
        <f>VLOOKUP($C$50:$C$85,Equipment!$A$1:$B$2322,2,FALSE)</f>
        <v>0</v>
      </c>
      <c r="C53" s="24"/>
      <c r="D53" s="24"/>
      <c r="E53" s="24"/>
      <c r="F53" s="24"/>
      <c r="G53" s="24"/>
      <c r="H53" s="185"/>
      <c r="I53" s="184"/>
      <c r="J53" s="42">
        <f>VLOOKUP($B$50:$B$85,'Alberta Equip. Rates Year 3'!$B$13:$K$314,10,FALSE)</f>
        <v>0</v>
      </c>
      <c r="K53" s="181">
        <f>(H53+I53)*J53</f>
        <v>0</v>
      </c>
    </row>
    <row r="54" spans="1:11" ht="15" customHeight="1">
      <c r="A54" s="43"/>
      <c r="B54" s="49">
        <f>VLOOKUP($C$50:$C$85,Equipment!$A$1:$B$2322,2,FALSE)</f>
        <v>0</v>
      </c>
      <c r="C54" s="24"/>
      <c r="D54" s="24"/>
      <c r="E54" s="24"/>
      <c r="F54" s="24"/>
      <c r="G54" s="24"/>
      <c r="H54" s="185"/>
      <c r="I54" s="184"/>
      <c r="J54" s="42">
        <f>VLOOKUP($B$50:$B$85,'Alberta Equip. Rates Year 3'!$B$13:$K$314,10,FALSE)</f>
        <v>0</v>
      </c>
      <c r="K54" s="181">
        <f t="shared" ref="K54" si="3">(H54+I54)*J54</f>
        <v>0</v>
      </c>
    </row>
    <row r="55" spans="1:11" ht="15" customHeight="1">
      <c r="A55" s="43"/>
      <c r="B55" s="49">
        <f>VLOOKUP($C$50:$C$85,Equipment!$A$1:$B$2322,2,FALSE)</f>
        <v>0</v>
      </c>
      <c r="C55" s="24"/>
      <c r="D55" s="24"/>
      <c r="E55" s="24"/>
      <c r="F55" s="24"/>
      <c r="G55" s="24"/>
      <c r="H55" s="185"/>
      <c r="I55" s="184"/>
      <c r="J55" s="42">
        <f>VLOOKUP($B$50:$B$85,'Alberta Equip. Rates Year 3'!$B$13:$K$314,10,FALSE)</f>
        <v>0</v>
      </c>
      <c r="K55" s="181">
        <f t="shared" ref="K55:K56" si="4">(H55+I55)*J55</f>
        <v>0</v>
      </c>
    </row>
    <row r="56" spans="1:11" ht="15" customHeight="1">
      <c r="A56" s="43"/>
      <c r="B56" s="49">
        <f>VLOOKUP($C$50:$C$85,Equipment!$A$1:$B$2322,2,FALSE)</f>
        <v>0</v>
      </c>
      <c r="C56" s="24"/>
      <c r="D56" s="24"/>
      <c r="E56" s="24"/>
      <c r="F56" s="24"/>
      <c r="G56" s="24"/>
      <c r="H56" s="185"/>
      <c r="I56" s="184"/>
      <c r="J56" s="42">
        <f>VLOOKUP($B$50:$B$85,'Alberta Equip. Rates Year 3'!$B$13:$K$314,10,FALSE)</f>
        <v>0</v>
      </c>
      <c r="K56" s="181">
        <f t="shared" si="4"/>
        <v>0</v>
      </c>
    </row>
    <row r="57" spans="1:11" ht="15" customHeight="1">
      <c r="A57" s="43"/>
      <c r="B57" s="49">
        <f>VLOOKUP($C$50:$C$85,Equipment!$A$1:$B$2322,2,FALSE)</f>
        <v>0</v>
      </c>
      <c r="C57" s="24"/>
      <c r="D57" s="24"/>
      <c r="E57" s="24"/>
      <c r="F57" s="24"/>
      <c r="G57" s="24"/>
      <c r="H57" s="185"/>
      <c r="I57" s="184"/>
      <c r="J57" s="42">
        <f>VLOOKUP($B$50:$B$85,'Alberta Equip. Rates Year 3'!$B$13:$K$314,10,FALSE)</f>
        <v>0</v>
      </c>
      <c r="K57" s="181">
        <f t="shared" si="2"/>
        <v>0</v>
      </c>
    </row>
    <row r="58" spans="1:11" ht="15" customHeight="1">
      <c r="A58" s="43"/>
      <c r="B58" s="49">
        <f>VLOOKUP($C$50:$C$85,Equipment!$A$1:$B$2322,2,FALSE)</f>
        <v>0</v>
      </c>
      <c r="C58" s="24"/>
      <c r="D58" s="24"/>
      <c r="E58" s="24"/>
      <c r="F58" s="24"/>
      <c r="G58" s="24"/>
      <c r="H58" s="185"/>
      <c r="I58" s="184"/>
      <c r="J58" s="42">
        <f>VLOOKUP($B$50:$B$85,'Alberta Equip. Rates Year 3'!$B$13:$K$314,10,FALSE)</f>
        <v>0</v>
      </c>
      <c r="K58" s="181">
        <f t="shared" ref="K58:K66" si="5">(H58+I58)*J58</f>
        <v>0</v>
      </c>
    </row>
    <row r="59" spans="1:11" ht="15" customHeight="1">
      <c r="A59" s="43"/>
      <c r="B59" s="49">
        <f>VLOOKUP($C$50:$C$85,Equipment!$A$1:$B$2322,2,FALSE)</f>
        <v>0</v>
      </c>
      <c r="C59" s="24"/>
      <c r="D59" s="24"/>
      <c r="E59" s="24"/>
      <c r="F59" s="24"/>
      <c r="G59" s="24"/>
      <c r="H59" s="185"/>
      <c r="I59" s="184"/>
      <c r="J59" s="42">
        <f>VLOOKUP($B$50:$B$85,'Alberta Equip. Rates Year 3'!$B$13:$K$314,10,FALSE)</f>
        <v>0</v>
      </c>
      <c r="K59" s="181">
        <f t="shared" ref="K59" si="6">(H59+I59)*J59</f>
        <v>0</v>
      </c>
    </row>
    <row r="60" spans="1:11" ht="15" customHeight="1">
      <c r="A60" s="43"/>
      <c r="B60" s="49">
        <f>VLOOKUP($C$50:$C$85,Equipment!$A$1:$B$2322,2,FALSE)</f>
        <v>0</v>
      </c>
      <c r="C60" s="24"/>
      <c r="D60" s="24"/>
      <c r="E60" s="24"/>
      <c r="F60" s="24"/>
      <c r="G60" s="24"/>
      <c r="H60" s="185"/>
      <c r="I60" s="184"/>
      <c r="J60" s="42">
        <f>VLOOKUP($B$50:$B$85,'Alberta Equip. Rates Year 3'!$B$13:$K$314,10,FALSE)</f>
        <v>0</v>
      </c>
      <c r="K60" s="181">
        <f t="shared" si="5"/>
        <v>0</v>
      </c>
    </row>
    <row r="61" spans="1:11" ht="15" customHeight="1">
      <c r="A61" s="43"/>
      <c r="B61" s="49">
        <f>VLOOKUP($C$50:$C$85,Equipment!$A$1:$B$2322,2,FALSE)</f>
        <v>0</v>
      </c>
      <c r="C61" s="24"/>
      <c r="D61" s="24"/>
      <c r="E61" s="24"/>
      <c r="F61" s="24"/>
      <c r="G61" s="24"/>
      <c r="H61" s="185"/>
      <c r="I61" s="184"/>
      <c r="J61" s="42">
        <f>VLOOKUP($B$50:$B$85,'Alberta Equip. Rates Year 3'!$B$13:$K$314,10,FALSE)</f>
        <v>0</v>
      </c>
      <c r="K61" s="181">
        <f t="shared" si="5"/>
        <v>0</v>
      </c>
    </row>
    <row r="62" spans="1:11" ht="15" customHeight="1">
      <c r="A62" s="43"/>
      <c r="B62" s="49">
        <f>VLOOKUP($C$50:$C$85,Equipment!$A$1:$B$2322,2,FALSE)</f>
        <v>0</v>
      </c>
      <c r="C62" s="24"/>
      <c r="D62" s="24"/>
      <c r="E62" s="24"/>
      <c r="F62" s="24"/>
      <c r="G62" s="24"/>
      <c r="H62" s="185"/>
      <c r="I62" s="184"/>
      <c r="J62" s="42">
        <f>VLOOKUP($B$50:$B$85,'Alberta Equip. Rates Year 3'!$B$13:$K$314,10,FALSE)</f>
        <v>0</v>
      </c>
      <c r="K62" s="181">
        <f t="shared" ref="K62" si="7">(H62+I62)*J62</f>
        <v>0</v>
      </c>
    </row>
    <row r="63" spans="1:11" ht="15" customHeight="1">
      <c r="A63" s="43"/>
      <c r="B63" s="49">
        <f>VLOOKUP($C$50:$C$85,Equipment!$A$1:$B$2322,2,FALSE)</f>
        <v>0</v>
      </c>
      <c r="C63" s="24"/>
      <c r="D63" s="24"/>
      <c r="E63" s="24"/>
      <c r="F63" s="24"/>
      <c r="G63" s="24"/>
      <c r="H63" s="185"/>
      <c r="I63" s="184"/>
      <c r="J63" s="42">
        <f>VLOOKUP($B$50:$B$85,'Alberta Equip. Rates Year 3'!$B$13:$K$314,10,FALSE)</f>
        <v>0</v>
      </c>
      <c r="K63" s="181">
        <f t="shared" ref="K63" si="8">(H63+I63)*J63</f>
        <v>0</v>
      </c>
    </row>
    <row r="64" spans="1:11" ht="15" customHeight="1">
      <c r="A64" s="43"/>
      <c r="B64" s="49">
        <f>VLOOKUP($C$50:$C$85,Equipment!$A$1:$B$2322,2,FALSE)</f>
        <v>0</v>
      </c>
      <c r="C64" s="24"/>
      <c r="D64" s="24"/>
      <c r="E64" s="24"/>
      <c r="F64" s="24"/>
      <c r="G64" s="24"/>
      <c r="H64" s="185"/>
      <c r="I64" s="184"/>
      <c r="J64" s="42">
        <f>VLOOKUP($B$50:$B$85,'Alberta Equip. Rates Year 3'!$B$13:$K$314,10,FALSE)</f>
        <v>0</v>
      </c>
      <c r="K64" s="181">
        <f>(H64+I64)*J64</f>
        <v>0</v>
      </c>
    </row>
    <row r="65" spans="1:11" ht="15" customHeight="1">
      <c r="A65" s="43"/>
      <c r="B65" s="49">
        <f>VLOOKUP($C$50:$C$85,Equipment!$A$1:$B$2322,2,FALSE)</f>
        <v>0</v>
      </c>
      <c r="C65" s="24"/>
      <c r="D65" s="24"/>
      <c r="E65" s="24"/>
      <c r="F65" s="24"/>
      <c r="G65" s="24"/>
      <c r="H65" s="185"/>
      <c r="I65" s="184"/>
      <c r="J65" s="42">
        <f>VLOOKUP($B$50:$B$85,'Alberta Equip. Rates Year 3'!$B$13:$K$314,10,FALSE)</f>
        <v>0</v>
      </c>
      <c r="K65" s="181">
        <f t="shared" ref="K65" si="9">(H65+I65)*J65</f>
        <v>0</v>
      </c>
    </row>
    <row r="66" spans="1:11" ht="15" customHeight="1">
      <c r="A66" s="43"/>
      <c r="B66" s="49">
        <f>VLOOKUP($C$50:$C$85,Equipment!$A$1:$B$2322,2,FALSE)</f>
        <v>0</v>
      </c>
      <c r="C66" s="24"/>
      <c r="D66" s="24"/>
      <c r="E66" s="24"/>
      <c r="F66" s="24"/>
      <c r="G66" s="24"/>
      <c r="H66" s="185"/>
      <c r="I66" s="184"/>
      <c r="J66" s="42">
        <f>VLOOKUP($B$50:$B$85,'Alberta Equip. Rates Year 3'!$B$13:$K$314,10,FALSE)</f>
        <v>0</v>
      </c>
      <c r="K66" s="181">
        <f t="shared" si="5"/>
        <v>0</v>
      </c>
    </row>
    <row r="67" spans="1:11" ht="15" customHeight="1">
      <c r="A67" s="43"/>
      <c r="B67" s="49">
        <f>VLOOKUP($C$50:$C$85,Equipment!$A$1:$B$2322,2,FALSE)</f>
        <v>0</v>
      </c>
      <c r="C67" s="24"/>
      <c r="D67" s="24"/>
      <c r="E67" s="24"/>
      <c r="F67" s="24"/>
      <c r="G67" s="24"/>
      <c r="H67" s="185"/>
      <c r="I67" s="184"/>
      <c r="J67" s="42">
        <f>VLOOKUP($B$50:$B$85,'Alberta Equip. Rates Year 3'!$B$13:$K$314,10,FALSE)</f>
        <v>0</v>
      </c>
      <c r="K67" s="181">
        <f>(H67+I67)*J67</f>
        <v>0</v>
      </c>
    </row>
    <row r="68" spans="1:11" ht="15" customHeight="1">
      <c r="A68" s="43"/>
      <c r="B68" s="49">
        <f>VLOOKUP($C$50:$C$85,Equipment!$A$1:$B$2322,2,FALSE)</f>
        <v>0</v>
      </c>
      <c r="C68" s="24"/>
      <c r="D68" s="24"/>
      <c r="E68" s="24"/>
      <c r="F68" s="24"/>
      <c r="G68" s="24"/>
      <c r="H68" s="185"/>
      <c r="I68" s="184"/>
      <c r="J68" s="42">
        <f>VLOOKUP($B$50:$B$85,'Alberta Equip. Rates Year 3'!$B$13:$K$314,10,FALSE)</f>
        <v>0</v>
      </c>
      <c r="K68" s="181">
        <f>(H68+I68)*J68</f>
        <v>0</v>
      </c>
    </row>
    <row r="69" spans="1:11" ht="15" customHeight="1">
      <c r="A69" s="43"/>
      <c r="B69" s="49">
        <f>VLOOKUP($C$50:$C$85,Equipment!$A$1:$B$2322,2,FALSE)</f>
        <v>0</v>
      </c>
      <c r="C69" s="24"/>
      <c r="D69" s="24"/>
      <c r="E69" s="24"/>
      <c r="F69" s="24"/>
      <c r="G69" s="24"/>
      <c r="H69" s="185"/>
      <c r="I69" s="184"/>
      <c r="J69" s="42">
        <f>VLOOKUP($B$50:$B$85,'Alberta Equip. Rates Year 3'!$B$13:$K$314,10,FALSE)</f>
        <v>0</v>
      </c>
      <c r="K69" s="181">
        <f>(H69+I69)*J69</f>
        <v>0</v>
      </c>
    </row>
    <row r="70" spans="1:11" ht="15" customHeight="1">
      <c r="A70" s="43"/>
      <c r="B70" s="49">
        <f>VLOOKUP($C$50:$C$85,Equipment!$A$1:$B$2322,2,FALSE)</f>
        <v>0</v>
      </c>
      <c r="C70" s="24"/>
      <c r="D70" s="24"/>
      <c r="E70" s="24"/>
      <c r="F70" s="24"/>
      <c r="G70" s="24"/>
      <c r="H70" s="185"/>
      <c r="I70" s="184"/>
      <c r="J70" s="42">
        <f>VLOOKUP($B$50:$B$85,'Alberta Equip. Rates Year 3'!$B$13:$K$314,10,FALSE)</f>
        <v>0</v>
      </c>
      <c r="K70" s="181">
        <f>(H70+I70)*J70</f>
        <v>0</v>
      </c>
    </row>
    <row r="71" spans="1:11" ht="15" customHeight="1">
      <c r="A71" s="43"/>
      <c r="B71" s="49">
        <f>VLOOKUP($C$50:$C$85,Equipment!$A$1:$B$2322,2,FALSE)</f>
        <v>0</v>
      </c>
      <c r="C71" s="24"/>
      <c r="D71" s="24"/>
      <c r="E71" s="24"/>
      <c r="F71" s="24"/>
      <c r="G71" s="24"/>
      <c r="H71" s="185"/>
      <c r="I71" s="184"/>
      <c r="J71" s="42">
        <f>VLOOKUP($B$50:$B$85,'Alberta Equip. Rates Year 3'!$B$13:$K$314,10,FALSE)</f>
        <v>0</v>
      </c>
      <c r="K71" s="181">
        <f t="shared" ref="K71" si="10">(H71+I71)*J71</f>
        <v>0</v>
      </c>
    </row>
    <row r="72" spans="1:11" ht="15" customHeight="1">
      <c r="A72" s="43"/>
      <c r="B72" s="49">
        <f>VLOOKUP($C$50:$C$85,Equipment!$A$1:$B$2322,2,FALSE)</f>
        <v>0</v>
      </c>
      <c r="C72" s="24"/>
      <c r="D72" s="24"/>
      <c r="E72" s="24"/>
      <c r="F72" s="24"/>
      <c r="G72" s="24"/>
      <c r="H72" s="185"/>
      <c r="I72" s="184"/>
      <c r="J72" s="42">
        <f>VLOOKUP($B$50:$B$85,'Alberta Equip. Rates Year 3'!$B$13:$K$314,10,FALSE)</f>
        <v>0</v>
      </c>
      <c r="K72" s="181">
        <f>(H72+I72)*J72</f>
        <v>0</v>
      </c>
    </row>
    <row r="73" spans="1:11" ht="15" customHeight="1">
      <c r="A73" s="43"/>
      <c r="B73" s="49">
        <f>VLOOKUP($C$50:$C$85,Equipment!$A$1:$B$2322,2,FALSE)</f>
        <v>0</v>
      </c>
      <c r="C73" s="24"/>
      <c r="D73" s="24"/>
      <c r="E73" s="24"/>
      <c r="F73" s="24"/>
      <c r="G73" s="24"/>
      <c r="H73" s="185"/>
      <c r="I73" s="184"/>
      <c r="J73" s="42">
        <f>VLOOKUP($B$50:$B$85,'Alberta Equip. Rates Year 3'!$B$13:$K$314,10,FALSE)</f>
        <v>0</v>
      </c>
      <c r="K73" s="181">
        <f>(H73+I73)*J73</f>
        <v>0</v>
      </c>
    </row>
    <row r="74" spans="1:11" ht="15" customHeight="1">
      <c r="A74" s="43"/>
      <c r="B74" s="49">
        <f>VLOOKUP($C$50:$C$85,Equipment!$A$1:$B$2322,2,FALSE)</f>
        <v>0</v>
      </c>
      <c r="C74" s="24"/>
      <c r="D74" s="24"/>
      <c r="E74" s="24"/>
      <c r="F74" s="24"/>
      <c r="G74" s="24"/>
      <c r="H74" s="185"/>
      <c r="I74" s="184"/>
      <c r="J74" s="42">
        <f>VLOOKUP($B$50:$B$85,'Alberta Equip. Rates Year 3'!$B$13:$K$314,10,FALSE)</f>
        <v>0</v>
      </c>
      <c r="K74" s="181">
        <f>(H74+I74)*J74</f>
        <v>0</v>
      </c>
    </row>
    <row r="75" spans="1:11" ht="15" customHeight="1">
      <c r="A75" s="43"/>
      <c r="B75" s="49">
        <f>VLOOKUP($C$50:$C$85,Equipment!$A$1:$B$2322,2,FALSE)</f>
        <v>0</v>
      </c>
      <c r="C75" s="24"/>
      <c r="D75" s="24"/>
      <c r="E75" s="24"/>
      <c r="F75" s="24"/>
      <c r="G75" s="24"/>
      <c r="H75" s="185"/>
      <c r="I75" s="184"/>
      <c r="J75" s="42">
        <f>VLOOKUP($B$50:$B$85,'Alberta Equip. Rates Year 3'!$B$13:$K$314,10,FALSE)</f>
        <v>0</v>
      </c>
      <c r="K75" s="181">
        <f t="shared" ref="K75" si="11">(H75+I75)*J75</f>
        <v>0</v>
      </c>
    </row>
    <row r="76" spans="1:11" ht="15" customHeight="1">
      <c r="A76" s="43"/>
      <c r="B76" s="49">
        <f>VLOOKUP($C$50:$C$85,Equipment!$A$1:$B$2322,2,FALSE)</f>
        <v>0</v>
      </c>
      <c r="C76" s="24"/>
      <c r="D76" s="24"/>
      <c r="E76" s="24"/>
      <c r="F76" s="24"/>
      <c r="G76" s="24"/>
      <c r="H76" s="185"/>
      <c r="I76" s="184"/>
      <c r="J76" s="42">
        <f>VLOOKUP($B$50:$B$85,'Alberta Equip. Rates Year 3'!$B$13:$K$314,10,FALSE)</f>
        <v>0</v>
      </c>
      <c r="K76" s="181">
        <f>(H76+I76)*J76</f>
        <v>0</v>
      </c>
    </row>
    <row r="77" spans="1:11" ht="15" customHeight="1">
      <c r="A77" s="43"/>
      <c r="B77" s="49">
        <f>VLOOKUP($C$50:$C$85,Equipment!$A$1:$B$2322,2,FALSE)</f>
        <v>0</v>
      </c>
      <c r="C77" s="24"/>
      <c r="D77" s="24"/>
      <c r="E77" s="24"/>
      <c r="F77" s="24"/>
      <c r="G77" s="24"/>
      <c r="H77" s="185"/>
      <c r="I77" s="184"/>
      <c r="J77" s="42">
        <f>VLOOKUP($B$50:$B$85,'Alberta Equip. Rates Year 3'!$B$13:$K$314,10,FALSE)</f>
        <v>0</v>
      </c>
      <c r="K77" s="181">
        <f>(H77+I77)*J77</f>
        <v>0</v>
      </c>
    </row>
    <row r="78" spans="1:11" ht="15" customHeight="1">
      <c r="A78" s="43"/>
      <c r="B78" s="49">
        <f>VLOOKUP($C$50:$C$85,Equipment!$A$1:$B$2322,2,FALSE)</f>
        <v>0</v>
      </c>
      <c r="C78" s="24"/>
      <c r="D78" s="24"/>
      <c r="E78" s="24"/>
      <c r="F78" s="24"/>
      <c r="G78" s="24"/>
      <c r="H78" s="185"/>
      <c r="I78" s="184"/>
      <c r="J78" s="42">
        <f>VLOOKUP($B$50:$B$85,'Alberta Equip. Rates Year 3'!$B$13:$K$314,10,FALSE)</f>
        <v>0</v>
      </c>
      <c r="K78" s="181">
        <f t="shared" ref="K78" si="12">(H78+I78)*J78</f>
        <v>0</v>
      </c>
    </row>
    <row r="79" spans="1:11" ht="15" customHeight="1">
      <c r="A79" s="43"/>
      <c r="B79" s="49">
        <f>VLOOKUP($C$50:$C$85,Equipment!$A$1:$B$2322,2,FALSE)</f>
        <v>0</v>
      </c>
      <c r="C79" s="24"/>
      <c r="D79" s="24"/>
      <c r="E79" s="24"/>
      <c r="F79" s="24"/>
      <c r="G79" s="24"/>
      <c r="H79" s="185"/>
      <c r="I79" s="184"/>
      <c r="J79" s="42">
        <f>VLOOKUP($B$50:$B$85,'Alberta Equip. Rates Year 3'!$B$13:$K$314,10,FALSE)</f>
        <v>0</v>
      </c>
      <c r="K79" s="181">
        <f t="shared" ref="K79" si="13">(H79+I79)*J79</f>
        <v>0</v>
      </c>
    </row>
    <row r="80" spans="1:11" ht="15" customHeight="1">
      <c r="A80" s="43"/>
      <c r="B80" s="49">
        <f>VLOOKUP($C$50:$C$85,Equipment!$A$1:$B$2322,2,FALSE)</f>
        <v>0</v>
      </c>
      <c r="C80" s="24"/>
      <c r="D80" s="24"/>
      <c r="E80" s="24"/>
      <c r="F80" s="24"/>
      <c r="G80" s="24"/>
      <c r="H80" s="185"/>
      <c r="I80" s="184"/>
      <c r="J80" s="42">
        <f>VLOOKUP($B$50:$B$85,'Alberta Equip. Rates Year 3'!$B$13:$K$314,10,FALSE)</f>
        <v>0</v>
      </c>
      <c r="K80" s="181">
        <f t="shared" ref="K80:K85" si="14">(H80+I80)*J80</f>
        <v>0</v>
      </c>
    </row>
    <row r="81" spans="1:11" ht="15" customHeight="1">
      <c r="A81" s="43"/>
      <c r="B81" s="49">
        <f>VLOOKUP($C$50:$C$85,Equipment!$A$1:$B$2322,2,FALSE)</f>
        <v>0</v>
      </c>
      <c r="C81" s="24"/>
      <c r="D81" s="24"/>
      <c r="E81" s="24"/>
      <c r="F81" s="24"/>
      <c r="G81" s="24"/>
      <c r="H81" s="185"/>
      <c r="I81" s="184"/>
      <c r="J81" s="42">
        <f>VLOOKUP($B$50:$B$85,'Alberta Equip. Rates Year 3'!$B$13:$K$314,10,FALSE)</f>
        <v>0</v>
      </c>
      <c r="K81" s="181">
        <f t="shared" si="14"/>
        <v>0</v>
      </c>
    </row>
    <row r="82" spans="1:11" ht="15" customHeight="1">
      <c r="A82" s="43"/>
      <c r="B82" s="49">
        <f>VLOOKUP($C$50:$C$85,Equipment!$A$1:$B$2322,2,FALSE)</f>
        <v>0</v>
      </c>
      <c r="C82" s="24"/>
      <c r="D82" s="24"/>
      <c r="E82" s="24"/>
      <c r="F82" s="24"/>
      <c r="G82" s="24"/>
      <c r="H82" s="185"/>
      <c r="I82" s="184"/>
      <c r="J82" s="42">
        <f>VLOOKUP($B$50:$B$85,'Alberta Equip. Rates Year 3'!$B$13:$K$314,10,FALSE)</f>
        <v>0</v>
      </c>
      <c r="K82" s="181">
        <f t="shared" si="14"/>
        <v>0</v>
      </c>
    </row>
    <row r="83" spans="1:11" ht="15" customHeight="1">
      <c r="A83" s="43"/>
      <c r="B83" s="49">
        <f>VLOOKUP($C$50:$C$85,Equipment!$A$1:$B$2322,2,FALSE)</f>
        <v>0</v>
      </c>
      <c r="C83" s="24"/>
      <c r="D83" s="24"/>
      <c r="E83" s="24"/>
      <c r="F83" s="24"/>
      <c r="G83" s="24"/>
      <c r="H83" s="185"/>
      <c r="I83" s="184"/>
      <c r="J83" s="42">
        <f>VLOOKUP($B$50:$B$85,'Alberta Equip. Rates Year 3'!$B$13:$K$314,10,FALSE)</f>
        <v>0</v>
      </c>
      <c r="K83" s="181">
        <f t="shared" si="14"/>
        <v>0</v>
      </c>
    </row>
    <row r="84" spans="1:11" ht="15" customHeight="1">
      <c r="A84" s="43"/>
      <c r="B84" s="49">
        <f>VLOOKUP($C$50:$C$85,Equipment!$A$1:$B$2322,2,FALSE)</f>
        <v>0</v>
      </c>
      <c r="C84" s="24"/>
      <c r="D84" s="24"/>
      <c r="E84" s="24"/>
      <c r="F84" s="24"/>
      <c r="G84" s="24"/>
      <c r="H84" s="185"/>
      <c r="I84" s="184"/>
      <c r="J84" s="42">
        <f>VLOOKUP($B$50:$B$85,'Alberta Equip. Rates Year 3'!$B$13:$K$314,10,FALSE)</f>
        <v>0</v>
      </c>
      <c r="K84" s="181">
        <f t="shared" si="14"/>
        <v>0</v>
      </c>
    </row>
    <row r="85" spans="1:11" ht="15" customHeight="1" thickBot="1">
      <c r="A85" s="43"/>
      <c r="B85" s="49">
        <f>VLOOKUP($C$50:$C$85,Equipment!$A$1:$B$2322,2,FALSE)</f>
        <v>0</v>
      </c>
      <c r="C85" s="24"/>
      <c r="D85" s="24"/>
      <c r="E85" s="24"/>
      <c r="F85" s="24"/>
      <c r="G85" s="24"/>
      <c r="H85" s="185"/>
      <c r="I85" s="184"/>
      <c r="J85" s="42">
        <f>VLOOKUP($B$50:$B$85,'Alberta Equip. Rates Year 3'!$B$13:$K$314,10,FALSE)</f>
        <v>0</v>
      </c>
      <c r="K85" s="181">
        <f t="shared" si="14"/>
        <v>0</v>
      </c>
    </row>
    <row r="86" spans="1:11" ht="12" thickBot="1">
      <c r="A86" s="25"/>
      <c r="B86" s="25"/>
      <c r="C86" s="25"/>
      <c r="D86" s="21"/>
      <c r="E86" s="21"/>
      <c r="F86" s="21"/>
      <c r="G86" s="21"/>
      <c r="H86" s="21"/>
      <c r="I86" s="360" t="s">
        <v>24</v>
      </c>
      <c r="J86" s="361"/>
      <c r="K86" s="182">
        <f>SUM(K50:K85)</f>
        <v>138</v>
      </c>
    </row>
    <row r="87" spans="1:11" ht="12" thickBot="1">
      <c r="A87" s="26"/>
      <c r="D87" s="26"/>
      <c r="I87" s="27"/>
      <c r="J87" s="27"/>
      <c r="K87" s="28"/>
    </row>
    <row r="88" spans="1:11">
      <c r="A88" s="1" t="s">
        <v>25</v>
      </c>
      <c r="B88" s="29"/>
      <c r="D88" s="1"/>
      <c r="E88" s="1"/>
      <c r="F88" s="1"/>
      <c r="G88" s="1"/>
      <c r="H88" s="1"/>
      <c r="I88" s="362" t="s">
        <v>26</v>
      </c>
      <c r="J88" s="362"/>
      <c r="K88" s="37">
        <f>K47</f>
        <v>2419.63</v>
      </c>
    </row>
    <row r="89" spans="1:11">
      <c r="D89" s="1"/>
      <c r="E89" s="1"/>
      <c r="F89" s="1"/>
      <c r="G89" s="1"/>
      <c r="H89" s="1"/>
      <c r="I89" s="362" t="s">
        <v>27</v>
      </c>
      <c r="J89" s="362"/>
      <c r="K89" s="38">
        <f>K86</f>
        <v>138</v>
      </c>
    </row>
    <row r="90" spans="1:11">
      <c r="D90" s="1"/>
      <c r="E90" s="1"/>
      <c r="F90" s="1"/>
      <c r="G90" s="1"/>
      <c r="H90" s="1"/>
      <c r="I90" s="27" t="s">
        <v>28</v>
      </c>
      <c r="J90" s="27"/>
      <c r="K90" s="38">
        <f>(O47)*14.15</f>
        <v>311.3</v>
      </c>
    </row>
    <row r="91" spans="1:11">
      <c r="D91" s="1"/>
      <c r="E91" s="1"/>
      <c r="F91" s="1"/>
      <c r="G91" s="1"/>
      <c r="H91" s="1"/>
      <c r="I91" s="30" t="s">
        <v>29</v>
      </c>
      <c r="J91" s="30"/>
      <c r="K91" s="39"/>
    </row>
    <row r="92" spans="1:11">
      <c r="D92" s="1"/>
      <c r="E92" s="1"/>
      <c r="F92" s="1"/>
      <c r="G92" s="1"/>
      <c r="H92" s="1"/>
      <c r="I92" s="30" t="s">
        <v>30</v>
      </c>
      <c r="J92" s="30"/>
      <c r="K92" s="39"/>
    </row>
    <row r="93" spans="1:11">
      <c r="D93" s="1"/>
      <c r="E93" s="1"/>
      <c r="F93" s="1"/>
      <c r="G93" s="1"/>
      <c r="H93" s="1"/>
      <c r="I93" s="30" t="s">
        <v>31</v>
      </c>
      <c r="J93" s="30"/>
      <c r="K93" s="39"/>
    </row>
    <row r="94" spans="1:11" ht="12" thickBot="1">
      <c r="D94" s="1"/>
      <c r="E94" s="1"/>
      <c r="F94" s="1"/>
      <c r="G94" s="1"/>
      <c r="H94" s="1"/>
      <c r="I94" s="362" t="s">
        <v>32</v>
      </c>
      <c r="J94" s="362"/>
      <c r="K94" s="40">
        <f>SUM(K88:K93)</f>
        <v>2868.9300000000003</v>
      </c>
    </row>
    <row r="95" spans="1:11">
      <c r="D95" s="1"/>
      <c r="E95" s="1"/>
      <c r="F95" s="1"/>
      <c r="G95" s="1"/>
      <c r="H95" s="1"/>
      <c r="I95" s="27"/>
      <c r="J95" s="27"/>
    </row>
    <row r="96" spans="1:11">
      <c r="A96" s="31" t="s">
        <v>33</v>
      </c>
      <c r="B96" s="32"/>
      <c r="C96" s="32"/>
      <c r="D96" s="1"/>
      <c r="H96" s="33" t="s">
        <v>34</v>
      </c>
      <c r="I96" s="32"/>
      <c r="J96" s="32"/>
      <c r="K96" s="32"/>
    </row>
    <row r="97" spans="1:11" ht="15">
      <c r="A97" s="34"/>
      <c r="E97" s="8"/>
      <c r="F97" s="8"/>
      <c r="G97" s="8"/>
      <c r="H97" s="35"/>
      <c r="I97" s="35"/>
      <c r="J97" s="35"/>
      <c r="K97" s="35"/>
    </row>
    <row r="98" spans="1:11" ht="15">
      <c r="A98" s="34" t="s">
        <v>35</v>
      </c>
      <c r="E98" s="8"/>
      <c r="F98" s="8"/>
      <c r="G98" s="8"/>
      <c r="H98" s="35"/>
      <c r="I98" s="35"/>
      <c r="J98" s="35"/>
      <c r="K98" s="35"/>
    </row>
    <row r="99" spans="1:11" s="34" customFormat="1">
      <c r="A99" s="363">
        <v>41218.479166666664</v>
      </c>
      <c r="B99" s="363"/>
      <c r="C99" s="364"/>
      <c r="D99" s="364"/>
      <c r="E99" s="364"/>
      <c r="F99" s="364"/>
      <c r="G99" s="364"/>
      <c r="H99" s="364"/>
      <c r="I99" s="364"/>
      <c r="J99" s="364"/>
      <c r="K99" s="8"/>
    </row>
    <row r="109" spans="1:11">
      <c r="D109" s="1"/>
      <c r="E109" s="1"/>
      <c r="F109" s="1"/>
      <c r="G109" s="1"/>
      <c r="H109" s="1"/>
      <c r="I109" s="1"/>
      <c r="J109" s="1"/>
    </row>
    <row r="110" spans="1:11">
      <c r="D110" s="1"/>
      <c r="E110" s="1"/>
      <c r="F110" s="1"/>
      <c r="G110" s="1"/>
      <c r="H110" s="1"/>
      <c r="I110" s="1"/>
      <c r="J110" s="1"/>
    </row>
    <row r="111" spans="1:11">
      <c r="D111" s="1"/>
      <c r="E111" s="1"/>
      <c r="F111" s="1"/>
      <c r="G111" s="1"/>
      <c r="H111" s="1"/>
      <c r="I111" s="1"/>
      <c r="J111" s="1"/>
    </row>
    <row r="112" spans="1:11">
      <c r="D112" s="1"/>
      <c r="E112" s="1"/>
      <c r="F112" s="1"/>
      <c r="G112" s="1"/>
      <c r="H112" s="1"/>
      <c r="I112" s="1"/>
      <c r="J112" s="1"/>
    </row>
    <row r="113" s="1" customFormat="1"/>
    <row r="114" s="1" customFormat="1"/>
    <row r="115" s="1" customFormat="1"/>
    <row r="116" s="1" customFormat="1"/>
    <row r="117" s="1" customFormat="1"/>
    <row r="118" s="1" customFormat="1"/>
    <row r="119" s="1" customFormat="1"/>
    <row r="120" s="1" customFormat="1"/>
    <row r="121" s="1" customFormat="1"/>
    <row r="122" s="1" customFormat="1"/>
    <row r="127" s="1" customFormat="1"/>
    <row r="155" s="1" customFormat="1"/>
    <row r="156" s="1" customFormat="1"/>
    <row r="157" s="1" customFormat="1"/>
    <row r="158" s="1" customFormat="1"/>
  </sheetData>
  <mergeCells count="12">
    <mergeCell ref="I86:J86"/>
    <mergeCell ref="I88:J88"/>
    <mergeCell ref="I89:J89"/>
    <mergeCell ref="I94:J94"/>
    <mergeCell ref="A99:B99"/>
    <mergeCell ref="C99:J99"/>
    <mergeCell ref="I47:J47"/>
    <mergeCell ref="C1:H1"/>
    <mergeCell ref="C2:H2"/>
    <mergeCell ref="C3:H3"/>
    <mergeCell ref="H6:I6"/>
    <mergeCell ref="H7:I7"/>
  </mergeCells>
  <conditionalFormatting sqref="M11">
    <cfRule type="expression" dxfId="49" priority="29957">
      <formula>ISTEXT(A11:A46)</formula>
    </cfRule>
  </conditionalFormatting>
  <conditionalFormatting sqref="M12">
    <cfRule type="expression" dxfId="48" priority="31205">
      <formula>ISTEXT(A15:A49)</formula>
    </cfRule>
  </conditionalFormatting>
  <conditionalFormatting sqref="M13">
    <cfRule type="expression" dxfId="47" priority="30630">
      <formula>ISTEXT(A13:A77)</formula>
    </cfRule>
  </conditionalFormatting>
  <conditionalFormatting sqref="M14:M15">
    <cfRule type="expression" dxfId="46" priority="33662">
      <formula>ISTEXT(A14:A77)</formula>
    </cfRule>
  </conditionalFormatting>
  <conditionalFormatting sqref="M16:M19 M22:M26">
    <cfRule type="expression" dxfId="45" priority="31278">
      <formula>ISTEXT(A16:A48)</formula>
    </cfRule>
  </conditionalFormatting>
  <conditionalFormatting sqref="M20">
    <cfRule type="expression" dxfId="44" priority="30634">
      <formula>ISTEXT(A20:A51)</formula>
    </cfRule>
  </conditionalFormatting>
  <conditionalFormatting sqref="M21">
    <cfRule type="expression" dxfId="43" priority="30631">
      <formula>ISTEXT(A21:A77)</formula>
    </cfRule>
  </conditionalFormatting>
  <conditionalFormatting sqref="M27">
    <cfRule type="expression" dxfId="42" priority="29157">
      <formula>ISTEXT(A27:A77)</formula>
    </cfRule>
  </conditionalFormatting>
  <conditionalFormatting sqref="M28">
    <cfRule type="expression" dxfId="41" priority="31382">
      <formula>ISTEXT(A28:A58)</formula>
    </cfRule>
  </conditionalFormatting>
  <conditionalFormatting sqref="M29">
    <cfRule type="expression" dxfId="40" priority="30633">
      <formula>ISTEXT(A29:A77)</formula>
    </cfRule>
  </conditionalFormatting>
  <conditionalFormatting sqref="M30:M33">
    <cfRule type="expression" dxfId="39" priority="33660">
      <formula>ISTEXT(A30:A66)</formula>
    </cfRule>
  </conditionalFormatting>
  <conditionalFormatting sqref="M34">
    <cfRule type="expression" dxfId="38" priority="28439">
      <formula>ISTEXT(A13:A47)</formula>
    </cfRule>
  </conditionalFormatting>
  <conditionalFormatting sqref="M35:M36">
    <cfRule type="expression" dxfId="37" priority="33661">
      <formula>ISTEXT(A35:A74)</formula>
    </cfRule>
  </conditionalFormatting>
  <conditionalFormatting sqref="M36">
    <cfRule type="expression" dxfId="36" priority="31383">
      <formula>ISTEXT(A36:A58)</formula>
    </cfRule>
  </conditionalFormatting>
  <conditionalFormatting sqref="M37:M39">
    <cfRule type="expression" dxfId="35" priority="32650">
      <formula>ISTEXT(A37:A61)</formula>
    </cfRule>
  </conditionalFormatting>
  <conditionalFormatting sqref="M39">
    <cfRule type="expression" dxfId="34" priority="28394">
      <formula>ISTEXT(A11:A46)</formula>
    </cfRule>
  </conditionalFormatting>
  <conditionalFormatting sqref="M40">
    <cfRule type="expression" dxfId="33" priority="28473">
      <formula>ISTEXT(A14:A48)</formula>
    </cfRule>
  </conditionalFormatting>
  <conditionalFormatting sqref="M41:M45">
    <cfRule type="expression" dxfId="32" priority="31274">
      <formula>ISTEXT(A16:A50)</formula>
    </cfRule>
  </conditionalFormatting>
  <conditionalFormatting sqref="M46">
    <cfRule type="expression" dxfId="31" priority="31346">
      <formula>ISTEXT(A46:A77)</formula>
    </cfRule>
  </conditionalFormatting>
  <printOptions horizontalCentered="1"/>
  <pageMargins left="0.19685039370078741" right="0.19685039370078741" top="0.39370078740157483" bottom="0.39370078740157483" header="0" footer="0"/>
  <pageSetup orientation="portrait" horizontalDpi="4294967292" verticalDpi="4294967292"/>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2600-000000000000}">
          <x14:formula1>
            <xm:f>Accounts!$A$4:$A$60</xm:f>
          </x14:formula1>
          <xm:sqref>K7</xm:sqref>
        </x14:dataValidation>
        <x14:dataValidation type="list" allowBlank="1" showInputMessage="1" showErrorMessage="1" xr:uid="{00000000-0002-0000-2600-000001000000}">
          <x14:formula1>
            <xm:f>'Constr. Wage Rate Calculations'!$A$19:$A$288</xm:f>
          </x14:formula1>
          <xm:sqref>B11:B46</xm:sqref>
        </x14:dataValidation>
        <x14:dataValidation type="list" allowBlank="1" showInputMessage="1" showErrorMessage="1" xr:uid="{00000000-0002-0000-2600-000002000000}">
          <x14:formula1>
            <xm:f>Personnel!$A:$A</xm:f>
          </x14:formula1>
          <xm:sqref>C11:C46</xm:sqref>
        </x14:dataValidation>
        <x14:dataValidation type="list" allowBlank="1" showInputMessage="1" showErrorMessage="1" xr:uid="{00000000-0002-0000-2600-000003000000}">
          <x14:formula1>
            <xm:f>Equipment!$A:$A</xm:f>
          </x14:formula1>
          <xm:sqref>C50:C85</xm:sqref>
        </x14:dataValidation>
      </x14:dataValidations>
    </ext>
    <ext xmlns:mx="http://schemas.microsoft.com/office/mac/excel/2008/main" uri="{64002731-A6B0-56B0-2670-7721B7C09600}">
      <mx:PLV Mode="0" OnePage="0" WScale="0"/>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CCFFCC"/>
    <pageSetUpPr fitToPage="1"/>
  </sheetPr>
  <dimension ref="A1:O117"/>
  <sheetViews>
    <sheetView zoomScale="120" zoomScaleNormal="120" zoomScalePageLayoutView="120" workbookViewId="0">
      <selection activeCell="E23" sqref="E23"/>
    </sheetView>
  </sheetViews>
  <sheetFormatPr baseColWidth="10" defaultColWidth="8.83203125" defaultRowHeight="11"/>
  <cols>
    <col min="1" max="1" width="13" style="1" customWidth="1"/>
    <col min="2" max="2" width="30" style="1" customWidth="1"/>
    <col min="3" max="3" width="24.5" style="1" customWidth="1"/>
    <col min="4" max="4" width="8.6640625" style="2" customWidth="1"/>
    <col min="5" max="6" width="8.33203125" style="2" customWidth="1"/>
    <col min="7" max="8" width="8.6640625" style="2" customWidth="1"/>
    <col min="9" max="9" width="9.33203125" style="2" customWidth="1"/>
    <col min="10" max="10" width="8.6640625" style="2" customWidth="1"/>
    <col min="11" max="11" width="21.6640625" style="1" customWidth="1"/>
    <col min="12" max="12" width="1.33203125" style="1" customWidth="1"/>
    <col min="13" max="16384" width="8.83203125" style="1"/>
  </cols>
  <sheetData>
    <row r="1" spans="1:13" ht="15">
      <c r="C1" s="364"/>
      <c r="D1" s="365"/>
      <c r="E1" s="365"/>
      <c r="F1" s="365"/>
      <c r="G1" s="365"/>
      <c r="H1" s="366"/>
      <c r="J1" s="2" t="s">
        <v>0</v>
      </c>
      <c r="K1" s="197">
        <v>41659</v>
      </c>
      <c r="M1" s="45"/>
    </row>
    <row r="2" spans="1:13" ht="15">
      <c r="C2" s="367"/>
      <c r="D2" s="367"/>
      <c r="E2" s="367"/>
      <c r="F2" s="367"/>
      <c r="G2" s="367"/>
      <c r="H2" s="366"/>
      <c r="K2" s="41"/>
    </row>
    <row r="3" spans="1:13" ht="15">
      <c r="C3" s="368"/>
      <c r="D3" s="369"/>
      <c r="E3" s="369"/>
      <c r="F3" s="369"/>
      <c r="G3" s="369"/>
      <c r="H3" s="366"/>
    </row>
    <row r="4" spans="1:13">
      <c r="C4" s="3"/>
      <c r="D4" s="4"/>
      <c r="E4" s="4"/>
      <c r="F4" s="4"/>
      <c r="G4" s="4"/>
    </row>
    <row r="5" spans="1:13">
      <c r="C5" s="3"/>
      <c r="D5" s="4"/>
      <c r="E5" s="4"/>
      <c r="F5" s="4"/>
      <c r="G5" s="4"/>
    </row>
    <row r="6" spans="1:13" ht="12">
      <c r="B6" s="5"/>
      <c r="C6" s="6"/>
      <c r="D6" s="7"/>
      <c r="E6" s="8"/>
      <c r="F6" s="8"/>
      <c r="G6" s="1" t="s">
        <v>1</v>
      </c>
      <c r="H6" s="370">
        <v>18208</v>
      </c>
      <c r="I6" s="370"/>
      <c r="J6" s="1" t="s">
        <v>2</v>
      </c>
      <c r="K6" s="47"/>
    </row>
    <row r="7" spans="1:13" ht="12">
      <c r="A7" s="1" t="s">
        <v>3</v>
      </c>
      <c r="B7" s="9"/>
      <c r="C7" s="10"/>
      <c r="D7" s="11"/>
      <c r="E7" s="8"/>
      <c r="F7" s="8"/>
      <c r="G7" s="1" t="s">
        <v>4</v>
      </c>
      <c r="H7" s="374"/>
      <c r="I7" s="374"/>
      <c r="J7" s="1" t="s">
        <v>5</v>
      </c>
      <c r="K7" s="46" t="s">
        <v>548</v>
      </c>
    </row>
    <row r="8" spans="1:13" ht="12">
      <c r="B8" s="12"/>
      <c r="C8" s="13"/>
      <c r="D8" s="14"/>
      <c r="E8" s="8"/>
      <c r="F8" s="8"/>
      <c r="G8" s="1" t="s">
        <v>6</v>
      </c>
      <c r="H8" s="191"/>
      <c r="I8" s="192"/>
      <c r="J8" s="44"/>
    </row>
    <row r="9" spans="1:13" ht="16" thickBot="1">
      <c r="B9" s="15"/>
      <c r="C9" s="16"/>
      <c r="D9" s="16"/>
      <c r="E9" s="8"/>
      <c r="F9" s="8"/>
      <c r="G9" s="8"/>
    </row>
    <row r="10" spans="1:13" s="19" customFormat="1" ht="12" thickBot="1">
      <c r="A10" s="17" t="s">
        <v>7</v>
      </c>
      <c r="B10" s="17" t="s">
        <v>8</v>
      </c>
      <c r="C10" s="17" t="s">
        <v>9</v>
      </c>
      <c r="D10" s="18" t="s">
        <v>10</v>
      </c>
      <c r="E10" s="18" t="s">
        <v>11</v>
      </c>
      <c r="F10" s="18" t="s">
        <v>12</v>
      </c>
      <c r="G10" s="180" t="s">
        <v>13</v>
      </c>
      <c r="H10" s="18" t="s">
        <v>14</v>
      </c>
      <c r="I10" s="18" t="s">
        <v>15</v>
      </c>
      <c r="J10" s="18" t="s">
        <v>16</v>
      </c>
      <c r="K10" s="18" t="s">
        <v>17</v>
      </c>
      <c r="M10" s="19" t="s">
        <v>1797</v>
      </c>
    </row>
    <row r="11" spans="1:13" ht="15" customHeight="1">
      <c r="A11" s="48"/>
      <c r="B11" s="49">
        <f>VLOOKUP($C$11:$C$40,Personnel!$A$1:$B$1234,2,FALSE)</f>
        <v>0</v>
      </c>
      <c r="C11" s="36"/>
      <c r="D11" s="20"/>
      <c r="E11" s="179">
        <f>VLOOKUP($B$11:$B$40,'Constr. Wage Rate Calculations'!$A$19:$Z$288,22,FALSE)</f>
        <v>0</v>
      </c>
      <c r="F11" s="20"/>
      <c r="G11" s="179">
        <f>VLOOKUP($B$11:$B$40,'Constr. Wage Rate Calculations'!$A$19:$Z$288,23,FALSE)</f>
        <v>0</v>
      </c>
      <c r="H11" s="184"/>
      <c r="I11" s="179">
        <f>VLOOKUP($B$11:$B$40,'Constr. Wage Rate Calculations'!$A$19:$Z$288,24,FALSE)</f>
        <v>0</v>
      </c>
      <c r="J11" s="20">
        <f>VLOOKUP($B$11:$B$40,'Constr. Wage Rate Calculations'!$A$19:$Z$288,25,FALSE)</f>
        <v>0</v>
      </c>
      <c r="K11" s="179" t="str">
        <f t="shared" ref="K11:K24" si="0">IF($D11&gt;=1,$J11+(D11*E11)+(F11*G11)+(H11*I11),IF($F11&gt;=1,$J11+(D11*E11)+(F11*G11)+(H11*I11),IF($H11&gt;=1,$J11+(D11*E11)+(F11*G11)+(H11*I11),"")))</f>
        <v/>
      </c>
    </row>
    <row r="12" spans="1:13" ht="15" customHeight="1">
      <c r="A12" s="48"/>
      <c r="B12" s="49" t="str">
        <f>VLOOKUP($C$11:$C$25,Personnel!$A$1:$B$1234,2,FALSE)</f>
        <v>SAFETY COORDINATOR</v>
      </c>
      <c r="C12" s="36" t="s">
        <v>2164</v>
      </c>
      <c r="D12" s="20">
        <v>1</v>
      </c>
      <c r="E12" s="179">
        <f>VLOOKUP($B$11:$B$25,'Constr. Wage Rate Calculations'!$A$19:$Z$288,22,FALSE)</f>
        <v>1082.1500000000001</v>
      </c>
      <c r="F12" s="20">
        <v>9</v>
      </c>
      <c r="G12" s="179">
        <f>VLOOKUP($B$11:$B$25,'Constr. Wage Rate Calculations'!$A$19:$Z$288,23,FALSE)</f>
        <v>0</v>
      </c>
      <c r="H12" s="184"/>
      <c r="I12" s="179">
        <f>VLOOKUP($B$11:$B$25,'Constr. Wage Rate Calculations'!$A$19:$Z$288,24,FALSE)</f>
        <v>0</v>
      </c>
      <c r="J12" s="20">
        <f>VLOOKUP($B$11:$B$40,'Constr. Wage Rate Calculations'!$A$19:$Z$288,25,FALSE)</f>
        <v>230</v>
      </c>
      <c r="K12" s="179">
        <f t="shared" si="0"/>
        <v>1312.15</v>
      </c>
    </row>
    <row r="13" spans="1:13" ht="15" customHeight="1">
      <c r="A13" s="48"/>
      <c r="B13" s="49" t="str">
        <f>VLOOKUP($C$11:$C$25,Personnel!$A$1:$B$1234,2,FALSE)</f>
        <v>SENIOR SAFETY COORDINATOR</v>
      </c>
      <c r="C13" s="36" t="s">
        <v>832</v>
      </c>
      <c r="D13" s="20">
        <v>1</v>
      </c>
      <c r="E13" s="179">
        <f>VLOOKUP($B$11:$B$25,'Constr. Wage Rate Calculations'!$A$19:$Z$288,22,FALSE)</f>
        <v>1332.16</v>
      </c>
      <c r="F13" s="20">
        <v>9</v>
      </c>
      <c r="G13" s="179">
        <f>VLOOKUP($B$11:$B$25,'Constr. Wage Rate Calculations'!$A$19:$Z$288,23,FALSE)</f>
        <v>0</v>
      </c>
      <c r="H13" s="184"/>
      <c r="I13" s="179">
        <f>VLOOKUP($B$11:$B$25,'Constr. Wage Rate Calculations'!$A$19:$Z$288,24,FALSE)</f>
        <v>0</v>
      </c>
      <c r="J13" s="20">
        <f>VLOOKUP($B$11:$B$40,'Constr. Wage Rate Calculations'!$A$19:$Z$288,25,FALSE)</f>
        <v>230</v>
      </c>
      <c r="K13" s="179">
        <f t="shared" si="0"/>
        <v>1562.16</v>
      </c>
    </row>
    <row r="14" spans="1:13" ht="15" customHeight="1">
      <c r="A14" s="48"/>
      <c r="B14" s="49" t="str">
        <f>VLOOKUP($C$11:$C$25,Personnel!$A$1:$B$1234,2,FALSE)</f>
        <v>NIGHT WATCHMAN/ SECURITY</v>
      </c>
      <c r="C14" s="36" t="s">
        <v>3503</v>
      </c>
      <c r="D14" s="20">
        <v>8</v>
      </c>
      <c r="E14" s="179">
        <f>VLOOKUP($B$11:$B$25,'Constr. Wage Rate Calculations'!$A$19:$Z$288,22,FALSE)</f>
        <v>42.48</v>
      </c>
      <c r="F14" s="20">
        <v>4</v>
      </c>
      <c r="G14" s="179">
        <f>VLOOKUP($B$11:$B$25,'Constr. Wage Rate Calculations'!$A$19:$Z$288,23,FALSE)</f>
        <v>63.72</v>
      </c>
      <c r="H14" s="184"/>
      <c r="I14" s="179">
        <f>VLOOKUP($B$11:$B$25,'Constr. Wage Rate Calculations'!$A$19:$Z$288,24,FALSE)</f>
        <v>84.96</v>
      </c>
      <c r="J14" s="20">
        <f>VLOOKUP($B$11:$B$25,'Constr. Wage Rate Calculations'!$A$19:$Z$288,25,FALSE)</f>
        <v>85</v>
      </c>
      <c r="K14" s="179">
        <f t="shared" si="0"/>
        <v>679.72</v>
      </c>
    </row>
    <row r="15" spans="1:13" ht="15" customHeight="1">
      <c r="A15" s="48"/>
      <c r="B15" s="49" t="str">
        <f>VLOOKUP($C$11:$C$25,Personnel!$A$1:$B$1234,2,FALSE)</f>
        <v>SAFETY COORDINATOR</v>
      </c>
      <c r="C15" s="36" t="s">
        <v>1177</v>
      </c>
      <c r="D15" s="20">
        <v>1</v>
      </c>
      <c r="E15" s="179">
        <f>VLOOKUP($B$11:$B$25,'Constr. Wage Rate Calculations'!$A$19:$Z$288,22,FALSE)</f>
        <v>1082.1500000000001</v>
      </c>
      <c r="F15" s="20">
        <v>9</v>
      </c>
      <c r="G15" s="179">
        <f>VLOOKUP($B$11:$B$40,'Constr. Wage Rate Calculations'!$A$19:$Z$288,23,FALSE)</f>
        <v>0</v>
      </c>
      <c r="H15" s="184"/>
      <c r="I15" s="179">
        <f>VLOOKUP($B$11:$B$40,'Constr. Wage Rate Calculations'!$A$19:$Z$288,24,FALSE)</f>
        <v>0</v>
      </c>
      <c r="J15" s="20">
        <f>VLOOKUP($B$11:$B$40,'Constr. Wage Rate Calculations'!$A$19:$Z$288,25,FALSE)</f>
        <v>230</v>
      </c>
      <c r="K15" s="179">
        <f t="shared" si="0"/>
        <v>1312.15</v>
      </c>
    </row>
    <row r="16" spans="1:13" ht="15" customHeight="1">
      <c r="A16" s="48"/>
      <c r="B16" s="49" t="str">
        <f>VLOOKUP($C$11:$C$25,Personnel!$A$1:$B$1234,2,FALSE)</f>
        <v>OFFICE CLERK</v>
      </c>
      <c r="C16" s="36" t="s">
        <v>2165</v>
      </c>
      <c r="D16" s="20">
        <v>1</v>
      </c>
      <c r="E16" s="179">
        <f>VLOOKUP($B$11:$B$25,'Constr. Wage Rate Calculations'!$A$19:$Z$288,22,FALSE)</f>
        <v>825.8</v>
      </c>
      <c r="F16" s="20">
        <v>9</v>
      </c>
      <c r="G16" s="179">
        <f>VLOOKUP($B$11:$B$25,'Constr. Wage Rate Calculations'!$A$19:$Z$288,23,FALSE)</f>
        <v>0</v>
      </c>
      <c r="H16" s="184"/>
      <c r="I16" s="179">
        <f>VLOOKUP($B$11:$B$25,'Constr. Wage Rate Calculations'!$A$19:$Z$288,24,FALSE)</f>
        <v>0</v>
      </c>
      <c r="J16" s="20">
        <f>VLOOKUP($B$11:$B$25,'Constr. Wage Rate Calculations'!$A$19:$Z$288,25,FALSE)</f>
        <v>230</v>
      </c>
      <c r="K16" s="179">
        <f t="shared" si="0"/>
        <v>1055.8</v>
      </c>
    </row>
    <row r="17" spans="1:15" ht="15" customHeight="1">
      <c r="A17" s="48"/>
      <c r="B17" s="49" t="str">
        <f>VLOOKUP($C$11:$C$25,Personnel!$A$1:$B$1234,2,FALSE)</f>
        <v>NIGHT WATCHMAN/ SECURITY</v>
      </c>
      <c r="C17" s="36" t="s">
        <v>3869</v>
      </c>
      <c r="D17" s="20">
        <v>8</v>
      </c>
      <c r="E17" s="179">
        <f>VLOOKUP($B$11:$B$25,'Constr. Wage Rate Calculations'!$A$19:$Z$288,22,FALSE)</f>
        <v>42.48</v>
      </c>
      <c r="F17" s="20">
        <v>4</v>
      </c>
      <c r="G17" s="179">
        <f>VLOOKUP($B$11:$B$25,'Constr. Wage Rate Calculations'!$A$19:$Z$288,23,FALSE)</f>
        <v>63.72</v>
      </c>
      <c r="H17" s="184"/>
      <c r="I17" s="179">
        <f>VLOOKUP($B$11:$B$25,'Constr. Wage Rate Calculations'!$A$19:$Z$288,24,FALSE)</f>
        <v>84.96</v>
      </c>
      <c r="J17" s="20">
        <f>VLOOKUP($B$11:$B$25,'Constr. Wage Rate Calculations'!$A$19:$Z$288,25,FALSE)</f>
        <v>85</v>
      </c>
      <c r="K17" s="179">
        <f t="shared" si="0"/>
        <v>679.72</v>
      </c>
    </row>
    <row r="18" spans="1:15" ht="16" customHeight="1">
      <c r="A18" s="48"/>
      <c r="B18" s="49">
        <f>VLOOKUP($C$11:$C$40,Personnel!$A$1:$B$1234,2,FALSE)</f>
        <v>0</v>
      </c>
      <c r="C18" s="36"/>
      <c r="D18" s="20"/>
      <c r="E18" s="179">
        <f>VLOOKUP($B$11:$B$25,'Constr. Wage Rate Calculations'!$A$19:$Z$288,22,FALSE)</f>
        <v>0</v>
      </c>
      <c r="F18" s="20"/>
      <c r="G18" s="179">
        <f>VLOOKUP($B$11:$B$40,'Constr. Wage Rate Calculations'!$A$19:$Z$288,23,FALSE)</f>
        <v>0</v>
      </c>
      <c r="H18" s="184"/>
      <c r="I18" s="179">
        <f>VLOOKUP($B$11:$B$40,'Constr. Wage Rate Calculations'!$A$19:$Z$288,24,FALSE)</f>
        <v>0</v>
      </c>
      <c r="J18" s="20">
        <f>VLOOKUP($B$11:$B$40,'Constr. Wage Rate Calculations'!$A$19:$Z$288,25,FALSE)</f>
        <v>0</v>
      </c>
      <c r="K18" s="179" t="str">
        <f t="shared" si="0"/>
        <v/>
      </c>
    </row>
    <row r="19" spans="1:15" ht="15" customHeight="1">
      <c r="A19" s="48"/>
      <c r="B19" s="49">
        <f>VLOOKUP($C$11:$C$40,Personnel!$A$1:$B$1234,2,FALSE)</f>
        <v>0</v>
      </c>
      <c r="C19" s="36"/>
      <c r="D19" s="20"/>
      <c r="E19" s="179">
        <f>VLOOKUP($B$11:$B$25,'Constr. Wage Rate Calculations'!$A$19:$Z$288,22,FALSE)</f>
        <v>0</v>
      </c>
      <c r="F19" s="20"/>
      <c r="G19" s="179">
        <f>VLOOKUP($B$11:$B$40,'Constr. Wage Rate Calculations'!$A$19:$Z$288,23,FALSE)</f>
        <v>0</v>
      </c>
      <c r="H19" s="184"/>
      <c r="I19" s="179">
        <f>VLOOKUP($B$11:$B$40,'Constr. Wage Rate Calculations'!$A$19:$Z$288,24,FALSE)</f>
        <v>0</v>
      </c>
      <c r="J19" s="20">
        <f>VLOOKUP($B$11:$B$40,'Constr. Wage Rate Calculations'!$A$19:$Z$288,25,FALSE)</f>
        <v>0</v>
      </c>
      <c r="K19" s="179" t="str">
        <f t="shared" si="0"/>
        <v/>
      </c>
    </row>
    <row r="20" spans="1:15" ht="15" customHeight="1">
      <c r="A20" s="48"/>
      <c r="B20" s="49">
        <f>VLOOKUP($C$11:$C$25,Personnel!$A$1:$B$1234,2,FALSE)</f>
        <v>0</v>
      </c>
      <c r="C20" s="36"/>
      <c r="D20" s="20"/>
      <c r="E20" s="179">
        <f>VLOOKUP($B$11:$B$25,'Constr. Wage Rate Calculations'!$A$19:$Z$288,22,FALSE)</f>
        <v>0</v>
      </c>
      <c r="F20" s="20"/>
      <c r="G20" s="179">
        <f>VLOOKUP($B$11:$B$25,'Constr. Wage Rate Calculations'!$A$19:$Z$288,23,FALSE)</f>
        <v>0</v>
      </c>
      <c r="H20" s="184"/>
      <c r="I20" s="179">
        <f>VLOOKUP($B$11:$B$25,'Constr. Wage Rate Calculations'!$A$19:$Z$288,24,FALSE)</f>
        <v>0</v>
      </c>
      <c r="J20" s="20">
        <f>VLOOKUP($B$11:$B$25,'Constr. Wage Rate Calculations'!$A$19:$Z$288,25,FALSE)</f>
        <v>0</v>
      </c>
      <c r="K20" s="179" t="str">
        <f t="shared" si="0"/>
        <v/>
      </c>
    </row>
    <row r="21" spans="1:15" ht="15" customHeight="1">
      <c r="A21" s="48"/>
      <c r="B21" s="49">
        <f>VLOOKUP($C$11:$C$25,Personnel!$A$1:$B$1234,2,FALSE)</f>
        <v>0</v>
      </c>
      <c r="C21" s="36"/>
      <c r="D21" s="20"/>
      <c r="E21" s="179">
        <f>VLOOKUP($B$11:$B$25,'Constr. Wage Rate Calculations'!$A$19:$Z$288,22,FALSE)</f>
        <v>0</v>
      </c>
      <c r="F21" s="20"/>
      <c r="G21" s="179">
        <f>VLOOKUP($B$11:$B$25,'Constr. Wage Rate Calculations'!$A$19:$Z$288,23,FALSE)</f>
        <v>0</v>
      </c>
      <c r="H21" s="184"/>
      <c r="I21" s="179">
        <f>VLOOKUP($B$11:$B$25,'Constr. Wage Rate Calculations'!$A$19:$Z$288,24,FALSE)</f>
        <v>0</v>
      </c>
      <c r="J21" s="20">
        <f>VLOOKUP($B$11:$B$25,'Constr. Wage Rate Calculations'!$A$19:$Z$288,25,FALSE)</f>
        <v>0</v>
      </c>
      <c r="K21" s="179" t="str">
        <f t="shared" si="0"/>
        <v/>
      </c>
    </row>
    <row r="22" spans="1:15" ht="15" customHeight="1">
      <c r="A22" s="48"/>
      <c r="B22" s="49">
        <f>VLOOKUP($C$11:$C$25,Personnel!$A$1:$B$1234,2,FALSE)</f>
        <v>0</v>
      </c>
      <c r="C22" s="36"/>
      <c r="D22" s="20"/>
      <c r="E22" s="179">
        <f>VLOOKUP($B$11:$B$25,'Constr. Wage Rate Calculations'!$A$19:$Z$288,22,FALSE)</f>
        <v>0</v>
      </c>
      <c r="F22" s="184"/>
      <c r="G22" s="179">
        <f>VLOOKUP($B$11:$B$25,'Constr. Wage Rate Calculations'!$A$19:$Z$288,23,FALSE)</f>
        <v>0</v>
      </c>
      <c r="H22" s="184"/>
      <c r="I22" s="179">
        <f>VLOOKUP($B$11:$B$25,'Constr. Wage Rate Calculations'!$A$19:$Z$288,24,FALSE)</f>
        <v>0</v>
      </c>
      <c r="J22" s="20">
        <f>VLOOKUP($B$11:$B$25,'Constr. Wage Rate Calculations'!$A$19:$Z$288,25,FALSE)</f>
        <v>0</v>
      </c>
      <c r="K22" s="179" t="str">
        <f t="shared" si="0"/>
        <v/>
      </c>
    </row>
    <row r="23" spans="1:15" ht="15" customHeight="1">
      <c r="A23" s="48"/>
      <c r="B23" s="49">
        <f>VLOOKUP($C$11:$C$25,Personnel!$A$1:$B$1234,2,FALSE)</f>
        <v>0</v>
      </c>
      <c r="C23" s="36"/>
      <c r="D23" s="20"/>
      <c r="E23" s="179">
        <f>VLOOKUP($B$11:$B$25,'Constr. Wage Rate Calculations'!$A$19:$Z$288,22,FALSE)</f>
        <v>0</v>
      </c>
      <c r="F23" s="184"/>
      <c r="G23" s="179">
        <f>VLOOKUP($B$11:$B$25,'Constr. Wage Rate Calculations'!$A$19:$Z$288,23,FALSE)</f>
        <v>0</v>
      </c>
      <c r="H23" s="184"/>
      <c r="I23" s="179">
        <f>VLOOKUP($B$11:$B$25,'Constr. Wage Rate Calculations'!$A$19:$Z$288,24,FALSE)</f>
        <v>0</v>
      </c>
      <c r="J23" s="20">
        <f>VLOOKUP($B$11:$B$25,'Constr. Wage Rate Calculations'!$A$19:$Z$288,25,FALSE)</f>
        <v>0</v>
      </c>
      <c r="K23" s="179" t="str">
        <f t="shared" si="0"/>
        <v/>
      </c>
    </row>
    <row r="24" spans="1:15" ht="15" customHeight="1">
      <c r="A24" s="48"/>
      <c r="B24" s="49">
        <f>VLOOKUP($C$11:$C$25,Personnel!$A$1:$B$1234,2,FALSE)</f>
        <v>0</v>
      </c>
      <c r="C24" s="36"/>
      <c r="D24" s="20"/>
      <c r="E24" s="179">
        <f>VLOOKUP($B$11:$B$25,'Constr. Wage Rate Calculations'!$A$19:$Z$288,22,FALSE)</f>
        <v>0</v>
      </c>
      <c r="F24" s="184"/>
      <c r="G24" s="179">
        <f>VLOOKUP($B$11:$B$25,'Constr. Wage Rate Calculations'!$A$19:$Z$288,23,FALSE)</f>
        <v>0</v>
      </c>
      <c r="H24" s="184"/>
      <c r="I24" s="179">
        <f>VLOOKUP($B$11:$B$25,'Constr. Wage Rate Calculations'!$A$19:$Z$288,24,FALSE)</f>
        <v>0</v>
      </c>
      <c r="J24" s="20">
        <f>VLOOKUP($B$11:$B$25,'Constr. Wage Rate Calculations'!$A$19:$Z$288,25,FALSE)</f>
        <v>0</v>
      </c>
      <c r="K24" s="179" t="str">
        <f t="shared" si="0"/>
        <v/>
      </c>
    </row>
    <row r="25" spans="1:15" ht="15" customHeight="1" thickBot="1">
      <c r="A25" s="48"/>
      <c r="B25" s="49">
        <f>VLOOKUP($C$11:$C$25,Personnel!$A$1:$B$1234,2,FALSE)</f>
        <v>0</v>
      </c>
      <c r="C25" s="36"/>
      <c r="D25" s="184"/>
      <c r="E25" s="179">
        <f>VLOOKUP($B$11:$B$25,'Constr. Wage Rate Calculations'!$A$19:$Z$288,22,FALSE)</f>
        <v>0</v>
      </c>
      <c r="F25" s="184"/>
      <c r="G25" s="179">
        <f>VLOOKUP($B$11:$B$25,'Constr. Wage Rate Calculations'!$A$19:$Z$288,23,FALSE)</f>
        <v>0</v>
      </c>
      <c r="H25" s="184"/>
      <c r="I25" s="179">
        <f>VLOOKUP($B$11:$B$25,'Constr. Wage Rate Calculations'!$A$19:$Z$288,24,FALSE)</f>
        <v>0</v>
      </c>
      <c r="J25" s="20">
        <f>VLOOKUP($B$11:$B$25,'Constr. Wage Rate Calculations'!$A$19:$Z$288,25,FALSE)</f>
        <v>0</v>
      </c>
      <c r="K25" s="179" t="str">
        <f>IF($D25&gt;=1,$J25+(D25*E25)+(F25*G25)+(H25*I25),IF($F25&gt;=1,$J25+(D25*E25)+(F25*G25)+(H25*I25),IF($H25&gt;=1,$J25+(D25*E25)+(F25*G25)+(H25*I25),"")))</f>
        <v/>
      </c>
      <c r="M25" s="1">
        <f>SUM(M11:M24)</f>
        <v>0</v>
      </c>
    </row>
    <row r="26" spans="1:15" ht="15" customHeight="1" thickBot="1">
      <c r="A26"/>
      <c r="B26"/>
      <c r="C26"/>
      <c r="D26" s="21"/>
      <c r="E26" s="21"/>
      <c r="F26" s="21"/>
      <c r="G26" s="21"/>
      <c r="H26" s="21"/>
      <c r="I26" s="360" t="s">
        <v>18</v>
      </c>
      <c r="J26" s="361"/>
      <c r="K26" s="183">
        <f>SUM(K11:K25)</f>
        <v>6601.7000000000007</v>
      </c>
      <c r="M26" s="1">
        <f>SUMIFS(D11:D25,D11:D25,"&lt;3",D11:D25,"&lt;5")</f>
        <v>4</v>
      </c>
      <c r="N26" s="1">
        <f>SUMIFS(D11:D25,D11:D25,"&gt;3",D11:D25,"&gt;5")</f>
        <v>16</v>
      </c>
      <c r="O26" s="1">
        <f>SUM(F11:F25,H11:H25,M26,N26)-M25</f>
        <v>64</v>
      </c>
    </row>
    <row r="27" spans="1:15" ht="10" customHeight="1" thickBot="1"/>
    <row r="28" spans="1:15" s="19" customFormat="1" ht="15" customHeight="1" thickBot="1">
      <c r="A28" s="22" t="s">
        <v>19</v>
      </c>
      <c r="B28" s="23" t="s">
        <v>20</v>
      </c>
      <c r="C28" s="23"/>
      <c r="D28" s="23"/>
      <c r="E28" s="23"/>
      <c r="F28" s="23"/>
      <c r="G28" s="23"/>
      <c r="H28" s="18" t="s">
        <v>21</v>
      </c>
      <c r="I28" s="18" t="s">
        <v>22</v>
      </c>
      <c r="J28" s="18" t="s">
        <v>23</v>
      </c>
      <c r="K28" s="18" t="s">
        <v>17</v>
      </c>
    </row>
    <row r="29" spans="1:15" ht="15" customHeight="1">
      <c r="A29" s="195"/>
      <c r="B29" s="49">
        <f>VLOOKUP($C$29:$C$44,Equipment!$A$1:$B$2322,2,FALSE)</f>
        <v>0</v>
      </c>
      <c r="C29" s="24"/>
      <c r="D29" s="24"/>
      <c r="E29" s="24"/>
      <c r="F29" s="24"/>
      <c r="G29" s="24"/>
      <c r="H29" s="202"/>
      <c r="I29" s="203"/>
      <c r="J29" s="42">
        <f>VLOOKUP($B$29:$B$44,'Alberta Equip. Rates Year 3'!$B$13:$K$314,10,FALSE)</f>
        <v>0</v>
      </c>
      <c r="K29" s="181">
        <f t="shared" ref="K29:K44" si="1">(H29+I29)*J29</f>
        <v>0</v>
      </c>
    </row>
    <row r="30" spans="1:15" ht="15" customHeight="1">
      <c r="A30" s="43"/>
      <c r="B30" s="49" t="str">
        <f>VLOOKUP($C$29:$C$44,Equipment!$A$1:$B$2322,2,FALSE)</f>
        <v>Flow Through</v>
      </c>
      <c r="C30" s="24" t="s">
        <v>3879</v>
      </c>
      <c r="D30" s="24"/>
      <c r="E30" s="24"/>
      <c r="F30" s="24"/>
      <c r="G30" s="24"/>
      <c r="H30" s="202">
        <v>1</v>
      </c>
      <c r="I30" s="203"/>
      <c r="J30" s="42">
        <f>VLOOKUP($B$29:$B$44,'Alberta Equip. Rates Year 3'!$B$13:$K$314,10,FALSE)</f>
        <v>0</v>
      </c>
      <c r="K30" s="181">
        <f t="shared" si="1"/>
        <v>0</v>
      </c>
    </row>
    <row r="31" spans="1:15" ht="15" customHeight="1">
      <c r="A31" s="43"/>
      <c r="B31" s="49" t="str">
        <f>VLOOKUP($C$29:$C$44,Equipment!$A$1:$B$2322,2,FALSE)</f>
        <v>Flow Through</v>
      </c>
      <c r="C31" s="24" t="s">
        <v>3880</v>
      </c>
      <c r="D31" s="24"/>
      <c r="E31" s="24"/>
      <c r="F31" s="24"/>
      <c r="G31" s="24"/>
      <c r="H31" s="202">
        <v>1</v>
      </c>
      <c r="I31" s="184"/>
      <c r="J31" s="42">
        <f>VLOOKUP($B$29:$B$44,'Alberta Equip. Rates Year 3'!$B$13:$K$314,10,FALSE)</f>
        <v>0</v>
      </c>
      <c r="K31" s="181">
        <f t="shared" si="1"/>
        <v>0</v>
      </c>
    </row>
    <row r="32" spans="1:15" ht="15" customHeight="1">
      <c r="A32" s="43"/>
      <c r="B32" s="49" t="str">
        <f>VLOOKUP($C$29:$C$44,Equipment!$A$1:$B$2322,2,FALSE)</f>
        <v>Pickup - 1/2 Ton</v>
      </c>
      <c r="C32" s="24" t="s">
        <v>1810</v>
      </c>
      <c r="D32" s="24"/>
      <c r="E32" s="24"/>
      <c r="F32" s="24"/>
      <c r="G32" s="24"/>
      <c r="H32" s="202">
        <v>1</v>
      </c>
      <c r="I32" s="203"/>
      <c r="J32" s="42">
        <f>VLOOKUP($B$29:$B$44,'Alberta Equip. Rates Year 3'!$B$13:$K$314,10,FALSE)</f>
        <v>125</v>
      </c>
      <c r="K32" s="181">
        <f t="shared" si="1"/>
        <v>125</v>
      </c>
    </row>
    <row r="33" spans="1:11" ht="15" customHeight="1">
      <c r="A33" s="43"/>
      <c r="B33" s="49" t="str">
        <f>VLOOKUP($C$29:$C$44,Equipment!$A$1:$B$2322,2,FALSE)</f>
        <v>Pickup - 1/2 Ton</v>
      </c>
      <c r="C33" s="24" t="s">
        <v>2662</v>
      </c>
      <c r="D33" s="24"/>
      <c r="E33" s="24"/>
      <c r="F33" s="24"/>
      <c r="G33" s="24"/>
      <c r="H33" s="202">
        <v>1</v>
      </c>
      <c r="I33" s="184"/>
      <c r="J33" s="42">
        <f>VLOOKUP($B$29:$B$44,'Alberta Equip. Rates Year 3'!$B$13:$K$314,10,FALSE)</f>
        <v>125</v>
      </c>
      <c r="K33" s="181">
        <f t="shared" si="1"/>
        <v>125</v>
      </c>
    </row>
    <row r="34" spans="1:11" ht="15" customHeight="1">
      <c r="A34" s="196"/>
      <c r="B34" s="49" t="str">
        <f>VLOOKUP($C$29:$C$44,Equipment!$A$1:$B$2322,2,FALSE)</f>
        <v>Pickup - 1/2 Ton</v>
      </c>
      <c r="C34" s="24" t="s">
        <v>2929</v>
      </c>
      <c r="D34" s="24"/>
      <c r="E34" s="24"/>
      <c r="F34" s="24"/>
      <c r="G34" s="24"/>
      <c r="H34" s="202">
        <v>1</v>
      </c>
      <c r="I34" s="203"/>
      <c r="J34" s="42">
        <f>VLOOKUP($B$29:$B$44,'Alberta Equip. Rates Year 3'!$B$13:$K$314,10,FALSE)</f>
        <v>125</v>
      </c>
      <c r="K34" s="181">
        <f>(H34+I34)*J34</f>
        <v>125</v>
      </c>
    </row>
    <row r="35" spans="1:11" ht="15" customHeight="1">
      <c r="A35" s="196"/>
      <c r="B35" s="49" t="str">
        <f>VLOOKUP($C$29:$C$44,Equipment!$A$1:$B$2322,2,FALSE)</f>
        <v>Pickup - 1/2 Ton</v>
      </c>
      <c r="C35" s="24" t="s">
        <v>2725</v>
      </c>
      <c r="D35" s="24"/>
      <c r="E35" s="24"/>
      <c r="F35" s="24"/>
      <c r="G35" s="24"/>
      <c r="H35" s="202">
        <v>1</v>
      </c>
      <c r="I35" s="203"/>
      <c r="J35" s="42">
        <f>VLOOKUP($B$29:$B$44,'Alberta Equip. Rates Year 3'!$B$13:$K$314,10,FALSE)</f>
        <v>125</v>
      </c>
      <c r="K35" s="181">
        <f>(H35+I35)*J35</f>
        <v>125</v>
      </c>
    </row>
    <row r="36" spans="1:11" ht="15" customHeight="1">
      <c r="A36" s="43"/>
      <c r="B36" s="49" t="str">
        <f>VLOOKUP($C$29:$C$44,Equipment!$A$1:$B$2322,2,FALSE)</f>
        <v>Pickup - 1/2 Ton</v>
      </c>
      <c r="C36" s="24" t="s">
        <v>2726</v>
      </c>
      <c r="D36" s="24"/>
      <c r="E36" s="24"/>
      <c r="F36" s="24"/>
      <c r="G36" s="24"/>
      <c r="H36" s="202">
        <v>1</v>
      </c>
      <c r="I36" s="203"/>
      <c r="J36" s="42">
        <f>VLOOKUP($B$29:$B$44,'Alberta Equip. Rates Year 3'!$B$13:$K$314,10,FALSE)</f>
        <v>125</v>
      </c>
      <c r="K36" s="181">
        <f t="shared" si="1"/>
        <v>125</v>
      </c>
    </row>
    <row r="37" spans="1:11" ht="15" customHeight="1">
      <c r="A37" s="43"/>
      <c r="B37" s="49">
        <f>VLOOKUP($C$29:$C$44,Equipment!$A$1:$B$2322,2,FALSE)</f>
        <v>0</v>
      </c>
      <c r="C37" s="24"/>
      <c r="D37" s="24"/>
      <c r="E37" s="24"/>
      <c r="F37" s="24"/>
      <c r="G37" s="24"/>
      <c r="H37" s="202"/>
      <c r="I37" s="203"/>
      <c r="J37" s="42">
        <f>VLOOKUP($B$29:$B$44,'Alberta Equip. Rates Year 3'!$B$13:$K$314,10,FALSE)</f>
        <v>0</v>
      </c>
      <c r="K37" s="181">
        <f t="shared" si="1"/>
        <v>0</v>
      </c>
    </row>
    <row r="38" spans="1:11" ht="15" customHeight="1">
      <c r="A38" s="43"/>
      <c r="B38" s="49">
        <f>VLOOKUP($C$29:$C$44,Equipment!$A$1:$B$2322,2,FALSE)</f>
        <v>0</v>
      </c>
      <c r="C38" s="24"/>
      <c r="D38" s="24"/>
      <c r="E38" s="24"/>
      <c r="F38" s="24"/>
      <c r="G38" s="24"/>
      <c r="H38" s="202"/>
      <c r="I38" s="203"/>
      <c r="J38" s="42">
        <f>VLOOKUP($B$29:$B$44,'Alberta Equip. Rates Year 3'!$B$13:$K$314,10,FALSE)</f>
        <v>0</v>
      </c>
      <c r="K38" s="181">
        <f t="shared" si="1"/>
        <v>0</v>
      </c>
    </row>
    <row r="39" spans="1:11" ht="15" customHeight="1">
      <c r="A39" s="43"/>
      <c r="B39" s="49">
        <f>VLOOKUP($C$29:$C$44,Equipment!$A$1:$B$2322,2,FALSE)</f>
        <v>0</v>
      </c>
      <c r="C39" s="24"/>
      <c r="D39" s="24"/>
      <c r="E39" s="24"/>
      <c r="F39" s="24"/>
      <c r="G39" s="24"/>
      <c r="H39" s="202"/>
      <c r="I39" s="203"/>
      <c r="J39" s="42">
        <f>VLOOKUP($B$29:$B$44,'Alberta Equip. Rates Year 3'!$B$13:$K$314,10,FALSE)</f>
        <v>0</v>
      </c>
      <c r="K39" s="181">
        <f t="shared" si="1"/>
        <v>0</v>
      </c>
    </row>
    <row r="40" spans="1:11" ht="15" customHeight="1">
      <c r="A40" s="196"/>
      <c r="B40" s="49">
        <f>VLOOKUP($C$29:$C$44,Equipment!$A$1:$B$2322,2,FALSE)</f>
        <v>0</v>
      </c>
      <c r="C40" s="24"/>
      <c r="D40" s="24"/>
      <c r="E40" s="24"/>
      <c r="F40" s="24"/>
      <c r="G40" s="24"/>
      <c r="H40" s="202"/>
      <c r="I40" s="203"/>
      <c r="J40" s="42">
        <f>VLOOKUP($B$29:$B$44,'Alberta Equip. Rates Year 3'!$B$13:$K$314,10,FALSE)</f>
        <v>0</v>
      </c>
      <c r="K40" s="181">
        <f t="shared" si="1"/>
        <v>0</v>
      </c>
    </row>
    <row r="41" spans="1:11" ht="15" customHeight="1">
      <c r="A41" s="196"/>
      <c r="B41" s="49">
        <f>VLOOKUP($C$29:$C$44,Equipment!$A$1:$B$2322,2,FALSE)</f>
        <v>0</v>
      </c>
      <c r="C41" s="24"/>
      <c r="D41" s="24"/>
      <c r="E41" s="24"/>
      <c r="F41" s="24"/>
      <c r="G41" s="24"/>
      <c r="H41" s="202"/>
      <c r="I41" s="203"/>
      <c r="J41" s="42">
        <f>VLOOKUP($B$29:$B$44,'Alberta Equip. Rates Year 3'!$B$13:$K$314,10,FALSE)</f>
        <v>0</v>
      </c>
      <c r="K41" s="181">
        <f t="shared" ref="K41:K42" si="2">(H41+I41)*J41</f>
        <v>0</v>
      </c>
    </row>
    <row r="42" spans="1:11" ht="15" customHeight="1">
      <c r="A42" s="196"/>
      <c r="B42" s="49">
        <f>VLOOKUP($C$29:$C$44,Equipment!$A$1:$B$2322,2,FALSE)</f>
        <v>0</v>
      </c>
      <c r="C42" s="24"/>
      <c r="D42" s="24"/>
      <c r="E42" s="24"/>
      <c r="F42" s="24"/>
      <c r="G42" s="24"/>
      <c r="H42" s="202"/>
      <c r="I42" s="203"/>
      <c r="J42" s="42">
        <f>VLOOKUP($B$29:$B$44,'Alberta Equip. Rates Year 3'!$B$13:$K$314,10,FALSE)</f>
        <v>0</v>
      </c>
      <c r="K42" s="181">
        <f t="shared" si="2"/>
        <v>0</v>
      </c>
    </row>
    <row r="43" spans="1:11" ht="15" customHeight="1">
      <c r="A43" s="43"/>
      <c r="B43" s="49">
        <f>VLOOKUP($C$29:$C$44,Equipment!$A$1:$B$2322,2,FALSE)</f>
        <v>0</v>
      </c>
      <c r="C43" s="24"/>
      <c r="D43" s="24"/>
      <c r="E43" s="24"/>
      <c r="F43" s="24"/>
      <c r="G43" s="24"/>
      <c r="H43" s="185"/>
      <c r="I43" s="184"/>
      <c r="J43" s="42">
        <f>VLOOKUP($B$29:$B$44,'Alberta Equip. Rates Year 3'!$B$13:$K$314,10,FALSE)</f>
        <v>0</v>
      </c>
      <c r="K43" s="181">
        <f t="shared" si="1"/>
        <v>0</v>
      </c>
    </row>
    <row r="44" spans="1:11" ht="15" customHeight="1" thickBot="1">
      <c r="A44" s="43"/>
      <c r="B44" s="49">
        <f>VLOOKUP($C$29:$C$44,Equipment!$A$1:$B$2322,2,FALSE)</f>
        <v>0</v>
      </c>
      <c r="C44" s="24"/>
      <c r="D44" s="24"/>
      <c r="E44" s="24"/>
      <c r="F44" s="24"/>
      <c r="G44" s="24"/>
      <c r="H44" s="185"/>
      <c r="I44" s="184"/>
      <c r="J44" s="42">
        <f>VLOOKUP($B$29:$B$44,'Alberta Equip. Rates Year 3'!$B$13:$K$314,10,FALSE)</f>
        <v>0</v>
      </c>
      <c r="K44" s="181">
        <f t="shared" si="1"/>
        <v>0</v>
      </c>
    </row>
    <row r="45" spans="1:11" ht="12" thickBot="1">
      <c r="A45" s="25"/>
      <c r="B45" s="25"/>
      <c r="C45" s="25"/>
      <c r="D45" s="21"/>
      <c r="E45" s="21"/>
      <c r="F45" s="21"/>
      <c r="G45" s="21"/>
      <c r="H45" s="21"/>
      <c r="I45" s="360" t="s">
        <v>24</v>
      </c>
      <c r="J45" s="361"/>
      <c r="K45" s="182">
        <f>SUM(K29:K44)</f>
        <v>625</v>
      </c>
    </row>
    <row r="46" spans="1:11" ht="12" thickBot="1">
      <c r="A46" s="26"/>
      <c r="D46" s="26"/>
      <c r="I46" s="27"/>
      <c r="J46" s="27"/>
      <c r="K46" s="28"/>
    </row>
    <row r="47" spans="1:11">
      <c r="A47" s="1" t="s">
        <v>25</v>
      </c>
      <c r="B47" s="29"/>
      <c r="D47" s="1"/>
      <c r="E47" s="1"/>
      <c r="F47" s="1"/>
      <c r="G47" s="1"/>
      <c r="H47" s="1"/>
      <c r="I47" s="362" t="s">
        <v>26</v>
      </c>
      <c r="J47" s="362"/>
      <c r="K47" s="37">
        <f>K26</f>
        <v>6601.7000000000007</v>
      </c>
    </row>
    <row r="48" spans="1:11">
      <c r="D48" s="1"/>
      <c r="E48" s="1"/>
      <c r="F48" s="1"/>
      <c r="G48" s="1"/>
      <c r="H48" s="1"/>
      <c r="I48" s="362" t="s">
        <v>27</v>
      </c>
      <c r="J48" s="362"/>
      <c r="K48" s="38">
        <f>K45</f>
        <v>625</v>
      </c>
    </row>
    <row r="49" spans="1:11">
      <c r="D49" s="1"/>
      <c r="E49" s="1"/>
      <c r="F49" s="1"/>
      <c r="G49" s="1"/>
      <c r="H49" s="1"/>
      <c r="I49" s="27" t="s">
        <v>28</v>
      </c>
      <c r="J49" s="27"/>
      <c r="K49" s="241">
        <f>(O26)*14.15</f>
        <v>905.6</v>
      </c>
    </row>
    <row r="50" spans="1:11">
      <c r="D50" s="1"/>
      <c r="E50" s="1"/>
      <c r="F50" s="1"/>
      <c r="G50" s="1"/>
      <c r="H50" s="1"/>
      <c r="I50" s="30" t="s">
        <v>29</v>
      </c>
      <c r="J50" s="30"/>
      <c r="K50" s="39"/>
    </row>
    <row r="51" spans="1:11">
      <c r="D51" s="1"/>
      <c r="E51" s="1"/>
      <c r="F51" s="1"/>
      <c r="G51" s="1"/>
      <c r="H51" s="1"/>
      <c r="I51" s="30" t="s">
        <v>30</v>
      </c>
      <c r="J51" s="30"/>
      <c r="K51" s="39"/>
    </row>
    <row r="52" spans="1:11">
      <c r="D52" s="1"/>
      <c r="E52" s="1"/>
      <c r="F52" s="1"/>
      <c r="G52" s="1"/>
      <c r="H52" s="1"/>
      <c r="I52" s="30" t="s">
        <v>31</v>
      </c>
      <c r="J52" s="30"/>
      <c r="K52" s="39"/>
    </row>
    <row r="53" spans="1:11" ht="12" thickBot="1">
      <c r="D53" s="1"/>
      <c r="E53" s="1"/>
      <c r="F53" s="1"/>
      <c r="G53" s="1"/>
      <c r="H53" s="1"/>
      <c r="I53" s="362" t="s">
        <v>32</v>
      </c>
      <c r="J53" s="362"/>
      <c r="K53" s="40">
        <f>SUM(K47:K52)</f>
        <v>8132.3000000000011</v>
      </c>
    </row>
    <row r="54" spans="1:11">
      <c r="D54" s="1"/>
      <c r="E54" s="1"/>
      <c r="F54" s="1"/>
      <c r="G54" s="1"/>
      <c r="H54" s="1"/>
      <c r="I54" s="27"/>
      <c r="J54" s="27"/>
    </row>
    <row r="55" spans="1:11">
      <c r="A55" s="31" t="s">
        <v>33</v>
      </c>
      <c r="B55" s="32"/>
      <c r="C55" s="32"/>
      <c r="D55" s="1"/>
      <c r="H55" s="33" t="s">
        <v>34</v>
      </c>
      <c r="I55" s="32"/>
      <c r="J55" s="32"/>
      <c r="K55" s="32"/>
    </row>
    <row r="56" spans="1:11" ht="15">
      <c r="A56" s="34"/>
      <c r="E56" s="8"/>
      <c r="F56" s="8"/>
      <c r="G56" s="8"/>
      <c r="H56" s="35"/>
      <c r="I56" s="35"/>
      <c r="J56" s="35"/>
      <c r="K56" s="35"/>
    </row>
    <row r="57" spans="1:11" ht="15">
      <c r="A57" s="34" t="s">
        <v>35</v>
      </c>
      <c r="E57" s="8"/>
      <c r="F57" s="8"/>
      <c r="G57" s="8"/>
      <c r="H57" s="35"/>
      <c r="I57" s="35"/>
      <c r="J57" s="35"/>
      <c r="K57" s="35"/>
    </row>
    <row r="58" spans="1:11" s="34" customFormat="1">
      <c r="A58" s="363">
        <v>41218.479166666664</v>
      </c>
      <c r="B58" s="363"/>
      <c r="C58" s="364"/>
      <c r="D58" s="364"/>
      <c r="E58" s="364"/>
      <c r="F58" s="364"/>
      <c r="G58" s="364"/>
      <c r="H58" s="364"/>
      <c r="I58" s="364"/>
      <c r="J58" s="364"/>
      <c r="K58" s="8"/>
    </row>
    <row r="68" s="1" customFormat="1"/>
    <row r="69" s="1" customFormat="1"/>
    <row r="70" s="1" customFormat="1"/>
    <row r="71" s="1" customFormat="1"/>
    <row r="72" s="1" customFormat="1"/>
    <row r="73" s="1" customFormat="1"/>
    <row r="74" s="1" customFormat="1"/>
    <row r="75" s="1" customFormat="1"/>
    <row r="76" s="1" customFormat="1"/>
    <row r="77" s="1" customFormat="1"/>
    <row r="78" s="1" customFormat="1"/>
    <row r="79" s="1" customFormat="1"/>
    <row r="80" s="1" customFormat="1"/>
    <row r="81" s="1" customFormat="1"/>
    <row r="86" s="1" customFormat="1"/>
    <row r="114" s="1" customFormat="1"/>
    <row r="115" s="1" customFormat="1"/>
    <row r="116" s="1" customFormat="1"/>
    <row r="117" s="1" customFormat="1"/>
  </sheetData>
  <mergeCells count="12">
    <mergeCell ref="I45:J45"/>
    <mergeCell ref="I47:J47"/>
    <mergeCell ref="I48:J48"/>
    <mergeCell ref="I53:J53"/>
    <mergeCell ref="A58:B58"/>
    <mergeCell ref="C58:J58"/>
    <mergeCell ref="I26:J26"/>
    <mergeCell ref="C1:H1"/>
    <mergeCell ref="C2:H2"/>
    <mergeCell ref="C3:H3"/>
    <mergeCell ref="H6:I6"/>
    <mergeCell ref="H7:I7"/>
  </mergeCells>
  <printOptions horizontalCentered="1"/>
  <pageMargins left="0.19685039370078741" right="0.19685039370078741" top="0.39370078740157483" bottom="0.39370078740157483" header="0" footer="0"/>
  <pageSetup orientation="portrait" horizontalDpi="4294967292" verticalDpi="4294967292"/>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2700-000000000000}">
          <x14:formula1>
            <xm:f>Accounts!$A$4:$A$60</xm:f>
          </x14:formula1>
          <xm:sqref>K7</xm:sqref>
        </x14:dataValidation>
        <x14:dataValidation type="list" allowBlank="1" showInputMessage="1" showErrorMessage="1" xr:uid="{00000000-0002-0000-2700-000001000000}">
          <x14:formula1>
            <xm:f>'Constr. Wage Rate Calculations'!$A$19:$A$288</xm:f>
          </x14:formula1>
          <xm:sqref>B11:B25</xm:sqref>
        </x14:dataValidation>
        <x14:dataValidation type="list" allowBlank="1" showInputMessage="1" showErrorMessage="1" xr:uid="{00000000-0002-0000-2700-000002000000}">
          <x14:formula1>
            <xm:f>Personnel!$A:$A</xm:f>
          </x14:formula1>
          <xm:sqref>C11:C25</xm:sqref>
        </x14:dataValidation>
        <x14:dataValidation type="list" allowBlank="1" showInputMessage="1" showErrorMessage="1" xr:uid="{00000000-0002-0000-2700-000003000000}">
          <x14:formula1>
            <xm:f>Equipment!$A:$A</xm:f>
          </x14:formula1>
          <xm:sqref>C29:C44</xm:sqref>
        </x14:dataValidation>
      </x14:dataValidations>
    </ext>
    <ext xmlns:mx="http://schemas.microsoft.com/office/mac/excel/2008/main" uri="{64002731-A6B0-56B0-2670-7721B7C09600}">
      <mx:PLV Mode="0" OnePage="0" WScale="0"/>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CCFFCC"/>
    <pageSetUpPr fitToPage="1"/>
  </sheetPr>
  <dimension ref="A1:O132"/>
  <sheetViews>
    <sheetView zoomScale="120" zoomScaleNormal="120" zoomScalePageLayoutView="120" workbookViewId="0">
      <selection activeCell="E19" sqref="E19"/>
    </sheetView>
  </sheetViews>
  <sheetFormatPr baseColWidth="10" defaultColWidth="8.83203125" defaultRowHeight="11"/>
  <cols>
    <col min="1" max="1" width="13" style="1" customWidth="1"/>
    <col min="2" max="2" width="30" style="1" customWidth="1"/>
    <col min="3" max="3" width="24.5" style="1" customWidth="1"/>
    <col min="4" max="4" width="8.6640625" style="2" customWidth="1"/>
    <col min="5" max="6" width="8.33203125" style="2" customWidth="1"/>
    <col min="7" max="8" width="8.6640625" style="2" customWidth="1"/>
    <col min="9" max="9" width="9.33203125" style="2" customWidth="1"/>
    <col min="10" max="10" width="8.6640625" style="2" customWidth="1"/>
    <col min="11" max="11" width="19.33203125" style="1" customWidth="1"/>
    <col min="12" max="12" width="3.5" style="1" hidden="1" customWidth="1"/>
    <col min="13" max="16384" width="8.83203125" style="1"/>
  </cols>
  <sheetData>
    <row r="1" spans="1:13" ht="15">
      <c r="C1" s="364"/>
      <c r="D1" s="365"/>
      <c r="E1" s="365"/>
      <c r="F1" s="365"/>
      <c r="G1" s="365"/>
      <c r="H1" s="366"/>
      <c r="J1" s="2" t="s">
        <v>0</v>
      </c>
      <c r="K1" s="197">
        <v>41659</v>
      </c>
      <c r="M1" s="45"/>
    </row>
    <row r="2" spans="1:13" ht="15">
      <c r="C2" s="367"/>
      <c r="D2" s="367"/>
      <c r="E2" s="367"/>
      <c r="F2" s="367"/>
      <c r="G2" s="367"/>
      <c r="H2" s="366"/>
      <c r="K2" s="41"/>
    </row>
    <row r="3" spans="1:13" ht="15">
      <c r="C3" s="368"/>
      <c r="D3" s="369"/>
      <c r="E3" s="369"/>
      <c r="F3" s="369"/>
      <c r="G3" s="369"/>
      <c r="H3" s="366"/>
    </row>
    <row r="4" spans="1:13">
      <c r="C4" s="3"/>
      <c r="D4" s="4"/>
      <c r="E4" s="4"/>
      <c r="F4" s="4"/>
      <c r="G4" s="4"/>
    </row>
    <row r="5" spans="1:13">
      <c r="C5" s="3"/>
      <c r="D5" s="4"/>
      <c r="E5" s="4"/>
      <c r="F5" s="4"/>
      <c r="G5" s="4"/>
    </row>
    <row r="6" spans="1:13" ht="12">
      <c r="B6" s="5"/>
      <c r="C6" s="6"/>
      <c r="D6" s="7"/>
      <c r="E6" s="8"/>
      <c r="F6" s="8"/>
      <c r="G6" s="1" t="s">
        <v>1</v>
      </c>
      <c r="H6" s="370">
        <v>18207</v>
      </c>
      <c r="I6" s="370"/>
      <c r="J6" s="1" t="s">
        <v>2</v>
      </c>
      <c r="K6" s="47"/>
    </row>
    <row r="7" spans="1:13" ht="12">
      <c r="A7" s="1" t="s">
        <v>3</v>
      </c>
      <c r="B7" s="9"/>
      <c r="C7" s="10"/>
      <c r="D7" s="11"/>
      <c r="E7" s="8"/>
      <c r="F7" s="8"/>
      <c r="G7" s="1" t="s">
        <v>4</v>
      </c>
      <c r="H7" s="371"/>
      <c r="I7" s="371"/>
      <c r="J7" s="1" t="s">
        <v>5</v>
      </c>
      <c r="K7" s="46"/>
    </row>
    <row r="8" spans="1:13" ht="12">
      <c r="B8" s="12"/>
      <c r="C8" s="13"/>
      <c r="D8" s="14"/>
      <c r="E8" s="8"/>
      <c r="F8" s="8"/>
      <c r="G8" s="1" t="s">
        <v>6</v>
      </c>
      <c r="H8" s="187"/>
      <c r="I8" s="188"/>
      <c r="J8" s="44"/>
    </row>
    <row r="9" spans="1:13" ht="16" thickBot="1">
      <c r="B9" s="15"/>
      <c r="C9" s="16"/>
      <c r="D9" s="16"/>
      <c r="E9" s="8"/>
      <c r="F9" s="8"/>
      <c r="G9" s="8"/>
    </row>
    <row r="10" spans="1:13" s="19" customFormat="1" ht="12" thickBot="1">
      <c r="A10" s="17" t="s">
        <v>7</v>
      </c>
      <c r="B10" s="17" t="s">
        <v>8</v>
      </c>
      <c r="C10" s="17" t="s">
        <v>9</v>
      </c>
      <c r="D10" s="18" t="s">
        <v>10</v>
      </c>
      <c r="E10" s="18" t="s">
        <v>11</v>
      </c>
      <c r="F10" s="18" t="s">
        <v>12</v>
      </c>
      <c r="G10" s="180" t="s">
        <v>13</v>
      </c>
      <c r="H10" s="18" t="s">
        <v>14</v>
      </c>
      <c r="I10" s="18" t="s">
        <v>15</v>
      </c>
      <c r="J10" s="18" t="s">
        <v>16</v>
      </c>
      <c r="K10" s="18" t="s">
        <v>17</v>
      </c>
      <c r="M10" s="19" t="s">
        <v>1797</v>
      </c>
    </row>
    <row r="11" spans="1:13" ht="15" customHeight="1">
      <c r="A11" s="48"/>
      <c r="B11" s="49">
        <f>VLOOKUP($C$11:$C$35,Personnel!$A$1:$B$1234,2,FALSE)</f>
        <v>0</v>
      </c>
      <c r="C11" s="36"/>
      <c r="D11" s="184"/>
      <c r="E11" s="179">
        <f>VLOOKUP($B$11:$B$35,'Constr. Wage Rate Calculations'!$A$19:$Z$288,22,FALSE)</f>
        <v>0</v>
      </c>
      <c r="F11" s="184"/>
      <c r="G11" s="179">
        <f>VLOOKUP($B$11:$B$35,'Constr. Wage Rate Calculations'!$A$19:$Z$288,23,FALSE)</f>
        <v>0</v>
      </c>
      <c r="H11" s="184"/>
      <c r="I11" s="179">
        <f>VLOOKUP($B$11:$B$35,'Constr. Wage Rate Calculations'!$A$19:$Z$288,24,FALSE)</f>
        <v>0</v>
      </c>
      <c r="J11" s="20">
        <f>VLOOKUP($B$11:$B$35,'Constr. Wage Rate Calculations'!$A$19:$Z$288,25,FALSE)</f>
        <v>0</v>
      </c>
      <c r="K11" s="179" t="str">
        <f t="shared" ref="K11:K31" si="0">IF($D11&gt;=1,$J11+(D11*E11)+(F11*G11)+(H11*I11),IF($F11&gt;=1,$J11+(D11*E11)+(F11*G11)+(H11*I11),IF($H11&gt;=1,$J11+(D11*E11)+(F11*G11)+(H11*I11),"")))</f>
        <v/>
      </c>
    </row>
    <row r="12" spans="1:13" ht="15" customHeight="1">
      <c r="A12" s="48"/>
      <c r="B12" s="49" t="str">
        <f>VLOOKUP($C$11:$C$35,Personnel!$A$1:$B$1234,2,FALSE)</f>
        <v>PRINCIPAL OPER 1</v>
      </c>
      <c r="C12" s="36" t="s">
        <v>723</v>
      </c>
      <c r="D12" s="184">
        <v>8</v>
      </c>
      <c r="E12" s="179">
        <f>VLOOKUP($B$11:$B$35,'Constr. Wage Rate Calculations'!$A$19:$Z$288,22,FALSE)</f>
        <v>64.239999999999995</v>
      </c>
      <c r="F12" s="184">
        <v>4</v>
      </c>
      <c r="G12" s="179">
        <f>VLOOKUP($B$11:$B$35,'Constr. Wage Rate Calculations'!$A$19:$Z$288,23,FALSE)</f>
        <v>96.36</v>
      </c>
      <c r="H12" s="184"/>
      <c r="I12" s="179">
        <f>VLOOKUP($B$11:$B$35,'Constr. Wage Rate Calculations'!$A$19:$Z$288,24,FALSE)</f>
        <v>128.47</v>
      </c>
      <c r="J12" s="20">
        <f>VLOOKUP($B$11:$B$35,'Constr. Wage Rate Calculations'!$A$19:$Z$288,25,FALSE)</f>
        <v>85</v>
      </c>
      <c r="K12" s="179">
        <f t="shared" si="0"/>
        <v>984.3599999999999</v>
      </c>
    </row>
    <row r="13" spans="1:13" ht="15" customHeight="1">
      <c r="A13" s="48"/>
      <c r="B13" s="49" t="str">
        <f>VLOOKUP($C$11:$C$35,Personnel!$A$1:$B$1234,2,FALSE)</f>
        <v>POWERSAW OPERATOR</v>
      </c>
      <c r="C13" s="36" t="s">
        <v>2268</v>
      </c>
      <c r="D13" s="184">
        <v>8</v>
      </c>
      <c r="E13" s="179">
        <f>VLOOKUP($B$11:$B$35,'Constr. Wage Rate Calculations'!$A$19:$Z$288,22,FALSE)</f>
        <v>48.62</v>
      </c>
      <c r="F13" s="184">
        <v>4</v>
      </c>
      <c r="G13" s="179">
        <f>VLOOKUP($B$11:$B$35,'Constr. Wage Rate Calculations'!$A$19:$Z$288,23,FALSE)</f>
        <v>72.930000000000007</v>
      </c>
      <c r="H13" s="184"/>
      <c r="I13" s="179">
        <f>VLOOKUP($B$11:$B$35,'Constr. Wage Rate Calculations'!$A$19:$Z$288,24,FALSE)</f>
        <v>97.24</v>
      </c>
      <c r="J13" s="20">
        <f>VLOOKUP($B$11:$B$35,'Constr. Wage Rate Calculations'!$A$19:$Z$288,25,FALSE)</f>
        <v>85</v>
      </c>
      <c r="K13" s="179">
        <f t="shared" si="0"/>
        <v>765.68000000000006</v>
      </c>
    </row>
    <row r="14" spans="1:13" ht="15" customHeight="1">
      <c r="A14" s="48"/>
      <c r="B14" s="49" t="str">
        <f>VLOOKUP($C$11:$C$35,Personnel!$A$1:$B$1234,2,FALSE)</f>
        <v>PRINCIPAL OPER 1</v>
      </c>
      <c r="C14" s="36" t="s">
        <v>3172</v>
      </c>
      <c r="D14" s="184">
        <v>8</v>
      </c>
      <c r="E14" s="179">
        <f>VLOOKUP($B$11:$B$35,'Constr. Wage Rate Calculations'!$A$19:$Z$288,22,FALSE)</f>
        <v>64.239999999999995</v>
      </c>
      <c r="F14" s="184">
        <v>5</v>
      </c>
      <c r="G14" s="179">
        <f>VLOOKUP($B$11:$B$35,'Constr. Wage Rate Calculations'!$A$19:$Z$288,23,FALSE)</f>
        <v>96.36</v>
      </c>
      <c r="H14" s="184"/>
      <c r="I14" s="179">
        <f>VLOOKUP($B$11:$B$35,'Constr. Wage Rate Calculations'!$A$19:$Z$288,24,FALSE)</f>
        <v>128.47</v>
      </c>
      <c r="J14" s="20">
        <f>VLOOKUP($B$11:$B$35,'Constr. Wage Rate Calculations'!$A$19:$Z$288,25,FALSE)</f>
        <v>85</v>
      </c>
      <c r="K14" s="179">
        <f t="shared" si="0"/>
        <v>1080.72</v>
      </c>
      <c r="M14" s="1">
        <v>1</v>
      </c>
    </row>
    <row r="15" spans="1:13" ht="15" customHeight="1">
      <c r="A15" s="48"/>
      <c r="B15" s="49" t="str">
        <f>VLOOKUP($C$11:$C$35,Personnel!$A$1:$B$1234,2,FALSE)</f>
        <v>PRINCIPAL OPER 1</v>
      </c>
      <c r="C15" s="36" t="s">
        <v>3150</v>
      </c>
      <c r="D15" s="184">
        <v>8</v>
      </c>
      <c r="E15" s="179">
        <f>VLOOKUP($B$11:$B$35,'Constr. Wage Rate Calculations'!$A$19:$Z$288,22,FALSE)</f>
        <v>64.239999999999995</v>
      </c>
      <c r="F15" s="184">
        <v>4</v>
      </c>
      <c r="G15" s="179">
        <f>VLOOKUP($B$11:$B$35,'Constr. Wage Rate Calculations'!$A$19:$Z$288,23,FALSE)</f>
        <v>96.36</v>
      </c>
      <c r="H15" s="184"/>
      <c r="I15" s="179">
        <f>VLOOKUP($B$11:$B$35,'Constr. Wage Rate Calculations'!$A$19:$Z$288,24,FALSE)</f>
        <v>128.47</v>
      </c>
      <c r="J15" s="20">
        <f>VLOOKUP($B$11:$B$35,'Constr. Wage Rate Calculations'!$A$19:$Z$288,25,FALSE)</f>
        <v>85</v>
      </c>
      <c r="K15" s="179">
        <f t="shared" si="0"/>
        <v>984.3599999999999</v>
      </c>
    </row>
    <row r="16" spans="1:13" ht="15" customHeight="1">
      <c r="A16" s="48"/>
      <c r="B16" s="49" t="str">
        <f>VLOOKUP($C$11:$C$35,Personnel!$A$1:$B$1234,2,FALSE)</f>
        <v>PRINCIPAL OPER 1</v>
      </c>
      <c r="C16" s="36" t="s">
        <v>3863</v>
      </c>
      <c r="D16" s="184">
        <v>8</v>
      </c>
      <c r="E16" s="179">
        <f>VLOOKUP($B$11:$B$35,'Constr. Wage Rate Calculations'!$A$19:$Z$288,22,FALSE)</f>
        <v>64.239999999999995</v>
      </c>
      <c r="F16" s="184">
        <v>4</v>
      </c>
      <c r="G16" s="179">
        <f>VLOOKUP($B$11:$B$35,'Constr. Wage Rate Calculations'!$A$19:$Z$288,23,FALSE)</f>
        <v>96.36</v>
      </c>
      <c r="H16" s="184"/>
      <c r="I16" s="179">
        <f>VLOOKUP($B$11:$B$35,'Constr. Wage Rate Calculations'!$A$19:$Z$288,24,FALSE)</f>
        <v>128.47</v>
      </c>
      <c r="J16" s="20">
        <f>VLOOKUP($B$11:$B$35,'Constr. Wage Rate Calculations'!$A$19:$Z$288,25,FALSE)</f>
        <v>85</v>
      </c>
      <c r="K16" s="179">
        <f t="shared" si="0"/>
        <v>984.3599999999999</v>
      </c>
    </row>
    <row r="17" spans="1:13" ht="15" customHeight="1">
      <c r="A17" s="48"/>
      <c r="B17" s="49" t="str">
        <f>VLOOKUP($C$11:$C$35,Personnel!$A$1:$B$1234,2,FALSE)</f>
        <v>INTERMEDIATE OPER</v>
      </c>
      <c r="C17" s="36" t="s">
        <v>3611</v>
      </c>
      <c r="D17" s="184">
        <v>8</v>
      </c>
      <c r="E17" s="179">
        <f>VLOOKUP($B$11:$B$35,'Constr. Wage Rate Calculations'!$A$19:$Z$288,22,FALSE)</f>
        <v>57.74</v>
      </c>
      <c r="F17" s="184">
        <v>4</v>
      </c>
      <c r="G17" s="179">
        <f>VLOOKUP($B$11:$B$35,'Constr. Wage Rate Calculations'!$A$19:$Z$288,23,FALSE)</f>
        <v>86.62</v>
      </c>
      <c r="H17" s="184"/>
      <c r="I17" s="179">
        <f>VLOOKUP($B$11:$B$35,'Constr. Wage Rate Calculations'!$A$19:$Z$288,24,FALSE)</f>
        <v>115.49</v>
      </c>
      <c r="J17" s="20">
        <f>VLOOKUP($B$11:$B$35,'Constr. Wage Rate Calculations'!$A$19:$Z$288,25,FALSE)</f>
        <v>85</v>
      </c>
      <c r="K17" s="179">
        <f t="shared" si="0"/>
        <v>893.40000000000009</v>
      </c>
    </row>
    <row r="18" spans="1:13" ht="15" customHeight="1">
      <c r="A18" s="48"/>
      <c r="B18" s="49" t="str">
        <f>VLOOKUP($C$11:$C$35,Personnel!$A$1:$B$1234,2,FALSE)</f>
        <v>GENERAL FOREMAN</v>
      </c>
      <c r="C18" s="36" t="s">
        <v>725</v>
      </c>
      <c r="D18" s="184">
        <v>1</v>
      </c>
      <c r="E18" s="179">
        <f>VLOOKUP($B$11:$B$35,'Constr. Wage Rate Calculations'!$A$19:$Z$288,22,FALSE)</f>
        <v>1332.16</v>
      </c>
      <c r="F18" s="184">
        <v>9</v>
      </c>
      <c r="G18" s="179">
        <f>VLOOKUP($B$11:$B$35,'Constr. Wage Rate Calculations'!$A$19:$Z$288,23,FALSE)</f>
        <v>0</v>
      </c>
      <c r="H18" s="184"/>
      <c r="I18" s="179">
        <f>VLOOKUP($B$11:$B$35,'Constr. Wage Rate Calculations'!$A$19:$Z$288,24,FALSE)</f>
        <v>0</v>
      </c>
      <c r="J18" s="20">
        <f>VLOOKUP($B$11:$B$35,'Constr. Wage Rate Calculations'!$A$19:$Z$288,25,FALSE)</f>
        <v>230</v>
      </c>
      <c r="K18" s="179">
        <f t="shared" si="0"/>
        <v>1562.16</v>
      </c>
    </row>
    <row r="19" spans="1:13" ht="23.25" customHeight="1">
      <c r="A19" s="48"/>
      <c r="B19" s="49" t="str">
        <f>VLOOKUP($C$11:$C$35,Personnel!$A$1:$B$1234,2,FALSE)</f>
        <v>APPRENTICE OPER/OILER</v>
      </c>
      <c r="C19" s="36" t="s">
        <v>2208</v>
      </c>
      <c r="D19" s="184">
        <v>8</v>
      </c>
      <c r="E19" s="179">
        <f>VLOOKUP($B$11:$B$35,'Constr. Wage Rate Calculations'!$A$19:$Z$288,22,FALSE)</f>
        <v>49.44</v>
      </c>
      <c r="F19" s="184">
        <v>6</v>
      </c>
      <c r="G19" s="179">
        <f>VLOOKUP($B$11:$B$35,'Constr. Wage Rate Calculations'!$A$19:$Z$288,23,FALSE)</f>
        <v>74.16</v>
      </c>
      <c r="H19" s="184"/>
      <c r="I19" s="179">
        <f>VLOOKUP($B$11:$B$35,'Constr. Wage Rate Calculations'!$A$19:$Z$288,24,FALSE)</f>
        <v>98.89</v>
      </c>
      <c r="J19" s="20">
        <f>VLOOKUP($B$11:$B$35,'Constr. Wage Rate Calculations'!$A$19:$Z$288,25,FALSE)</f>
        <v>85</v>
      </c>
      <c r="K19" s="179">
        <f t="shared" si="0"/>
        <v>925.48</v>
      </c>
      <c r="M19" s="1">
        <v>2</v>
      </c>
    </row>
    <row r="20" spans="1:13" ht="15" customHeight="1">
      <c r="A20" s="48"/>
      <c r="B20" s="49" t="str">
        <f>VLOOKUP($C$11:$C$35,Personnel!$A$1:$B$1234,2,FALSE)</f>
        <v>PRINCIPAL OPER 1</v>
      </c>
      <c r="C20" s="36" t="s">
        <v>3145</v>
      </c>
      <c r="D20" s="184">
        <v>8</v>
      </c>
      <c r="E20" s="179">
        <f>VLOOKUP($B$11:$B$35,'Constr. Wage Rate Calculations'!$A$19:$Z$288,22,FALSE)</f>
        <v>64.239999999999995</v>
      </c>
      <c r="F20" s="184">
        <v>5</v>
      </c>
      <c r="G20" s="179">
        <f>VLOOKUP($B$11:$B$35,'Constr. Wage Rate Calculations'!$A$19:$Z$288,23,FALSE)</f>
        <v>96.36</v>
      </c>
      <c r="H20" s="184"/>
      <c r="I20" s="179">
        <f>VLOOKUP($B$11:$B$35,'Constr. Wage Rate Calculations'!$A$19:$Z$288,24,FALSE)</f>
        <v>128.47</v>
      </c>
      <c r="J20" s="20">
        <v>150</v>
      </c>
      <c r="K20" s="179">
        <f t="shared" si="0"/>
        <v>1145.72</v>
      </c>
      <c r="M20" s="1">
        <v>1</v>
      </c>
    </row>
    <row r="21" spans="1:13" ht="15" customHeight="1">
      <c r="A21" s="48"/>
      <c r="B21" s="49" t="str">
        <f>VLOOKUP($C$11:$C$35,Personnel!$A$1:$B$1234,2,FALSE)</f>
        <v>GENERAL LABOURER</v>
      </c>
      <c r="C21" s="36" t="s">
        <v>2958</v>
      </c>
      <c r="D21" s="184">
        <v>8</v>
      </c>
      <c r="E21" s="179">
        <f>VLOOKUP($B$11:$B$35,'Constr. Wage Rate Calculations'!$A$19:$Z$288,22,FALSE)</f>
        <v>48.1</v>
      </c>
      <c r="F21" s="184">
        <v>4</v>
      </c>
      <c r="G21" s="179">
        <f>VLOOKUP($B$11:$B$35,'Constr. Wage Rate Calculations'!$A$19:$Z$288,23,FALSE)</f>
        <v>72.150000000000006</v>
      </c>
      <c r="H21" s="184"/>
      <c r="I21" s="179">
        <f>VLOOKUP($B$11:$B$35,'Constr. Wage Rate Calculations'!$A$19:$Z$288,24,FALSE)</f>
        <v>96.2</v>
      </c>
      <c r="J21" s="20">
        <f>VLOOKUP($B$11:$B$35,'Constr. Wage Rate Calculations'!$A$19:$Z$288,25,FALSE)</f>
        <v>85</v>
      </c>
      <c r="K21" s="179">
        <f t="shared" si="0"/>
        <v>758.40000000000009</v>
      </c>
    </row>
    <row r="22" spans="1:13" ht="15" customHeight="1">
      <c r="A22" s="48"/>
      <c r="B22" s="49" t="str">
        <f>VLOOKUP($C$11:$C$35,Personnel!$A$1:$B$1234,2,FALSE)</f>
        <v>APPRENTICE OPER/OILER</v>
      </c>
      <c r="C22" s="36" t="s">
        <v>4153</v>
      </c>
      <c r="D22" s="184">
        <v>8</v>
      </c>
      <c r="E22" s="179">
        <f>VLOOKUP($B$11:$B$35,'Constr. Wage Rate Calculations'!$A$19:$Z$288,22,FALSE)</f>
        <v>49.44</v>
      </c>
      <c r="F22" s="184">
        <v>4</v>
      </c>
      <c r="G22" s="179">
        <f>VLOOKUP($B$11:$B$35,'Constr. Wage Rate Calculations'!$A$19:$Z$288,23,FALSE)</f>
        <v>74.16</v>
      </c>
      <c r="H22" s="184"/>
      <c r="I22" s="179">
        <f>VLOOKUP($B$11:$B$35,'Constr. Wage Rate Calculations'!$A$19:$Z$288,24,FALSE)</f>
        <v>98.89</v>
      </c>
      <c r="J22" s="20">
        <f>VLOOKUP($B$11:$B$35,'Constr. Wage Rate Calculations'!$A$19:$Z$288,25,FALSE)</f>
        <v>85</v>
      </c>
      <c r="K22" s="179">
        <f t="shared" si="0"/>
        <v>777.16</v>
      </c>
    </row>
    <row r="23" spans="1:13" ht="15" customHeight="1">
      <c r="A23" s="48"/>
      <c r="B23" s="49" t="str">
        <f>VLOOKUP($C$11:$C$35,Personnel!$A$1:$B$1234,2,FALSE)</f>
        <v>PRINCIPAL OPER 1</v>
      </c>
      <c r="C23" s="36" t="s">
        <v>1415</v>
      </c>
      <c r="D23" s="184">
        <v>8</v>
      </c>
      <c r="E23" s="179">
        <f>VLOOKUP($B$11:$B$35,'Constr. Wage Rate Calculations'!$A$19:$Z$288,22,FALSE)</f>
        <v>64.239999999999995</v>
      </c>
      <c r="F23" s="184">
        <v>5</v>
      </c>
      <c r="G23" s="179">
        <f>VLOOKUP($B$11:$B$35,'Constr. Wage Rate Calculations'!$A$19:$Z$288,23,FALSE)</f>
        <v>96.36</v>
      </c>
      <c r="H23" s="184"/>
      <c r="I23" s="179">
        <f>VLOOKUP($B$11:$B$35,'Constr. Wage Rate Calculations'!$A$19:$Z$288,24,FALSE)</f>
        <v>128.47</v>
      </c>
      <c r="J23" s="20">
        <f>VLOOKUP($B$11:$B$35,'Constr. Wage Rate Calculations'!$A$19:$Z$288,25,FALSE)</f>
        <v>85</v>
      </c>
      <c r="K23" s="179">
        <f t="shared" si="0"/>
        <v>1080.72</v>
      </c>
      <c r="M23" s="1">
        <v>1</v>
      </c>
    </row>
    <row r="24" spans="1:13" ht="15" customHeight="1">
      <c r="A24" s="48"/>
      <c r="B24" s="49" t="str">
        <f>VLOOKUP($C$11:$C$35,Personnel!$A$1:$B$1234,2,FALSE)</f>
        <v>GENERAL LABOURER</v>
      </c>
      <c r="C24" s="36" t="s">
        <v>3247</v>
      </c>
      <c r="D24" s="184">
        <v>8</v>
      </c>
      <c r="E24" s="179">
        <f>VLOOKUP($B$11:$B$35,'Constr. Wage Rate Calculations'!$A$19:$Z$288,22,FALSE)</f>
        <v>48.1</v>
      </c>
      <c r="F24" s="184">
        <v>5</v>
      </c>
      <c r="G24" s="179">
        <f>VLOOKUP($B$11:$B$35,'Constr. Wage Rate Calculations'!$A$19:$Z$288,23,FALSE)</f>
        <v>72.150000000000006</v>
      </c>
      <c r="H24" s="20"/>
      <c r="I24" s="179">
        <f>VLOOKUP($B$11:$B$35,'Constr. Wage Rate Calculations'!$A$19:$Z$288,24,FALSE)</f>
        <v>96.2</v>
      </c>
      <c r="J24" s="20">
        <f>VLOOKUP($B$11:$B$35,'Constr. Wage Rate Calculations'!$A$19:$Z$288,25,FALSE)</f>
        <v>85</v>
      </c>
      <c r="K24" s="179">
        <f t="shared" si="0"/>
        <v>830.55</v>
      </c>
      <c r="M24" s="1">
        <v>1</v>
      </c>
    </row>
    <row r="25" spans="1:13" ht="15" customHeight="1">
      <c r="A25" s="48"/>
      <c r="B25" s="49" t="str">
        <f>VLOOKUP($C$11:$C$35,Personnel!$A$1:$B$1234,2,FALSE)</f>
        <v>INTERMEDIATE OPER</v>
      </c>
      <c r="C25" s="36" t="s">
        <v>3886</v>
      </c>
      <c r="D25" s="184">
        <v>8</v>
      </c>
      <c r="E25" s="179">
        <f>VLOOKUP($B$11:$B$35,'Constr. Wage Rate Calculations'!$A$19:$Z$288,22,FALSE)</f>
        <v>57.74</v>
      </c>
      <c r="F25" s="184">
        <v>4</v>
      </c>
      <c r="G25" s="179">
        <f>VLOOKUP($B$11:$B$35,'Constr. Wage Rate Calculations'!$A$19:$Z$288,23,FALSE)</f>
        <v>86.62</v>
      </c>
      <c r="H25" s="184"/>
      <c r="I25" s="179">
        <f>VLOOKUP($B$11:$B$35,'Constr. Wage Rate Calculations'!$A$19:$Z$288,24,FALSE)</f>
        <v>115.49</v>
      </c>
      <c r="J25" s="20">
        <f>VLOOKUP($B$11:$B$35,'Constr. Wage Rate Calculations'!$A$19:$Z$288,25,FALSE)</f>
        <v>85</v>
      </c>
      <c r="K25" s="179">
        <f t="shared" si="0"/>
        <v>893.40000000000009</v>
      </c>
    </row>
    <row r="26" spans="1:13" ht="15" customHeight="1">
      <c r="A26" s="48"/>
      <c r="B26" s="49">
        <f>VLOOKUP($C$11:$C$35,Personnel!$A$1:$B$1234,2,FALSE)</f>
        <v>0</v>
      </c>
      <c r="C26" s="36"/>
      <c r="D26" s="184"/>
      <c r="E26" s="179">
        <f>VLOOKUP($B$11:$B$35,'Constr. Wage Rate Calculations'!$A$19:$Z$288,22,FALSE)</f>
        <v>0</v>
      </c>
      <c r="F26" s="184"/>
      <c r="G26" s="179">
        <f>VLOOKUP($B$11:$B$35,'Constr. Wage Rate Calculations'!$A$19:$Z$288,23,FALSE)</f>
        <v>0</v>
      </c>
      <c r="H26" s="184"/>
      <c r="I26" s="179">
        <f>VLOOKUP($B$11:$B$35,'Constr. Wage Rate Calculations'!$A$19:$Z$288,24,FALSE)</f>
        <v>0</v>
      </c>
      <c r="J26" s="20">
        <f>VLOOKUP($B$11:$B$35,'Constr. Wage Rate Calculations'!$A$19:$Z$288,25,FALSE)</f>
        <v>0</v>
      </c>
      <c r="K26" s="179" t="str">
        <f t="shared" si="0"/>
        <v/>
      </c>
    </row>
    <row r="27" spans="1:13" ht="15" customHeight="1">
      <c r="A27" s="48"/>
      <c r="B27" s="49">
        <f>VLOOKUP($C$11:$C$35,Personnel!$A$1:$B$1234,2,FALSE)</f>
        <v>0</v>
      </c>
      <c r="C27" s="36"/>
      <c r="D27" s="184"/>
      <c r="E27" s="179">
        <f>VLOOKUP($B$11:$B$35,'Constr. Wage Rate Calculations'!$A$19:$Z$288,22,FALSE)</f>
        <v>0</v>
      </c>
      <c r="F27" s="184"/>
      <c r="G27" s="179">
        <f>VLOOKUP($B$11:$B$35,'Constr. Wage Rate Calculations'!$A$19:$Z$288,23,FALSE)</f>
        <v>0</v>
      </c>
      <c r="H27" s="184"/>
      <c r="I27" s="179">
        <f>VLOOKUP($B$11:$B$35,'Constr. Wage Rate Calculations'!$A$19:$Z$288,24,FALSE)</f>
        <v>0</v>
      </c>
      <c r="J27" s="20">
        <f>VLOOKUP($B$11:$B$35,'Constr. Wage Rate Calculations'!$A$19:$Z$288,25,FALSE)</f>
        <v>0</v>
      </c>
      <c r="K27" s="179" t="str">
        <f t="shared" si="0"/>
        <v/>
      </c>
    </row>
    <row r="28" spans="1:13" ht="15" customHeight="1">
      <c r="A28" s="48"/>
      <c r="B28" s="49">
        <f>VLOOKUP($C$11:$C$35,Personnel!$A$1:$B$1234,2,FALSE)</f>
        <v>0</v>
      </c>
      <c r="C28" s="36"/>
      <c r="D28" s="184"/>
      <c r="E28" s="179">
        <f>VLOOKUP($B$11:$B$35,'Constr. Wage Rate Calculations'!$A$19:$Z$288,22,FALSE)</f>
        <v>0</v>
      </c>
      <c r="F28" s="184"/>
      <c r="G28" s="179">
        <f>VLOOKUP($B$11:$B$35,'Constr. Wage Rate Calculations'!$A$19:$Z$288,23,FALSE)</f>
        <v>0</v>
      </c>
      <c r="H28" s="184"/>
      <c r="I28" s="179">
        <f>VLOOKUP($B$11:$B$35,'Constr. Wage Rate Calculations'!$A$19:$Z$288,24,FALSE)</f>
        <v>0</v>
      </c>
      <c r="J28" s="20">
        <f>VLOOKUP($B$11:$B$35,'Constr. Wage Rate Calculations'!$A$19:$Z$288,25,FALSE)</f>
        <v>0</v>
      </c>
      <c r="K28" s="179" t="str">
        <f t="shared" si="0"/>
        <v/>
      </c>
    </row>
    <row r="29" spans="1:13" ht="15" customHeight="1">
      <c r="A29" s="48"/>
      <c r="B29" s="49">
        <f>VLOOKUP($C$11:$C$35,Personnel!$A$1:$B$1234,2,FALSE)</f>
        <v>0</v>
      </c>
      <c r="C29" s="36"/>
      <c r="D29" s="184"/>
      <c r="E29" s="179">
        <f>VLOOKUP($B$11:$B$35,'Constr. Wage Rate Calculations'!$A$19:$Z$288,22,FALSE)</f>
        <v>0</v>
      </c>
      <c r="F29" s="184"/>
      <c r="G29" s="179">
        <f>VLOOKUP($B$11:$B$35,'Constr. Wage Rate Calculations'!$A$19:$Z$288,23,FALSE)</f>
        <v>0</v>
      </c>
      <c r="H29" s="184"/>
      <c r="I29" s="179">
        <f>VLOOKUP($B$11:$B$35,'Constr. Wage Rate Calculations'!$A$19:$Z$288,24,FALSE)</f>
        <v>0</v>
      </c>
      <c r="J29" s="20">
        <f>VLOOKUP($B$11:$B$35,'Constr. Wage Rate Calculations'!$A$19:$Z$288,25,FALSE)</f>
        <v>0</v>
      </c>
      <c r="K29" s="179" t="str">
        <f t="shared" si="0"/>
        <v/>
      </c>
    </row>
    <row r="30" spans="1:13" ht="15" customHeight="1">
      <c r="A30" s="48"/>
      <c r="B30" s="49">
        <f>VLOOKUP($C$11:$C$35,Personnel!$A$1:$B$1234,2,FALSE)</f>
        <v>0</v>
      </c>
      <c r="C30" s="36"/>
      <c r="D30" s="184"/>
      <c r="E30" s="179">
        <f>VLOOKUP($B$11:$B$35,'Constr. Wage Rate Calculations'!$A$19:$Z$288,22,FALSE)</f>
        <v>0</v>
      </c>
      <c r="F30" s="184"/>
      <c r="G30" s="179">
        <f>VLOOKUP($B$11:$B$35,'Constr. Wage Rate Calculations'!$A$19:$Z$288,23,FALSE)</f>
        <v>0</v>
      </c>
      <c r="H30" s="184"/>
      <c r="I30" s="179">
        <f>VLOOKUP($B$11:$B$35,'Constr. Wage Rate Calculations'!$A$19:$Z$288,24,FALSE)</f>
        <v>0</v>
      </c>
      <c r="J30" s="20">
        <f>VLOOKUP($B$11:$B$35,'Constr. Wage Rate Calculations'!$A$19:$Z$288,25,FALSE)</f>
        <v>0</v>
      </c>
      <c r="K30" s="179" t="str">
        <f>IF($D30&gt;=1,$J30+(D30*E30)+(F30*G30)+(H30*I30),IF($F30&gt;=1,$J30+(D30*E30)+(F30*G30)+(H30*I30),IF($H30&gt;=1,$J30+(D30*E30)+(F30*G30)+(H30*I30),"")))</f>
        <v/>
      </c>
    </row>
    <row r="31" spans="1:13" ht="15" customHeight="1">
      <c r="A31" s="48"/>
      <c r="B31" s="49">
        <f>VLOOKUP($C$11:$C$35,Personnel!$A$1:$B$1234,2,FALSE)</f>
        <v>0</v>
      </c>
      <c r="C31" s="36"/>
      <c r="D31" s="184"/>
      <c r="E31" s="179">
        <f>VLOOKUP($B$11:$B$35,'Constr. Wage Rate Calculations'!$A$19:$Z$288,22,FALSE)</f>
        <v>0</v>
      </c>
      <c r="F31" s="184"/>
      <c r="G31" s="179">
        <f>VLOOKUP($B$11:$B$35,'Constr. Wage Rate Calculations'!$A$19:$Z$288,23,FALSE)</f>
        <v>0</v>
      </c>
      <c r="H31" s="184"/>
      <c r="I31" s="179">
        <f>VLOOKUP($B$11:$B$35,'Constr. Wage Rate Calculations'!$A$19:$Z$288,24,FALSE)</f>
        <v>0</v>
      </c>
      <c r="J31" s="20">
        <f>VLOOKUP($B$11:$B$35,'Constr. Wage Rate Calculations'!$A$19:$Z$288,25,FALSE)</f>
        <v>0</v>
      </c>
      <c r="K31" s="179" t="str">
        <f t="shared" si="0"/>
        <v/>
      </c>
    </row>
    <row r="32" spans="1:13" ht="15" customHeight="1">
      <c r="A32" s="48"/>
      <c r="B32" s="49">
        <f>VLOOKUP($C$11:$C$35,Personnel!$A$1:$B$1234,2,FALSE)</f>
        <v>0</v>
      </c>
      <c r="C32" s="36"/>
      <c r="D32" s="184"/>
      <c r="E32" s="179">
        <f>VLOOKUP($B$11:$B$35,'Constr. Wage Rate Calculations'!$A$19:$Z$288,22,FALSE)</f>
        <v>0</v>
      </c>
      <c r="F32" s="184"/>
      <c r="G32" s="179">
        <f>VLOOKUP($B$11:$B$35,'Constr. Wage Rate Calculations'!$A$19:$Z$288,23,FALSE)</f>
        <v>0</v>
      </c>
      <c r="H32" s="184"/>
      <c r="I32" s="179">
        <f>VLOOKUP($B$11:$B$35,'Constr. Wage Rate Calculations'!$A$19:$Z$288,24,FALSE)</f>
        <v>0</v>
      </c>
      <c r="J32" s="20">
        <f>VLOOKUP($B$11:$B$35,'Constr. Wage Rate Calculations'!$A$19:$Z$288,25,FALSE)</f>
        <v>0</v>
      </c>
      <c r="K32" s="179" t="str">
        <f>IF($D32&gt;=1,$J32+(D32*E32)+(F32*G32)+(H32*I32),IF($F32&gt;=1,$J32+(D32*E32)+(F32*G32)+(H32*I32),IF($H32&gt;=1,$J32+(D32*E32)+(F32*G32)+(H32*I32),"")))</f>
        <v/>
      </c>
    </row>
    <row r="33" spans="1:15" ht="15" customHeight="1">
      <c r="A33" s="48"/>
      <c r="B33" s="49">
        <f>VLOOKUP($C$11:$C$35,Personnel!$A$1:$B$1234,2,FALSE)</f>
        <v>0</v>
      </c>
      <c r="C33" s="36"/>
      <c r="D33" s="184"/>
      <c r="E33" s="179">
        <f>VLOOKUP($B$11:$B$35,'Constr. Wage Rate Calculations'!$A$19:$Z$288,22,FALSE)</f>
        <v>0</v>
      </c>
      <c r="F33" s="184"/>
      <c r="G33" s="179">
        <f>VLOOKUP($B$11:$B$35,'Constr. Wage Rate Calculations'!$A$19:$Z$288,23,FALSE)</f>
        <v>0</v>
      </c>
      <c r="H33" s="184"/>
      <c r="I33" s="179">
        <f>VLOOKUP($B$11:$B$35,'Constr. Wage Rate Calculations'!$A$19:$Z$288,24,FALSE)</f>
        <v>0</v>
      </c>
      <c r="J33" s="20">
        <f>VLOOKUP($B$11:$B$35,'Constr. Wage Rate Calculations'!$A$19:$Z$288,25,FALSE)</f>
        <v>0</v>
      </c>
      <c r="K33" s="179" t="str">
        <f>IF($D33&gt;=1,$J33+(D33*E33)+(F33*G33)+(H33*I33),IF($F33&gt;=1,$J33+(D33*E33)+(F33*G33)+(H33*I33),IF($H33&gt;=1,$J33+(D33*E33)+(F33*G33)+(H33*I33),"")))</f>
        <v/>
      </c>
    </row>
    <row r="34" spans="1:15" ht="15" customHeight="1">
      <c r="A34" s="48"/>
      <c r="B34" s="49">
        <f>VLOOKUP($C$11:$C$35,Personnel!$A$1:$B$1234,2,FALSE)</f>
        <v>0</v>
      </c>
      <c r="C34" s="36"/>
      <c r="D34" s="184"/>
      <c r="E34" s="179">
        <f>VLOOKUP($B$11:$B$35,'Constr. Wage Rate Calculations'!$A$19:$Z$288,22,FALSE)</f>
        <v>0</v>
      </c>
      <c r="F34" s="184"/>
      <c r="G34" s="179">
        <f>VLOOKUP($B$11:$B$35,'Constr. Wage Rate Calculations'!$A$19:$Z$288,23,FALSE)</f>
        <v>0</v>
      </c>
      <c r="H34" s="184"/>
      <c r="I34" s="179">
        <f>VLOOKUP($B$11:$B$35,'Constr. Wage Rate Calculations'!$A$19:$Z$288,24,FALSE)</f>
        <v>0</v>
      </c>
      <c r="J34" s="20">
        <f>VLOOKUP($B$11:$B$35,'Constr. Wage Rate Calculations'!$A$19:$Z$288,25,FALSE)</f>
        <v>0</v>
      </c>
      <c r="K34" s="179" t="str">
        <f>IF($D34&gt;=1,$J34+(D34*E34)+(F34*G34)+(H34*I34),IF($F34&gt;=1,$J34+(D34*E34)+(F34*G34)+(H34*I34),IF($H34&gt;=1,$J34+(D34*E34)+(F34*G34)+(H34*I34),"")))</f>
        <v/>
      </c>
    </row>
    <row r="35" spans="1:15" ht="15" customHeight="1" thickBot="1">
      <c r="A35" s="48"/>
      <c r="B35" s="49">
        <f>VLOOKUP($C$11:$C$35,Personnel!$A$1:$B$1234,2,FALSE)</f>
        <v>0</v>
      </c>
      <c r="C35" s="36"/>
      <c r="D35" s="184"/>
      <c r="E35" s="179">
        <f>VLOOKUP($B$11:$B$35,'Constr. Wage Rate Calculations'!$A$19:$Z$288,22,FALSE)</f>
        <v>0</v>
      </c>
      <c r="F35" s="184"/>
      <c r="G35" s="179">
        <f>VLOOKUP($B$11:$B$35,'Constr. Wage Rate Calculations'!$A$19:$Z$288,23,FALSE)</f>
        <v>0</v>
      </c>
      <c r="H35" s="184"/>
      <c r="I35" s="179">
        <f>VLOOKUP($B$11:$B$35,'Constr. Wage Rate Calculations'!$A$19:$Z$288,24,FALSE)</f>
        <v>0</v>
      </c>
      <c r="J35" s="20">
        <f>VLOOKUP($B$11:$B$35,'Constr. Wage Rate Calculations'!$A$19:$Z$288,25,FALSE)</f>
        <v>0</v>
      </c>
      <c r="K35" s="179" t="str">
        <f>IF($D35&gt;=1,$J35+(D35*E35)+(F35*G35)+(H35*I35),IF($F35&gt;=1,$J35+(D35*E35)+(F35*G35)+(H35*I35),IF($H35&gt;=1,$J35+(D35*E35)+(F35*G35)+(H35*I35),"")))</f>
        <v/>
      </c>
      <c r="M35" s="1">
        <f>SUM(M11:M31)</f>
        <v>6</v>
      </c>
    </row>
    <row r="36" spans="1:15" ht="15" customHeight="1" thickBot="1">
      <c r="A36"/>
      <c r="B36"/>
      <c r="C36"/>
      <c r="D36" s="21"/>
      <c r="E36" s="21"/>
      <c r="F36" s="21"/>
      <c r="G36" s="21"/>
      <c r="H36" s="21"/>
      <c r="I36" s="360" t="s">
        <v>18</v>
      </c>
      <c r="J36" s="361"/>
      <c r="K36" s="206">
        <f>SUM(K11:K35)</f>
        <v>13666.469999999996</v>
      </c>
      <c r="M36" s="1">
        <f>SUMIFS(D11:D35,D11:D35,"&lt;3",D11:D35,"&lt;5")</f>
        <v>1</v>
      </c>
      <c r="N36" s="1">
        <f>SUMIFS(D11:D35,D11:D35,"&gt;3",D11:D35,"&gt;5")</f>
        <v>104</v>
      </c>
      <c r="O36" s="1">
        <f>SUM(F11:F35,H11:H35,M36,N36)-M35</f>
        <v>166</v>
      </c>
    </row>
    <row r="37" spans="1:15" ht="10" customHeight="1" thickBot="1"/>
    <row r="38" spans="1:15" s="19" customFormat="1" ht="15" customHeight="1" thickBot="1">
      <c r="A38" s="22" t="s">
        <v>19</v>
      </c>
      <c r="B38" s="23" t="s">
        <v>20</v>
      </c>
      <c r="C38" s="23"/>
      <c r="D38" s="23"/>
      <c r="E38" s="23"/>
      <c r="F38" s="23"/>
      <c r="G38" s="23"/>
      <c r="H38" s="18" t="s">
        <v>21</v>
      </c>
      <c r="I38" s="18" t="s">
        <v>22</v>
      </c>
      <c r="J38" s="18" t="s">
        <v>23</v>
      </c>
      <c r="K38" s="18" t="s">
        <v>17</v>
      </c>
    </row>
    <row r="39" spans="1:15" ht="15" customHeight="1">
      <c r="A39" s="43"/>
      <c r="B39" s="49">
        <f>VLOOKUP($C$39:$C$59,Equipment!$A$1:$B$2322,2,FALSE)</f>
        <v>0</v>
      </c>
      <c r="C39" s="24"/>
      <c r="D39" s="24"/>
      <c r="E39" s="24"/>
      <c r="F39" s="24"/>
      <c r="G39" s="24"/>
      <c r="H39" s="185"/>
      <c r="I39" s="184"/>
      <c r="J39" s="42">
        <f>VLOOKUP($B$39:$B$59,'Alberta Equip. Rates Year 3'!$B$13:$K$314,10,FALSE)</f>
        <v>0</v>
      </c>
      <c r="K39" s="181">
        <f t="shared" ref="K39:K50" si="1">(H39+I39)*J39</f>
        <v>0</v>
      </c>
    </row>
    <row r="40" spans="1:15" ht="15" customHeight="1">
      <c r="A40" s="43"/>
      <c r="B40" s="49" t="str">
        <f>VLOOKUP($C$39:$C$59,Equipment!$A$1:$B$2322,2,FALSE)</f>
        <v>Backhoe - Cat 320 (or equivalent)</v>
      </c>
      <c r="C40" s="24" t="s">
        <v>2546</v>
      </c>
      <c r="D40" s="24"/>
      <c r="E40" s="24"/>
      <c r="F40" s="24"/>
      <c r="G40" s="24"/>
      <c r="H40" s="185">
        <v>1</v>
      </c>
      <c r="I40" s="184"/>
      <c r="J40" s="42">
        <f>VLOOKUP($B$39:$B$59,'Alberta Equip. Rates Year 3'!$B$13:$K$314,10,FALSE)</f>
        <v>477</v>
      </c>
      <c r="K40" s="181">
        <f t="shared" si="1"/>
        <v>477</v>
      </c>
    </row>
    <row r="41" spans="1:15" ht="15" customHeight="1">
      <c r="A41" s="43"/>
      <c r="B41" s="49" t="str">
        <f>VLOOKUP($C$39:$C$59,Equipment!$A$1:$B$2322,2,FALSE)</f>
        <v>Backhoe - Cat 345 (or Equivalent)</v>
      </c>
      <c r="C41" s="24" t="s">
        <v>3003</v>
      </c>
      <c r="D41" s="24"/>
      <c r="E41" s="24"/>
      <c r="F41" s="24"/>
      <c r="G41" s="24"/>
      <c r="H41" s="185">
        <v>1</v>
      </c>
      <c r="I41" s="184"/>
      <c r="J41" s="42">
        <f>VLOOKUP($B$39:$B$59,'Alberta Equip. Rates Year 3'!$B$13:$K$314,10,FALSE)</f>
        <v>1006</v>
      </c>
      <c r="K41" s="181">
        <f t="shared" si="1"/>
        <v>1006</v>
      </c>
    </row>
    <row r="42" spans="1:15" ht="15" customHeight="1">
      <c r="A42" s="43"/>
      <c r="B42" s="49" t="str">
        <f>VLOOKUP($C$39:$C$59,Equipment!$A$1:$B$2322,2,FALSE)</f>
        <v>Backhoe - Cat 345 (or Equivalent)</v>
      </c>
      <c r="C42" s="24" t="s">
        <v>2936</v>
      </c>
      <c r="D42" s="24"/>
      <c r="E42" s="24"/>
      <c r="F42" s="24"/>
      <c r="G42" s="24"/>
      <c r="H42" s="185">
        <v>1</v>
      </c>
      <c r="I42" s="184"/>
      <c r="J42" s="42">
        <f>VLOOKUP($B$39:$B$59,'Alberta Equip. Rates Year 3'!$B$13:$K$314,10,FALSE)</f>
        <v>1006</v>
      </c>
      <c r="K42" s="181">
        <f>(H42+I42)*J42</f>
        <v>1006</v>
      </c>
    </row>
    <row r="43" spans="1:15" ht="15" customHeight="1">
      <c r="A43" s="43"/>
      <c r="B43" s="49" t="str">
        <f>VLOOKUP($C$39:$C$59,Equipment!$A$1:$B$2322,2,FALSE)</f>
        <v>Backhoe - Cat 345 Longstick</v>
      </c>
      <c r="C43" s="24" t="s">
        <v>1296</v>
      </c>
      <c r="D43" s="24"/>
      <c r="E43" s="24"/>
      <c r="F43" s="24"/>
      <c r="G43" s="24"/>
      <c r="H43" s="185">
        <v>1</v>
      </c>
      <c r="I43" s="184"/>
      <c r="J43" s="42">
        <f>VLOOKUP($B$39:$B$59,'Alberta Equip. Rates Year 3'!$B$13:$K$314,10,FALSE)</f>
        <v>1085</v>
      </c>
      <c r="K43" s="181">
        <f t="shared" si="1"/>
        <v>1085</v>
      </c>
    </row>
    <row r="44" spans="1:15" ht="15" customHeight="1">
      <c r="A44" s="43"/>
      <c r="B44" s="49" t="str">
        <f>VLOOKUP($C$39:$C$59,Equipment!$A$1:$B$2322,2,FALSE)</f>
        <v xml:space="preserve">Backhoe - Cat 365 </v>
      </c>
      <c r="C44" s="24" t="s">
        <v>1870</v>
      </c>
      <c r="D44" s="24"/>
      <c r="E44" s="24"/>
      <c r="F44" s="24"/>
      <c r="G44" s="24"/>
      <c r="H44" s="185">
        <v>1</v>
      </c>
      <c r="I44" s="184"/>
      <c r="J44" s="42">
        <f>VLOOKUP($B$39:$B$59,'Alberta Equip. Rates Year 3'!$B$13:$K$314,10,FALSE)</f>
        <v>1371</v>
      </c>
      <c r="K44" s="181">
        <f>(H44+I44)*J44</f>
        <v>1371</v>
      </c>
    </row>
    <row r="45" spans="1:15" ht="15" customHeight="1">
      <c r="A45" s="43"/>
      <c r="B45" s="49" t="str">
        <f>VLOOKUP($C$39:$C$59,Equipment!$A$1:$B$2322,2,FALSE)</f>
        <v>Crewcab - 1 Ton</v>
      </c>
      <c r="C45" s="24" t="s">
        <v>1903</v>
      </c>
      <c r="D45" s="24"/>
      <c r="E45" s="24"/>
      <c r="F45" s="24"/>
      <c r="G45" s="24"/>
      <c r="H45" s="185">
        <v>1</v>
      </c>
      <c r="I45" s="184"/>
      <c r="J45" s="42">
        <f>VLOOKUP($B$39:$B$59,'Alberta Equip. Rates Year 3'!$B$13:$K$314,10,FALSE)</f>
        <v>163</v>
      </c>
      <c r="K45" s="181">
        <f>(H45+I45)*J45</f>
        <v>163</v>
      </c>
    </row>
    <row r="46" spans="1:15" ht="15" customHeight="1">
      <c r="A46" s="43"/>
      <c r="B46" s="49" t="str">
        <f>VLOOKUP($C$39:$C$59,Equipment!$A$1:$B$2322,2,FALSE)</f>
        <v>Crewcab - 1 Ton</v>
      </c>
      <c r="C46" s="24" t="s">
        <v>1958</v>
      </c>
      <c r="D46" s="24"/>
      <c r="E46" s="24"/>
      <c r="F46" s="24"/>
      <c r="G46" s="24"/>
      <c r="H46" s="185">
        <v>1</v>
      </c>
      <c r="I46" s="184"/>
      <c r="J46" s="42">
        <f>VLOOKUP($B$39:$B$59,'Alberta Equip. Rates Year 3'!$B$13:$K$314,10,FALSE)</f>
        <v>163</v>
      </c>
      <c r="K46" s="181">
        <f t="shared" ref="K46:K49" si="2">(H46+I46)*J46</f>
        <v>163</v>
      </c>
    </row>
    <row r="47" spans="1:15" ht="15" customHeight="1">
      <c r="A47" s="43"/>
      <c r="B47" s="49" t="str">
        <f>VLOOKUP($C$39:$C$59,Equipment!$A$1:$B$2322,2,FALSE)</f>
        <v>Crewcab - 3/4 Ton</v>
      </c>
      <c r="C47" s="24" t="s">
        <v>2128</v>
      </c>
      <c r="D47" s="24"/>
      <c r="E47" s="24"/>
      <c r="F47" s="24"/>
      <c r="G47" s="24"/>
      <c r="H47" s="185">
        <v>1</v>
      </c>
      <c r="I47" s="184"/>
      <c r="J47" s="42">
        <f>VLOOKUP($B$39:$B$59,'Alberta Equip. Rates Year 3'!$B$13:$K$314,10,FALSE)</f>
        <v>153</v>
      </c>
      <c r="K47" s="181">
        <f t="shared" si="2"/>
        <v>153</v>
      </c>
    </row>
    <row r="48" spans="1:15" ht="15" customHeight="1">
      <c r="A48" s="43"/>
      <c r="B48" s="49" t="str">
        <f>VLOOKUP($C$39:$C$59,Equipment!$A$1:$B$2322,2,FALSE)</f>
        <v>Crewcab - 3/4 Ton</v>
      </c>
      <c r="C48" s="24" t="s">
        <v>2229</v>
      </c>
      <c r="D48" s="24"/>
      <c r="E48" s="24"/>
      <c r="F48" s="24"/>
      <c r="G48" s="24"/>
      <c r="H48" s="185">
        <v>1</v>
      </c>
      <c r="I48" s="184"/>
      <c r="J48" s="42">
        <f>VLOOKUP($B$39:$B$59,'Alberta Equip. Rates Year 3'!$B$13:$K$314,10,FALSE)</f>
        <v>153</v>
      </c>
      <c r="K48" s="181">
        <f t="shared" si="2"/>
        <v>153</v>
      </c>
    </row>
    <row r="49" spans="1:11" ht="15" customHeight="1">
      <c r="A49" s="43"/>
      <c r="B49" s="49" t="str">
        <f>VLOOKUP($C$39:$C$59,Equipment!$A$1:$B$2322,2,FALSE)</f>
        <v>Dozer - D4LGP (or equivalent)</v>
      </c>
      <c r="C49" s="24" t="s">
        <v>3579</v>
      </c>
      <c r="D49" s="24"/>
      <c r="E49" s="24"/>
      <c r="F49" s="24"/>
      <c r="G49" s="24"/>
      <c r="H49" s="185">
        <v>1</v>
      </c>
      <c r="I49" s="184"/>
      <c r="J49" s="42">
        <f>VLOOKUP($B$39:$B$59,'Alberta Equip. Rates Year 3'!$B$13:$K$314,10,FALSE)</f>
        <v>487</v>
      </c>
      <c r="K49" s="181">
        <f t="shared" si="2"/>
        <v>487</v>
      </c>
    </row>
    <row r="50" spans="1:11" ht="15" customHeight="1">
      <c r="A50" s="43"/>
      <c r="B50" s="49" t="str">
        <f>VLOOKUP($C$39:$C$59,Equipment!$A$1:$B$2322,2,FALSE)</f>
        <v>Dozer - D4LGP (or equivalent)</v>
      </c>
      <c r="C50" s="24" t="s">
        <v>3858</v>
      </c>
      <c r="D50" s="24"/>
      <c r="E50" s="24"/>
      <c r="F50" s="24"/>
      <c r="G50" s="24"/>
      <c r="H50" s="185">
        <v>1</v>
      </c>
      <c r="I50" s="20"/>
      <c r="J50" s="42">
        <f>VLOOKUP($B$39:$B$59,'Alberta Equip. Rates Year 3'!$B$13:$K$314,10,FALSE)</f>
        <v>487</v>
      </c>
      <c r="K50" s="181">
        <f t="shared" si="1"/>
        <v>487</v>
      </c>
    </row>
    <row r="51" spans="1:11" ht="15" customHeight="1">
      <c r="A51" s="43"/>
      <c r="B51" s="49" t="str">
        <f>VLOOKUP($C$39:$C$59,Equipment!$A$1:$B$2322,2,FALSE)</f>
        <v>Dozer - D6T LGP (or equivalent)</v>
      </c>
      <c r="C51" s="24" t="s">
        <v>2100</v>
      </c>
      <c r="D51" s="24"/>
      <c r="E51" s="24"/>
      <c r="F51" s="24"/>
      <c r="G51" s="24"/>
      <c r="H51" s="185">
        <v>1</v>
      </c>
      <c r="I51" s="20"/>
      <c r="J51" s="42">
        <f>VLOOKUP($B$39:$B$59,'Alberta Equip. Rates Year 3'!$B$13:$K$314,10,FALSE)</f>
        <v>964</v>
      </c>
      <c r="K51" s="181">
        <f>(H51+I51)*J51</f>
        <v>964</v>
      </c>
    </row>
    <row r="52" spans="1:11" ht="15" customHeight="1">
      <c r="A52" s="43"/>
      <c r="B52" s="49" t="str">
        <f>VLOOKUP($C$39:$C$59,Equipment!$A$1:$B$2322,2,FALSE)</f>
        <v>Dozer - D8T (or equivalent)</v>
      </c>
      <c r="C52" s="24" t="s">
        <v>2251</v>
      </c>
      <c r="D52" s="24"/>
      <c r="E52" s="24"/>
      <c r="F52" s="24"/>
      <c r="G52" s="24"/>
      <c r="H52" s="185">
        <v>1</v>
      </c>
      <c r="I52" s="20"/>
      <c r="J52" s="42">
        <f>VLOOKUP($B$39:$B$59,'Alberta Equip. Rates Year 3'!$B$13:$K$314,10,FALSE)</f>
        <v>1165</v>
      </c>
      <c r="K52" s="181">
        <f t="shared" ref="K52:K57" si="3">(H52+I52)*J52</f>
        <v>1165</v>
      </c>
    </row>
    <row r="53" spans="1:11" ht="15" customHeight="1">
      <c r="A53" s="43"/>
      <c r="B53" s="49" t="str">
        <f>VLOOKUP($C$39:$C$59,Equipment!$A$1:$B$2322,2,FALSE)</f>
        <v>Dozer - D8T (or equivalent)</v>
      </c>
      <c r="C53" s="24" t="s">
        <v>2218</v>
      </c>
      <c r="D53" s="24"/>
      <c r="E53" s="24"/>
      <c r="F53" s="24"/>
      <c r="G53" s="24"/>
      <c r="H53" s="185">
        <v>1</v>
      </c>
      <c r="I53" s="20"/>
      <c r="J53" s="42">
        <f>VLOOKUP($B$39:$B$59,'Alberta Equip. Rates Year 3'!$B$13:$K$314,10,FALSE)</f>
        <v>1165</v>
      </c>
      <c r="K53" s="181">
        <f t="shared" si="3"/>
        <v>1165</v>
      </c>
    </row>
    <row r="54" spans="1:11" ht="15" customHeight="1">
      <c r="A54" s="43"/>
      <c r="B54" s="49" t="str">
        <f>VLOOKUP($C$39:$C$59,Equipment!$A$1:$B$2322,2,FALSE)</f>
        <v>Flatdeck - 2 Ton</v>
      </c>
      <c r="C54" s="24" t="s">
        <v>1320</v>
      </c>
      <c r="D54" s="24"/>
      <c r="E54" s="24"/>
      <c r="F54" s="24"/>
      <c r="G54" s="24"/>
      <c r="H54" s="185">
        <v>1</v>
      </c>
      <c r="I54" s="20"/>
      <c r="J54" s="42">
        <f>VLOOKUP($B$39:$B$59,'Alberta Equip. Rates Year 3'!$B$13:$K$314,10,FALSE)</f>
        <v>165</v>
      </c>
      <c r="K54" s="181">
        <f t="shared" si="3"/>
        <v>165</v>
      </c>
    </row>
    <row r="55" spans="1:11" ht="15" customHeight="1">
      <c r="A55" s="43"/>
      <c r="B55" s="49" t="str">
        <f>VLOOKUP($C$39:$C$59,Equipment!$A$1:$B$2322,2,FALSE)</f>
        <v>Light Tower  - 6 kW</v>
      </c>
      <c r="C55" s="24" t="s">
        <v>3865</v>
      </c>
      <c r="D55" s="24"/>
      <c r="E55" s="24"/>
      <c r="F55" s="24"/>
      <c r="G55" s="24"/>
      <c r="H55" s="185">
        <v>1</v>
      </c>
      <c r="I55" s="20"/>
      <c r="J55" s="42">
        <f>VLOOKUP($B$39:$B$59,'Alberta Equip. Rates Year 3'!$B$13:$K$314,10,FALSE)</f>
        <v>212</v>
      </c>
      <c r="K55" s="181">
        <f t="shared" si="3"/>
        <v>212</v>
      </c>
    </row>
    <row r="56" spans="1:11" ht="15" customHeight="1">
      <c r="A56" s="43"/>
      <c r="B56" s="49" t="str">
        <f>VLOOKUP($C$39:$C$59,Equipment!$A$1:$B$2322,2,FALSE)</f>
        <v>Pickup - 1/2 Ton</v>
      </c>
      <c r="C56" s="24" t="s">
        <v>1807</v>
      </c>
      <c r="D56" s="24"/>
      <c r="E56" s="24"/>
      <c r="F56" s="24"/>
      <c r="G56" s="24"/>
      <c r="H56" s="185">
        <v>1</v>
      </c>
      <c r="I56" s="20"/>
      <c r="J56" s="42">
        <f>VLOOKUP($B$39:$B$59,'Alberta Equip. Rates Year 3'!$B$13:$K$314,10,FALSE)</f>
        <v>125</v>
      </c>
      <c r="K56" s="181">
        <f t="shared" si="3"/>
        <v>125</v>
      </c>
    </row>
    <row r="57" spans="1:11" ht="15" customHeight="1">
      <c r="A57" s="43"/>
      <c r="B57" s="49" t="str">
        <f>VLOOKUP($C$39:$C$59,Equipment!$A$1:$B$2322,2,FALSE)</f>
        <v>Pickup - 3/4 Ton</v>
      </c>
      <c r="C57" s="24" t="s">
        <v>751</v>
      </c>
      <c r="D57" s="24"/>
      <c r="E57" s="24"/>
      <c r="F57" s="24"/>
      <c r="G57" s="24"/>
      <c r="H57" s="185">
        <v>1</v>
      </c>
      <c r="I57" s="20"/>
      <c r="J57" s="42">
        <f>VLOOKUP($B$39:$B$59,'Alberta Equip. Rates Year 3'!$B$13:$K$314,10,FALSE)</f>
        <v>145</v>
      </c>
      <c r="K57" s="181">
        <f t="shared" si="3"/>
        <v>145</v>
      </c>
    </row>
    <row r="58" spans="1:11" ht="15" customHeight="1">
      <c r="A58" s="43"/>
      <c r="B58" s="49">
        <f>VLOOKUP($C$39:$C$59,Equipment!$A$1:$B$2322,2,FALSE)</f>
        <v>0</v>
      </c>
      <c r="C58" s="24"/>
      <c r="D58" s="24"/>
      <c r="E58" s="24"/>
      <c r="F58" s="24"/>
      <c r="G58" s="24"/>
      <c r="H58" s="185"/>
      <c r="I58" s="184"/>
      <c r="J58" s="42">
        <f>VLOOKUP($B$39:$B$59,'Alberta Equip. Rates Year 3'!$B$13:$K$314,10,FALSE)</f>
        <v>0</v>
      </c>
      <c r="K58" s="181">
        <f>(H58+I58)*J58</f>
        <v>0</v>
      </c>
    </row>
    <row r="59" spans="1:11" ht="15" customHeight="1" thickBot="1">
      <c r="A59" s="43"/>
      <c r="B59" s="49">
        <f>VLOOKUP($C$39:$C$59,Equipment!$A$1:$B$2322,2,FALSE)</f>
        <v>0</v>
      </c>
      <c r="C59" s="24"/>
      <c r="D59" s="24"/>
      <c r="E59" s="24"/>
      <c r="F59" s="24"/>
      <c r="G59" s="24"/>
      <c r="H59" s="185"/>
      <c r="I59" s="184"/>
      <c r="J59" s="42">
        <f>VLOOKUP($B$39:$B$59,'Alberta Equip. Rates Year 3'!$B$13:$K$314,10,FALSE)</f>
        <v>0</v>
      </c>
      <c r="K59" s="181">
        <f>(H59+I59)*J59</f>
        <v>0</v>
      </c>
    </row>
    <row r="60" spans="1:11" ht="12" thickBot="1">
      <c r="A60" s="25"/>
      <c r="B60" s="25"/>
      <c r="C60" s="25"/>
      <c r="D60" s="21"/>
      <c r="E60" s="21"/>
      <c r="F60" s="21"/>
      <c r="G60" s="21"/>
      <c r="H60" s="21"/>
      <c r="I60" s="360" t="s">
        <v>24</v>
      </c>
      <c r="J60" s="361"/>
      <c r="K60" s="182">
        <f>SUM(K39:K59)</f>
        <v>10492</v>
      </c>
    </row>
    <row r="61" spans="1:11" ht="12" thickBot="1">
      <c r="A61" s="26"/>
      <c r="D61" s="26"/>
      <c r="I61" s="27"/>
      <c r="J61" s="27"/>
      <c r="K61" s="28"/>
    </row>
    <row r="62" spans="1:11">
      <c r="A62" s="1" t="s">
        <v>25</v>
      </c>
      <c r="B62" s="29"/>
      <c r="D62" s="1"/>
      <c r="E62" s="1"/>
      <c r="F62" s="1"/>
      <c r="G62" s="1"/>
      <c r="H62" s="1"/>
      <c r="I62" s="362" t="s">
        <v>26</v>
      </c>
      <c r="J62" s="362"/>
      <c r="K62" s="37">
        <f>K36</f>
        <v>13666.469999999996</v>
      </c>
    </row>
    <row r="63" spans="1:11">
      <c r="D63" s="1"/>
      <c r="E63" s="1"/>
      <c r="F63" s="1"/>
      <c r="G63" s="1"/>
      <c r="H63" s="1"/>
      <c r="I63" s="362" t="s">
        <v>27</v>
      </c>
      <c r="J63" s="362"/>
      <c r="K63" s="38">
        <f>K60</f>
        <v>10492</v>
      </c>
    </row>
    <row r="64" spans="1:11">
      <c r="D64" s="1"/>
      <c r="E64" s="1"/>
      <c r="F64" s="1"/>
      <c r="G64" s="1"/>
      <c r="H64" s="1"/>
      <c r="I64" s="27" t="s">
        <v>28</v>
      </c>
      <c r="J64" s="27"/>
      <c r="K64" s="38">
        <f>(O36)*14.15</f>
        <v>2348.9</v>
      </c>
    </row>
    <row r="65" spans="1:11">
      <c r="D65" s="1"/>
      <c r="E65" s="1"/>
      <c r="F65" s="1"/>
      <c r="G65" s="1"/>
      <c r="H65" s="1"/>
      <c r="I65" s="30" t="s">
        <v>29</v>
      </c>
      <c r="J65" s="30"/>
      <c r="K65" s="39"/>
    </row>
    <row r="66" spans="1:11">
      <c r="D66" s="1"/>
      <c r="E66" s="1"/>
      <c r="F66" s="1"/>
      <c r="G66" s="1"/>
      <c r="H66" s="1"/>
      <c r="I66" s="30" t="s">
        <v>30</v>
      </c>
      <c r="J66" s="30"/>
      <c r="K66" s="39"/>
    </row>
    <row r="67" spans="1:11">
      <c r="D67" s="1"/>
      <c r="E67" s="1"/>
      <c r="F67" s="1"/>
      <c r="G67" s="1"/>
      <c r="H67" s="1"/>
      <c r="I67" s="30" t="s">
        <v>31</v>
      </c>
      <c r="J67" s="30"/>
      <c r="K67" s="39"/>
    </row>
    <row r="68" spans="1:11" ht="12" thickBot="1">
      <c r="D68" s="1"/>
      <c r="E68" s="1"/>
      <c r="F68" s="1"/>
      <c r="G68" s="1"/>
      <c r="H68" s="1"/>
      <c r="I68" s="362" t="s">
        <v>32</v>
      </c>
      <c r="J68" s="362"/>
      <c r="K68" s="40">
        <f>SUM(K62:K67)</f>
        <v>26507.369999999995</v>
      </c>
    </row>
    <row r="69" spans="1:11">
      <c r="D69" s="1"/>
      <c r="E69" s="1"/>
      <c r="F69" s="1"/>
      <c r="G69" s="1"/>
      <c r="H69" s="1"/>
      <c r="I69" s="27"/>
      <c r="J69" s="27"/>
    </row>
    <row r="70" spans="1:11">
      <c r="A70" s="31" t="s">
        <v>33</v>
      </c>
      <c r="B70" s="32"/>
      <c r="C70" s="32"/>
      <c r="D70" s="1"/>
      <c r="H70" s="33" t="s">
        <v>34</v>
      </c>
      <c r="I70" s="32"/>
      <c r="J70" s="32"/>
      <c r="K70" s="32"/>
    </row>
    <row r="71" spans="1:11" ht="15">
      <c r="A71" s="34"/>
      <c r="E71" s="8"/>
      <c r="F71" s="8"/>
      <c r="G71" s="8"/>
      <c r="H71" s="35"/>
      <c r="I71" s="35"/>
      <c r="J71" s="35"/>
      <c r="K71" s="35"/>
    </row>
    <row r="72" spans="1:11" ht="15">
      <c r="A72" s="34" t="s">
        <v>35</v>
      </c>
      <c r="E72" s="8"/>
      <c r="F72" s="8"/>
      <c r="G72" s="8"/>
      <c r="H72" s="35"/>
      <c r="I72" s="35"/>
      <c r="J72" s="35"/>
      <c r="K72" s="35"/>
    </row>
    <row r="73" spans="1:11" s="34" customFormat="1">
      <c r="A73" s="363">
        <v>41218.479166666664</v>
      </c>
      <c r="B73" s="363"/>
      <c r="C73" s="364"/>
      <c r="D73" s="364"/>
      <c r="E73" s="364"/>
      <c r="F73" s="364"/>
      <c r="G73" s="364"/>
      <c r="H73" s="364"/>
      <c r="I73" s="364"/>
      <c r="J73" s="364"/>
      <c r="K73" s="8"/>
    </row>
    <row r="83" s="1" customFormat="1"/>
    <row r="84" s="1" customFormat="1"/>
    <row r="85" s="1" customFormat="1"/>
    <row r="86" s="1" customFormat="1"/>
    <row r="87" s="1" customFormat="1"/>
    <row r="88" s="1" customFormat="1"/>
    <row r="89" s="1" customFormat="1"/>
    <row r="90" s="1" customFormat="1"/>
    <row r="91" s="1" customFormat="1"/>
    <row r="92" s="1" customFormat="1"/>
    <row r="93" s="1" customFormat="1"/>
    <row r="94" s="1" customFormat="1"/>
    <row r="95" s="1" customFormat="1"/>
    <row r="96" s="1" customFormat="1"/>
    <row r="101" s="1" customFormat="1"/>
    <row r="129" s="1" customFormat="1"/>
    <row r="130" s="1" customFormat="1"/>
    <row r="131" s="1" customFormat="1"/>
    <row r="132" s="1" customFormat="1"/>
  </sheetData>
  <mergeCells count="12">
    <mergeCell ref="I60:J60"/>
    <mergeCell ref="I62:J62"/>
    <mergeCell ref="I63:J63"/>
    <mergeCell ref="I68:J68"/>
    <mergeCell ref="A73:B73"/>
    <mergeCell ref="C73:J73"/>
    <mergeCell ref="I36:J36"/>
    <mergeCell ref="C1:H1"/>
    <mergeCell ref="C2:H2"/>
    <mergeCell ref="C3:H3"/>
    <mergeCell ref="H6:I6"/>
    <mergeCell ref="H7:I7"/>
  </mergeCells>
  <conditionalFormatting sqref="M11:M13">
    <cfRule type="expression" dxfId="30" priority="36156">
      <formula>ISTEXT(A11:A35)</formula>
    </cfRule>
  </conditionalFormatting>
  <conditionalFormatting sqref="M14">
    <cfRule type="expression" dxfId="29" priority="40053">
      <formula>ISTEXT(A14:A43)</formula>
    </cfRule>
  </conditionalFormatting>
  <conditionalFormatting sqref="M15">
    <cfRule type="expression" dxfId="28" priority="40098">
      <formula>ISTEXT(A15:A38)</formula>
    </cfRule>
  </conditionalFormatting>
  <conditionalFormatting sqref="M16:M17 M22:M23">
    <cfRule type="expression" dxfId="27" priority="40134">
      <formula>ISTEXT(A16:A44)</formula>
    </cfRule>
  </conditionalFormatting>
  <conditionalFormatting sqref="M18:M21">
    <cfRule type="expression" dxfId="26" priority="40102">
      <formula>ISTEXT(A18:A39)</formula>
    </cfRule>
  </conditionalFormatting>
  <conditionalFormatting sqref="M24">
    <cfRule type="expression" dxfId="25" priority="40133">
      <formula>ISTEXT(A24:A42)</formula>
    </cfRule>
  </conditionalFormatting>
  <conditionalFormatting sqref="M25:M35">
    <cfRule type="expression" dxfId="24" priority="40136">
      <formula>ISTEXT(A25:A57)</formula>
    </cfRule>
  </conditionalFormatting>
  <printOptions horizontalCentered="1"/>
  <pageMargins left="0.19685039370078741" right="0.19685039370078741" top="0.39370078740157483" bottom="0.39370078740157483" header="0" footer="0"/>
  <pageSetup orientation="portrait" verticalDpi="0"/>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2800-000000000000}">
          <x14:formula1>
            <xm:f>Accounts!$A$4:$A$60</xm:f>
          </x14:formula1>
          <xm:sqref>K7</xm:sqref>
        </x14:dataValidation>
        <x14:dataValidation type="list" allowBlank="1" showInputMessage="1" showErrorMessage="1" xr:uid="{00000000-0002-0000-2800-000001000000}">
          <x14:formula1>
            <xm:f>'Constr. Wage Rate Calculations'!$A$19:$A$288</xm:f>
          </x14:formula1>
          <xm:sqref>B11:B35</xm:sqref>
        </x14:dataValidation>
        <x14:dataValidation type="list" allowBlank="1" showInputMessage="1" showErrorMessage="1" xr:uid="{00000000-0002-0000-2800-000002000000}">
          <x14:formula1>
            <xm:f>Personnel!$A:$A</xm:f>
          </x14:formula1>
          <xm:sqref>C11:C35</xm:sqref>
        </x14:dataValidation>
        <x14:dataValidation type="list" allowBlank="1" showInputMessage="1" showErrorMessage="1" xr:uid="{00000000-0002-0000-2800-000003000000}">
          <x14:formula1>
            <xm:f>Equipment!$A:$A</xm:f>
          </x14:formula1>
          <xm:sqref>C39:C59</xm:sqref>
        </x14:dataValidation>
      </x14:dataValidations>
    </ext>
    <ext xmlns:mx="http://schemas.microsoft.com/office/mac/excel/2008/main" uri="{64002731-A6B0-56B0-2670-7721B7C09600}">
      <mx:PLV Mode="0" OnePage="0" WScale="0"/>
    </ext>
  </extLs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CCFFCC"/>
  </sheetPr>
  <dimension ref="A1:O112"/>
  <sheetViews>
    <sheetView zoomScale="120" zoomScaleNormal="120" zoomScalePageLayoutView="120" workbookViewId="0">
      <selection activeCell="G29" sqref="G29"/>
    </sheetView>
  </sheetViews>
  <sheetFormatPr baseColWidth="10" defaultColWidth="8.83203125" defaultRowHeight="15"/>
  <cols>
    <col min="1" max="1" width="11.5" customWidth="1"/>
    <col min="2" max="2" width="30.1640625" customWidth="1"/>
    <col min="3" max="3" width="24.5" customWidth="1"/>
    <col min="4" max="4" width="8.33203125" bestFit="1" customWidth="1"/>
    <col min="5" max="5" width="8.5" customWidth="1"/>
    <col min="6" max="6" width="8.33203125" bestFit="1" customWidth="1"/>
    <col min="7" max="7" width="8.6640625" customWidth="1"/>
    <col min="8" max="8" width="9.1640625" customWidth="1"/>
    <col min="9" max="9" width="9.5" customWidth="1"/>
    <col min="10" max="10" width="7.1640625" bestFit="1" customWidth="1"/>
    <col min="11" max="11" width="19.5" customWidth="1"/>
    <col min="12" max="12" width="1" customWidth="1"/>
  </cols>
  <sheetData>
    <row r="1" spans="1:13" s="1" customFormat="1">
      <c r="C1" s="364"/>
      <c r="D1" s="365"/>
      <c r="E1" s="365"/>
      <c r="F1" s="365"/>
      <c r="G1" s="365"/>
      <c r="H1" s="366"/>
      <c r="I1" s="2"/>
      <c r="J1" s="2" t="s">
        <v>0</v>
      </c>
      <c r="K1" s="197">
        <v>41659</v>
      </c>
      <c r="M1" s="45"/>
    </row>
    <row r="2" spans="1:13" s="1" customFormat="1">
      <c r="C2" s="367"/>
      <c r="D2" s="367"/>
      <c r="E2" s="367"/>
      <c r="F2" s="367"/>
      <c r="G2" s="367"/>
      <c r="H2" s="366"/>
      <c r="I2" s="2"/>
      <c r="J2" s="2"/>
      <c r="K2" s="41"/>
    </row>
    <row r="3" spans="1:13" s="1" customFormat="1">
      <c r="C3" s="368"/>
      <c r="D3" s="369"/>
      <c r="E3" s="369"/>
      <c r="F3" s="369"/>
      <c r="G3" s="369"/>
      <c r="H3" s="366"/>
      <c r="I3" s="2"/>
      <c r="J3" s="2"/>
    </row>
    <row r="4" spans="1:13" s="1" customFormat="1" ht="11">
      <c r="C4" s="3"/>
      <c r="D4" s="4"/>
      <c r="E4" s="4"/>
      <c r="F4" s="4"/>
      <c r="G4" s="4"/>
      <c r="H4" s="2"/>
      <c r="I4" s="2"/>
      <c r="J4" s="2"/>
    </row>
    <row r="5" spans="1:13" s="1" customFormat="1" ht="11">
      <c r="C5" s="3"/>
      <c r="D5" s="4"/>
      <c r="E5" s="4"/>
      <c r="F5" s="4"/>
      <c r="G5" s="4"/>
      <c r="H5" s="2"/>
      <c r="I5" s="2"/>
      <c r="J5" s="2"/>
    </row>
    <row r="6" spans="1:13" s="1" customFormat="1" ht="12">
      <c r="B6" s="5"/>
      <c r="C6" s="6"/>
      <c r="D6" s="7"/>
      <c r="E6" s="8"/>
      <c r="F6" s="8"/>
      <c r="G6" s="1" t="s">
        <v>1</v>
      </c>
      <c r="H6" s="370">
        <v>18206</v>
      </c>
      <c r="I6" s="370"/>
      <c r="J6" s="1" t="s">
        <v>2</v>
      </c>
      <c r="K6" s="47"/>
    </row>
    <row r="7" spans="1:13" s="1" customFormat="1" ht="12">
      <c r="A7" s="1" t="s">
        <v>3</v>
      </c>
      <c r="B7" s="9"/>
      <c r="C7" s="10"/>
      <c r="D7" s="11"/>
      <c r="E7" s="8"/>
      <c r="F7" s="8"/>
      <c r="G7" s="1" t="s">
        <v>4</v>
      </c>
      <c r="H7" s="371"/>
      <c r="I7" s="371"/>
      <c r="J7" s="1" t="s">
        <v>5</v>
      </c>
      <c r="K7" s="46"/>
    </row>
    <row r="8" spans="1:13" s="1" customFormat="1" ht="12">
      <c r="B8" s="12"/>
      <c r="C8" s="13"/>
      <c r="D8" s="14"/>
      <c r="E8" s="8"/>
      <c r="F8" s="8"/>
      <c r="G8" s="1" t="s">
        <v>6</v>
      </c>
      <c r="H8" s="187"/>
      <c r="I8" s="188"/>
      <c r="J8" s="44"/>
    </row>
    <row r="9" spans="1:13" s="1" customFormat="1" ht="16" thickBot="1">
      <c r="B9" s="15"/>
      <c r="C9" s="16"/>
      <c r="D9" s="16"/>
      <c r="E9" s="8"/>
      <c r="F9" s="8"/>
      <c r="G9" s="8"/>
      <c r="H9" s="2"/>
      <c r="I9" s="2"/>
      <c r="J9" s="2"/>
    </row>
    <row r="10" spans="1:13" s="19" customFormat="1" ht="12" thickBot="1">
      <c r="A10" s="17" t="s">
        <v>7</v>
      </c>
      <c r="B10" s="17" t="s">
        <v>8</v>
      </c>
      <c r="C10" s="17" t="s">
        <v>9</v>
      </c>
      <c r="D10" s="18" t="s">
        <v>10</v>
      </c>
      <c r="E10" s="18" t="s">
        <v>11</v>
      </c>
      <c r="F10" s="18" t="s">
        <v>12</v>
      </c>
      <c r="G10" s="180" t="s">
        <v>13</v>
      </c>
      <c r="H10" s="18" t="s">
        <v>14</v>
      </c>
      <c r="I10" s="18" t="s">
        <v>15</v>
      </c>
      <c r="J10" s="18" t="s">
        <v>16</v>
      </c>
      <c r="K10" s="18" t="s">
        <v>17</v>
      </c>
      <c r="M10" s="19" t="s">
        <v>1797</v>
      </c>
    </row>
    <row r="11" spans="1:13" s="1" customFormat="1" ht="15" customHeight="1">
      <c r="A11" s="48"/>
      <c r="B11" s="49">
        <f>VLOOKUP($C$11:$C$41,Personnel!$A$1:$B$1234,2,FALSE)</f>
        <v>0</v>
      </c>
      <c r="C11" s="36"/>
      <c r="D11" s="184"/>
      <c r="E11" s="179">
        <f>VLOOKUP($B$11:$B$41,'Constr. Wage Rate Calculations'!$A$19:$Z$288,22,FALSE)</f>
        <v>0</v>
      </c>
      <c r="F11" s="184"/>
      <c r="G11" s="179">
        <f>VLOOKUP($B$11:$B$41,'Constr. Wage Rate Calculations'!$A$19:$Z$288,23,FALSE)</f>
        <v>0</v>
      </c>
      <c r="H11" s="184"/>
      <c r="I11" s="179">
        <f>VLOOKUP($B$11:$B$41,'Constr. Wage Rate Calculations'!$A$19:$Z$288,24,FALSE)</f>
        <v>0</v>
      </c>
      <c r="J11" s="20">
        <f>VLOOKUP($B$11:$B$41,'Constr. Wage Rate Calculations'!$A$19:$Z$288,25,FALSE)</f>
        <v>0</v>
      </c>
      <c r="K11" s="179" t="str">
        <f t="shared" ref="K11:K41" si="0">IF($D11&gt;=1,$J11+(D11*E11)+(F11*G11)+(H11*I11),IF($F11&gt;=1,$J11+(D11*E11)+(F11*G11)+(H11*I11),IF($H11&gt;=1,$J11+(D11*E11)+(F11*G11)+(H11*I11),"")))</f>
        <v/>
      </c>
    </row>
    <row r="12" spans="1:13" s="1" customFormat="1" ht="15" customHeight="1">
      <c r="A12" s="48"/>
      <c r="B12" s="49" t="str">
        <f>VLOOKUP($C$11:$C$41,Personnel!$A$1:$B$1234,2,FALSE)</f>
        <v>NON-WELDER JOURNEYMAN/ FITTER ON AUTO WELD SPREAD (QI APPLIES)</v>
      </c>
      <c r="C12" s="36" t="s">
        <v>2916</v>
      </c>
      <c r="D12" s="184">
        <v>8</v>
      </c>
      <c r="E12" s="179">
        <f>VLOOKUP($B$11:$B$41,'Constr. Wage Rate Calculations'!$A$19:$Z$288,22,FALSE)</f>
        <v>69.010000000000005</v>
      </c>
      <c r="F12" s="184">
        <v>5</v>
      </c>
      <c r="G12" s="179">
        <f>VLOOKUP($B$11:$B$41,'Constr. Wage Rate Calculations'!$A$19:$Z$288,23,FALSE)</f>
        <v>103.51</v>
      </c>
      <c r="H12" s="184"/>
      <c r="I12" s="179">
        <f>VLOOKUP($B$11:$B$41,'Constr. Wage Rate Calculations'!$A$19:$Z$288,24,FALSE)</f>
        <v>138.02000000000001</v>
      </c>
      <c r="J12" s="20">
        <f>VLOOKUP($B$11:$B$41,'Constr. Wage Rate Calculations'!$A$19:$Z$288,25,FALSE)</f>
        <v>85</v>
      </c>
      <c r="K12" s="179">
        <f t="shared" si="0"/>
        <v>1154.6300000000001</v>
      </c>
      <c r="M12" s="1">
        <v>1</v>
      </c>
    </row>
    <row r="13" spans="1:13" s="1" customFormat="1" ht="15" customHeight="1">
      <c r="A13" s="48"/>
      <c r="B13" s="49" t="str">
        <f>VLOOKUP($C$11:$C$41,Personnel!$A$1:$B$1234,2,FALSE)</f>
        <v>PRINCIPAL OPER 1</v>
      </c>
      <c r="C13" s="36" t="s">
        <v>4160</v>
      </c>
      <c r="D13" s="184">
        <v>8</v>
      </c>
      <c r="E13" s="179">
        <f>VLOOKUP($B$11:$B$41,'Constr. Wage Rate Calculations'!$A$19:$Z$288,22,FALSE)</f>
        <v>64.239999999999995</v>
      </c>
      <c r="F13" s="184">
        <v>4</v>
      </c>
      <c r="G13" s="179">
        <f>VLOOKUP($B$11:$B$41,'Constr. Wage Rate Calculations'!$A$19:$Z$288,23,FALSE)</f>
        <v>96.36</v>
      </c>
      <c r="H13" s="184"/>
      <c r="I13" s="179">
        <f>VLOOKUP($B$11:$B$41,'Constr. Wage Rate Calculations'!$A$19:$Z$288,24,FALSE)</f>
        <v>128.47</v>
      </c>
      <c r="J13" s="20">
        <f>VLOOKUP($B$11:$B$41,'Constr. Wage Rate Calculations'!$A$19:$Z$288,25,FALSE)</f>
        <v>85</v>
      </c>
      <c r="K13" s="179">
        <f t="shared" si="0"/>
        <v>984.3599999999999</v>
      </c>
    </row>
    <row r="14" spans="1:13" s="1" customFormat="1" ht="15" customHeight="1">
      <c r="A14" s="48"/>
      <c r="B14" s="49" t="str">
        <f>VLOOKUP($C$11:$C$41,Personnel!$A$1:$B$1234,2,FALSE)</f>
        <v>PRINCIPAL OPER 1</v>
      </c>
      <c r="C14" s="36" t="s">
        <v>3013</v>
      </c>
      <c r="D14" s="184">
        <v>8</v>
      </c>
      <c r="E14" s="179">
        <f>VLOOKUP($B$11:$B$41,'Constr. Wage Rate Calculations'!$A$19:$Z$288,22,FALSE)</f>
        <v>64.239999999999995</v>
      </c>
      <c r="F14" s="184">
        <v>4</v>
      </c>
      <c r="G14" s="179">
        <f>VLOOKUP($B$11:$B$41,'Constr. Wage Rate Calculations'!$A$19:$Z$288,23,FALSE)</f>
        <v>96.36</v>
      </c>
      <c r="H14" s="184"/>
      <c r="I14" s="179">
        <f>VLOOKUP($B$11:$B$41,'Constr. Wage Rate Calculations'!$A$19:$Z$288,24,FALSE)</f>
        <v>128.47</v>
      </c>
      <c r="J14" s="20">
        <f>VLOOKUP($B$11:$B$41,'Constr. Wage Rate Calculations'!$A$19:$Z$288,25,FALSE)</f>
        <v>85</v>
      </c>
      <c r="K14" s="179">
        <f>IF($D14&gt;=1,$J14+(D14*E14)+(F14*G14)+(H14*I14),IF($F14&gt;=1,$J14+(D14*E14)+(F14*G14)+(H14*I14),IF($H14&gt;=1,$J14+(D14*E14)+(F14*G14)+(H14*I14),"")))</f>
        <v>984.3599999999999</v>
      </c>
    </row>
    <row r="15" spans="1:13" s="1" customFormat="1" ht="15" customHeight="1">
      <c r="A15" s="48"/>
      <c r="B15" s="49" t="str">
        <f>VLOOKUP($C$11:$C$41,Personnel!$A$1:$B$1234,2,FALSE)</f>
        <v>PRINCIPAL OPER 1</v>
      </c>
      <c r="C15" s="36" t="s">
        <v>2997</v>
      </c>
      <c r="D15" s="184">
        <v>8</v>
      </c>
      <c r="E15" s="179">
        <f>VLOOKUP($B$11:$B$41,'Constr. Wage Rate Calculations'!$A$19:$Z$288,22,FALSE)</f>
        <v>64.239999999999995</v>
      </c>
      <c r="F15" s="184">
        <v>4</v>
      </c>
      <c r="G15" s="179">
        <f>VLOOKUP($B$11:$B$41,'Constr. Wage Rate Calculations'!$A$19:$Z$288,23,FALSE)</f>
        <v>96.36</v>
      </c>
      <c r="H15" s="184"/>
      <c r="I15" s="179">
        <f>VLOOKUP($B$11:$B$41,'Constr. Wage Rate Calculations'!$A$19:$Z$288,24,FALSE)</f>
        <v>128.47</v>
      </c>
      <c r="J15" s="20">
        <f>VLOOKUP($B$11:$B$41,'Constr. Wage Rate Calculations'!$A$19:$Z$288,25,FALSE)</f>
        <v>85</v>
      </c>
      <c r="K15" s="179">
        <f t="shared" si="0"/>
        <v>984.3599999999999</v>
      </c>
    </row>
    <row r="16" spans="1:13" s="1" customFormat="1" ht="15" customHeight="1">
      <c r="A16" s="48"/>
      <c r="B16" s="49" t="str">
        <f>VLOOKUP($C$11:$C$41,Personnel!$A$1:$B$1234,2,FALSE)</f>
        <v>SPEC LABOUR (CARPENTER, ETC.)</v>
      </c>
      <c r="C16" s="36" t="s">
        <v>2998</v>
      </c>
      <c r="D16" s="184">
        <v>8</v>
      </c>
      <c r="E16" s="179">
        <f>VLOOKUP($B$11:$B$41,'Constr. Wage Rate Calculations'!$A$19:$Z$288,22,FALSE)</f>
        <v>49.84</v>
      </c>
      <c r="F16" s="184">
        <v>4</v>
      </c>
      <c r="G16" s="179">
        <f>VLOOKUP($B$11:$B$41,'Constr. Wage Rate Calculations'!$A$19:$Z$288,23,FALSE)</f>
        <v>74.75</v>
      </c>
      <c r="H16" s="184"/>
      <c r="I16" s="179">
        <f>VLOOKUP($B$11:$B$41,'Constr. Wage Rate Calculations'!$A$19:$Z$288,24,FALSE)</f>
        <v>99.67</v>
      </c>
      <c r="J16" s="20">
        <f>VLOOKUP($B$11:$B$41,'Constr. Wage Rate Calculations'!$A$19:$Z$288,25,FALSE)</f>
        <v>85</v>
      </c>
      <c r="K16" s="179">
        <f t="shared" si="0"/>
        <v>782.72</v>
      </c>
    </row>
    <row r="17" spans="1:13" s="1" customFormat="1" ht="15" customHeight="1">
      <c r="A17" s="48"/>
      <c r="B17" s="49" t="str">
        <f>VLOOKUP($C$11:$C$41,Personnel!$A$1:$B$1234,2,FALSE)</f>
        <v>GENERAL LABOURER</v>
      </c>
      <c r="C17" s="36" t="s">
        <v>2999</v>
      </c>
      <c r="D17" s="184">
        <v>8</v>
      </c>
      <c r="E17" s="179">
        <f>VLOOKUP($B$11:$B$41,'Constr. Wage Rate Calculations'!$A$19:$Z$288,22,FALSE)</f>
        <v>48.1</v>
      </c>
      <c r="F17" s="184">
        <v>4</v>
      </c>
      <c r="G17" s="179">
        <f>VLOOKUP($B$11:$B$41,'Constr. Wage Rate Calculations'!$A$19:$Z$288,23,FALSE)</f>
        <v>72.150000000000006</v>
      </c>
      <c r="H17" s="184"/>
      <c r="I17" s="179">
        <f>VLOOKUP($B$11:$B$41,'Constr. Wage Rate Calculations'!$A$19:$Z$288,24,FALSE)</f>
        <v>96.2</v>
      </c>
      <c r="J17" s="20">
        <f>VLOOKUP($B$11:$B$41,'Constr. Wage Rate Calculations'!$A$19:$Z$288,25,FALSE)</f>
        <v>85</v>
      </c>
      <c r="K17" s="179">
        <f t="shared" si="0"/>
        <v>758.40000000000009</v>
      </c>
    </row>
    <row r="18" spans="1:13" s="1" customFormat="1" ht="15" customHeight="1">
      <c r="A18" s="48"/>
      <c r="B18" s="49" t="str">
        <f>VLOOKUP($C$11:$C$41,Personnel!$A$1:$B$1234,2,FALSE)</f>
        <v>UA TIE-IN FOREMAN</v>
      </c>
      <c r="C18" s="36" t="s">
        <v>1430</v>
      </c>
      <c r="D18" s="184">
        <v>1</v>
      </c>
      <c r="E18" s="179">
        <f>VLOOKUP($B$11:$B$41,'Constr. Wage Rate Calculations'!$A$19:$Z$288,22,FALSE)</f>
        <v>1952.31</v>
      </c>
      <c r="F18" s="184">
        <v>9</v>
      </c>
      <c r="G18" s="179">
        <f>VLOOKUP($B$11:$B$41,'Constr. Wage Rate Calculations'!$A$19:$Z$288,23,FALSE)</f>
        <v>0</v>
      </c>
      <c r="H18" s="184"/>
      <c r="I18" s="179">
        <f>VLOOKUP($B$11:$B$41,'Constr. Wage Rate Calculations'!$A$19:$Z$288,24,FALSE)</f>
        <v>0</v>
      </c>
      <c r="J18" s="20">
        <f>VLOOKUP($B$11:$B$41,'Constr. Wage Rate Calculations'!$A$19:$Z$288,25,FALSE)</f>
        <v>230</v>
      </c>
      <c r="K18" s="179">
        <f t="shared" si="0"/>
        <v>2182.31</v>
      </c>
    </row>
    <row r="19" spans="1:13" s="1" customFormat="1" ht="15" customHeight="1">
      <c r="A19" s="48"/>
      <c r="B19" s="49" t="str">
        <f>VLOOKUP($C$11:$C$41,Personnel!$A$1:$B$1234,2,FALSE)</f>
        <v>STRAW - OPERATOR</v>
      </c>
      <c r="C19" s="36" t="s">
        <v>1431</v>
      </c>
      <c r="D19" s="184">
        <v>8</v>
      </c>
      <c r="E19" s="179">
        <f>VLOOKUP($B$11:$B$41,'Constr. Wage Rate Calculations'!$A$19:$Z$288,22,FALSE)</f>
        <v>64.239999999999995</v>
      </c>
      <c r="F19" s="184">
        <v>7</v>
      </c>
      <c r="G19" s="179">
        <f>VLOOKUP($B$11:$B$41,'Constr. Wage Rate Calculations'!$A$19:$Z$288,23,FALSE)</f>
        <v>96.36</v>
      </c>
      <c r="H19" s="184"/>
      <c r="I19" s="179">
        <f>VLOOKUP($B$11:$B$41,'Constr. Wage Rate Calculations'!$A$19:$Z$288,24,FALSE)</f>
        <v>128.47</v>
      </c>
      <c r="J19" s="20">
        <f>VLOOKUP($B$11:$B$41,'Constr. Wage Rate Calculations'!$A$19:$Z$288,25,FALSE)</f>
        <v>85</v>
      </c>
      <c r="K19" s="179">
        <f t="shared" si="0"/>
        <v>1273.44</v>
      </c>
      <c r="M19" s="1">
        <v>3</v>
      </c>
    </row>
    <row r="20" spans="1:13" s="1" customFormat="1" ht="15" customHeight="1">
      <c r="A20" s="48"/>
      <c r="B20" s="49" t="str">
        <f>VLOOKUP($C$11:$C$41,Personnel!$A$1:$B$1234,2,FALSE)</f>
        <v>PRINCIPAL OPER 1</v>
      </c>
      <c r="C20" s="36" t="s">
        <v>3001</v>
      </c>
      <c r="D20" s="184">
        <v>8</v>
      </c>
      <c r="E20" s="179">
        <f>VLOOKUP($B$11:$B$41,'Constr. Wage Rate Calculations'!$A$19:$Z$288,22,FALSE)</f>
        <v>64.239999999999995</v>
      </c>
      <c r="F20" s="184">
        <v>4</v>
      </c>
      <c r="G20" s="179">
        <f>VLOOKUP($B$11:$B$41,'Constr. Wage Rate Calculations'!$A$19:$Z$288,23,FALSE)</f>
        <v>96.36</v>
      </c>
      <c r="H20" s="184"/>
      <c r="I20" s="179">
        <f>VLOOKUP($B$11:$B$41,'Constr. Wage Rate Calculations'!$A$19:$Z$288,24,FALSE)</f>
        <v>128.47</v>
      </c>
      <c r="J20" s="20">
        <f>VLOOKUP($B$11:$B$41,'Constr. Wage Rate Calculations'!$A$19:$Z$288,25,FALSE)</f>
        <v>85</v>
      </c>
      <c r="K20" s="179">
        <f t="shared" si="0"/>
        <v>984.3599999999999</v>
      </c>
    </row>
    <row r="21" spans="1:13" s="1" customFormat="1" ht="15" customHeight="1">
      <c r="A21" s="48"/>
      <c r="B21" s="49" t="str">
        <f>VLOOKUP($C$11:$C$41,Personnel!$A$1:$B$1234,2,FALSE)</f>
        <v>PRINCIPAL OPER 1</v>
      </c>
      <c r="C21" s="36" t="s">
        <v>3014</v>
      </c>
      <c r="D21" s="184">
        <v>8</v>
      </c>
      <c r="E21" s="179">
        <f>VLOOKUP($B$11:$B$41,'Constr. Wage Rate Calculations'!$A$19:$Z$288,22,FALSE)</f>
        <v>64.239999999999995</v>
      </c>
      <c r="F21" s="184">
        <v>4</v>
      </c>
      <c r="G21" s="179">
        <f>VLOOKUP($B$11:$B$41,'Constr. Wage Rate Calculations'!$A$19:$Z$288,23,FALSE)</f>
        <v>96.36</v>
      </c>
      <c r="H21" s="184"/>
      <c r="I21" s="179">
        <f>VLOOKUP($B$11:$B$41,'Constr. Wage Rate Calculations'!$A$19:$Z$288,24,FALSE)</f>
        <v>128.47</v>
      </c>
      <c r="J21" s="20">
        <f>VLOOKUP($B$11:$B$41,'Constr. Wage Rate Calculations'!$A$19:$Z$288,25,FALSE)</f>
        <v>85</v>
      </c>
      <c r="K21" s="179">
        <f t="shared" si="0"/>
        <v>984.3599999999999</v>
      </c>
    </row>
    <row r="22" spans="1:13" s="1" customFormat="1" ht="15" customHeight="1">
      <c r="A22" s="48"/>
      <c r="B22" s="49">
        <f>VLOOKUP($C$11:$C$41,Personnel!$A$1:$B$1234,2,FALSE)</f>
        <v>0</v>
      </c>
      <c r="C22" s="36"/>
      <c r="D22" s="184"/>
      <c r="E22" s="179">
        <f>VLOOKUP($B$11:$B$41,'Constr. Wage Rate Calculations'!$A$19:$Z$288,22,FALSE)</f>
        <v>0</v>
      </c>
      <c r="F22" s="184"/>
      <c r="G22" s="179">
        <f>VLOOKUP($B$11:$B$41,'Constr. Wage Rate Calculations'!$A$19:$Z$288,23,FALSE)</f>
        <v>0</v>
      </c>
      <c r="H22" s="184"/>
      <c r="I22" s="179">
        <f>VLOOKUP($B$11:$B$41,'Constr. Wage Rate Calculations'!$A$19:$Z$288,24,FALSE)</f>
        <v>0</v>
      </c>
      <c r="J22" s="20">
        <f>VLOOKUP($B$11:$B$41,'Constr. Wage Rate Calculations'!$A$19:$Z$288,25,FALSE)</f>
        <v>0</v>
      </c>
      <c r="K22" s="179" t="str">
        <f t="shared" si="0"/>
        <v/>
      </c>
    </row>
    <row r="23" spans="1:13" s="1" customFormat="1" ht="15" customHeight="1">
      <c r="A23" s="48"/>
      <c r="B23" s="49">
        <f>VLOOKUP($C$11:$C$41,Personnel!$A$1:$B$1234,2,FALSE)</f>
        <v>0</v>
      </c>
      <c r="C23" s="36"/>
      <c r="D23" s="184"/>
      <c r="E23" s="179">
        <f>VLOOKUP($B$11:$B$41,'Constr. Wage Rate Calculations'!$A$19:$Z$288,22,FALSE)</f>
        <v>0</v>
      </c>
      <c r="F23" s="184"/>
      <c r="G23" s="179">
        <f>VLOOKUP($B$11:$B$41,'Constr. Wage Rate Calculations'!$A$19:$Z$288,23,FALSE)</f>
        <v>0</v>
      </c>
      <c r="H23" s="184"/>
      <c r="I23" s="179">
        <f>VLOOKUP($B$11:$B$41,'Constr. Wage Rate Calculations'!$A$19:$Z$288,24,FALSE)</f>
        <v>0</v>
      </c>
      <c r="J23" s="20">
        <f>VLOOKUP($B$11:$B$41,'Constr. Wage Rate Calculations'!$A$19:$Z$288,25,FALSE)</f>
        <v>0</v>
      </c>
      <c r="K23" s="179" t="str">
        <f t="shared" si="0"/>
        <v/>
      </c>
    </row>
    <row r="24" spans="1:13" s="1" customFormat="1" ht="15" customHeight="1">
      <c r="A24" s="48"/>
      <c r="B24" s="49">
        <f>VLOOKUP($C$11:$C$41,Personnel!$A$1:$B$1234,2,FALSE)</f>
        <v>0</v>
      </c>
      <c r="C24" s="36"/>
      <c r="D24" s="184"/>
      <c r="E24" s="179">
        <f>VLOOKUP($B$11:$B$41,'Constr. Wage Rate Calculations'!$A$19:$Z$288,22,FALSE)</f>
        <v>0</v>
      </c>
      <c r="F24" s="184"/>
      <c r="G24" s="179">
        <f>VLOOKUP($B$11:$B$41,'Constr. Wage Rate Calculations'!$A$19:$Z$288,23,FALSE)</f>
        <v>0</v>
      </c>
      <c r="H24" s="184"/>
      <c r="I24" s="179">
        <f>VLOOKUP($B$11:$B$41,'Constr. Wage Rate Calculations'!$A$19:$Z$288,24,FALSE)</f>
        <v>0</v>
      </c>
      <c r="J24" s="20">
        <f>VLOOKUP($B$11:$B$41,'Constr. Wage Rate Calculations'!$A$19:$Z$288,25,FALSE)</f>
        <v>0</v>
      </c>
      <c r="K24" s="179" t="str">
        <f t="shared" si="0"/>
        <v/>
      </c>
    </row>
    <row r="25" spans="1:13" s="1" customFormat="1" ht="15" customHeight="1">
      <c r="A25" s="48"/>
      <c r="B25" s="49">
        <f>VLOOKUP($C$11:$C$41,Personnel!$A$1:$B$1234,2,FALSE)</f>
        <v>0</v>
      </c>
      <c r="C25" s="36"/>
      <c r="D25" s="184"/>
      <c r="E25" s="179">
        <f>VLOOKUP($B$11:$B$41,'Constr. Wage Rate Calculations'!$A$19:$Z$288,22,FALSE)</f>
        <v>0</v>
      </c>
      <c r="F25" s="184"/>
      <c r="G25" s="179">
        <f>VLOOKUP($B$11:$B$41,'Constr. Wage Rate Calculations'!$A$19:$Z$288,23,FALSE)</f>
        <v>0</v>
      </c>
      <c r="H25" s="184"/>
      <c r="I25" s="179">
        <f>VLOOKUP($B$11:$B$41,'Constr. Wage Rate Calculations'!$A$19:$Z$288,24,FALSE)</f>
        <v>0</v>
      </c>
      <c r="J25" s="20">
        <f>VLOOKUP($B$11:$B$41,'Constr. Wage Rate Calculations'!$A$19:$Z$288,25,FALSE)</f>
        <v>0</v>
      </c>
      <c r="K25" s="179" t="str">
        <f t="shared" si="0"/>
        <v/>
      </c>
    </row>
    <row r="26" spans="1:13" s="1" customFormat="1" ht="15" customHeight="1">
      <c r="A26" s="48"/>
      <c r="B26" s="49">
        <f>VLOOKUP($C$11:$C$41,Personnel!$A$1:$B$1234,2,FALSE)</f>
        <v>0</v>
      </c>
      <c r="C26" s="36"/>
      <c r="D26" s="184"/>
      <c r="E26" s="179">
        <f>VLOOKUP($B$11:$B$41,'Constr. Wage Rate Calculations'!$A$19:$Z$288,22,FALSE)</f>
        <v>0</v>
      </c>
      <c r="F26" s="184"/>
      <c r="G26" s="179">
        <f>VLOOKUP($B$11:$B$41,'Constr. Wage Rate Calculations'!$A$19:$Z$288,23,FALSE)</f>
        <v>0</v>
      </c>
      <c r="H26" s="184"/>
      <c r="I26" s="179">
        <f>VLOOKUP($B$11:$B$41,'Constr. Wage Rate Calculations'!$A$19:$Z$288,24,FALSE)</f>
        <v>0</v>
      </c>
      <c r="J26" s="20">
        <f>VLOOKUP($B$11:$B$41,'Constr. Wage Rate Calculations'!$A$19:$Z$288,25,FALSE)</f>
        <v>0</v>
      </c>
      <c r="K26" s="179" t="str">
        <f t="shared" si="0"/>
        <v/>
      </c>
    </row>
    <row r="27" spans="1:13" s="1" customFormat="1" ht="15" customHeight="1">
      <c r="A27" s="48"/>
      <c r="B27" s="49">
        <f>VLOOKUP($C$11:$C$41,Personnel!$A$1:$B$1234,2,FALSE)</f>
        <v>0</v>
      </c>
      <c r="C27" s="36"/>
      <c r="D27" s="184"/>
      <c r="E27" s="179">
        <f>VLOOKUP($B$11:$B$41,'Constr. Wage Rate Calculations'!$A$19:$Z$288,22,FALSE)</f>
        <v>0</v>
      </c>
      <c r="F27" s="184"/>
      <c r="G27" s="179">
        <f>VLOOKUP($B$11:$B$41,'Constr. Wage Rate Calculations'!$A$19:$Z$288,23,FALSE)</f>
        <v>0</v>
      </c>
      <c r="H27" s="184"/>
      <c r="I27" s="179">
        <f>VLOOKUP($B$11:$B$41,'Constr. Wage Rate Calculations'!$A$19:$Z$288,24,FALSE)</f>
        <v>0</v>
      </c>
      <c r="J27" s="20">
        <f>VLOOKUP($B$11:$B$41,'Constr. Wage Rate Calculations'!$A$19:$Z$288,25,FALSE)</f>
        <v>0</v>
      </c>
      <c r="K27" s="179" t="str">
        <f t="shared" si="0"/>
        <v/>
      </c>
    </row>
    <row r="28" spans="1:13" s="1" customFormat="1" ht="15" customHeight="1">
      <c r="A28" s="48"/>
      <c r="B28" s="49">
        <f>VLOOKUP($C$11:$C$41,Personnel!$A$1:$B$1234,2,FALSE)</f>
        <v>0</v>
      </c>
      <c r="C28" s="36"/>
      <c r="D28" s="184"/>
      <c r="E28" s="179">
        <f>VLOOKUP($B$11:$B$41,'Constr. Wage Rate Calculations'!$A$19:$Z$288,22,FALSE)</f>
        <v>0</v>
      </c>
      <c r="F28" s="184"/>
      <c r="G28" s="179">
        <f>VLOOKUP($B$11:$B$41,'Constr. Wage Rate Calculations'!$A$19:$Z$288,23,FALSE)</f>
        <v>0</v>
      </c>
      <c r="H28" s="184"/>
      <c r="I28" s="179">
        <f>VLOOKUP($B$11:$B$41,'Constr. Wage Rate Calculations'!$A$19:$Z$288,24,FALSE)</f>
        <v>0</v>
      </c>
      <c r="J28" s="20">
        <f>VLOOKUP($B$11:$B$41,'Constr. Wage Rate Calculations'!$A$19:$Z$288,25,FALSE)</f>
        <v>0</v>
      </c>
      <c r="K28" s="179" t="str">
        <f t="shared" si="0"/>
        <v/>
      </c>
    </row>
    <row r="29" spans="1:13" s="1" customFormat="1" ht="15" customHeight="1">
      <c r="A29" s="48"/>
      <c r="B29" s="49">
        <f>VLOOKUP($C$11:$C$41,Personnel!$A$1:$B$1234,2,FALSE)</f>
        <v>0</v>
      </c>
      <c r="C29" s="36"/>
      <c r="D29" s="184"/>
      <c r="E29" s="179">
        <f>VLOOKUP($B$11:$B$41,'Constr. Wage Rate Calculations'!$A$19:$Z$288,22,FALSE)</f>
        <v>0</v>
      </c>
      <c r="F29" s="184"/>
      <c r="G29" s="179">
        <f>VLOOKUP($B$11:$B$41,'Constr. Wage Rate Calculations'!$A$19:$Z$288,23,FALSE)</f>
        <v>0</v>
      </c>
      <c r="H29" s="184"/>
      <c r="I29" s="179">
        <f>VLOOKUP($B$11:$B$41,'Constr. Wage Rate Calculations'!$A$19:$Z$288,24,FALSE)</f>
        <v>0</v>
      </c>
      <c r="J29" s="20">
        <f>VLOOKUP($B$11:$B$41,'Constr. Wage Rate Calculations'!$A$19:$Z$288,25,FALSE)</f>
        <v>0</v>
      </c>
      <c r="K29" s="179" t="str">
        <f t="shared" si="0"/>
        <v/>
      </c>
    </row>
    <row r="30" spans="1:13" s="1" customFormat="1" ht="15" customHeight="1">
      <c r="A30" s="48"/>
      <c r="B30" s="49">
        <f>VLOOKUP($C$11:$C$41,Personnel!$A$1:$B$1234,2,FALSE)</f>
        <v>0</v>
      </c>
      <c r="C30" s="36"/>
      <c r="D30" s="184"/>
      <c r="E30" s="179">
        <f>VLOOKUP($B$11:$B$41,'Constr. Wage Rate Calculations'!$A$19:$Z$288,22,FALSE)</f>
        <v>0</v>
      </c>
      <c r="F30" s="184"/>
      <c r="G30" s="179">
        <f>VLOOKUP($B$11:$B$41,'Constr. Wage Rate Calculations'!$A$19:$Z$288,23,FALSE)</f>
        <v>0</v>
      </c>
      <c r="H30" s="184"/>
      <c r="I30" s="179">
        <f>VLOOKUP($B$11:$B$41,'Constr. Wage Rate Calculations'!$A$19:$Z$288,24,FALSE)</f>
        <v>0</v>
      </c>
      <c r="J30" s="20">
        <f>VLOOKUP($B$11:$B$41,'Constr. Wage Rate Calculations'!$A$19:$Z$288,25,FALSE)</f>
        <v>0</v>
      </c>
      <c r="K30" s="179" t="str">
        <f t="shared" si="0"/>
        <v/>
      </c>
    </row>
    <row r="31" spans="1:13" s="1" customFormat="1" ht="15" customHeight="1">
      <c r="A31" s="48"/>
      <c r="B31" s="49">
        <f>VLOOKUP($C$11:$C$41,Personnel!$A$1:$B$1234,2,FALSE)</f>
        <v>0</v>
      </c>
      <c r="C31" s="36"/>
      <c r="D31" s="184"/>
      <c r="E31" s="179">
        <f>VLOOKUP($B$11:$B$41,'Constr. Wage Rate Calculations'!$A$19:$Z$288,22,FALSE)</f>
        <v>0</v>
      </c>
      <c r="F31" s="184"/>
      <c r="G31" s="179">
        <f>VLOOKUP($B$11:$B$41,'Constr. Wage Rate Calculations'!$A$19:$Z$288,23,FALSE)</f>
        <v>0</v>
      </c>
      <c r="H31" s="184"/>
      <c r="I31" s="179">
        <f>VLOOKUP($B$11:$B$41,'Constr. Wage Rate Calculations'!$A$19:$Z$288,24,FALSE)</f>
        <v>0</v>
      </c>
      <c r="J31" s="20">
        <f>VLOOKUP($B$11:$B$41,'Constr. Wage Rate Calculations'!$A$19:$Z$288,25,FALSE)</f>
        <v>0</v>
      </c>
      <c r="K31" s="179" t="str">
        <f t="shared" si="0"/>
        <v/>
      </c>
    </row>
    <row r="32" spans="1:13" s="1" customFormat="1" ht="15" customHeight="1">
      <c r="A32" s="48"/>
      <c r="B32" s="49">
        <f>VLOOKUP($C$11:$C$41,Personnel!$A$1:$B$1234,2,FALSE)</f>
        <v>0</v>
      </c>
      <c r="C32" s="36"/>
      <c r="D32" s="184"/>
      <c r="E32" s="179">
        <f>VLOOKUP($B$11:$B$41,'Constr. Wage Rate Calculations'!$A$19:$Z$288,22,FALSE)</f>
        <v>0</v>
      </c>
      <c r="F32" s="184"/>
      <c r="G32" s="179">
        <f>VLOOKUP($B$11:$B$41,'Constr. Wage Rate Calculations'!$A$19:$Z$288,23,FALSE)</f>
        <v>0</v>
      </c>
      <c r="H32" s="184"/>
      <c r="I32" s="179">
        <f>VLOOKUP($B$11:$B$41,'Constr. Wage Rate Calculations'!$A$19:$Z$288,24,FALSE)</f>
        <v>0</v>
      </c>
      <c r="J32" s="20">
        <f>VLOOKUP($B$11:$B$41,'Constr. Wage Rate Calculations'!$A$19:$Z$288,25,FALSE)</f>
        <v>0</v>
      </c>
      <c r="K32" s="179" t="str">
        <f t="shared" si="0"/>
        <v/>
      </c>
    </row>
    <row r="33" spans="1:15" s="1" customFormat="1" ht="15" customHeight="1">
      <c r="A33" s="48"/>
      <c r="B33" s="49">
        <f>VLOOKUP($C$11:$C$41,Personnel!$A$1:$B$1234,2,FALSE)</f>
        <v>0</v>
      </c>
      <c r="C33" s="36"/>
      <c r="D33" s="184"/>
      <c r="E33" s="179">
        <f>VLOOKUP($B$11:$B$41,'Constr. Wage Rate Calculations'!$A$19:$Z$288,22,FALSE)</f>
        <v>0</v>
      </c>
      <c r="F33" s="184"/>
      <c r="G33" s="179">
        <f>VLOOKUP($B$11:$B$41,'Constr. Wage Rate Calculations'!$A$19:$Z$288,23,FALSE)</f>
        <v>0</v>
      </c>
      <c r="H33" s="184"/>
      <c r="I33" s="179">
        <f>VLOOKUP($B$11:$B$41,'Constr. Wage Rate Calculations'!$A$19:$Z$288,24,FALSE)</f>
        <v>0</v>
      </c>
      <c r="J33" s="20">
        <f>VLOOKUP($B$11:$B$41,'Constr. Wage Rate Calculations'!$A$19:$Z$288,25,FALSE)</f>
        <v>0</v>
      </c>
      <c r="K33" s="179" t="str">
        <f t="shared" si="0"/>
        <v/>
      </c>
    </row>
    <row r="34" spans="1:15" s="1" customFormat="1" ht="15" customHeight="1">
      <c r="A34" s="48"/>
      <c r="B34" s="49">
        <f>VLOOKUP($C$11:$C$41,Personnel!$A$1:$B$1234,2,FALSE)</f>
        <v>0</v>
      </c>
      <c r="C34" s="36"/>
      <c r="D34" s="184"/>
      <c r="E34" s="179">
        <f>VLOOKUP($B$11:$B$41,'Constr. Wage Rate Calculations'!$A$19:$Z$288,22,FALSE)</f>
        <v>0</v>
      </c>
      <c r="F34" s="184"/>
      <c r="G34" s="179">
        <f>VLOOKUP($B$11:$B$41,'Constr. Wage Rate Calculations'!$A$19:$Z$288,23,FALSE)</f>
        <v>0</v>
      </c>
      <c r="H34" s="184"/>
      <c r="I34" s="179">
        <f>VLOOKUP($B$11:$B$41,'Constr. Wage Rate Calculations'!$A$19:$Z$288,24,FALSE)</f>
        <v>0</v>
      </c>
      <c r="J34" s="20">
        <f>VLOOKUP($B$11:$B$41,'Constr. Wage Rate Calculations'!$A$19:$Z$288,25,FALSE)</f>
        <v>0</v>
      </c>
      <c r="K34" s="179" t="str">
        <f t="shared" si="0"/>
        <v/>
      </c>
    </row>
    <row r="35" spans="1:15" s="1" customFormat="1" ht="15" customHeight="1">
      <c r="A35" s="48"/>
      <c r="B35" s="49">
        <f>VLOOKUP($C$11:$C$41,Personnel!$A$1:$B$1234,2,FALSE)</f>
        <v>0</v>
      </c>
      <c r="C35" s="36"/>
      <c r="D35" s="184"/>
      <c r="E35" s="179">
        <f>VLOOKUP($B$11:$B$41,'Constr. Wage Rate Calculations'!$A$19:$Z$288,22,FALSE)</f>
        <v>0</v>
      </c>
      <c r="F35" s="184"/>
      <c r="G35" s="179">
        <f>VLOOKUP($B$11:$B$41,'Constr. Wage Rate Calculations'!$A$19:$Z$288,23,FALSE)</f>
        <v>0</v>
      </c>
      <c r="H35" s="184"/>
      <c r="I35" s="179">
        <f>VLOOKUP($B$11:$B$41,'Constr. Wage Rate Calculations'!$A$19:$Z$288,24,FALSE)</f>
        <v>0</v>
      </c>
      <c r="J35" s="20">
        <f>VLOOKUP($B$11:$B$41,'Constr. Wage Rate Calculations'!$A$19:$Z$288,25,FALSE)</f>
        <v>0</v>
      </c>
      <c r="K35" s="179" t="str">
        <f t="shared" si="0"/>
        <v/>
      </c>
    </row>
    <row r="36" spans="1:15" s="1" customFormat="1" ht="15" customHeight="1">
      <c r="A36" s="48"/>
      <c r="B36" s="49">
        <f>VLOOKUP($C$11:$C$41,Personnel!$A$1:$B$1234,2,FALSE)</f>
        <v>0</v>
      </c>
      <c r="C36" s="36"/>
      <c r="D36" s="184"/>
      <c r="E36" s="179">
        <f>VLOOKUP($B$11:$B$41,'Constr. Wage Rate Calculations'!$A$19:$Z$288,22,FALSE)</f>
        <v>0</v>
      </c>
      <c r="F36" s="184"/>
      <c r="G36" s="179">
        <f>VLOOKUP($B$11:$B$41,'Constr. Wage Rate Calculations'!$A$19:$Z$288,23,FALSE)</f>
        <v>0</v>
      </c>
      <c r="H36" s="184"/>
      <c r="I36" s="179">
        <f>VLOOKUP($B$11:$B$41,'Constr. Wage Rate Calculations'!$A$19:$Z$288,24,FALSE)</f>
        <v>0</v>
      </c>
      <c r="J36" s="20">
        <f>VLOOKUP($B$11:$B$41,'Constr. Wage Rate Calculations'!$A$19:$Z$288,25,FALSE)</f>
        <v>0</v>
      </c>
      <c r="K36" s="179" t="str">
        <f t="shared" si="0"/>
        <v/>
      </c>
    </row>
    <row r="37" spans="1:15" s="1" customFormat="1" ht="15" customHeight="1">
      <c r="A37" s="48"/>
      <c r="B37" s="49">
        <f>VLOOKUP($C$11:$C$41,Personnel!$A$1:$B$1234,2,FALSE)</f>
        <v>0</v>
      </c>
      <c r="C37" s="36"/>
      <c r="D37" s="184"/>
      <c r="E37" s="179">
        <f>VLOOKUP($B$11:$B$41,'Constr. Wage Rate Calculations'!$A$19:$Z$288,22,FALSE)</f>
        <v>0</v>
      </c>
      <c r="F37" s="184"/>
      <c r="G37" s="179">
        <f>VLOOKUP($B$11:$B$41,'Constr. Wage Rate Calculations'!$A$19:$Z$288,23,FALSE)</f>
        <v>0</v>
      </c>
      <c r="H37" s="184"/>
      <c r="I37" s="179">
        <f>VLOOKUP($B$11:$B$41,'Constr. Wage Rate Calculations'!$A$19:$Z$288,24,FALSE)</f>
        <v>0</v>
      </c>
      <c r="J37" s="20">
        <f>VLOOKUP($B$11:$B$41,'Constr. Wage Rate Calculations'!$A$19:$Z$288,25,FALSE)</f>
        <v>0</v>
      </c>
      <c r="K37" s="179" t="str">
        <f t="shared" si="0"/>
        <v/>
      </c>
    </row>
    <row r="38" spans="1:15" s="1" customFormat="1" ht="15" customHeight="1">
      <c r="A38" s="48"/>
      <c r="B38" s="49">
        <f>VLOOKUP($C$11:$C$41,Personnel!$A$1:$B$1234,2,FALSE)</f>
        <v>0</v>
      </c>
      <c r="C38" s="36"/>
      <c r="D38" s="184"/>
      <c r="E38" s="179">
        <f>VLOOKUP($B$11:$B$41,'Constr. Wage Rate Calculations'!$A$19:$Z$288,22,FALSE)</f>
        <v>0</v>
      </c>
      <c r="F38" s="184"/>
      <c r="G38" s="179">
        <f>VLOOKUP($B$11:$B$41,'Constr. Wage Rate Calculations'!$A$19:$Z$288,23,FALSE)</f>
        <v>0</v>
      </c>
      <c r="H38" s="184"/>
      <c r="I38" s="179">
        <f>VLOOKUP($B$11:$B$41,'Constr. Wage Rate Calculations'!$A$19:$Z$288,24,FALSE)</f>
        <v>0</v>
      </c>
      <c r="J38" s="20">
        <f>VLOOKUP($B$11:$B$41,'Constr. Wage Rate Calculations'!$A$19:$Z$288,25,FALSE)</f>
        <v>0</v>
      </c>
      <c r="K38" s="179" t="str">
        <f t="shared" si="0"/>
        <v/>
      </c>
    </row>
    <row r="39" spans="1:15" s="1" customFormat="1" ht="15" customHeight="1">
      <c r="A39" s="48"/>
      <c r="B39" s="49">
        <f>VLOOKUP($C$11:$C$41,Personnel!$A$1:$B$1234,2,FALSE)</f>
        <v>0</v>
      </c>
      <c r="C39" s="36"/>
      <c r="D39" s="184"/>
      <c r="E39" s="179">
        <f>VLOOKUP($B$11:$B$41,'Constr. Wage Rate Calculations'!$A$19:$Z$288,22,FALSE)</f>
        <v>0</v>
      </c>
      <c r="F39" s="184"/>
      <c r="G39" s="179">
        <f>VLOOKUP($B$11:$B$41,'Constr. Wage Rate Calculations'!$A$19:$Z$288,23,FALSE)</f>
        <v>0</v>
      </c>
      <c r="H39" s="184"/>
      <c r="I39" s="179">
        <f>VLOOKUP($B$11:$B$41,'Constr. Wage Rate Calculations'!$A$19:$Z$288,24,FALSE)</f>
        <v>0</v>
      </c>
      <c r="J39" s="20">
        <f>VLOOKUP($B$11:$B$41,'Constr. Wage Rate Calculations'!$A$19:$Z$288,25,FALSE)</f>
        <v>0</v>
      </c>
      <c r="K39" s="179" t="str">
        <f t="shared" si="0"/>
        <v/>
      </c>
    </row>
    <row r="40" spans="1:15" s="1" customFormat="1" ht="15" customHeight="1">
      <c r="A40" s="48"/>
      <c r="B40" s="49">
        <f>VLOOKUP($C$11:$C$41,Personnel!$A$1:$B$1234,2,FALSE)</f>
        <v>0</v>
      </c>
      <c r="C40" s="36"/>
      <c r="D40" s="184"/>
      <c r="E40" s="179">
        <f>VLOOKUP($B$11:$B$41,'Constr. Wage Rate Calculations'!$A$19:$Z$288,22,FALSE)</f>
        <v>0</v>
      </c>
      <c r="F40" s="184"/>
      <c r="G40" s="179">
        <f>VLOOKUP($B$11:$B$41,'Constr. Wage Rate Calculations'!$A$19:$Z$288,23,FALSE)</f>
        <v>0</v>
      </c>
      <c r="H40" s="184"/>
      <c r="I40" s="179">
        <f>VLOOKUP($B$11:$B$41,'Constr. Wage Rate Calculations'!$A$19:$Z$288,24,FALSE)</f>
        <v>0</v>
      </c>
      <c r="J40" s="20">
        <f>VLOOKUP($B$11:$B$41,'Constr. Wage Rate Calculations'!$A$19:$Z$288,25,FALSE)</f>
        <v>0</v>
      </c>
      <c r="K40" s="179" t="str">
        <f t="shared" si="0"/>
        <v/>
      </c>
    </row>
    <row r="41" spans="1:15" s="1" customFormat="1" ht="15" customHeight="1" thickBot="1">
      <c r="A41" s="48"/>
      <c r="B41" s="49">
        <f>VLOOKUP($C$11:$C$41,Personnel!$A$1:$B$1234,2,FALSE)</f>
        <v>0</v>
      </c>
      <c r="C41" s="36"/>
      <c r="D41" s="184"/>
      <c r="E41" s="179">
        <f>VLOOKUP($B$11:$B$41,'Constr. Wage Rate Calculations'!$A$19:$Z$288,22,FALSE)</f>
        <v>0</v>
      </c>
      <c r="F41" s="184"/>
      <c r="G41" s="179">
        <f>VLOOKUP($B$11:$B$41,'Constr. Wage Rate Calculations'!$A$19:$Z$288,23,FALSE)</f>
        <v>0</v>
      </c>
      <c r="H41" s="184"/>
      <c r="I41" s="179">
        <f>VLOOKUP($B$11:$B$41,'Constr. Wage Rate Calculations'!$A$19:$Z$288,24,FALSE)</f>
        <v>0</v>
      </c>
      <c r="J41" s="20">
        <f>VLOOKUP($B$11:$B$41,'Constr. Wage Rate Calculations'!$A$19:$Z$288,25,FALSE)</f>
        <v>0</v>
      </c>
      <c r="K41" s="179" t="str">
        <f t="shared" si="0"/>
        <v/>
      </c>
      <c r="M41" s="1">
        <f>SUM(M11:M37)</f>
        <v>4</v>
      </c>
    </row>
    <row r="42" spans="1:15" s="1" customFormat="1" ht="15" customHeight="1" thickBot="1">
      <c r="A42"/>
      <c r="B42"/>
      <c r="C42"/>
      <c r="D42" s="21"/>
      <c r="E42" s="21"/>
      <c r="F42" s="21"/>
      <c r="G42" s="21"/>
      <c r="H42" s="21"/>
      <c r="I42" s="360" t="s">
        <v>18</v>
      </c>
      <c r="J42" s="361"/>
      <c r="K42" s="183">
        <f>SUM(K11:K41)</f>
        <v>11073.300000000001</v>
      </c>
      <c r="M42" s="1">
        <f>SUMIFS(D11:D41,D11:D41,"&lt;3",D11:D41,"&lt;5")</f>
        <v>1</v>
      </c>
      <c r="N42" s="1">
        <f>SUMIFS(D11:D41,D11:D41,"&gt;3",D11:D41,"&gt;5")</f>
        <v>72</v>
      </c>
      <c r="O42" s="1">
        <f>SUM(F11:F41,H11:H41,M42,N42)-M41</f>
        <v>118</v>
      </c>
    </row>
    <row r="43" spans="1:15" s="1" customFormat="1" ht="10" customHeight="1" thickBot="1">
      <c r="D43" s="2"/>
      <c r="E43" s="2"/>
      <c r="F43" s="2"/>
      <c r="G43" s="2"/>
      <c r="H43" s="2"/>
      <c r="I43" s="2"/>
      <c r="J43" s="2"/>
    </row>
    <row r="44" spans="1:15" s="19" customFormat="1" ht="15" customHeight="1" thickBot="1">
      <c r="A44" s="22" t="s">
        <v>19</v>
      </c>
      <c r="B44" s="23" t="s">
        <v>20</v>
      </c>
      <c r="C44" s="23"/>
      <c r="D44" s="23"/>
      <c r="E44" s="23"/>
      <c r="F44" s="23"/>
      <c r="G44" s="23"/>
      <c r="H44" s="18" t="s">
        <v>21</v>
      </c>
      <c r="I44" s="18" t="s">
        <v>22</v>
      </c>
      <c r="J44" s="18" t="s">
        <v>23</v>
      </c>
      <c r="K44" s="18" t="s">
        <v>17</v>
      </c>
    </row>
    <row r="45" spans="1:15" s="1" customFormat="1" ht="15" customHeight="1">
      <c r="A45" s="43"/>
      <c r="B45" s="49">
        <f>VLOOKUP($C$45:$C$95,Equipment!$A$1:$B$2322,2,FALSE)</f>
        <v>0</v>
      </c>
      <c r="C45" s="24"/>
      <c r="D45" s="24"/>
      <c r="E45" s="24"/>
      <c r="F45" s="24"/>
      <c r="G45" s="24"/>
      <c r="H45" s="185"/>
      <c r="I45" s="184"/>
      <c r="J45" s="42">
        <f>VLOOKUP($B$45:$B$95,'Alberta Equip. Rates Year 3'!$B$13:$K$314,10,FALSE)</f>
        <v>0</v>
      </c>
      <c r="K45" s="181">
        <f t="shared" ref="K45:K95" si="1">(H45+I45)*J45</f>
        <v>0</v>
      </c>
    </row>
    <row r="46" spans="1:15" s="1" customFormat="1" ht="15" customHeight="1">
      <c r="A46" s="43"/>
      <c r="B46" s="49" t="str">
        <f>VLOOKUP($C$45:$C$95,Equipment!$A$1:$B$2322,2,FALSE)</f>
        <v>Crewcab - 1 Ton</v>
      </c>
      <c r="C46" s="24" t="s">
        <v>2917</v>
      </c>
      <c r="D46" s="24"/>
      <c r="E46" s="24"/>
      <c r="F46" s="24"/>
      <c r="G46" s="24"/>
      <c r="H46" s="185">
        <v>1</v>
      </c>
      <c r="I46" s="184"/>
      <c r="J46" s="42">
        <f>VLOOKUP($B$45:$B$95,'Alberta Equip. Rates Year 3'!$B$13:$K$314,10,FALSE)</f>
        <v>163</v>
      </c>
      <c r="K46" s="242">
        <f t="shared" si="1"/>
        <v>163</v>
      </c>
    </row>
    <row r="47" spans="1:15" s="1" customFormat="1" ht="15" customHeight="1">
      <c r="A47" s="43"/>
      <c r="B47" s="49" t="str">
        <f>VLOOKUP($C$45:$C$95,Equipment!$A$1:$B$2322,2,FALSE)</f>
        <v>Flatdeck - 2 Ton</v>
      </c>
      <c r="C47" s="24" t="s">
        <v>1971</v>
      </c>
      <c r="D47" s="24"/>
      <c r="E47" s="24"/>
      <c r="F47" s="24"/>
      <c r="G47" s="24"/>
      <c r="H47" s="185">
        <v>1</v>
      </c>
      <c r="I47" s="184"/>
      <c r="J47" s="42">
        <f>VLOOKUP($B$45:$B$95,'Alberta Equip. Rates Year 3'!$B$13:$K$314,10,FALSE)</f>
        <v>165</v>
      </c>
      <c r="K47" s="242">
        <f t="shared" si="1"/>
        <v>165</v>
      </c>
    </row>
    <row r="48" spans="1:15" s="1" customFormat="1" ht="15" customHeight="1">
      <c r="A48" s="43"/>
      <c r="B48" s="49" t="str">
        <f>VLOOKUP($C$45:$C$95,Equipment!$A$1:$B$2322,2,FALSE)</f>
        <v>Generator Pump &amp; Light 15-20kW</v>
      </c>
      <c r="C48" s="24" t="s">
        <v>4161</v>
      </c>
      <c r="D48" s="24"/>
      <c r="E48" s="24"/>
      <c r="F48" s="24"/>
      <c r="G48" s="24"/>
      <c r="H48" s="185">
        <v>1</v>
      </c>
      <c r="I48" s="184"/>
      <c r="J48" s="42">
        <f>VLOOKUP($B$45:$B$95,'Alberta Equip. Rates Year 3'!$B$13:$K$314,10,FALSE)</f>
        <v>230.19</v>
      </c>
      <c r="K48" s="181">
        <f t="shared" si="1"/>
        <v>230.19</v>
      </c>
    </row>
    <row r="49" spans="1:11" s="1" customFormat="1" ht="15" customHeight="1">
      <c r="A49" s="43"/>
      <c r="B49" s="49" t="str">
        <f>VLOOKUP($C$45:$C$95,Equipment!$A$1:$B$2322,2,FALSE)</f>
        <v>Light Tower  - 6 kW</v>
      </c>
      <c r="C49" s="24" t="s">
        <v>4066</v>
      </c>
      <c r="D49" s="24"/>
      <c r="E49" s="24"/>
      <c r="F49" s="24"/>
      <c r="G49" s="24"/>
      <c r="H49" s="185">
        <v>1</v>
      </c>
      <c r="I49" s="184"/>
      <c r="J49" s="42">
        <f>VLOOKUP($B$45:$B$95,'Alberta Equip. Rates Year 3'!$B$13:$K$314,10,FALSE)</f>
        <v>212</v>
      </c>
      <c r="K49" s="242">
        <f t="shared" si="1"/>
        <v>212</v>
      </c>
    </row>
    <row r="50" spans="1:11" s="1" customFormat="1" ht="15" customHeight="1">
      <c r="A50" s="43"/>
      <c r="B50" s="49" t="str">
        <f>VLOOKUP($C$45:$C$95,Equipment!$A$1:$B$2322,2,FALSE)</f>
        <v>Pickup - 1/2 Ton</v>
      </c>
      <c r="C50" s="24" t="s">
        <v>2724</v>
      </c>
      <c r="D50" s="24"/>
      <c r="E50" s="24"/>
      <c r="F50" s="24"/>
      <c r="G50" s="24"/>
      <c r="H50" s="185">
        <v>1</v>
      </c>
      <c r="I50" s="184"/>
      <c r="J50" s="42">
        <f>VLOOKUP($B$45:$B$95,'Alberta Equip. Rates Year 3'!$B$13:$K$314,10,FALSE)</f>
        <v>125</v>
      </c>
      <c r="K50" s="181">
        <f t="shared" si="1"/>
        <v>125</v>
      </c>
    </row>
    <row r="51" spans="1:11" s="1" customFormat="1" ht="15" customHeight="1">
      <c r="A51" s="43"/>
      <c r="B51" s="49" t="str">
        <f>VLOOKUP($C$45:$C$95,Equipment!$A$1:$B$2322,2,FALSE)</f>
        <v>Crewcab - 3/4 Ton</v>
      </c>
      <c r="C51" s="24" t="s">
        <v>1927</v>
      </c>
      <c r="D51" s="24"/>
      <c r="E51" s="24"/>
      <c r="F51" s="24"/>
      <c r="G51" s="24"/>
      <c r="H51" s="185">
        <v>1</v>
      </c>
      <c r="I51" s="184"/>
      <c r="J51" s="42">
        <f>VLOOKUP($B$45:$B$95,'Alberta Equip. Rates Year 3'!$B$13:$K$314,10,FALSE)</f>
        <v>153</v>
      </c>
      <c r="K51" s="181">
        <f t="shared" si="1"/>
        <v>153</v>
      </c>
    </row>
    <row r="52" spans="1:11" s="1" customFormat="1" ht="15" customHeight="1">
      <c r="A52" s="43"/>
      <c r="B52" s="49" t="str">
        <f>VLOOKUP($C$45:$C$95,Equipment!$A$1:$B$2322,2,FALSE)</f>
        <v>Sideboom - Cat 594</v>
      </c>
      <c r="C52" s="24" t="s">
        <v>3117</v>
      </c>
      <c r="D52" s="24"/>
      <c r="E52" s="24"/>
      <c r="F52" s="24"/>
      <c r="G52" s="24"/>
      <c r="H52" s="185">
        <v>1</v>
      </c>
      <c r="I52" s="184"/>
      <c r="J52" s="42">
        <f>VLOOKUP($B$45:$B$95,'Alberta Equip. Rates Year 3'!$B$13:$K$314,10,FALSE)</f>
        <v>1323</v>
      </c>
      <c r="K52" s="181">
        <f t="shared" si="1"/>
        <v>1323</v>
      </c>
    </row>
    <row r="53" spans="1:11" s="1" customFormat="1" ht="15" customHeight="1">
      <c r="A53" s="43"/>
      <c r="B53" s="49" t="str">
        <f>VLOOKUP($C$45:$C$95,Equipment!$A$1:$B$2322,2,FALSE)</f>
        <v>Sideboom - Cat 594</v>
      </c>
      <c r="C53" s="24" t="s">
        <v>3191</v>
      </c>
      <c r="D53" s="24"/>
      <c r="E53" s="24"/>
      <c r="F53" s="24"/>
      <c r="G53" s="24"/>
      <c r="H53" s="185">
        <v>1</v>
      </c>
      <c r="I53" s="184"/>
      <c r="J53" s="42">
        <f>VLOOKUP($B$45:$B$95,'Alberta Equip. Rates Year 3'!$B$13:$K$314,10,FALSE)</f>
        <v>1323</v>
      </c>
      <c r="K53" s="181">
        <f t="shared" si="1"/>
        <v>1323</v>
      </c>
    </row>
    <row r="54" spans="1:11" s="1" customFormat="1" ht="15" customHeight="1">
      <c r="A54" s="43"/>
      <c r="B54" s="49" t="str">
        <f>VLOOKUP($C$45:$C$95,Equipment!$A$1:$B$2322,2,FALSE)</f>
        <v>Water Pump - 4"</v>
      </c>
      <c r="C54" s="24" t="s">
        <v>4162</v>
      </c>
      <c r="D54" s="24"/>
      <c r="E54" s="24"/>
      <c r="F54" s="24"/>
      <c r="G54" s="24"/>
      <c r="H54" s="185">
        <v>1</v>
      </c>
      <c r="I54" s="184"/>
      <c r="J54" s="42">
        <f>VLOOKUP($B$45:$B$95,'Alberta Equip. Rates Year 3'!$B$13:$K$314,10,FALSE)</f>
        <v>170</v>
      </c>
      <c r="K54" s="242">
        <f t="shared" si="1"/>
        <v>170</v>
      </c>
    </row>
    <row r="55" spans="1:11" s="1" customFormat="1" ht="15" customHeight="1">
      <c r="A55" s="43"/>
      <c r="B55" s="49" t="str">
        <f>VLOOKUP($C$45:$C$95,Equipment!$A$1:$B$2322,2,FALSE)</f>
        <v>Sideboom - Cat 594</v>
      </c>
      <c r="C55" s="24" t="s">
        <v>2575</v>
      </c>
      <c r="D55" s="24"/>
      <c r="E55" s="24"/>
      <c r="F55" s="24"/>
      <c r="G55" s="24"/>
      <c r="H55" s="185">
        <v>1</v>
      </c>
      <c r="I55" s="184"/>
      <c r="J55" s="42">
        <f>VLOOKUP($B$45:$B$95,'Alberta Equip. Rates Year 3'!$B$13:$K$314,10,FALSE)</f>
        <v>1323</v>
      </c>
      <c r="K55" s="242">
        <f t="shared" si="1"/>
        <v>1323</v>
      </c>
    </row>
    <row r="56" spans="1:11" s="1" customFormat="1" ht="15" customHeight="1">
      <c r="A56" s="43"/>
      <c r="B56" s="49">
        <f>VLOOKUP($C$45:$C$95,Equipment!$A$1:$B$2322,2,FALSE)</f>
        <v>0</v>
      </c>
      <c r="C56" s="24"/>
      <c r="D56" s="24"/>
      <c r="E56" s="24"/>
      <c r="F56" s="24"/>
      <c r="G56" s="24"/>
      <c r="H56" s="185"/>
      <c r="I56" s="184"/>
      <c r="J56" s="42">
        <f>VLOOKUP($B$45:$B$95,'Alberta Equip. Rates Year 3'!$B$13:$K$314,10,FALSE)</f>
        <v>0</v>
      </c>
      <c r="K56" s="242">
        <f t="shared" si="1"/>
        <v>0</v>
      </c>
    </row>
    <row r="57" spans="1:11" s="1" customFormat="1" ht="15" customHeight="1">
      <c r="A57" s="43"/>
      <c r="B57" s="49">
        <f>VLOOKUP($C$45:$C$95,Equipment!$A$1:$B$2322,2,FALSE)</f>
        <v>0</v>
      </c>
      <c r="C57" s="24"/>
      <c r="D57" s="24"/>
      <c r="E57" s="24"/>
      <c r="F57" s="24"/>
      <c r="G57" s="24"/>
      <c r="H57" s="185"/>
      <c r="I57" s="184"/>
      <c r="J57" s="42">
        <f>VLOOKUP($B$45:$B$95,'Alberta Equip. Rates Year 3'!$B$13:$K$314,10,FALSE)</f>
        <v>0</v>
      </c>
      <c r="K57" s="242">
        <f t="shared" si="1"/>
        <v>0</v>
      </c>
    </row>
    <row r="58" spans="1:11" s="1" customFormat="1" ht="15" customHeight="1">
      <c r="A58" s="43"/>
      <c r="B58" s="49">
        <f>VLOOKUP($C$45:$C$95,Equipment!$A$1:$B$2322,2,FALSE)</f>
        <v>0</v>
      </c>
      <c r="C58" s="24"/>
      <c r="D58" s="24"/>
      <c r="E58" s="24"/>
      <c r="F58" s="24"/>
      <c r="G58" s="24"/>
      <c r="H58" s="185"/>
      <c r="I58" s="184"/>
      <c r="J58" s="42">
        <f>VLOOKUP($B$45:$B$95,'Alberta Equip. Rates Year 3'!$B$13:$K$314,10,FALSE)</f>
        <v>0</v>
      </c>
      <c r="K58" s="181">
        <f t="shared" si="1"/>
        <v>0</v>
      </c>
    </row>
    <row r="59" spans="1:11" s="1" customFormat="1" ht="15" customHeight="1">
      <c r="A59" s="43"/>
      <c r="B59" s="49">
        <f>VLOOKUP($C$45:$C$95,Equipment!$A$1:$B$2322,2,FALSE)</f>
        <v>0</v>
      </c>
      <c r="C59" s="24"/>
      <c r="D59" s="24"/>
      <c r="E59" s="24"/>
      <c r="F59" s="24"/>
      <c r="G59" s="24"/>
      <c r="H59" s="185"/>
      <c r="I59" s="184"/>
      <c r="J59" s="42">
        <f>VLOOKUP($B$45:$B$95,'Alberta Equip. Rates Year 3'!$B$13:$K$314,10,FALSE)</f>
        <v>0</v>
      </c>
      <c r="K59" s="181">
        <f t="shared" si="1"/>
        <v>0</v>
      </c>
    </row>
    <row r="60" spans="1:11" s="1" customFormat="1" ht="15" customHeight="1">
      <c r="A60" s="43"/>
      <c r="B60" s="49">
        <f>VLOOKUP($C$45:$C$95,Equipment!$A$1:$B$2322,2,FALSE)</f>
        <v>0</v>
      </c>
      <c r="C60" s="24"/>
      <c r="D60" s="24"/>
      <c r="E60" s="24"/>
      <c r="F60" s="24"/>
      <c r="G60" s="24"/>
      <c r="H60" s="185"/>
      <c r="I60" s="184"/>
      <c r="J60" s="42">
        <f>VLOOKUP($B$45:$B$95,'Alberta Equip. Rates Year 3'!$B$13:$K$314,10,FALSE)</f>
        <v>0</v>
      </c>
      <c r="K60" s="181">
        <f t="shared" si="1"/>
        <v>0</v>
      </c>
    </row>
    <row r="61" spans="1:11" s="1" customFormat="1" ht="15" customHeight="1">
      <c r="A61" s="43"/>
      <c r="B61" s="49">
        <f>VLOOKUP($C$45:$C$95,Equipment!$A$1:$B$2322,2,FALSE)</f>
        <v>0</v>
      </c>
      <c r="C61" s="24"/>
      <c r="D61" s="24"/>
      <c r="E61" s="24"/>
      <c r="F61" s="24"/>
      <c r="G61" s="24"/>
      <c r="H61" s="185"/>
      <c r="I61" s="184"/>
      <c r="J61" s="42">
        <f>VLOOKUP($B$45:$B$95,'Alberta Equip. Rates Year 3'!$B$13:$K$314,10,FALSE)</f>
        <v>0</v>
      </c>
      <c r="K61" s="181">
        <f t="shared" si="1"/>
        <v>0</v>
      </c>
    </row>
    <row r="62" spans="1:11" s="1" customFormat="1" ht="15" customHeight="1">
      <c r="A62" s="43"/>
      <c r="B62" s="49">
        <f>VLOOKUP($C$45:$C$95,Equipment!$A$1:$B$2322,2,FALSE)</f>
        <v>0</v>
      </c>
      <c r="C62" s="24"/>
      <c r="D62" s="24"/>
      <c r="E62" s="24"/>
      <c r="F62" s="24"/>
      <c r="G62" s="24"/>
      <c r="H62" s="185"/>
      <c r="I62" s="184"/>
      <c r="J62" s="42">
        <f>VLOOKUP($B$45:$B$95,'Alberta Equip. Rates Year 3'!$B$13:$K$314,10,FALSE)</f>
        <v>0</v>
      </c>
      <c r="K62" s="181">
        <f t="shared" si="1"/>
        <v>0</v>
      </c>
    </row>
    <row r="63" spans="1:11" s="1" customFormat="1" ht="15" customHeight="1">
      <c r="A63" s="43"/>
      <c r="B63" s="49">
        <f>VLOOKUP($C$45:$C$95,Equipment!$A$1:$B$2322,2,FALSE)</f>
        <v>0</v>
      </c>
      <c r="C63" s="24"/>
      <c r="D63" s="24"/>
      <c r="E63" s="24"/>
      <c r="F63" s="24"/>
      <c r="G63" s="24"/>
      <c r="H63" s="185"/>
      <c r="I63" s="184"/>
      <c r="J63" s="42">
        <f>VLOOKUP($B$45:$B$95,'Alberta Equip. Rates Year 3'!$B$13:$K$314,10,FALSE)</f>
        <v>0</v>
      </c>
      <c r="K63" s="181">
        <f t="shared" si="1"/>
        <v>0</v>
      </c>
    </row>
    <row r="64" spans="1:11" s="1" customFormat="1" ht="15" customHeight="1">
      <c r="A64" s="43"/>
      <c r="B64" s="49">
        <f>VLOOKUP($C$45:$C$95,Equipment!$A$1:$B$2322,2,FALSE)</f>
        <v>0</v>
      </c>
      <c r="C64" s="24"/>
      <c r="D64" s="24"/>
      <c r="E64" s="24"/>
      <c r="F64" s="24"/>
      <c r="G64" s="24"/>
      <c r="H64" s="185"/>
      <c r="I64" s="184"/>
      <c r="J64" s="42">
        <f>VLOOKUP($B$45:$B$95,'Alberta Equip. Rates Year 3'!$B$13:$K$314,10,FALSE)</f>
        <v>0</v>
      </c>
      <c r="K64" s="242">
        <f t="shared" si="1"/>
        <v>0</v>
      </c>
    </row>
    <row r="65" spans="1:11" s="1" customFormat="1" ht="15" customHeight="1">
      <c r="A65" s="43"/>
      <c r="B65" s="49">
        <f>VLOOKUP($C$45:$C$95,Equipment!$A$1:$B$2322,2,FALSE)</f>
        <v>0</v>
      </c>
      <c r="C65" s="24"/>
      <c r="D65" s="24"/>
      <c r="E65" s="24"/>
      <c r="F65" s="24"/>
      <c r="G65" s="24"/>
      <c r="H65" s="185"/>
      <c r="I65" s="184"/>
      <c r="J65" s="42">
        <f>VLOOKUP($B$45:$B$95,'Alberta Equip. Rates Year 3'!$B$13:$K$314,10,FALSE)</f>
        <v>0</v>
      </c>
      <c r="K65" s="181">
        <f t="shared" si="1"/>
        <v>0</v>
      </c>
    </row>
    <row r="66" spans="1:11" s="1" customFormat="1" ht="15" customHeight="1">
      <c r="A66" s="43"/>
      <c r="B66" s="49">
        <f>VLOOKUP($C$45:$C$95,Equipment!$A$1:$B$2322,2,FALSE)</f>
        <v>0</v>
      </c>
      <c r="C66" s="24"/>
      <c r="D66" s="24"/>
      <c r="E66" s="24"/>
      <c r="F66" s="24"/>
      <c r="G66" s="24"/>
      <c r="H66" s="185"/>
      <c r="I66" s="184"/>
      <c r="J66" s="42">
        <f>VLOOKUP($B$45:$B$95,'Alberta Equip. Rates Year 3'!$B$13:$K$314,10,FALSE)</f>
        <v>0</v>
      </c>
      <c r="K66" s="181">
        <f t="shared" si="1"/>
        <v>0</v>
      </c>
    </row>
    <row r="67" spans="1:11" s="1" customFormat="1" ht="15" customHeight="1">
      <c r="A67" s="43"/>
      <c r="B67" s="49">
        <f>VLOOKUP($C$45:$C$95,Equipment!$A$1:$B$2322,2,FALSE)</f>
        <v>0</v>
      </c>
      <c r="C67" s="24"/>
      <c r="D67" s="24"/>
      <c r="E67" s="24"/>
      <c r="F67" s="24"/>
      <c r="G67" s="24"/>
      <c r="H67" s="185"/>
      <c r="I67" s="184"/>
      <c r="J67" s="42">
        <f>VLOOKUP($B$45:$B$95,'Alberta Equip. Rates Year 3'!$B$13:$K$314,10,FALSE)</f>
        <v>0</v>
      </c>
      <c r="K67" s="181">
        <f t="shared" si="1"/>
        <v>0</v>
      </c>
    </row>
    <row r="68" spans="1:11" s="1" customFormat="1" ht="15" customHeight="1">
      <c r="A68" s="43"/>
      <c r="B68" s="49">
        <f>VLOOKUP($C$45:$C$95,Equipment!$A$1:$B$2322,2,FALSE)</f>
        <v>0</v>
      </c>
      <c r="C68" s="24"/>
      <c r="D68" s="24"/>
      <c r="E68" s="24"/>
      <c r="F68" s="24"/>
      <c r="G68" s="24"/>
      <c r="H68" s="185"/>
      <c r="I68" s="184"/>
      <c r="J68" s="42">
        <f>VLOOKUP($B$45:$B$95,'Alberta Equip. Rates Year 3'!$B$13:$K$314,10,FALSE)</f>
        <v>0</v>
      </c>
      <c r="K68" s="181">
        <f t="shared" si="1"/>
        <v>0</v>
      </c>
    </row>
    <row r="69" spans="1:11" s="1" customFormat="1" ht="15" customHeight="1">
      <c r="A69" s="43"/>
      <c r="B69" s="49">
        <f>VLOOKUP($C$45:$C$95,Equipment!$A$1:$B$2322,2,FALSE)</f>
        <v>0</v>
      </c>
      <c r="C69" s="24"/>
      <c r="D69" s="24"/>
      <c r="E69" s="24"/>
      <c r="F69" s="24"/>
      <c r="G69" s="24"/>
      <c r="H69" s="185"/>
      <c r="I69" s="184"/>
      <c r="J69" s="42">
        <f>VLOOKUP($B$45:$B$95,'Alberta Equip. Rates Year 3'!$B$13:$K$314,10,FALSE)</f>
        <v>0</v>
      </c>
      <c r="K69" s="242">
        <f t="shared" si="1"/>
        <v>0</v>
      </c>
    </row>
    <row r="70" spans="1:11" s="1" customFormat="1" ht="15" customHeight="1">
      <c r="A70" s="43"/>
      <c r="B70" s="49">
        <f>VLOOKUP($C$45:$C$95,Equipment!$A$1:$B$2322,2,FALSE)</f>
        <v>0</v>
      </c>
      <c r="C70" s="24"/>
      <c r="D70" s="24"/>
      <c r="E70" s="24"/>
      <c r="F70" s="24"/>
      <c r="G70" s="24"/>
      <c r="H70" s="185"/>
      <c r="I70" s="184"/>
      <c r="J70" s="42">
        <f>VLOOKUP($B$45:$B$95,'Alberta Equip. Rates Year 3'!$B$13:$K$314,10,FALSE)</f>
        <v>0</v>
      </c>
      <c r="K70" s="242">
        <f t="shared" si="1"/>
        <v>0</v>
      </c>
    </row>
    <row r="71" spans="1:11" s="1" customFormat="1" ht="15" customHeight="1">
      <c r="A71" s="43"/>
      <c r="B71" s="49">
        <f>VLOOKUP($C$45:$C$95,Equipment!$A$1:$B$2322,2,FALSE)</f>
        <v>0</v>
      </c>
      <c r="C71" s="24"/>
      <c r="D71" s="24"/>
      <c r="E71" s="24"/>
      <c r="F71" s="24"/>
      <c r="G71" s="24"/>
      <c r="H71" s="185"/>
      <c r="I71" s="184"/>
      <c r="J71" s="42">
        <f>VLOOKUP($B$45:$B$95,'Alberta Equip. Rates Year 3'!$B$13:$K$314,10,FALSE)</f>
        <v>0</v>
      </c>
      <c r="K71" s="242">
        <f t="shared" si="1"/>
        <v>0</v>
      </c>
    </row>
    <row r="72" spans="1:11" s="1" customFormat="1" ht="15" customHeight="1">
      <c r="A72" s="43"/>
      <c r="B72" s="49">
        <f>VLOOKUP($C$45:$C$95,Equipment!$A$1:$B$2322,2,FALSE)</f>
        <v>0</v>
      </c>
      <c r="C72" s="24"/>
      <c r="D72" s="24"/>
      <c r="E72" s="24"/>
      <c r="F72" s="24"/>
      <c r="G72" s="24"/>
      <c r="H72" s="185"/>
      <c r="I72" s="184"/>
      <c r="J72" s="42">
        <f>VLOOKUP($B$45:$B$95,'Alberta Equip. Rates Year 3'!$B$13:$K$314,10,FALSE)</f>
        <v>0</v>
      </c>
      <c r="K72" s="181">
        <f t="shared" si="1"/>
        <v>0</v>
      </c>
    </row>
    <row r="73" spans="1:11" s="1" customFormat="1" ht="15" customHeight="1">
      <c r="A73" s="43"/>
      <c r="B73" s="49">
        <f>VLOOKUP($C$45:$C$95,Equipment!$A$1:$B$2322,2,FALSE)</f>
        <v>0</v>
      </c>
      <c r="C73" s="24"/>
      <c r="D73" s="24"/>
      <c r="E73" s="24"/>
      <c r="F73" s="24"/>
      <c r="G73" s="24"/>
      <c r="H73" s="185"/>
      <c r="I73" s="184"/>
      <c r="J73" s="42">
        <f>VLOOKUP($B$45:$B$95,'Alberta Equip. Rates Year 3'!$B$13:$K$314,10,FALSE)</f>
        <v>0</v>
      </c>
      <c r="K73" s="242">
        <f t="shared" si="1"/>
        <v>0</v>
      </c>
    </row>
    <row r="74" spans="1:11" s="1" customFormat="1" ht="15" customHeight="1">
      <c r="A74" s="43"/>
      <c r="B74" s="49">
        <f>VLOOKUP($C$45:$C$95,Equipment!$A$1:$B$2322,2,FALSE)</f>
        <v>0</v>
      </c>
      <c r="C74" s="24"/>
      <c r="D74" s="24"/>
      <c r="E74" s="24"/>
      <c r="F74" s="24"/>
      <c r="G74" s="24"/>
      <c r="H74" s="185"/>
      <c r="I74" s="184"/>
      <c r="J74" s="42">
        <f>VLOOKUP($B$45:$B$95,'Alberta Equip. Rates Year 3'!$B$13:$K$314,10,FALSE)</f>
        <v>0</v>
      </c>
      <c r="K74" s="242">
        <f t="shared" si="1"/>
        <v>0</v>
      </c>
    </row>
    <row r="75" spans="1:11" s="1" customFormat="1" ht="15" customHeight="1">
      <c r="A75" s="43"/>
      <c r="B75" s="49">
        <f>VLOOKUP($C$45:$C$95,Equipment!$A$1:$B$2322,2,FALSE)</f>
        <v>0</v>
      </c>
      <c r="C75" s="24"/>
      <c r="D75" s="24"/>
      <c r="E75" s="24"/>
      <c r="F75" s="24"/>
      <c r="G75" s="24"/>
      <c r="H75" s="185"/>
      <c r="I75" s="184"/>
      <c r="J75" s="42">
        <f>VLOOKUP($B$45:$B$95,'Alberta Equip. Rates Year 3'!$B$13:$K$314,10,FALSE)</f>
        <v>0</v>
      </c>
      <c r="K75" s="242">
        <f t="shared" si="1"/>
        <v>0</v>
      </c>
    </row>
    <row r="76" spans="1:11" s="1" customFormat="1" ht="15" customHeight="1">
      <c r="A76" s="43"/>
      <c r="B76" s="49">
        <f>VLOOKUP($C$45:$C$95,Equipment!$A$1:$B$2322,2,FALSE)</f>
        <v>0</v>
      </c>
      <c r="C76" s="24"/>
      <c r="D76" s="24"/>
      <c r="E76" s="24"/>
      <c r="F76" s="24"/>
      <c r="G76" s="24"/>
      <c r="H76" s="185"/>
      <c r="I76" s="184"/>
      <c r="J76" s="42">
        <f>VLOOKUP($B$45:$B$95,'Alberta Equip. Rates Year 3'!$B$13:$K$314,10,FALSE)</f>
        <v>0</v>
      </c>
      <c r="K76" s="181">
        <f t="shared" si="1"/>
        <v>0</v>
      </c>
    </row>
    <row r="77" spans="1:11" s="1" customFormat="1" ht="15" customHeight="1">
      <c r="A77" s="43"/>
      <c r="B77" s="49">
        <f>VLOOKUP($C$45:$C$95,Equipment!$A$1:$B$2322,2,FALSE)</f>
        <v>0</v>
      </c>
      <c r="C77" s="24"/>
      <c r="D77" s="24"/>
      <c r="E77" s="24"/>
      <c r="F77" s="24"/>
      <c r="G77" s="24"/>
      <c r="H77" s="185"/>
      <c r="I77" s="184"/>
      <c r="J77" s="42">
        <f>VLOOKUP($B$45:$B$95,'Alberta Equip. Rates Year 3'!$B$13:$K$314,10,FALSE)</f>
        <v>0</v>
      </c>
      <c r="K77" s="242">
        <f t="shared" si="1"/>
        <v>0</v>
      </c>
    </row>
    <row r="78" spans="1:11" s="1" customFormat="1" ht="15" customHeight="1">
      <c r="A78" s="43"/>
      <c r="B78" s="49">
        <f>VLOOKUP($C$45:$C$95,Equipment!$A$1:$B$2322,2,FALSE)</f>
        <v>0</v>
      </c>
      <c r="C78" s="24"/>
      <c r="D78" s="24"/>
      <c r="E78" s="24"/>
      <c r="F78" s="24"/>
      <c r="G78" s="24"/>
      <c r="H78" s="185"/>
      <c r="I78" s="184"/>
      <c r="J78" s="42">
        <f>VLOOKUP($B$45:$B$95,'Alberta Equip. Rates Year 3'!$B$13:$K$314,10,FALSE)</f>
        <v>0</v>
      </c>
      <c r="K78" s="181">
        <f t="shared" si="1"/>
        <v>0</v>
      </c>
    </row>
    <row r="79" spans="1:11" s="1" customFormat="1" ht="12.75" customHeight="1">
      <c r="A79" s="43"/>
      <c r="B79" s="49">
        <f>VLOOKUP($C$45:$C$95,Equipment!$A$1:$B$2322,2,FALSE)</f>
        <v>0</v>
      </c>
      <c r="C79" s="24"/>
      <c r="D79" s="24"/>
      <c r="E79" s="24"/>
      <c r="F79" s="24"/>
      <c r="G79" s="24"/>
      <c r="H79" s="185"/>
      <c r="I79" s="184"/>
      <c r="J79" s="42">
        <f>VLOOKUP($B$45:$B$95,'Alberta Equip. Rates Year 3'!$B$13:$K$314,10,FALSE)</f>
        <v>0</v>
      </c>
      <c r="K79" s="181">
        <f t="shared" si="1"/>
        <v>0</v>
      </c>
    </row>
    <row r="80" spans="1:11" s="1" customFormat="1" ht="15" customHeight="1">
      <c r="A80" s="43"/>
      <c r="B80" s="49">
        <f>VLOOKUP($C$45:$C$95,Equipment!$A$1:$B$2322,2,FALSE)</f>
        <v>0</v>
      </c>
      <c r="C80" s="24"/>
      <c r="D80" s="24"/>
      <c r="E80" s="24"/>
      <c r="F80" s="24"/>
      <c r="G80" s="24"/>
      <c r="H80" s="185"/>
      <c r="I80" s="184"/>
      <c r="J80" s="42">
        <f>VLOOKUP($B$45:$B$95,'Alberta Equip. Rates Year 3'!$B$13:$K$314,10,FALSE)</f>
        <v>0</v>
      </c>
      <c r="K80" s="181">
        <f t="shared" si="1"/>
        <v>0</v>
      </c>
    </row>
    <row r="81" spans="1:11" s="1" customFormat="1" ht="15" customHeight="1">
      <c r="A81" s="43"/>
      <c r="B81" s="49">
        <f>VLOOKUP($C$45:$C$95,Equipment!$A$1:$B$2322,2,FALSE)</f>
        <v>0</v>
      </c>
      <c r="C81" s="24"/>
      <c r="D81" s="24"/>
      <c r="E81" s="24"/>
      <c r="F81" s="24"/>
      <c r="G81" s="24"/>
      <c r="H81" s="185"/>
      <c r="I81" s="184"/>
      <c r="J81" s="42">
        <f>VLOOKUP($B$45:$B$95,'Alberta Equip. Rates Year 3'!$B$13:$K$314,10,FALSE)</f>
        <v>0</v>
      </c>
      <c r="K81" s="181">
        <f t="shared" si="1"/>
        <v>0</v>
      </c>
    </row>
    <row r="82" spans="1:11" s="1" customFormat="1" ht="15" customHeight="1">
      <c r="A82" s="43"/>
      <c r="B82" s="49">
        <f>VLOOKUP($C$45:$C$95,Equipment!$A$1:$B$2322,2,FALSE)</f>
        <v>0</v>
      </c>
      <c r="C82" s="24"/>
      <c r="D82" s="24"/>
      <c r="E82" s="24"/>
      <c r="F82" s="24"/>
      <c r="G82" s="24"/>
      <c r="H82" s="185"/>
      <c r="I82" s="184"/>
      <c r="J82" s="42">
        <f>VLOOKUP($B$45:$B$95,'Alberta Equip. Rates Year 3'!$B$13:$K$314,10,FALSE)</f>
        <v>0</v>
      </c>
      <c r="K82" s="181">
        <f t="shared" si="1"/>
        <v>0</v>
      </c>
    </row>
    <row r="83" spans="1:11" s="1" customFormat="1" ht="15" customHeight="1">
      <c r="A83" s="43"/>
      <c r="B83" s="49">
        <f>VLOOKUP($C$45:$C$95,Equipment!$A$1:$B$2322,2,FALSE)</f>
        <v>0</v>
      </c>
      <c r="C83" s="24"/>
      <c r="D83" s="24"/>
      <c r="E83" s="24"/>
      <c r="F83" s="24"/>
      <c r="G83" s="24"/>
      <c r="H83" s="185"/>
      <c r="I83" s="184"/>
      <c r="J83" s="42">
        <f>VLOOKUP($B$45:$B$95,'Alberta Equip. Rates Year 3'!$B$13:$K$314,10,FALSE)</f>
        <v>0</v>
      </c>
      <c r="K83" s="242">
        <f t="shared" si="1"/>
        <v>0</v>
      </c>
    </row>
    <row r="84" spans="1:11" s="1" customFormat="1" ht="15" customHeight="1">
      <c r="A84" s="43"/>
      <c r="B84" s="49">
        <f>VLOOKUP($C$45:$C$95,Equipment!$A$1:$B$2322,2,FALSE)</f>
        <v>0</v>
      </c>
      <c r="C84" s="24"/>
      <c r="D84" s="24"/>
      <c r="E84" s="24"/>
      <c r="F84" s="24"/>
      <c r="G84" s="24"/>
      <c r="H84" s="185"/>
      <c r="I84" s="184"/>
      <c r="J84" s="42">
        <f>VLOOKUP($B$45:$B$95,'Alberta Equip. Rates Year 3'!$B$13:$K$314,10,FALSE)</f>
        <v>0</v>
      </c>
      <c r="K84" s="242">
        <f t="shared" si="1"/>
        <v>0</v>
      </c>
    </row>
    <row r="85" spans="1:11" s="1" customFormat="1" ht="15" customHeight="1">
      <c r="A85" s="43"/>
      <c r="B85" s="49">
        <f>VLOOKUP($C$45:$C$95,Equipment!$A$1:$B$2322,2,FALSE)</f>
        <v>0</v>
      </c>
      <c r="C85" s="24"/>
      <c r="D85" s="24"/>
      <c r="E85" s="24"/>
      <c r="F85" s="24"/>
      <c r="G85" s="24"/>
      <c r="H85" s="185"/>
      <c r="I85" s="184"/>
      <c r="J85" s="42">
        <f>VLOOKUP($B$45:$B$95,'Alberta Equip. Rates Year 3'!$B$13:$K$314,10,FALSE)</f>
        <v>0</v>
      </c>
      <c r="K85" s="181">
        <f t="shared" si="1"/>
        <v>0</v>
      </c>
    </row>
    <row r="86" spans="1:11" s="1" customFormat="1" ht="15" customHeight="1">
      <c r="A86" s="43"/>
      <c r="B86" s="49">
        <f>VLOOKUP($C$45:$C$95,Equipment!$A$1:$B$2322,2,FALSE)</f>
        <v>0</v>
      </c>
      <c r="C86" s="24"/>
      <c r="D86" s="24"/>
      <c r="E86" s="24"/>
      <c r="F86" s="24"/>
      <c r="G86" s="24"/>
      <c r="H86" s="185"/>
      <c r="I86" s="184"/>
      <c r="J86" s="42">
        <f>VLOOKUP($B$45:$B$95,'Alberta Equip. Rates Year 3'!$B$13:$K$314,10,FALSE)</f>
        <v>0</v>
      </c>
      <c r="K86" s="181">
        <f t="shared" si="1"/>
        <v>0</v>
      </c>
    </row>
    <row r="87" spans="1:11" s="1" customFormat="1" ht="15" customHeight="1">
      <c r="A87" s="43"/>
      <c r="B87" s="49">
        <f>VLOOKUP($C$45:$C$95,Equipment!$A$1:$B$2322,2,FALSE)</f>
        <v>0</v>
      </c>
      <c r="C87" s="24"/>
      <c r="D87" s="24"/>
      <c r="E87" s="24"/>
      <c r="F87" s="24"/>
      <c r="G87" s="24"/>
      <c r="H87" s="185"/>
      <c r="I87" s="184"/>
      <c r="J87" s="42">
        <f>VLOOKUP($B$45:$B$95,'Alberta Equip. Rates Year 3'!$B$13:$K$314,10,FALSE)</f>
        <v>0</v>
      </c>
      <c r="K87" s="181">
        <f t="shared" si="1"/>
        <v>0</v>
      </c>
    </row>
    <row r="88" spans="1:11" s="1" customFormat="1" ht="15" customHeight="1">
      <c r="A88" s="43"/>
      <c r="B88" s="49">
        <f>VLOOKUP($C$45:$C$95,Equipment!$A$1:$B$2322,2,FALSE)</f>
        <v>0</v>
      </c>
      <c r="C88" s="24"/>
      <c r="D88" s="24"/>
      <c r="E88" s="24"/>
      <c r="F88" s="24"/>
      <c r="G88" s="24"/>
      <c r="H88" s="185"/>
      <c r="I88" s="184"/>
      <c r="J88" s="42">
        <f>VLOOKUP($B$45:$B$95,'Alberta Equip. Rates Year 3'!$B$13:$K$314,10,FALSE)</f>
        <v>0</v>
      </c>
      <c r="K88" s="181">
        <f t="shared" si="1"/>
        <v>0</v>
      </c>
    </row>
    <row r="89" spans="1:11" s="1" customFormat="1" ht="15" customHeight="1">
      <c r="A89" s="43"/>
      <c r="B89" s="49">
        <f>VLOOKUP($C$45:$C$95,Equipment!$A$1:$B$2322,2,FALSE)</f>
        <v>0</v>
      </c>
      <c r="C89" s="24"/>
      <c r="D89" s="24"/>
      <c r="E89" s="24"/>
      <c r="F89" s="24"/>
      <c r="G89" s="24"/>
      <c r="H89" s="185"/>
      <c r="I89" s="184"/>
      <c r="J89" s="42">
        <f>VLOOKUP($B$45:$B$95,'Alberta Equip. Rates Year 3'!$B$13:$K$314,10,FALSE)</f>
        <v>0</v>
      </c>
      <c r="K89" s="181">
        <f t="shared" si="1"/>
        <v>0</v>
      </c>
    </row>
    <row r="90" spans="1:11" s="1" customFormat="1" ht="15" customHeight="1">
      <c r="A90" s="43"/>
      <c r="B90" s="49">
        <f>VLOOKUP($C$45:$C$95,Equipment!$A$1:$B$2322,2,FALSE)</f>
        <v>0</v>
      </c>
      <c r="C90" s="24"/>
      <c r="D90" s="24"/>
      <c r="E90" s="24"/>
      <c r="F90" s="24"/>
      <c r="G90" s="24"/>
      <c r="H90" s="185"/>
      <c r="I90" s="184"/>
      <c r="J90" s="42">
        <f>VLOOKUP($B$45:$B$95,'Alberta Equip. Rates Year 3'!$B$13:$K$314,10,FALSE)</f>
        <v>0</v>
      </c>
      <c r="K90" s="181">
        <f t="shared" si="1"/>
        <v>0</v>
      </c>
    </row>
    <row r="91" spans="1:11" s="1" customFormat="1" ht="15" customHeight="1">
      <c r="A91" s="43"/>
      <c r="B91" s="49">
        <f>VLOOKUP($C$45:$C$95,Equipment!$A$1:$B$2322,2,FALSE)</f>
        <v>0</v>
      </c>
      <c r="C91" s="24"/>
      <c r="D91" s="24"/>
      <c r="E91" s="24"/>
      <c r="F91" s="24"/>
      <c r="G91" s="24"/>
      <c r="H91" s="185"/>
      <c r="I91" s="184"/>
      <c r="J91" s="42">
        <f>VLOOKUP($B$45:$B$95,'Alberta Equip. Rates Year 3'!$B$13:$K$314,10,FALSE)</f>
        <v>0</v>
      </c>
      <c r="K91" s="181">
        <f t="shared" si="1"/>
        <v>0</v>
      </c>
    </row>
    <row r="92" spans="1:11" s="1" customFormat="1" ht="15" customHeight="1">
      <c r="A92" s="43"/>
      <c r="B92" s="49">
        <f>VLOOKUP($C$45:$C$95,Equipment!$A$1:$B$2322,2,FALSE)</f>
        <v>0</v>
      </c>
      <c r="C92" s="24"/>
      <c r="D92" s="24"/>
      <c r="E92" s="24"/>
      <c r="F92" s="24"/>
      <c r="G92" s="24"/>
      <c r="H92" s="185"/>
      <c r="I92" s="184"/>
      <c r="J92" s="42">
        <f>VLOOKUP($B$45:$B$95,'Alberta Equip. Rates Year 3'!$B$13:$K$314,10,FALSE)</f>
        <v>0</v>
      </c>
      <c r="K92" s="181">
        <f t="shared" si="1"/>
        <v>0</v>
      </c>
    </row>
    <row r="93" spans="1:11" s="1" customFormat="1" ht="15" customHeight="1">
      <c r="A93" s="43"/>
      <c r="B93" s="49">
        <f>VLOOKUP($C$45:$C$95,Equipment!$A$1:$B$2322,2,FALSE)</f>
        <v>0</v>
      </c>
      <c r="C93" s="24"/>
      <c r="D93" s="24"/>
      <c r="E93" s="24"/>
      <c r="F93" s="24"/>
      <c r="G93" s="24"/>
      <c r="H93" s="185"/>
      <c r="I93" s="184"/>
      <c r="J93" s="42">
        <f>VLOOKUP($B$45:$B$95,'Alberta Equip. Rates Year 3'!$B$13:$K$314,10,FALSE)</f>
        <v>0</v>
      </c>
      <c r="K93" s="181">
        <f t="shared" si="1"/>
        <v>0</v>
      </c>
    </row>
    <row r="94" spans="1:11" s="1" customFormat="1" ht="15" customHeight="1">
      <c r="A94" s="43"/>
      <c r="B94" s="49">
        <f>VLOOKUP($C$45:$C$95,Equipment!$A$1:$B$2322,2,FALSE)</f>
        <v>0</v>
      </c>
      <c r="C94" s="24"/>
      <c r="D94" s="24"/>
      <c r="E94" s="24"/>
      <c r="F94" s="24"/>
      <c r="G94" s="24"/>
      <c r="H94" s="185"/>
      <c r="I94" s="184"/>
      <c r="J94" s="42">
        <f>VLOOKUP($B$45:$B$95,'Alberta Equip. Rates Year 3'!$B$13:$K$314,10,FALSE)</f>
        <v>0</v>
      </c>
      <c r="K94" s="181">
        <f t="shared" si="1"/>
        <v>0</v>
      </c>
    </row>
    <row r="95" spans="1:11" s="1" customFormat="1" ht="15" customHeight="1" thickBot="1">
      <c r="A95" s="43"/>
      <c r="B95" s="49">
        <f>VLOOKUP($C$45:$C$95,Equipment!$A$1:$B$2322,2,FALSE)</f>
        <v>0</v>
      </c>
      <c r="C95" s="24"/>
      <c r="D95" s="24"/>
      <c r="E95" s="24"/>
      <c r="F95" s="24"/>
      <c r="G95" s="24"/>
      <c r="H95" s="185"/>
      <c r="I95" s="184"/>
      <c r="J95" s="42">
        <f>VLOOKUP($B$45:$B$95,'Alberta Equip. Rates Year 3'!$B$13:$K$314,10,FALSE)</f>
        <v>0</v>
      </c>
      <c r="K95" s="181">
        <f t="shared" si="1"/>
        <v>0</v>
      </c>
    </row>
    <row r="96" spans="1:11" s="1" customFormat="1" ht="12" thickBot="1">
      <c r="A96" s="25"/>
      <c r="B96" s="25"/>
      <c r="C96" s="25"/>
      <c r="D96" s="21"/>
      <c r="E96" s="21"/>
      <c r="F96" s="21"/>
      <c r="G96" s="21"/>
      <c r="H96" s="21"/>
      <c r="I96" s="360" t="s">
        <v>24</v>
      </c>
      <c r="J96" s="361"/>
      <c r="K96" s="182">
        <f>SUM(K45:K95)</f>
        <v>5187.1900000000005</v>
      </c>
    </row>
    <row r="97" spans="1:11" s="1" customFormat="1" ht="12" thickBot="1">
      <c r="A97" s="26"/>
      <c r="D97" s="26"/>
      <c r="E97" s="2"/>
      <c r="F97" s="2"/>
      <c r="G97" s="2"/>
      <c r="H97" s="2"/>
      <c r="I97" s="27"/>
      <c r="J97" s="27"/>
      <c r="K97" s="28"/>
    </row>
    <row r="98" spans="1:11" s="1" customFormat="1" ht="11">
      <c r="A98" s="1" t="s">
        <v>25</v>
      </c>
      <c r="B98" s="29"/>
      <c r="I98" s="362" t="s">
        <v>26</v>
      </c>
      <c r="J98" s="362"/>
      <c r="K98" s="37">
        <f>K42</f>
        <v>11073.300000000001</v>
      </c>
    </row>
    <row r="99" spans="1:11" s="1" customFormat="1" ht="11">
      <c r="I99" s="362" t="s">
        <v>27</v>
      </c>
      <c r="J99" s="362"/>
      <c r="K99" s="38">
        <f>K96</f>
        <v>5187.1900000000005</v>
      </c>
    </row>
    <row r="100" spans="1:11" s="1" customFormat="1" ht="11">
      <c r="I100" s="27" t="s">
        <v>28</v>
      </c>
      <c r="J100" s="27"/>
      <c r="K100" s="38">
        <f>(O42)*14.15</f>
        <v>1669.7</v>
      </c>
    </row>
    <row r="101" spans="1:11" s="1" customFormat="1" ht="11">
      <c r="I101" s="30" t="s">
        <v>29</v>
      </c>
      <c r="J101" s="30"/>
      <c r="K101" s="39"/>
    </row>
    <row r="102" spans="1:11" s="1" customFormat="1" ht="11">
      <c r="I102" s="30" t="s">
        <v>30</v>
      </c>
      <c r="J102" s="30"/>
      <c r="K102" s="39"/>
    </row>
    <row r="103" spans="1:11" s="1" customFormat="1" ht="11">
      <c r="I103" s="30" t="s">
        <v>31</v>
      </c>
      <c r="J103" s="30"/>
      <c r="K103" s="39"/>
    </row>
    <row r="104" spans="1:11" s="1" customFormat="1" ht="12" thickBot="1">
      <c r="I104" s="362" t="s">
        <v>32</v>
      </c>
      <c r="J104" s="362"/>
      <c r="K104" s="40">
        <f>SUM(K98:K103)</f>
        <v>17930.190000000002</v>
      </c>
    </row>
    <row r="105" spans="1:11" s="1" customFormat="1" ht="11">
      <c r="I105" s="27"/>
      <c r="J105" s="27"/>
    </row>
    <row r="106" spans="1:11" s="1" customFormat="1" ht="11">
      <c r="A106" s="31" t="s">
        <v>33</v>
      </c>
      <c r="B106" s="32"/>
      <c r="C106" s="32"/>
      <c r="E106" s="2"/>
      <c r="F106" s="2"/>
      <c r="G106" s="2"/>
      <c r="H106" s="33" t="s">
        <v>34</v>
      </c>
      <c r="I106" s="32"/>
      <c r="J106" s="32"/>
      <c r="K106" s="32"/>
    </row>
    <row r="107" spans="1:11" s="1" customFormat="1">
      <c r="A107" s="34"/>
      <c r="D107" s="2"/>
      <c r="E107" s="8"/>
      <c r="F107" s="8"/>
      <c r="G107" s="8"/>
      <c r="H107" s="35"/>
      <c r="I107" s="35"/>
      <c r="J107" s="35"/>
      <c r="K107" s="35"/>
    </row>
    <row r="108" spans="1:11" s="1" customFormat="1">
      <c r="A108" s="34" t="s">
        <v>35</v>
      </c>
      <c r="D108" s="2"/>
      <c r="E108" s="8"/>
      <c r="F108" s="8"/>
      <c r="G108" s="8"/>
      <c r="H108" s="35"/>
      <c r="I108" s="35"/>
      <c r="J108" s="35"/>
      <c r="K108" s="35"/>
    </row>
    <row r="109" spans="1:11" s="34" customFormat="1" ht="11">
      <c r="A109" s="363">
        <v>41218.479166666664</v>
      </c>
      <c r="B109" s="363"/>
      <c r="C109" s="364"/>
      <c r="D109" s="364"/>
      <c r="E109" s="364"/>
      <c r="F109" s="364"/>
      <c r="G109" s="364"/>
      <c r="H109" s="364"/>
      <c r="I109" s="364"/>
      <c r="J109" s="364"/>
      <c r="K109" s="8"/>
    </row>
    <row r="110" spans="1:11" s="1" customFormat="1" ht="11">
      <c r="D110" s="2"/>
      <c r="E110" s="2"/>
      <c r="F110" s="2"/>
      <c r="G110" s="2"/>
      <c r="H110" s="2"/>
      <c r="I110" s="2"/>
      <c r="J110" s="2"/>
    </row>
    <row r="111" spans="1:11" s="1" customFormat="1" ht="11">
      <c r="D111" s="2"/>
      <c r="E111" s="2"/>
      <c r="F111" s="2"/>
      <c r="G111" s="2"/>
      <c r="H111" s="2"/>
      <c r="I111" s="2"/>
      <c r="J111" s="2"/>
    </row>
    <row r="112" spans="1:11" s="1" customFormat="1" ht="11">
      <c r="D112" s="2"/>
      <c r="E112" s="2"/>
      <c r="F112" s="2"/>
      <c r="G112" s="2"/>
      <c r="H112" s="2"/>
      <c r="I112" s="2"/>
      <c r="J112" s="2"/>
    </row>
  </sheetData>
  <mergeCells count="12">
    <mergeCell ref="I96:J96"/>
    <mergeCell ref="I98:J98"/>
    <mergeCell ref="I99:J99"/>
    <mergeCell ref="I104:J104"/>
    <mergeCell ref="A109:B109"/>
    <mergeCell ref="C109:J109"/>
    <mergeCell ref="I42:J42"/>
    <mergeCell ref="C1:H1"/>
    <mergeCell ref="C2:H2"/>
    <mergeCell ref="C3:H3"/>
    <mergeCell ref="H6:I6"/>
    <mergeCell ref="H7:I7"/>
  </mergeCell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2900-000000000000}">
          <x14:formula1>
            <xm:f>Accounts!$A$4:$A$60</xm:f>
          </x14:formula1>
          <xm:sqref>K7</xm:sqref>
        </x14:dataValidation>
        <x14:dataValidation type="list" allowBlank="1" showInputMessage="1" showErrorMessage="1" xr:uid="{00000000-0002-0000-2900-000001000000}">
          <x14:formula1>
            <xm:f>'Constr. Wage Rate Calculations'!$A$19:$A$288</xm:f>
          </x14:formula1>
          <xm:sqref>B11:B21 B22:B41</xm:sqref>
        </x14:dataValidation>
        <x14:dataValidation type="list" allowBlank="1" showInputMessage="1" showErrorMessage="1" xr:uid="{00000000-0002-0000-2900-000002000000}">
          <x14:formula1>
            <xm:f>Personnel!$A:$A</xm:f>
          </x14:formula1>
          <xm:sqref>C11:C41</xm:sqref>
        </x14:dataValidation>
        <x14:dataValidation type="list" allowBlank="1" showInputMessage="1" showErrorMessage="1" xr:uid="{00000000-0002-0000-2900-000004000000}">
          <x14:formula1>
            <xm:f>Equipment!$A:$A</xm:f>
          </x14:formula1>
          <xm:sqref>C45:C95</xm:sqref>
        </x14:dataValidation>
      </x14:dataValidations>
    </ext>
    <ext xmlns:mx="http://schemas.microsoft.com/office/mac/excel/2008/main" uri="{64002731-A6B0-56B0-2670-7721B7C09600}">
      <mx:PLV Mode="0" OnePage="0" WScale="0"/>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CCFFCC"/>
    <pageSetUpPr fitToPage="1"/>
  </sheetPr>
  <dimension ref="A1:O151"/>
  <sheetViews>
    <sheetView zoomScale="120" zoomScaleNormal="120" zoomScalePageLayoutView="120" workbookViewId="0">
      <selection activeCell="F17" sqref="F17"/>
    </sheetView>
  </sheetViews>
  <sheetFormatPr baseColWidth="10" defaultColWidth="8.83203125" defaultRowHeight="11"/>
  <cols>
    <col min="1" max="1" width="13" style="1" customWidth="1"/>
    <col min="2" max="2" width="30" style="1" customWidth="1"/>
    <col min="3" max="3" width="24.5" style="1" customWidth="1"/>
    <col min="4" max="4" width="8.6640625" style="2" customWidth="1"/>
    <col min="5" max="6" width="8.33203125" style="2" customWidth="1"/>
    <col min="7" max="8" width="8.6640625" style="2" customWidth="1"/>
    <col min="9" max="9" width="9.33203125" style="2" customWidth="1"/>
    <col min="10" max="10" width="8.6640625" style="2" customWidth="1"/>
    <col min="11" max="11" width="20.33203125" style="1" customWidth="1"/>
    <col min="12" max="12" width="3.5" style="1" hidden="1" customWidth="1"/>
    <col min="13" max="16384" width="8.83203125" style="1"/>
  </cols>
  <sheetData>
    <row r="1" spans="1:13" ht="15">
      <c r="C1" s="364"/>
      <c r="D1" s="365"/>
      <c r="E1" s="365"/>
      <c r="F1" s="365"/>
      <c r="G1" s="365"/>
      <c r="H1" s="366"/>
      <c r="J1" s="2" t="s">
        <v>0</v>
      </c>
      <c r="K1" s="197">
        <v>41659</v>
      </c>
      <c r="M1" s="45"/>
    </row>
    <row r="2" spans="1:13" ht="15">
      <c r="C2" s="367"/>
      <c r="D2" s="367"/>
      <c r="E2" s="367"/>
      <c r="F2" s="367"/>
      <c r="G2" s="367"/>
      <c r="H2" s="366"/>
      <c r="K2" s="41"/>
    </row>
    <row r="3" spans="1:13" ht="15">
      <c r="C3" s="368"/>
      <c r="D3" s="369"/>
      <c r="E3" s="369"/>
      <c r="F3" s="369"/>
      <c r="G3" s="369"/>
      <c r="H3" s="366"/>
    </row>
    <row r="4" spans="1:13">
      <c r="C4" s="3"/>
      <c r="D4" s="4"/>
      <c r="E4" s="4"/>
      <c r="F4" s="4"/>
      <c r="G4" s="4"/>
    </row>
    <row r="5" spans="1:13">
      <c r="C5" s="3"/>
      <c r="D5" s="4"/>
      <c r="E5" s="4"/>
      <c r="F5" s="4"/>
      <c r="G5" s="4"/>
    </row>
    <row r="6" spans="1:13" ht="12">
      <c r="B6" s="5"/>
      <c r="C6" s="6"/>
      <c r="D6" s="7"/>
      <c r="E6" s="8"/>
      <c r="F6" s="8"/>
      <c r="G6" s="1" t="s">
        <v>1</v>
      </c>
      <c r="H6" s="370">
        <v>18205</v>
      </c>
      <c r="I6" s="370"/>
      <c r="J6" s="1" t="s">
        <v>2</v>
      </c>
      <c r="K6" s="47"/>
    </row>
    <row r="7" spans="1:13" ht="12">
      <c r="A7" s="1" t="s">
        <v>3</v>
      </c>
      <c r="B7" s="9"/>
      <c r="C7" s="10"/>
      <c r="D7" s="11"/>
      <c r="E7" s="8"/>
      <c r="F7" s="8"/>
      <c r="G7" s="1" t="s">
        <v>4</v>
      </c>
      <c r="H7" s="371"/>
      <c r="I7" s="371"/>
      <c r="J7" s="1" t="s">
        <v>5</v>
      </c>
      <c r="K7" s="46"/>
    </row>
    <row r="8" spans="1:13" ht="12">
      <c r="B8" s="12"/>
      <c r="C8" s="13"/>
      <c r="D8" s="14"/>
      <c r="E8" s="8"/>
      <c r="F8" s="8"/>
      <c r="G8" s="1" t="s">
        <v>6</v>
      </c>
      <c r="H8" s="187"/>
      <c r="I8" s="188"/>
      <c r="J8" s="44"/>
    </row>
    <row r="9" spans="1:13" ht="16" thickBot="1">
      <c r="B9" s="15"/>
      <c r="C9" s="16"/>
      <c r="D9" s="16"/>
      <c r="E9" s="8"/>
      <c r="F9" s="8"/>
      <c r="G9" s="8"/>
    </row>
    <row r="10" spans="1:13" s="19" customFormat="1" ht="12" thickBot="1">
      <c r="A10" s="17" t="s">
        <v>7</v>
      </c>
      <c r="B10" s="17" t="s">
        <v>8</v>
      </c>
      <c r="C10" s="17" t="s">
        <v>9</v>
      </c>
      <c r="D10" s="18" t="s">
        <v>10</v>
      </c>
      <c r="E10" s="18" t="s">
        <v>11</v>
      </c>
      <c r="F10" s="18" t="s">
        <v>12</v>
      </c>
      <c r="G10" s="180" t="s">
        <v>13</v>
      </c>
      <c r="H10" s="18" t="s">
        <v>14</v>
      </c>
      <c r="I10" s="18" t="s">
        <v>15</v>
      </c>
      <c r="J10" s="18" t="s">
        <v>16</v>
      </c>
      <c r="K10" s="18" t="s">
        <v>17</v>
      </c>
      <c r="M10" s="19" t="s">
        <v>1797</v>
      </c>
    </row>
    <row r="11" spans="1:13" ht="15" customHeight="1">
      <c r="A11" s="48"/>
      <c r="B11" s="49">
        <f>VLOOKUP($C$11:$C$32,Personnel!$A$1:$B$1234,2,FALSE)</f>
        <v>0</v>
      </c>
      <c r="C11" s="36"/>
      <c r="D11" s="184"/>
      <c r="E11" s="179">
        <f>VLOOKUP($B$11:$B$32,'Constr. Wage Rate Calculations'!$A$19:$Z$288,22,FALSE)</f>
        <v>0</v>
      </c>
      <c r="F11" s="184"/>
      <c r="G11" s="179">
        <f>VLOOKUP($B$11:$B$32,'Constr. Wage Rate Calculations'!$A$19:$Z$288,23,FALSE)</f>
        <v>0</v>
      </c>
      <c r="H11" s="184"/>
      <c r="I11" s="179">
        <f>VLOOKUP($B$11:$B$32,'Constr. Wage Rate Calculations'!$A$19:$Z$288,24,FALSE)</f>
        <v>0</v>
      </c>
      <c r="J11" s="20">
        <f>VLOOKUP($B$11:$B$32,'Constr. Wage Rate Calculations'!$A$19:$Z$288,25,FALSE)</f>
        <v>0</v>
      </c>
      <c r="K11" s="179" t="str">
        <f t="shared" ref="K11:K32" si="0">IF($D11&gt;=1,$J11+(D11*E11)+(F11*G11)+(H11*I11),IF($F11&gt;=1,$J11+(D11*E11)+(F11*G11)+(H11*I11),IF($H11&gt;=1,$J11+(D11*E11)+(F11*G11)+(H11*I11),"")))</f>
        <v/>
      </c>
    </row>
    <row r="12" spans="1:13" ht="15" customHeight="1">
      <c r="A12" s="48"/>
      <c r="B12" s="49" t="str">
        <f>VLOOKUP($C$11:$C$32,Personnel!$A$1:$B$1234,2,FALSE)</f>
        <v>PRINCIPAL OPER 1</v>
      </c>
      <c r="C12" s="36" t="s">
        <v>4093</v>
      </c>
      <c r="D12" s="184">
        <v>8</v>
      </c>
      <c r="E12" s="179">
        <f>VLOOKUP($B$11:$B$32,'Constr. Wage Rate Calculations'!$A$19:$Z$288,22,FALSE)</f>
        <v>64.239999999999995</v>
      </c>
      <c r="F12" s="184">
        <v>4</v>
      </c>
      <c r="G12" s="179">
        <f>VLOOKUP($B$11:$B$32,'Constr. Wage Rate Calculations'!$A$19:$Z$288,23,FALSE)</f>
        <v>96.36</v>
      </c>
      <c r="H12" s="184"/>
      <c r="I12" s="179">
        <f>VLOOKUP($B$11:$B$32,'Constr. Wage Rate Calculations'!$A$19:$Z$288,24,FALSE)</f>
        <v>128.47</v>
      </c>
      <c r="J12" s="20">
        <f>VLOOKUP($B$11:$B$32,'Constr. Wage Rate Calculations'!$A$19:$Z$288,25,FALSE)</f>
        <v>85</v>
      </c>
      <c r="K12" s="179">
        <f t="shared" si="0"/>
        <v>984.3599999999999</v>
      </c>
    </row>
    <row r="13" spans="1:13" ht="15" customHeight="1">
      <c r="A13" s="48"/>
      <c r="B13" s="49" t="str">
        <f>VLOOKUP($C$11:$C$32,Personnel!$A$1:$B$1234,2,FALSE)</f>
        <v>PRINCIPAL OPER 1</v>
      </c>
      <c r="C13" s="36" t="s">
        <v>1542</v>
      </c>
      <c r="D13" s="184">
        <v>8</v>
      </c>
      <c r="E13" s="179">
        <f>VLOOKUP($B$11:$B$32,'Constr. Wage Rate Calculations'!$A$19:$Z$288,22,FALSE)</f>
        <v>64.239999999999995</v>
      </c>
      <c r="F13" s="184">
        <v>6</v>
      </c>
      <c r="G13" s="179">
        <f>VLOOKUP($B$11:$B$32,'Constr. Wage Rate Calculations'!$A$19:$Z$288,23,FALSE)</f>
        <v>96.36</v>
      </c>
      <c r="H13" s="184"/>
      <c r="I13" s="179">
        <f>VLOOKUP($B$11:$B$32,'Constr. Wage Rate Calculations'!$A$19:$Z$288,24,FALSE)</f>
        <v>128.47</v>
      </c>
      <c r="J13" s="20">
        <f>VLOOKUP($B$11:$B$32,'Constr. Wage Rate Calculations'!$A$19:$Z$288,25,FALSE)</f>
        <v>85</v>
      </c>
      <c r="K13" s="179">
        <f t="shared" si="0"/>
        <v>1177.08</v>
      </c>
      <c r="M13" s="1">
        <v>2</v>
      </c>
    </row>
    <row r="14" spans="1:13" ht="15" customHeight="1">
      <c r="A14" s="48"/>
      <c r="B14" s="49" t="str">
        <f>VLOOKUP($C$11:$C$32,Personnel!$A$1:$B$1234,2,FALSE)</f>
        <v>GENERAL LABOURER</v>
      </c>
      <c r="C14" s="36" t="s">
        <v>3337</v>
      </c>
      <c r="D14" s="184">
        <v>8</v>
      </c>
      <c r="E14" s="179">
        <f>VLOOKUP($B$11:$B$32,'Constr. Wage Rate Calculations'!$A$19:$Z$288,22,FALSE)</f>
        <v>48.1</v>
      </c>
      <c r="F14" s="184">
        <v>5</v>
      </c>
      <c r="G14" s="179">
        <f>VLOOKUP($B$11:$B$32,'Constr. Wage Rate Calculations'!$A$19:$Z$288,23,FALSE)</f>
        <v>72.150000000000006</v>
      </c>
      <c r="H14" s="184"/>
      <c r="I14" s="179">
        <f>VLOOKUP($B$11:$B$32,'Constr. Wage Rate Calculations'!$A$19:$Z$288,24,FALSE)</f>
        <v>96.2</v>
      </c>
      <c r="J14" s="20">
        <f>VLOOKUP($B$11:$B$32,'Constr. Wage Rate Calculations'!$A$19:$Z$288,25,FALSE)</f>
        <v>85</v>
      </c>
      <c r="K14" s="179">
        <f t="shared" si="0"/>
        <v>830.55</v>
      </c>
      <c r="M14" s="1">
        <v>1</v>
      </c>
    </row>
    <row r="15" spans="1:13" ht="15" customHeight="1">
      <c r="A15" s="48"/>
      <c r="B15" s="49" t="str">
        <f>VLOOKUP($C$11:$C$32,Personnel!$A$1:$B$1234,2,FALSE)</f>
        <v>APPRENTICE OPER/OILER</v>
      </c>
      <c r="C15" s="36" t="s">
        <v>4190</v>
      </c>
      <c r="D15" s="184">
        <v>8</v>
      </c>
      <c r="E15" s="179">
        <f>VLOOKUP($B$11:$B$32,'Constr. Wage Rate Calculations'!$A$19:$Z$288,22,FALSE)</f>
        <v>49.44</v>
      </c>
      <c r="F15" s="184">
        <v>5</v>
      </c>
      <c r="G15" s="179">
        <f>VLOOKUP($B$11:$B$32,'Constr. Wage Rate Calculations'!$A$19:$Z$288,23,FALSE)</f>
        <v>74.16</v>
      </c>
      <c r="H15" s="184"/>
      <c r="I15" s="179">
        <f>VLOOKUP($B$11:$B$32,'Constr. Wage Rate Calculations'!$A$19:$Z$288,24,FALSE)</f>
        <v>98.89</v>
      </c>
      <c r="J15" s="20">
        <f>VLOOKUP($B$11:$B$32,'Constr. Wage Rate Calculations'!$A$19:$Z$288,25,FALSE)</f>
        <v>85</v>
      </c>
      <c r="K15" s="179">
        <f t="shared" si="0"/>
        <v>851.31999999999994</v>
      </c>
    </row>
    <row r="16" spans="1:13" ht="15" customHeight="1">
      <c r="A16" s="48"/>
      <c r="B16" s="49" t="str">
        <f>VLOOKUP($C$11:$C$32,Personnel!$A$1:$B$1234,2,FALSE)</f>
        <v>PRINCIPAL OPER 1</v>
      </c>
      <c r="C16" s="36" t="s">
        <v>3041</v>
      </c>
      <c r="D16" s="184">
        <v>8</v>
      </c>
      <c r="E16" s="179">
        <f>VLOOKUP($B$11:$B$32,'Constr. Wage Rate Calculations'!$A$19:$Z$288,22,FALSE)</f>
        <v>64.239999999999995</v>
      </c>
      <c r="F16" s="184">
        <v>5</v>
      </c>
      <c r="G16" s="179">
        <f>VLOOKUP($B$11:$B$32,'Constr. Wage Rate Calculations'!$A$19:$Z$288,23,FALSE)</f>
        <v>96.36</v>
      </c>
      <c r="H16" s="184"/>
      <c r="I16" s="179">
        <f>VLOOKUP($B$11:$B$32,'Constr. Wage Rate Calculations'!$A$19:$Z$288,24,FALSE)</f>
        <v>128.47</v>
      </c>
      <c r="J16" s="20">
        <f>VLOOKUP($B$11:$B$32,'Constr. Wage Rate Calculations'!$A$19:$Z$288,25,FALSE)</f>
        <v>85</v>
      </c>
      <c r="K16" s="179">
        <f t="shared" si="0"/>
        <v>1080.72</v>
      </c>
      <c r="M16" s="1">
        <v>1</v>
      </c>
    </row>
    <row r="17" spans="1:13" ht="15" customHeight="1">
      <c r="A17" s="48"/>
      <c r="B17" s="49" t="str">
        <f>VLOOKUP($C$11:$C$32,Personnel!$A$1:$B$1234,2,FALSE)</f>
        <v>PRINCIPAL OPER 1</v>
      </c>
      <c r="C17" s="36" t="s">
        <v>4155</v>
      </c>
      <c r="D17" s="184">
        <v>8</v>
      </c>
      <c r="E17" s="179">
        <f>VLOOKUP($B$11:$B$32,'Constr. Wage Rate Calculations'!$A$19:$Z$288,22,FALSE)</f>
        <v>64.239999999999995</v>
      </c>
      <c r="F17" s="184">
        <v>4</v>
      </c>
      <c r="G17" s="179">
        <f>VLOOKUP($B$11:$B$32,'Constr. Wage Rate Calculations'!$A$19:$Z$288,23,FALSE)</f>
        <v>96.36</v>
      </c>
      <c r="H17" s="184"/>
      <c r="I17" s="179">
        <f>VLOOKUP($B$11:$B$32,'Constr. Wage Rate Calculations'!$A$19:$Z$288,24,FALSE)</f>
        <v>128.47</v>
      </c>
      <c r="J17" s="20">
        <f>VLOOKUP($B$11:$B$32,'Constr. Wage Rate Calculations'!$A$19:$Z$288,25,FALSE)</f>
        <v>85</v>
      </c>
      <c r="K17" s="179">
        <f t="shared" si="0"/>
        <v>984.3599999999999</v>
      </c>
      <c r="M17" s="1">
        <v>1</v>
      </c>
    </row>
    <row r="18" spans="1:13" ht="15" customHeight="1">
      <c r="A18" s="48"/>
      <c r="B18" s="49" t="str">
        <f>VLOOKUP($C$11:$C$32,Personnel!$A$1:$B$1234,2,FALSE)</f>
        <v>GENERAL LABOURER</v>
      </c>
      <c r="C18" s="36" t="s">
        <v>4156</v>
      </c>
      <c r="D18" s="184">
        <v>8</v>
      </c>
      <c r="E18" s="179">
        <f>VLOOKUP($B$11:$B$32,'Constr. Wage Rate Calculations'!$A$19:$Z$288,22,FALSE)</f>
        <v>48.1</v>
      </c>
      <c r="F18" s="184">
        <v>4</v>
      </c>
      <c r="G18" s="179">
        <f>VLOOKUP($B$11:$B$32,'Constr. Wage Rate Calculations'!$A$19:$Z$288,23,FALSE)</f>
        <v>72.150000000000006</v>
      </c>
      <c r="H18" s="184"/>
      <c r="I18" s="179">
        <f>VLOOKUP($B$11:$B$32,'Constr. Wage Rate Calculations'!$A$19:$Z$288,24,FALSE)</f>
        <v>96.2</v>
      </c>
      <c r="J18" s="20">
        <f>VLOOKUP($B$11:$B$32,'Constr. Wage Rate Calculations'!$A$19:$Z$288,25,FALSE)</f>
        <v>85</v>
      </c>
      <c r="K18" s="179">
        <f t="shared" si="0"/>
        <v>758.40000000000009</v>
      </c>
    </row>
    <row r="19" spans="1:13" ht="15" customHeight="1">
      <c r="A19" s="48"/>
      <c r="B19" s="49" t="str">
        <f>VLOOKUP($C$11:$C$32,Personnel!$A$1:$B$1234,2,FALSE)</f>
        <v>GENERAL LABOURER</v>
      </c>
      <c r="C19" s="36" t="s">
        <v>1508</v>
      </c>
      <c r="D19" s="184">
        <v>8</v>
      </c>
      <c r="E19" s="179">
        <f>VLOOKUP($B$11:$B$32,'Constr. Wage Rate Calculations'!$A$19:$Z$288,22,FALSE)</f>
        <v>48.1</v>
      </c>
      <c r="F19" s="184">
        <v>6</v>
      </c>
      <c r="G19" s="179">
        <f>VLOOKUP($B$11:$B$32,'Constr. Wage Rate Calculations'!$A$19:$Z$288,23,FALSE)</f>
        <v>72.150000000000006</v>
      </c>
      <c r="H19" s="184"/>
      <c r="I19" s="179">
        <f>VLOOKUP($B$11:$B$32,'Constr. Wage Rate Calculations'!$A$19:$Z$288,24,FALSE)</f>
        <v>96.2</v>
      </c>
      <c r="J19" s="20">
        <f>VLOOKUP($B$11:$B$32,'Constr. Wage Rate Calculations'!$A$19:$Z$288,25,FALSE)</f>
        <v>85</v>
      </c>
      <c r="K19" s="179">
        <f t="shared" si="0"/>
        <v>902.7</v>
      </c>
      <c r="M19" s="1">
        <v>2</v>
      </c>
    </row>
    <row r="20" spans="1:13" ht="15" customHeight="1">
      <c r="A20" s="48"/>
      <c r="B20" s="49" t="str">
        <f>VLOOKUP($C$11:$C$32,Personnel!$A$1:$B$1234,2,FALSE)</f>
        <v>PRINCIPAL OPER 1</v>
      </c>
      <c r="C20" s="36" t="s">
        <v>3346</v>
      </c>
      <c r="D20" s="184">
        <v>8</v>
      </c>
      <c r="E20" s="179">
        <f>VLOOKUP($B$11:$B$32,'Constr. Wage Rate Calculations'!$A$19:$Z$288,22,FALSE)</f>
        <v>64.239999999999995</v>
      </c>
      <c r="F20" s="184">
        <v>4</v>
      </c>
      <c r="G20" s="179">
        <f>VLOOKUP($B$11:$B$32,'Constr. Wage Rate Calculations'!$A$19:$Z$288,23,FALSE)</f>
        <v>96.36</v>
      </c>
      <c r="H20" s="184"/>
      <c r="I20" s="179">
        <f>VLOOKUP($B$11:$B$32,'Constr. Wage Rate Calculations'!$A$19:$Z$288,24,FALSE)</f>
        <v>128.47</v>
      </c>
      <c r="J20" s="20">
        <f>VLOOKUP($B$11:$B$32,'Constr. Wage Rate Calculations'!$A$19:$Z$288,25,FALSE)</f>
        <v>85</v>
      </c>
      <c r="K20" s="179">
        <f t="shared" si="0"/>
        <v>984.3599999999999</v>
      </c>
    </row>
    <row r="21" spans="1:13" ht="15" customHeight="1">
      <c r="A21" s="48"/>
      <c r="B21" s="49" t="str">
        <f>VLOOKUP($C$11:$C$32,Personnel!$A$1:$B$1234,2,FALSE)</f>
        <v>PRINCIPAL OPER 1</v>
      </c>
      <c r="C21" s="36" t="s">
        <v>4136</v>
      </c>
      <c r="D21" s="184">
        <v>8</v>
      </c>
      <c r="E21" s="179">
        <f>VLOOKUP($B$11:$B$32,'Constr. Wage Rate Calculations'!$A$19:$Z$288,22,FALSE)</f>
        <v>64.239999999999995</v>
      </c>
      <c r="F21" s="184">
        <v>5</v>
      </c>
      <c r="G21" s="179">
        <f>VLOOKUP($B$11:$B$32,'Constr. Wage Rate Calculations'!$A$19:$Z$288,23,FALSE)</f>
        <v>96.36</v>
      </c>
      <c r="H21" s="184"/>
      <c r="I21" s="179">
        <f>VLOOKUP($B$11:$B$32,'Constr. Wage Rate Calculations'!$A$19:$Z$288,24,FALSE)</f>
        <v>128.47</v>
      </c>
      <c r="J21" s="20">
        <f>VLOOKUP($B$11:$B$32,'Constr. Wage Rate Calculations'!$A$19:$Z$288,25,FALSE)</f>
        <v>85</v>
      </c>
      <c r="K21" s="179">
        <f t="shared" si="0"/>
        <v>1080.72</v>
      </c>
      <c r="M21" s="1">
        <v>1</v>
      </c>
    </row>
    <row r="22" spans="1:13" ht="15" customHeight="1">
      <c r="A22" s="48"/>
      <c r="B22" s="49" t="str">
        <f>VLOOKUP($C$11:$C$32,Personnel!$A$1:$B$1234,2,FALSE)</f>
        <v>APPRENTICE OPER/OILER</v>
      </c>
      <c r="C22" s="36" t="s">
        <v>1358</v>
      </c>
      <c r="D22" s="184">
        <v>8</v>
      </c>
      <c r="E22" s="179">
        <f>VLOOKUP($B$11:$B$32,'Constr. Wage Rate Calculations'!$A$19:$Z$288,22,FALSE)</f>
        <v>49.44</v>
      </c>
      <c r="F22" s="184">
        <v>6</v>
      </c>
      <c r="G22" s="179">
        <f>VLOOKUP($B$11:$B$32,'Constr. Wage Rate Calculations'!$A$19:$Z$288,23,FALSE)</f>
        <v>74.16</v>
      </c>
      <c r="H22" s="184"/>
      <c r="I22" s="179">
        <f>VLOOKUP($B$11:$B$32,'Constr. Wage Rate Calculations'!$A$19:$Z$288,24,FALSE)</f>
        <v>98.89</v>
      </c>
      <c r="J22" s="20">
        <f>VLOOKUP($B$11:$B$32,'Constr. Wage Rate Calculations'!$A$19:$Z$288,25,FALSE)</f>
        <v>85</v>
      </c>
      <c r="K22" s="179">
        <f t="shared" si="0"/>
        <v>925.48</v>
      </c>
      <c r="M22" s="1">
        <v>2</v>
      </c>
    </row>
    <row r="23" spans="1:13" ht="15" customHeight="1">
      <c r="A23" s="48"/>
      <c r="B23" s="49" t="str">
        <f>VLOOKUP($C$11:$C$32,Personnel!$A$1:$B$1234,2,FALSE)</f>
        <v>BUS/ CREWCAB DRIVER</v>
      </c>
      <c r="C23" s="36" t="s">
        <v>2994</v>
      </c>
      <c r="D23" s="184">
        <v>8</v>
      </c>
      <c r="E23" s="179">
        <f>VLOOKUP($B$11:$B$32,'Constr. Wage Rate Calculations'!$A$19:$Z$288,22,FALSE)</f>
        <v>56.73</v>
      </c>
      <c r="F23" s="184">
        <v>5</v>
      </c>
      <c r="G23" s="179">
        <f>VLOOKUP($B$11:$B$32,'Constr. Wage Rate Calculations'!$A$19:$Z$288,23,FALSE)</f>
        <v>85.1</v>
      </c>
      <c r="H23" s="184"/>
      <c r="I23" s="179">
        <f>VLOOKUP($B$11:$B$32,'Constr. Wage Rate Calculations'!$A$19:$Z$288,24,FALSE)</f>
        <v>113.46</v>
      </c>
      <c r="J23" s="20">
        <f>VLOOKUP($B$11:$B$32,'Constr. Wage Rate Calculations'!$A$19:$Z$288,25,FALSE)</f>
        <v>85</v>
      </c>
      <c r="K23" s="179">
        <f t="shared" si="0"/>
        <v>964.33999999999992</v>
      </c>
    </row>
    <row r="24" spans="1:13" ht="23.25" customHeight="1">
      <c r="A24" s="48"/>
      <c r="B24" s="49" t="str">
        <f>VLOOKUP($C$11:$C$32,Personnel!$A$1:$B$1234,2,FALSE)</f>
        <v>NON-WELDER JOURNEYMAN/ FITTER ON AUTO WELD SPREAD (QI APPLIES)</v>
      </c>
      <c r="C24" s="36" t="s">
        <v>1562</v>
      </c>
      <c r="D24" s="184">
        <v>8</v>
      </c>
      <c r="E24" s="179">
        <f>VLOOKUP($B$11:$B$32,'Constr. Wage Rate Calculations'!$A$19:$Z$288,22,FALSE)</f>
        <v>69.010000000000005</v>
      </c>
      <c r="F24" s="184">
        <v>5</v>
      </c>
      <c r="G24" s="179">
        <f>VLOOKUP($B$11:$B$32,'Constr. Wage Rate Calculations'!$A$19:$Z$288,23,FALSE)</f>
        <v>103.51</v>
      </c>
      <c r="H24" s="184"/>
      <c r="I24" s="179">
        <f>VLOOKUP($B$11:$B$32,'Constr. Wage Rate Calculations'!$A$19:$Z$288,24,FALSE)</f>
        <v>138.02000000000001</v>
      </c>
      <c r="J24" s="20">
        <f>VLOOKUP($B$11:$B$32,'Constr. Wage Rate Calculations'!$A$19:$Z$288,25,FALSE)</f>
        <v>85</v>
      </c>
      <c r="K24" s="179">
        <f t="shared" si="0"/>
        <v>1154.6300000000001</v>
      </c>
      <c r="M24" s="1">
        <v>1</v>
      </c>
    </row>
    <row r="25" spans="1:13" ht="12.75" customHeight="1">
      <c r="A25" s="48"/>
      <c r="B25" s="49" t="str">
        <f>VLOOKUP($C$11:$C$32,Personnel!$A$1:$B$1234,2,FALSE)</f>
        <v>PRINCIPAL OPER 1</v>
      </c>
      <c r="C25" s="36" t="s">
        <v>4119</v>
      </c>
      <c r="D25" s="184">
        <v>8</v>
      </c>
      <c r="E25" s="179">
        <f>VLOOKUP($B$11:$B$32,'Constr. Wage Rate Calculations'!$A$19:$Z$288,22,FALSE)</f>
        <v>64.239999999999995</v>
      </c>
      <c r="F25" s="184">
        <v>4</v>
      </c>
      <c r="G25" s="179">
        <f>VLOOKUP($B$11:$B$32,'Constr. Wage Rate Calculations'!$A$19:$Z$288,23,FALSE)</f>
        <v>96.36</v>
      </c>
      <c r="H25" s="184"/>
      <c r="I25" s="179">
        <f>VLOOKUP($B$11:$B$32,'Constr. Wage Rate Calculations'!$A$19:$Z$288,24,FALSE)</f>
        <v>128.47</v>
      </c>
      <c r="J25" s="20">
        <f>VLOOKUP($B$11:$B$32,'Constr. Wage Rate Calculations'!$A$19:$Z$288,25,FALSE)</f>
        <v>85</v>
      </c>
      <c r="K25" s="179">
        <f t="shared" si="0"/>
        <v>984.3599999999999</v>
      </c>
    </row>
    <row r="26" spans="1:13" ht="15" customHeight="1">
      <c r="A26" s="48"/>
      <c r="B26" s="49" t="str">
        <f>VLOOKUP($C$11:$C$32,Personnel!$A$1:$B$1234,2,FALSE)</f>
        <v>UA LOWER-IN FOREMAN</v>
      </c>
      <c r="C26" s="36" t="s">
        <v>1399</v>
      </c>
      <c r="D26" s="184">
        <v>1</v>
      </c>
      <c r="E26" s="179">
        <f>VLOOKUP($B$11:$B$32,'Constr. Wage Rate Calculations'!$A$19:$Z$288,22,FALSE)</f>
        <v>1952.31</v>
      </c>
      <c r="F26" s="184">
        <v>9</v>
      </c>
      <c r="G26" s="179">
        <f>VLOOKUP($B$11:$B$32,'Constr. Wage Rate Calculations'!$A$19:$Z$288,23,FALSE)</f>
        <v>0</v>
      </c>
      <c r="H26" s="184"/>
      <c r="I26" s="179">
        <f>VLOOKUP($B$11:$B$32,'Constr. Wage Rate Calculations'!$A$19:$Z$288,24,FALSE)</f>
        <v>0</v>
      </c>
      <c r="J26" s="20">
        <f>VLOOKUP($B$11:$B$32,'Constr. Wage Rate Calculations'!$A$19:$Z$288,25,FALSE)</f>
        <v>230</v>
      </c>
      <c r="K26" s="179">
        <f t="shared" si="0"/>
        <v>2182.31</v>
      </c>
    </row>
    <row r="27" spans="1:13" ht="12.75" customHeight="1">
      <c r="A27" s="48" t="s">
        <v>4040</v>
      </c>
      <c r="B27" s="49" t="str">
        <f>VLOOKUP($C$11:$C$32,Personnel!$A$1:$B$1234,2,FALSE)</f>
        <v>STRAW - OPERATOR</v>
      </c>
      <c r="C27" s="36" t="s">
        <v>1400</v>
      </c>
      <c r="D27" s="184">
        <v>8</v>
      </c>
      <c r="E27" s="179">
        <f>VLOOKUP($B$11:$B$32,'Constr. Wage Rate Calculations'!$A$19:$Z$288,22,FALSE)</f>
        <v>64.239999999999995</v>
      </c>
      <c r="F27" s="184">
        <v>7</v>
      </c>
      <c r="G27" s="179">
        <f>VLOOKUP($B$11:$B$32,'Constr. Wage Rate Calculations'!$A$19:$Z$288,23,FALSE)</f>
        <v>96.36</v>
      </c>
      <c r="H27" s="184"/>
      <c r="I27" s="179">
        <f>VLOOKUP($B$11:$B$32,'Constr. Wage Rate Calculations'!$A$19:$Z$288,24,FALSE)</f>
        <v>128.47</v>
      </c>
      <c r="J27" s="20">
        <f>VLOOKUP($B$11:$B$32,'Constr. Wage Rate Calculations'!$A$19:$Z$288,25,FALSE)</f>
        <v>85</v>
      </c>
      <c r="K27" s="179">
        <f t="shared" si="0"/>
        <v>1273.44</v>
      </c>
      <c r="M27" s="1">
        <v>3</v>
      </c>
    </row>
    <row r="28" spans="1:13" ht="12.75" customHeight="1">
      <c r="A28" s="48"/>
      <c r="B28" s="49" t="str">
        <f>VLOOKUP($C$11:$C$32,Personnel!$A$1:$B$1234,2,FALSE)</f>
        <v>PRINCIPAL OPER 1</v>
      </c>
      <c r="C28" s="36" t="s">
        <v>4197</v>
      </c>
      <c r="D28" s="184">
        <v>8</v>
      </c>
      <c r="E28" s="179">
        <f>VLOOKUP($B$11:$B$32,'Constr. Wage Rate Calculations'!$A$19:$Z$288,22,FALSE)</f>
        <v>64.239999999999995</v>
      </c>
      <c r="F28" s="184">
        <v>4</v>
      </c>
      <c r="G28" s="179">
        <f>VLOOKUP($B$11:$B$32,'Constr. Wage Rate Calculations'!$A$19:$Z$288,23,FALSE)</f>
        <v>96.36</v>
      </c>
      <c r="H28" s="184"/>
      <c r="I28" s="179">
        <f>VLOOKUP($B$11:$B$32,'Constr. Wage Rate Calculations'!$A$19:$Z$288,24,FALSE)</f>
        <v>128.47</v>
      </c>
      <c r="J28" s="20">
        <f>VLOOKUP($B$11:$B$32,'Constr. Wage Rate Calculations'!$A$19:$Z$288,25,FALSE)</f>
        <v>85</v>
      </c>
      <c r="K28" s="179">
        <f t="shared" si="0"/>
        <v>984.3599999999999</v>
      </c>
    </row>
    <row r="29" spans="1:13" ht="12.75" customHeight="1">
      <c r="A29" s="48"/>
      <c r="B29" s="49">
        <f>VLOOKUP($C$11:$C$32,Personnel!$A$1:$B$1234,2,FALSE)</f>
        <v>0</v>
      </c>
      <c r="C29" s="36"/>
      <c r="D29" s="184"/>
      <c r="E29" s="179">
        <f>VLOOKUP($B$11:$B$32,'Constr. Wage Rate Calculations'!$A$19:$Z$288,22,FALSE)</f>
        <v>0</v>
      </c>
      <c r="F29" s="184"/>
      <c r="G29" s="179">
        <f>VLOOKUP($B$11:$B$32,'Constr. Wage Rate Calculations'!$A$19:$Z$288,23,FALSE)</f>
        <v>0</v>
      </c>
      <c r="H29" s="184"/>
      <c r="I29" s="179">
        <f>VLOOKUP($B$11:$B$32,'Constr. Wage Rate Calculations'!$A$19:$Z$288,24,FALSE)</f>
        <v>0</v>
      </c>
      <c r="J29" s="20">
        <f>VLOOKUP($B$11:$B$32,'Constr. Wage Rate Calculations'!$A$19:$Z$288,25,FALSE)</f>
        <v>0</v>
      </c>
      <c r="K29" s="179" t="str">
        <f t="shared" ref="K29:K31" si="1">IF($D29&gt;=1,$J29+(D29*E29)+(F29*G29)+(H29*I29),IF($F29&gt;=1,$J29+(D29*E29)+(F29*G29)+(H29*I29),IF($H29&gt;=1,$J29+(D29*E29)+(F29*G29)+(H29*I29),"")))</f>
        <v/>
      </c>
    </row>
    <row r="30" spans="1:13" ht="12.75" customHeight="1">
      <c r="A30" s="48"/>
      <c r="B30" s="49">
        <f>VLOOKUP($C$11:$C$32,Personnel!$A$1:$B$1234,2,FALSE)</f>
        <v>0</v>
      </c>
      <c r="C30" s="36"/>
      <c r="D30" s="184"/>
      <c r="E30" s="179">
        <f>VLOOKUP($B$11:$B$32,'Constr. Wage Rate Calculations'!$A$19:$Z$288,22,FALSE)</f>
        <v>0</v>
      </c>
      <c r="F30" s="184"/>
      <c r="G30" s="179">
        <f>VLOOKUP($B$11:$B$32,'Constr. Wage Rate Calculations'!$A$19:$Z$288,23,FALSE)</f>
        <v>0</v>
      </c>
      <c r="H30" s="184"/>
      <c r="I30" s="179">
        <f>VLOOKUP($B$11:$B$32,'Constr. Wage Rate Calculations'!$A$19:$Z$288,24,FALSE)</f>
        <v>0</v>
      </c>
      <c r="J30" s="20">
        <f>VLOOKUP($B$11:$B$32,'Constr. Wage Rate Calculations'!$A$19:$Z$288,25,FALSE)</f>
        <v>0</v>
      </c>
      <c r="K30" s="179" t="str">
        <f t="shared" si="1"/>
        <v/>
      </c>
    </row>
    <row r="31" spans="1:13" ht="12.75" customHeight="1">
      <c r="A31" s="48"/>
      <c r="B31" s="49">
        <f>VLOOKUP($C$11:$C$32,Personnel!$A$1:$B$1234,2,FALSE)</f>
        <v>0</v>
      </c>
      <c r="C31" s="36"/>
      <c r="D31" s="184"/>
      <c r="E31" s="179">
        <f>VLOOKUP($B$11:$B$32,'Constr. Wage Rate Calculations'!$A$19:$Z$288,22,FALSE)</f>
        <v>0</v>
      </c>
      <c r="F31" s="184"/>
      <c r="G31" s="179">
        <f>VLOOKUP($B$11:$B$32,'Constr. Wage Rate Calculations'!$A$19:$Z$288,23,FALSE)</f>
        <v>0</v>
      </c>
      <c r="H31" s="184"/>
      <c r="I31" s="179">
        <f>VLOOKUP($B$11:$B$32,'Constr. Wage Rate Calculations'!$A$19:$Z$288,24,FALSE)</f>
        <v>0</v>
      </c>
      <c r="J31" s="20">
        <f>VLOOKUP($B$11:$B$32,'Constr. Wage Rate Calculations'!$A$19:$Z$288,25,FALSE)</f>
        <v>0</v>
      </c>
      <c r="K31" s="179" t="str">
        <f t="shared" si="1"/>
        <v/>
      </c>
    </row>
    <row r="32" spans="1:13" ht="15" customHeight="1" thickBot="1">
      <c r="A32" s="48"/>
      <c r="B32" s="49">
        <f>VLOOKUP($C$11:$C$32,Personnel!$A$1:$B$1234,2,FALSE)</f>
        <v>0</v>
      </c>
      <c r="C32" s="36"/>
      <c r="D32" s="184"/>
      <c r="E32" s="179">
        <f>VLOOKUP($B$11:$B$32,'Constr. Wage Rate Calculations'!$A$19:$Z$288,22,FALSE)</f>
        <v>0</v>
      </c>
      <c r="F32" s="184"/>
      <c r="G32" s="179">
        <f>VLOOKUP($B$11:$B$32,'Constr. Wage Rate Calculations'!$A$19:$Z$288,23,FALSE)</f>
        <v>0</v>
      </c>
      <c r="H32" s="184"/>
      <c r="I32" s="179">
        <f>VLOOKUP($B$11:$B$32,'Constr. Wage Rate Calculations'!$A$19:$Z$288,24,FALSE)</f>
        <v>0</v>
      </c>
      <c r="J32" s="20">
        <f>VLOOKUP($B$11:$B$32,'Constr. Wage Rate Calculations'!$A$19:$Z$288,25,FALSE)</f>
        <v>0</v>
      </c>
      <c r="K32" s="179" t="str">
        <f t="shared" si="0"/>
        <v/>
      </c>
      <c r="M32" s="1">
        <f>SUM(M11:M27)</f>
        <v>14</v>
      </c>
    </row>
    <row r="33" spans="1:15" ht="15" customHeight="1" thickBot="1">
      <c r="A33"/>
      <c r="B33"/>
      <c r="C33"/>
      <c r="D33" s="21"/>
      <c r="E33" s="21"/>
      <c r="F33" s="21"/>
      <c r="G33" s="21"/>
      <c r="H33" s="21"/>
      <c r="I33" s="360" t="s">
        <v>18</v>
      </c>
      <c r="J33" s="361"/>
      <c r="K33" s="183">
        <f>SUM(K11:K32)</f>
        <v>18103.489999999998</v>
      </c>
      <c r="M33" s="1">
        <f>SUMIFS(D11:D32,D11:D32,"&lt;3",D11:D32,"&lt;5")</f>
        <v>1</v>
      </c>
      <c r="N33" s="1">
        <f>SUMIFS(D11:D32,D11:D32,"&gt;3",D11:D32,"&gt;5")</f>
        <v>128</v>
      </c>
      <c r="O33" s="1">
        <f>SUM(M33,N33,F11:F32,H11:H32,-M32)</f>
        <v>203</v>
      </c>
    </row>
    <row r="34" spans="1:15" ht="10" customHeight="1" thickBot="1"/>
    <row r="35" spans="1:15" s="19" customFormat="1" ht="15" customHeight="1" thickBot="1">
      <c r="A35" s="22" t="s">
        <v>19</v>
      </c>
      <c r="B35" s="23" t="s">
        <v>20</v>
      </c>
      <c r="C35" s="23"/>
      <c r="D35" s="23"/>
      <c r="E35" s="23"/>
      <c r="F35" s="23"/>
      <c r="G35" s="23"/>
      <c r="H35" s="18" t="s">
        <v>21</v>
      </c>
      <c r="I35" s="18" t="s">
        <v>22</v>
      </c>
      <c r="J35" s="18" t="s">
        <v>23</v>
      </c>
      <c r="K35" s="18" t="s">
        <v>17</v>
      </c>
    </row>
    <row r="36" spans="1:15" ht="15" customHeight="1">
      <c r="A36" s="43"/>
      <c r="B36" s="49">
        <f>VLOOKUP($C$36:$C$78,Equipment!$A$1:$B$2322,2,FALSE)</f>
        <v>0</v>
      </c>
      <c r="C36" s="24"/>
      <c r="D36" s="24"/>
      <c r="E36" s="24"/>
      <c r="F36" s="24"/>
      <c r="G36" s="24"/>
      <c r="H36" s="185"/>
      <c r="I36" s="184"/>
      <c r="J36" s="42">
        <f>VLOOKUP($B$36:$B$78,'Alberta Equip. Rates Year 3'!$B$13:$K$314,10,FALSE)</f>
        <v>0</v>
      </c>
      <c r="K36" s="181">
        <f t="shared" ref="K36:K78" si="2">(H36+I36)*J36</f>
        <v>0</v>
      </c>
    </row>
    <row r="37" spans="1:15" ht="15" customHeight="1">
      <c r="A37" s="43"/>
      <c r="B37" s="49" t="str">
        <f>VLOOKUP($C$36:$C$78,Equipment!$A$1:$B$2322,2,FALSE)</f>
        <v>Athey Wagon</v>
      </c>
      <c r="C37" s="24" t="s">
        <v>2339</v>
      </c>
      <c r="D37" s="24"/>
      <c r="E37" s="24"/>
      <c r="F37" s="24"/>
      <c r="G37" s="24"/>
      <c r="H37" s="185">
        <v>1</v>
      </c>
      <c r="I37" s="184"/>
      <c r="J37" s="42">
        <f>VLOOKUP($B$36:$B$78,'Alberta Equip. Rates Year 3'!$B$13:$K$314,10,FALSE)</f>
        <v>106</v>
      </c>
      <c r="K37" s="181">
        <f t="shared" si="2"/>
        <v>106</v>
      </c>
    </row>
    <row r="38" spans="1:15" ht="15" customHeight="1">
      <c r="A38" s="43"/>
      <c r="B38" s="49" t="str">
        <f>VLOOKUP($C$36:$C$78,Equipment!$A$1:$B$2322,2,FALSE)</f>
        <v>Backhoe - Cat 330 Longstick</v>
      </c>
      <c r="C38" s="24" t="s">
        <v>4157</v>
      </c>
      <c r="D38" s="24"/>
      <c r="E38" s="24"/>
      <c r="F38" s="24"/>
      <c r="G38" s="24"/>
      <c r="H38" s="185">
        <v>1</v>
      </c>
      <c r="I38" s="184"/>
      <c r="J38" s="42">
        <f>VLOOKUP($B$36:$B$78,'Alberta Equip. Rates Year 3'!$B$13:$K$314,10,FALSE)</f>
        <v>784</v>
      </c>
      <c r="K38" s="181">
        <f t="shared" si="2"/>
        <v>784</v>
      </c>
    </row>
    <row r="39" spans="1:15" ht="15" customHeight="1">
      <c r="A39" s="43"/>
      <c r="B39" s="49" t="str">
        <f>VLOOKUP($C$36:$C$78,Equipment!$A$1:$B$2322,2,FALSE)</f>
        <v>Backhoe - Cat 345 Longstick</v>
      </c>
      <c r="C39" s="24" t="s">
        <v>3484</v>
      </c>
      <c r="D39" s="24"/>
      <c r="E39" s="24"/>
      <c r="F39" s="24"/>
      <c r="G39" s="24"/>
      <c r="H39" s="185">
        <v>1</v>
      </c>
      <c r="I39" s="184"/>
      <c r="J39" s="42">
        <f>VLOOKUP($B$36:$B$78,'Alberta Equip. Rates Year 3'!$B$13:$K$314,10,FALSE)</f>
        <v>1085</v>
      </c>
      <c r="K39" s="181">
        <f t="shared" si="2"/>
        <v>1085</v>
      </c>
    </row>
    <row r="40" spans="1:15" ht="15" customHeight="1">
      <c r="A40" s="43"/>
      <c r="B40" s="49" t="str">
        <f>VLOOKUP($C$36:$C$78,Equipment!$A$1:$B$2322,2,FALSE)</f>
        <v>Crewcab - 1 Ton</v>
      </c>
      <c r="C40" s="217" t="s">
        <v>2927</v>
      </c>
      <c r="D40" s="24"/>
      <c r="E40" s="24"/>
      <c r="F40" s="24"/>
      <c r="G40" s="24"/>
      <c r="H40" s="185">
        <v>1</v>
      </c>
      <c r="I40" s="184"/>
      <c r="J40" s="42">
        <f>VLOOKUP($B$36:$B$78,'Alberta Equip. Rates Year 3'!$B$13:$K$314,10,FALSE)</f>
        <v>163</v>
      </c>
      <c r="K40" s="181">
        <f t="shared" si="2"/>
        <v>163</v>
      </c>
    </row>
    <row r="41" spans="1:15" ht="15" customHeight="1">
      <c r="A41" s="43"/>
      <c r="B41" s="49" t="str">
        <f>VLOOKUP($C$36:$C$78,Equipment!$A$1:$B$2322,2,FALSE)</f>
        <v>Crewcab - 1 Ton</v>
      </c>
      <c r="C41" s="24" t="s">
        <v>3292</v>
      </c>
      <c r="D41" s="24"/>
      <c r="E41" s="24"/>
      <c r="F41" s="24"/>
      <c r="G41" s="24"/>
      <c r="H41" s="185">
        <v>1</v>
      </c>
      <c r="I41" s="184"/>
      <c r="J41" s="42">
        <f>VLOOKUP($B$36:$B$78,'Alberta Equip. Rates Year 3'!$B$13:$K$314,10,FALSE)</f>
        <v>163</v>
      </c>
      <c r="K41" s="181">
        <f t="shared" si="2"/>
        <v>163</v>
      </c>
    </row>
    <row r="42" spans="1:15" ht="15" customHeight="1">
      <c r="A42" s="43"/>
      <c r="B42" s="49" t="str">
        <f>VLOOKUP($C$36:$C$78,Equipment!$A$1:$B$2322,2,FALSE)</f>
        <v>Crewcab - 3/4 Ton</v>
      </c>
      <c r="C42" s="24" t="s">
        <v>3122</v>
      </c>
      <c r="D42" s="24"/>
      <c r="E42" s="24"/>
      <c r="F42" s="24"/>
      <c r="G42" s="24"/>
      <c r="H42" s="185">
        <v>1</v>
      </c>
      <c r="I42" s="184"/>
      <c r="J42" s="42">
        <f>VLOOKUP($B$36:$B$78,'Alberta Equip. Rates Year 3'!$B$13:$K$314,10,FALSE)</f>
        <v>153</v>
      </c>
      <c r="K42" s="181">
        <f t="shared" si="2"/>
        <v>153</v>
      </c>
    </row>
    <row r="43" spans="1:15" ht="15" customHeight="1">
      <c r="A43" s="43"/>
      <c r="B43" s="49" t="str">
        <f>VLOOKUP($C$36:$C$78,Equipment!$A$1:$B$2322,2,FALSE)</f>
        <v>Crewcab - 3/4 Ton</v>
      </c>
      <c r="C43" s="24" t="s">
        <v>3360</v>
      </c>
      <c r="D43" s="24"/>
      <c r="E43" s="24"/>
      <c r="F43" s="24"/>
      <c r="G43" s="24"/>
      <c r="H43" s="185">
        <v>1</v>
      </c>
      <c r="I43" s="184"/>
      <c r="J43" s="42">
        <f>VLOOKUP($B$36:$B$78,'Alberta Equip. Rates Year 3'!$B$13:$K$314,10,FALSE)</f>
        <v>153</v>
      </c>
      <c r="K43" s="181">
        <f>(H43+I43)*J43</f>
        <v>153</v>
      </c>
    </row>
    <row r="44" spans="1:15" ht="15" customHeight="1">
      <c r="A44" s="43"/>
      <c r="B44" s="49" t="str">
        <f>VLOOKUP($C$36:$C$78,Equipment!$A$1:$B$2322,2,FALSE)</f>
        <v>Flatdeck - 1 Ton</v>
      </c>
      <c r="C44" s="24" t="s">
        <v>2874</v>
      </c>
      <c r="D44" s="24"/>
      <c r="E44" s="24"/>
      <c r="F44" s="24"/>
      <c r="G44" s="24"/>
      <c r="H44" s="185">
        <v>1</v>
      </c>
      <c r="I44" s="184"/>
      <c r="J44" s="42">
        <f>VLOOKUP($B$36:$B$78,'Alberta Equip. Rates Year 3'!$B$13:$K$314,10,FALSE)</f>
        <v>153</v>
      </c>
      <c r="K44" s="181">
        <f t="shared" si="2"/>
        <v>153</v>
      </c>
    </row>
    <row r="45" spans="1:15" ht="15" customHeight="1">
      <c r="A45" s="43"/>
      <c r="B45" s="49" t="str">
        <f>VLOOKUP($C$36:$C$78,Equipment!$A$1:$B$2322,2,FALSE)</f>
        <v>Light Tower  - 6 kW</v>
      </c>
      <c r="C45" s="24" t="s">
        <v>4056</v>
      </c>
      <c r="D45" s="24"/>
      <c r="E45" s="24"/>
      <c r="F45" s="24"/>
      <c r="G45" s="24"/>
      <c r="H45" s="185">
        <v>1</v>
      </c>
      <c r="I45" s="184"/>
      <c r="J45" s="42">
        <f>VLOOKUP($B$36:$B$78,'Alberta Equip. Rates Year 3'!$B$13:$K$314,10,FALSE)</f>
        <v>212</v>
      </c>
      <c r="K45" s="181">
        <f>(H45+I45)*J45</f>
        <v>212</v>
      </c>
    </row>
    <row r="46" spans="1:15" ht="15" customHeight="1">
      <c r="A46" s="43"/>
      <c r="B46" s="49" t="str">
        <f>VLOOKUP($C$36:$C$78,Equipment!$A$1:$B$2322,2,FALSE)</f>
        <v>Pipeline Roller Cradles (Each)</v>
      </c>
      <c r="C46" s="24" t="s">
        <v>2972</v>
      </c>
      <c r="D46" s="24"/>
      <c r="E46" s="24"/>
      <c r="F46" s="24"/>
      <c r="G46" s="24"/>
      <c r="H46" s="185">
        <v>1</v>
      </c>
      <c r="I46" s="184"/>
      <c r="J46" s="42">
        <f>VLOOKUP($B$36:$B$78,'Alberta Equip. Rates Year 3'!$B$13:$K$314,10,FALSE)</f>
        <v>105.83</v>
      </c>
      <c r="K46" s="181">
        <f>(H46+I46)*J46</f>
        <v>105.83</v>
      </c>
    </row>
    <row r="47" spans="1:15" ht="15" customHeight="1">
      <c r="A47" s="43"/>
      <c r="B47" s="49" t="str">
        <f>VLOOKUP($C$36:$C$78,Equipment!$A$1:$B$2322,2,FALSE)</f>
        <v>Pipeline Roller Cradles (Each)</v>
      </c>
      <c r="C47" s="24" t="s">
        <v>2973</v>
      </c>
      <c r="D47" s="24"/>
      <c r="E47" s="24"/>
      <c r="F47" s="24"/>
      <c r="G47" s="24"/>
      <c r="H47" s="185">
        <v>1</v>
      </c>
      <c r="I47" s="184"/>
      <c r="J47" s="42">
        <f>VLOOKUP($B$36:$B$78,'Alberta Equip. Rates Year 3'!$B$13:$K$314,10,FALSE)</f>
        <v>105.83</v>
      </c>
      <c r="K47" s="181">
        <f t="shared" si="2"/>
        <v>105.83</v>
      </c>
    </row>
    <row r="48" spans="1:15" ht="15" customHeight="1">
      <c r="A48" s="43"/>
      <c r="B48" s="49" t="str">
        <f>VLOOKUP($C$36:$C$78,Equipment!$A$1:$B$2322,2,FALSE)</f>
        <v>Pipeline Roller Cradles (Each)</v>
      </c>
      <c r="C48" s="24" t="s">
        <v>3015</v>
      </c>
      <c r="D48" s="24"/>
      <c r="E48" s="24"/>
      <c r="F48" s="24"/>
      <c r="G48" s="24"/>
      <c r="H48" s="185">
        <v>1</v>
      </c>
      <c r="I48" s="184"/>
      <c r="J48" s="42">
        <f>VLOOKUP($B$36:$B$78,'Alberta Equip. Rates Year 3'!$B$13:$K$314,10,FALSE)</f>
        <v>105.83</v>
      </c>
      <c r="K48" s="181">
        <f t="shared" si="2"/>
        <v>105.83</v>
      </c>
    </row>
    <row r="49" spans="1:11" ht="15" customHeight="1">
      <c r="A49" s="43"/>
      <c r="B49" s="49" t="str">
        <f>VLOOKUP($C$36:$C$78,Equipment!$A$1:$B$2322,2,FALSE)</f>
        <v>Pipeline Roller Cradles (Each)</v>
      </c>
      <c r="C49" s="24" t="s">
        <v>3016</v>
      </c>
      <c r="D49" s="24"/>
      <c r="E49" s="24"/>
      <c r="F49" s="24"/>
      <c r="G49" s="24"/>
      <c r="H49" s="185">
        <v>1</v>
      </c>
      <c r="I49" s="184"/>
      <c r="J49" s="42">
        <f>VLOOKUP($B$36:$B$78,'Alberta Equip. Rates Year 3'!$B$13:$K$314,10,FALSE)</f>
        <v>105.83</v>
      </c>
      <c r="K49" s="181">
        <f t="shared" si="2"/>
        <v>105.83</v>
      </c>
    </row>
    <row r="50" spans="1:11" ht="15" customHeight="1">
      <c r="A50" s="43"/>
      <c r="B50" s="49" t="str">
        <f>VLOOKUP($C$36:$C$78,Equipment!$A$1:$B$2322,2,FALSE)</f>
        <v>Sideboom - Cat 583T</v>
      </c>
      <c r="C50" s="24" t="s">
        <v>1339</v>
      </c>
      <c r="D50" s="24"/>
      <c r="E50" s="24"/>
      <c r="F50" s="24"/>
      <c r="G50" s="24"/>
      <c r="H50" s="185">
        <v>1</v>
      </c>
      <c r="I50" s="184"/>
      <c r="J50" s="42">
        <f>VLOOKUP($B$36:$B$78,'Alberta Equip. Rates Year 3'!$B$13:$K$314,10,FALSE)</f>
        <v>1218</v>
      </c>
      <c r="K50" s="181">
        <f t="shared" si="2"/>
        <v>1218</v>
      </c>
    </row>
    <row r="51" spans="1:11" ht="15" customHeight="1">
      <c r="A51" s="43"/>
      <c r="B51" s="49" t="str">
        <f>VLOOKUP($C$36:$C$78,Equipment!$A$1:$B$2322,2,FALSE)</f>
        <v>Sideboom - Cat 587T</v>
      </c>
      <c r="C51" s="24" t="s">
        <v>4147</v>
      </c>
      <c r="D51" s="24"/>
      <c r="E51" s="24"/>
      <c r="F51" s="24"/>
      <c r="G51" s="24"/>
      <c r="H51" s="185">
        <v>1</v>
      </c>
      <c r="I51" s="184"/>
      <c r="J51" s="42">
        <f>VLOOKUP($B$36:$B$78,'Alberta Equip. Rates Year 3'!$B$13:$K$314,10,FALSE)</f>
        <v>1323</v>
      </c>
      <c r="K51" s="181">
        <f t="shared" si="2"/>
        <v>1323</v>
      </c>
    </row>
    <row r="52" spans="1:11" ht="15" customHeight="1">
      <c r="A52" s="43"/>
      <c r="B52" s="49" t="str">
        <f>VLOOKUP($C$36:$C$78,Equipment!$A$1:$B$2322,2,FALSE)</f>
        <v>Sideboom - Cat 587T</v>
      </c>
      <c r="C52" s="24" t="s">
        <v>4148</v>
      </c>
      <c r="D52" s="24"/>
      <c r="E52" s="24"/>
      <c r="F52" s="24"/>
      <c r="G52" s="24"/>
      <c r="H52" s="185">
        <v>1</v>
      </c>
      <c r="I52" s="184"/>
      <c r="J52" s="42">
        <f>VLOOKUP($B$36:$B$78,'Alberta Equip. Rates Year 3'!$B$13:$K$314,10,FALSE)</f>
        <v>1323</v>
      </c>
      <c r="K52" s="181">
        <f t="shared" si="2"/>
        <v>1323</v>
      </c>
    </row>
    <row r="53" spans="1:11" ht="15" customHeight="1">
      <c r="A53" s="43"/>
      <c r="B53" s="49" t="str">
        <f>VLOOKUP($C$36:$C$78,Equipment!$A$1:$B$2322,2,FALSE)</f>
        <v>Sideboom - Cat 587T</v>
      </c>
      <c r="C53" s="24" t="s">
        <v>4149</v>
      </c>
      <c r="D53" s="24"/>
      <c r="E53" s="24"/>
      <c r="F53" s="24"/>
      <c r="G53" s="24"/>
      <c r="H53" s="185">
        <v>1</v>
      </c>
      <c r="I53" s="184"/>
      <c r="J53" s="42">
        <f>VLOOKUP($B$36:$B$78,'Alberta Equip. Rates Year 3'!$B$13:$K$314,10,FALSE)</f>
        <v>1323</v>
      </c>
      <c r="K53" s="181">
        <f t="shared" si="2"/>
        <v>1323</v>
      </c>
    </row>
    <row r="54" spans="1:11" ht="15" customHeight="1">
      <c r="A54" s="43"/>
      <c r="B54" s="49" t="str">
        <f>VLOOKUP($C$36:$C$78,Equipment!$A$1:$B$2322,2,FALSE)</f>
        <v>Sideboom - Cat 594</v>
      </c>
      <c r="C54" s="24" t="s">
        <v>2024</v>
      </c>
      <c r="D54" s="24"/>
      <c r="E54" s="24"/>
      <c r="F54" s="24"/>
      <c r="G54" s="24"/>
      <c r="H54" s="185">
        <v>1</v>
      </c>
      <c r="I54" s="184"/>
      <c r="J54" s="42">
        <f>VLOOKUP($B$36:$B$78,'Alberta Equip. Rates Year 3'!$B$13:$K$314,10,FALSE)</f>
        <v>1323</v>
      </c>
      <c r="K54" s="181">
        <f t="shared" si="2"/>
        <v>1323</v>
      </c>
    </row>
    <row r="55" spans="1:11" ht="15" customHeight="1">
      <c r="A55" s="43"/>
      <c r="B55" s="49" t="str">
        <f>VLOOKUP($C$36:$C$78,Equipment!$A$1:$B$2322,2,FALSE)</f>
        <v>Sideboom - Cat 594</v>
      </c>
      <c r="C55" s="24" t="s">
        <v>2578</v>
      </c>
      <c r="D55" s="24"/>
      <c r="E55" s="24"/>
      <c r="F55" s="24"/>
      <c r="G55" s="24"/>
      <c r="H55" s="185">
        <v>1</v>
      </c>
      <c r="I55" s="184"/>
      <c r="J55" s="42">
        <f>VLOOKUP($B$36:$B$78,'Alberta Equip. Rates Year 3'!$B$13:$K$314,10,FALSE)</f>
        <v>1323</v>
      </c>
      <c r="K55" s="181">
        <f t="shared" si="2"/>
        <v>1323</v>
      </c>
    </row>
    <row r="56" spans="1:11" s="34" customFormat="1" ht="15" customHeight="1">
      <c r="A56" s="43"/>
      <c r="B56" s="49" t="str">
        <f>VLOOKUP($C$36:$C$78,Equipment!$A$1:$B$2322,2,FALSE)</f>
        <v>Backhoe - Cat 315 (or equivalent)</v>
      </c>
      <c r="C56" s="24" t="s">
        <v>4145</v>
      </c>
      <c r="D56" s="24"/>
      <c r="E56" s="24"/>
      <c r="F56" s="24"/>
      <c r="G56" s="24"/>
      <c r="H56" s="185">
        <v>1</v>
      </c>
      <c r="I56" s="184"/>
      <c r="J56" s="42">
        <f>VLOOKUP($B$36:$B$78,'Alberta Equip. Rates Year 3'!$B$13:$K$314,10,FALSE)</f>
        <v>355</v>
      </c>
      <c r="K56" s="181">
        <f t="shared" si="2"/>
        <v>355</v>
      </c>
    </row>
    <row r="57" spans="1:11" s="34" customFormat="1" ht="15" customHeight="1">
      <c r="A57" s="43"/>
      <c r="B57" s="49">
        <f>VLOOKUP($C$36:$C$78,Equipment!$A$1:$B$2322,2,FALSE)</f>
        <v>0</v>
      </c>
      <c r="C57" s="24"/>
      <c r="D57" s="24"/>
      <c r="E57" s="24"/>
      <c r="F57" s="24"/>
      <c r="G57" s="24"/>
      <c r="H57" s="185"/>
      <c r="I57" s="184"/>
      <c r="J57" s="42">
        <f>VLOOKUP($B$36:$B$78,'Alberta Equip. Rates Year 3'!$B$13:$K$314,10,FALSE)</f>
        <v>0</v>
      </c>
      <c r="K57" s="181">
        <f t="shared" si="2"/>
        <v>0</v>
      </c>
    </row>
    <row r="58" spans="1:11" s="34" customFormat="1" ht="15" customHeight="1">
      <c r="A58" s="43"/>
      <c r="B58" s="49">
        <f>VLOOKUP($C$36:$C$78,Equipment!$A$1:$B$2322,2,FALSE)</f>
        <v>0</v>
      </c>
      <c r="C58" s="24"/>
      <c r="D58" s="24"/>
      <c r="E58" s="24"/>
      <c r="F58" s="24"/>
      <c r="G58" s="24"/>
      <c r="H58" s="185"/>
      <c r="I58" s="184"/>
      <c r="J58" s="42">
        <f>VLOOKUP($B$36:$B$78,'Alberta Equip. Rates Year 3'!$B$13:$K$314,10,FALSE)</f>
        <v>0</v>
      </c>
      <c r="K58" s="181">
        <f t="shared" si="2"/>
        <v>0</v>
      </c>
    </row>
    <row r="59" spans="1:11" ht="15" customHeight="1">
      <c r="A59" s="43"/>
      <c r="B59" s="49">
        <f>VLOOKUP($C$36:$C$78,Equipment!$A$1:$B$2322,2,FALSE)</f>
        <v>0</v>
      </c>
      <c r="C59" s="24"/>
      <c r="D59" s="24"/>
      <c r="E59" s="24"/>
      <c r="F59" s="24"/>
      <c r="G59" s="24"/>
      <c r="H59" s="185"/>
      <c r="I59" s="184"/>
      <c r="J59" s="42">
        <f>VLOOKUP($B$36:$B$78,'Alberta Equip. Rates Year 3'!$B$13:$K$314,10,FALSE)</f>
        <v>0</v>
      </c>
      <c r="K59" s="181">
        <f t="shared" si="2"/>
        <v>0</v>
      </c>
    </row>
    <row r="60" spans="1:11" ht="15" customHeight="1">
      <c r="A60" s="43"/>
      <c r="B60" s="49">
        <f>VLOOKUP($C$36:$C$78,Equipment!$A$1:$B$2322,2,FALSE)</f>
        <v>0</v>
      </c>
      <c r="C60" s="24"/>
      <c r="D60" s="24"/>
      <c r="E60" s="24"/>
      <c r="F60" s="24"/>
      <c r="G60" s="24"/>
      <c r="H60" s="185"/>
      <c r="I60" s="184"/>
      <c r="J60" s="42">
        <f>VLOOKUP($B$36:$B$78,'Alberta Equip. Rates Year 3'!$B$13:$K$314,10,FALSE)</f>
        <v>0</v>
      </c>
      <c r="K60" s="181">
        <f t="shared" si="2"/>
        <v>0</v>
      </c>
    </row>
    <row r="61" spans="1:11" ht="15" customHeight="1">
      <c r="A61" s="43"/>
      <c r="B61" s="49">
        <f>VLOOKUP($C$36:$C$78,Equipment!$A$1:$B$2322,2,FALSE)</f>
        <v>0</v>
      </c>
      <c r="C61" s="24"/>
      <c r="D61" s="24"/>
      <c r="E61" s="24"/>
      <c r="F61" s="24"/>
      <c r="G61" s="24"/>
      <c r="H61" s="185"/>
      <c r="I61" s="184"/>
      <c r="J61" s="42">
        <f>VLOOKUP($B$36:$B$78,'Alberta Equip. Rates Year 3'!$B$13:$K$314,10,FALSE)</f>
        <v>0</v>
      </c>
      <c r="K61" s="181">
        <f t="shared" si="2"/>
        <v>0</v>
      </c>
    </row>
    <row r="62" spans="1:11" ht="15" customHeight="1">
      <c r="A62" s="43"/>
      <c r="B62" s="49">
        <f>VLOOKUP($C$36:$C$78,Equipment!$A$1:$B$2322,2,FALSE)</f>
        <v>0</v>
      </c>
      <c r="C62" s="24"/>
      <c r="D62" s="24"/>
      <c r="E62" s="24"/>
      <c r="F62" s="24"/>
      <c r="G62" s="24"/>
      <c r="H62" s="185"/>
      <c r="I62" s="184"/>
      <c r="J62" s="42">
        <f>VLOOKUP($B$36:$B$78,'Alberta Equip. Rates Year 3'!$B$13:$K$314,10,FALSE)</f>
        <v>0</v>
      </c>
      <c r="K62" s="181">
        <f t="shared" si="2"/>
        <v>0</v>
      </c>
    </row>
    <row r="63" spans="1:11" ht="15" customHeight="1">
      <c r="A63" s="43"/>
      <c r="B63" s="49">
        <f>VLOOKUP($C$36:$C$78,Equipment!$A$1:$B$2322,2,FALSE)</f>
        <v>0</v>
      </c>
      <c r="C63" s="24"/>
      <c r="D63" s="24"/>
      <c r="E63" s="24"/>
      <c r="F63" s="24"/>
      <c r="G63" s="24"/>
      <c r="H63" s="185"/>
      <c r="I63" s="184"/>
      <c r="J63" s="42">
        <f>VLOOKUP($B$36:$B$78,'Alberta Equip. Rates Year 3'!$B$13:$K$314,10,FALSE)</f>
        <v>0</v>
      </c>
      <c r="K63" s="181">
        <f t="shared" si="2"/>
        <v>0</v>
      </c>
    </row>
    <row r="64" spans="1:11" ht="15" customHeight="1">
      <c r="A64" s="43"/>
      <c r="B64" s="49">
        <f>VLOOKUP($C$36:$C$78,Equipment!$A$1:$B$2322,2,FALSE)</f>
        <v>0</v>
      </c>
      <c r="C64" s="24"/>
      <c r="D64" s="24"/>
      <c r="E64" s="24"/>
      <c r="F64" s="24"/>
      <c r="G64" s="24"/>
      <c r="H64" s="185"/>
      <c r="I64" s="184"/>
      <c r="J64" s="42">
        <f>VLOOKUP($B$36:$B$78,'Alberta Equip. Rates Year 3'!$B$13:$K$314,10,FALSE)</f>
        <v>0</v>
      </c>
      <c r="K64" s="181">
        <f t="shared" si="2"/>
        <v>0</v>
      </c>
    </row>
    <row r="65" spans="1:11" ht="15" customHeight="1">
      <c r="A65" s="43"/>
      <c r="B65" s="49">
        <f>VLOOKUP($C$36:$C$78,Equipment!$A$1:$B$2322,2,FALSE)</f>
        <v>0</v>
      </c>
      <c r="C65" s="24"/>
      <c r="D65" s="24"/>
      <c r="E65" s="24"/>
      <c r="F65" s="24"/>
      <c r="G65" s="24"/>
      <c r="H65" s="185"/>
      <c r="I65" s="184"/>
      <c r="J65" s="42">
        <f>VLOOKUP($B$36:$B$78,'Alberta Equip. Rates Year 3'!$B$13:$K$314,10,FALSE)</f>
        <v>0</v>
      </c>
      <c r="K65" s="181">
        <f t="shared" si="2"/>
        <v>0</v>
      </c>
    </row>
    <row r="66" spans="1:11" ht="15" customHeight="1">
      <c r="A66" s="43"/>
      <c r="B66" s="49">
        <f>VLOOKUP($C$36:$C$78,Equipment!$A$1:$B$2322,2,FALSE)</f>
        <v>0</v>
      </c>
      <c r="C66" s="24"/>
      <c r="D66" s="24"/>
      <c r="E66" s="24"/>
      <c r="F66" s="24"/>
      <c r="G66" s="24"/>
      <c r="H66" s="185"/>
      <c r="I66" s="184"/>
      <c r="J66" s="42">
        <f>VLOOKUP($B$36:$B$78,'Alberta Equip. Rates Year 3'!$B$13:$K$314,10,FALSE)</f>
        <v>0</v>
      </c>
      <c r="K66" s="181">
        <f t="shared" si="2"/>
        <v>0</v>
      </c>
    </row>
    <row r="67" spans="1:11" ht="15" customHeight="1">
      <c r="A67" s="43"/>
      <c r="B67" s="49">
        <f>VLOOKUP($C$36:$C$78,Equipment!$A$1:$B$2322,2,FALSE)</f>
        <v>0</v>
      </c>
      <c r="C67" s="24"/>
      <c r="D67" s="24"/>
      <c r="E67" s="24"/>
      <c r="F67" s="24"/>
      <c r="G67" s="24"/>
      <c r="H67" s="185"/>
      <c r="I67" s="184"/>
      <c r="J67" s="42">
        <f>VLOOKUP($B$36:$B$78,'Alberta Equip. Rates Year 3'!$B$13:$K$314,10,FALSE)</f>
        <v>0</v>
      </c>
      <c r="K67" s="181">
        <f t="shared" si="2"/>
        <v>0</v>
      </c>
    </row>
    <row r="68" spans="1:11" ht="15" customHeight="1">
      <c r="A68" s="43"/>
      <c r="B68" s="49">
        <f>VLOOKUP($C$36:$C$78,Equipment!$A$1:$B$2322,2,FALSE)</f>
        <v>0</v>
      </c>
      <c r="C68" s="24"/>
      <c r="D68" s="24"/>
      <c r="E68" s="24"/>
      <c r="F68" s="24"/>
      <c r="G68" s="24"/>
      <c r="H68" s="185"/>
      <c r="I68" s="184"/>
      <c r="J68" s="42">
        <f>VLOOKUP($B$36:$B$78,'Alberta Equip. Rates Year 3'!$B$13:$K$314,10,FALSE)</f>
        <v>0</v>
      </c>
      <c r="K68" s="181">
        <f t="shared" si="2"/>
        <v>0</v>
      </c>
    </row>
    <row r="69" spans="1:11" ht="15" customHeight="1">
      <c r="A69" s="43"/>
      <c r="B69" s="49">
        <f>VLOOKUP($C$36:$C$78,Equipment!$A$1:$B$2322,2,FALSE)</f>
        <v>0</v>
      </c>
      <c r="C69" s="24"/>
      <c r="D69" s="24"/>
      <c r="E69" s="24"/>
      <c r="F69" s="24"/>
      <c r="G69" s="24"/>
      <c r="H69" s="185"/>
      <c r="I69" s="184"/>
      <c r="J69" s="42">
        <f>VLOOKUP($B$36:$B$78,'Alberta Equip. Rates Year 3'!$B$13:$K$314,10,FALSE)</f>
        <v>0</v>
      </c>
      <c r="K69" s="181">
        <f t="shared" si="2"/>
        <v>0</v>
      </c>
    </row>
    <row r="70" spans="1:11" ht="15" customHeight="1">
      <c r="A70" s="43"/>
      <c r="B70" s="49">
        <f>VLOOKUP($C$36:$C$78,Equipment!$A$1:$B$2322,2,FALSE)</f>
        <v>0</v>
      </c>
      <c r="C70" s="24"/>
      <c r="D70" s="24"/>
      <c r="E70" s="24"/>
      <c r="F70" s="24"/>
      <c r="G70" s="24"/>
      <c r="H70" s="185"/>
      <c r="I70" s="184"/>
      <c r="J70" s="42">
        <f>VLOOKUP($B$36:$B$78,'Alberta Equip. Rates Year 3'!$B$13:$K$314,10,FALSE)</f>
        <v>0</v>
      </c>
      <c r="K70" s="181">
        <f t="shared" si="2"/>
        <v>0</v>
      </c>
    </row>
    <row r="71" spans="1:11" ht="15" customHeight="1">
      <c r="A71" s="43"/>
      <c r="B71" s="49">
        <f>VLOOKUP($C$36:$C$78,Equipment!$A$1:$B$2322,2,FALSE)</f>
        <v>0</v>
      </c>
      <c r="C71" s="24"/>
      <c r="D71" s="24"/>
      <c r="E71" s="24"/>
      <c r="F71" s="24"/>
      <c r="G71" s="24"/>
      <c r="H71" s="185"/>
      <c r="I71" s="184"/>
      <c r="J71" s="42">
        <f>VLOOKUP($B$36:$B$78,'Alberta Equip. Rates Year 3'!$B$13:$K$314,10,FALSE)</f>
        <v>0</v>
      </c>
      <c r="K71" s="181">
        <f t="shared" si="2"/>
        <v>0</v>
      </c>
    </row>
    <row r="72" spans="1:11" ht="15" customHeight="1">
      <c r="A72" s="43"/>
      <c r="B72" s="49">
        <f>VLOOKUP($C$36:$C$78,Equipment!$A$1:$B$2322,2,FALSE)</f>
        <v>0</v>
      </c>
      <c r="C72" s="24"/>
      <c r="D72" s="24"/>
      <c r="E72" s="24"/>
      <c r="F72" s="24"/>
      <c r="G72" s="24"/>
      <c r="H72" s="185"/>
      <c r="I72" s="184"/>
      <c r="J72" s="42">
        <f>VLOOKUP($B$36:$B$78,'Alberta Equip. Rates Year 3'!$B$13:$K$314,10,FALSE)</f>
        <v>0</v>
      </c>
      <c r="K72" s="181">
        <f t="shared" si="2"/>
        <v>0</v>
      </c>
    </row>
    <row r="73" spans="1:11" ht="15" customHeight="1">
      <c r="A73" s="43"/>
      <c r="B73" s="49">
        <f>VLOOKUP($C$36:$C$78,Equipment!$A$1:$B$2322,2,FALSE)</f>
        <v>0</v>
      </c>
      <c r="C73" s="24"/>
      <c r="D73" s="24"/>
      <c r="E73" s="24"/>
      <c r="F73" s="24"/>
      <c r="G73" s="24"/>
      <c r="H73" s="185"/>
      <c r="I73" s="184"/>
      <c r="J73" s="42">
        <f>VLOOKUP($B$36:$B$78,'Alberta Equip. Rates Year 3'!$B$13:$K$314,10,FALSE)</f>
        <v>0</v>
      </c>
      <c r="K73" s="181">
        <f t="shared" si="2"/>
        <v>0</v>
      </c>
    </row>
    <row r="74" spans="1:11" s="34" customFormat="1" ht="17" customHeight="1">
      <c r="A74" s="43"/>
      <c r="B74" s="49">
        <f>VLOOKUP($C$36:$C$78,Equipment!$A$1:$B$2322,2,FALSE)</f>
        <v>0</v>
      </c>
      <c r="C74" s="24"/>
      <c r="D74" s="24"/>
      <c r="E74" s="24"/>
      <c r="F74" s="24"/>
      <c r="G74" s="24"/>
      <c r="H74" s="185"/>
      <c r="I74" s="184"/>
      <c r="J74" s="42">
        <f>VLOOKUP($B$36:$B$78,'Alberta Equip. Rates Year 3'!$B$13:$K$314,10,FALSE)</f>
        <v>0</v>
      </c>
      <c r="K74" s="181">
        <f t="shared" si="2"/>
        <v>0</v>
      </c>
    </row>
    <row r="75" spans="1:11" ht="15" customHeight="1">
      <c r="A75" s="43"/>
      <c r="B75" s="49">
        <f>VLOOKUP($C$36:$C$78,Equipment!$A$1:$B$2322,2,FALSE)</f>
        <v>0</v>
      </c>
      <c r="C75" s="24"/>
      <c r="D75" s="24"/>
      <c r="E75" s="24"/>
      <c r="F75" s="24"/>
      <c r="G75" s="24"/>
      <c r="H75" s="185"/>
      <c r="I75" s="184"/>
      <c r="J75" s="42">
        <f>VLOOKUP($B$36:$B$78,'Alberta Equip. Rates Year 3'!$B$13:$K$314,10,FALSE)</f>
        <v>0</v>
      </c>
      <c r="K75" s="181">
        <f t="shared" si="2"/>
        <v>0</v>
      </c>
    </row>
    <row r="76" spans="1:11" ht="15" customHeight="1">
      <c r="A76" s="43"/>
      <c r="B76" s="49">
        <f>VLOOKUP($C$36:$C$78,Equipment!$A$1:$B$2322,2,FALSE)</f>
        <v>0</v>
      </c>
      <c r="C76" s="24"/>
      <c r="D76" s="24"/>
      <c r="E76" s="24"/>
      <c r="F76" s="24"/>
      <c r="G76" s="24"/>
      <c r="H76" s="185"/>
      <c r="I76" s="184"/>
      <c r="J76" s="42">
        <f>VLOOKUP($B$36:$B$78,'Alberta Equip. Rates Year 3'!$B$13:$K$314,10,FALSE)</f>
        <v>0</v>
      </c>
      <c r="K76" s="181">
        <f t="shared" si="2"/>
        <v>0</v>
      </c>
    </row>
    <row r="77" spans="1:11" ht="15" customHeight="1">
      <c r="A77" s="43"/>
      <c r="B77" s="49">
        <f>VLOOKUP($C$36:$C$78,Equipment!$A$1:$B$2322,2,FALSE)</f>
        <v>0</v>
      </c>
      <c r="C77" s="24"/>
      <c r="D77" s="24"/>
      <c r="E77" s="24"/>
      <c r="F77" s="24"/>
      <c r="G77" s="24"/>
      <c r="H77" s="185"/>
      <c r="I77" s="184"/>
      <c r="J77" s="42">
        <f>VLOOKUP($B$36:$B$78,'Alberta Equip. Rates Year 3'!$B$13:$K$314,10,FALSE)</f>
        <v>0</v>
      </c>
      <c r="K77" s="181">
        <f t="shared" si="2"/>
        <v>0</v>
      </c>
    </row>
    <row r="78" spans="1:11" ht="16" customHeight="1" thickBot="1">
      <c r="A78" s="43"/>
      <c r="B78" s="49">
        <f>VLOOKUP($C$36:$C$78,Equipment!$A$1:$B$2322,2,FALSE)</f>
        <v>0</v>
      </c>
      <c r="C78" s="24"/>
      <c r="D78" s="24"/>
      <c r="E78" s="24"/>
      <c r="F78" s="24"/>
      <c r="G78" s="24"/>
      <c r="H78" s="185"/>
      <c r="I78" s="184"/>
      <c r="J78" s="42">
        <f>VLOOKUP($B$36:$B$78,'Alberta Equip. Rates Year 3'!$B$13:$K$314,10,FALSE)</f>
        <v>0</v>
      </c>
      <c r="K78" s="181">
        <f t="shared" si="2"/>
        <v>0</v>
      </c>
    </row>
    <row r="79" spans="1:11" ht="14" customHeight="1" thickBot="1">
      <c r="A79" s="25"/>
      <c r="B79" s="25"/>
      <c r="C79" s="25"/>
      <c r="D79" s="21"/>
      <c r="E79" s="21"/>
      <c r="F79" s="21"/>
      <c r="G79" s="21"/>
      <c r="H79" s="21"/>
      <c r="I79" s="360" t="s">
        <v>24</v>
      </c>
      <c r="J79" s="361"/>
      <c r="K79" s="182">
        <f>SUM(K36:K78)</f>
        <v>11583.32</v>
      </c>
    </row>
    <row r="80" spans="1:11" ht="18" customHeight="1" thickBot="1">
      <c r="A80" s="26"/>
      <c r="D80" s="26"/>
      <c r="I80" s="27"/>
      <c r="J80" s="27"/>
      <c r="K80" s="28"/>
    </row>
    <row r="81" spans="1:11" ht="14" customHeight="1">
      <c r="A81" s="1" t="s">
        <v>25</v>
      </c>
      <c r="B81" s="29"/>
      <c r="D81" s="1"/>
      <c r="E81" s="1"/>
      <c r="F81" s="1"/>
      <c r="G81" s="1"/>
      <c r="H81" s="1"/>
      <c r="I81" s="362" t="s">
        <v>26</v>
      </c>
      <c r="J81" s="362"/>
      <c r="K81" s="37">
        <f>K33</f>
        <v>18103.489999999998</v>
      </c>
    </row>
    <row r="82" spans="1:11" ht="17" customHeight="1">
      <c r="D82" s="1"/>
      <c r="E82" s="1"/>
      <c r="F82" s="1"/>
      <c r="G82" s="1"/>
      <c r="H82" s="1"/>
      <c r="I82" s="362" t="s">
        <v>27</v>
      </c>
      <c r="J82" s="362"/>
      <c r="K82" s="38">
        <f>K79</f>
        <v>11583.32</v>
      </c>
    </row>
    <row r="83" spans="1:11" ht="15" customHeight="1">
      <c r="D83" s="1"/>
      <c r="E83" s="1"/>
      <c r="F83" s="1"/>
      <c r="G83" s="1"/>
      <c r="H83" s="1"/>
      <c r="I83" s="27" t="s">
        <v>28</v>
      </c>
      <c r="J83" s="27"/>
      <c r="K83" s="38">
        <f>(O33)*14.15</f>
        <v>2872.4500000000003</v>
      </c>
    </row>
    <row r="84" spans="1:11" ht="14" customHeight="1">
      <c r="D84" s="1"/>
      <c r="E84" s="1"/>
      <c r="F84" s="1"/>
      <c r="G84" s="1"/>
      <c r="H84" s="1"/>
      <c r="I84" s="30" t="s">
        <v>29</v>
      </c>
      <c r="J84" s="30"/>
      <c r="K84" s="39"/>
    </row>
    <row r="85" spans="1:11" ht="12" customHeight="1">
      <c r="D85" s="1"/>
      <c r="E85" s="1"/>
      <c r="F85" s="1"/>
      <c r="G85" s="1"/>
      <c r="H85" s="1"/>
      <c r="I85" s="30" t="s">
        <v>30</v>
      </c>
      <c r="J85" s="30"/>
      <c r="K85" s="39"/>
    </row>
    <row r="86" spans="1:11">
      <c r="D86" s="1"/>
      <c r="E86" s="1"/>
      <c r="F86" s="1"/>
      <c r="G86" s="1"/>
      <c r="H86" s="1"/>
      <c r="I86" s="30" t="s">
        <v>31</v>
      </c>
      <c r="J86" s="30"/>
      <c r="K86" s="39"/>
    </row>
    <row r="87" spans="1:11" ht="15" customHeight="1" thickBot="1">
      <c r="D87" s="1"/>
      <c r="E87" s="1"/>
      <c r="F87" s="1"/>
      <c r="G87" s="1"/>
      <c r="H87" s="1"/>
      <c r="I87" s="362" t="s">
        <v>32</v>
      </c>
      <c r="J87" s="362"/>
      <c r="K87" s="40">
        <f>SUM(K81:K86)</f>
        <v>32559.26</v>
      </c>
    </row>
    <row r="88" spans="1:11">
      <c r="D88" s="1"/>
      <c r="E88" s="1"/>
      <c r="F88" s="1"/>
      <c r="G88" s="1"/>
      <c r="H88" s="1"/>
      <c r="I88" s="27"/>
      <c r="J88" s="27"/>
    </row>
    <row r="89" spans="1:11">
      <c r="A89" s="31" t="s">
        <v>33</v>
      </c>
      <c r="B89" s="32"/>
      <c r="C89" s="32"/>
      <c r="D89" s="1"/>
      <c r="H89" s="33" t="s">
        <v>34</v>
      </c>
      <c r="I89" s="32"/>
      <c r="J89" s="32"/>
      <c r="K89" s="32"/>
    </row>
    <row r="90" spans="1:11" ht="15">
      <c r="A90" s="34"/>
      <c r="E90" s="8"/>
      <c r="F90" s="8"/>
      <c r="G90" s="8"/>
      <c r="H90" s="35"/>
      <c r="I90" s="35"/>
      <c r="J90" s="35"/>
      <c r="K90" s="35"/>
    </row>
    <row r="91" spans="1:11" ht="15">
      <c r="A91" s="34" t="s">
        <v>35</v>
      </c>
      <c r="E91" s="8"/>
      <c r="F91" s="8"/>
      <c r="G91" s="8"/>
      <c r="H91" s="35"/>
      <c r="I91" s="35"/>
      <c r="J91" s="35"/>
      <c r="K91" s="35"/>
    </row>
    <row r="92" spans="1:11">
      <c r="A92" s="363">
        <v>41218.479166666664</v>
      </c>
      <c r="B92" s="363"/>
      <c r="C92" s="364"/>
      <c r="D92" s="364"/>
      <c r="E92" s="364"/>
      <c r="F92" s="364"/>
      <c r="G92" s="364"/>
      <c r="H92" s="364"/>
      <c r="I92" s="364"/>
      <c r="J92" s="364"/>
      <c r="K92" s="8"/>
    </row>
    <row r="102" s="1" customFormat="1"/>
    <row r="103" s="1" customFormat="1"/>
    <row r="104" s="1" customFormat="1"/>
    <row r="105" s="1" customFormat="1"/>
    <row r="106" s="1" customFormat="1"/>
    <row r="107" s="1" customFormat="1"/>
    <row r="108" s="1" customFormat="1"/>
    <row r="109" s="1" customFormat="1"/>
    <row r="110" s="1" customFormat="1"/>
    <row r="111" s="1" customFormat="1"/>
    <row r="112" s="1" customFormat="1"/>
    <row r="113" s="1" customFormat="1"/>
    <row r="114" s="1" customFormat="1"/>
    <row r="115" s="1" customFormat="1"/>
    <row r="120" s="1" customFormat="1"/>
    <row r="148" s="1" customFormat="1"/>
    <row r="149" s="1" customFormat="1"/>
    <row r="150" s="1" customFormat="1"/>
    <row r="151" s="1" customFormat="1"/>
  </sheetData>
  <mergeCells count="12">
    <mergeCell ref="I79:J79"/>
    <mergeCell ref="I81:J81"/>
    <mergeCell ref="I82:J82"/>
    <mergeCell ref="I87:J87"/>
    <mergeCell ref="A92:B92"/>
    <mergeCell ref="C92:J92"/>
    <mergeCell ref="I33:J33"/>
    <mergeCell ref="C1:H1"/>
    <mergeCell ref="C2:H2"/>
    <mergeCell ref="C3:H3"/>
    <mergeCell ref="H6:I6"/>
    <mergeCell ref="H7:I7"/>
  </mergeCells>
  <conditionalFormatting sqref="M11:M13">
    <cfRule type="expression" dxfId="23" priority="40043">
      <formula>ISTEXT(A11:A32)</formula>
    </cfRule>
  </conditionalFormatting>
  <conditionalFormatting sqref="M14">
    <cfRule type="expression" dxfId="22" priority="40046">
      <formula>ISTEXT(A14:A45)</formula>
    </cfRule>
  </conditionalFormatting>
  <conditionalFormatting sqref="M15">
    <cfRule type="expression" dxfId="21" priority="40019">
      <formula>ISTEXT(A15:A47)</formula>
    </cfRule>
  </conditionalFormatting>
  <conditionalFormatting sqref="M16:M31">
    <cfRule type="expression" dxfId="20" priority="40042">
      <formula>ISTEXT(A16:A35)</formula>
    </cfRule>
  </conditionalFormatting>
  <conditionalFormatting sqref="M32">
    <cfRule type="expression" dxfId="19" priority="16533">
      <formula>ISTEXT(A32:A46)</formula>
    </cfRule>
  </conditionalFormatting>
  <printOptions horizontalCentered="1"/>
  <pageMargins left="0.19685039370078741" right="0.19685039370078741" top="0.39370078740157483" bottom="0.39370078740157483" header="0" footer="0"/>
  <pageSetup orientation="portrait" horizontalDpi="4294967292" verticalDpi="4294967292"/>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2A00-000000000000}">
          <x14:formula1>
            <xm:f>Accounts!$A$4:$A$60</xm:f>
          </x14:formula1>
          <xm:sqref>K7</xm:sqref>
        </x14:dataValidation>
        <x14:dataValidation type="list" allowBlank="1" showInputMessage="1" showErrorMessage="1" xr:uid="{00000000-0002-0000-2A00-000001000000}">
          <x14:formula1>
            <xm:f>'Constr. Wage Rate Calculations'!$A$19:$A$288</xm:f>
          </x14:formula1>
          <xm:sqref>B11:B32</xm:sqref>
        </x14:dataValidation>
        <x14:dataValidation type="list" allowBlank="1" showInputMessage="1" showErrorMessage="1" xr:uid="{00000000-0002-0000-2A00-000002000000}">
          <x14:formula1>
            <xm:f>Personnel!$A:$A</xm:f>
          </x14:formula1>
          <xm:sqref>C11:C32</xm:sqref>
        </x14:dataValidation>
        <x14:dataValidation type="list" allowBlank="1" showInputMessage="1" showErrorMessage="1" xr:uid="{00000000-0002-0000-2A00-000003000000}">
          <x14:formula1>
            <xm:f>Equipment!$A:$A</xm:f>
          </x14:formula1>
          <xm:sqref>C36:C78</xm:sqref>
        </x14:dataValidation>
      </x14:dataValidations>
    </ext>
    <ext xmlns:mx="http://schemas.microsoft.com/office/mac/excel/2008/main" uri="{64002731-A6B0-56B0-2670-7721B7C09600}">
      <mx:PLV Mode="0" OnePage="0" WScale="0"/>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CCFFCC"/>
    <pageSetUpPr fitToPage="1"/>
  </sheetPr>
  <dimension ref="A1:O122"/>
  <sheetViews>
    <sheetView zoomScale="120" zoomScaleNormal="120" zoomScalePageLayoutView="120" workbookViewId="0">
      <selection activeCell="P39" sqref="P39"/>
    </sheetView>
  </sheetViews>
  <sheetFormatPr baseColWidth="10" defaultColWidth="8.83203125" defaultRowHeight="11"/>
  <cols>
    <col min="1" max="1" width="13" style="1" customWidth="1"/>
    <col min="2" max="2" width="30" style="1" customWidth="1"/>
    <col min="3" max="3" width="24.5" style="1" customWidth="1"/>
    <col min="4" max="4" width="8.6640625" style="2" customWidth="1"/>
    <col min="5" max="6" width="8.33203125" style="2" customWidth="1"/>
    <col min="7" max="8" width="8.6640625" style="2" customWidth="1"/>
    <col min="9" max="9" width="9.33203125" style="2" customWidth="1"/>
    <col min="10" max="10" width="8.6640625" style="2" customWidth="1"/>
    <col min="11" max="11" width="20.5" style="1" customWidth="1"/>
    <col min="12" max="12" width="3.5" style="1" hidden="1" customWidth="1"/>
    <col min="13" max="16384" width="8.83203125" style="1"/>
  </cols>
  <sheetData>
    <row r="1" spans="1:13" ht="15">
      <c r="C1" s="364"/>
      <c r="D1" s="365"/>
      <c r="E1" s="365"/>
      <c r="F1" s="365"/>
      <c r="G1" s="365"/>
      <c r="H1" s="366"/>
      <c r="J1" s="2" t="s">
        <v>0</v>
      </c>
      <c r="K1" s="197">
        <v>41659</v>
      </c>
      <c r="M1" s="45"/>
    </row>
    <row r="2" spans="1:13" ht="15">
      <c r="C2" s="367"/>
      <c r="D2" s="367"/>
      <c r="E2" s="367"/>
      <c r="F2" s="367"/>
      <c r="G2" s="367"/>
      <c r="H2" s="366"/>
      <c r="K2" s="41"/>
    </row>
    <row r="3" spans="1:13" ht="15">
      <c r="C3" s="368"/>
      <c r="D3" s="369"/>
      <c r="E3" s="369"/>
      <c r="F3" s="369"/>
      <c r="G3" s="369"/>
      <c r="H3" s="366"/>
    </row>
    <row r="4" spans="1:13">
      <c r="C4" s="3"/>
      <c r="D4" s="4"/>
      <c r="E4" s="4"/>
      <c r="F4" s="4"/>
      <c r="G4" s="4"/>
    </row>
    <row r="5" spans="1:13">
      <c r="C5" s="3"/>
      <c r="D5" s="4"/>
      <c r="E5" s="4"/>
      <c r="F5" s="4"/>
      <c r="G5" s="4"/>
    </row>
    <row r="6" spans="1:13" ht="12">
      <c r="B6" s="5"/>
      <c r="C6" s="6"/>
      <c r="D6" s="7"/>
      <c r="E6" s="8"/>
      <c r="F6" s="8"/>
      <c r="G6" s="1" t="s">
        <v>1</v>
      </c>
      <c r="H6" s="370">
        <v>18204</v>
      </c>
      <c r="I6" s="370"/>
      <c r="J6" s="1" t="s">
        <v>2</v>
      </c>
      <c r="K6" s="47"/>
    </row>
    <row r="7" spans="1:13" ht="12">
      <c r="A7" s="1" t="s">
        <v>3</v>
      </c>
      <c r="B7" s="9"/>
      <c r="C7" s="10"/>
      <c r="D7" s="11"/>
      <c r="E7" s="8"/>
      <c r="F7" s="8"/>
      <c r="G7" s="1" t="s">
        <v>4</v>
      </c>
      <c r="H7" s="371"/>
      <c r="I7" s="371"/>
      <c r="J7" s="1" t="s">
        <v>5</v>
      </c>
      <c r="K7" s="46"/>
    </row>
    <row r="8" spans="1:13" ht="12">
      <c r="B8" s="12"/>
      <c r="C8" s="13"/>
      <c r="D8" s="14"/>
      <c r="E8" s="8"/>
      <c r="F8" s="8"/>
      <c r="G8" s="1" t="s">
        <v>6</v>
      </c>
      <c r="H8" s="189"/>
      <c r="I8" s="190"/>
      <c r="J8" s="44"/>
    </row>
    <row r="9" spans="1:13" ht="16" thickBot="1">
      <c r="B9" s="15"/>
      <c r="C9" s="16"/>
      <c r="D9" s="16"/>
      <c r="E9" s="8"/>
      <c r="F9" s="8"/>
      <c r="G9" s="8"/>
    </row>
    <row r="10" spans="1:13" s="19" customFormat="1" ht="12" thickBot="1">
      <c r="A10" s="17" t="s">
        <v>7</v>
      </c>
      <c r="B10" s="17" t="s">
        <v>8</v>
      </c>
      <c r="C10" s="17" t="s">
        <v>9</v>
      </c>
      <c r="D10" s="18" t="s">
        <v>10</v>
      </c>
      <c r="E10" s="18" t="s">
        <v>11</v>
      </c>
      <c r="F10" s="18" t="s">
        <v>12</v>
      </c>
      <c r="G10" s="180" t="s">
        <v>13</v>
      </c>
      <c r="H10" s="18" t="s">
        <v>14</v>
      </c>
      <c r="I10" s="18" t="s">
        <v>15</v>
      </c>
      <c r="J10" s="18" t="s">
        <v>16</v>
      </c>
      <c r="K10" s="18" t="s">
        <v>17</v>
      </c>
      <c r="M10" s="19" t="s">
        <v>1797</v>
      </c>
    </row>
    <row r="11" spans="1:13" ht="15" customHeight="1">
      <c r="A11" s="48"/>
      <c r="B11" s="49">
        <f>VLOOKUP($C$11:$C$32,Personnel!$A$1:$B$1234,2,FALSE)</f>
        <v>0</v>
      </c>
      <c r="C11" s="36"/>
      <c r="D11" s="184"/>
      <c r="E11" s="179">
        <f>VLOOKUP($B$11:$B$32,'Constr. Wage Rate Calculations'!$A$19:$Z$288,22,FALSE)</f>
        <v>0</v>
      </c>
      <c r="F11" s="184"/>
      <c r="G11" s="179">
        <f>VLOOKUP($B$11:$B$32,'Constr. Wage Rate Calculations'!$A$19:$Z$288,23,FALSE)</f>
        <v>0</v>
      </c>
      <c r="H11" s="20"/>
      <c r="I11" s="179">
        <f>VLOOKUP($B$11:$B$32,'Constr. Wage Rate Calculations'!$A$19:$Z$288,24,FALSE)</f>
        <v>0</v>
      </c>
      <c r="J11" s="20">
        <f>VLOOKUP($B$11:$B$32,'Constr. Wage Rate Calculations'!$A$19:$Z$288,25,FALSE)</f>
        <v>0</v>
      </c>
      <c r="K11" s="179" t="str">
        <f>IF($D11&gt;=1,$J11+(D11*E11)+(F11*G11)+(H11*I11),IF($F11&gt;=1,$J11+(D11*E11)+(F11*G11)+(H11*I11),IF($H11&gt;=1,$J11+(D11*E11)+(F11*G11)+(H11*I11),"")))</f>
        <v/>
      </c>
    </row>
    <row r="12" spans="1:13" ht="15" customHeight="1">
      <c r="A12" s="48"/>
      <c r="B12" s="49" t="str">
        <f>VLOOKUP($C$11:$C$32,Personnel!$A$1:$B$1234,2,FALSE)</f>
        <v>GENERAL LABOURER</v>
      </c>
      <c r="C12" s="36" t="s">
        <v>2897</v>
      </c>
      <c r="D12" s="184">
        <v>8</v>
      </c>
      <c r="E12" s="179">
        <f>VLOOKUP($B$11:$B$32,'Constr. Wage Rate Calculations'!$A$19:$Z$288,22,FALSE)</f>
        <v>48.1</v>
      </c>
      <c r="F12" s="184">
        <v>4</v>
      </c>
      <c r="G12" s="179">
        <f>VLOOKUP($B$11:$B$32,'Constr. Wage Rate Calculations'!$A$19:$Z$288,23,FALSE)</f>
        <v>72.150000000000006</v>
      </c>
      <c r="H12" s="184"/>
      <c r="I12" s="179">
        <f>VLOOKUP($B$11:$B$32,'Constr. Wage Rate Calculations'!$A$19:$Z$288,24,FALSE)</f>
        <v>96.2</v>
      </c>
      <c r="J12" s="20">
        <f>VLOOKUP($B$11:$B$32,'Constr. Wage Rate Calculations'!$A$19:$Z$288,25,FALSE)</f>
        <v>85</v>
      </c>
      <c r="K12" s="179">
        <f t="shared" ref="K12:K31" si="0">IF($D12&gt;=1,$J12+(D12*E12)+(F12*G12)+(H12*I12),IF($F12&gt;=1,$J12+(D12*E12)+(F12*G12)+(H12*I12),IF($H12&gt;=1,$J12+(D12*E12)+(F12*G12)+(H12*I12),"")))</f>
        <v>758.40000000000009</v>
      </c>
    </row>
    <row r="13" spans="1:13" ht="15" customHeight="1">
      <c r="A13" s="48"/>
      <c r="B13" s="49" t="str">
        <f>VLOOKUP($C$11:$C$32,Personnel!$A$1:$B$1234,2,FALSE)</f>
        <v>GENERAL LABOURER</v>
      </c>
      <c r="C13" s="36" t="s">
        <v>3353</v>
      </c>
      <c r="D13" s="184">
        <v>8</v>
      </c>
      <c r="E13" s="179">
        <f>VLOOKUP($B$11:$B$32,'Constr. Wage Rate Calculations'!$A$19:$Z$288,22,FALSE)</f>
        <v>48.1</v>
      </c>
      <c r="F13" s="184">
        <v>4</v>
      </c>
      <c r="G13" s="179">
        <f>VLOOKUP($B$11:$B$32,'Constr. Wage Rate Calculations'!$A$19:$Z$288,23,FALSE)</f>
        <v>72.150000000000006</v>
      </c>
      <c r="H13" s="184"/>
      <c r="I13" s="179">
        <f>VLOOKUP($B$11:$B$32,'Constr. Wage Rate Calculations'!$A$19:$Z$288,24,FALSE)</f>
        <v>96.2</v>
      </c>
      <c r="J13" s="20">
        <f>VLOOKUP($B$11:$B$32,'Constr. Wage Rate Calculations'!$A$19:$Z$288,25,FALSE)</f>
        <v>85</v>
      </c>
      <c r="K13" s="179">
        <f t="shared" si="0"/>
        <v>758.40000000000009</v>
      </c>
    </row>
    <row r="14" spans="1:13" ht="15" customHeight="1">
      <c r="A14" s="48"/>
      <c r="B14" s="49" t="str">
        <f>VLOOKUP($C$11:$C$32,Personnel!$A$1:$B$1234,2,FALSE)</f>
        <v>GENERAL LABOURER</v>
      </c>
      <c r="C14" s="36" t="s">
        <v>1227</v>
      </c>
      <c r="D14" s="184">
        <v>8</v>
      </c>
      <c r="E14" s="179">
        <f>VLOOKUP($B$11:$B$32,'Constr. Wage Rate Calculations'!$A$19:$Z$288,22,FALSE)</f>
        <v>48.1</v>
      </c>
      <c r="F14" s="184">
        <v>4</v>
      </c>
      <c r="G14" s="179">
        <f>VLOOKUP($B$11:$B$32,'Constr. Wage Rate Calculations'!$A$19:$Z$288,23,FALSE)</f>
        <v>72.150000000000006</v>
      </c>
      <c r="H14" s="184"/>
      <c r="I14" s="179">
        <f>VLOOKUP($B$11:$B$32,'Constr. Wage Rate Calculations'!$A$19:$Z$288,24,FALSE)</f>
        <v>96.2</v>
      </c>
      <c r="J14" s="20">
        <f>VLOOKUP($B$11:$B$32,'Constr. Wage Rate Calculations'!$A$19:$Z$288,25,FALSE)</f>
        <v>85</v>
      </c>
      <c r="K14" s="179">
        <f t="shared" si="0"/>
        <v>758.40000000000009</v>
      </c>
    </row>
    <row r="15" spans="1:13" ht="15" customHeight="1">
      <c r="A15" s="48"/>
      <c r="B15" s="49" t="str">
        <f>VLOOKUP($C$11:$C$32,Personnel!$A$1:$B$1234,2,FALSE)</f>
        <v>PRINCIPAL OPER 1</v>
      </c>
      <c r="C15" s="36" t="s">
        <v>921</v>
      </c>
      <c r="D15" s="184">
        <v>8</v>
      </c>
      <c r="E15" s="179">
        <f>VLOOKUP($B$11:$B$32,'Constr. Wage Rate Calculations'!$A$19:$Z$288,22,FALSE)</f>
        <v>64.239999999999995</v>
      </c>
      <c r="F15" s="184">
        <v>4</v>
      </c>
      <c r="G15" s="179">
        <f>VLOOKUP($B$11:$B$32,'Constr. Wage Rate Calculations'!$A$19:$Z$288,23,FALSE)</f>
        <v>96.36</v>
      </c>
      <c r="H15" s="184"/>
      <c r="I15" s="179">
        <f>VLOOKUP($B$11:$B$32,'Constr. Wage Rate Calculations'!$A$19:$Z$288,24,FALSE)</f>
        <v>128.47</v>
      </c>
      <c r="J15" s="20">
        <f>VLOOKUP($B$11:$B$32,'Constr. Wage Rate Calculations'!$A$19:$Z$288,25,FALSE)</f>
        <v>85</v>
      </c>
      <c r="K15" s="179">
        <f t="shared" si="0"/>
        <v>984.3599999999999</v>
      </c>
    </row>
    <row r="16" spans="1:13" ht="15" customHeight="1">
      <c r="A16" s="48"/>
      <c r="B16" s="49" t="str">
        <f>VLOOKUP($C$11:$C$32,Personnel!$A$1:$B$1234,2,FALSE)</f>
        <v>GENERAL LABOURER</v>
      </c>
      <c r="C16" s="36" t="s">
        <v>2526</v>
      </c>
      <c r="D16" s="184">
        <v>8</v>
      </c>
      <c r="E16" s="179">
        <f>VLOOKUP($B$11:$B$32,'Constr. Wage Rate Calculations'!$A$19:$Z$288,22,FALSE)</f>
        <v>48.1</v>
      </c>
      <c r="F16" s="184">
        <v>4</v>
      </c>
      <c r="G16" s="179">
        <f>VLOOKUP($B$11:$B$32,'Constr. Wage Rate Calculations'!$A$19:$Z$288,23,FALSE)</f>
        <v>72.150000000000006</v>
      </c>
      <c r="H16" s="184"/>
      <c r="I16" s="179">
        <f>VLOOKUP($B$11:$B$32,'Constr. Wage Rate Calculations'!$A$19:$Z$288,24,FALSE)</f>
        <v>96.2</v>
      </c>
      <c r="J16" s="20">
        <f>VLOOKUP($B$11:$B$32,'Constr. Wage Rate Calculations'!$A$19:$Z$288,25,FALSE)</f>
        <v>85</v>
      </c>
      <c r="K16" s="179">
        <f t="shared" si="0"/>
        <v>758.40000000000009</v>
      </c>
    </row>
    <row r="17" spans="1:13" ht="15" customHeight="1">
      <c r="A17" s="48"/>
      <c r="B17" s="49" t="str">
        <f>VLOOKUP($C$11:$C$32,Personnel!$A$1:$B$1234,2,FALSE)</f>
        <v>PRINCIPAL OPER 1</v>
      </c>
      <c r="C17" s="36" t="s">
        <v>922</v>
      </c>
      <c r="D17" s="184">
        <v>8</v>
      </c>
      <c r="E17" s="179">
        <f>VLOOKUP($B$11:$B$32,'Constr. Wage Rate Calculations'!$A$19:$Z$288,22,FALSE)</f>
        <v>64.239999999999995</v>
      </c>
      <c r="F17" s="184">
        <v>4</v>
      </c>
      <c r="G17" s="179">
        <f>VLOOKUP($B$11:$B$32,'Constr. Wage Rate Calculations'!$A$19:$Z$288,23,FALSE)</f>
        <v>96.36</v>
      </c>
      <c r="H17" s="184"/>
      <c r="I17" s="179">
        <f>VLOOKUP($B$11:$B$32,'Constr. Wage Rate Calculations'!$A$19:$Z$288,24,FALSE)</f>
        <v>128.47</v>
      </c>
      <c r="J17" s="20">
        <f>VLOOKUP($B$11:$B$32,'Constr. Wage Rate Calculations'!$A$19:$Z$288,25,FALSE)</f>
        <v>85</v>
      </c>
      <c r="K17" s="179">
        <f t="shared" si="0"/>
        <v>984.3599999999999</v>
      </c>
    </row>
    <row r="18" spans="1:13" ht="15" customHeight="1">
      <c r="A18" s="48"/>
      <c r="B18" s="49" t="str">
        <f>VLOOKUP($C$11:$C$32,Personnel!$A$1:$B$1234,2,FALSE)</f>
        <v>GENERAL LABOURER</v>
      </c>
      <c r="C18" s="36" t="s">
        <v>2710</v>
      </c>
      <c r="D18" s="184">
        <v>8</v>
      </c>
      <c r="E18" s="179">
        <f>VLOOKUP($B$11:$B$32,'Constr. Wage Rate Calculations'!$A$19:$Z$288,22,FALSE)</f>
        <v>48.1</v>
      </c>
      <c r="F18" s="184">
        <v>4</v>
      </c>
      <c r="G18" s="179">
        <f>VLOOKUP($B$11:$B$32,'Constr. Wage Rate Calculations'!$A$19:$Z$288,23,FALSE)</f>
        <v>72.150000000000006</v>
      </c>
      <c r="H18" s="184"/>
      <c r="I18" s="179">
        <f>VLOOKUP($B$11:$B$32,'Constr. Wage Rate Calculations'!$A$19:$Z$288,24,FALSE)</f>
        <v>96.2</v>
      </c>
      <c r="J18" s="20">
        <f>VLOOKUP($B$11:$B$32,'Constr. Wage Rate Calculations'!$A$19:$Z$288,25,FALSE)</f>
        <v>85</v>
      </c>
      <c r="K18" s="179">
        <f t="shared" si="0"/>
        <v>758.40000000000009</v>
      </c>
    </row>
    <row r="19" spans="1:13" ht="15" customHeight="1">
      <c r="A19" s="48"/>
      <c r="B19" s="49" t="str">
        <f>VLOOKUP($C$11:$C$32,Personnel!$A$1:$B$1234,2,FALSE)</f>
        <v>BUS/ CREWCAB DRIVER</v>
      </c>
      <c r="C19" s="36" t="s">
        <v>2984</v>
      </c>
      <c r="D19" s="184">
        <v>8</v>
      </c>
      <c r="E19" s="179">
        <f>VLOOKUP($B$11:$B$32,'Constr. Wage Rate Calculations'!$A$19:$Z$288,22,FALSE)</f>
        <v>56.73</v>
      </c>
      <c r="F19" s="184">
        <v>5</v>
      </c>
      <c r="G19" s="179">
        <f>VLOOKUP($B$11:$B$32,'Constr. Wage Rate Calculations'!$A$19:$Z$288,23,FALSE)</f>
        <v>85.1</v>
      </c>
      <c r="H19" s="20"/>
      <c r="I19" s="179">
        <f>VLOOKUP($B$11:$B$32,'Constr. Wage Rate Calculations'!$A$19:$Z$288,24,FALSE)</f>
        <v>113.46</v>
      </c>
      <c r="J19" s="20">
        <f>VLOOKUP($B$11:$B$32,'Constr. Wage Rate Calculations'!$A$19:$Z$288,25,FALSE)</f>
        <v>85</v>
      </c>
      <c r="K19" s="179">
        <f t="shared" si="0"/>
        <v>964.33999999999992</v>
      </c>
      <c r="M19" s="1">
        <v>1</v>
      </c>
    </row>
    <row r="20" spans="1:13" ht="15" customHeight="1">
      <c r="A20" s="48"/>
      <c r="B20" s="49" t="str">
        <f>VLOOKUP($C$11:$C$32,Personnel!$A$1:$B$1234,2,FALSE)</f>
        <v>PRINCIPAL OPER 1</v>
      </c>
      <c r="C20" s="36" t="s">
        <v>1093</v>
      </c>
      <c r="D20" s="184">
        <v>8</v>
      </c>
      <c r="E20" s="179">
        <f>VLOOKUP($B$11:$B$32,'Constr. Wage Rate Calculations'!$A$19:$Z$288,22,FALSE)</f>
        <v>64.239999999999995</v>
      </c>
      <c r="F20" s="184">
        <v>4</v>
      </c>
      <c r="G20" s="179">
        <f>VLOOKUP($B$11:$B$32,'Constr. Wage Rate Calculations'!$A$19:$Z$288,23,FALSE)</f>
        <v>96.36</v>
      </c>
      <c r="H20" s="20"/>
      <c r="I20" s="179">
        <f>VLOOKUP($B$11:$B$32,'Constr. Wage Rate Calculations'!$A$19:$Z$288,24,FALSE)</f>
        <v>128.47</v>
      </c>
      <c r="J20" s="20">
        <f>VLOOKUP($B$11:$B$32,'Constr. Wage Rate Calculations'!$A$19:$Z$288,25,FALSE)</f>
        <v>85</v>
      </c>
      <c r="K20" s="179">
        <f t="shared" si="0"/>
        <v>984.3599999999999</v>
      </c>
    </row>
    <row r="21" spans="1:13" ht="15" customHeight="1">
      <c r="A21" s="48"/>
      <c r="B21" s="49" t="str">
        <f>VLOOKUP($C$11:$C$32,Personnel!$A$1:$B$1234,2,FALSE)</f>
        <v>NON-WELDER JOURNEYMAN/ FITTER ON STICK WELD SPREAD (QI APPLIES)</v>
      </c>
      <c r="C21" s="36" t="s">
        <v>926</v>
      </c>
      <c r="D21" s="184">
        <v>8</v>
      </c>
      <c r="E21" s="179">
        <f>VLOOKUP($B$11:$B$32,'Constr. Wage Rate Calculations'!$A$19:$Z$288,22,FALSE)</f>
        <v>69.010000000000005</v>
      </c>
      <c r="F21" s="184">
        <v>5</v>
      </c>
      <c r="G21" s="179">
        <f>VLOOKUP($B$11:$B$32,'Constr. Wage Rate Calculations'!$A$19:$Z$288,23,FALSE)</f>
        <v>103.51</v>
      </c>
      <c r="H21" s="184"/>
      <c r="I21" s="179">
        <f>VLOOKUP($B$11:$B$32,'Constr. Wage Rate Calculations'!$A$19:$Z$288,24,FALSE)</f>
        <v>138.02000000000001</v>
      </c>
      <c r="J21" s="20">
        <f>VLOOKUP($B$11:$B$32,'Constr. Wage Rate Calculations'!$A$19:$Z$288,25,FALSE)</f>
        <v>85</v>
      </c>
      <c r="K21" s="179">
        <f t="shared" si="0"/>
        <v>1154.6300000000001</v>
      </c>
      <c r="M21" s="1">
        <v>1</v>
      </c>
    </row>
    <row r="22" spans="1:13" ht="15" customHeight="1">
      <c r="A22" s="48"/>
      <c r="B22" s="49" t="str">
        <f>VLOOKUP($C$11:$C$32,Personnel!$A$1:$B$1234,2,FALSE)</f>
        <v>GENERAL LABOURER</v>
      </c>
      <c r="C22" s="36" t="s">
        <v>2803</v>
      </c>
      <c r="D22" s="184">
        <v>8</v>
      </c>
      <c r="E22" s="179">
        <f>VLOOKUP($B$11:$B$32,'Constr. Wage Rate Calculations'!$A$19:$Z$288,22,FALSE)</f>
        <v>48.1</v>
      </c>
      <c r="F22" s="184">
        <v>5</v>
      </c>
      <c r="G22" s="179">
        <f>VLOOKUP($B$11:$B$32,'Constr. Wage Rate Calculations'!$A$19:$Z$288,23,FALSE)</f>
        <v>72.150000000000006</v>
      </c>
      <c r="H22" s="184"/>
      <c r="I22" s="179">
        <f>VLOOKUP($B$11:$B$32,'Constr. Wage Rate Calculations'!$A$19:$Z$288,24,FALSE)</f>
        <v>96.2</v>
      </c>
      <c r="J22" s="20">
        <f>VLOOKUP($B$11:$B$32,'Constr. Wage Rate Calculations'!$A$19:$Z$288,25,FALSE)</f>
        <v>85</v>
      </c>
      <c r="K22" s="179">
        <f t="shared" si="0"/>
        <v>830.55</v>
      </c>
      <c r="M22" s="1">
        <v>1</v>
      </c>
    </row>
    <row r="23" spans="1:13" ht="15" customHeight="1">
      <c r="A23" s="48"/>
      <c r="B23" s="49" t="str">
        <f>VLOOKUP($C$11:$C$32,Personnel!$A$1:$B$1234,2,FALSE)</f>
        <v>PRINCIPAL OPER 1</v>
      </c>
      <c r="C23" s="356" t="s">
        <v>961</v>
      </c>
      <c r="D23" s="184">
        <v>8</v>
      </c>
      <c r="E23" s="179">
        <f>VLOOKUP($B$11:$B$32,'Constr. Wage Rate Calculations'!$A$19:$Z$288,22,FALSE)</f>
        <v>64.239999999999995</v>
      </c>
      <c r="F23" s="184">
        <v>4</v>
      </c>
      <c r="G23" s="179">
        <f>VLOOKUP($B$11:$B$32,'Constr. Wage Rate Calculations'!$A$19:$Z$288,23,FALSE)</f>
        <v>96.36</v>
      </c>
      <c r="H23" s="184"/>
      <c r="I23" s="179">
        <f>VLOOKUP($B$11:$B$32,'Constr. Wage Rate Calculations'!$A$19:$Z$288,24,FALSE)</f>
        <v>128.47</v>
      </c>
      <c r="J23" s="20">
        <f>VLOOKUP($B$11:$B$32,'Constr. Wage Rate Calculations'!$A$19:$Z$288,25,FALSE)</f>
        <v>85</v>
      </c>
      <c r="K23" s="179">
        <f t="shared" si="0"/>
        <v>984.3599999999999</v>
      </c>
    </row>
    <row r="24" spans="1:13" ht="15" customHeight="1">
      <c r="A24" s="48"/>
      <c r="B24" s="49" t="str">
        <f>VLOOKUP($C$11:$C$32,Personnel!$A$1:$B$1234,2,FALSE)</f>
        <v>GENERAL LABOURER</v>
      </c>
      <c r="C24" s="36" t="s">
        <v>967</v>
      </c>
      <c r="D24" s="184">
        <v>8</v>
      </c>
      <c r="E24" s="179">
        <f>VLOOKUP($B$11:$B$32,'Constr. Wage Rate Calculations'!$A$19:$Z$288,22,FALSE)</f>
        <v>48.1</v>
      </c>
      <c r="F24" s="184">
        <v>4</v>
      </c>
      <c r="G24" s="179">
        <f>VLOOKUP($B$11:$B$32,'Constr. Wage Rate Calculations'!$A$19:$Z$288,23,FALSE)</f>
        <v>72.150000000000006</v>
      </c>
      <c r="H24" s="184"/>
      <c r="I24" s="179">
        <f>VLOOKUP($B$11:$B$32,'Constr. Wage Rate Calculations'!$A$19:$Z$288,24,FALSE)</f>
        <v>96.2</v>
      </c>
      <c r="J24" s="20">
        <f>VLOOKUP($B$11:$B$32,'Constr. Wage Rate Calculations'!$A$19:$Z$288,25,FALSE)</f>
        <v>85</v>
      </c>
      <c r="K24" s="179">
        <f t="shared" si="0"/>
        <v>758.40000000000009</v>
      </c>
    </row>
    <row r="25" spans="1:13" ht="15" customHeight="1">
      <c r="A25" s="48" t="s">
        <v>3753</v>
      </c>
      <c r="B25" s="49" t="str">
        <f>VLOOKUP($C$11:$C$32,Personnel!$A$1:$B$1234,2,FALSE)</f>
        <v>STRAW - LABOURER</v>
      </c>
      <c r="C25" s="36" t="s">
        <v>918</v>
      </c>
      <c r="D25" s="184">
        <v>8</v>
      </c>
      <c r="E25" s="179">
        <f>VLOOKUP($B$11:$B$32,'Constr. Wage Rate Calculations'!$A$19:$Z$288,22,FALSE)</f>
        <v>48.1</v>
      </c>
      <c r="F25" s="184">
        <v>5</v>
      </c>
      <c r="G25" s="179">
        <f>VLOOKUP($B$11:$B$32,'Constr. Wage Rate Calculations'!$A$19:$Z$288,23,FALSE)</f>
        <v>72.150000000000006</v>
      </c>
      <c r="H25" s="184"/>
      <c r="I25" s="179">
        <f>VLOOKUP($B$11:$B$32,'Constr. Wage Rate Calculations'!$A$19:$Z$288,24,FALSE)</f>
        <v>96.2</v>
      </c>
      <c r="J25" s="20">
        <f>VLOOKUP($B$11:$B$32,'Constr. Wage Rate Calculations'!$A$19:$Z$288,25,FALSE)</f>
        <v>85</v>
      </c>
      <c r="K25" s="179">
        <f t="shared" si="0"/>
        <v>830.55</v>
      </c>
      <c r="M25" s="1">
        <v>1</v>
      </c>
    </row>
    <row r="26" spans="1:13" ht="15" customHeight="1">
      <c r="A26" s="48"/>
      <c r="B26" s="49" t="str">
        <f>VLOOKUP($C$11:$C$32,Personnel!$A$1:$B$1234,2,FALSE)</f>
        <v>PRINCIPAL OPER 1</v>
      </c>
      <c r="C26" s="36" t="s">
        <v>4049</v>
      </c>
      <c r="D26" s="184">
        <v>8</v>
      </c>
      <c r="E26" s="179">
        <f>VLOOKUP($B$11:$B$32,'Constr. Wage Rate Calculations'!$A$19:$Z$288,22,FALSE)</f>
        <v>64.239999999999995</v>
      </c>
      <c r="F26" s="184">
        <v>4</v>
      </c>
      <c r="G26" s="179">
        <f>VLOOKUP($B$11:$B$32,'Constr. Wage Rate Calculations'!$A$19:$Z$288,23,FALSE)</f>
        <v>96.36</v>
      </c>
      <c r="H26" s="184"/>
      <c r="I26" s="179">
        <f>VLOOKUP($B$11:$B$32,'Constr. Wage Rate Calculations'!$A$19:$Z$288,24,FALSE)</f>
        <v>128.47</v>
      </c>
      <c r="J26" s="20">
        <f>VLOOKUP($B$11:$B$32,'Constr. Wage Rate Calculations'!$A$19:$Z$288,25,FALSE)</f>
        <v>85</v>
      </c>
      <c r="K26" s="179">
        <f t="shared" si="0"/>
        <v>984.3599999999999</v>
      </c>
    </row>
    <row r="27" spans="1:13" ht="15" customHeight="1">
      <c r="A27" s="48"/>
      <c r="B27" s="49" t="str">
        <f>VLOOKUP($C$11:$C$32,Personnel!$A$1:$B$1234,2,FALSE)</f>
        <v>GENERAL LABOURER</v>
      </c>
      <c r="C27" s="36" t="s">
        <v>933</v>
      </c>
      <c r="D27" s="184">
        <v>8</v>
      </c>
      <c r="E27" s="179">
        <f>VLOOKUP($B$11:$B$32,'Constr. Wage Rate Calculations'!$A$19:$Z$288,22,FALSE)</f>
        <v>48.1</v>
      </c>
      <c r="F27" s="184">
        <v>4</v>
      </c>
      <c r="G27" s="179">
        <f>VLOOKUP($B$11:$B$32,'Constr. Wage Rate Calculations'!$A$19:$Z$288,23,FALSE)</f>
        <v>72.150000000000006</v>
      </c>
      <c r="H27" s="184"/>
      <c r="I27" s="179">
        <f>VLOOKUP($B$11:$B$32,'Constr. Wage Rate Calculations'!$A$19:$Z$288,24,FALSE)</f>
        <v>96.2</v>
      </c>
      <c r="J27" s="20">
        <f>VLOOKUP($B$11:$B$32,'Constr. Wage Rate Calculations'!$A$19:$Z$288,25,FALSE)</f>
        <v>85</v>
      </c>
      <c r="K27" s="179">
        <f t="shared" si="0"/>
        <v>758.40000000000009</v>
      </c>
    </row>
    <row r="28" spans="1:13" ht="15" customHeight="1">
      <c r="A28" s="48"/>
      <c r="B28" s="49" t="str">
        <f>VLOOKUP($C$11:$C$32,Personnel!$A$1:$B$1234,2,FALSE)</f>
        <v>PRINCIPAL OPER 1</v>
      </c>
      <c r="C28" s="36" t="s">
        <v>2992</v>
      </c>
      <c r="D28" s="184">
        <v>8</v>
      </c>
      <c r="E28" s="179">
        <f>VLOOKUP($B$11:$B$32,'Constr. Wage Rate Calculations'!$A$19:$Z$288,22,FALSE)</f>
        <v>64.239999999999995</v>
      </c>
      <c r="F28" s="184">
        <v>4</v>
      </c>
      <c r="G28" s="179">
        <f>VLOOKUP($B$11:$B$32,'Constr. Wage Rate Calculations'!$A$19:$Z$288,23,FALSE)</f>
        <v>96.36</v>
      </c>
      <c r="H28" s="184"/>
      <c r="I28" s="179">
        <f>VLOOKUP($B$11:$B$32,'Constr. Wage Rate Calculations'!$A$19:$Z$288,24,FALSE)</f>
        <v>128.47</v>
      </c>
      <c r="J28" s="20">
        <f>VLOOKUP($B$11:$B$32,'Constr. Wage Rate Calculations'!$A$19:$Z$288,25,FALSE)</f>
        <v>85</v>
      </c>
      <c r="K28" s="179">
        <f t="shared" si="0"/>
        <v>984.3599999999999</v>
      </c>
    </row>
    <row r="29" spans="1:13" ht="15" customHeight="1">
      <c r="A29" s="48"/>
      <c r="B29" s="49" t="str">
        <f>VLOOKUP($C$11:$C$32,Personnel!$A$1:$B$1234,2,FALSE)</f>
        <v>GENERAL LABOURER</v>
      </c>
      <c r="C29" s="36" t="s">
        <v>3878</v>
      </c>
      <c r="D29" s="184">
        <v>8</v>
      </c>
      <c r="E29" s="179">
        <f>VLOOKUP($B$11:$B$32,'Constr. Wage Rate Calculations'!$A$19:$Z$288,22,FALSE)</f>
        <v>48.1</v>
      </c>
      <c r="F29" s="184">
        <v>4</v>
      </c>
      <c r="G29" s="179">
        <f>VLOOKUP($B$11:$B$32,'Constr. Wage Rate Calculations'!$A$19:$Z$288,23,FALSE)</f>
        <v>72.150000000000006</v>
      </c>
      <c r="H29" s="184"/>
      <c r="I29" s="179">
        <f>VLOOKUP($B$11:$B$32,'Constr. Wage Rate Calculations'!$A$19:$Z$288,24,FALSE)</f>
        <v>96.2</v>
      </c>
      <c r="J29" s="20">
        <f>VLOOKUP($B$11:$B$32,'Constr. Wage Rate Calculations'!$A$19:$Z$288,25,FALSE)</f>
        <v>85</v>
      </c>
      <c r="K29" s="179">
        <f t="shared" si="0"/>
        <v>758.40000000000009</v>
      </c>
    </row>
    <row r="30" spans="1:13" ht="15" customHeight="1">
      <c r="A30" s="48"/>
      <c r="B30" s="49" t="str">
        <f>VLOOKUP($C$11:$C$32,Personnel!$A$1:$B$1234,2,FALSE)</f>
        <v>GENERAL FOREMAN</v>
      </c>
      <c r="C30" s="36" t="s">
        <v>911</v>
      </c>
      <c r="D30" s="184">
        <v>1</v>
      </c>
      <c r="E30" s="179">
        <f>VLOOKUP($B$11:$B$32,'Constr. Wage Rate Calculations'!$A$19:$Z$288,22,FALSE)</f>
        <v>1332.16</v>
      </c>
      <c r="F30" s="184">
        <v>9</v>
      </c>
      <c r="G30" s="179">
        <f>VLOOKUP($B$11:$B$32,'Constr. Wage Rate Calculations'!$A$19:$Z$288,23,FALSE)</f>
        <v>0</v>
      </c>
      <c r="H30" s="184"/>
      <c r="I30" s="179">
        <f>VLOOKUP($B$11:$B$32,'Constr. Wage Rate Calculations'!$A$19:$Z$288,24,FALSE)</f>
        <v>0</v>
      </c>
      <c r="J30" s="20">
        <f>VLOOKUP($B$11:$B$32,'Constr. Wage Rate Calculations'!$A$19:$Z$288,25,FALSE)</f>
        <v>230</v>
      </c>
      <c r="K30" s="179">
        <f t="shared" si="0"/>
        <v>1562.16</v>
      </c>
    </row>
    <row r="31" spans="1:13" ht="15" customHeight="1">
      <c r="A31" s="48"/>
      <c r="B31" s="49">
        <f>VLOOKUP($C$11:$C$32,Personnel!$A$1:$B$1234,2,FALSE)</f>
        <v>0</v>
      </c>
      <c r="C31" s="36"/>
      <c r="D31" s="184"/>
      <c r="E31" s="179">
        <f>VLOOKUP($B$11:$B$32,'Constr. Wage Rate Calculations'!$A$19:$Z$288,22,FALSE)</f>
        <v>0</v>
      </c>
      <c r="F31" s="184"/>
      <c r="G31" s="179">
        <f>VLOOKUP($B$11:$B$32,'Constr. Wage Rate Calculations'!$A$19:$Z$288,23,FALSE)</f>
        <v>0</v>
      </c>
      <c r="H31" s="184"/>
      <c r="I31" s="179">
        <f>VLOOKUP($B$11:$B$32,'Constr. Wage Rate Calculations'!$A$19:$Z$288,24,FALSE)</f>
        <v>0</v>
      </c>
      <c r="J31" s="20">
        <f>VLOOKUP($B$11:$B$32,'Constr. Wage Rate Calculations'!$A$19:$Z$288,25,FALSE)</f>
        <v>0</v>
      </c>
      <c r="K31" s="179" t="str">
        <f t="shared" si="0"/>
        <v/>
      </c>
    </row>
    <row r="32" spans="1:13" ht="15" customHeight="1" thickBot="1">
      <c r="A32" s="48"/>
      <c r="B32" s="49">
        <f>VLOOKUP($C$11:$C$32,Personnel!$A$1:$B$1234,2,FALSE)</f>
        <v>0</v>
      </c>
      <c r="C32" s="36"/>
      <c r="D32" s="184"/>
      <c r="E32" s="179">
        <f>VLOOKUP($B$11:$B$32,'Constr. Wage Rate Calculations'!$A$19:$Z$288,22,FALSE)</f>
        <v>0</v>
      </c>
      <c r="F32" s="184"/>
      <c r="G32" s="179">
        <f>VLOOKUP($B$11:$B$32,'Constr. Wage Rate Calculations'!$A$19:$Z$288,23,FALSE)</f>
        <v>0</v>
      </c>
      <c r="H32" s="184"/>
      <c r="I32" s="179">
        <f>VLOOKUP($B$11:$B$32,'Constr. Wage Rate Calculations'!$A$19:$Z$288,24,FALSE)</f>
        <v>0</v>
      </c>
      <c r="J32" s="20">
        <f>VLOOKUP($B$11:$B$32,'Constr. Wage Rate Calculations'!$A$19:$Z$288,25,FALSE)</f>
        <v>0</v>
      </c>
      <c r="K32" s="179" t="str">
        <f>IF($D32&gt;=1,$J32+(D32*E32)+(F32*G32)+(H32*I32),IF($F32&gt;=1,$J32+(D32*E32)+(F32*G32)+(H32*I32),IF($H32&gt;=1,$J32+(D32*E32)+(F32*G32)+(H32*I32),"")))</f>
        <v/>
      </c>
      <c r="M32" s="1">
        <f>SUM(M11:M31)</f>
        <v>4</v>
      </c>
    </row>
    <row r="33" spans="1:15" ht="15" customHeight="1" thickBot="1">
      <c r="A33"/>
      <c r="B33"/>
      <c r="C33"/>
      <c r="D33" s="21"/>
      <c r="E33" s="21"/>
      <c r="F33" s="21"/>
      <c r="G33" s="21"/>
      <c r="H33" s="21"/>
      <c r="I33" s="360" t="s">
        <v>18</v>
      </c>
      <c r="J33" s="361"/>
      <c r="K33" s="206">
        <f>SUM(K11:K32)</f>
        <v>17315.59</v>
      </c>
      <c r="M33" s="1">
        <f>SUMIFS(D11:D32,D11:D32,"&lt;3",D11:D32,"&lt;5")</f>
        <v>1</v>
      </c>
      <c r="N33" s="1">
        <f>SUMIFS(D11:D32,D11:D32,"&gt;3",D11:D32,"&gt;5")</f>
        <v>144</v>
      </c>
      <c r="O33" s="1">
        <f>SUM(F11:F32,H11:H32,M33,N33)-M32</f>
        <v>226</v>
      </c>
    </row>
    <row r="34" spans="1:15" ht="10" customHeight="1" thickBot="1"/>
    <row r="35" spans="1:15" s="19" customFormat="1" ht="15" customHeight="1" thickBot="1">
      <c r="A35" s="22" t="s">
        <v>19</v>
      </c>
      <c r="B35" s="23" t="s">
        <v>20</v>
      </c>
      <c r="C35" s="23"/>
      <c r="D35" s="23"/>
      <c r="E35" s="23"/>
      <c r="F35" s="23"/>
      <c r="G35" s="23"/>
      <c r="H35" s="18" t="s">
        <v>21</v>
      </c>
      <c r="I35" s="18" t="s">
        <v>22</v>
      </c>
      <c r="J35" s="18" t="s">
        <v>23</v>
      </c>
      <c r="K35" s="18" t="s">
        <v>17</v>
      </c>
    </row>
    <row r="36" spans="1:15" ht="15" customHeight="1">
      <c r="A36" s="43"/>
      <c r="B36" s="49">
        <f>VLOOKUP($C$36:$C$49,Equipment!$A$1:$B$2322,2,FALSE)</f>
        <v>0</v>
      </c>
      <c r="C36" s="24"/>
      <c r="D36" s="24"/>
      <c r="E36" s="24"/>
      <c r="F36" s="24"/>
      <c r="G36" s="24"/>
      <c r="H36" s="184"/>
      <c r="I36" s="184"/>
      <c r="J36" s="42">
        <f>VLOOKUP($B$36:$B$49,'Alberta Equip. Rates Year 3'!$B$13:$K$314,10,FALSE)</f>
        <v>0</v>
      </c>
      <c r="K36" s="181">
        <f t="shared" ref="K36:K49" si="1">(H36+I36)*J36</f>
        <v>0</v>
      </c>
    </row>
    <row r="37" spans="1:15" ht="15" customHeight="1">
      <c r="A37" s="43"/>
      <c r="B37" s="49" t="str">
        <f>VLOOKUP($C$36:$C$49,Equipment!$A$1:$B$2322,2,FALSE)</f>
        <v>Athey Wagon</v>
      </c>
      <c r="C37" s="24" t="s">
        <v>2338</v>
      </c>
      <c r="D37" s="24"/>
      <c r="E37" s="24"/>
      <c r="F37" s="24"/>
      <c r="G37" s="24"/>
      <c r="H37" s="184">
        <v>1</v>
      </c>
      <c r="I37" s="184"/>
      <c r="J37" s="42">
        <f>VLOOKUP($B$36:$B$49,'Alberta Equip. Rates Year 3'!$B$13:$K$314,10,FALSE)</f>
        <v>106</v>
      </c>
      <c r="K37" s="181">
        <f t="shared" si="1"/>
        <v>106</v>
      </c>
    </row>
    <row r="38" spans="1:15" ht="15" customHeight="1">
      <c r="A38" s="43"/>
      <c r="B38" s="49" t="str">
        <f>VLOOKUP($C$36:$C$49,Equipment!$A$1:$B$2322,2,FALSE)</f>
        <v>Bending Machine 32 - 42" (Does not include bending set/shoes &amp; mandrel that are rented from a 3rd Party)</v>
      </c>
      <c r="C38" s="24" t="s">
        <v>2596</v>
      </c>
      <c r="D38" s="24"/>
      <c r="E38" s="24"/>
      <c r="F38" s="24"/>
      <c r="G38" s="24"/>
      <c r="H38" s="184">
        <v>1</v>
      </c>
      <c r="I38" s="184"/>
      <c r="J38" s="42">
        <f>VLOOKUP($B$36:$B$49,'Alberta Equip. Rates Year 3'!$B$13:$K$314,10,FALSE)</f>
        <v>1270</v>
      </c>
      <c r="K38" s="181">
        <f t="shared" si="1"/>
        <v>1270</v>
      </c>
    </row>
    <row r="39" spans="1:15" ht="15" customHeight="1">
      <c r="A39" s="43"/>
      <c r="B39" s="49" t="str">
        <f>VLOOKUP($C$36:$C$49,Equipment!$A$1:$B$2322,2,FALSE)</f>
        <v>Bending Machine 36 - 48" (Does not include bending set/shoes &amp; mandrel that are rented from a 3rd Party)</v>
      </c>
      <c r="C39" s="24" t="s">
        <v>2322</v>
      </c>
      <c r="D39" s="24"/>
      <c r="E39" s="24"/>
      <c r="F39" s="24"/>
      <c r="G39" s="24"/>
      <c r="H39" s="184">
        <v>1</v>
      </c>
      <c r="I39" s="184"/>
      <c r="J39" s="42">
        <f>VLOOKUP($B$36:$B$49,'Alberta Equip. Rates Year 3'!$B$13:$K$314,10,FALSE)</f>
        <v>2117</v>
      </c>
      <c r="K39" s="181">
        <f t="shared" si="1"/>
        <v>2117</v>
      </c>
    </row>
    <row r="40" spans="1:15" ht="15" customHeight="1">
      <c r="A40" s="43"/>
      <c r="B40" s="49" t="str">
        <f>VLOOKUP($C$36:$C$49,Equipment!$A$1:$B$2322,2,FALSE)</f>
        <v>Bus</v>
      </c>
      <c r="C40" s="24" t="s">
        <v>2825</v>
      </c>
      <c r="D40" s="24"/>
      <c r="E40" s="24"/>
      <c r="F40" s="24"/>
      <c r="G40" s="24"/>
      <c r="H40" s="184">
        <v>1</v>
      </c>
      <c r="I40" s="184"/>
      <c r="J40" s="42">
        <f>VLOOKUP($B$36:$B$49,'Alberta Equip. Rates Year 3'!$B$13:$K$314,10,FALSE)</f>
        <v>254</v>
      </c>
      <c r="K40" s="181">
        <f>(H40+I40)*J40</f>
        <v>254</v>
      </c>
    </row>
    <row r="41" spans="1:15" ht="15" customHeight="1">
      <c r="A41" s="43"/>
      <c r="B41" s="49" t="str">
        <f>VLOOKUP($C$36:$C$49,Equipment!$A$1:$B$2322,2,FALSE)</f>
        <v>Crewcab - 1 Ton</v>
      </c>
      <c r="C41" s="24" t="s">
        <v>1906</v>
      </c>
      <c r="D41" s="24"/>
      <c r="E41" s="24"/>
      <c r="F41" s="24"/>
      <c r="G41" s="24"/>
      <c r="H41" s="184">
        <v>1</v>
      </c>
      <c r="I41" s="184"/>
      <c r="J41" s="42">
        <f>VLOOKUP($B$36:$B$49,'Alberta Equip. Rates Year 3'!$B$13:$K$314,10,FALSE)</f>
        <v>163</v>
      </c>
      <c r="K41" s="181">
        <f>(H41+I41)*J41</f>
        <v>163</v>
      </c>
    </row>
    <row r="42" spans="1:15" ht="15" customHeight="1">
      <c r="A42" s="43"/>
      <c r="B42" s="49" t="str">
        <f>VLOOKUP($C$36:$C$49,Equipment!$A$1:$B$2322,2,FALSE)</f>
        <v>Crewcab - 1 Ton</v>
      </c>
      <c r="C42" s="24" t="s">
        <v>2926</v>
      </c>
      <c r="D42" s="24"/>
      <c r="E42" s="24"/>
      <c r="F42" s="24"/>
      <c r="G42" s="24"/>
      <c r="H42" s="184">
        <v>1</v>
      </c>
      <c r="I42" s="184"/>
      <c r="J42" s="42">
        <f>VLOOKUP($B$36:$B$49,'Alberta Equip. Rates Year 3'!$B$13:$K$314,10,FALSE)</f>
        <v>163</v>
      </c>
      <c r="K42" s="181">
        <f>(H42+I42)*J42</f>
        <v>163</v>
      </c>
    </row>
    <row r="43" spans="1:15" ht="15" customHeight="1">
      <c r="A43" s="43"/>
      <c r="B43" s="49" t="str">
        <f>VLOOKUP($C$36:$C$49,Equipment!$A$1:$B$2322,2,FALSE)</f>
        <v>Crewcab - 3/4 Ton</v>
      </c>
      <c r="C43" s="24" t="s">
        <v>1924</v>
      </c>
      <c r="D43" s="24"/>
      <c r="E43" s="24"/>
      <c r="F43" s="24"/>
      <c r="G43" s="24"/>
      <c r="H43" s="184">
        <v>1</v>
      </c>
      <c r="I43" s="184"/>
      <c r="J43" s="42">
        <f>VLOOKUP($B$36:$B$49,'Alberta Equip. Rates Year 3'!$B$13:$K$314,10,FALSE)</f>
        <v>153</v>
      </c>
      <c r="K43" s="181">
        <f t="shared" si="1"/>
        <v>153</v>
      </c>
    </row>
    <row r="44" spans="1:15" ht="15" customHeight="1">
      <c r="A44" s="43"/>
      <c r="B44" s="49" t="str">
        <f>VLOOKUP($C$36:$C$49,Equipment!$A$1:$B$2322,2,FALSE)</f>
        <v>Flow Through</v>
      </c>
      <c r="C44" s="24" t="s">
        <v>2547</v>
      </c>
      <c r="D44" s="24"/>
      <c r="E44" s="24"/>
      <c r="F44" s="24"/>
      <c r="G44" s="24"/>
      <c r="H44" s="184">
        <v>1</v>
      </c>
      <c r="I44" s="184"/>
      <c r="J44" s="42">
        <f>VLOOKUP($B$36:$B$49,'Alberta Equip. Rates Year 3'!$B$13:$K$314,10,FALSE)</f>
        <v>0</v>
      </c>
      <c r="K44" s="181">
        <f t="shared" si="1"/>
        <v>0</v>
      </c>
    </row>
    <row r="45" spans="1:15" ht="15" customHeight="1">
      <c r="A45" s="43"/>
      <c r="B45" s="49" t="str">
        <f>VLOOKUP($C$36:$C$49,Equipment!$A$1:$B$2322,2,FALSE)</f>
        <v>Sideboom - Cat 583</v>
      </c>
      <c r="C45" s="24" t="s">
        <v>1024</v>
      </c>
      <c r="D45" s="24"/>
      <c r="E45" s="24"/>
      <c r="F45" s="24"/>
      <c r="G45" s="24"/>
      <c r="H45" s="184">
        <v>1</v>
      </c>
      <c r="I45" s="184"/>
      <c r="J45" s="42">
        <f>VLOOKUP($B$36:$B$49,'Alberta Equip. Rates Year 3'!$B$13:$K$314,10,FALSE)</f>
        <v>927</v>
      </c>
      <c r="K45" s="181">
        <f t="shared" si="1"/>
        <v>927</v>
      </c>
    </row>
    <row r="46" spans="1:15" ht="15" customHeight="1">
      <c r="A46" s="43"/>
      <c r="B46" s="49" t="str">
        <f>VLOOKUP($C$36:$C$49,Equipment!$A$1:$B$2322,2,FALSE)</f>
        <v>Sideboom - Cat 583</v>
      </c>
      <c r="C46" s="24" t="s">
        <v>1347</v>
      </c>
      <c r="D46" s="24"/>
      <c r="E46" s="24"/>
      <c r="F46" s="24"/>
      <c r="G46" s="24"/>
      <c r="H46" s="184">
        <v>1</v>
      </c>
      <c r="I46" s="184"/>
      <c r="J46" s="42">
        <f>VLOOKUP($B$36:$B$49,'Alberta Equip. Rates Year 3'!$B$13:$K$314,10,FALSE)</f>
        <v>927</v>
      </c>
      <c r="K46" s="181">
        <f t="shared" si="1"/>
        <v>927</v>
      </c>
    </row>
    <row r="47" spans="1:15" ht="15" customHeight="1">
      <c r="A47" s="43"/>
      <c r="B47" s="49" t="str">
        <f>VLOOKUP($C$36:$C$49,Equipment!$A$1:$B$2322,2,FALSE)</f>
        <v>Sideboom - Cat 583T</v>
      </c>
      <c r="C47" s="24" t="s">
        <v>1336</v>
      </c>
      <c r="D47" s="24"/>
      <c r="E47" s="24"/>
      <c r="F47" s="24"/>
      <c r="G47" s="24"/>
      <c r="H47" s="184">
        <v>1</v>
      </c>
      <c r="I47" s="184"/>
      <c r="J47" s="42">
        <f>VLOOKUP($B$36:$B$49,'Alberta Equip. Rates Year 3'!$B$13:$K$314,10,FALSE)</f>
        <v>1218</v>
      </c>
      <c r="K47" s="181">
        <f t="shared" ref="K47:K48" si="2">(H47+I47)*J47</f>
        <v>1218</v>
      </c>
    </row>
    <row r="48" spans="1:15" ht="15" customHeight="1">
      <c r="A48" s="43"/>
      <c r="B48" s="49" t="str">
        <f>VLOOKUP($C$36:$C$49,Equipment!$A$1:$B$2322,2,FALSE)</f>
        <v>Sideboom - Cat 583T</v>
      </c>
      <c r="C48" s="24" t="s">
        <v>1272</v>
      </c>
      <c r="D48" s="24"/>
      <c r="E48" s="24"/>
      <c r="F48" s="24"/>
      <c r="G48" s="24"/>
      <c r="H48" s="184">
        <v>1</v>
      </c>
      <c r="I48" s="184"/>
      <c r="J48" s="42">
        <f>VLOOKUP($B$36:$B$49,'Alberta Equip. Rates Year 3'!$B$13:$K$314,10,FALSE)</f>
        <v>1218</v>
      </c>
      <c r="K48" s="181">
        <f t="shared" si="2"/>
        <v>1218</v>
      </c>
    </row>
    <row r="49" spans="1:11" ht="15" customHeight="1" thickBot="1">
      <c r="A49" s="43"/>
      <c r="B49" s="49">
        <f>VLOOKUP($C$36:$C$49,Equipment!$A$1:$B$2322,2,FALSE)</f>
        <v>0</v>
      </c>
      <c r="C49" s="24"/>
      <c r="D49" s="24"/>
      <c r="E49" s="24"/>
      <c r="F49" s="24"/>
      <c r="G49" s="24"/>
      <c r="H49" s="184"/>
      <c r="I49" s="184"/>
      <c r="J49" s="42">
        <f>VLOOKUP($B$36:$B$49,'Alberta Equip. Rates Year 3'!$B$13:$K$314,10,FALSE)</f>
        <v>0</v>
      </c>
      <c r="K49" s="181">
        <f t="shared" si="1"/>
        <v>0</v>
      </c>
    </row>
    <row r="50" spans="1:11" ht="12" thickBot="1">
      <c r="A50" s="25"/>
      <c r="B50" s="25"/>
      <c r="C50" s="25"/>
      <c r="D50" s="21"/>
      <c r="E50" s="21"/>
      <c r="F50" s="21"/>
      <c r="G50" s="21"/>
      <c r="H50" s="21"/>
      <c r="I50" s="360" t="s">
        <v>24</v>
      </c>
      <c r="J50" s="361"/>
      <c r="K50" s="182">
        <f>SUM(K36:K49)</f>
        <v>8516</v>
      </c>
    </row>
    <row r="51" spans="1:11" ht="12" thickBot="1">
      <c r="A51" s="26"/>
      <c r="D51" s="26"/>
      <c r="I51" s="27"/>
      <c r="J51" s="27"/>
      <c r="K51" s="28"/>
    </row>
    <row r="52" spans="1:11">
      <c r="A52" s="1" t="s">
        <v>25</v>
      </c>
      <c r="B52" s="29"/>
      <c r="D52" s="1"/>
      <c r="E52" s="1"/>
      <c r="F52" s="1"/>
      <c r="G52" s="1"/>
      <c r="H52" s="1"/>
      <c r="I52" s="362" t="s">
        <v>26</v>
      </c>
      <c r="J52" s="362"/>
      <c r="K52" s="37">
        <f>K33</f>
        <v>17315.59</v>
      </c>
    </row>
    <row r="53" spans="1:11">
      <c r="D53" s="1"/>
      <c r="E53" s="1"/>
      <c r="F53" s="1"/>
      <c r="G53" s="1"/>
      <c r="H53" s="1"/>
      <c r="I53" s="362" t="s">
        <v>27</v>
      </c>
      <c r="J53" s="362"/>
      <c r="K53" s="38">
        <f>K50</f>
        <v>8516</v>
      </c>
    </row>
    <row r="54" spans="1:11">
      <c r="D54" s="1"/>
      <c r="E54" s="1"/>
      <c r="F54" s="1"/>
      <c r="G54" s="1"/>
      <c r="H54" s="1"/>
      <c r="I54" s="27" t="s">
        <v>28</v>
      </c>
      <c r="J54" s="27"/>
      <c r="K54" s="38">
        <f>(O33)*14.15</f>
        <v>3197.9</v>
      </c>
    </row>
    <row r="55" spans="1:11">
      <c r="D55" s="1"/>
      <c r="E55" s="1"/>
      <c r="F55" s="1"/>
      <c r="G55" s="1"/>
      <c r="H55" s="1"/>
      <c r="I55" s="30" t="s">
        <v>29</v>
      </c>
      <c r="J55" s="30"/>
      <c r="K55" s="39"/>
    </row>
    <row r="56" spans="1:11">
      <c r="D56" s="1"/>
      <c r="E56" s="1"/>
      <c r="F56" s="1"/>
      <c r="G56" s="1"/>
      <c r="H56" s="1"/>
      <c r="I56" s="30" t="s">
        <v>30</v>
      </c>
      <c r="J56" s="30"/>
      <c r="K56" s="39"/>
    </row>
    <row r="57" spans="1:11">
      <c r="D57" s="1"/>
      <c r="E57" s="1"/>
      <c r="F57" s="1"/>
      <c r="G57" s="1"/>
      <c r="H57" s="1"/>
      <c r="I57" s="30" t="s">
        <v>31</v>
      </c>
      <c r="J57" s="30"/>
      <c r="K57" s="39"/>
    </row>
    <row r="58" spans="1:11" ht="12" thickBot="1">
      <c r="D58" s="1"/>
      <c r="E58" s="1"/>
      <c r="F58" s="1"/>
      <c r="G58" s="1"/>
      <c r="H58" s="1"/>
      <c r="I58" s="362" t="s">
        <v>32</v>
      </c>
      <c r="J58" s="362"/>
      <c r="K58" s="40">
        <f>SUM(K52:K57)</f>
        <v>29029.49</v>
      </c>
    </row>
    <row r="59" spans="1:11">
      <c r="D59" s="1"/>
      <c r="E59" s="1"/>
      <c r="F59" s="1"/>
      <c r="G59" s="1"/>
      <c r="H59" s="1"/>
      <c r="I59" s="27"/>
      <c r="J59" s="27"/>
    </row>
    <row r="60" spans="1:11">
      <c r="A60" s="31" t="s">
        <v>33</v>
      </c>
      <c r="B60" s="32"/>
      <c r="C60" s="32"/>
      <c r="D60" s="1"/>
      <c r="H60" s="33" t="s">
        <v>34</v>
      </c>
      <c r="I60" s="32"/>
      <c r="J60" s="32"/>
      <c r="K60" s="32"/>
    </row>
    <row r="61" spans="1:11" ht="15">
      <c r="A61" s="34"/>
      <c r="E61" s="8"/>
      <c r="F61" s="8"/>
      <c r="G61" s="8"/>
      <c r="H61" s="35"/>
      <c r="I61" s="35"/>
      <c r="J61" s="35"/>
      <c r="K61" s="35"/>
    </row>
    <row r="62" spans="1:11" ht="15">
      <c r="A62" s="34" t="s">
        <v>35</v>
      </c>
      <c r="E62" s="8"/>
      <c r="F62" s="8"/>
      <c r="G62" s="8"/>
      <c r="H62" s="35"/>
      <c r="I62" s="35"/>
      <c r="J62" s="35"/>
      <c r="K62" s="35"/>
    </row>
    <row r="63" spans="1:11" s="34" customFormat="1">
      <c r="A63" s="363">
        <v>41218.479166666664</v>
      </c>
      <c r="B63" s="363"/>
      <c r="C63" s="364"/>
      <c r="D63" s="364"/>
      <c r="E63" s="364"/>
      <c r="F63" s="364"/>
      <c r="G63" s="364"/>
      <c r="H63" s="364"/>
      <c r="I63" s="364"/>
      <c r="J63" s="364"/>
      <c r="K63" s="8"/>
    </row>
    <row r="73" s="1" customFormat="1"/>
    <row r="74" s="1" customFormat="1"/>
    <row r="75" s="1" customFormat="1"/>
    <row r="76" s="1" customFormat="1"/>
    <row r="77" s="1" customFormat="1"/>
    <row r="78" s="1" customFormat="1"/>
    <row r="79" s="1" customFormat="1"/>
    <row r="80" s="1" customFormat="1"/>
    <row r="81" s="1" customFormat="1"/>
    <row r="82" s="1" customFormat="1"/>
    <row r="83" s="1" customFormat="1"/>
    <row r="84" s="1" customFormat="1"/>
    <row r="85" s="1" customFormat="1"/>
    <row r="86" s="1" customFormat="1"/>
    <row r="91" s="1" customFormat="1"/>
    <row r="119" s="1" customFormat="1"/>
    <row r="120" s="1" customFormat="1"/>
    <row r="121" s="1" customFormat="1"/>
    <row r="122" s="1" customFormat="1"/>
  </sheetData>
  <mergeCells count="12">
    <mergeCell ref="I50:J50"/>
    <mergeCell ref="I52:J52"/>
    <mergeCell ref="I53:J53"/>
    <mergeCell ref="I58:J58"/>
    <mergeCell ref="A63:B63"/>
    <mergeCell ref="C63:J63"/>
    <mergeCell ref="I33:J33"/>
    <mergeCell ref="C1:H1"/>
    <mergeCell ref="C2:H2"/>
    <mergeCell ref="C3:H3"/>
    <mergeCell ref="H6:I6"/>
    <mergeCell ref="H7:I7"/>
  </mergeCells>
  <conditionalFormatting sqref="M11:M22">
    <cfRule type="expression" dxfId="18" priority="40028">
      <formula>ISTEXT(A11:A32)</formula>
    </cfRule>
  </conditionalFormatting>
  <conditionalFormatting sqref="M23:M32">
    <cfRule type="expression" dxfId="17" priority="37431">
      <formula>ISTEXT(A23:A45)</formula>
    </cfRule>
  </conditionalFormatting>
  <printOptions horizontalCentered="1"/>
  <pageMargins left="0.19685039370078741" right="0.19685039370078741" top="0.39370078740157483" bottom="0.39370078740157483" header="0" footer="0"/>
  <pageSetup orientation="portrait" horizontalDpi="4294967292" verticalDpi="4294967292"/>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2B00-000000000000}">
          <x14:formula1>
            <xm:f>Accounts!$A$4:$A$60</xm:f>
          </x14:formula1>
          <xm:sqref>K7</xm:sqref>
        </x14:dataValidation>
        <x14:dataValidation type="list" allowBlank="1" showInputMessage="1" showErrorMessage="1" xr:uid="{00000000-0002-0000-2B00-000001000000}">
          <x14:formula1>
            <xm:f>'Constr. Wage Rate Calculations'!$A$19:$A$288</xm:f>
          </x14:formula1>
          <xm:sqref>B11:B32</xm:sqref>
        </x14:dataValidation>
        <x14:dataValidation type="list" allowBlank="1" showInputMessage="1" showErrorMessage="1" xr:uid="{00000000-0002-0000-2B00-000002000000}">
          <x14:formula1>
            <xm:f>Personnel!$A:$A</xm:f>
          </x14:formula1>
          <xm:sqref>C11:C32</xm:sqref>
        </x14:dataValidation>
        <x14:dataValidation type="list" allowBlank="1" showInputMessage="1" showErrorMessage="1" xr:uid="{00000000-0002-0000-2B00-000003000000}">
          <x14:formula1>
            <xm:f>Equipment!$A:$A</xm:f>
          </x14:formula1>
          <xm:sqref>C36:C49</xm:sqref>
        </x14:dataValidation>
      </x14:dataValidations>
    </ext>
    <ext xmlns:mx="http://schemas.microsoft.com/office/mac/excel/2008/main" uri="{64002731-A6B0-56B0-2670-7721B7C09600}">
      <mx:PLV Mode="0" OnePage="0" WScale="0"/>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CCFFCC"/>
    <pageSetUpPr fitToPage="1"/>
  </sheetPr>
  <dimension ref="A1:O123"/>
  <sheetViews>
    <sheetView zoomScale="120" zoomScaleNormal="120" zoomScalePageLayoutView="120" workbookViewId="0">
      <selection activeCell="N40" sqref="N40"/>
    </sheetView>
  </sheetViews>
  <sheetFormatPr baseColWidth="10" defaultColWidth="8.83203125" defaultRowHeight="11"/>
  <cols>
    <col min="1" max="1" width="13" style="1" customWidth="1"/>
    <col min="2" max="2" width="30" style="1" customWidth="1"/>
    <col min="3" max="3" width="24.5" style="1" customWidth="1"/>
    <col min="4" max="4" width="8.6640625" style="2" customWidth="1"/>
    <col min="5" max="6" width="8.33203125" style="2" customWidth="1"/>
    <col min="7" max="8" width="8.6640625" style="2" customWidth="1"/>
    <col min="9" max="9" width="9.33203125" style="2" customWidth="1"/>
    <col min="10" max="10" width="8.6640625" style="2" customWidth="1"/>
    <col min="11" max="11" width="20.6640625" style="1" customWidth="1"/>
    <col min="12" max="12" width="3.5" style="1" hidden="1" customWidth="1"/>
    <col min="13" max="16384" width="8.83203125" style="1"/>
  </cols>
  <sheetData>
    <row r="1" spans="1:13" ht="15">
      <c r="C1" s="364"/>
      <c r="D1" s="365"/>
      <c r="E1" s="365"/>
      <c r="F1" s="365"/>
      <c r="G1" s="365"/>
      <c r="H1" s="366"/>
      <c r="J1" s="2" t="s">
        <v>0</v>
      </c>
      <c r="K1" s="197">
        <v>41659</v>
      </c>
      <c r="M1" s="45"/>
    </row>
    <row r="2" spans="1:13" ht="15">
      <c r="C2" s="367"/>
      <c r="D2" s="367"/>
      <c r="E2" s="367"/>
      <c r="F2" s="367"/>
      <c r="G2" s="367"/>
      <c r="H2" s="366"/>
      <c r="K2" s="41"/>
    </row>
    <row r="3" spans="1:13" ht="15">
      <c r="C3" s="368"/>
      <c r="D3" s="369"/>
      <c r="E3" s="369"/>
      <c r="F3" s="369"/>
      <c r="G3" s="369"/>
      <c r="H3" s="366"/>
    </row>
    <row r="4" spans="1:13">
      <c r="C4" s="3"/>
      <c r="D4" s="4"/>
      <c r="E4" s="4"/>
      <c r="F4" s="4"/>
      <c r="G4" s="4"/>
    </row>
    <row r="5" spans="1:13">
      <c r="C5" s="3"/>
      <c r="D5" s="4"/>
      <c r="E5" s="4"/>
      <c r="F5" s="4"/>
      <c r="G5" s="4"/>
    </row>
    <row r="6" spans="1:13" ht="12">
      <c r="B6" s="5"/>
      <c r="C6" s="6"/>
      <c r="D6" s="7"/>
      <c r="E6" s="8"/>
      <c r="F6" s="8"/>
      <c r="G6" s="1" t="s">
        <v>1</v>
      </c>
      <c r="H6" s="370">
        <v>18203</v>
      </c>
      <c r="I6" s="370"/>
      <c r="J6" s="1" t="s">
        <v>2</v>
      </c>
      <c r="K6" s="47"/>
    </row>
    <row r="7" spans="1:13" ht="12">
      <c r="A7" s="1" t="s">
        <v>3</v>
      </c>
      <c r="B7" s="9"/>
      <c r="C7" s="10"/>
      <c r="D7" s="11"/>
      <c r="E7" s="8"/>
      <c r="F7" s="8"/>
      <c r="G7" s="1" t="s">
        <v>4</v>
      </c>
      <c r="H7" s="371"/>
      <c r="I7" s="371"/>
      <c r="J7" s="1" t="s">
        <v>5</v>
      </c>
      <c r="K7" s="46"/>
    </row>
    <row r="8" spans="1:13" ht="12">
      <c r="B8" s="12"/>
      <c r="C8" s="13"/>
      <c r="D8" s="14"/>
      <c r="E8" s="8"/>
      <c r="F8" s="8"/>
      <c r="G8" s="1" t="s">
        <v>6</v>
      </c>
      <c r="H8" s="187"/>
      <c r="I8" s="188"/>
      <c r="J8" s="44"/>
    </row>
    <row r="9" spans="1:13" ht="16" thickBot="1">
      <c r="B9" s="15"/>
      <c r="C9" s="16"/>
      <c r="D9" s="16"/>
      <c r="E9" s="8"/>
      <c r="F9" s="8"/>
      <c r="G9" s="8"/>
    </row>
    <row r="10" spans="1:13" s="19" customFormat="1" ht="12" thickBot="1">
      <c r="A10" s="17" t="s">
        <v>7</v>
      </c>
      <c r="B10" s="17" t="s">
        <v>8</v>
      </c>
      <c r="C10" s="17" t="s">
        <v>9</v>
      </c>
      <c r="D10" s="18" t="s">
        <v>10</v>
      </c>
      <c r="E10" s="18" t="s">
        <v>11</v>
      </c>
      <c r="F10" s="18" t="s">
        <v>12</v>
      </c>
      <c r="G10" s="180" t="s">
        <v>13</v>
      </c>
      <c r="H10" s="18" t="s">
        <v>14</v>
      </c>
      <c r="I10" s="18" t="s">
        <v>15</v>
      </c>
      <c r="J10" s="18" t="s">
        <v>16</v>
      </c>
      <c r="K10" s="18" t="s">
        <v>17</v>
      </c>
      <c r="M10" s="19" t="s">
        <v>1797</v>
      </c>
    </row>
    <row r="11" spans="1:13" ht="15" customHeight="1">
      <c r="A11" s="48"/>
      <c r="B11" s="49">
        <f>VLOOKUP($C$11:$C$46,Personnel!$A$1:$B$1234,2,FALSE)</f>
        <v>0</v>
      </c>
      <c r="C11" s="36"/>
      <c r="D11" s="184"/>
      <c r="E11" s="179">
        <f>VLOOKUP($B$11:$B$46,'Constr. Wage Rate Calculations'!$A$19:$Z$288,22,FALSE)</f>
        <v>0</v>
      </c>
      <c r="F11" s="20"/>
      <c r="G11" s="179">
        <f>VLOOKUP($B$11:$B$46,'Constr. Wage Rate Calculations'!$A$19:$Z$288,23,FALSE)</f>
        <v>0</v>
      </c>
      <c r="H11" s="184"/>
      <c r="I11" s="179">
        <f>VLOOKUP($B$11:$B$46,'Constr. Wage Rate Calculations'!$A$19:$Z$288,24,FALSE)</f>
        <v>0</v>
      </c>
      <c r="J11" s="20">
        <f>VLOOKUP($B$11:$B$46,'Constr. Wage Rate Calculations'!$A$19:$Z$288,25,FALSE)</f>
        <v>0</v>
      </c>
      <c r="K11" s="179" t="str">
        <f>IF($D11&gt;=1,$J11+(D11*E11)+(F11*G11)+(H11*I11),IF($F11&gt;=1,$J11+(D11*E11)+(F11*G11)+(H11*I11),IF($H11&gt;=1,$J11+(D11*E11)+(F11*G11)+(H11*I11),"")))</f>
        <v/>
      </c>
    </row>
    <row r="12" spans="1:13" ht="15" customHeight="1">
      <c r="A12" s="48"/>
      <c r="B12" s="49" t="str">
        <f>VLOOKUP($C$11:$C$46,Personnel!$A$1:$B$1234,2,FALSE)</f>
        <v>COST PLANNER/SCHEDULER</v>
      </c>
      <c r="C12" s="36" t="s">
        <v>1787</v>
      </c>
      <c r="D12" s="184">
        <v>1</v>
      </c>
      <c r="E12" s="179">
        <f>VLOOKUP($B$11:$B$46,'Constr. Wage Rate Calculations'!$A$19:$Z$288,22,FALSE)</f>
        <v>1186.32</v>
      </c>
      <c r="F12" s="20">
        <v>9</v>
      </c>
      <c r="G12" s="179">
        <f>VLOOKUP($B$11:$B$46,'Constr. Wage Rate Calculations'!$A$19:$Z$288,23,FALSE)</f>
        <v>0</v>
      </c>
      <c r="H12" s="184"/>
      <c r="I12" s="179">
        <f>VLOOKUP($B$11:$B$46,'Constr. Wage Rate Calculations'!$A$19:$Z$288,24,FALSE)</f>
        <v>0</v>
      </c>
      <c r="J12" s="20">
        <f>VLOOKUP($B$11:$B$46,'Constr. Wage Rate Calculations'!$A$19:$Z$288,25,FALSE)</f>
        <v>230</v>
      </c>
      <c r="K12" s="179">
        <f t="shared" ref="K12:K25" si="0">IF($D12&gt;=1,$J12+(D12*E12)+(F12*G12)+(H12*I12),IF($F12&gt;=1,$J12+(D12*E12)+(F12*G12)+(H12*I12),IF($H12&gt;=1,$J12+(D12*E12)+(F12*G12)+(H12*I12),"")))</f>
        <v>1416.32</v>
      </c>
    </row>
    <row r="13" spans="1:13" ht="15" customHeight="1">
      <c r="A13" s="48"/>
      <c r="B13" s="49" t="str">
        <f>VLOOKUP($C$11:$C$46,Personnel!$A$1:$B$1234,2,FALSE)</f>
        <v>OFFICE CLERK</v>
      </c>
      <c r="C13" s="36" t="s">
        <v>3937</v>
      </c>
      <c r="D13" s="184">
        <v>1</v>
      </c>
      <c r="E13" s="179">
        <f>VLOOKUP($B$11:$B$46,'Constr. Wage Rate Calculations'!$A$19:$Z$288,22,FALSE)</f>
        <v>825.8</v>
      </c>
      <c r="F13" s="20">
        <v>9</v>
      </c>
      <c r="G13" s="179">
        <f>VLOOKUP($B$11:$B$46,'Constr. Wage Rate Calculations'!$A$19:$Z$288,23,FALSE)</f>
        <v>0</v>
      </c>
      <c r="H13" s="184"/>
      <c r="I13" s="179">
        <f>VLOOKUP($B$11:$B$46,'Constr. Wage Rate Calculations'!$A$19:$Z$288,24,FALSE)</f>
        <v>0</v>
      </c>
      <c r="J13" s="20">
        <f>VLOOKUP($B$11:$B$46,'Constr. Wage Rate Calculations'!$A$19:$Z$288,25,FALSE)</f>
        <v>230</v>
      </c>
      <c r="K13" s="179">
        <f t="shared" si="0"/>
        <v>1055.8</v>
      </c>
    </row>
    <row r="14" spans="1:13" ht="15" customHeight="1">
      <c r="A14" s="48"/>
      <c r="B14" s="49" t="str">
        <f>VLOOKUP($C$11:$C$46,Personnel!$A$1:$B$1234,2,FALSE)</f>
        <v>PROJECT ADMINISTRATOR</v>
      </c>
      <c r="C14" s="36" t="s">
        <v>665</v>
      </c>
      <c r="D14" s="184">
        <v>1</v>
      </c>
      <c r="E14" s="179">
        <f>VLOOKUP($B$11:$B$46,'Constr. Wage Rate Calculations'!$A$19:$Z$288,22,FALSE)</f>
        <v>2019.69</v>
      </c>
      <c r="F14" s="20">
        <v>9</v>
      </c>
      <c r="G14" s="179">
        <f>VLOOKUP($B$11:$B$46,'Constr. Wage Rate Calculations'!$A$19:$Z$288,23,FALSE)</f>
        <v>0</v>
      </c>
      <c r="H14" s="184"/>
      <c r="I14" s="179">
        <f>VLOOKUP($B$11:$B$46,'Constr. Wage Rate Calculations'!$A$19:$Z$288,24,FALSE)</f>
        <v>0</v>
      </c>
      <c r="J14" s="20">
        <f>VLOOKUP($B$11:$B$46,'Constr. Wage Rate Calculations'!$A$19:$Z$288,25,FALSE)</f>
        <v>295</v>
      </c>
      <c r="K14" s="179">
        <f t="shared" si="0"/>
        <v>2314.69</v>
      </c>
    </row>
    <row r="15" spans="1:13" ht="15" customHeight="1">
      <c r="A15" s="48"/>
      <c r="B15" s="49" t="str">
        <f>VLOOKUP($C$11:$C$46,Personnel!$A$1:$B$1234,2,FALSE)</f>
        <v>OFFICE MANAGER</v>
      </c>
      <c r="C15" s="36" t="s">
        <v>910</v>
      </c>
      <c r="D15" s="20">
        <v>1</v>
      </c>
      <c r="E15" s="179">
        <f>VLOOKUP($B$11:$B$46,'Constr. Wage Rate Calculations'!$A$19:$Z$288,22,FALSE)</f>
        <v>1332.16</v>
      </c>
      <c r="F15" s="20">
        <v>9</v>
      </c>
      <c r="G15" s="179">
        <f>VLOOKUP($B$11:$B$46,'Constr. Wage Rate Calculations'!$A$19:$Z$288,23,FALSE)</f>
        <v>0</v>
      </c>
      <c r="H15" s="184"/>
      <c r="I15" s="179">
        <f>VLOOKUP($B$11:$B$46,'Constr. Wage Rate Calculations'!$A$19:$Z$288,24,FALSE)</f>
        <v>0</v>
      </c>
      <c r="J15" s="20">
        <v>230</v>
      </c>
      <c r="K15" s="179">
        <f t="shared" si="0"/>
        <v>1562.16</v>
      </c>
    </row>
    <row r="16" spans="1:13" ht="15" customHeight="1">
      <c r="A16" s="48"/>
      <c r="B16" s="49" t="str">
        <f>VLOOKUP($C$11:$C$46,Personnel!$A$1:$B$1234,2,FALSE)</f>
        <v>CONSTRUCTION MANAGER</v>
      </c>
      <c r="C16" s="36" t="s">
        <v>795</v>
      </c>
      <c r="D16" s="184">
        <v>1</v>
      </c>
      <c r="E16" s="179">
        <f>VLOOKUP($B$11:$B$46,'Constr. Wage Rate Calculations'!$A$19:$Z$288,22,FALSE)</f>
        <v>2853.07</v>
      </c>
      <c r="F16" s="20">
        <v>9</v>
      </c>
      <c r="G16" s="179">
        <f>VLOOKUP($B$11:$B$46,'Constr. Wage Rate Calculations'!$A$19:$Z$288,23,FALSE)</f>
        <v>0</v>
      </c>
      <c r="H16" s="184"/>
      <c r="I16" s="179">
        <f>VLOOKUP($B$11:$B$46,'Constr. Wage Rate Calculations'!$A$19:$Z$288,24,FALSE)</f>
        <v>0</v>
      </c>
      <c r="J16" s="20">
        <f>VLOOKUP($B$11:$B$46,'Constr. Wage Rate Calculations'!$A$19:$Z$288,25,FALSE)</f>
        <v>325</v>
      </c>
      <c r="K16" s="179">
        <f t="shared" si="0"/>
        <v>3178.07</v>
      </c>
    </row>
    <row r="17" spans="1:15" ht="16" customHeight="1">
      <c r="A17" s="48"/>
      <c r="B17" s="49" t="str">
        <f>VLOOKUP($C$11:$C$46,Personnel!$A$1:$B$1234,2,FALSE)</f>
        <v>EQUIPMENT CLERK</v>
      </c>
      <c r="C17" s="36" t="s">
        <v>1745</v>
      </c>
      <c r="D17" s="20">
        <v>1</v>
      </c>
      <c r="E17" s="179">
        <f>VLOOKUP($B$11:$B$46,'Constr. Wage Rate Calculations'!$A$19:$Z$288,22,FALSE)</f>
        <v>764.11</v>
      </c>
      <c r="F17" s="20">
        <v>9</v>
      </c>
      <c r="G17" s="179">
        <f>VLOOKUP($B$11:$B$46,'Constr. Wage Rate Calculations'!$A$19:$Z$288,23,FALSE)</f>
        <v>0</v>
      </c>
      <c r="H17" s="184"/>
      <c r="I17" s="179">
        <f>VLOOKUP($B$11:$B$46,'Constr. Wage Rate Calculations'!$A$19:$Z$288,24,FALSE)</f>
        <v>0</v>
      </c>
      <c r="J17" s="20">
        <f>VLOOKUP($B$11:$B$46,'Constr. Wage Rate Calculations'!$A$19:$Z$288,25,FALSE)</f>
        <v>230</v>
      </c>
      <c r="K17" s="179">
        <f t="shared" si="0"/>
        <v>994.11</v>
      </c>
    </row>
    <row r="18" spans="1:15" ht="15" customHeight="1">
      <c r="A18" s="48"/>
      <c r="B18" s="49" t="str">
        <f>VLOOKUP($C$11:$C$46,Personnel!$A$1:$B$1234,2,FALSE)</f>
        <v>LANDMAN</v>
      </c>
      <c r="C18" s="36" t="s">
        <v>760</v>
      </c>
      <c r="D18" s="20">
        <v>1</v>
      </c>
      <c r="E18" s="179">
        <f>VLOOKUP($B$11:$B$46,'Constr. Wage Rate Calculations'!$A$19:$Z$288,22,FALSE)</f>
        <v>1332.16</v>
      </c>
      <c r="F18" s="20">
        <v>9</v>
      </c>
      <c r="G18" s="179">
        <f>VLOOKUP($B$11:$B$46,'Constr. Wage Rate Calculations'!$A$19:$Z$288,23,FALSE)</f>
        <v>0</v>
      </c>
      <c r="H18" s="184"/>
      <c r="I18" s="179">
        <f>VLOOKUP($B$11:$B$46,'Constr. Wage Rate Calculations'!$A$19:$Z$288,24,FALSE)</f>
        <v>0</v>
      </c>
      <c r="J18" s="20">
        <f>VLOOKUP($B$11:$B$46,'Constr. Wage Rate Calculations'!$A$19:$Z$288,25,FALSE)</f>
        <v>230</v>
      </c>
      <c r="K18" s="179">
        <f t="shared" si="0"/>
        <v>1562.16</v>
      </c>
    </row>
    <row r="19" spans="1:15" ht="15" customHeight="1">
      <c r="A19" s="48"/>
      <c r="B19" s="49" t="str">
        <f>VLOOKUP($C$11:$C$46,Personnel!$A$1:$B$1234,2,FALSE)</f>
        <v>EQUIPMENT CLERK</v>
      </c>
      <c r="C19" s="36" t="s">
        <v>1739</v>
      </c>
      <c r="D19" s="20">
        <v>1</v>
      </c>
      <c r="E19" s="179">
        <f>VLOOKUP($B$11:$B$46,'Constr. Wage Rate Calculations'!$A$19:$Z$288,22,FALSE)</f>
        <v>764.11</v>
      </c>
      <c r="F19" s="20">
        <v>9</v>
      </c>
      <c r="G19" s="179">
        <f>VLOOKUP($B$11:$B$46,'Constr. Wage Rate Calculations'!$A$19:$Z$288,23,FALSE)</f>
        <v>0</v>
      </c>
      <c r="H19" s="184"/>
      <c r="I19" s="179">
        <f>VLOOKUP($B$11:$B$46,'Constr. Wage Rate Calculations'!$A$19:$Z$288,24,FALSE)</f>
        <v>0</v>
      </c>
      <c r="J19" s="20">
        <f>VLOOKUP($B$11:$B$46,'Constr. Wage Rate Calculations'!$A$19:$Z$288,25,FALSE)</f>
        <v>230</v>
      </c>
      <c r="K19" s="179">
        <f t="shared" si="0"/>
        <v>994.11</v>
      </c>
    </row>
    <row r="20" spans="1:15" ht="15" customHeight="1">
      <c r="A20" s="48"/>
      <c r="B20" s="49" t="str">
        <f>VLOOKUP($C$11:$C$46,Personnel!$A$1:$B$1234,2,FALSE)</f>
        <v>PAYMASTER</v>
      </c>
      <c r="C20" s="36" t="s">
        <v>3979</v>
      </c>
      <c r="D20" s="20">
        <v>1</v>
      </c>
      <c r="E20" s="179">
        <f>VLOOKUP($B$11:$B$46,'Constr. Wage Rate Calculations'!$A$19:$Z$288,22,FALSE)</f>
        <v>1006.84</v>
      </c>
      <c r="F20" s="20">
        <v>9</v>
      </c>
      <c r="G20" s="179">
        <f>VLOOKUP($B$11:$B$46,'Constr. Wage Rate Calculations'!$A$19:$Z$288,23,FALSE)</f>
        <v>0</v>
      </c>
      <c r="H20" s="184"/>
      <c r="I20" s="179">
        <f>VLOOKUP($B$11:$B$46,'Constr. Wage Rate Calculations'!$A$19:$Z$288,24,FALSE)</f>
        <v>0</v>
      </c>
      <c r="J20" s="20">
        <f>VLOOKUP($B$11:$B$46,'Constr. Wage Rate Calculations'!$A$19:$Z$288,25,FALSE)</f>
        <v>230</v>
      </c>
      <c r="K20" s="179">
        <f t="shared" si="0"/>
        <v>1236.8400000000001</v>
      </c>
    </row>
    <row r="21" spans="1:15" ht="15" customHeight="1">
      <c r="A21" s="48"/>
      <c r="B21" s="49" t="str">
        <f>VLOOKUP($C$11:$C$46,Personnel!$A$1:$B$1234,2,FALSE)</f>
        <v>OFFICE CLERK</v>
      </c>
      <c r="C21" s="36" t="s">
        <v>848</v>
      </c>
      <c r="D21" s="20">
        <v>1</v>
      </c>
      <c r="E21" s="179">
        <f>VLOOKUP($B$11:$B$46,'Constr. Wage Rate Calculations'!$A$19:$Z$288,22,FALSE)</f>
        <v>825.8</v>
      </c>
      <c r="F21" s="20">
        <v>9</v>
      </c>
      <c r="G21" s="179">
        <f>VLOOKUP($B$11:$B$46,'Constr. Wage Rate Calculations'!$A$19:$Z$288,23,FALSE)</f>
        <v>0</v>
      </c>
      <c r="H21" s="184"/>
      <c r="I21" s="179">
        <f>VLOOKUP($B$11:$B$46,'Constr. Wage Rate Calculations'!$A$19:$Z$288,24,FALSE)</f>
        <v>0</v>
      </c>
      <c r="J21" s="20">
        <f>VLOOKUP($B$11:$B$46,'Constr. Wage Rate Calculations'!$A$19:$Z$288,25,FALSE)</f>
        <v>230</v>
      </c>
      <c r="K21" s="179">
        <f t="shared" si="0"/>
        <v>1055.8</v>
      </c>
    </row>
    <row r="22" spans="1:15" ht="15" customHeight="1">
      <c r="A22" s="48"/>
      <c r="B22" s="49">
        <f>VLOOKUP($C$11:$C$46,Personnel!$A$1:$B$1234,2,FALSE)</f>
        <v>0</v>
      </c>
      <c r="C22" s="36"/>
      <c r="D22" s="20"/>
      <c r="E22" s="179">
        <f>VLOOKUP($B$11:$B$46,'Constr. Wage Rate Calculations'!$A$19:$Z$288,22,FALSE)</f>
        <v>0</v>
      </c>
      <c r="F22" s="20"/>
      <c r="G22" s="179">
        <f>VLOOKUP($B$11:$B$46,'Constr. Wage Rate Calculations'!$A$19:$Z$288,23,FALSE)</f>
        <v>0</v>
      </c>
      <c r="H22" s="184"/>
      <c r="I22" s="179">
        <f>VLOOKUP($B$11:$B$46,'Constr. Wage Rate Calculations'!$A$19:$Z$288,24,FALSE)</f>
        <v>0</v>
      </c>
      <c r="J22" s="20">
        <f>VLOOKUP($B$11:$B$46,'Constr. Wage Rate Calculations'!$A$19:$Z$288,25,FALSE)</f>
        <v>0</v>
      </c>
      <c r="K22" s="179" t="str">
        <f t="shared" si="0"/>
        <v/>
      </c>
    </row>
    <row r="23" spans="1:15" ht="15" customHeight="1">
      <c r="A23" s="48"/>
      <c r="B23" s="49">
        <f>VLOOKUP($C$11:$C$46,Personnel!$A$1:$B$1234,2,FALSE)</f>
        <v>0</v>
      </c>
      <c r="C23" s="36"/>
      <c r="D23" s="20"/>
      <c r="E23" s="179">
        <f>VLOOKUP($B$11:$B$46,'Constr. Wage Rate Calculations'!$A$19:$Z$288,22,FALSE)</f>
        <v>0</v>
      </c>
      <c r="F23" s="20"/>
      <c r="G23" s="179">
        <f>VLOOKUP($B$11:$B$46,'Constr. Wage Rate Calculations'!$A$19:$Z$288,23,FALSE)</f>
        <v>0</v>
      </c>
      <c r="H23" s="184"/>
      <c r="I23" s="179">
        <f>VLOOKUP($B$11:$B$46,'Constr. Wage Rate Calculations'!$A$19:$Z$288,24,FALSE)</f>
        <v>0</v>
      </c>
      <c r="J23" s="20">
        <f>VLOOKUP($B$11:$B$46,'Constr. Wage Rate Calculations'!$A$19:$Z$288,25,FALSE)</f>
        <v>0</v>
      </c>
      <c r="K23" s="179" t="str">
        <f t="shared" si="0"/>
        <v/>
      </c>
    </row>
    <row r="24" spans="1:15" ht="15" customHeight="1">
      <c r="A24" s="48"/>
      <c r="B24" s="49">
        <f>VLOOKUP($C$11:$C$46,Personnel!$A$1:$B$1234,2,FALSE)</f>
        <v>0</v>
      </c>
      <c r="C24" s="36"/>
      <c r="D24" s="20"/>
      <c r="E24" s="179">
        <f>VLOOKUP($B$11:$B$46,'Constr. Wage Rate Calculations'!$A$19:$Z$288,22,FALSE)</f>
        <v>0</v>
      </c>
      <c r="F24" s="20"/>
      <c r="G24" s="179">
        <f>VLOOKUP($B$11:$B$46,'Constr. Wage Rate Calculations'!$A$19:$Z$288,23,FALSE)</f>
        <v>0</v>
      </c>
      <c r="H24" s="184"/>
      <c r="I24" s="179">
        <f>VLOOKUP($B$11:$B$46,'Constr. Wage Rate Calculations'!$A$19:$Z$288,24,FALSE)</f>
        <v>0</v>
      </c>
      <c r="J24" s="20">
        <f>VLOOKUP($B$11:$B$46,'Constr. Wage Rate Calculations'!$A$19:$Z$288,25,FALSE)</f>
        <v>0</v>
      </c>
      <c r="K24" s="179" t="str">
        <f t="shared" si="0"/>
        <v/>
      </c>
    </row>
    <row r="25" spans="1:15" ht="15" customHeight="1">
      <c r="A25" s="48"/>
      <c r="B25" s="49">
        <f>VLOOKUP($C$11:$C$46,Personnel!$A$1:$B$1234,2,FALSE)</f>
        <v>0</v>
      </c>
      <c r="C25" s="36"/>
      <c r="D25" s="20"/>
      <c r="E25" s="179">
        <f>VLOOKUP($B$11:$B$46,'Constr. Wage Rate Calculations'!$A$19:$Z$288,22,FALSE)</f>
        <v>0</v>
      </c>
      <c r="F25" s="20"/>
      <c r="G25" s="179">
        <f>VLOOKUP($B$11:$B$46,'Constr. Wage Rate Calculations'!$A$19:$Z$288,23,FALSE)</f>
        <v>0</v>
      </c>
      <c r="H25" s="184"/>
      <c r="I25" s="179">
        <f>VLOOKUP($B$11:$B$46,'Constr. Wage Rate Calculations'!$A$19:$Z$288,24,FALSE)</f>
        <v>0</v>
      </c>
      <c r="J25" s="20">
        <f>VLOOKUP($B$11:$B$46,'Constr. Wage Rate Calculations'!$A$19:$Z$288,25,FALSE)</f>
        <v>0</v>
      </c>
      <c r="K25" s="179" t="str">
        <f t="shared" si="0"/>
        <v/>
      </c>
    </row>
    <row r="26" spans="1:15" ht="15" customHeight="1" thickBot="1">
      <c r="A26" s="48"/>
      <c r="B26" s="49">
        <f>VLOOKUP($C$11:$C$46,Personnel!$A$1:$B$1234,2,FALSE)</f>
        <v>0</v>
      </c>
      <c r="C26" s="36"/>
      <c r="D26" s="184"/>
      <c r="E26" s="179">
        <f>VLOOKUP($B$11:$B$26,'Constr. Wage Rate Calculations'!$A$19:$Z$288,22,FALSE)</f>
        <v>0</v>
      </c>
      <c r="F26" s="184"/>
      <c r="G26" s="179">
        <f>VLOOKUP($B$11:$B$26,'Constr. Wage Rate Calculations'!$A$19:$Z$288,23,FALSE)</f>
        <v>0</v>
      </c>
      <c r="H26" s="184"/>
      <c r="I26" s="179">
        <f>VLOOKUP($B$11:$B$26,'Constr. Wage Rate Calculations'!$A$19:$Z$288,24,FALSE)</f>
        <v>0</v>
      </c>
      <c r="J26" s="20">
        <f>VLOOKUP($B$11:$B$26,'Constr. Wage Rate Calculations'!$A$19:$Z$288,25,FALSE)</f>
        <v>0</v>
      </c>
      <c r="K26" s="179" t="str">
        <f t="shared" ref="K26" si="1">IF($D26&gt;=1,$J26+(D26*E26)+(F26*G26)+(H26*I26),IF($F26&gt;=1,$J26+(D26*E26)+(F26*G26)+(H26*I26),IF($H26&gt;=1,$J26+(D26*E26)+(F26*G26)+(H26*I26),"")))</f>
        <v/>
      </c>
      <c r="M26" s="1">
        <f>SUM(M11:M25)</f>
        <v>0</v>
      </c>
    </row>
    <row r="27" spans="1:15" ht="15" customHeight="1" thickBot="1">
      <c r="A27"/>
      <c r="B27"/>
      <c r="C27"/>
      <c r="D27" s="21"/>
      <c r="E27" s="21"/>
      <c r="F27" s="21"/>
      <c r="G27" s="21"/>
      <c r="H27" s="21"/>
      <c r="I27" s="360" t="s">
        <v>18</v>
      </c>
      <c r="J27" s="361"/>
      <c r="K27" s="206">
        <f>SUM(K11:K26)</f>
        <v>15370.06</v>
      </c>
      <c r="M27" s="1">
        <f>SUMIFS(D11:D26,D11:D26,"&lt;3",D11:D26,"&lt;5")</f>
        <v>10</v>
      </c>
      <c r="N27" s="1">
        <f>SUMIFS(D11:D26,D11:D26,"&gt;3",D11:D26,"&gt;5")</f>
        <v>0</v>
      </c>
      <c r="O27" s="1">
        <f>SUM(F11:F26,H11:H26,M27,N27)-M26</f>
        <v>100</v>
      </c>
    </row>
    <row r="28" spans="1:15" ht="10" customHeight="1" thickBot="1"/>
    <row r="29" spans="1:15" s="19" customFormat="1" ht="15" customHeight="1" thickBot="1">
      <c r="A29" s="22" t="s">
        <v>19</v>
      </c>
      <c r="B29" s="23" t="s">
        <v>20</v>
      </c>
      <c r="C29" s="23"/>
      <c r="D29" s="23"/>
      <c r="E29" s="23"/>
      <c r="F29" s="23"/>
      <c r="G29" s="23"/>
      <c r="H29" s="18" t="s">
        <v>21</v>
      </c>
      <c r="I29" s="18" t="s">
        <v>22</v>
      </c>
      <c r="J29" s="18" t="s">
        <v>23</v>
      </c>
      <c r="K29" s="18" t="s">
        <v>17</v>
      </c>
    </row>
    <row r="30" spans="1:15" ht="15" customHeight="1">
      <c r="A30" s="43"/>
      <c r="B30" s="49">
        <f>VLOOKUP($C$30:$C$53,Equipment!$A$1:$B$2322,2,FALSE)</f>
        <v>0</v>
      </c>
      <c r="C30" s="24"/>
      <c r="D30" s="24"/>
      <c r="E30" s="24"/>
      <c r="F30" s="24"/>
      <c r="G30" s="24"/>
      <c r="H30" s="36"/>
      <c r="I30" s="184"/>
      <c r="J30" s="42">
        <f>VLOOKUP($B$30:$B$53,'Alberta Equip. Rates Year 3'!$B$13:$K$314,10,FALSE)</f>
        <v>0</v>
      </c>
      <c r="K30" s="181">
        <f>(H30+I30)*J30</f>
        <v>0</v>
      </c>
    </row>
    <row r="31" spans="1:15" ht="15" customHeight="1">
      <c r="A31" s="43"/>
      <c r="B31" s="49" t="str">
        <f>VLOOKUP($C$30:$C$53,Equipment!$A$1:$B$2322,2,FALSE)</f>
        <v>Pickup - 1/2 Ton</v>
      </c>
      <c r="C31" s="24" t="s">
        <v>1252</v>
      </c>
      <c r="D31" s="24"/>
      <c r="E31" s="24"/>
      <c r="F31" s="24"/>
      <c r="G31" s="24"/>
      <c r="H31" s="36">
        <v>1</v>
      </c>
      <c r="I31" s="20"/>
      <c r="J31" s="42">
        <f>VLOOKUP($B$30:$B$53,'Alberta Equip. Rates Year 3'!$B$13:$K$314,10,FALSE)</f>
        <v>125</v>
      </c>
      <c r="K31" s="181">
        <f>(H31+I31)*J31</f>
        <v>125</v>
      </c>
    </row>
    <row r="32" spans="1:15" ht="15" customHeight="1">
      <c r="A32" s="43"/>
      <c r="B32" s="49" t="str">
        <f>VLOOKUP($C$30:$C$53,Equipment!$A$1:$B$2322,2,FALSE)</f>
        <v>SUV  - Expedition/ Lexus/ Denali/ Yukon/ Navigator</v>
      </c>
      <c r="C32" s="24" t="s">
        <v>1001</v>
      </c>
      <c r="D32" s="24"/>
      <c r="E32" s="24"/>
      <c r="F32" s="24"/>
      <c r="G32" s="24"/>
      <c r="H32" s="36">
        <v>1</v>
      </c>
      <c r="I32" s="20"/>
      <c r="J32" s="42">
        <f>VLOOKUP($B$30:$B$53,'Alberta Equip. Rates Year 3'!$B$13:$K$314,10,FALSE)</f>
        <v>138</v>
      </c>
      <c r="K32" s="181">
        <f t="shared" ref="K32:K46" si="2">(H32+I32)*J32</f>
        <v>138</v>
      </c>
    </row>
    <row r="33" spans="1:11" ht="15" customHeight="1">
      <c r="A33" s="43"/>
      <c r="B33" s="49" t="str">
        <f>VLOOKUP($C$30:$C$53,Equipment!$A$1:$B$2322,2,FALSE)</f>
        <v>SUV  - Expedition/ Lexus/ Denali/ Yukon/ Navigator</v>
      </c>
      <c r="C33" s="24" t="s">
        <v>2059</v>
      </c>
      <c r="D33" s="24"/>
      <c r="E33" s="24"/>
      <c r="F33" s="24"/>
      <c r="G33" s="24"/>
      <c r="H33" s="36">
        <v>1</v>
      </c>
      <c r="I33" s="20"/>
      <c r="J33" s="42">
        <f>VLOOKUP($B$30:$B$53,'Alberta Equip. Rates Year 3'!$B$13:$K$314,10,FALSE)</f>
        <v>138</v>
      </c>
      <c r="K33" s="181">
        <f t="shared" si="2"/>
        <v>138</v>
      </c>
    </row>
    <row r="34" spans="1:11" ht="15" customHeight="1">
      <c r="A34" s="43"/>
      <c r="B34" s="49" t="str">
        <f>VLOOKUP($C$30:$C$53,Equipment!$A$1:$B$2322,2,FALSE)</f>
        <v>SUV  - Expedition/ Lexus/ Denali/ Yukon/ Navigator</v>
      </c>
      <c r="C34" s="24" t="s">
        <v>3547</v>
      </c>
      <c r="D34" s="24"/>
      <c r="E34" s="24"/>
      <c r="F34" s="24"/>
      <c r="G34" s="24"/>
      <c r="H34" s="36">
        <v>1</v>
      </c>
      <c r="I34" s="20"/>
      <c r="J34" s="42">
        <f>VLOOKUP($B$30:$B$53,'Alberta Equip. Rates Year 3'!$B$13:$K$314,10,FALSE)</f>
        <v>138</v>
      </c>
      <c r="K34" s="181">
        <f t="shared" si="2"/>
        <v>138</v>
      </c>
    </row>
    <row r="35" spans="1:11" ht="15" customHeight="1">
      <c r="A35" s="43"/>
      <c r="B35" s="49" t="str">
        <f>VLOOKUP($C$30:$C$53,Equipment!$A$1:$B$2322,2,FALSE)</f>
        <v>SUV  - Expedition/ Lexus/ Denali/ Yukon/ Navigator</v>
      </c>
      <c r="C35" s="24" t="s">
        <v>1748</v>
      </c>
      <c r="D35" s="24"/>
      <c r="E35" s="24"/>
      <c r="F35" s="24"/>
      <c r="G35" s="24"/>
      <c r="H35" s="36">
        <v>1</v>
      </c>
      <c r="I35" s="20"/>
      <c r="J35" s="42">
        <f>VLOOKUP($B$30:$B$53,'Alberta Equip. Rates Year 3'!$B$13:$K$314,10,FALSE)</f>
        <v>138</v>
      </c>
      <c r="K35" s="181">
        <f t="shared" si="2"/>
        <v>138</v>
      </c>
    </row>
    <row r="36" spans="1:11" ht="15" customHeight="1">
      <c r="A36" s="43"/>
      <c r="B36" s="49" t="str">
        <f>VLOOKUP($C$30:$C$53,Equipment!$A$1:$B$2322,2,FALSE)</f>
        <v>SUV  - Expedition/ Lexus/ Denali/ Yukon/ Navigator</v>
      </c>
      <c r="C36" s="24" t="s">
        <v>762</v>
      </c>
      <c r="D36" s="24"/>
      <c r="E36" s="24"/>
      <c r="F36" s="24"/>
      <c r="G36" s="24"/>
      <c r="H36" s="36">
        <v>1</v>
      </c>
      <c r="I36" s="20"/>
      <c r="J36" s="42">
        <f>VLOOKUP($B$30:$B$53,'Alberta Equip. Rates Year 3'!$B$13:$K$314,10,FALSE)</f>
        <v>138</v>
      </c>
      <c r="K36" s="181">
        <f t="shared" si="2"/>
        <v>138</v>
      </c>
    </row>
    <row r="37" spans="1:11" ht="15" customHeight="1">
      <c r="A37" s="43"/>
      <c r="B37" s="49" t="str">
        <f>VLOOKUP($C$30:$C$53,Equipment!$A$1:$B$2322,2,FALSE)</f>
        <v>SUV  - Expedition/ Lexus/ Denali/ Yukon/ Navigator</v>
      </c>
      <c r="C37" s="24" t="s">
        <v>684</v>
      </c>
      <c r="D37" s="24"/>
      <c r="E37" s="24"/>
      <c r="F37" s="24"/>
      <c r="G37" s="24"/>
      <c r="H37" s="36">
        <v>1</v>
      </c>
      <c r="I37" s="20"/>
      <c r="J37" s="42">
        <f>VLOOKUP($B$30:$B$53,'Alberta Equip. Rates Year 3'!$B$13:$K$314,10,FALSE)</f>
        <v>138</v>
      </c>
      <c r="K37" s="181">
        <f t="shared" si="2"/>
        <v>138</v>
      </c>
    </row>
    <row r="38" spans="1:11" ht="15" customHeight="1">
      <c r="A38" s="43"/>
      <c r="B38" s="49" t="str">
        <f>VLOOKUP($C$30:$C$53,Equipment!$A$1:$B$2322,2,FALSE)</f>
        <v>SUV  - Expedition/ Lexus/ Denali/ Yukon/ Navigator</v>
      </c>
      <c r="C38" s="24" t="s">
        <v>3752</v>
      </c>
      <c r="D38" s="24"/>
      <c r="E38" s="24"/>
      <c r="F38" s="24"/>
      <c r="G38" s="24"/>
      <c r="H38" s="36">
        <v>1</v>
      </c>
      <c r="I38" s="20"/>
      <c r="J38" s="42">
        <f>VLOOKUP($B$30:$B$53,'Alberta Equip. Rates Year 3'!$B$13:$K$314,10,FALSE)</f>
        <v>138</v>
      </c>
      <c r="K38" s="181">
        <f t="shared" si="2"/>
        <v>138</v>
      </c>
    </row>
    <row r="39" spans="1:11" ht="15" customHeight="1">
      <c r="A39" s="43"/>
      <c r="B39" s="49">
        <f>VLOOKUP($C$30:$C$53,Equipment!$A$1:$B$2322,2,FALSE)</f>
        <v>0</v>
      </c>
      <c r="C39" s="24"/>
      <c r="D39" s="24"/>
      <c r="E39" s="24"/>
      <c r="F39" s="24"/>
      <c r="G39" s="24"/>
      <c r="H39" s="36"/>
      <c r="I39" s="20"/>
      <c r="J39" s="42">
        <f>VLOOKUP($B$30:$B$53,'Alberta Equip. Rates Year 3'!$B$13:$K$314,10,FALSE)</f>
        <v>0</v>
      </c>
      <c r="K39" s="181">
        <f t="shared" si="2"/>
        <v>0</v>
      </c>
    </row>
    <row r="40" spans="1:11" ht="15" customHeight="1">
      <c r="A40" s="43"/>
      <c r="B40" s="49">
        <f>VLOOKUP($C$30:$C$53,Equipment!$A$1:$B$2322,2,FALSE)</f>
        <v>0</v>
      </c>
      <c r="C40" s="24"/>
      <c r="D40" s="24"/>
      <c r="E40" s="24"/>
      <c r="F40" s="24"/>
      <c r="G40" s="24"/>
      <c r="H40" s="36"/>
      <c r="I40" s="20"/>
      <c r="J40" s="42">
        <f>VLOOKUP($B$30:$B$53,'Alberta Equip. Rates Year 3'!$B$13:$K$314,10,FALSE)</f>
        <v>0</v>
      </c>
      <c r="K40" s="181">
        <f t="shared" si="2"/>
        <v>0</v>
      </c>
    </row>
    <row r="41" spans="1:11" ht="15" customHeight="1">
      <c r="A41" s="43"/>
      <c r="B41" s="49">
        <f>VLOOKUP($C$30:$C$53,Equipment!$A$1:$B$2322,2,FALSE)</f>
        <v>0</v>
      </c>
      <c r="C41" s="24"/>
      <c r="D41" s="24"/>
      <c r="E41" s="24"/>
      <c r="F41" s="24"/>
      <c r="G41" s="24"/>
      <c r="H41" s="36"/>
      <c r="I41" s="20"/>
      <c r="J41" s="42">
        <f>VLOOKUP($B$30:$B$53,'Alberta Equip. Rates Year 3'!$B$13:$K$314,10,FALSE)</f>
        <v>0</v>
      </c>
      <c r="K41" s="181">
        <f>(H41+I41)*J41</f>
        <v>0</v>
      </c>
    </row>
    <row r="42" spans="1:11" ht="15" customHeight="1">
      <c r="A42" s="43"/>
      <c r="B42" s="49">
        <f>VLOOKUP($C$30:$C$53,Equipment!$A$1:$B$2322,2,FALSE)</f>
        <v>0</v>
      </c>
      <c r="C42" s="24"/>
      <c r="D42" s="24"/>
      <c r="E42" s="24"/>
      <c r="F42" s="24"/>
      <c r="G42" s="24"/>
      <c r="H42" s="36"/>
      <c r="I42" s="20"/>
      <c r="J42" s="42">
        <f>VLOOKUP($B$30:$B$53,'Alberta Equip. Rates Year 3'!$B$13:$K$314,10,FALSE)</f>
        <v>0</v>
      </c>
      <c r="K42" s="181">
        <f t="shared" si="2"/>
        <v>0</v>
      </c>
    </row>
    <row r="43" spans="1:11" ht="15" customHeight="1">
      <c r="A43" s="43"/>
      <c r="B43" s="49">
        <f>VLOOKUP($C$30:$C$53,Equipment!$A$1:$B$2322,2,FALSE)</f>
        <v>0</v>
      </c>
      <c r="C43" s="24"/>
      <c r="D43" s="24"/>
      <c r="E43" s="24"/>
      <c r="F43" s="24"/>
      <c r="G43" s="24"/>
      <c r="H43" s="36"/>
      <c r="I43" s="20"/>
      <c r="J43" s="42">
        <f>VLOOKUP($B$30:$B$53,'Alberta Equip. Rates Year 3'!$B$13:$K$314,10,FALSE)</f>
        <v>0</v>
      </c>
      <c r="K43" s="181">
        <f t="shared" si="2"/>
        <v>0</v>
      </c>
    </row>
    <row r="44" spans="1:11" ht="15" customHeight="1">
      <c r="A44" s="43"/>
      <c r="B44" s="49">
        <f>VLOOKUP($C$30:$C$53,Equipment!$A$1:$B$2322,2,FALSE)</f>
        <v>0</v>
      </c>
      <c r="C44" s="24"/>
      <c r="D44" s="24"/>
      <c r="E44" s="24"/>
      <c r="F44" s="24"/>
      <c r="G44" s="24"/>
      <c r="H44" s="36"/>
      <c r="I44" s="20"/>
      <c r="J44" s="42">
        <f>VLOOKUP($B$30:$B$53,'Alberta Equip. Rates Year 3'!$B$13:$K$314,10,FALSE)</f>
        <v>0</v>
      </c>
      <c r="K44" s="181">
        <f t="shared" si="2"/>
        <v>0</v>
      </c>
    </row>
    <row r="45" spans="1:11" ht="15" customHeight="1">
      <c r="A45" s="43"/>
      <c r="B45" s="49">
        <f>VLOOKUP($C$30:$C$53,Equipment!$A$1:$B$2322,2,FALSE)</f>
        <v>0</v>
      </c>
      <c r="C45" s="24"/>
      <c r="D45" s="24"/>
      <c r="E45" s="24"/>
      <c r="F45" s="24"/>
      <c r="G45" s="24"/>
      <c r="H45" s="36"/>
      <c r="I45" s="20"/>
      <c r="J45" s="42">
        <f>VLOOKUP($B$30:$B$53,'Alberta Equip. Rates Year 3'!$B$13:$K$314,10,FALSE)</f>
        <v>0</v>
      </c>
      <c r="K45" s="181">
        <f>(H45+I45)*J45</f>
        <v>0</v>
      </c>
    </row>
    <row r="46" spans="1:11" ht="15" customHeight="1">
      <c r="A46" s="43"/>
      <c r="B46" s="49">
        <f>VLOOKUP($C$30:$C$53,Equipment!$A$1:$B$2322,2,FALSE)</f>
        <v>0</v>
      </c>
      <c r="C46" s="24"/>
      <c r="D46" s="24"/>
      <c r="E46" s="24"/>
      <c r="F46" s="24"/>
      <c r="G46" s="24"/>
      <c r="H46" s="36"/>
      <c r="I46" s="20"/>
      <c r="J46" s="42">
        <f>VLOOKUP($B$30:$B$53,'Alberta Equip. Rates Year 3'!$B$13:$K$314,10,FALSE)</f>
        <v>0</v>
      </c>
      <c r="K46" s="181">
        <f t="shared" si="2"/>
        <v>0</v>
      </c>
    </row>
    <row r="47" spans="1:11" ht="15" customHeight="1">
      <c r="A47" s="43"/>
      <c r="B47" s="49">
        <f>VLOOKUP($C$30:$C$53,Equipment!$A$1:$B$2322,2,FALSE)</f>
        <v>0</v>
      </c>
      <c r="C47" s="24"/>
      <c r="D47" s="24"/>
      <c r="E47" s="24"/>
      <c r="F47" s="24"/>
      <c r="G47" s="24"/>
      <c r="H47" s="36"/>
      <c r="I47" s="20"/>
      <c r="J47" s="42">
        <f>VLOOKUP($B$30:$B$53,'Alberta Equip. Rates Year 3'!$B$13:$K$314,10,FALSE)</f>
        <v>0</v>
      </c>
      <c r="K47" s="181">
        <f t="shared" ref="K47:K49" si="3">(H47+I47)*J47</f>
        <v>0</v>
      </c>
    </row>
    <row r="48" spans="1:11" ht="15" customHeight="1">
      <c r="A48" s="43"/>
      <c r="B48" s="49">
        <f>VLOOKUP($C$30:$C$53,Equipment!$A$1:$B$2322,2,FALSE)</f>
        <v>0</v>
      </c>
      <c r="C48" s="24"/>
      <c r="D48" s="24"/>
      <c r="E48" s="24"/>
      <c r="F48" s="24"/>
      <c r="G48" s="24"/>
      <c r="H48" s="36"/>
      <c r="I48" s="20"/>
      <c r="J48" s="42">
        <f>VLOOKUP($B$30:$B$53,'Alberta Equip. Rates Year 3'!$B$13:$K$314,10,FALSE)</f>
        <v>0</v>
      </c>
      <c r="K48" s="181">
        <f t="shared" si="3"/>
        <v>0</v>
      </c>
    </row>
    <row r="49" spans="1:11" ht="15" customHeight="1">
      <c r="A49" s="43"/>
      <c r="B49" s="49">
        <f>VLOOKUP($C$30:$C$53,Equipment!$A$1:$B$2322,2,FALSE)</f>
        <v>0</v>
      </c>
      <c r="C49" s="24"/>
      <c r="D49" s="24"/>
      <c r="E49" s="24"/>
      <c r="F49" s="24"/>
      <c r="G49" s="24"/>
      <c r="H49" s="36"/>
      <c r="I49" s="20"/>
      <c r="J49" s="42">
        <f>VLOOKUP($B$30:$B$53,'Alberta Equip. Rates Year 3'!$B$13:$K$314,10,FALSE)</f>
        <v>0</v>
      </c>
      <c r="K49" s="181">
        <f t="shared" si="3"/>
        <v>0</v>
      </c>
    </row>
    <row r="50" spans="1:11" ht="15" customHeight="1" thickBot="1">
      <c r="A50" s="43"/>
      <c r="B50" s="49">
        <f>VLOOKUP($C$30:$C$53,Equipment!$A$1:$B$2322,2,FALSE)</f>
        <v>0</v>
      </c>
      <c r="C50" s="24"/>
      <c r="D50" s="24"/>
      <c r="E50" s="24"/>
      <c r="F50" s="24"/>
      <c r="G50" s="24"/>
      <c r="H50" s="36"/>
      <c r="I50" s="20"/>
      <c r="J50" s="42">
        <f>VLOOKUP($B$30:$B$53,'Alberta Equip. Rates Year 3'!$B$13:$K$314,10,FALSE)</f>
        <v>0</v>
      </c>
      <c r="K50" s="181">
        <f>(H50+I50)*J50</f>
        <v>0</v>
      </c>
    </row>
    <row r="51" spans="1:11" ht="12" thickBot="1">
      <c r="A51" s="25"/>
      <c r="B51" s="25"/>
      <c r="C51" s="25"/>
      <c r="D51" s="21"/>
      <c r="E51" s="21"/>
      <c r="F51" s="21"/>
      <c r="G51" s="21"/>
      <c r="H51" s="21"/>
      <c r="I51" s="360" t="s">
        <v>24</v>
      </c>
      <c r="J51" s="361"/>
      <c r="K51" s="182">
        <f>SUM(K30:K50)</f>
        <v>1091</v>
      </c>
    </row>
    <row r="52" spans="1:11" ht="12" thickBot="1">
      <c r="A52" s="26"/>
      <c r="D52" s="26"/>
      <c r="I52" s="27"/>
      <c r="J52" s="27"/>
      <c r="K52" s="28"/>
    </row>
    <row r="53" spans="1:11">
      <c r="A53" s="1" t="s">
        <v>25</v>
      </c>
      <c r="B53" s="29"/>
      <c r="D53" s="1"/>
      <c r="E53" s="1"/>
      <c r="F53" s="1"/>
      <c r="G53" s="1"/>
      <c r="H53" s="1"/>
      <c r="I53" s="362" t="s">
        <v>26</v>
      </c>
      <c r="J53" s="362"/>
      <c r="K53" s="37">
        <f>K27</f>
        <v>15370.06</v>
      </c>
    </row>
    <row r="54" spans="1:11">
      <c r="D54" s="1"/>
      <c r="E54" s="1"/>
      <c r="F54" s="1"/>
      <c r="G54" s="1"/>
      <c r="H54" s="1"/>
      <c r="I54" s="362" t="s">
        <v>27</v>
      </c>
      <c r="J54" s="362"/>
      <c r="K54" s="38">
        <f>K51</f>
        <v>1091</v>
      </c>
    </row>
    <row r="55" spans="1:11">
      <c r="D55" s="1"/>
      <c r="E55" s="1"/>
      <c r="F55" s="1"/>
      <c r="G55" s="1"/>
      <c r="H55" s="1"/>
      <c r="I55" s="27" t="s">
        <v>28</v>
      </c>
      <c r="J55" s="27"/>
      <c r="K55" s="38">
        <f>(O27)*14.15</f>
        <v>1415</v>
      </c>
    </row>
    <row r="56" spans="1:11">
      <c r="D56" s="1"/>
      <c r="E56" s="1"/>
      <c r="F56" s="1"/>
      <c r="G56" s="1"/>
      <c r="H56" s="1"/>
      <c r="I56" s="30" t="s">
        <v>29</v>
      </c>
      <c r="J56" s="30"/>
      <c r="K56" s="39"/>
    </row>
    <row r="57" spans="1:11">
      <c r="D57" s="1"/>
      <c r="E57" s="1"/>
      <c r="F57" s="1"/>
      <c r="G57" s="1"/>
      <c r="H57" s="1"/>
      <c r="I57" s="30" t="s">
        <v>30</v>
      </c>
      <c r="J57" s="30"/>
      <c r="K57" s="39"/>
    </row>
    <row r="58" spans="1:11">
      <c r="D58" s="1"/>
      <c r="E58" s="1"/>
      <c r="F58" s="1"/>
      <c r="G58" s="1"/>
      <c r="H58" s="1"/>
      <c r="I58" s="30" t="s">
        <v>31</v>
      </c>
      <c r="J58" s="30"/>
      <c r="K58" s="39"/>
    </row>
    <row r="59" spans="1:11" ht="12" thickBot="1">
      <c r="D59" s="1"/>
      <c r="E59" s="1"/>
      <c r="F59" s="1"/>
      <c r="G59" s="1"/>
      <c r="H59" s="1"/>
      <c r="I59" s="362" t="s">
        <v>32</v>
      </c>
      <c r="J59" s="362"/>
      <c r="K59" s="40">
        <f>SUM(K53:K58)</f>
        <v>17876.059999999998</v>
      </c>
    </row>
    <row r="60" spans="1:11">
      <c r="D60" s="1" t="s">
        <v>43</v>
      </c>
      <c r="E60" s="1"/>
      <c r="F60" s="1"/>
      <c r="G60" s="1"/>
      <c r="H60" s="1"/>
      <c r="I60" s="27"/>
      <c r="J60" s="27"/>
    </row>
    <row r="61" spans="1:11">
      <c r="A61" s="31" t="s">
        <v>33</v>
      </c>
      <c r="B61" s="32"/>
      <c r="C61" s="32"/>
      <c r="D61" s="1"/>
      <c r="H61" s="33" t="s">
        <v>34</v>
      </c>
      <c r="I61" s="32"/>
      <c r="J61" s="32"/>
      <c r="K61" s="32"/>
    </row>
    <row r="62" spans="1:11" ht="15">
      <c r="A62" s="34"/>
      <c r="E62" s="8"/>
      <c r="F62" s="8"/>
      <c r="G62" s="8"/>
      <c r="H62" s="35"/>
      <c r="I62" s="35"/>
      <c r="J62" s="35"/>
      <c r="K62" s="35"/>
    </row>
    <row r="63" spans="1:11" ht="15">
      <c r="A63" s="34" t="s">
        <v>35</v>
      </c>
      <c r="E63" s="8"/>
      <c r="F63" s="8"/>
      <c r="G63" s="8"/>
      <c r="H63" s="35"/>
      <c r="I63" s="35"/>
      <c r="J63" s="35"/>
      <c r="K63" s="35"/>
    </row>
    <row r="64" spans="1:11" s="34" customFormat="1">
      <c r="A64" s="363">
        <v>41218.479166666664</v>
      </c>
      <c r="B64" s="363"/>
      <c r="C64" s="364"/>
      <c r="D64" s="364"/>
      <c r="E64" s="364"/>
      <c r="F64" s="364"/>
      <c r="G64" s="364"/>
      <c r="H64" s="364"/>
      <c r="I64" s="364"/>
      <c r="J64" s="364"/>
      <c r="K64" s="8"/>
    </row>
    <row r="74" s="1" customFormat="1"/>
    <row r="75" s="1" customFormat="1"/>
    <row r="76" s="1" customFormat="1"/>
    <row r="77" s="1" customFormat="1"/>
    <row r="78" s="1" customFormat="1"/>
    <row r="79" s="1" customFormat="1"/>
    <row r="80" s="1" customFormat="1"/>
    <row r="81" s="1" customFormat="1"/>
    <row r="82" s="1" customFormat="1"/>
    <row r="83" s="1" customFormat="1"/>
    <row r="84" s="1" customFormat="1"/>
    <row r="85" s="1" customFormat="1"/>
    <row r="86" s="1" customFormat="1"/>
    <row r="87" s="1" customFormat="1"/>
    <row r="92" s="1" customFormat="1"/>
    <row r="120" s="1" customFormat="1"/>
    <row r="121" s="1" customFormat="1"/>
    <row r="122" s="1" customFormat="1"/>
    <row r="123" s="1" customFormat="1"/>
  </sheetData>
  <mergeCells count="12">
    <mergeCell ref="I51:J51"/>
    <mergeCell ref="I53:J53"/>
    <mergeCell ref="I54:J54"/>
    <mergeCell ref="I59:J59"/>
    <mergeCell ref="A64:B64"/>
    <mergeCell ref="C64:J64"/>
    <mergeCell ref="I27:J27"/>
    <mergeCell ref="C1:H1"/>
    <mergeCell ref="C2:H2"/>
    <mergeCell ref="C3:H3"/>
    <mergeCell ref="H6:I6"/>
    <mergeCell ref="H7:I7"/>
  </mergeCells>
  <dataValidations count="1">
    <dataValidation type="list" allowBlank="1" showInputMessage="1" showErrorMessage="1" sqref="B20:B26" xr:uid="{00000000-0002-0000-2C00-000000000000}">
      <formula1>$A$19:$A$482</formula1>
    </dataValidation>
  </dataValidations>
  <printOptions horizontalCentered="1"/>
  <pageMargins left="0.19685039370078741" right="0.19685039370078741" top="0.39370078740157483" bottom="0.39370078740157483" header="0" footer="0"/>
  <pageSetup orientation="portrait" horizontalDpi="4294967292" verticalDpi="4294967292"/>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2C00-000001000000}">
          <x14:formula1>
            <xm:f>Accounts!$A$4:$A$60</xm:f>
          </x14:formula1>
          <xm:sqref>K7</xm:sqref>
        </x14:dataValidation>
        <x14:dataValidation type="list" allowBlank="1" showInputMessage="1" showErrorMessage="1" xr:uid="{00000000-0002-0000-2C00-000002000000}">
          <x14:formula1>
            <xm:f>'Constr. Wage Rate Calculations'!$A$19:$A$288</xm:f>
          </x14:formula1>
          <xm:sqref>B11:B19</xm:sqref>
        </x14:dataValidation>
        <x14:dataValidation type="list" allowBlank="1" showInputMessage="1" showErrorMessage="1" xr:uid="{00000000-0002-0000-2C00-000003000000}">
          <x14:formula1>
            <xm:f>Personnel!$A:$A</xm:f>
          </x14:formula1>
          <xm:sqref>C11:C26</xm:sqref>
        </x14:dataValidation>
        <x14:dataValidation type="list" allowBlank="1" showInputMessage="1" showErrorMessage="1" xr:uid="{00000000-0002-0000-2C00-000004000000}">
          <x14:formula1>
            <xm:f>Equipment!$A:$A</xm:f>
          </x14:formula1>
          <xm:sqref>C30:C50</xm:sqref>
        </x14:dataValidation>
      </x14:dataValidations>
    </ext>
    <ext xmlns:mx="http://schemas.microsoft.com/office/mac/excel/2008/main" uri="{64002731-A6B0-56B0-2670-7721B7C09600}">
      <mx:PLV Mode="0" OnePage="0" WScale="0"/>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CCFFCC"/>
    <pageSetUpPr fitToPage="1"/>
  </sheetPr>
  <dimension ref="A1:O209"/>
  <sheetViews>
    <sheetView zoomScale="120" zoomScaleNormal="120" zoomScalePageLayoutView="120" workbookViewId="0">
      <selection activeCell="C9" sqref="C9"/>
    </sheetView>
  </sheetViews>
  <sheetFormatPr baseColWidth="10" defaultColWidth="8.83203125" defaultRowHeight="11"/>
  <cols>
    <col min="1" max="1" width="13" style="1" customWidth="1"/>
    <col min="2" max="2" width="30" style="1" customWidth="1"/>
    <col min="3" max="3" width="24.5" style="1" customWidth="1"/>
    <col min="4" max="4" width="8.6640625" style="2" customWidth="1"/>
    <col min="5" max="6" width="8.33203125" style="2" customWidth="1"/>
    <col min="7" max="8" width="8.6640625" style="2" customWidth="1"/>
    <col min="9" max="9" width="9.33203125" style="2" customWidth="1"/>
    <col min="10" max="10" width="8.6640625" style="2" customWidth="1"/>
    <col min="11" max="11" width="21.6640625" style="1" customWidth="1"/>
    <col min="12" max="12" width="3.5" style="1" hidden="1" customWidth="1"/>
    <col min="13" max="16384" width="8.83203125" style="1"/>
  </cols>
  <sheetData>
    <row r="1" spans="1:13" ht="15">
      <c r="C1" s="364"/>
      <c r="D1" s="365"/>
      <c r="E1" s="365"/>
      <c r="F1" s="365"/>
      <c r="G1" s="365"/>
      <c r="H1" s="366"/>
      <c r="J1" s="2" t="s">
        <v>0</v>
      </c>
      <c r="K1" s="197">
        <v>41659</v>
      </c>
      <c r="M1" s="45"/>
    </row>
    <row r="2" spans="1:13" ht="15">
      <c r="C2" s="367"/>
      <c r="D2" s="367"/>
      <c r="E2" s="367"/>
      <c r="F2" s="367"/>
      <c r="G2" s="367"/>
      <c r="H2" s="366"/>
      <c r="K2" s="41"/>
    </row>
    <row r="3" spans="1:13" ht="15">
      <c r="C3" s="368"/>
      <c r="D3" s="369"/>
      <c r="E3" s="369"/>
      <c r="F3" s="369"/>
      <c r="G3" s="369"/>
      <c r="H3" s="366"/>
    </row>
    <row r="4" spans="1:13">
      <c r="C4" s="3"/>
      <c r="D4" s="4"/>
      <c r="E4" s="4"/>
      <c r="F4" s="4"/>
      <c r="G4" s="4"/>
    </row>
    <row r="5" spans="1:13">
      <c r="C5" s="3"/>
      <c r="D5" s="4"/>
      <c r="E5" s="4"/>
      <c r="F5" s="4"/>
      <c r="G5" s="4"/>
    </row>
    <row r="6" spans="1:13" ht="12">
      <c r="B6" s="5"/>
      <c r="C6" s="6"/>
      <c r="D6" s="7"/>
      <c r="E6" s="8"/>
      <c r="F6" s="8"/>
      <c r="G6" s="1" t="s">
        <v>1</v>
      </c>
      <c r="H6" s="370">
        <v>18202</v>
      </c>
      <c r="I6" s="370"/>
      <c r="J6" s="1" t="s">
        <v>2</v>
      </c>
      <c r="K6" s="47"/>
    </row>
    <row r="7" spans="1:13" ht="12">
      <c r="A7" s="1" t="s">
        <v>3</v>
      </c>
      <c r="B7" s="9"/>
      <c r="C7" s="10"/>
      <c r="D7" s="11"/>
      <c r="E7" s="8"/>
      <c r="F7" s="8"/>
      <c r="G7" s="1" t="s">
        <v>4</v>
      </c>
      <c r="H7" s="371"/>
      <c r="I7" s="371"/>
      <c r="J7" s="1" t="s">
        <v>5</v>
      </c>
      <c r="K7" s="46"/>
    </row>
    <row r="8" spans="1:13" ht="12">
      <c r="B8" s="12"/>
      <c r="C8" s="13"/>
      <c r="D8" s="14"/>
      <c r="E8" s="8"/>
      <c r="F8" s="8"/>
      <c r="G8" s="1" t="s">
        <v>6</v>
      </c>
      <c r="H8" s="187"/>
      <c r="I8" s="188"/>
      <c r="J8" s="44"/>
    </row>
    <row r="9" spans="1:13" ht="16" thickBot="1">
      <c r="B9" s="15"/>
      <c r="C9" s="16"/>
      <c r="D9" s="16"/>
      <c r="E9" s="8"/>
      <c r="F9" s="8"/>
      <c r="G9" s="8"/>
    </row>
    <row r="10" spans="1:13" s="19" customFormat="1" ht="12" thickBot="1">
      <c r="A10" s="17" t="s">
        <v>7</v>
      </c>
      <c r="B10" s="17" t="s">
        <v>8</v>
      </c>
      <c r="C10" s="17" t="s">
        <v>9</v>
      </c>
      <c r="D10" s="18" t="s">
        <v>10</v>
      </c>
      <c r="E10" s="18" t="s">
        <v>11</v>
      </c>
      <c r="F10" s="18" t="s">
        <v>12</v>
      </c>
      <c r="G10" s="180" t="s">
        <v>13</v>
      </c>
      <c r="H10" s="18" t="s">
        <v>14</v>
      </c>
      <c r="I10" s="18" t="s">
        <v>15</v>
      </c>
      <c r="J10" s="18" t="s">
        <v>16</v>
      </c>
      <c r="K10" s="18" t="s">
        <v>17</v>
      </c>
      <c r="M10" s="19" t="s">
        <v>1797</v>
      </c>
    </row>
    <row r="11" spans="1:13" ht="15" customHeight="1">
      <c r="A11" s="48"/>
      <c r="B11" s="49">
        <f>VLOOKUP($C$11:$C$28,Personnel!$A$1:$B$1234,2,FALSE)</f>
        <v>0</v>
      </c>
      <c r="C11" s="36"/>
      <c r="D11" s="184"/>
      <c r="E11" s="179">
        <f>VLOOKUP($B$11:$B$28,'Constr. Wage Rate Calculations'!$A$19:$Z$288,22,FALSE)</f>
        <v>0</v>
      </c>
      <c r="F11" s="184"/>
      <c r="G11" s="179">
        <f>VLOOKUP($B$11:$B$28,'Constr. Wage Rate Calculations'!$A$19:$Z$288,23,FALSE)</f>
        <v>0</v>
      </c>
      <c r="H11" s="184"/>
      <c r="I11" s="179">
        <f>VLOOKUP($B$11:$B$28,'Constr. Wage Rate Calculations'!$A$19:$Z$288,24,FALSE)</f>
        <v>0</v>
      </c>
      <c r="J11" s="20">
        <f>VLOOKUP($B$11:$B$28,'Constr. Wage Rate Calculations'!$A$19:$Z$288,25,FALSE)</f>
        <v>0</v>
      </c>
      <c r="K11" s="179" t="str">
        <f t="shared" ref="K11:K28" si="0">IF($D11&gt;=1,$J11+(D11*E11)+(F11*G11)+(H11*I11),IF($F11&gt;=1,$J11+(D11*E11)+(F11*G11)+(H11*I11),IF($H11&gt;=1,$J11+(D11*E11)+(F11*G11)+(H11*I11),"")))</f>
        <v/>
      </c>
    </row>
    <row r="12" spans="1:13" ht="16.5" customHeight="1">
      <c r="A12" s="48"/>
      <c r="B12" s="49">
        <f>VLOOKUP($C$11:$C$28,Personnel!$A$1:$B$1234,2,FALSE)</f>
        <v>0</v>
      </c>
      <c r="C12" s="36"/>
      <c r="D12" s="184"/>
      <c r="E12" s="179">
        <f>VLOOKUP($B$11:$B$28,'Constr. Wage Rate Calculations'!$A$19:$Z$288,22,FALSE)</f>
        <v>0</v>
      </c>
      <c r="F12" s="184"/>
      <c r="G12" s="179">
        <f>VLOOKUP($B$11:$B$28,'Constr. Wage Rate Calculations'!$A$19:$Z$288,23,FALSE)</f>
        <v>0</v>
      </c>
      <c r="H12" s="184"/>
      <c r="I12" s="179">
        <f>VLOOKUP($B$11:$B$28,'Constr. Wage Rate Calculations'!$A$19:$Z$288,24,FALSE)</f>
        <v>0</v>
      </c>
      <c r="J12" s="20">
        <f>VLOOKUP($B$11:$B$28,'Constr. Wage Rate Calculations'!$A$19:$Z$288,25,FALSE)</f>
        <v>0</v>
      </c>
      <c r="K12" s="179" t="str">
        <f t="shared" si="0"/>
        <v/>
      </c>
    </row>
    <row r="13" spans="1:13" ht="15" customHeight="1">
      <c r="A13" s="48"/>
      <c r="B13" s="49">
        <f>VLOOKUP($C$11:$C$28,Personnel!$A$1:$B$1234,2,FALSE)</f>
        <v>0</v>
      </c>
      <c r="C13" s="36"/>
      <c r="D13" s="184"/>
      <c r="E13" s="179">
        <f>VLOOKUP($B$11:$B$28,'Constr. Wage Rate Calculations'!$A$19:$Z$288,22,FALSE)</f>
        <v>0</v>
      </c>
      <c r="F13" s="184"/>
      <c r="G13" s="179">
        <f>VLOOKUP($B$11:$B$28,'Constr. Wage Rate Calculations'!$A$19:$Z$288,23,FALSE)</f>
        <v>0</v>
      </c>
      <c r="H13" s="184"/>
      <c r="I13" s="179">
        <f>VLOOKUP($B$11:$B$28,'Constr. Wage Rate Calculations'!$A$19:$Z$288,24,FALSE)</f>
        <v>0</v>
      </c>
      <c r="J13" s="20">
        <f>VLOOKUP($B$11:$B$28,'Constr. Wage Rate Calculations'!$A$19:$Z$288,25,FALSE)</f>
        <v>0</v>
      </c>
      <c r="K13" s="179" t="str">
        <f t="shared" si="0"/>
        <v/>
      </c>
    </row>
    <row r="14" spans="1:13" ht="15" customHeight="1">
      <c r="A14" s="48"/>
      <c r="B14" s="49">
        <f>VLOOKUP($C$11:$C$28,Personnel!$A$1:$B$1234,2,FALSE)</f>
        <v>0</v>
      </c>
      <c r="C14" s="36"/>
      <c r="D14" s="184"/>
      <c r="E14" s="179">
        <f>VLOOKUP($B$11:$B$28,'Constr. Wage Rate Calculations'!$A$19:$Z$288,22,FALSE)</f>
        <v>0</v>
      </c>
      <c r="F14" s="184"/>
      <c r="G14" s="179">
        <f>VLOOKUP($B$11:$B$28,'Constr. Wage Rate Calculations'!$A$19:$Z$288,23,FALSE)</f>
        <v>0</v>
      </c>
      <c r="H14" s="184"/>
      <c r="I14" s="179">
        <f>VLOOKUP($B$11:$B$28,'Constr. Wage Rate Calculations'!$A$19:$Z$288,24,FALSE)</f>
        <v>0</v>
      </c>
      <c r="J14" s="20">
        <f>VLOOKUP($B$11:$B$28,'Constr. Wage Rate Calculations'!$A$19:$Z$288,25,FALSE)</f>
        <v>0</v>
      </c>
      <c r="K14" s="179" t="str">
        <f t="shared" si="0"/>
        <v/>
      </c>
    </row>
    <row r="15" spans="1:13" ht="15" customHeight="1">
      <c r="A15" s="48"/>
      <c r="B15" s="49" t="str">
        <f>VLOOKUP($C$11:$C$28,Personnel!$A$1:$B$1234,2,FALSE)</f>
        <v>NON-WELDER JOURNEYMAN/ FITTER ON AUTO WELD SPREAD (QI APPLIES)</v>
      </c>
      <c r="C15" s="36" t="s">
        <v>2701</v>
      </c>
      <c r="D15" s="184">
        <v>8</v>
      </c>
      <c r="E15" s="179">
        <f>VLOOKUP($B$11:$B$28,'Constr. Wage Rate Calculations'!$A$19:$Z$288,22,FALSE)</f>
        <v>69.010000000000005</v>
      </c>
      <c r="F15" s="184">
        <v>6</v>
      </c>
      <c r="G15" s="179">
        <f>VLOOKUP($B$11:$B$28,'Constr. Wage Rate Calculations'!$A$19:$Z$288,23,FALSE)</f>
        <v>103.51</v>
      </c>
      <c r="H15" s="184"/>
      <c r="I15" s="179">
        <f>VLOOKUP($B$11:$B$28,'Constr. Wage Rate Calculations'!$A$19:$Z$288,24,FALSE)</f>
        <v>138.02000000000001</v>
      </c>
      <c r="J15" s="20">
        <f>VLOOKUP($B$11:$B$28,'Constr. Wage Rate Calculations'!$A$19:$Z$288,25,FALSE)</f>
        <v>85</v>
      </c>
      <c r="K15" s="179">
        <f t="shared" si="0"/>
        <v>1258.1400000000001</v>
      </c>
      <c r="M15" s="1">
        <v>2</v>
      </c>
    </row>
    <row r="16" spans="1:13" ht="15" customHeight="1">
      <c r="A16" s="48"/>
      <c r="B16" s="49">
        <f>VLOOKUP($C$11:$C$28,Personnel!$A$1:$B$1234,2,FALSE)</f>
        <v>0</v>
      </c>
      <c r="C16" s="36"/>
      <c r="D16" s="184"/>
      <c r="E16" s="179">
        <f>VLOOKUP($B$11:$B$28,'Constr. Wage Rate Calculations'!$A$19:$Z$288,22,FALSE)</f>
        <v>0</v>
      </c>
      <c r="F16" s="184"/>
      <c r="G16" s="179">
        <f>VLOOKUP($B$11:$B$28,'Constr. Wage Rate Calculations'!$A$19:$Z$288,23,FALSE)</f>
        <v>0</v>
      </c>
      <c r="H16" s="184"/>
      <c r="I16" s="179">
        <f>VLOOKUP($B$11:$B$28,'Constr. Wage Rate Calculations'!$A$19:$Z$288,24,FALSE)</f>
        <v>0</v>
      </c>
      <c r="J16" s="20">
        <f>VLOOKUP($B$11:$B$28,'Constr. Wage Rate Calculations'!$A$19:$Z$288,25,FALSE)</f>
        <v>0</v>
      </c>
      <c r="K16" s="179" t="str">
        <f t="shared" si="0"/>
        <v/>
      </c>
    </row>
    <row r="17" spans="1:15" ht="15" customHeight="1">
      <c r="A17" s="48"/>
      <c r="B17" s="49">
        <f>VLOOKUP($C$11:$C$28,Personnel!$A$1:$B$1234,2,FALSE)</f>
        <v>0</v>
      </c>
      <c r="C17" s="36"/>
      <c r="D17" s="184"/>
      <c r="E17" s="179">
        <f>VLOOKUP($B$11:$B$28,'Constr. Wage Rate Calculations'!$A$19:$Z$288,22,FALSE)</f>
        <v>0</v>
      </c>
      <c r="F17" s="184"/>
      <c r="G17" s="179">
        <f>VLOOKUP($B$11:$B$28,'Constr. Wage Rate Calculations'!$A$19:$Z$288,23,FALSE)</f>
        <v>0</v>
      </c>
      <c r="H17" s="184"/>
      <c r="I17" s="179">
        <f>VLOOKUP($B$11:$B$28,'Constr. Wage Rate Calculations'!$A$19:$Z$288,24,FALSE)</f>
        <v>0</v>
      </c>
      <c r="J17" s="20">
        <f>VLOOKUP($B$11:$B$28,'Constr. Wage Rate Calculations'!$A$19:$Z$288,25,FALSE)</f>
        <v>0</v>
      </c>
      <c r="K17" s="179" t="str">
        <f t="shared" si="0"/>
        <v/>
      </c>
    </row>
    <row r="18" spans="1:15" ht="15" customHeight="1">
      <c r="A18" s="48"/>
      <c r="B18" s="49">
        <f>VLOOKUP($C$11:$C$28,Personnel!$A$1:$B$1234,2,FALSE)</f>
        <v>0</v>
      </c>
      <c r="C18" s="36"/>
      <c r="D18" s="184"/>
      <c r="E18" s="179">
        <f>VLOOKUP($B$11:$B$28,'Constr. Wage Rate Calculations'!$A$19:$Z$288,22,FALSE)</f>
        <v>0</v>
      </c>
      <c r="F18" s="184"/>
      <c r="G18" s="179">
        <f>VLOOKUP($B$11:$B$28,'Constr. Wage Rate Calculations'!$A$19:$Z$288,23,FALSE)</f>
        <v>0</v>
      </c>
      <c r="H18" s="184"/>
      <c r="I18" s="179">
        <f>VLOOKUP($B$11:$B$28,'Constr. Wage Rate Calculations'!$A$19:$Z$288,24,FALSE)</f>
        <v>0</v>
      </c>
      <c r="J18" s="20">
        <f>VLOOKUP($B$11:$B$28,'Constr. Wage Rate Calculations'!$A$19:$Z$288,25,FALSE)</f>
        <v>0</v>
      </c>
      <c r="K18" s="179" t="str">
        <f t="shared" si="0"/>
        <v/>
      </c>
    </row>
    <row r="19" spans="1:15" ht="15" customHeight="1">
      <c r="A19" s="48"/>
      <c r="B19" s="49">
        <f>VLOOKUP($C$11:$C$28,Personnel!$A$1:$B$1234,2,FALSE)</f>
        <v>0</v>
      </c>
      <c r="C19" s="36"/>
      <c r="D19" s="184"/>
      <c r="E19" s="179">
        <f>VLOOKUP($B$11:$B$28,'Constr. Wage Rate Calculations'!$A$19:$Z$288,22,FALSE)</f>
        <v>0</v>
      </c>
      <c r="F19" s="184"/>
      <c r="G19" s="179">
        <f>VLOOKUP($B$11:$B$28,'Constr. Wage Rate Calculations'!$A$19:$Z$288,23,FALSE)</f>
        <v>0</v>
      </c>
      <c r="H19" s="184"/>
      <c r="I19" s="179">
        <f>VLOOKUP($B$11:$B$28,'Constr. Wage Rate Calculations'!$A$19:$Z$288,24,FALSE)</f>
        <v>0</v>
      </c>
      <c r="J19" s="20">
        <f>VLOOKUP($B$11:$B$28,'Constr. Wage Rate Calculations'!$A$19:$Z$288,25,FALSE)</f>
        <v>0</v>
      </c>
      <c r="K19" s="179" t="str">
        <f t="shared" si="0"/>
        <v/>
      </c>
    </row>
    <row r="20" spans="1:15" ht="15" customHeight="1">
      <c r="A20" s="48"/>
      <c r="B20" s="49">
        <f>VLOOKUP($C$11:$C$28,Personnel!$A$1:$B$1234,2,FALSE)</f>
        <v>0</v>
      </c>
      <c r="C20" s="36"/>
      <c r="D20" s="184"/>
      <c r="E20" s="179">
        <f>VLOOKUP($B$11:$B$28,'Constr. Wage Rate Calculations'!$A$19:$Z$288,22,FALSE)</f>
        <v>0</v>
      </c>
      <c r="F20" s="184"/>
      <c r="G20" s="179">
        <f>VLOOKUP($B$11:$B$28,'Constr. Wage Rate Calculations'!$A$19:$Z$288,23,FALSE)</f>
        <v>0</v>
      </c>
      <c r="H20" s="184"/>
      <c r="I20" s="179">
        <f>VLOOKUP($B$11:$B$28,'Constr. Wage Rate Calculations'!$A$19:$Z$288,24,FALSE)</f>
        <v>0</v>
      </c>
      <c r="J20" s="20">
        <f>VLOOKUP($B$11:$B$28,'Constr. Wage Rate Calculations'!$A$19:$Z$288,25,FALSE)</f>
        <v>0</v>
      </c>
      <c r="K20" s="179" t="str">
        <f t="shared" si="0"/>
        <v/>
      </c>
    </row>
    <row r="21" spans="1:15" ht="15" customHeight="1">
      <c r="A21" s="48"/>
      <c r="B21" s="49">
        <f>VLOOKUP($C$11:$C$28,Personnel!$A$1:$B$1234,2,FALSE)</f>
        <v>0</v>
      </c>
      <c r="C21" s="36"/>
      <c r="D21" s="184"/>
      <c r="E21" s="179">
        <f>VLOOKUP($B$11:$B$28,'Constr. Wage Rate Calculations'!$A$19:$Z$288,22,FALSE)</f>
        <v>0</v>
      </c>
      <c r="F21" s="184"/>
      <c r="G21" s="179">
        <f>VLOOKUP($B$11:$B$28,'Constr. Wage Rate Calculations'!$A$19:$Z$288,23,FALSE)</f>
        <v>0</v>
      </c>
      <c r="H21" s="184"/>
      <c r="I21" s="179">
        <f>VLOOKUP($B$11:$B$28,'Constr. Wage Rate Calculations'!$A$19:$Z$288,24,FALSE)</f>
        <v>0</v>
      </c>
      <c r="J21" s="20">
        <f>VLOOKUP($B$11:$B$28,'Constr. Wage Rate Calculations'!$A$19:$Z$288,25,FALSE)</f>
        <v>0</v>
      </c>
      <c r="K21" s="179" t="str">
        <f t="shared" si="0"/>
        <v/>
      </c>
    </row>
    <row r="22" spans="1:15" ht="15" customHeight="1">
      <c r="A22" s="48"/>
      <c r="B22" s="49">
        <f>VLOOKUP($C$11:$C$28,Personnel!$A$1:$B$1234,2,FALSE)</f>
        <v>0</v>
      </c>
      <c r="C22" s="36"/>
      <c r="D22" s="184"/>
      <c r="E22" s="179">
        <f>VLOOKUP($B$11:$B$28,'Constr. Wage Rate Calculations'!$A$19:$Z$288,22,FALSE)</f>
        <v>0</v>
      </c>
      <c r="F22" s="184"/>
      <c r="G22" s="179">
        <f>VLOOKUP($B$11:$B$28,'Constr. Wage Rate Calculations'!$A$19:$Z$288,23,FALSE)</f>
        <v>0</v>
      </c>
      <c r="H22" s="184"/>
      <c r="I22" s="179">
        <f>VLOOKUP($B$11:$B$28,'Constr. Wage Rate Calculations'!$A$19:$Z$288,24,FALSE)</f>
        <v>0</v>
      </c>
      <c r="J22" s="20">
        <f>VLOOKUP($B$11:$B$28,'Constr. Wage Rate Calculations'!$A$19:$Z$288,25,FALSE)</f>
        <v>0</v>
      </c>
      <c r="K22" s="179" t="str">
        <f t="shared" si="0"/>
        <v/>
      </c>
    </row>
    <row r="23" spans="1:15" ht="15" customHeight="1">
      <c r="A23" s="48"/>
      <c r="B23" s="49">
        <f>VLOOKUP($C$11:$C$28,Personnel!$A$1:$B$1234,2,FALSE)</f>
        <v>0</v>
      </c>
      <c r="C23" s="36"/>
      <c r="D23" s="184"/>
      <c r="E23" s="179">
        <f>VLOOKUP($B$11:$B$28,'Constr. Wage Rate Calculations'!$A$19:$Z$288,22,FALSE)</f>
        <v>0</v>
      </c>
      <c r="F23" s="184"/>
      <c r="G23" s="179">
        <f>VLOOKUP($B$11:$B$28,'Constr. Wage Rate Calculations'!$A$19:$Z$288,23,FALSE)</f>
        <v>0</v>
      </c>
      <c r="H23" s="184"/>
      <c r="I23" s="179">
        <f>VLOOKUP($B$11:$B$28,'Constr. Wage Rate Calculations'!$A$19:$Z$288,24,FALSE)</f>
        <v>0</v>
      </c>
      <c r="J23" s="20">
        <f>VLOOKUP($B$11:$B$28,'Constr. Wage Rate Calculations'!$A$19:$Z$288,25,FALSE)</f>
        <v>0</v>
      </c>
      <c r="K23" s="179" t="str">
        <f t="shared" si="0"/>
        <v/>
      </c>
    </row>
    <row r="24" spans="1:15" ht="15" customHeight="1">
      <c r="A24" s="48"/>
      <c r="B24" s="49">
        <f>VLOOKUP($C$11:$C$28,Personnel!$A$1:$B$1234,2,FALSE)</f>
        <v>0</v>
      </c>
      <c r="C24" s="36"/>
      <c r="D24" s="184"/>
      <c r="E24" s="179">
        <f>VLOOKUP($B$11:$B$28,'Constr. Wage Rate Calculations'!$A$19:$Z$288,22,FALSE)</f>
        <v>0</v>
      </c>
      <c r="F24" s="184"/>
      <c r="G24" s="179">
        <f>VLOOKUP($B$11:$B$28,'Constr. Wage Rate Calculations'!$A$19:$Z$288,23,FALSE)</f>
        <v>0</v>
      </c>
      <c r="H24" s="184"/>
      <c r="I24" s="179">
        <f>VLOOKUP($B$11:$B$28,'Constr. Wage Rate Calculations'!$A$19:$Z$288,24,FALSE)</f>
        <v>0</v>
      </c>
      <c r="J24" s="20">
        <f>VLOOKUP($B$11:$B$28,'Constr. Wage Rate Calculations'!$A$19:$Z$288,25,FALSE)</f>
        <v>0</v>
      </c>
      <c r="K24" s="179" t="str">
        <f t="shared" si="0"/>
        <v/>
      </c>
    </row>
    <row r="25" spans="1:15" ht="15" customHeight="1">
      <c r="A25" s="48"/>
      <c r="B25" s="49">
        <f>VLOOKUP($C$11:$C$28,Personnel!$A$1:$B$1234,2,FALSE)</f>
        <v>0</v>
      </c>
      <c r="C25" s="36"/>
      <c r="D25" s="184"/>
      <c r="E25" s="179">
        <f>VLOOKUP($B$11:$B$28,'Constr. Wage Rate Calculations'!$A$19:$Z$288,22,FALSE)</f>
        <v>0</v>
      </c>
      <c r="F25" s="184"/>
      <c r="G25" s="179">
        <f>VLOOKUP($B$11:$B$28,'Constr. Wage Rate Calculations'!$A$19:$Z$288,23,FALSE)</f>
        <v>0</v>
      </c>
      <c r="H25" s="184"/>
      <c r="I25" s="179">
        <f>VLOOKUP($B$11:$B$28,'Constr. Wage Rate Calculations'!$A$19:$Z$288,24,FALSE)</f>
        <v>0</v>
      </c>
      <c r="J25" s="20">
        <f>VLOOKUP($B$11:$B$28,'Constr. Wage Rate Calculations'!$A$19:$Z$288,25,FALSE)</f>
        <v>0</v>
      </c>
      <c r="K25" s="179" t="str">
        <f t="shared" si="0"/>
        <v/>
      </c>
    </row>
    <row r="26" spans="1:15" ht="15" customHeight="1">
      <c r="A26" s="48"/>
      <c r="B26" s="49">
        <f>VLOOKUP($C$11:$C$28,Personnel!$A$1:$B$1234,2,FALSE)</f>
        <v>0</v>
      </c>
      <c r="C26" s="36"/>
      <c r="D26" s="184"/>
      <c r="E26" s="179">
        <f>VLOOKUP($B$11:$B$28,'Constr. Wage Rate Calculations'!$A$19:$Z$288,22,FALSE)</f>
        <v>0</v>
      </c>
      <c r="F26" s="184"/>
      <c r="G26" s="179">
        <f>VLOOKUP($B$11:$B$28,'Constr. Wage Rate Calculations'!$A$19:$Z$288,23,FALSE)</f>
        <v>0</v>
      </c>
      <c r="H26" s="184"/>
      <c r="I26" s="179">
        <f>VLOOKUP($B$11:$B$28,'Constr. Wage Rate Calculations'!$A$19:$Z$288,24,FALSE)</f>
        <v>0</v>
      </c>
      <c r="J26" s="20">
        <f>VLOOKUP($B$11:$B$28,'Constr. Wage Rate Calculations'!$A$19:$Z$288,25,FALSE)</f>
        <v>0</v>
      </c>
      <c r="K26" s="179" t="str">
        <f t="shared" si="0"/>
        <v/>
      </c>
    </row>
    <row r="27" spans="1:15" ht="15" customHeight="1">
      <c r="A27" s="48"/>
      <c r="B27" s="49">
        <f>VLOOKUP($C$11:$C$28,Personnel!$A$1:$B$1234,2,FALSE)</f>
        <v>0</v>
      </c>
      <c r="C27" s="36"/>
      <c r="D27" s="184"/>
      <c r="E27" s="179">
        <f>VLOOKUP($B$11:$B$28,'Constr. Wage Rate Calculations'!$A$19:$Z$288,22,FALSE)</f>
        <v>0</v>
      </c>
      <c r="F27" s="184"/>
      <c r="G27" s="179">
        <f>VLOOKUP($B$11:$B$28,'Constr. Wage Rate Calculations'!$A$19:$Z$288,23,FALSE)</f>
        <v>0</v>
      </c>
      <c r="H27" s="184"/>
      <c r="I27" s="179">
        <f>VLOOKUP($B$11:$B$28,'Constr. Wage Rate Calculations'!$A$19:$Z$288,24,FALSE)</f>
        <v>0</v>
      </c>
      <c r="J27" s="20">
        <f>VLOOKUP($B$11:$B$28,'Constr. Wage Rate Calculations'!$A$19:$Z$288,25,FALSE)</f>
        <v>0</v>
      </c>
      <c r="K27" s="179" t="str">
        <f t="shared" si="0"/>
        <v/>
      </c>
    </row>
    <row r="28" spans="1:15" ht="15" customHeight="1" thickBot="1">
      <c r="A28" s="48"/>
      <c r="B28" s="49">
        <f>VLOOKUP($C$11:$C$28,Personnel!$A$1:$B$1234,2,FALSE)</f>
        <v>0</v>
      </c>
      <c r="C28" s="36"/>
      <c r="D28" s="184"/>
      <c r="E28" s="179">
        <f>VLOOKUP($B$11:$B$28,'Constr. Wage Rate Calculations'!$A$19:$Z$288,22,FALSE)</f>
        <v>0</v>
      </c>
      <c r="F28" s="184"/>
      <c r="G28" s="179">
        <f>VLOOKUP($B$11:$B$28,'Constr. Wage Rate Calculations'!$A$19:$Z$288,23,FALSE)</f>
        <v>0</v>
      </c>
      <c r="H28" s="184"/>
      <c r="I28" s="179">
        <f>VLOOKUP($B$11:$B$28,'Constr. Wage Rate Calculations'!$A$19:$Z$288,24,FALSE)</f>
        <v>0</v>
      </c>
      <c r="J28" s="20">
        <f>VLOOKUP($B$11:$B$28,'Constr. Wage Rate Calculations'!$A$19:$Z$288,25,FALSE)</f>
        <v>0</v>
      </c>
      <c r="K28" s="179" t="str">
        <f t="shared" si="0"/>
        <v/>
      </c>
      <c r="M28" s="1">
        <f>SUM(M11:M24)</f>
        <v>2</v>
      </c>
    </row>
    <row r="29" spans="1:15" ht="15" customHeight="1" thickBot="1">
      <c r="A29"/>
      <c r="B29"/>
      <c r="C29"/>
      <c r="D29" s="21"/>
      <c r="E29" s="21"/>
      <c r="F29" s="21"/>
      <c r="G29" s="21"/>
      <c r="H29" s="21"/>
      <c r="I29" s="360" t="s">
        <v>18</v>
      </c>
      <c r="J29" s="361"/>
      <c r="K29" s="183">
        <f>SUM(K11:K28)</f>
        <v>1258.1400000000001</v>
      </c>
      <c r="M29" s="1">
        <f>SUMIFS(D11:D28,D11:D28,"&lt;3",D11:D28,"&lt;5")</f>
        <v>0</v>
      </c>
      <c r="N29" s="1">
        <f>SUMIFS(D11:D28,D11:D28,"&gt;3",D11:D28,"&gt;5")</f>
        <v>8</v>
      </c>
      <c r="O29" s="1">
        <f>SUM(F11:F28,H11:H28,M29,N29)-M28</f>
        <v>12</v>
      </c>
    </row>
    <row r="30" spans="1:15" ht="10" customHeight="1" thickBot="1"/>
    <row r="31" spans="1:15" s="19" customFormat="1" ht="15" customHeight="1" thickBot="1">
      <c r="A31" s="22" t="s">
        <v>19</v>
      </c>
      <c r="B31" s="23" t="s">
        <v>20</v>
      </c>
      <c r="C31" s="23"/>
      <c r="D31" s="23"/>
      <c r="E31" s="23"/>
      <c r="F31" s="23"/>
      <c r="G31" s="23"/>
      <c r="H31" s="18" t="s">
        <v>21</v>
      </c>
      <c r="I31" s="18" t="s">
        <v>22</v>
      </c>
      <c r="J31" s="18" t="s">
        <v>23</v>
      </c>
      <c r="K31" s="18" t="s">
        <v>17</v>
      </c>
    </row>
    <row r="32" spans="1:15" ht="15" customHeight="1">
      <c r="A32" s="43"/>
      <c r="B32" s="49">
        <f>VLOOKUP($C$32:$C$136,Equipment!$A$1:$B$2322,2,FALSE)</f>
        <v>0</v>
      </c>
      <c r="C32" s="24"/>
      <c r="D32" s="24"/>
      <c r="E32" s="24"/>
      <c r="F32" s="24"/>
      <c r="G32" s="24"/>
      <c r="H32" s="185"/>
      <c r="I32" s="184"/>
      <c r="J32" s="42">
        <f>VLOOKUP($B$32:$B$136,'Alberta Equip. Rates Year 3'!$B$13:$K$314,10,FALSE)</f>
        <v>0</v>
      </c>
      <c r="K32" s="181">
        <f t="shared" ref="K32:K51" si="1">(H32+I32)*J32</f>
        <v>0</v>
      </c>
    </row>
    <row r="33" spans="1:11" ht="15" customHeight="1">
      <c r="A33" s="43"/>
      <c r="B33" s="49" t="str">
        <f>VLOOKUP($C$32:$C$136,Equipment!$A$1:$B$2322,2,FALSE)</f>
        <v>Pickup - 1/2 Ton</v>
      </c>
      <c r="C33" s="24" t="s">
        <v>2228</v>
      </c>
      <c r="D33" s="24"/>
      <c r="E33" s="24"/>
      <c r="F33" s="24"/>
      <c r="G33" s="24"/>
      <c r="H33" s="185">
        <v>1</v>
      </c>
      <c r="I33" s="184"/>
      <c r="J33" s="42">
        <f>VLOOKUP($B$32:$B$136,'Alberta Equip. Rates Year 3'!$B$13:$K$314,10,FALSE)</f>
        <v>125</v>
      </c>
      <c r="K33" s="181">
        <f t="shared" ref="K33" si="2">(H33+I33)*J33</f>
        <v>125</v>
      </c>
    </row>
    <row r="34" spans="1:11" ht="15" customHeight="1">
      <c r="A34" s="43"/>
      <c r="B34" s="49" t="str">
        <f>VLOOKUP($C$32:$C$136,Equipment!$A$1:$B$2322,2,FALSE)</f>
        <v>Pickup - 1/2 Ton</v>
      </c>
      <c r="C34" s="24" t="s">
        <v>4047</v>
      </c>
      <c r="D34" s="24"/>
      <c r="E34" s="24"/>
      <c r="F34" s="24"/>
      <c r="G34" s="24"/>
      <c r="H34" s="185">
        <v>1</v>
      </c>
      <c r="I34" s="184"/>
      <c r="J34" s="42">
        <f>VLOOKUP($B$32:$B$136,'Alberta Equip. Rates Year 3'!$B$13:$K$314,10,FALSE)</f>
        <v>125</v>
      </c>
      <c r="K34" s="181">
        <f t="shared" si="1"/>
        <v>125</v>
      </c>
    </row>
    <row r="35" spans="1:11" ht="15" customHeight="1">
      <c r="A35" s="43"/>
      <c r="B35" s="49" t="str">
        <f>VLOOKUP($C$32:$C$136,Equipment!$A$1:$B$2322,2,FALSE)</f>
        <v>Pickup - 1/2 Ton</v>
      </c>
      <c r="C35" s="24" t="s">
        <v>4046</v>
      </c>
      <c r="D35" s="24"/>
      <c r="E35" s="24"/>
      <c r="F35" s="24"/>
      <c r="G35" s="24"/>
      <c r="H35" s="185">
        <v>1</v>
      </c>
      <c r="I35" s="184"/>
      <c r="J35" s="42">
        <f>VLOOKUP($B$32:$B$136,'Alberta Equip. Rates Year 3'!$B$13:$K$314,10,FALSE)</f>
        <v>125</v>
      </c>
      <c r="K35" s="181">
        <f t="shared" si="1"/>
        <v>125</v>
      </c>
    </row>
    <row r="36" spans="1:11" ht="15" customHeight="1">
      <c r="A36" s="43"/>
      <c r="B36" s="49">
        <f>VLOOKUP($C$32:$C$136,Equipment!$A$1:$B$2322,2,FALSE)</f>
        <v>0</v>
      </c>
      <c r="C36" s="259"/>
      <c r="D36" s="24"/>
      <c r="E36" s="24"/>
      <c r="F36" s="24"/>
      <c r="G36" s="24"/>
      <c r="H36" s="185">
        <v>1</v>
      </c>
      <c r="I36" s="184"/>
      <c r="J36" s="42">
        <f>VLOOKUP($B$32:$B$136,'Alberta Equip. Rates Year 3'!$B$13:$K$314,10,FALSE)</f>
        <v>0</v>
      </c>
      <c r="K36" s="181">
        <f t="shared" si="1"/>
        <v>0</v>
      </c>
    </row>
    <row r="37" spans="1:11" ht="15" customHeight="1">
      <c r="A37" s="43"/>
      <c r="B37" s="49">
        <f>VLOOKUP($C$32:$C$136,Equipment!$A$1:$B$2322,2,FALSE)</f>
        <v>0</v>
      </c>
      <c r="C37" s="259"/>
      <c r="D37" s="24"/>
      <c r="E37" s="24"/>
      <c r="F37" s="24"/>
      <c r="G37" s="24"/>
      <c r="H37" s="185"/>
      <c r="I37" s="184"/>
      <c r="J37" s="42">
        <f>VLOOKUP($B$32:$B$136,'Alberta Equip. Rates Year 3'!$B$13:$K$314,10,FALSE)</f>
        <v>0</v>
      </c>
      <c r="K37" s="181">
        <f>(H37+I37)*J37</f>
        <v>0</v>
      </c>
    </row>
    <row r="38" spans="1:11" ht="15" customHeight="1">
      <c r="A38" s="43"/>
      <c r="B38" s="49">
        <f>VLOOKUP($C$32:$C$136,Equipment!$A$1:$B$2322,2,FALSE)</f>
        <v>0</v>
      </c>
      <c r="C38" s="24"/>
      <c r="D38" s="24"/>
      <c r="E38" s="24"/>
      <c r="F38" s="24"/>
      <c r="G38" s="24"/>
      <c r="H38" s="185"/>
      <c r="I38" s="184"/>
      <c r="J38" s="42">
        <f>VLOOKUP($B$32:$B$136,'Alberta Equip. Rates Year 3'!$B$13:$K$314,10,FALSE)</f>
        <v>0</v>
      </c>
      <c r="K38" s="181">
        <f>(H38+I38)*J38</f>
        <v>0</v>
      </c>
    </row>
    <row r="39" spans="1:11" ht="15" customHeight="1">
      <c r="A39" s="43"/>
      <c r="B39" s="49">
        <f>VLOOKUP($C$32:$C$136,Equipment!$A$1:$B$2322,2,FALSE)</f>
        <v>0</v>
      </c>
      <c r="C39" s="24"/>
      <c r="D39" s="24"/>
      <c r="E39" s="24"/>
      <c r="F39" s="24"/>
      <c r="G39" s="24"/>
      <c r="H39" s="185"/>
      <c r="I39" s="184"/>
      <c r="J39" s="42">
        <f>VLOOKUP($B$32:$B$136,'Alberta Equip. Rates Year 3'!$B$13:$K$314,10,FALSE)</f>
        <v>0</v>
      </c>
      <c r="K39" s="181">
        <f t="shared" si="1"/>
        <v>0</v>
      </c>
    </row>
    <row r="40" spans="1:11" ht="14.25" customHeight="1">
      <c r="A40" s="43"/>
      <c r="B40" s="49">
        <f>VLOOKUP($C$32:$C$136,Equipment!$A$1:$B$2322,2,FALSE)</f>
        <v>0</v>
      </c>
      <c r="C40" s="24"/>
      <c r="D40" s="24"/>
      <c r="E40" s="24"/>
      <c r="F40" s="24"/>
      <c r="G40" s="24"/>
      <c r="H40" s="185"/>
      <c r="I40" s="184"/>
      <c r="J40" s="42">
        <f>VLOOKUP($B$32:$B$136,'Alberta Equip. Rates Year 3'!$B$13:$K$314,10,FALSE)</f>
        <v>0</v>
      </c>
      <c r="K40" s="181">
        <f t="shared" ref="K40:K47" si="3">(H40+I40)*J40</f>
        <v>0</v>
      </c>
    </row>
    <row r="41" spans="1:11" ht="14.25" customHeight="1">
      <c r="A41" s="43"/>
      <c r="B41" s="49">
        <f>VLOOKUP($C$32:$C$136,Equipment!$A$1:$B$2322,2,FALSE)</f>
        <v>0</v>
      </c>
      <c r="C41" s="24"/>
      <c r="D41" s="24"/>
      <c r="E41" s="24"/>
      <c r="F41" s="24"/>
      <c r="G41" s="24"/>
      <c r="H41" s="185"/>
      <c r="I41" s="184"/>
      <c r="J41" s="42">
        <f>VLOOKUP($B$32:$B$136,'Alberta Equip. Rates Year 3'!$B$13:$K$314,10,FALSE)</f>
        <v>0</v>
      </c>
      <c r="K41" s="181">
        <f t="shared" ref="K41" si="4">(H41+I41)*J41</f>
        <v>0</v>
      </c>
    </row>
    <row r="42" spans="1:11" ht="14.25" customHeight="1">
      <c r="A42" s="43"/>
      <c r="B42" s="49">
        <f>VLOOKUP($C$32:$C$136,Equipment!$A$1:$B$2322,2,FALSE)</f>
        <v>0</v>
      </c>
      <c r="C42" s="24"/>
      <c r="D42" s="24"/>
      <c r="E42" s="24"/>
      <c r="F42" s="24"/>
      <c r="G42" s="24"/>
      <c r="H42" s="185"/>
      <c r="I42" s="184"/>
      <c r="J42" s="42">
        <f>VLOOKUP($B$32:$B$136,'Alberta Equip. Rates Year 3'!$B$13:$K$314,10,FALSE)</f>
        <v>0</v>
      </c>
      <c r="K42" s="181">
        <f t="shared" ref="K42" si="5">(H42+I42)*J42</f>
        <v>0</v>
      </c>
    </row>
    <row r="43" spans="1:11" ht="15" customHeight="1">
      <c r="A43" s="43"/>
      <c r="B43" s="49">
        <f>VLOOKUP($C$32:$C$136,Equipment!$A$1:$B$2322,2,FALSE)</f>
        <v>0</v>
      </c>
      <c r="C43" s="24"/>
      <c r="D43" s="24"/>
      <c r="E43" s="24"/>
      <c r="F43" s="24"/>
      <c r="G43" s="24"/>
      <c r="H43" s="185"/>
      <c r="I43" s="184"/>
      <c r="J43" s="42">
        <f>VLOOKUP($B$32:$B$136,'Alberta Equip. Rates Year 3'!$B$13:$K$314,10,FALSE)</f>
        <v>0</v>
      </c>
      <c r="K43" s="181">
        <f t="shared" si="3"/>
        <v>0</v>
      </c>
    </row>
    <row r="44" spans="1:11" ht="15" customHeight="1">
      <c r="A44" s="43"/>
      <c r="B44" s="49">
        <f>VLOOKUP($C$32:$C$136,Equipment!$A$1:$B$2322,2,FALSE)</f>
        <v>0</v>
      </c>
      <c r="C44" s="24"/>
      <c r="D44" s="24"/>
      <c r="E44" s="24"/>
      <c r="F44" s="24"/>
      <c r="G44" s="24"/>
      <c r="H44" s="185"/>
      <c r="I44" s="184"/>
      <c r="J44" s="42">
        <f>VLOOKUP($B$32:$B$136,'Alberta Equip. Rates Year 3'!$B$13:$K$314,10,FALSE)</f>
        <v>0</v>
      </c>
      <c r="K44" s="181">
        <f t="shared" si="3"/>
        <v>0</v>
      </c>
    </row>
    <row r="45" spans="1:11" ht="15" customHeight="1">
      <c r="A45" s="43"/>
      <c r="B45" s="49">
        <f>VLOOKUP($C$32:$C$136,Equipment!$A$1:$B$2322,2,FALSE)</f>
        <v>0</v>
      </c>
      <c r="C45" s="24"/>
      <c r="D45" s="24"/>
      <c r="E45" s="24"/>
      <c r="F45" s="24"/>
      <c r="G45" s="24"/>
      <c r="H45" s="185"/>
      <c r="I45" s="184"/>
      <c r="J45" s="42">
        <f>VLOOKUP($B$32:$B$136,'Alberta Equip. Rates Year 3'!$B$13:$K$314,10,FALSE)</f>
        <v>0</v>
      </c>
      <c r="K45" s="181">
        <f t="shared" si="3"/>
        <v>0</v>
      </c>
    </row>
    <row r="46" spans="1:11" ht="15" customHeight="1">
      <c r="A46" s="43"/>
      <c r="B46" s="49">
        <f>VLOOKUP($C$32:$C$136,Equipment!$A$1:$B$2322,2,FALSE)</f>
        <v>0</v>
      </c>
      <c r="C46" s="24"/>
      <c r="D46" s="24"/>
      <c r="E46" s="24"/>
      <c r="F46" s="24"/>
      <c r="G46" s="24"/>
      <c r="H46" s="185"/>
      <c r="I46" s="184"/>
      <c r="J46" s="42">
        <f>VLOOKUP($B$32:$B$136,'Alberta Equip. Rates Year 3'!$B$13:$K$314,10,FALSE)</f>
        <v>0</v>
      </c>
      <c r="K46" s="181">
        <f t="shared" si="3"/>
        <v>0</v>
      </c>
    </row>
    <row r="47" spans="1:11" ht="15" customHeight="1">
      <c r="A47" s="43"/>
      <c r="B47" s="49">
        <f>VLOOKUP($C$32:$C$136,Equipment!$A$1:$B$2322,2,FALSE)</f>
        <v>0</v>
      </c>
      <c r="C47" s="24"/>
      <c r="D47" s="24"/>
      <c r="E47" s="24"/>
      <c r="F47" s="24"/>
      <c r="G47" s="24"/>
      <c r="H47" s="185"/>
      <c r="I47" s="184"/>
      <c r="J47" s="42">
        <f>VLOOKUP($B$32:$B$136,'Alberta Equip. Rates Year 3'!$B$13:$K$314,10,FALSE)</f>
        <v>0</v>
      </c>
      <c r="K47" s="181">
        <f t="shared" si="3"/>
        <v>0</v>
      </c>
    </row>
    <row r="48" spans="1:11" ht="15" customHeight="1">
      <c r="A48" s="43"/>
      <c r="B48" s="49">
        <f>VLOOKUP($C$32:$C$136,Equipment!$A$1:$B$2322,2,FALSE)</f>
        <v>0</v>
      </c>
      <c r="C48" s="24"/>
      <c r="D48" s="24"/>
      <c r="E48" s="24"/>
      <c r="F48" s="24"/>
      <c r="G48" s="24"/>
      <c r="H48" s="185"/>
      <c r="I48" s="184"/>
      <c r="J48" s="42">
        <f>VLOOKUP($B$32:$B$136,'Alberta Equip. Rates Year 3'!$B$13:$K$314,10,FALSE)</f>
        <v>0</v>
      </c>
      <c r="K48" s="181">
        <f t="shared" ref="K48" si="6">(H48+I48)*J48</f>
        <v>0</v>
      </c>
    </row>
    <row r="49" spans="1:11" ht="15" customHeight="1">
      <c r="A49" s="43"/>
      <c r="B49" s="49">
        <f>VLOOKUP($C$32:$C$136,Equipment!$A$1:$B$2322,2,FALSE)</f>
        <v>0</v>
      </c>
      <c r="C49" s="24"/>
      <c r="D49" s="24"/>
      <c r="E49" s="24"/>
      <c r="F49" s="24"/>
      <c r="G49" s="24"/>
      <c r="H49" s="185"/>
      <c r="I49" s="184"/>
      <c r="J49" s="42">
        <f>VLOOKUP($B$32:$B$136,'Alberta Equip. Rates Year 3'!$B$13:$K$314,10,FALSE)</f>
        <v>0</v>
      </c>
      <c r="K49" s="181">
        <f>(H49+I49)*J49</f>
        <v>0</v>
      </c>
    </row>
    <row r="50" spans="1:11" ht="15" customHeight="1">
      <c r="A50" s="43"/>
      <c r="B50" s="49">
        <f>VLOOKUP($C$32:$C$136,Equipment!$A$1:$B$2322,2,FALSE)</f>
        <v>0</v>
      </c>
      <c r="C50" s="24"/>
      <c r="D50" s="24"/>
      <c r="E50" s="24"/>
      <c r="F50" s="24"/>
      <c r="G50" s="24"/>
      <c r="H50" s="185"/>
      <c r="I50" s="184"/>
      <c r="J50" s="42">
        <f>VLOOKUP($B$32:$B$136,'Alberta Equip. Rates Year 3'!$B$13:$K$314,10,FALSE)</f>
        <v>0</v>
      </c>
      <c r="K50" s="181">
        <f>(H50+I50)*J50</f>
        <v>0</v>
      </c>
    </row>
    <row r="51" spans="1:11" ht="15" customHeight="1">
      <c r="A51" s="43"/>
      <c r="B51" s="49">
        <f>VLOOKUP($C$32:$C$136,Equipment!$A$1:$B$2322,2,FALSE)</f>
        <v>0</v>
      </c>
      <c r="C51" s="24"/>
      <c r="D51" s="24"/>
      <c r="E51" s="24"/>
      <c r="F51" s="24"/>
      <c r="G51" s="24"/>
      <c r="H51" s="185"/>
      <c r="I51" s="184"/>
      <c r="J51" s="42">
        <f>VLOOKUP($B$32:$B$136,'Alberta Equip. Rates Year 3'!$B$13:$K$314,10,FALSE)</f>
        <v>0</v>
      </c>
      <c r="K51" s="181">
        <f t="shared" si="1"/>
        <v>0</v>
      </c>
    </row>
    <row r="52" spans="1:11" ht="15" customHeight="1">
      <c r="A52" s="43"/>
      <c r="B52" s="49">
        <f>VLOOKUP($C$32:$C$136,Equipment!$A$1:$B$2322,2,FALSE)</f>
        <v>0</v>
      </c>
      <c r="C52" s="24"/>
      <c r="D52" s="24"/>
      <c r="E52" s="24"/>
      <c r="F52" s="24"/>
      <c r="G52" s="24"/>
      <c r="H52" s="185"/>
      <c r="I52" s="184"/>
      <c r="J52" s="42">
        <f>VLOOKUP($B$32:$B$136,'Alberta Equip. Rates Year 3'!$B$13:$K$314,10,FALSE)</f>
        <v>0</v>
      </c>
      <c r="K52" s="181">
        <f t="shared" ref="K52" si="7">(H52+I52)*J52</f>
        <v>0</v>
      </c>
    </row>
    <row r="53" spans="1:11" ht="15" customHeight="1">
      <c r="A53" s="43"/>
      <c r="B53" s="49">
        <f>VLOOKUP($C$32:$C$136,Equipment!$A$1:$B$2322,2,FALSE)</f>
        <v>0</v>
      </c>
      <c r="C53" s="24"/>
      <c r="D53" s="24"/>
      <c r="E53" s="24"/>
      <c r="F53" s="24"/>
      <c r="G53" s="24"/>
      <c r="H53" s="185"/>
      <c r="I53" s="184"/>
      <c r="J53" s="42">
        <f>VLOOKUP($B$32:$B$136,'Alberta Equip. Rates Year 3'!$B$13:$K$314,10,FALSE)</f>
        <v>0</v>
      </c>
      <c r="K53" s="181">
        <f t="shared" ref="K53" si="8">(H53+I53)*J53</f>
        <v>0</v>
      </c>
    </row>
    <row r="54" spans="1:11" ht="15" customHeight="1">
      <c r="A54" s="43"/>
      <c r="B54" s="49">
        <f>VLOOKUP($C$32:$C$136,Equipment!$A$1:$B$2322,2,FALSE)</f>
        <v>0</v>
      </c>
      <c r="C54" s="24"/>
      <c r="D54" s="24"/>
      <c r="E54" s="24"/>
      <c r="F54" s="24"/>
      <c r="G54" s="24"/>
      <c r="H54" s="185"/>
      <c r="I54" s="184"/>
      <c r="J54" s="42">
        <f>VLOOKUP($B$32:$B$136,'Alberta Equip. Rates Year 3'!$B$13:$K$314,10,FALSE)</f>
        <v>0</v>
      </c>
      <c r="K54" s="181">
        <f t="shared" ref="K54:K61" si="9">(H54+I54)*J54</f>
        <v>0</v>
      </c>
    </row>
    <row r="55" spans="1:11" ht="15" customHeight="1">
      <c r="A55" s="43"/>
      <c r="B55" s="49">
        <f>VLOOKUP($C$32:$C$136,Equipment!$A$1:$B$2322,2,FALSE)</f>
        <v>0</v>
      </c>
      <c r="C55" s="24"/>
      <c r="D55" s="24"/>
      <c r="E55" s="24"/>
      <c r="F55" s="24"/>
      <c r="G55" s="24"/>
      <c r="H55" s="185"/>
      <c r="I55" s="184"/>
      <c r="J55" s="42">
        <f>VLOOKUP($B$32:$B$136,'Alberta Equip. Rates Year 3'!$B$13:$K$314,10,FALSE)</f>
        <v>0</v>
      </c>
      <c r="K55" s="181">
        <f t="shared" si="9"/>
        <v>0</v>
      </c>
    </row>
    <row r="56" spans="1:11" ht="15" customHeight="1">
      <c r="A56" s="43"/>
      <c r="B56" s="49">
        <f>VLOOKUP($C$32:$C$136,Equipment!$A$1:$B$2322,2,FALSE)</f>
        <v>0</v>
      </c>
      <c r="C56" s="24"/>
      <c r="D56" s="24"/>
      <c r="E56" s="24"/>
      <c r="F56" s="24"/>
      <c r="G56" s="24"/>
      <c r="H56" s="185"/>
      <c r="I56" s="184"/>
      <c r="J56" s="42">
        <f>VLOOKUP($B$32:$B$136,'Alberta Equip. Rates Year 3'!$B$13:$K$314,10,FALSE)</f>
        <v>0</v>
      </c>
      <c r="K56" s="181">
        <f t="shared" si="9"/>
        <v>0</v>
      </c>
    </row>
    <row r="57" spans="1:11" ht="15" customHeight="1">
      <c r="A57" s="43"/>
      <c r="B57" s="49">
        <f>VLOOKUP($C$32:$C$136,Equipment!$A$1:$B$2322,2,FALSE)</f>
        <v>0</v>
      </c>
      <c r="C57" s="24"/>
      <c r="D57" s="24"/>
      <c r="E57" s="24"/>
      <c r="F57" s="24"/>
      <c r="G57" s="24"/>
      <c r="H57" s="185"/>
      <c r="I57" s="184"/>
      <c r="J57" s="42">
        <f>VLOOKUP($B$32:$B$136,'Alberta Equip. Rates Year 3'!$B$13:$K$314,10,FALSE)</f>
        <v>0</v>
      </c>
      <c r="K57" s="181">
        <f t="shared" si="9"/>
        <v>0</v>
      </c>
    </row>
    <row r="58" spans="1:11" ht="15" customHeight="1">
      <c r="A58" s="43"/>
      <c r="B58" s="49">
        <f>VLOOKUP($C$32:$C$136,Equipment!$A$1:$B$2322,2,FALSE)</f>
        <v>0</v>
      </c>
      <c r="C58" s="24"/>
      <c r="D58" s="24"/>
      <c r="E58" s="24"/>
      <c r="F58" s="24"/>
      <c r="G58" s="24"/>
      <c r="H58" s="185"/>
      <c r="I58" s="184"/>
      <c r="J58" s="42">
        <f>VLOOKUP($B$32:$B$136,'Alberta Equip. Rates Year 3'!$B$13:$K$314,10,FALSE)</f>
        <v>0</v>
      </c>
      <c r="K58" s="181">
        <f t="shared" si="9"/>
        <v>0</v>
      </c>
    </row>
    <row r="59" spans="1:11" ht="15" customHeight="1">
      <c r="A59" s="43"/>
      <c r="B59" s="49">
        <f>VLOOKUP($C$32:$C$136,Equipment!$A$1:$B$2322,2,FALSE)</f>
        <v>0</v>
      </c>
      <c r="C59" s="24"/>
      <c r="D59" s="24"/>
      <c r="E59" s="24"/>
      <c r="F59" s="24"/>
      <c r="G59" s="24"/>
      <c r="H59" s="185"/>
      <c r="I59" s="184"/>
      <c r="J59" s="42">
        <f>VLOOKUP($B$32:$B$136,'Alberta Equip. Rates Year 3'!$B$13:$K$314,10,FALSE)</f>
        <v>0</v>
      </c>
      <c r="K59" s="181">
        <f t="shared" si="9"/>
        <v>0</v>
      </c>
    </row>
    <row r="60" spans="1:11" ht="15" customHeight="1">
      <c r="A60" s="43"/>
      <c r="B60" s="49">
        <f>VLOOKUP($C$32:$C$136,Equipment!$A$1:$B$2322,2,FALSE)</f>
        <v>0</v>
      </c>
      <c r="C60" s="24"/>
      <c r="D60" s="24"/>
      <c r="E60" s="24"/>
      <c r="F60" s="24"/>
      <c r="G60" s="24"/>
      <c r="H60" s="185"/>
      <c r="I60" s="184"/>
      <c r="J60" s="42">
        <f>VLOOKUP($B$32:$B$136,'Alberta Equip. Rates Year 3'!$B$13:$K$314,10,FALSE)</f>
        <v>0</v>
      </c>
      <c r="K60" s="181">
        <f t="shared" si="9"/>
        <v>0</v>
      </c>
    </row>
    <row r="61" spans="1:11" ht="15" customHeight="1">
      <c r="A61" s="43"/>
      <c r="B61" s="49">
        <f>VLOOKUP($C$32:$C$136,Equipment!$A$1:$B$2322,2,FALSE)</f>
        <v>0</v>
      </c>
      <c r="C61" s="24"/>
      <c r="D61" s="24"/>
      <c r="E61" s="24"/>
      <c r="F61" s="24"/>
      <c r="G61" s="24"/>
      <c r="H61" s="185"/>
      <c r="I61" s="184"/>
      <c r="J61" s="42">
        <f>VLOOKUP($B$32:$B$136,'Alberta Equip. Rates Year 3'!$B$13:$K$314,10,FALSE)</f>
        <v>0</v>
      </c>
      <c r="K61" s="181">
        <f t="shared" si="9"/>
        <v>0</v>
      </c>
    </row>
    <row r="62" spans="1:11" ht="15" customHeight="1">
      <c r="A62" s="43"/>
      <c r="B62" s="49">
        <f>VLOOKUP($C$32:$C$136,Equipment!$A$1:$B$2322,2,FALSE)</f>
        <v>0</v>
      </c>
      <c r="C62" s="24"/>
      <c r="D62" s="24"/>
      <c r="E62" s="24"/>
      <c r="F62" s="24"/>
      <c r="G62" s="24"/>
      <c r="H62" s="185"/>
      <c r="I62" s="184"/>
      <c r="J62" s="42">
        <f>VLOOKUP($B$32:$B$136,'Alberta Equip. Rates Year 3'!$B$13:$K$314,10,FALSE)</f>
        <v>0</v>
      </c>
      <c r="K62" s="181">
        <f t="shared" ref="K62" si="10">(H62+I62)*J62</f>
        <v>0</v>
      </c>
    </row>
    <row r="63" spans="1:11" ht="15" customHeight="1">
      <c r="A63" s="43"/>
      <c r="B63" s="49">
        <f>VLOOKUP($C$32:$C$136,Equipment!$A$1:$B$2322,2,FALSE)</f>
        <v>0</v>
      </c>
      <c r="C63" s="24"/>
      <c r="D63" s="24"/>
      <c r="E63" s="24"/>
      <c r="F63" s="24"/>
      <c r="G63" s="24"/>
      <c r="H63" s="185"/>
      <c r="I63" s="184"/>
      <c r="J63" s="42">
        <f>VLOOKUP($B$32:$B$136,'Alberta Equip. Rates Year 3'!$B$13:$K$314,10,FALSE)</f>
        <v>0</v>
      </c>
      <c r="K63" s="181">
        <f>(H63+I63)*J63</f>
        <v>0</v>
      </c>
    </row>
    <row r="64" spans="1:11" ht="15" customHeight="1">
      <c r="A64" s="43"/>
      <c r="B64" s="49">
        <f>VLOOKUP($C$32:$C$136,Equipment!$A$1:$B$2322,2,FALSE)</f>
        <v>0</v>
      </c>
      <c r="C64" s="24"/>
      <c r="D64" s="24"/>
      <c r="E64" s="24"/>
      <c r="F64" s="24"/>
      <c r="G64" s="24"/>
      <c r="H64" s="185"/>
      <c r="I64" s="184"/>
      <c r="J64" s="42">
        <f>VLOOKUP($B$32:$B$136,'Alberta Equip. Rates Year 3'!$B$13:$K$314,10,FALSE)</f>
        <v>0</v>
      </c>
      <c r="K64" s="181">
        <f>(H64+I64)*J64</f>
        <v>0</v>
      </c>
    </row>
    <row r="65" spans="1:11" ht="15" customHeight="1">
      <c r="A65" s="43"/>
      <c r="B65" s="49">
        <f>VLOOKUP($C$32:$C$136,Equipment!$A$1:$B$2322,2,FALSE)</f>
        <v>0</v>
      </c>
      <c r="C65" s="24"/>
      <c r="D65" s="24"/>
      <c r="E65" s="24"/>
      <c r="F65" s="24"/>
      <c r="G65" s="24"/>
      <c r="H65" s="185"/>
      <c r="I65" s="184"/>
      <c r="J65" s="42">
        <f>VLOOKUP($B$32:$B$136,'Alberta Equip. Rates Year 3'!$B$13:$K$314,10,FALSE)</f>
        <v>0</v>
      </c>
      <c r="K65" s="181">
        <f t="shared" ref="K65" si="11">(H65+I65)*J65</f>
        <v>0</v>
      </c>
    </row>
    <row r="66" spans="1:11" ht="15" customHeight="1">
      <c r="A66" s="43"/>
      <c r="B66" s="49">
        <f>VLOOKUP($C$32:$C$136,Equipment!$A$1:$B$2322,2,FALSE)</f>
        <v>0</v>
      </c>
      <c r="C66" s="24"/>
      <c r="D66" s="24"/>
      <c r="E66" s="24"/>
      <c r="F66" s="24"/>
      <c r="G66" s="24"/>
      <c r="H66" s="185"/>
      <c r="I66" s="184"/>
      <c r="J66" s="42">
        <f>VLOOKUP($B$32:$B$136,'Alberta Equip. Rates Year 3'!$B$13:$K$314,10,FALSE)</f>
        <v>0</v>
      </c>
      <c r="K66" s="181">
        <f t="shared" ref="K66" si="12">(H66+I66)*J66</f>
        <v>0</v>
      </c>
    </row>
    <row r="67" spans="1:11" ht="15" customHeight="1">
      <c r="A67" s="43"/>
      <c r="B67" s="49">
        <f>VLOOKUP($C$32:$C$136,Equipment!$A$1:$B$2322,2,FALSE)</f>
        <v>0</v>
      </c>
      <c r="C67" s="24"/>
      <c r="D67" s="24"/>
      <c r="E67" s="24"/>
      <c r="F67" s="24"/>
      <c r="G67" s="24"/>
      <c r="H67" s="185"/>
      <c r="I67" s="184"/>
      <c r="J67" s="42">
        <f>VLOOKUP($B$32:$B$136,'Alberta Equip. Rates Year 3'!$B$13:$K$314,10,FALSE)</f>
        <v>0</v>
      </c>
      <c r="K67" s="181">
        <f t="shared" ref="K67" si="13">(H67+I67)*J67</f>
        <v>0</v>
      </c>
    </row>
    <row r="68" spans="1:11" ht="15" customHeight="1">
      <c r="A68" s="43"/>
      <c r="B68" s="49">
        <f>VLOOKUP($C$32:$C$136,Equipment!$A$1:$B$2322,2,FALSE)</f>
        <v>0</v>
      </c>
      <c r="C68" s="24"/>
      <c r="D68" s="24"/>
      <c r="E68" s="24"/>
      <c r="F68" s="24"/>
      <c r="G68" s="24"/>
      <c r="H68" s="185"/>
      <c r="I68" s="184"/>
      <c r="J68" s="42">
        <f>VLOOKUP($B$32:$B$136,'Alberta Equip. Rates Year 3'!$B$13:$K$314,10,FALSE)</f>
        <v>0</v>
      </c>
      <c r="K68" s="181">
        <f>(H68+I68)*J68</f>
        <v>0</v>
      </c>
    </row>
    <row r="69" spans="1:11" ht="15" customHeight="1">
      <c r="A69" s="43"/>
      <c r="B69" s="49">
        <f>VLOOKUP($C$32:$C$136,Equipment!$A$1:$B$2322,2,FALSE)</f>
        <v>0</v>
      </c>
      <c r="C69" s="24"/>
      <c r="D69" s="24"/>
      <c r="E69" s="24"/>
      <c r="F69" s="24"/>
      <c r="G69" s="24"/>
      <c r="H69" s="185"/>
      <c r="I69" s="184"/>
      <c r="J69" s="42">
        <f>VLOOKUP($B$32:$B$136,'Alberta Equip. Rates Year 3'!$B$13:$K$314,10,FALSE)</f>
        <v>0</v>
      </c>
      <c r="K69" s="181">
        <f t="shared" ref="K69:K71" si="14">(H69+I69)*J69</f>
        <v>0</v>
      </c>
    </row>
    <row r="70" spans="1:11" ht="15" customHeight="1">
      <c r="A70" s="43"/>
      <c r="B70" s="49">
        <f>VLOOKUP($C$32:$C$136,Equipment!$A$1:$B$2322,2,FALSE)</f>
        <v>0</v>
      </c>
      <c r="C70" s="24"/>
      <c r="D70" s="24"/>
      <c r="E70" s="24"/>
      <c r="F70" s="24"/>
      <c r="G70" s="24"/>
      <c r="H70" s="185"/>
      <c r="I70" s="184"/>
      <c r="J70" s="42">
        <f>VLOOKUP($B$32:$B$136,'Alberta Equip. Rates Year 3'!$B$13:$K$314,10,FALSE)</f>
        <v>0</v>
      </c>
      <c r="K70" s="181">
        <f t="shared" si="14"/>
        <v>0</v>
      </c>
    </row>
    <row r="71" spans="1:11" ht="15" customHeight="1">
      <c r="A71" s="43"/>
      <c r="B71" s="49">
        <f>VLOOKUP($C$32:$C$136,Equipment!$A$1:$B$2322,2,FALSE)</f>
        <v>0</v>
      </c>
      <c r="C71" s="24"/>
      <c r="D71" s="24"/>
      <c r="E71" s="24"/>
      <c r="F71" s="24"/>
      <c r="G71" s="24"/>
      <c r="H71" s="185"/>
      <c r="I71" s="184"/>
      <c r="J71" s="42">
        <f>VLOOKUP($B$32:$B$136,'Alberta Equip. Rates Year 3'!$B$13:$K$314,10,FALSE)</f>
        <v>0</v>
      </c>
      <c r="K71" s="181">
        <f t="shared" si="14"/>
        <v>0</v>
      </c>
    </row>
    <row r="72" spans="1:11" ht="15" customHeight="1">
      <c r="A72" s="43"/>
      <c r="B72" s="49">
        <f>VLOOKUP($C$32:$C$136,Equipment!$A$1:$B$2322,2,FALSE)</f>
        <v>0</v>
      </c>
      <c r="C72" s="24"/>
      <c r="D72" s="24"/>
      <c r="E72" s="24"/>
      <c r="F72" s="24"/>
      <c r="G72" s="24"/>
      <c r="H72" s="185"/>
      <c r="I72" s="184"/>
      <c r="J72" s="42">
        <f>VLOOKUP($B$32:$B$136,'Alberta Equip. Rates Year 3'!$B$13:$K$314,10,FALSE)</f>
        <v>0</v>
      </c>
      <c r="K72" s="181">
        <f t="shared" ref="K72:K73" si="15">(H72+I72)*J72</f>
        <v>0</v>
      </c>
    </row>
    <row r="73" spans="1:11" ht="15" customHeight="1">
      <c r="A73" s="43"/>
      <c r="B73" s="49">
        <f>VLOOKUP($C$32:$C$136,Equipment!$A$1:$B$2322,2,FALSE)</f>
        <v>0</v>
      </c>
      <c r="C73" s="24"/>
      <c r="D73" s="24"/>
      <c r="E73" s="24"/>
      <c r="F73" s="24"/>
      <c r="G73" s="24"/>
      <c r="H73" s="185"/>
      <c r="I73" s="184"/>
      <c r="J73" s="42">
        <f>VLOOKUP($B$32:$B$136,'Alberta Equip. Rates Year 3'!$B$13:$K$314,10,FALSE)</f>
        <v>0</v>
      </c>
      <c r="K73" s="181">
        <f t="shared" si="15"/>
        <v>0</v>
      </c>
    </row>
    <row r="74" spans="1:11" ht="15" customHeight="1">
      <c r="A74" s="43"/>
      <c r="B74" s="49">
        <f>VLOOKUP($C$32:$C$136,Equipment!$A$1:$B$2322,2,FALSE)</f>
        <v>0</v>
      </c>
      <c r="C74" s="24"/>
      <c r="D74" s="24"/>
      <c r="E74" s="24"/>
      <c r="F74" s="24"/>
      <c r="G74" s="24"/>
      <c r="H74" s="185"/>
      <c r="I74" s="184"/>
      <c r="J74" s="42">
        <f>VLOOKUP($B$32:$B$136,'Alberta Equip. Rates Year 3'!$B$13:$K$314,10,FALSE)</f>
        <v>0</v>
      </c>
      <c r="K74" s="181">
        <f t="shared" ref="K74" si="16">(H74+I74)*J74</f>
        <v>0</v>
      </c>
    </row>
    <row r="75" spans="1:11" ht="15" customHeight="1">
      <c r="A75" s="43"/>
      <c r="B75" s="49">
        <f>VLOOKUP($C$32:$C$136,Equipment!$A$1:$B$2322,2,FALSE)</f>
        <v>0</v>
      </c>
      <c r="C75" s="24"/>
      <c r="D75" s="24"/>
      <c r="E75" s="24"/>
      <c r="F75" s="24"/>
      <c r="G75" s="24"/>
      <c r="H75" s="185"/>
      <c r="I75" s="184"/>
      <c r="J75" s="42">
        <f>VLOOKUP($B$32:$B$136,'Alberta Equip. Rates Year 3'!$B$13:$K$314,10,FALSE)</f>
        <v>0</v>
      </c>
      <c r="K75" s="181">
        <f t="shared" ref="K75:K81" si="17">(H75+I75)*J75</f>
        <v>0</v>
      </c>
    </row>
    <row r="76" spans="1:11" ht="15" customHeight="1">
      <c r="A76" s="43"/>
      <c r="B76" s="49">
        <f>VLOOKUP($C$32:$C$136,Equipment!$A$1:$B$2322,2,FALSE)</f>
        <v>0</v>
      </c>
      <c r="C76" s="24"/>
      <c r="D76" s="24"/>
      <c r="E76" s="24"/>
      <c r="F76" s="24"/>
      <c r="G76" s="24"/>
      <c r="H76" s="185"/>
      <c r="I76" s="184"/>
      <c r="J76" s="42">
        <f>VLOOKUP($B$32:$B$136,'Alberta Equip. Rates Year 3'!$B$13:$K$314,10,FALSE)</f>
        <v>0</v>
      </c>
      <c r="K76" s="181">
        <f t="shared" si="17"/>
        <v>0</v>
      </c>
    </row>
    <row r="77" spans="1:11" ht="15" customHeight="1">
      <c r="A77" s="43"/>
      <c r="B77" s="49">
        <f>VLOOKUP($C$32:$C$136,Equipment!$A$1:$B$2322,2,FALSE)</f>
        <v>0</v>
      </c>
      <c r="C77" s="24"/>
      <c r="D77" s="24"/>
      <c r="E77" s="24"/>
      <c r="F77" s="24"/>
      <c r="G77" s="24"/>
      <c r="H77" s="185"/>
      <c r="I77" s="184"/>
      <c r="J77" s="42">
        <f>VLOOKUP($B$32:$B$136,'Alberta Equip. Rates Year 3'!$B$13:$K$314,10,FALSE)</f>
        <v>0</v>
      </c>
      <c r="K77" s="181">
        <f t="shared" si="17"/>
        <v>0</v>
      </c>
    </row>
    <row r="78" spans="1:11" ht="15" customHeight="1">
      <c r="A78" s="43"/>
      <c r="B78" s="49">
        <f>VLOOKUP($C$32:$C$136,Equipment!$A$1:$B$2322,2,FALSE)</f>
        <v>0</v>
      </c>
      <c r="C78" s="24"/>
      <c r="D78" s="24"/>
      <c r="E78" s="24"/>
      <c r="F78" s="24"/>
      <c r="G78" s="24"/>
      <c r="H78" s="185"/>
      <c r="I78" s="184"/>
      <c r="J78" s="42">
        <f>VLOOKUP($B$32:$B$136,'Alberta Equip. Rates Year 3'!$B$13:$K$314,10,FALSE)</f>
        <v>0</v>
      </c>
      <c r="K78" s="181">
        <f t="shared" si="17"/>
        <v>0</v>
      </c>
    </row>
    <row r="79" spans="1:11" ht="15" customHeight="1">
      <c r="A79" s="43"/>
      <c r="B79" s="49">
        <f>VLOOKUP($C$32:$C$136,Equipment!$A$1:$B$2322,2,FALSE)</f>
        <v>0</v>
      </c>
      <c r="C79" s="24"/>
      <c r="D79" s="24"/>
      <c r="E79" s="24"/>
      <c r="F79" s="24"/>
      <c r="G79" s="24"/>
      <c r="H79" s="185"/>
      <c r="I79" s="184"/>
      <c r="J79" s="42">
        <f>VLOOKUP($B$32:$B$136,'Alberta Equip. Rates Year 3'!$B$13:$K$314,10,FALSE)</f>
        <v>0</v>
      </c>
      <c r="K79" s="181">
        <f t="shared" si="17"/>
        <v>0</v>
      </c>
    </row>
    <row r="80" spans="1:11" ht="15" customHeight="1">
      <c r="A80" s="43"/>
      <c r="B80" s="49">
        <f>VLOOKUP($C$32:$C$136,Equipment!$A$1:$B$2322,2,FALSE)</f>
        <v>0</v>
      </c>
      <c r="C80" s="24"/>
      <c r="D80" s="24"/>
      <c r="E80" s="24"/>
      <c r="F80" s="24"/>
      <c r="G80" s="24"/>
      <c r="H80" s="185"/>
      <c r="I80" s="184"/>
      <c r="J80" s="42">
        <f>VLOOKUP($B$32:$B$136,'Alberta Equip. Rates Year 3'!$B$13:$K$314,10,FALSE)</f>
        <v>0</v>
      </c>
      <c r="K80" s="181">
        <f t="shared" si="17"/>
        <v>0</v>
      </c>
    </row>
    <row r="81" spans="1:11" ht="15" customHeight="1">
      <c r="A81" s="43"/>
      <c r="B81" s="49">
        <f>VLOOKUP($C$32:$C$136,Equipment!$A$1:$B$2322,2,FALSE)</f>
        <v>0</v>
      </c>
      <c r="C81" s="24"/>
      <c r="D81" s="24"/>
      <c r="E81" s="24"/>
      <c r="F81" s="24"/>
      <c r="G81" s="24"/>
      <c r="H81" s="185"/>
      <c r="I81" s="184"/>
      <c r="J81" s="42">
        <f>VLOOKUP($B$32:$B$136,'Alberta Equip. Rates Year 3'!$B$13:$K$314,10,FALSE)</f>
        <v>0</v>
      </c>
      <c r="K81" s="181">
        <f t="shared" si="17"/>
        <v>0</v>
      </c>
    </row>
    <row r="82" spans="1:11" ht="15" customHeight="1">
      <c r="A82" s="43"/>
      <c r="B82" s="49">
        <f>VLOOKUP($C$32:$C$136,Equipment!$A$1:$B$2322,2,FALSE)</f>
        <v>0</v>
      </c>
      <c r="C82" s="24"/>
      <c r="D82" s="24"/>
      <c r="E82" s="24"/>
      <c r="F82" s="24"/>
      <c r="G82" s="24"/>
      <c r="H82" s="185"/>
      <c r="I82" s="184"/>
      <c r="J82" s="42">
        <f>VLOOKUP($B$32:$B$136,'Alberta Equip. Rates Year 3'!$B$13:$K$314,10,FALSE)</f>
        <v>0</v>
      </c>
      <c r="K82" s="181">
        <f t="shared" ref="K82:K83" si="18">(H82+I82)*J82</f>
        <v>0</v>
      </c>
    </row>
    <row r="83" spans="1:11" ht="15" customHeight="1">
      <c r="A83" s="43"/>
      <c r="B83" s="49">
        <f>VLOOKUP($C$32:$C$136,Equipment!$A$1:$B$2322,2,FALSE)</f>
        <v>0</v>
      </c>
      <c r="C83" s="24"/>
      <c r="D83" s="24"/>
      <c r="E83" s="24"/>
      <c r="F83" s="24"/>
      <c r="G83" s="24"/>
      <c r="H83" s="185"/>
      <c r="I83" s="184"/>
      <c r="J83" s="42">
        <f>VLOOKUP($B$32:$B$136,'Alberta Equip. Rates Year 3'!$B$13:$K$314,10,FALSE)</f>
        <v>0</v>
      </c>
      <c r="K83" s="181">
        <f t="shared" si="18"/>
        <v>0</v>
      </c>
    </row>
    <row r="84" spans="1:11" ht="15" customHeight="1">
      <c r="A84" s="43"/>
      <c r="B84" s="49">
        <f>VLOOKUP($C$32:$C$136,Equipment!$A$1:$B$2322,2,FALSE)</f>
        <v>0</v>
      </c>
      <c r="C84" s="24"/>
      <c r="D84" s="24"/>
      <c r="E84" s="24"/>
      <c r="F84" s="24"/>
      <c r="G84" s="24"/>
      <c r="H84" s="185"/>
      <c r="I84" s="184"/>
      <c r="J84" s="42">
        <f>VLOOKUP($B$32:$B$136,'Alberta Equip. Rates Year 3'!$B$13:$K$314,10,FALSE)</f>
        <v>0</v>
      </c>
      <c r="K84" s="181">
        <f t="shared" ref="K84" si="19">(H84+I84)*J84</f>
        <v>0</v>
      </c>
    </row>
    <row r="85" spans="1:11" ht="15" customHeight="1">
      <c r="A85" s="43"/>
      <c r="B85" s="49">
        <f>VLOOKUP($C$32:$C$136,Equipment!$A$1:$B$2322,2,FALSE)</f>
        <v>0</v>
      </c>
      <c r="C85" s="24"/>
      <c r="D85" s="24"/>
      <c r="E85" s="24"/>
      <c r="F85" s="24"/>
      <c r="G85" s="24"/>
      <c r="H85" s="185"/>
      <c r="I85" s="184"/>
      <c r="J85" s="42">
        <f>VLOOKUP($B$32:$B$136,'Alberta Equip. Rates Year 3'!$B$13:$K$314,10,FALSE)</f>
        <v>0</v>
      </c>
      <c r="K85" s="181">
        <f t="shared" ref="K85:K136" si="20">(H85+I85)*J85</f>
        <v>0</v>
      </c>
    </row>
    <row r="86" spans="1:11" ht="15" customHeight="1">
      <c r="A86" s="43"/>
      <c r="B86" s="49">
        <f>VLOOKUP($C$32:$C$136,Equipment!$A$1:$B$2322,2,FALSE)</f>
        <v>0</v>
      </c>
      <c r="C86" s="24"/>
      <c r="D86" s="24"/>
      <c r="E86" s="24"/>
      <c r="F86" s="24"/>
      <c r="G86" s="24"/>
      <c r="H86" s="185"/>
      <c r="I86" s="184"/>
      <c r="J86" s="42">
        <f>VLOOKUP($B$32:$B$136,'Alberta Equip. Rates Year 3'!$B$13:$K$314,10,FALSE)</f>
        <v>0</v>
      </c>
      <c r="K86" s="181">
        <f t="shared" ref="K86" si="21">(H86+I86)*J86</f>
        <v>0</v>
      </c>
    </row>
    <row r="87" spans="1:11" ht="15" customHeight="1">
      <c r="A87" s="43"/>
      <c r="B87" s="49">
        <f>VLOOKUP($C$32:$C$136,Equipment!$A$1:$B$2322,2,FALSE)</f>
        <v>0</v>
      </c>
      <c r="C87" s="24"/>
      <c r="D87" s="24"/>
      <c r="E87" s="24"/>
      <c r="F87" s="24"/>
      <c r="G87" s="24"/>
      <c r="H87" s="185"/>
      <c r="I87" s="184"/>
      <c r="J87" s="42">
        <f>VLOOKUP($B$32:$B$136,'Alberta Equip. Rates Year 3'!$B$13:$K$314,10,FALSE)</f>
        <v>0</v>
      </c>
      <c r="K87" s="181">
        <f t="shared" si="20"/>
        <v>0</v>
      </c>
    </row>
    <row r="88" spans="1:11" ht="15" customHeight="1">
      <c r="A88" s="43"/>
      <c r="B88" s="49">
        <f>VLOOKUP($C$32:$C$136,Equipment!$A$1:$B$2322,2,FALSE)</f>
        <v>0</v>
      </c>
      <c r="C88" s="24"/>
      <c r="D88" s="24"/>
      <c r="E88" s="24"/>
      <c r="F88" s="24"/>
      <c r="G88" s="24"/>
      <c r="H88" s="185"/>
      <c r="I88" s="184"/>
      <c r="J88" s="42">
        <f>VLOOKUP($B$32:$B$136,'Alberta Equip. Rates Year 3'!$B$13:$K$314,10,FALSE)</f>
        <v>0</v>
      </c>
      <c r="K88" s="181">
        <f t="shared" ref="K88" si="22">(H88+I88)*J88</f>
        <v>0</v>
      </c>
    </row>
    <row r="89" spans="1:11" ht="15" customHeight="1">
      <c r="A89" s="43"/>
      <c r="B89" s="49">
        <f>VLOOKUP($C$32:$C$136,Equipment!$A$1:$B$2322,2,FALSE)</f>
        <v>0</v>
      </c>
      <c r="C89" s="24"/>
      <c r="D89" s="24"/>
      <c r="E89" s="24"/>
      <c r="F89" s="24"/>
      <c r="G89" s="24"/>
      <c r="H89" s="185"/>
      <c r="I89" s="184"/>
      <c r="J89" s="42">
        <f>VLOOKUP($B$32:$B$136,'Alberta Equip. Rates Year 3'!$B$13:$K$314,10,FALSE)</f>
        <v>0</v>
      </c>
      <c r="K89" s="181">
        <f t="shared" si="20"/>
        <v>0</v>
      </c>
    </row>
    <row r="90" spans="1:11" ht="15" customHeight="1">
      <c r="A90" s="43"/>
      <c r="B90" s="49">
        <f>VLOOKUP($C$32:$C$136,Equipment!$A$1:$B$2322,2,FALSE)</f>
        <v>0</v>
      </c>
      <c r="C90" s="24"/>
      <c r="D90" s="24"/>
      <c r="E90" s="24"/>
      <c r="F90" s="24"/>
      <c r="G90" s="24"/>
      <c r="H90" s="185"/>
      <c r="I90" s="184"/>
      <c r="J90" s="42">
        <f>VLOOKUP($B$32:$B$136,'Alberta Equip. Rates Year 3'!$B$13:$K$314,10,FALSE)</f>
        <v>0</v>
      </c>
      <c r="K90" s="181">
        <f t="shared" si="20"/>
        <v>0</v>
      </c>
    </row>
    <row r="91" spans="1:11" ht="15" customHeight="1">
      <c r="A91" s="43"/>
      <c r="B91" s="49">
        <f>VLOOKUP($C$32:$C$136,Equipment!$A$1:$B$2322,2,FALSE)</f>
        <v>0</v>
      </c>
      <c r="C91" s="24"/>
      <c r="D91" s="24"/>
      <c r="E91" s="24"/>
      <c r="F91" s="24"/>
      <c r="G91" s="24"/>
      <c r="H91" s="185"/>
      <c r="I91" s="184"/>
      <c r="J91" s="42">
        <f>VLOOKUP($B$32:$B$136,'Alberta Equip. Rates Year 3'!$B$13:$K$314,10,FALSE)</f>
        <v>0</v>
      </c>
      <c r="K91" s="181">
        <f t="shared" si="20"/>
        <v>0</v>
      </c>
    </row>
    <row r="92" spans="1:11" ht="15" customHeight="1">
      <c r="A92" s="43"/>
      <c r="B92" s="49">
        <f>VLOOKUP($C$32:$C$136,Equipment!$A$1:$B$2322,2,FALSE)</f>
        <v>0</v>
      </c>
      <c r="C92" s="24"/>
      <c r="D92" s="24"/>
      <c r="E92" s="24"/>
      <c r="F92" s="24"/>
      <c r="G92" s="24"/>
      <c r="H92" s="185"/>
      <c r="I92" s="184"/>
      <c r="J92" s="42">
        <f>VLOOKUP($B$32:$B$136,'Alberta Equip. Rates Year 3'!$B$13:$K$314,10,FALSE)</f>
        <v>0</v>
      </c>
      <c r="K92" s="181">
        <f t="shared" si="20"/>
        <v>0</v>
      </c>
    </row>
    <row r="93" spans="1:11" ht="15" customHeight="1">
      <c r="A93" s="43"/>
      <c r="B93" s="49">
        <f>VLOOKUP($C$32:$C$136,Equipment!$A$1:$B$2322,2,FALSE)</f>
        <v>0</v>
      </c>
      <c r="C93" s="24"/>
      <c r="D93" s="24"/>
      <c r="E93" s="24"/>
      <c r="F93" s="24"/>
      <c r="G93" s="24"/>
      <c r="H93" s="185"/>
      <c r="I93" s="184"/>
      <c r="J93" s="42">
        <f>VLOOKUP($B$32:$B$136,'Alberta Equip. Rates Year 3'!$B$13:$K$314,10,FALSE)</f>
        <v>0</v>
      </c>
      <c r="K93" s="181">
        <f t="shared" si="20"/>
        <v>0</v>
      </c>
    </row>
    <row r="94" spans="1:11" ht="15" customHeight="1">
      <c r="A94" s="43"/>
      <c r="B94" s="49">
        <f>VLOOKUP($C$32:$C$136,Equipment!$A$1:$B$2322,2,FALSE)</f>
        <v>0</v>
      </c>
      <c r="C94" s="24"/>
      <c r="D94" s="24"/>
      <c r="E94" s="24"/>
      <c r="F94" s="24"/>
      <c r="G94" s="24"/>
      <c r="H94" s="185"/>
      <c r="I94" s="184"/>
      <c r="J94" s="42">
        <f>VLOOKUP($B$32:$B$136,'Alberta Equip. Rates Year 3'!$B$13:$K$314,10,FALSE)</f>
        <v>0</v>
      </c>
      <c r="K94" s="181">
        <f>(H94+I94)*J94</f>
        <v>0</v>
      </c>
    </row>
    <row r="95" spans="1:11" ht="15" customHeight="1">
      <c r="A95" s="43"/>
      <c r="B95" s="49">
        <f>VLOOKUP($C$32:$C$136,Equipment!$A$1:$B$2322,2,FALSE)</f>
        <v>0</v>
      </c>
      <c r="C95" s="24"/>
      <c r="D95" s="24"/>
      <c r="E95" s="24"/>
      <c r="F95" s="24"/>
      <c r="G95" s="24"/>
      <c r="H95" s="185"/>
      <c r="I95" s="184"/>
      <c r="J95" s="42">
        <f>VLOOKUP($B$32:$B$136,'Alberta Equip. Rates Year 3'!$B$13:$K$314,10,FALSE)</f>
        <v>0</v>
      </c>
      <c r="K95" s="181">
        <f>(H95+I95)*J95</f>
        <v>0</v>
      </c>
    </row>
    <row r="96" spans="1:11" ht="15" customHeight="1">
      <c r="A96" s="43"/>
      <c r="B96" s="49">
        <f>VLOOKUP($C$32:$C$136,Equipment!$A$1:$B$2322,2,FALSE)</f>
        <v>0</v>
      </c>
      <c r="C96" s="24"/>
      <c r="D96" s="24"/>
      <c r="E96" s="24"/>
      <c r="F96" s="24"/>
      <c r="G96" s="24"/>
      <c r="H96" s="185"/>
      <c r="I96" s="184"/>
      <c r="J96" s="42">
        <f>VLOOKUP($B$32:$B$136,'Alberta Equip. Rates Year 3'!$B$13:$K$314,10,FALSE)</f>
        <v>0</v>
      </c>
      <c r="K96" s="181">
        <f>(H96+I96)*J96</f>
        <v>0</v>
      </c>
    </row>
    <row r="97" spans="1:11" ht="15" customHeight="1">
      <c r="A97" s="43"/>
      <c r="B97" s="49">
        <f>VLOOKUP($C$32:$C$136,Equipment!$A$1:$B$2322,2,FALSE)</f>
        <v>0</v>
      </c>
      <c r="C97" s="24"/>
      <c r="D97" s="24"/>
      <c r="E97" s="24"/>
      <c r="F97" s="24"/>
      <c r="G97" s="24"/>
      <c r="H97" s="185"/>
      <c r="I97" s="184"/>
      <c r="J97" s="42">
        <f>VLOOKUP($B$32:$B$136,'Alberta Equip. Rates Year 3'!$B$13:$K$314,10,FALSE)</f>
        <v>0</v>
      </c>
      <c r="K97" s="181">
        <f t="shared" ref="K97:K111" si="23">(H97+I97)*J97</f>
        <v>0</v>
      </c>
    </row>
    <row r="98" spans="1:11" ht="15" customHeight="1">
      <c r="A98" s="43"/>
      <c r="B98" s="49">
        <f>VLOOKUP($C$32:$C$136,Equipment!$A$1:$B$2322,2,FALSE)</f>
        <v>0</v>
      </c>
      <c r="C98" s="24"/>
      <c r="D98" s="24"/>
      <c r="E98" s="24"/>
      <c r="F98" s="24"/>
      <c r="G98" s="24"/>
      <c r="H98" s="185"/>
      <c r="I98" s="184"/>
      <c r="J98" s="42">
        <f>VLOOKUP($B$32:$B$136,'Alberta Equip. Rates Year 3'!$B$13:$K$314,10,FALSE)</f>
        <v>0</v>
      </c>
      <c r="K98" s="181">
        <f t="shared" si="23"/>
        <v>0</v>
      </c>
    </row>
    <row r="99" spans="1:11" ht="15" customHeight="1">
      <c r="A99" s="43"/>
      <c r="B99" s="49">
        <f>VLOOKUP($C$32:$C$136,Equipment!$A$1:$B$2322,2,FALSE)</f>
        <v>0</v>
      </c>
      <c r="C99" s="24"/>
      <c r="D99" s="24"/>
      <c r="E99" s="24"/>
      <c r="F99" s="24"/>
      <c r="G99" s="24"/>
      <c r="H99" s="185"/>
      <c r="I99" s="184"/>
      <c r="J99" s="42">
        <f>VLOOKUP($B$32:$B$136,'Alberta Equip. Rates Year 3'!$B$13:$K$314,10,FALSE)</f>
        <v>0</v>
      </c>
      <c r="K99" s="181">
        <f t="shared" si="23"/>
        <v>0</v>
      </c>
    </row>
    <row r="100" spans="1:11" ht="15" customHeight="1">
      <c r="A100" s="43"/>
      <c r="B100" s="49">
        <f>VLOOKUP($C$32:$C$136,Equipment!$A$1:$B$2322,2,FALSE)</f>
        <v>0</v>
      </c>
      <c r="C100" s="24"/>
      <c r="D100" s="24"/>
      <c r="E100" s="24"/>
      <c r="F100" s="24"/>
      <c r="G100" s="24"/>
      <c r="H100" s="185"/>
      <c r="I100" s="184"/>
      <c r="J100" s="42">
        <f>VLOOKUP($B$32:$B$136,'Alberta Equip. Rates Year 3'!$B$13:$K$314,10,FALSE)</f>
        <v>0</v>
      </c>
      <c r="K100" s="181">
        <f t="shared" si="23"/>
        <v>0</v>
      </c>
    </row>
    <row r="101" spans="1:11" ht="15" customHeight="1">
      <c r="A101" s="43"/>
      <c r="B101" s="49">
        <f>VLOOKUP($C$32:$C$136,Equipment!$A$1:$B$2322,2,FALSE)</f>
        <v>0</v>
      </c>
      <c r="C101" s="24"/>
      <c r="D101" s="24"/>
      <c r="E101" s="24"/>
      <c r="F101" s="24"/>
      <c r="G101" s="24"/>
      <c r="H101" s="185"/>
      <c r="I101" s="184"/>
      <c r="J101" s="42">
        <f>VLOOKUP($B$32:$B$136,'Alberta Equip. Rates Year 3'!$B$13:$K$314,10,FALSE)</f>
        <v>0</v>
      </c>
      <c r="K101" s="181">
        <f t="shared" si="23"/>
        <v>0</v>
      </c>
    </row>
    <row r="102" spans="1:11" ht="15" customHeight="1">
      <c r="A102" s="43"/>
      <c r="B102" s="49">
        <f>VLOOKUP($C$32:$C$136,Equipment!$A$1:$B$2322,2,FALSE)</f>
        <v>0</v>
      </c>
      <c r="C102" s="24"/>
      <c r="D102" s="24"/>
      <c r="E102" s="24"/>
      <c r="F102" s="24"/>
      <c r="G102" s="24"/>
      <c r="H102" s="185"/>
      <c r="I102" s="184"/>
      <c r="J102" s="42">
        <f>VLOOKUP($B$32:$B$136,'Alberta Equip. Rates Year 3'!$B$13:$K$314,10,FALSE)</f>
        <v>0</v>
      </c>
      <c r="K102" s="181">
        <f t="shared" si="23"/>
        <v>0</v>
      </c>
    </row>
    <row r="103" spans="1:11" ht="15" customHeight="1">
      <c r="A103" s="43"/>
      <c r="B103" s="49">
        <f>VLOOKUP($C$32:$C$136,Equipment!$A$1:$B$2322,2,FALSE)</f>
        <v>0</v>
      </c>
      <c r="C103" s="24"/>
      <c r="D103" s="24"/>
      <c r="E103" s="24"/>
      <c r="F103" s="24"/>
      <c r="G103" s="24"/>
      <c r="H103" s="185"/>
      <c r="I103" s="184"/>
      <c r="J103" s="42">
        <f>VLOOKUP($B$32:$B$136,'Alberta Equip. Rates Year 3'!$B$13:$K$314,10,FALSE)</f>
        <v>0</v>
      </c>
      <c r="K103" s="181">
        <f t="shared" si="23"/>
        <v>0</v>
      </c>
    </row>
    <row r="104" spans="1:11" ht="15" customHeight="1">
      <c r="A104" s="43"/>
      <c r="B104" s="49">
        <f>VLOOKUP($C$32:$C$136,Equipment!$A$1:$B$2322,2,FALSE)</f>
        <v>0</v>
      </c>
      <c r="C104" s="24"/>
      <c r="D104" s="24"/>
      <c r="E104" s="24"/>
      <c r="F104" s="24"/>
      <c r="G104" s="24"/>
      <c r="H104" s="185"/>
      <c r="I104" s="184"/>
      <c r="J104" s="42">
        <f>VLOOKUP($B$32:$B$136,'Alberta Equip. Rates Year 3'!$B$13:$K$314,10,FALSE)</f>
        <v>0</v>
      </c>
      <c r="K104" s="181">
        <f t="shared" si="23"/>
        <v>0</v>
      </c>
    </row>
    <row r="105" spans="1:11" ht="15" customHeight="1">
      <c r="A105" s="43"/>
      <c r="B105" s="49">
        <f>VLOOKUP($C$32:$C$136,Equipment!$A$1:$B$2322,2,FALSE)</f>
        <v>0</v>
      </c>
      <c r="C105" s="24"/>
      <c r="D105" s="24"/>
      <c r="E105" s="24"/>
      <c r="F105" s="24"/>
      <c r="G105" s="24"/>
      <c r="H105" s="185"/>
      <c r="I105" s="184"/>
      <c r="J105" s="42">
        <f>VLOOKUP($B$32:$B$136,'Alberta Equip. Rates Year 3'!$B$13:$K$314,10,FALSE)</f>
        <v>0</v>
      </c>
      <c r="K105" s="181">
        <f t="shared" si="23"/>
        <v>0</v>
      </c>
    </row>
    <row r="106" spans="1:11" ht="15" customHeight="1">
      <c r="A106" s="43"/>
      <c r="B106" s="49">
        <f>VLOOKUP($C$32:$C$136,Equipment!$A$1:$B$2322,2,FALSE)</f>
        <v>0</v>
      </c>
      <c r="C106" s="24"/>
      <c r="D106" s="24"/>
      <c r="E106" s="24"/>
      <c r="F106" s="24"/>
      <c r="G106" s="24"/>
      <c r="H106" s="185"/>
      <c r="I106" s="184"/>
      <c r="J106" s="42">
        <f>VLOOKUP($B$32:$B$136,'Alberta Equip. Rates Year 3'!$B$13:$K$314,10,FALSE)</f>
        <v>0</v>
      </c>
      <c r="K106" s="181">
        <f t="shared" si="23"/>
        <v>0</v>
      </c>
    </row>
    <row r="107" spans="1:11" ht="15" customHeight="1">
      <c r="A107" s="43"/>
      <c r="B107" s="49">
        <f>VLOOKUP($C$32:$C$136,Equipment!$A$1:$B$2322,2,FALSE)</f>
        <v>0</v>
      </c>
      <c r="C107" s="24"/>
      <c r="D107" s="24"/>
      <c r="E107" s="24"/>
      <c r="F107" s="24"/>
      <c r="G107" s="24"/>
      <c r="H107" s="185"/>
      <c r="I107" s="184"/>
      <c r="J107" s="42">
        <f>VLOOKUP($B$32:$B$136,'Alberta Equip. Rates Year 3'!$B$13:$K$314,10,FALSE)</f>
        <v>0</v>
      </c>
      <c r="K107" s="181">
        <f t="shared" si="23"/>
        <v>0</v>
      </c>
    </row>
    <row r="108" spans="1:11" ht="15" customHeight="1">
      <c r="A108" s="43"/>
      <c r="B108" s="49">
        <f>VLOOKUP($C$32:$C$136,Equipment!$A$1:$B$2322,2,FALSE)</f>
        <v>0</v>
      </c>
      <c r="C108" s="24"/>
      <c r="D108" s="24"/>
      <c r="E108" s="24"/>
      <c r="F108" s="24"/>
      <c r="G108" s="24"/>
      <c r="H108" s="185"/>
      <c r="I108" s="184"/>
      <c r="J108" s="42">
        <f>VLOOKUP($B$32:$B$136,'Alberta Equip. Rates Year 3'!$B$13:$K$314,10,FALSE)</f>
        <v>0</v>
      </c>
      <c r="K108" s="181">
        <f t="shared" si="23"/>
        <v>0</v>
      </c>
    </row>
    <row r="109" spans="1:11" ht="15" customHeight="1">
      <c r="A109" s="43"/>
      <c r="B109" s="49">
        <f>VLOOKUP($C$32:$C$136,Equipment!$A$1:$B$2322,2,FALSE)</f>
        <v>0</v>
      </c>
      <c r="C109" s="24"/>
      <c r="D109" s="24"/>
      <c r="E109" s="24"/>
      <c r="F109" s="24"/>
      <c r="G109" s="24"/>
      <c r="H109" s="185"/>
      <c r="I109" s="184"/>
      <c r="J109" s="42">
        <f>VLOOKUP($B$32:$B$136,'Alberta Equip. Rates Year 3'!$B$13:$K$314,10,FALSE)</f>
        <v>0</v>
      </c>
      <c r="K109" s="181">
        <f t="shared" si="23"/>
        <v>0</v>
      </c>
    </row>
    <row r="110" spans="1:11" ht="15" customHeight="1">
      <c r="A110" s="43"/>
      <c r="B110" s="49">
        <f>VLOOKUP($C$32:$C$136,Equipment!$A$1:$B$2322,2,FALSE)</f>
        <v>0</v>
      </c>
      <c r="C110" s="24"/>
      <c r="D110" s="24"/>
      <c r="E110" s="24"/>
      <c r="F110" s="24"/>
      <c r="G110" s="24"/>
      <c r="H110" s="185"/>
      <c r="I110" s="184"/>
      <c r="J110" s="42">
        <f>VLOOKUP($B$32:$B$136,'Alberta Equip. Rates Year 3'!$B$13:$K$314,10,FALSE)</f>
        <v>0</v>
      </c>
      <c r="K110" s="181">
        <f t="shared" si="23"/>
        <v>0</v>
      </c>
    </row>
    <row r="111" spans="1:11" ht="15" customHeight="1">
      <c r="A111" s="43"/>
      <c r="B111" s="49">
        <f>VLOOKUP($C$32:$C$136,Equipment!$A$1:$B$2322,2,FALSE)</f>
        <v>0</v>
      </c>
      <c r="C111" s="24"/>
      <c r="D111" s="24"/>
      <c r="E111" s="24"/>
      <c r="F111" s="24"/>
      <c r="G111" s="24"/>
      <c r="H111" s="185"/>
      <c r="I111" s="184"/>
      <c r="J111" s="42">
        <f>VLOOKUP($B$32:$B$136,'Alberta Equip. Rates Year 3'!$B$13:$K$314,10,FALSE)</f>
        <v>0</v>
      </c>
      <c r="K111" s="181">
        <f t="shared" si="23"/>
        <v>0</v>
      </c>
    </row>
    <row r="112" spans="1:11" ht="15" customHeight="1">
      <c r="A112" s="43"/>
      <c r="B112" s="49">
        <f>VLOOKUP($C$32:$C$136,Equipment!$A$1:$B$2322,2,FALSE)</f>
        <v>0</v>
      </c>
      <c r="C112" s="24"/>
      <c r="D112" s="24"/>
      <c r="E112" s="24"/>
      <c r="F112" s="24"/>
      <c r="G112" s="24"/>
      <c r="H112" s="185"/>
      <c r="I112" s="184"/>
      <c r="J112" s="42">
        <f>VLOOKUP($B$32:$B$136,'Alberta Equip. Rates Year 3'!$B$13:$K$314,10,FALSE)</f>
        <v>0</v>
      </c>
      <c r="K112" s="181">
        <f t="shared" ref="K112" si="24">(H112+I112)*J112</f>
        <v>0</v>
      </c>
    </row>
    <row r="113" spans="1:11" ht="15" customHeight="1">
      <c r="A113" s="43"/>
      <c r="B113" s="49">
        <f>VLOOKUP($C$32:$C$136,Equipment!$A$1:$B$2322,2,FALSE)</f>
        <v>0</v>
      </c>
      <c r="C113" s="24"/>
      <c r="D113" s="24"/>
      <c r="E113" s="24"/>
      <c r="F113" s="24"/>
      <c r="G113" s="24"/>
      <c r="H113" s="185"/>
      <c r="I113" s="184"/>
      <c r="J113" s="42">
        <f>VLOOKUP($B$32:$B$136,'Alberta Equip. Rates Year 3'!$B$13:$K$314,10,FALSE)</f>
        <v>0</v>
      </c>
      <c r="K113" s="181">
        <f t="shared" ref="K113:K135" si="25">(H113+I113)*J113</f>
        <v>0</v>
      </c>
    </row>
    <row r="114" spans="1:11" ht="15" customHeight="1">
      <c r="A114" s="43"/>
      <c r="B114" s="49">
        <f>VLOOKUP($C$32:$C$136,Equipment!$A$1:$B$2322,2,FALSE)</f>
        <v>0</v>
      </c>
      <c r="C114" s="24"/>
      <c r="D114" s="24"/>
      <c r="E114" s="24"/>
      <c r="F114" s="24"/>
      <c r="G114" s="24"/>
      <c r="H114" s="185"/>
      <c r="I114" s="184"/>
      <c r="J114" s="42">
        <f>VLOOKUP($B$32:$B$136,'Alberta Equip. Rates Year 3'!$B$13:$K$314,10,FALSE)</f>
        <v>0</v>
      </c>
      <c r="K114" s="181">
        <f t="shared" si="25"/>
        <v>0</v>
      </c>
    </row>
    <row r="115" spans="1:11" ht="15" customHeight="1">
      <c r="A115" s="43"/>
      <c r="B115" s="49">
        <f>VLOOKUP($C$32:$C$136,Equipment!$A$1:$B$2322,2,FALSE)</f>
        <v>0</v>
      </c>
      <c r="C115" s="24"/>
      <c r="D115" s="24"/>
      <c r="E115" s="24"/>
      <c r="F115" s="24"/>
      <c r="G115" s="24"/>
      <c r="H115" s="185"/>
      <c r="I115" s="184"/>
      <c r="J115" s="42">
        <f>VLOOKUP($B$32:$B$136,'Alberta Equip. Rates Year 3'!$B$13:$K$314,10,FALSE)</f>
        <v>0</v>
      </c>
      <c r="K115" s="181">
        <f t="shared" si="25"/>
        <v>0</v>
      </c>
    </row>
    <row r="116" spans="1:11" ht="15" customHeight="1">
      <c r="A116" s="43"/>
      <c r="B116" s="49">
        <f>VLOOKUP($C$32:$C$136,Equipment!$A$1:$B$2322,2,FALSE)</f>
        <v>0</v>
      </c>
      <c r="C116" s="24"/>
      <c r="D116" s="24"/>
      <c r="E116" s="24"/>
      <c r="F116" s="24"/>
      <c r="G116" s="24"/>
      <c r="H116" s="185"/>
      <c r="I116" s="184"/>
      <c r="J116" s="42">
        <f>VLOOKUP($B$32:$B$136,'Alberta Equip. Rates Year 3'!$B$13:$K$314,10,FALSE)</f>
        <v>0</v>
      </c>
      <c r="K116" s="181">
        <f t="shared" si="25"/>
        <v>0</v>
      </c>
    </row>
    <row r="117" spans="1:11" ht="15" customHeight="1">
      <c r="A117" s="43"/>
      <c r="B117" s="49">
        <f>VLOOKUP($C$32:$C$136,Equipment!$A$1:$B$2322,2,FALSE)</f>
        <v>0</v>
      </c>
      <c r="C117" s="24"/>
      <c r="D117" s="24"/>
      <c r="E117" s="24"/>
      <c r="F117" s="24"/>
      <c r="G117" s="24"/>
      <c r="H117" s="185"/>
      <c r="I117" s="184"/>
      <c r="J117" s="42">
        <f>VLOOKUP($B$32:$B$136,'Alberta Equip. Rates Year 3'!$B$13:$K$314,10,FALSE)</f>
        <v>0</v>
      </c>
      <c r="K117" s="181">
        <f t="shared" ref="K117" si="26">(H117+I117)*J117</f>
        <v>0</v>
      </c>
    </row>
    <row r="118" spans="1:11" ht="15" customHeight="1">
      <c r="A118" s="43"/>
      <c r="B118" s="49">
        <f>VLOOKUP($C$32:$C$136,Equipment!$A$1:$B$2322,2,FALSE)</f>
        <v>0</v>
      </c>
      <c r="C118" s="24"/>
      <c r="D118" s="24"/>
      <c r="E118" s="24"/>
      <c r="F118" s="24"/>
      <c r="G118" s="24"/>
      <c r="H118" s="185"/>
      <c r="I118" s="184"/>
      <c r="J118" s="42">
        <f>VLOOKUP($B$32:$B$136,'Alberta Equip. Rates Year 3'!$B$13:$K$314,10,FALSE)</f>
        <v>0</v>
      </c>
      <c r="K118" s="181">
        <f t="shared" si="25"/>
        <v>0</v>
      </c>
    </row>
    <row r="119" spans="1:11" ht="15" customHeight="1">
      <c r="A119" s="43"/>
      <c r="B119" s="49">
        <f>VLOOKUP($C$32:$C$136,Equipment!$A$1:$B$2322,2,FALSE)</f>
        <v>0</v>
      </c>
      <c r="C119" s="24"/>
      <c r="D119" s="24"/>
      <c r="E119" s="24"/>
      <c r="F119" s="24"/>
      <c r="G119" s="24"/>
      <c r="H119" s="185"/>
      <c r="I119" s="184"/>
      <c r="J119" s="42">
        <f>VLOOKUP($B$32:$B$136,'Alberta Equip. Rates Year 3'!$B$13:$K$314,10,FALSE)</f>
        <v>0</v>
      </c>
      <c r="K119" s="181">
        <f t="shared" si="25"/>
        <v>0</v>
      </c>
    </row>
    <row r="120" spans="1:11" ht="15" customHeight="1">
      <c r="A120" s="43"/>
      <c r="B120" s="49">
        <f>VLOOKUP($C$32:$C$136,Equipment!$A$1:$B$2322,2,FALSE)</f>
        <v>0</v>
      </c>
      <c r="C120" s="24"/>
      <c r="D120" s="24"/>
      <c r="E120" s="24"/>
      <c r="F120" s="24"/>
      <c r="G120" s="24"/>
      <c r="H120" s="185"/>
      <c r="I120" s="184"/>
      <c r="J120" s="42">
        <f>VLOOKUP($B$32:$B$136,'Alberta Equip. Rates Year 3'!$B$13:$K$314,10,FALSE)</f>
        <v>0</v>
      </c>
      <c r="K120" s="181">
        <f t="shared" si="25"/>
        <v>0</v>
      </c>
    </row>
    <row r="121" spans="1:11" ht="15" customHeight="1">
      <c r="A121" s="43"/>
      <c r="B121" s="49">
        <f>VLOOKUP($C$32:$C$136,Equipment!$A$1:$B$2322,2,FALSE)</f>
        <v>0</v>
      </c>
      <c r="C121" s="24"/>
      <c r="D121" s="24"/>
      <c r="E121" s="24"/>
      <c r="F121" s="24"/>
      <c r="G121" s="24"/>
      <c r="H121" s="185"/>
      <c r="I121" s="184"/>
      <c r="J121" s="42">
        <f>VLOOKUP($B$32:$B$136,'Alberta Equip. Rates Year 3'!$B$13:$K$314,10,FALSE)</f>
        <v>0</v>
      </c>
      <c r="K121" s="181">
        <f t="shared" ref="K121:K123" si="27">(H121+I121)*J121</f>
        <v>0</v>
      </c>
    </row>
    <row r="122" spans="1:11" ht="15" customHeight="1">
      <c r="A122" s="43"/>
      <c r="B122" s="49">
        <f>VLOOKUP($C$32:$C$136,Equipment!$A$1:$B$2322,2,FALSE)</f>
        <v>0</v>
      </c>
      <c r="C122" s="24"/>
      <c r="D122" s="24"/>
      <c r="E122" s="24"/>
      <c r="F122" s="24"/>
      <c r="G122" s="24"/>
      <c r="H122" s="185"/>
      <c r="I122" s="184"/>
      <c r="J122" s="42">
        <f>VLOOKUP($B$32:$B$136,'Alberta Equip. Rates Year 3'!$B$13:$K$314,10,FALSE)</f>
        <v>0</v>
      </c>
      <c r="K122" s="181">
        <f t="shared" si="27"/>
        <v>0</v>
      </c>
    </row>
    <row r="123" spans="1:11" ht="15" customHeight="1">
      <c r="A123" s="43"/>
      <c r="B123" s="49">
        <f>VLOOKUP($C$32:$C$136,Equipment!$A$1:$B$2322,2,FALSE)</f>
        <v>0</v>
      </c>
      <c r="C123" s="24"/>
      <c r="D123" s="24"/>
      <c r="E123" s="24"/>
      <c r="F123" s="24"/>
      <c r="G123" s="24"/>
      <c r="H123" s="185"/>
      <c r="I123" s="184"/>
      <c r="J123" s="42">
        <f>VLOOKUP($B$32:$B$136,'Alberta Equip. Rates Year 3'!$B$13:$K$314,10,FALSE)</f>
        <v>0</v>
      </c>
      <c r="K123" s="181">
        <f t="shared" si="27"/>
        <v>0</v>
      </c>
    </row>
    <row r="124" spans="1:11" ht="15" customHeight="1">
      <c r="A124" s="43"/>
      <c r="B124" s="49">
        <f>VLOOKUP($C$32:$C$136,Equipment!$A$1:$B$2322,2,FALSE)</f>
        <v>0</v>
      </c>
      <c r="C124" s="24"/>
      <c r="D124" s="24"/>
      <c r="E124" s="24"/>
      <c r="F124" s="24"/>
      <c r="G124" s="24"/>
      <c r="H124" s="185"/>
      <c r="I124" s="184"/>
      <c r="J124" s="42">
        <f>VLOOKUP($B$32:$B$136,'Alberta Equip. Rates Year 3'!$B$13:$K$314,10,FALSE)</f>
        <v>0</v>
      </c>
      <c r="K124" s="181">
        <f t="shared" si="25"/>
        <v>0</v>
      </c>
    </row>
    <row r="125" spans="1:11" ht="15" customHeight="1">
      <c r="A125" s="43"/>
      <c r="B125" s="49">
        <f>VLOOKUP($C$32:$C$136,Equipment!$A$1:$B$2322,2,FALSE)</f>
        <v>0</v>
      </c>
      <c r="C125" s="24"/>
      <c r="D125" s="24"/>
      <c r="E125" s="24"/>
      <c r="F125" s="24"/>
      <c r="G125" s="24"/>
      <c r="H125" s="185"/>
      <c r="I125" s="184"/>
      <c r="J125" s="42">
        <f>VLOOKUP($B$32:$B$136,'Alberta Equip. Rates Year 3'!$B$13:$K$314,10,FALSE)</f>
        <v>0</v>
      </c>
      <c r="K125" s="181">
        <f t="shared" si="25"/>
        <v>0</v>
      </c>
    </row>
    <row r="126" spans="1:11" ht="15" customHeight="1">
      <c r="A126" s="43"/>
      <c r="B126" s="49">
        <f>VLOOKUP($C$32:$C$136,Equipment!$A$1:$B$2322,2,FALSE)</f>
        <v>0</v>
      </c>
      <c r="C126" s="24"/>
      <c r="D126" s="24"/>
      <c r="E126" s="24"/>
      <c r="F126" s="24"/>
      <c r="G126" s="24"/>
      <c r="H126" s="185"/>
      <c r="I126" s="184"/>
      <c r="J126" s="42">
        <f>VLOOKUP($B$32:$B$136,'Alberta Equip. Rates Year 3'!$B$13:$K$314,10,FALSE)</f>
        <v>0</v>
      </c>
      <c r="K126" s="181">
        <f t="shared" si="25"/>
        <v>0</v>
      </c>
    </row>
    <row r="127" spans="1:11" ht="15" customHeight="1">
      <c r="A127" s="43"/>
      <c r="B127" s="49">
        <f>VLOOKUP($C$32:$C$136,Equipment!$A$1:$B$2322,2,FALSE)</f>
        <v>0</v>
      </c>
      <c r="C127" s="24"/>
      <c r="D127" s="24"/>
      <c r="E127" s="24"/>
      <c r="F127" s="24"/>
      <c r="G127" s="24"/>
      <c r="H127" s="185"/>
      <c r="I127" s="184"/>
      <c r="J127" s="42">
        <f>VLOOKUP($B$32:$B$136,'Alberta Equip. Rates Year 3'!$B$13:$K$314,10,FALSE)</f>
        <v>0</v>
      </c>
      <c r="K127" s="181">
        <f t="shared" si="25"/>
        <v>0</v>
      </c>
    </row>
    <row r="128" spans="1:11" ht="15" customHeight="1">
      <c r="A128" s="43"/>
      <c r="B128" s="49">
        <f>VLOOKUP($C$32:$C$136,Equipment!$A$1:$B$2322,2,FALSE)</f>
        <v>0</v>
      </c>
      <c r="C128" s="24"/>
      <c r="D128" s="24"/>
      <c r="E128" s="24"/>
      <c r="F128" s="24"/>
      <c r="G128" s="24"/>
      <c r="H128" s="185"/>
      <c r="I128" s="184"/>
      <c r="J128" s="42">
        <f>VLOOKUP($B$32:$B$136,'Alberta Equip. Rates Year 3'!$B$13:$K$314,10,FALSE)</f>
        <v>0</v>
      </c>
      <c r="K128" s="181">
        <f t="shared" si="25"/>
        <v>0</v>
      </c>
    </row>
    <row r="129" spans="1:11" ht="15" customHeight="1">
      <c r="A129" s="43"/>
      <c r="B129" s="49">
        <f>VLOOKUP($C$32:$C$136,Equipment!$A$1:$B$2322,2,FALSE)</f>
        <v>0</v>
      </c>
      <c r="C129" s="24"/>
      <c r="D129" s="24"/>
      <c r="E129" s="24"/>
      <c r="F129" s="24"/>
      <c r="G129" s="24"/>
      <c r="H129" s="185"/>
      <c r="I129" s="184"/>
      <c r="J129" s="42">
        <f>VLOOKUP($B$32:$B$136,'Alberta Equip. Rates Year 3'!$B$13:$K$314,10,FALSE)</f>
        <v>0</v>
      </c>
      <c r="K129" s="181">
        <f t="shared" si="25"/>
        <v>0</v>
      </c>
    </row>
    <row r="130" spans="1:11" ht="15" customHeight="1">
      <c r="A130" s="43"/>
      <c r="B130" s="49">
        <f>VLOOKUP($C$32:$C$136,Equipment!$A$1:$B$2322,2,FALSE)</f>
        <v>0</v>
      </c>
      <c r="C130" s="24"/>
      <c r="D130" s="24"/>
      <c r="E130" s="24"/>
      <c r="F130" s="24"/>
      <c r="G130" s="24"/>
      <c r="H130" s="185"/>
      <c r="I130" s="184"/>
      <c r="J130" s="42">
        <f>VLOOKUP($B$32:$B$136,'Alberta Equip. Rates Year 3'!$B$13:$K$314,10,FALSE)</f>
        <v>0</v>
      </c>
      <c r="K130" s="181">
        <f t="shared" si="25"/>
        <v>0</v>
      </c>
    </row>
    <row r="131" spans="1:11" ht="15" customHeight="1">
      <c r="A131" s="43"/>
      <c r="B131" s="49">
        <f>VLOOKUP($C$32:$C$136,Equipment!$A$1:$B$2322,2,FALSE)</f>
        <v>0</v>
      </c>
      <c r="C131" s="24"/>
      <c r="D131" s="24"/>
      <c r="E131" s="24"/>
      <c r="F131" s="24"/>
      <c r="G131" s="24"/>
      <c r="H131" s="185"/>
      <c r="I131" s="184"/>
      <c r="J131" s="42">
        <f>VLOOKUP($B$32:$B$136,'Alberta Equip. Rates Year 3'!$B$13:$K$314,10,FALSE)</f>
        <v>0</v>
      </c>
      <c r="K131" s="181">
        <f t="shared" si="25"/>
        <v>0</v>
      </c>
    </row>
    <row r="132" spans="1:11" ht="15" customHeight="1">
      <c r="A132" s="43"/>
      <c r="B132" s="49">
        <f>VLOOKUP($C$32:$C$136,Equipment!$A$1:$B$2322,2,FALSE)</f>
        <v>0</v>
      </c>
      <c r="C132" s="24"/>
      <c r="D132" s="24"/>
      <c r="E132" s="24"/>
      <c r="F132" s="24"/>
      <c r="G132" s="24"/>
      <c r="H132" s="185"/>
      <c r="I132" s="184"/>
      <c r="J132" s="42">
        <f>VLOOKUP($B$32:$B$136,'Alberta Equip. Rates Year 3'!$B$13:$K$314,10,FALSE)</f>
        <v>0</v>
      </c>
      <c r="K132" s="181">
        <f t="shared" si="25"/>
        <v>0</v>
      </c>
    </row>
    <row r="133" spans="1:11" ht="15" customHeight="1">
      <c r="A133" s="43"/>
      <c r="B133" s="49">
        <f>VLOOKUP($C$32:$C$136,Equipment!$A$1:$B$2322,2,FALSE)</f>
        <v>0</v>
      </c>
      <c r="C133" s="24"/>
      <c r="D133" s="24"/>
      <c r="E133" s="24"/>
      <c r="F133" s="24"/>
      <c r="G133" s="24"/>
      <c r="H133" s="185"/>
      <c r="I133" s="184"/>
      <c r="J133" s="42">
        <f>VLOOKUP($B$32:$B$136,'Alberta Equip. Rates Year 3'!$B$13:$K$314,10,FALSE)</f>
        <v>0</v>
      </c>
      <c r="K133" s="181">
        <f t="shared" si="25"/>
        <v>0</v>
      </c>
    </row>
    <row r="134" spans="1:11" ht="15" customHeight="1">
      <c r="A134" s="43"/>
      <c r="B134" s="49">
        <f>VLOOKUP($C$32:$C$136,Equipment!$A$1:$B$2322,2,FALSE)</f>
        <v>0</v>
      </c>
      <c r="C134" s="24"/>
      <c r="D134" s="24"/>
      <c r="E134" s="24"/>
      <c r="F134" s="24"/>
      <c r="G134" s="24"/>
      <c r="H134" s="185"/>
      <c r="I134" s="184"/>
      <c r="J134" s="42">
        <f>VLOOKUP($B$32:$B$136,'Alberta Equip. Rates Year 3'!$B$13:$K$314,10,FALSE)</f>
        <v>0</v>
      </c>
      <c r="K134" s="181">
        <f t="shared" si="25"/>
        <v>0</v>
      </c>
    </row>
    <row r="135" spans="1:11" ht="15" customHeight="1">
      <c r="A135" s="43"/>
      <c r="B135" s="49">
        <f>VLOOKUP($C$32:$C$136,Equipment!$A$1:$B$2322,2,FALSE)</f>
        <v>0</v>
      </c>
      <c r="C135" s="24"/>
      <c r="D135" s="24"/>
      <c r="E135" s="24"/>
      <c r="F135" s="24"/>
      <c r="G135" s="24"/>
      <c r="H135" s="185"/>
      <c r="I135" s="184"/>
      <c r="J135" s="42">
        <f>VLOOKUP($B$32:$B$136,'Alberta Equip. Rates Year 3'!$B$13:$K$314,10,FALSE)</f>
        <v>0</v>
      </c>
      <c r="K135" s="181">
        <f t="shared" si="25"/>
        <v>0</v>
      </c>
    </row>
    <row r="136" spans="1:11" ht="15" customHeight="1" thickBot="1">
      <c r="A136" s="43"/>
      <c r="B136" s="49">
        <f>VLOOKUP($C$32:$C$136,Equipment!$A$1:$B$2322,2,FALSE)</f>
        <v>0</v>
      </c>
      <c r="C136" s="24"/>
      <c r="D136" s="24"/>
      <c r="E136" s="24"/>
      <c r="F136" s="24"/>
      <c r="G136" s="24"/>
      <c r="H136" s="185"/>
      <c r="I136" s="184"/>
      <c r="J136" s="42">
        <f>VLOOKUP($B$32:$B$136,'Alberta Equip. Rates Year 3'!$B$13:$K$314,10,FALSE)</f>
        <v>0</v>
      </c>
      <c r="K136" s="181">
        <f t="shared" si="20"/>
        <v>0</v>
      </c>
    </row>
    <row r="137" spans="1:11" ht="12" thickBot="1">
      <c r="A137" s="25"/>
      <c r="B137" s="25"/>
      <c r="C137" s="25"/>
      <c r="D137" s="21"/>
      <c r="E137" s="21"/>
      <c r="F137" s="21"/>
      <c r="G137" s="21"/>
      <c r="H137" s="21"/>
      <c r="I137" s="372" t="s">
        <v>24</v>
      </c>
      <c r="J137" s="373"/>
      <c r="K137" s="182">
        <f>SUM(K32:K136)</f>
        <v>375</v>
      </c>
    </row>
    <row r="138" spans="1:11" ht="12" thickBot="1">
      <c r="A138" s="26"/>
      <c r="D138" s="26"/>
      <c r="I138" s="27"/>
      <c r="J138" s="27"/>
      <c r="K138" s="28"/>
    </row>
    <row r="139" spans="1:11">
      <c r="A139" s="1" t="s">
        <v>25</v>
      </c>
      <c r="B139" s="29"/>
      <c r="D139" s="1"/>
      <c r="E139" s="1"/>
      <c r="F139" s="1"/>
      <c r="G139" s="1"/>
      <c r="H139" s="1"/>
      <c r="I139" s="362" t="s">
        <v>26</v>
      </c>
      <c r="J139" s="375"/>
      <c r="K139" s="37">
        <f>K29</f>
        <v>1258.1400000000001</v>
      </c>
    </row>
    <row r="140" spans="1:11">
      <c r="D140" s="1"/>
      <c r="E140" s="1"/>
      <c r="F140" s="1"/>
      <c r="G140" s="1"/>
      <c r="H140" s="1"/>
      <c r="I140" s="362" t="s">
        <v>27</v>
      </c>
      <c r="J140" s="375"/>
      <c r="K140" s="38">
        <f>K137</f>
        <v>375</v>
      </c>
    </row>
    <row r="141" spans="1:11">
      <c r="D141" s="1"/>
      <c r="E141" s="1"/>
      <c r="F141" s="1"/>
      <c r="G141" s="1"/>
      <c r="H141" s="1"/>
      <c r="I141" s="27" t="s">
        <v>28</v>
      </c>
      <c r="J141" s="27"/>
      <c r="K141" s="38">
        <f>(O29)*14.15</f>
        <v>169.8</v>
      </c>
    </row>
    <row r="142" spans="1:11">
      <c r="D142" s="1"/>
      <c r="E142" s="1"/>
      <c r="F142" s="1"/>
      <c r="G142" s="1"/>
      <c r="H142" s="1"/>
      <c r="I142" s="30" t="s">
        <v>29</v>
      </c>
      <c r="J142" s="30"/>
      <c r="K142" s="39"/>
    </row>
    <row r="143" spans="1:11">
      <c r="D143" s="1"/>
      <c r="E143" s="1"/>
      <c r="F143" s="1"/>
      <c r="G143" s="1"/>
      <c r="H143" s="1"/>
      <c r="I143" s="30" t="s">
        <v>30</v>
      </c>
      <c r="J143" s="30"/>
      <c r="K143" s="39"/>
    </row>
    <row r="144" spans="1:11">
      <c r="D144" s="1"/>
      <c r="E144" s="1"/>
      <c r="F144" s="1"/>
      <c r="G144" s="1"/>
      <c r="H144" s="1"/>
      <c r="I144" s="30" t="s">
        <v>31</v>
      </c>
      <c r="J144" s="30"/>
      <c r="K144" s="39"/>
    </row>
    <row r="145" spans="1:11" ht="12" thickBot="1">
      <c r="D145" s="1"/>
      <c r="E145" s="1"/>
      <c r="F145" s="1"/>
      <c r="G145" s="1"/>
      <c r="H145" s="1"/>
      <c r="I145" s="362" t="s">
        <v>32</v>
      </c>
      <c r="J145" s="362"/>
      <c r="K145" s="40">
        <f>SUM(K139:K144)</f>
        <v>1802.94</v>
      </c>
    </row>
    <row r="146" spans="1:11">
      <c r="D146" s="1"/>
      <c r="E146" s="1"/>
      <c r="F146" s="1"/>
      <c r="G146" s="1"/>
      <c r="H146" s="1"/>
      <c r="I146" s="27"/>
      <c r="J146" s="27"/>
    </row>
    <row r="147" spans="1:11">
      <c r="A147" s="31" t="s">
        <v>33</v>
      </c>
      <c r="B147" s="32"/>
      <c r="C147" s="32"/>
      <c r="D147" s="1"/>
      <c r="H147" s="33" t="s">
        <v>34</v>
      </c>
      <c r="I147" s="32"/>
      <c r="J147" s="32"/>
      <c r="K147" s="32"/>
    </row>
    <row r="148" spans="1:11" ht="15">
      <c r="A148" s="34"/>
      <c r="E148" s="8"/>
      <c r="F148" s="8"/>
      <c r="G148" s="8"/>
      <c r="H148" s="35"/>
      <c r="I148" s="35"/>
      <c r="J148" s="35"/>
      <c r="K148" s="35"/>
    </row>
    <row r="149" spans="1:11" ht="15">
      <c r="A149" s="34" t="s">
        <v>35</v>
      </c>
      <c r="E149" s="8"/>
      <c r="F149" s="8"/>
      <c r="G149" s="8"/>
      <c r="H149" s="35"/>
      <c r="I149" s="35"/>
      <c r="J149" s="35"/>
      <c r="K149" s="35"/>
    </row>
    <row r="150" spans="1:11" s="34" customFormat="1">
      <c r="A150" s="363">
        <v>41218.479166666664</v>
      </c>
      <c r="B150" s="363"/>
      <c r="C150" s="364"/>
      <c r="D150" s="364"/>
      <c r="E150" s="364"/>
      <c r="F150" s="364"/>
      <c r="G150" s="364"/>
      <c r="H150" s="364"/>
      <c r="I150" s="364"/>
      <c r="J150" s="364"/>
      <c r="K150" s="8"/>
    </row>
    <row r="160" spans="1:11">
      <c r="D160" s="1"/>
      <c r="E160" s="1"/>
      <c r="F160" s="1"/>
      <c r="G160" s="1"/>
      <c r="H160" s="1"/>
      <c r="I160" s="1"/>
      <c r="J160" s="1"/>
    </row>
    <row r="161" s="1" customFormat="1"/>
    <row r="162" s="1" customFormat="1"/>
    <row r="163" s="1" customFormat="1"/>
    <row r="164" s="1" customFormat="1"/>
    <row r="165" s="1" customFormat="1"/>
    <row r="166" s="1" customFormat="1"/>
    <row r="167" s="1" customFormat="1"/>
    <row r="168" s="1" customFormat="1"/>
    <row r="169" s="1" customFormat="1"/>
    <row r="170" s="1" customFormat="1"/>
    <row r="171" s="1" customFormat="1"/>
    <row r="172" s="1" customFormat="1"/>
    <row r="173" s="1" customFormat="1"/>
    <row r="178" s="1" customFormat="1"/>
    <row r="206" s="1" customFormat="1"/>
    <row r="207" s="1" customFormat="1"/>
    <row r="208" s="1" customFormat="1"/>
    <row r="209" s="1" customFormat="1"/>
  </sheetData>
  <mergeCells count="12">
    <mergeCell ref="I137:J137"/>
    <mergeCell ref="I139:J139"/>
    <mergeCell ref="I140:J140"/>
    <mergeCell ref="I145:J145"/>
    <mergeCell ref="A150:B150"/>
    <mergeCell ref="C150:J150"/>
    <mergeCell ref="I29:J29"/>
    <mergeCell ref="C1:H1"/>
    <mergeCell ref="C2:H2"/>
    <mergeCell ref="C3:H3"/>
    <mergeCell ref="H6:I6"/>
    <mergeCell ref="H7:I7"/>
  </mergeCells>
  <conditionalFormatting sqref="M11:M28">
    <cfRule type="expression" dxfId="16" priority="33965">
      <formula>ISTEXT(A11:A28)</formula>
    </cfRule>
  </conditionalFormatting>
  <printOptions horizontalCentered="1"/>
  <pageMargins left="0.19685039370078741" right="0.19685039370078741" top="0.39370078740157483" bottom="0.39370078740157483" header="0" footer="0"/>
  <pageSetup orientation="portrait" horizontalDpi="4294967292" verticalDpi="4294967292"/>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2D00-000000000000}">
          <x14:formula1>
            <xm:f>Accounts!$A$4:$A$60</xm:f>
          </x14:formula1>
          <xm:sqref>K7</xm:sqref>
        </x14:dataValidation>
        <x14:dataValidation type="list" allowBlank="1" showInputMessage="1" showErrorMessage="1" xr:uid="{00000000-0002-0000-2D00-000001000000}">
          <x14:formula1>
            <xm:f>'Constr. Wage Rate Calculations'!$A$19:$A$288</xm:f>
          </x14:formula1>
          <xm:sqref>B11:B28</xm:sqref>
        </x14:dataValidation>
        <x14:dataValidation type="list" allowBlank="1" showInputMessage="1" showErrorMessage="1" xr:uid="{00000000-0002-0000-2D00-000002000000}">
          <x14:formula1>
            <xm:f>Personnel!$A:$A</xm:f>
          </x14:formula1>
          <xm:sqref>C11:C28</xm:sqref>
        </x14:dataValidation>
        <x14:dataValidation type="list" allowBlank="1" showInputMessage="1" showErrorMessage="1" xr:uid="{00000000-0002-0000-2D00-000003000000}">
          <x14:formula1>
            <xm:f>Equipment!$A:$A</xm:f>
          </x14:formula1>
          <xm:sqref>C32:C136</xm:sqref>
        </x14:dataValidation>
      </x14:dataValidations>
    </ext>
    <ext xmlns:mx="http://schemas.microsoft.com/office/mac/excel/2008/main" uri="{64002731-A6B0-56B0-2670-7721B7C09600}">
      <mx:PLV Mode="0" OnePage="0" WScale="0"/>
    </ext>
  </extLs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CCFFCC"/>
    <pageSetUpPr fitToPage="1"/>
  </sheetPr>
  <dimension ref="A1:O124"/>
  <sheetViews>
    <sheetView topLeftCell="B1" zoomScale="120" zoomScaleNormal="120" zoomScalePageLayoutView="120" workbookViewId="0">
      <selection activeCell="D4" sqref="D4"/>
    </sheetView>
  </sheetViews>
  <sheetFormatPr baseColWidth="10" defaultColWidth="8.83203125" defaultRowHeight="11"/>
  <cols>
    <col min="1" max="1" width="13" style="1" customWidth="1"/>
    <col min="2" max="2" width="30" style="1" customWidth="1"/>
    <col min="3" max="3" width="24.5" style="1" customWidth="1"/>
    <col min="4" max="4" width="8.6640625" style="2" customWidth="1"/>
    <col min="5" max="6" width="8.33203125" style="2" customWidth="1"/>
    <col min="7" max="8" width="8.6640625" style="2" customWidth="1"/>
    <col min="9" max="9" width="9.33203125" style="2" customWidth="1"/>
    <col min="10" max="10" width="8.6640625" style="2" customWidth="1"/>
    <col min="11" max="11" width="21.6640625" style="1" customWidth="1"/>
    <col min="12" max="12" width="3.5" style="1" hidden="1" customWidth="1"/>
    <col min="13" max="16384" width="8.83203125" style="1"/>
  </cols>
  <sheetData>
    <row r="1" spans="1:13" ht="15">
      <c r="C1" s="364"/>
      <c r="D1" s="365"/>
      <c r="E1" s="365"/>
      <c r="F1" s="365"/>
      <c r="G1" s="365"/>
      <c r="H1" s="366"/>
      <c r="J1" s="2" t="s">
        <v>0</v>
      </c>
      <c r="K1" s="197">
        <v>41659</v>
      </c>
      <c r="M1" s="45"/>
    </row>
    <row r="2" spans="1:13" ht="15">
      <c r="C2" s="367"/>
      <c r="D2" s="367"/>
      <c r="E2" s="367"/>
      <c r="F2" s="367"/>
      <c r="G2" s="367"/>
      <c r="H2" s="366"/>
      <c r="K2" s="41"/>
    </row>
    <row r="3" spans="1:13" ht="15">
      <c r="C3" s="368"/>
      <c r="D3" s="369"/>
      <c r="E3" s="369"/>
      <c r="F3" s="369"/>
      <c r="G3" s="369"/>
      <c r="H3" s="366"/>
    </row>
    <row r="4" spans="1:13">
      <c r="C4" s="3"/>
      <c r="D4" s="4"/>
      <c r="E4" s="4"/>
      <c r="F4" s="4"/>
      <c r="G4" s="4"/>
    </row>
    <row r="5" spans="1:13">
      <c r="C5" s="3"/>
      <c r="D5" s="4"/>
      <c r="E5" s="4"/>
      <c r="F5" s="4"/>
      <c r="G5" s="4"/>
    </row>
    <row r="6" spans="1:13" ht="12">
      <c r="B6" s="5"/>
      <c r="C6" s="6"/>
      <c r="D6" s="7"/>
      <c r="E6" s="8"/>
      <c r="F6" s="8"/>
      <c r="G6" s="1" t="s">
        <v>1</v>
      </c>
      <c r="H6" s="370">
        <v>18201</v>
      </c>
      <c r="I6" s="370"/>
      <c r="J6" s="1" t="s">
        <v>2</v>
      </c>
      <c r="K6" s="47"/>
    </row>
    <row r="7" spans="1:13" ht="12">
      <c r="A7" s="1" t="s">
        <v>3</v>
      </c>
      <c r="B7" s="9"/>
      <c r="C7" s="10"/>
      <c r="D7" s="11"/>
      <c r="E7" s="8"/>
      <c r="F7" s="8"/>
      <c r="G7" s="1" t="s">
        <v>4</v>
      </c>
      <c r="H7" s="371"/>
      <c r="I7" s="371"/>
      <c r="J7" s="1" t="s">
        <v>5</v>
      </c>
      <c r="K7" s="46"/>
    </row>
    <row r="8" spans="1:13" ht="12">
      <c r="B8" s="12"/>
      <c r="C8" s="13"/>
      <c r="D8" s="14"/>
      <c r="E8" s="8"/>
      <c r="F8" s="8"/>
      <c r="G8" s="1" t="s">
        <v>6</v>
      </c>
      <c r="H8" s="187"/>
      <c r="I8" s="188"/>
      <c r="J8" s="44"/>
    </row>
    <row r="9" spans="1:13" ht="16" thickBot="1">
      <c r="B9" s="15"/>
      <c r="C9" s="16"/>
      <c r="D9" s="16"/>
      <c r="E9" s="8"/>
      <c r="F9" s="8"/>
      <c r="G9" s="8"/>
    </row>
    <row r="10" spans="1:13" s="19" customFormat="1" ht="12" thickBot="1">
      <c r="A10" s="17" t="s">
        <v>7</v>
      </c>
      <c r="B10" s="17" t="s">
        <v>8</v>
      </c>
      <c r="C10" s="17" t="s">
        <v>9</v>
      </c>
      <c r="D10" s="18" t="s">
        <v>10</v>
      </c>
      <c r="E10" s="18" t="s">
        <v>11</v>
      </c>
      <c r="F10" s="18" t="s">
        <v>12</v>
      </c>
      <c r="G10" s="180" t="s">
        <v>13</v>
      </c>
      <c r="H10" s="18" t="s">
        <v>14</v>
      </c>
      <c r="I10" s="18" t="s">
        <v>15</v>
      </c>
      <c r="J10" s="18" t="s">
        <v>16</v>
      </c>
      <c r="K10" s="18" t="s">
        <v>17</v>
      </c>
      <c r="M10" s="19" t="s">
        <v>1797</v>
      </c>
    </row>
    <row r="11" spans="1:13" ht="15" customHeight="1">
      <c r="A11" s="48"/>
      <c r="B11" s="49">
        <f>VLOOKUP($C$11:$C$30,Personnel!$A$1:$B$1234,2,FALSE)</f>
        <v>0</v>
      </c>
      <c r="C11" s="36"/>
      <c r="D11" s="20"/>
      <c r="E11" s="179">
        <f>VLOOKUP($B$11:$B$30,'Constr. Wage Rate Calculations'!$A$19:$Z$288,22,FALSE)</f>
        <v>0</v>
      </c>
      <c r="F11" s="20"/>
      <c r="G11" s="179">
        <f>VLOOKUP($B$11:$B$30,'Constr. Wage Rate Calculations'!$A$19:$Z$288,23,FALSE)</f>
        <v>0</v>
      </c>
      <c r="H11" s="20"/>
      <c r="I11" s="179">
        <f>VLOOKUP($B$11:$B$30,'Constr. Wage Rate Calculations'!$A$19:$Z$288,24,FALSE)</f>
        <v>0</v>
      </c>
      <c r="J11" s="20">
        <f>VLOOKUP($B$11:$B$30,'Constr. Wage Rate Calculations'!$A$19:$Z$288,25,FALSE)</f>
        <v>0</v>
      </c>
      <c r="K11" s="179" t="str">
        <f t="shared" ref="K11:K29" si="0">IF($D11&gt;=1,$J11+(D11*E11)+(F11*G11)+(H11*I11),IF($F11&gt;=1,$J11+(D11*E11)+(F11*G11)+(H11*I11),IF($H11&gt;=1,$J11+(D11*E11)+(F11*G11)+(H11*I11),"")))</f>
        <v/>
      </c>
    </row>
    <row r="12" spans="1:13" ht="15" customHeight="1">
      <c r="A12" s="48"/>
      <c r="B12" s="49" t="str">
        <f>VLOOKUP($C$11:$C$30,Personnel!$A$1:$B$1234,2,FALSE)</f>
        <v>PRINCIPAL OPER 1</v>
      </c>
      <c r="C12" s="36" t="s">
        <v>2933</v>
      </c>
      <c r="D12" s="20">
        <v>8</v>
      </c>
      <c r="E12" s="179">
        <f>VLOOKUP($B$11:$B$30,'Constr. Wage Rate Calculations'!$A$19:$Z$288,22,FALSE)</f>
        <v>64.239999999999995</v>
      </c>
      <c r="F12" s="20">
        <v>4</v>
      </c>
      <c r="G12" s="179">
        <f>VLOOKUP($B$11:$B$30,'Constr. Wage Rate Calculations'!$A$19:$Z$288,23,FALSE)</f>
        <v>96.36</v>
      </c>
      <c r="H12" s="20"/>
      <c r="I12" s="179">
        <f>VLOOKUP($B$11:$B$30,'Constr. Wage Rate Calculations'!$A$19:$Z$288,24,FALSE)</f>
        <v>128.47</v>
      </c>
      <c r="J12" s="20">
        <f>VLOOKUP($B$11:$B$30,'Constr. Wage Rate Calculations'!$A$19:$Z$288,25,FALSE)</f>
        <v>85</v>
      </c>
      <c r="K12" s="179">
        <f t="shared" si="0"/>
        <v>984.3599999999999</v>
      </c>
    </row>
    <row r="13" spans="1:13" ht="15" customHeight="1">
      <c r="A13" s="48"/>
      <c r="B13" s="49" t="str">
        <f>VLOOKUP($C$11:$C$30,Personnel!$A$1:$B$1234,2,FALSE)</f>
        <v>GENERAL FOREMAN</v>
      </c>
      <c r="C13" s="36" t="s">
        <v>1385</v>
      </c>
      <c r="D13" s="20">
        <v>1</v>
      </c>
      <c r="E13" s="179">
        <f>VLOOKUP($B$11:$B$30,'Constr. Wage Rate Calculations'!$A$19:$Z$288,22,FALSE)</f>
        <v>1332.16</v>
      </c>
      <c r="F13" s="20">
        <v>9</v>
      </c>
      <c r="G13" s="179">
        <f>VLOOKUP($B$11:$B$30,'Constr. Wage Rate Calculations'!$A$19:$Z$288,23,FALSE)</f>
        <v>0</v>
      </c>
      <c r="H13" s="20"/>
      <c r="I13" s="179">
        <f>VLOOKUP($B$11:$B$30,'Constr. Wage Rate Calculations'!$A$19:$Z$288,24,FALSE)</f>
        <v>0</v>
      </c>
      <c r="J13" s="20">
        <f>VLOOKUP($B$11:$B$30,'Constr. Wage Rate Calculations'!$A$19:$Z$288,25,FALSE)</f>
        <v>230</v>
      </c>
      <c r="K13" s="179">
        <f t="shared" si="0"/>
        <v>1562.16</v>
      </c>
    </row>
    <row r="14" spans="1:13" ht="15" customHeight="1">
      <c r="A14" s="48"/>
      <c r="B14" s="49" t="str">
        <f>VLOOKUP($C$11:$C$30,Personnel!$A$1:$B$1234,2,FALSE)</f>
        <v>PRINCIPAL OPER 1</v>
      </c>
      <c r="C14" s="36" t="s">
        <v>4151</v>
      </c>
      <c r="D14" s="20">
        <v>8</v>
      </c>
      <c r="E14" s="179">
        <f>VLOOKUP($B$11:$B$30,'Constr. Wage Rate Calculations'!$A$19:$Z$288,22,FALSE)</f>
        <v>64.239999999999995</v>
      </c>
      <c r="F14" s="20">
        <v>4</v>
      </c>
      <c r="G14" s="179">
        <f>VLOOKUP($B$11:$B$30,'Constr. Wage Rate Calculations'!$A$19:$Z$288,23,FALSE)</f>
        <v>96.36</v>
      </c>
      <c r="H14" s="20"/>
      <c r="I14" s="179">
        <f>VLOOKUP($B$11:$B$30,'Constr. Wage Rate Calculations'!$A$19:$Z$288,24,FALSE)</f>
        <v>128.47</v>
      </c>
      <c r="J14" s="20">
        <f>VLOOKUP($B$11:$B$30,'Constr. Wage Rate Calculations'!$A$19:$Z$288,25,FALSE)</f>
        <v>85</v>
      </c>
      <c r="K14" s="179">
        <f t="shared" si="0"/>
        <v>984.3599999999999</v>
      </c>
    </row>
    <row r="15" spans="1:13" ht="15" customHeight="1">
      <c r="A15" s="48"/>
      <c r="B15" s="49" t="str">
        <f>VLOOKUP($C$11:$C$30,Personnel!$A$1:$B$1234,2,FALSE)</f>
        <v>PRINCIPAL OPER 1</v>
      </c>
      <c r="C15" s="36" t="s">
        <v>3477</v>
      </c>
      <c r="D15" s="20">
        <v>8</v>
      </c>
      <c r="E15" s="179">
        <f>VLOOKUP($B$11:$B$30,'Constr. Wage Rate Calculations'!$A$19:$Z$288,22,FALSE)</f>
        <v>64.239999999999995</v>
      </c>
      <c r="F15" s="20">
        <v>4</v>
      </c>
      <c r="G15" s="179">
        <f>VLOOKUP($B$11:$B$30,'Constr. Wage Rate Calculations'!$A$19:$Z$288,23,FALSE)</f>
        <v>96.36</v>
      </c>
      <c r="H15" s="20"/>
      <c r="I15" s="179">
        <f>VLOOKUP($B$11:$B$30,'Constr. Wage Rate Calculations'!$A$19:$Z$288,24,FALSE)</f>
        <v>128.47</v>
      </c>
      <c r="J15" s="20">
        <f>VLOOKUP($B$11:$B$30,'Constr. Wage Rate Calculations'!$A$19:$Z$288,25,FALSE)</f>
        <v>85</v>
      </c>
      <c r="K15" s="179">
        <f t="shared" si="0"/>
        <v>984.3599999999999</v>
      </c>
    </row>
    <row r="16" spans="1:13" ht="15" customHeight="1">
      <c r="A16" s="48"/>
      <c r="B16" s="49" t="str">
        <f>VLOOKUP($C$11:$C$30,Personnel!$A$1:$B$1234,2,FALSE)</f>
        <v>STRAW - OPERATOR</v>
      </c>
      <c r="C16" s="36" t="s">
        <v>4152</v>
      </c>
      <c r="D16" s="20">
        <v>8</v>
      </c>
      <c r="E16" s="179">
        <f>VLOOKUP($B$11:$B$30,'Constr. Wage Rate Calculations'!$A$19:$Z$288,22,FALSE)</f>
        <v>64.239999999999995</v>
      </c>
      <c r="F16" s="20">
        <v>6</v>
      </c>
      <c r="G16" s="179">
        <f>VLOOKUP($B$11:$B$30,'Constr. Wage Rate Calculations'!$A$19:$Z$288,23,FALSE)</f>
        <v>96.36</v>
      </c>
      <c r="H16" s="20"/>
      <c r="I16" s="179">
        <f>VLOOKUP($B$11:$B$30,'Constr. Wage Rate Calculations'!$A$19:$Z$288,24,FALSE)</f>
        <v>128.47</v>
      </c>
      <c r="J16" s="20">
        <f>VLOOKUP($B$11:$B$30,'Constr. Wage Rate Calculations'!$A$19:$Z$288,25,FALSE)</f>
        <v>85</v>
      </c>
      <c r="K16" s="179">
        <f t="shared" si="0"/>
        <v>1177.08</v>
      </c>
      <c r="M16" s="1">
        <v>2</v>
      </c>
    </row>
    <row r="17" spans="1:15" ht="15" customHeight="1">
      <c r="A17" s="48"/>
      <c r="B17" s="49" t="str">
        <f>VLOOKUP($C$11:$C$30,Personnel!$A$1:$B$1234,2,FALSE)</f>
        <v>APPRENTICE OPER/OILER</v>
      </c>
      <c r="C17" s="36" t="s">
        <v>3253</v>
      </c>
      <c r="D17" s="20">
        <v>8</v>
      </c>
      <c r="E17" s="179">
        <f>VLOOKUP($B$11:$B$30,'Constr. Wage Rate Calculations'!$A$19:$Z$288,22,FALSE)</f>
        <v>49.44</v>
      </c>
      <c r="F17" s="20">
        <v>4</v>
      </c>
      <c r="G17" s="179">
        <f>VLOOKUP($B$11:$B$30,'Constr. Wage Rate Calculations'!$A$19:$Z$288,23,FALSE)</f>
        <v>74.16</v>
      </c>
      <c r="H17" s="20"/>
      <c r="I17" s="179">
        <f>VLOOKUP($B$11:$B$30,'Constr. Wage Rate Calculations'!$A$19:$Z$288,24,FALSE)</f>
        <v>98.89</v>
      </c>
      <c r="J17" s="20">
        <f>VLOOKUP($B$11:$B$30,'Constr. Wage Rate Calculations'!$A$19:$Z$288,25,FALSE)</f>
        <v>85</v>
      </c>
      <c r="K17" s="179">
        <f t="shared" si="0"/>
        <v>777.16</v>
      </c>
    </row>
    <row r="18" spans="1:15" ht="15" customHeight="1">
      <c r="A18" s="48"/>
      <c r="B18" s="49" t="str">
        <f>VLOOKUP($C$11:$C$30,Personnel!$A$1:$B$1234,2,FALSE)</f>
        <v>GENERAL LABOURER</v>
      </c>
      <c r="C18" s="36" t="s">
        <v>4189</v>
      </c>
      <c r="D18" s="20">
        <v>8</v>
      </c>
      <c r="E18" s="179">
        <f>VLOOKUP($B$11:$B$30,'Constr. Wage Rate Calculations'!$A$19:$Z$288,22,FALSE)</f>
        <v>48.1</v>
      </c>
      <c r="F18" s="20">
        <v>4</v>
      </c>
      <c r="G18" s="179">
        <f>VLOOKUP($B$11:$B$30,'Constr. Wage Rate Calculations'!$A$19:$Z$288,23,FALSE)</f>
        <v>72.150000000000006</v>
      </c>
      <c r="H18" s="20"/>
      <c r="I18" s="179">
        <f>VLOOKUP($B$11:$B$30,'Constr. Wage Rate Calculations'!$A$19:$Z$288,24,FALSE)</f>
        <v>96.2</v>
      </c>
      <c r="J18" s="20">
        <f>VLOOKUP($B$11:$B$30,'Constr. Wage Rate Calculations'!$A$19:$Z$288,25,FALSE)</f>
        <v>85</v>
      </c>
      <c r="K18" s="179">
        <f t="shared" si="0"/>
        <v>758.40000000000009</v>
      </c>
    </row>
    <row r="19" spans="1:15" ht="15" customHeight="1">
      <c r="A19" s="48"/>
      <c r="B19" s="49" t="str">
        <f>VLOOKUP($C$11:$C$30,Personnel!$A$1:$B$1234,2,FALSE)</f>
        <v>PRINCIPAL OPER 1</v>
      </c>
      <c r="C19" s="36" t="s">
        <v>3147</v>
      </c>
      <c r="D19" s="20">
        <v>8</v>
      </c>
      <c r="E19" s="179">
        <f>VLOOKUP($B$11:$B$30,'Constr. Wage Rate Calculations'!$A$19:$Z$288,22,FALSE)</f>
        <v>64.239999999999995</v>
      </c>
      <c r="F19" s="20">
        <v>4</v>
      </c>
      <c r="G19" s="179">
        <f>VLOOKUP($B$11:$B$30,'Constr. Wage Rate Calculations'!$A$19:$Z$288,23,FALSE)</f>
        <v>96.36</v>
      </c>
      <c r="H19" s="20"/>
      <c r="I19" s="179">
        <f>VLOOKUP($B$11:$B$30,'Constr. Wage Rate Calculations'!$A$19:$Z$288,24,FALSE)</f>
        <v>128.47</v>
      </c>
      <c r="J19" s="20">
        <f>VLOOKUP($B$11:$B$30,'Constr. Wage Rate Calculations'!$A$19:$Z$288,25,FALSE)</f>
        <v>85</v>
      </c>
      <c r="K19" s="179">
        <f t="shared" si="0"/>
        <v>984.3599999999999</v>
      </c>
    </row>
    <row r="20" spans="1:15" ht="15" customHeight="1">
      <c r="A20" s="48"/>
      <c r="B20" s="49" t="str">
        <f>VLOOKUP($C$11:$C$30,Personnel!$A$1:$B$1234,2,FALSE)</f>
        <v>PRINCIPAL OPER 1</v>
      </c>
      <c r="C20" s="36" t="s">
        <v>1546</v>
      </c>
      <c r="D20" s="20">
        <v>8</v>
      </c>
      <c r="E20" s="179">
        <f>VLOOKUP($B$11:$B$30,'Constr. Wage Rate Calculations'!$A$19:$Z$288,22,FALSE)</f>
        <v>64.239999999999995</v>
      </c>
      <c r="F20" s="20">
        <v>4</v>
      </c>
      <c r="G20" s="179">
        <f>VLOOKUP($B$11:$B$30,'Constr. Wage Rate Calculations'!$A$19:$Z$288,23,FALSE)</f>
        <v>96.36</v>
      </c>
      <c r="H20" s="20"/>
      <c r="I20" s="179">
        <f>VLOOKUP($B$11:$B$30,'Constr. Wage Rate Calculations'!$A$19:$Z$288,24,FALSE)</f>
        <v>128.47</v>
      </c>
      <c r="J20" s="20">
        <f>VLOOKUP($B$11:$B$30,'Constr. Wage Rate Calculations'!$A$19:$Z$288,25,FALSE)</f>
        <v>85</v>
      </c>
      <c r="K20" s="179">
        <f t="shared" si="0"/>
        <v>984.3599999999999</v>
      </c>
    </row>
    <row r="21" spans="1:15" ht="15" customHeight="1">
      <c r="A21" s="48"/>
      <c r="B21" s="49" t="str">
        <f>VLOOKUP($C$11:$C$30,Personnel!$A$1:$B$1234,2,FALSE)</f>
        <v>APPRENTICE OPER/OILER</v>
      </c>
      <c r="C21" s="36" t="s">
        <v>3476</v>
      </c>
      <c r="D21" s="20">
        <v>8</v>
      </c>
      <c r="E21" s="179">
        <f>VLOOKUP($B$11:$B$30,'Constr. Wage Rate Calculations'!$A$19:$Z$288,22,FALSE)</f>
        <v>49.44</v>
      </c>
      <c r="F21" s="20">
        <v>4</v>
      </c>
      <c r="G21" s="179">
        <f>VLOOKUP($B$11:$B$30,'Constr. Wage Rate Calculations'!$A$19:$Z$288,23,FALSE)</f>
        <v>74.16</v>
      </c>
      <c r="H21" s="20"/>
      <c r="I21" s="179">
        <f>VLOOKUP($B$11:$B$30,'Constr. Wage Rate Calculations'!$A$19:$Z$288,24,FALSE)</f>
        <v>98.89</v>
      </c>
      <c r="J21" s="20">
        <f>VLOOKUP($B$11:$B$30,'Constr. Wage Rate Calculations'!$A$19:$Z$288,25,FALSE)</f>
        <v>85</v>
      </c>
      <c r="K21" s="179">
        <f t="shared" si="0"/>
        <v>777.16</v>
      </c>
    </row>
    <row r="22" spans="1:15" ht="15" customHeight="1">
      <c r="A22" s="48"/>
      <c r="B22" s="49" t="str">
        <f>VLOOKUP($C$11:$C$30,Personnel!$A$1:$B$1234,2,FALSE)</f>
        <v>APPRENTICE OPER/OILER</v>
      </c>
      <c r="C22" s="36" t="s">
        <v>4154</v>
      </c>
      <c r="D22" s="20">
        <v>8</v>
      </c>
      <c r="E22" s="179">
        <f>VLOOKUP($B$11:$B$30,'Constr. Wage Rate Calculations'!$A$19:$Z$288,22,FALSE)</f>
        <v>49.44</v>
      </c>
      <c r="F22" s="20">
        <v>4</v>
      </c>
      <c r="G22" s="179">
        <f>VLOOKUP($B$11:$B$30,'Constr. Wage Rate Calculations'!$A$19:$Z$288,23,FALSE)</f>
        <v>74.16</v>
      </c>
      <c r="H22" s="20"/>
      <c r="I22" s="179">
        <f>VLOOKUP($B$11:$B$30,'Constr. Wage Rate Calculations'!$A$19:$Z$288,24,FALSE)</f>
        <v>98.89</v>
      </c>
      <c r="J22" s="20">
        <f>VLOOKUP($B$11:$B$30,'Constr. Wage Rate Calculations'!$A$19:$Z$288,25,FALSE)</f>
        <v>85</v>
      </c>
      <c r="K22" s="179">
        <f t="shared" si="0"/>
        <v>777.16</v>
      </c>
    </row>
    <row r="23" spans="1:15" ht="15" customHeight="1">
      <c r="A23" s="48"/>
      <c r="B23" s="49" t="str">
        <f>VLOOKUP($C$11:$C$30,Personnel!$A$1:$B$1234,2,FALSE)</f>
        <v>BUS/ CREWCAB DRIVER</v>
      </c>
      <c r="C23" s="36" t="s">
        <v>1517</v>
      </c>
      <c r="D23" s="20">
        <v>8</v>
      </c>
      <c r="E23" s="179">
        <f>VLOOKUP($B$11:$B$30,'Constr. Wage Rate Calculations'!$A$19:$Z$288,22,FALSE)</f>
        <v>56.73</v>
      </c>
      <c r="F23" s="20">
        <v>4</v>
      </c>
      <c r="G23" s="179">
        <f>VLOOKUP($B$11:$B$30,'Constr. Wage Rate Calculations'!$A$19:$Z$288,23,FALSE)</f>
        <v>85.1</v>
      </c>
      <c r="H23" s="20"/>
      <c r="I23" s="179">
        <f>VLOOKUP($B$11:$B$30,'Constr. Wage Rate Calculations'!$A$19:$Z$288,24,FALSE)</f>
        <v>113.46</v>
      </c>
      <c r="J23" s="20">
        <f>VLOOKUP($B$11:$B$30,'Constr. Wage Rate Calculations'!$A$19:$Z$288,25,FALSE)</f>
        <v>85</v>
      </c>
      <c r="K23" s="179">
        <f t="shared" si="0"/>
        <v>879.2399999999999</v>
      </c>
    </row>
    <row r="24" spans="1:15" ht="15" customHeight="1">
      <c r="A24" s="48"/>
      <c r="B24" s="49" t="str">
        <f>VLOOKUP($C$11:$C$30,Personnel!$A$1:$B$1234,2,FALSE)</f>
        <v>PRINCIPAL OPER 1</v>
      </c>
      <c r="C24" s="36" t="s">
        <v>2980</v>
      </c>
      <c r="D24" s="20">
        <v>8</v>
      </c>
      <c r="E24" s="179">
        <f>VLOOKUP($B$11:$B$30,'Constr. Wage Rate Calculations'!$A$19:$Z$288,22,FALSE)</f>
        <v>64.239999999999995</v>
      </c>
      <c r="F24" s="20">
        <v>4</v>
      </c>
      <c r="G24" s="179">
        <f>VLOOKUP($B$11:$B$30,'Constr. Wage Rate Calculations'!$A$19:$Z$288,23,FALSE)</f>
        <v>96.36</v>
      </c>
      <c r="H24" s="20"/>
      <c r="I24" s="179">
        <f>VLOOKUP($B$11:$B$30,'Constr. Wage Rate Calculations'!$A$19:$Z$288,24,FALSE)</f>
        <v>128.47</v>
      </c>
      <c r="J24" s="20">
        <f>VLOOKUP($B$11:$B$30,'Constr. Wage Rate Calculations'!$A$19:$Z$288,25,FALSE)</f>
        <v>85</v>
      </c>
      <c r="K24" s="179">
        <f t="shared" si="0"/>
        <v>984.3599999999999</v>
      </c>
    </row>
    <row r="25" spans="1:15" ht="15" customHeight="1">
      <c r="A25" s="48"/>
      <c r="B25" s="49">
        <f>VLOOKUP($C$11:$C$30,Personnel!$A$1:$B$1234,2,FALSE)</f>
        <v>0</v>
      </c>
      <c r="C25" s="36"/>
      <c r="D25" s="20"/>
      <c r="E25" s="179">
        <f>VLOOKUP($B$11:$B$30,'Constr. Wage Rate Calculations'!$A$19:$Z$288,22,FALSE)</f>
        <v>0</v>
      </c>
      <c r="F25" s="20"/>
      <c r="G25" s="179">
        <f>VLOOKUP($B$11:$B$30,'Constr. Wage Rate Calculations'!$A$19:$Z$288,23,FALSE)</f>
        <v>0</v>
      </c>
      <c r="H25" s="20"/>
      <c r="I25" s="179">
        <f>VLOOKUP($B$11:$B$30,'Constr. Wage Rate Calculations'!$A$19:$Z$288,24,FALSE)</f>
        <v>0</v>
      </c>
      <c r="J25" s="20">
        <f>VLOOKUP($B$11:$B$30,'Constr. Wage Rate Calculations'!$A$19:$Z$288,25,FALSE)</f>
        <v>0</v>
      </c>
      <c r="K25" s="179" t="str">
        <f t="shared" si="0"/>
        <v/>
      </c>
    </row>
    <row r="26" spans="1:15" ht="15" customHeight="1">
      <c r="A26" s="48"/>
      <c r="B26" s="49">
        <f>VLOOKUP($C$11:$C$30,Personnel!$A$1:$B$1234,2,FALSE)</f>
        <v>0</v>
      </c>
      <c r="C26" s="36"/>
      <c r="D26" s="20"/>
      <c r="E26" s="179">
        <f>VLOOKUP($B$11:$B$30,'Constr. Wage Rate Calculations'!$A$19:$Z$288,22,FALSE)</f>
        <v>0</v>
      </c>
      <c r="F26" s="20"/>
      <c r="G26" s="179">
        <f>VLOOKUP($B$11:$B$30,'Constr. Wage Rate Calculations'!$A$19:$Z$288,23,FALSE)</f>
        <v>0</v>
      </c>
      <c r="H26" s="20"/>
      <c r="I26" s="179">
        <f>VLOOKUP($B$11:$B$30,'Constr. Wage Rate Calculations'!$A$19:$Z$288,24,FALSE)</f>
        <v>0</v>
      </c>
      <c r="J26" s="20">
        <f>VLOOKUP($B$11:$B$30,'Constr. Wage Rate Calculations'!$A$19:$Z$288,25,FALSE)</f>
        <v>0</v>
      </c>
      <c r="K26" s="179" t="str">
        <f t="shared" si="0"/>
        <v/>
      </c>
    </row>
    <row r="27" spans="1:15" ht="15" customHeight="1">
      <c r="A27" s="48"/>
      <c r="B27" s="49">
        <f>VLOOKUP($C$11:$C$30,Personnel!$A$1:$B$1234,2,FALSE)</f>
        <v>0</v>
      </c>
      <c r="C27" s="36"/>
      <c r="D27" s="20"/>
      <c r="E27" s="179">
        <f>VLOOKUP($B$11:$B$30,'Constr. Wage Rate Calculations'!$A$19:$Z$288,22,FALSE)</f>
        <v>0</v>
      </c>
      <c r="F27" s="20"/>
      <c r="G27" s="179">
        <f>VLOOKUP($B$11:$B$30,'Constr. Wage Rate Calculations'!$A$19:$Z$288,23,FALSE)</f>
        <v>0</v>
      </c>
      <c r="H27" s="20"/>
      <c r="I27" s="179">
        <f>VLOOKUP($B$11:$B$30,'Constr. Wage Rate Calculations'!$A$19:$Z$288,24,FALSE)</f>
        <v>0</v>
      </c>
      <c r="J27" s="20">
        <f>VLOOKUP($B$11:$B$30,'Constr. Wage Rate Calculations'!$A$19:$Z$288,25,FALSE)</f>
        <v>0</v>
      </c>
      <c r="K27" s="179" t="str">
        <f t="shared" si="0"/>
        <v/>
      </c>
    </row>
    <row r="28" spans="1:15" ht="15" customHeight="1">
      <c r="A28" s="48"/>
      <c r="B28" s="49">
        <f>VLOOKUP($C$11:$C$30,Personnel!$A$1:$B$1234,2,FALSE)</f>
        <v>0</v>
      </c>
      <c r="C28" s="36"/>
      <c r="D28" s="20"/>
      <c r="E28" s="179">
        <f>VLOOKUP($B$11:$B$30,'Constr. Wage Rate Calculations'!$A$19:$Z$288,22,FALSE)</f>
        <v>0</v>
      </c>
      <c r="F28" s="20"/>
      <c r="G28" s="179">
        <f>VLOOKUP($B$11:$B$30,'Constr. Wage Rate Calculations'!$A$19:$Z$288,23,FALSE)</f>
        <v>0</v>
      </c>
      <c r="H28" s="20"/>
      <c r="I28" s="179">
        <f>VLOOKUP($B$11:$B$30,'Constr. Wage Rate Calculations'!$A$19:$Z$288,24,FALSE)</f>
        <v>0</v>
      </c>
      <c r="J28" s="20">
        <f>VLOOKUP($B$11:$B$30,'Constr. Wage Rate Calculations'!$A$19:$Z$288,25,FALSE)</f>
        <v>0</v>
      </c>
      <c r="K28" s="179" t="str">
        <f t="shared" si="0"/>
        <v/>
      </c>
    </row>
    <row r="29" spans="1:15" ht="15" customHeight="1">
      <c r="A29" s="48"/>
      <c r="B29" s="49">
        <f>VLOOKUP($C$11:$C$30,Personnel!$A$1:$B$1234,2,FALSE)</f>
        <v>0</v>
      </c>
      <c r="C29" s="36"/>
      <c r="D29" s="20"/>
      <c r="E29" s="179">
        <f>VLOOKUP($B$11:$B$30,'Constr. Wage Rate Calculations'!$A$19:$Z$288,22,FALSE)</f>
        <v>0</v>
      </c>
      <c r="F29" s="20"/>
      <c r="G29" s="179">
        <f>VLOOKUP($B$11:$B$30,'Constr. Wage Rate Calculations'!$A$19:$Z$288,23,FALSE)</f>
        <v>0</v>
      </c>
      <c r="H29" s="20"/>
      <c r="I29" s="179">
        <f>VLOOKUP($B$11:$B$30,'Constr. Wage Rate Calculations'!$A$19:$Z$288,24,FALSE)</f>
        <v>0</v>
      </c>
      <c r="J29" s="20">
        <f>VLOOKUP($B$11:$B$30,'Constr. Wage Rate Calculations'!$A$19:$Z$288,25,FALSE)</f>
        <v>0</v>
      </c>
      <c r="K29" s="179" t="str">
        <f t="shared" si="0"/>
        <v/>
      </c>
    </row>
    <row r="30" spans="1:15" ht="15" customHeight="1" thickBot="1">
      <c r="A30" s="48"/>
      <c r="B30" s="49">
        <f>VLOOKUP($C$11:$C$30,Personnel!$A$1:$B$1234,2,FALSE)</f>
        <v>0</v>
      </c>
      <c r="C30" s="36"/>
      <c r="D30" s="20"/>
      <c r="E30" s="179">
        <f>VLOOKUP($B$11:$B$30,'Constr. Wage Rate Calculations'!$A$19:$Z$288,22,FALSE)</f>
        <v>0</v>
      </c>
      <c r="F30" s="20"/>
      <c r="G30" s="179">
        <f>VLOOKUP($B$11:$B$30,'Constr. Wage Rate Calculations'!$A$19:$Z$288,23,FALSE)</f>
        <v>0</v>
      </c>
      <c r="H30" s="20"/>
      <c r="I30" s="179">
        <f>VLOOKUP($B$11:$B$30,'Constr. Wage Rate Calculations'!$A$19:$Z$288,24,FALSE)</f>
        <v>0</v>
      </c>
      <c r="J30" s="20">
        <f>VLOOKUP($B$11:$B$30,'Constr. Wage Rate Calculations'!$A$19:$Z$288,25,FALSE)</f>
        <v>0</v>
      </c>
      <c r="K30" s="179" t="str">
        <f>IF($D30&gt;=1,$J30+(D30*E30)+(F30*G30)+(H30*I30),IF($F30&gt;=1,$J30+(D30*E30)+(F30*G30)+(H30*I30),IF($H30&gt;=1,$J30+(D30*E30)+(F30*G30)+(H30*I30),"")))</f>
        <v/>
      </c>
      <c r="M30" s="1">
        <f>SUM(M11:M29)</f>
        <v>2</v>
      </c>
      <c r="N30" s="1">
        <f>SUM(N11:N29)</f>
        <v>0</v>
      </c>
    </row>
    <row r="31" spans="1:15" ht="15" customHeight="1" thickBot="1">
      <c r="A31"/>
      <c r="B31"/>
      <c r="C31"/>
      <c r="D31" s="21"/>
      <c r="E31" s="21"/>
      <c r="F31" s="21"/>
      <c r="G31" s="21"/>
      <c r="H31" s="21"/>
      <c r="I31" s="360" t="s">
        <v>18</v>
      </c>
      <c r="J31" s="361"/>
      <c r="K31" s="183">
        <f>SUM(K11:K30)</f>
        <v>12614.52</v>
      </c>
      <c r="M31" s="1">
        <f>SUMIFS(D11:D30,D11:D30,"&lt;3",D11:D30,"&lt;5")</f>
        <v>1</v>
      </c>
      <c r="N31" s="1">
        <f>SUMIFS(D11:D30,D11:D30,"&gt;3",D11:D30,"&gt;5")</f>
        <v>96</v>
      </c>
      <c r="O31" s="1">
        <f>SUM(F11:F30,H11:H30,M31,N31)-M30+N30</f>
        <v>154</v>
      </c>
    </row>
    <row r="32" spans="1:15" ht="10" customHeight="1" thickBot="1"/>
    <row r="33" spans="1:11" s="19" customFormat="1" ht="15" customHeight="1" thickBot="1">
      <c r="A33" s="22" t="s">
        <v>19</v>
      </c>
      <c r="B33" s="23" t="s">
        <v>20</v>
      </c>
      <c r="C33" s="23"/>
      <c r="D33" s="23"/>
      <c r="E33" s="23"/>
      <c r="F33" s="23"/>
      <c r="G33" s="23"/>
      <c r="H33" s="18" t="s">
        <v>21</v>
      </c>
      <c r="I33" s="18" t="s">
        <v>22</v>
      </c>
      <c r="J33" s="18" t="s">
        <v>23</v>
      </c>
      <c r="K33" s="18" t="s">
        <v>17</v>
      </c>
    </row>
    <row r="34" spans="1:11" ht="15" customHeight="1">
      <c r="A34" s="195"/>
      <c r="B34" s="49">
        <f>VLOOKUP($C$34:$C$42,Equipment!$A$1:$B$2322,2,FALSE)</f>
        <v>0</v>
      </c>
      <c r="C34" s="24"/>
      <c r="D34" s="24"/>
      <c r="E34" s="24"/>
      <c r="F34" s="24"/>
      <c r="G34" s="24"/>
      <c r="H34" s="185"/>
      <c r="I34" s="184"/>
      <c r="J34" s="42">
        <f>VLOOKUP($B$34:$B$42,'Alberta Equip. Rates Year 3'!$B$13:$K$314,10,FALSE)</f>
        <v>0</v>
      </c>
      <c r="K34" s="181">
        <f>(H34+I34)*J34</f>
        <v>0</v>
      </c>
    </row>
    <row r="35" spans="1:11" ht="15" customHeight="1">
      <c r="A35" s="196"/>
      <c r="B35" s="49" t="str">
        <f>VLOOKUP($C$34:$C$42,Equipment!$A$1:$B$2322,2,FALSE)</f>
        <v>Backhoe - Cat 345 (or Equivalent)</v>
      </c>
      <c r="C35" s="24" t="s">
        <v>2340</v>
      </c>
      <c r="D35" s="24"/>
      <c r="E35" s="24"/>
      <c r="F35" s="24"/>
      <c r="G35" s="24"/>
      <c r="H35" s="185">
        <v>1</v>
      </c>
      <c r="I35" s="184"/>
      <c r="J35" s="42">
        <f>VLOOKUP($B$34:$B$42,'Alberta Equip. Rates Year 3'!$B$13:$K$314,10,FALSE)</f>
        <v>1006</v>
      </c>
      <c r="K35" s="181">
        <f>(H35+I35)*J35</f>
        <v>1006</v>
      </c>
    </row>
    <row r="36" spans="1:11" ht="15" customHeight="1">
      <c r="A36" s="196"/>
      <c r="B36" s="49" t="str">
        <f>VLOOKUP($C$34:$C$42,Equipment!$A$1:$B$2322,2,FALSE)</f>
        <v>Backhoe - Cat 345 (or Equivalent)</v>
      </c>
      <c r="C36" s="24" t="s">
        <v>3006</v>
      </c>
      <c r="D36" s="24"/>
      <c r="E36" s="24"/>
      <c r="F36" s="24"/>
      <c r="G36" s="24"/>
      <c r="H36" s="185">
        <v>1</v>
      </c>
      <c r="I36" s="184"/>
      <c r="J36" s="42">
        <f>VLOOKUP($B$34:$B$42,'Alberta Equip. Rates Year 3'!$B$13:$K$314,10,FALSE)</f>
        <v>1006</v>
      </c>
      <c r="K36" s="181">
        <f t="shared" ref="K36:K39" si="1">(H36+I36)*J36</f>
        <v>1006</v>
      </c>
    </row>
    <row r="37" spans="1:11" ht="15" customHeight="1">
      <c r="A37" s="196"/>
      <c r="B37" s="49" t="str">
        <f>VLOOKUP($C$34:$C$42,Equipment!$A$1:$B$2322,2,FALSE)</f>
        <v>Backhoe - Cat 345 (or Equivalent)</v>
      </c>
      <c r="C37" s="24" t="s">
        <v>2923</v>
      </c>
      <c r="D37" s="24"/>
      <c r="E37" s="24"/>
      <c r="F37" s="24"/>
      <c r="G37" s="24"/>
      <c r="H37" s="185">
        <v>1</v>
      </c>
      <c r="I37" s="184"/>
      <c r="J37" s="42">
        <f>VLOOKUP($B$34:$B$42,'Alberta Equip. Rates Year 3'!$B$13:$K$314,10,FALSE)</f>
        <v>1006</v>
      </c>
      <c r="K37" s="181">
        <f>(H37+I37)*J37</f>
        <v>1006</v>
      </c>
    </row>
    <row r="38" spans="1:11" ht="15" customHeight="1">
      <c r="A38" s="196"/>
      <c r="B38" s="49" t="str">
        <f>VLOOKUP($C$34:$C$42,Equipment!$A$1:$B$2322,2,FALSE)</f>
        <v>Backhoe - Cat 345 (or Equivalent)</v>
      </c>
      <c r="C38" s="24" t="s">
        <v>3173</v>
      </c>
      <c r="D38" s="24"/>
      <c r="E38" s="24"/>
      <c r="F38" s="24"/>
      <c r="G38" s="24"/>
      <c r="H38" s="185">
        <v>1</v>
      </c>
      <c r="I38" s="184"/>
      <c r="J38" s="42">
        <f>VLOOKUP($B$34:$B$42,'Alberta Equip. Rates Year 3'!$B$13:$K$314,10,FALSE)</f>
        <v>1006</v>
      </c>
      <c r="K38" s="181">
        <f t="shared" si="1"/>
        <v>1006</v>
      </c>
    </row>
    <row r="39" spans="1:11" ht="15" customHeight="1">
      <c r="A39" s="43"/>
      <c r="B39" s="49" t="str">
        <f>VLOOKUP($C$34:$C$42,Equipment!$A$1:$B$2322,2,FALSE)</f>
        <v>Backhoe - Cat 345 (or Equivalent)</v>
      </c>
      <c r="C39" s="24" t="s">
        <v>3174</v>
      </c>
      <c r="D39" s="24"/>
      <c r="E39" s="24"/>
      <c r="F39" s="24"/>
      <c r="G39" s="24"/>
      <c r="H39" s="185">
        <v>1</v>
      </c>
      <c r="I39" s="184"/>
      <c r="J39" s="42">
        <f>VLOOKUP($B$34:$B$42,'Alberta Equip. Rates Year 3'!$B$13:$K$314,10,FALSE)</f>
        <v>1006</v>
      </c>
      <c r="K39" s="181">
        <f t="shared" si="1"/>
        <v>1006</v>
      </c>
    </row>
    <row r="40" spans="1:11" ht="15" customHeight="1">
      <c r="A40" s="43"/>
      <c r="B40" s="49" t="str">
        <f>VLOOKUP($C$34:$C$51,Equipment!$A$1:$B$2322,2,FALSE)</f>
        <v>Crewcab - 1 Ton</v>
      </c>
      <c r="C40" s="24" t="s">
        <v>2925</v>
      </c>
      <c r="D40" s="24"/>
      <c r="E40" s="24"/>
      <c r="F40" s="24"/>
      <c r="G40" s="24"/>
      <c r="H40" s="185">
        <v>1</v>
      </c>
      <c r="I40" s="184"/>
      <c r="J40" s="42">
        <f>VLOOKUP($B$34:$B$51,'Alberta Equip. Rates Year 3'!$B$13:$K$314,10,FALSE)</f>
        <v>163</v>
      </c>
      <c r="K40" s="181">
        <f t="shared" ref="K40:K51" si="2">(H40+I40)*J40</f>
        <v>163</v>
      </c>
    </row>
    <row r="41" spans="1:11" ht="15" customHeight="1">
      <c r="A41" s="43"/>
      <c r="B41" s="49" t="str">
        <f>VLOOKUP($C$34:$C$51,Equipment!$A$1:$B$2322,2,FALSE)</f>
        <v>Crewcab - 1 Ton</v>
      </c>
      <c r="C41" s="24" t="s">
        <v>4062</v>
      </c>
      <c r="D41" s="24"/>
      <c r="E41" s="24"/>
      <c r="F41" s="24"/>
      <c r="G41" s="24"/>
      <c r="H41" s="185">
        <v>1</v>
      </c>
      <c r="I41" s="184"/>
      <c r="J41" s="42">
        <f>VLOOKUP($B$34:$B$51,'Alberta Equip. Rates Year 3'!$B$13:$K$314,10,FALSE)</f>
        <v>163</v>
      </c>
      <c r="K41" s="181">
        <f t="shared" si="2"/>
        <v>163</v>
      </c>
    </row>
    <row r="42" spans="1:11" ht="15" customHeight="1">
      <c r="A42" s="43"/>
      <c r="B42" s="49" t="str">
        <f>VLOOKUP($C$34:$C$51,Equipment!$A$1:$B$2322,2,FALSE)</f>
        <v>Crewcab - 1 Ton</v>
      </c>
      <c r="C42" s="24" t="s">
        <v>4064</v>
      </c>
      <c r="D42" s="24"/>
      <c r="E42" s="24"/>
      <c r="F42" s="24"/>
      <c r="G42" s="24"/>
      <c r="H42" s="185">
        <v>1</v>
      </c>
      <c r="I42" s="184"/>
      <c r="J42" s="42">
        <f>VLOOKUP($B$34:$B$51,'Alberta Equip. Rates Year 3'!$B$13:$K$314,10,FALSE)</f>
        <v>163</v>
      </c>
      <c r="K42" s="181">
        <f t="shared" si="2"/>
        <v>163</v>
      </c>
    </row>
    <row r="43" spans="1:11" ht="15" customHeight="1">
      <c r="A43" s="43"/>
      <c r="B43" s="49" t="str">
        <f>VLOOKUP($C$34:$C$51,Equipment!$A$1:$B$2322,2,FALSE)</f>
        <v>Crewcab - 3/4 Ton</v>
      </c>
      <c r="C43" s="24" t="s">
        <v>2829</v>
      </c>
      <c r="D43" s="24"/>
      <c r="E43" s="24"/>
      <c r="F43" s="24"/>
      <c r="G43" s="24"/>
      <c r="H43" s="185">
        <v>1</v>
      </c>
      <c r="I43" s="184"/>
      <c r="J43" s="42">
        <f>VLOOKUP($B$34:$B$51,'Alberta Equip. Rates Year 3'!$B$13:$K$314,10,FALSE)</f>
        <v>153</v>
      </c>
      <c r="K43" s="181">
        <f t="shared" si="2"/>
        <v>153</v>
      </c>
    </row>
    <row r="44" spans="1:11" ht="15" customHeight="1">
      <c r="A44" s="43"/>
      <c r="B44" s="49" t="str">
        <f>VLOOKUP($C$34:$C$51,Equipment!$A$1:$B$2322,2,FALSE)</f>
        <v>Crewcab - 3/4 Ton</v>
      </c>
      <c r="C44" s="24" t="s">
        <v>3125</v>
      </c>
      <c r="D44" s="24"/>
      <c r="E44" s="24"/>
      <c r="F44" s="24"/>
      <c r="G44" s="24"/>
      <c r="H44" s="185">
        <v>1</v>
      </c>
      <c r="I44" s="184"/>
      <c r="J44" s="42">
        <f>VLOOKUP($B$34:$B$51,'Alberta Equip. Rates Year 3'!$B$13:$K$314,10,FALSE)</f>
        <v>153</v>
      </c>
      <c r="K44" s="181">
        <f t="shared" si="2"/>
        <v>153</v>
      </c>
    </row>
    <row r="45" spans="1:11" ht="15" customHeight="1">
      <c r="A45" s="43"/>
      <c r="B45" s="49" t="str">
        <f>VLOOKUP($C$34:$C$51,Equipment!$A$1:$B$2322,2,FALSE)</f>
        <v>Crewcab - 3/4 Ton</v>
      </c>
      <c r="C45" s="24" t="s">
        <v>4092</v>
      </c>
      <c r="D45" s="24"/>
      <c r="E45" s="24"/>
      <c r="F45" s="24"/>
      <c r="G45" s="24"/>
      <c r="H45" s="185">
        <v>1</v>
      </c>
      <c r="I45" s="184"/>
      <c r="J45" s="42">
        <f>VLOOKUP($B$34:$B$51,'Alberta Equip. Rates Year 3'!$B$13:$K$314,10,FALSE)</f>
        <v>153</v>
      </c>
      <c r="K45" s="181">
        <f t="shared" si="2"/>
        <v>153</v>
      </c>
    </row>
    <row r="46" spans="1:11" ht="15" customHeight="1">
      <c r="A46" s="43"/>
      <c r="B46" s="49" t="str">
        <f>VLOOKUP($C$34:$C$51,Equipment!$A$1:$B$2322,2,FALSE)</f>
        <v>Dozer - D8T (or equivalent)</v>
      </c>
      <c r="C46" s="24" t="s">
        <v>3068</v>
      </c>
      <c r="D46" s="24"/>
      <c r="E46" s="24"/>
      <c r="F46" s="24"/>
      <c r="G46" s="24"/>
      <c r="H46" s="185">
        <v>1</v>
      </c>
      <c r="I46" s="184"/>
      <c r="J46" s="42">
        <f>VLOOKUP($B$34:$B$51,'Alberta Equip. Rates Year 3'!$B$13:$K$314,10,FALSE)</f>
        <v>1165</v>
      </c>
      <c r="K46" s="181">
        <f t="shared" si="2"/>
        <v>1165</v>
      </c>
    </row>
    <row r="47" spans="1:11" ht="15" customHeight="1">
      <c r="A47" s="43"/>
      <c r="B47" s="49" t="str">
        <f>VLOOKUP($C$34:$C$51,Equipment!$A$1:$B$2322,2,FALSE)</f>
        <v>Articulated Dump Truck - Cat/Volvo 40 Ton</v>
      </c>
      <c r="C47" s="24" t="s">
        <v>3646</v>
      </c>
      <c r="D47" s="24"/>
      <c r="E47" s="24"/>
      <c r="F47" s="24"/>
      <c r="G47" s="24"/>
      <c r="H47" s="185">
        <v>1</v>
      </c>
      <c r="I47" s="184"/>
      <c r="J47" s="42">
        <f>VLOOKUP($B$34:$B$51,'Alberta Equip. Rates Year 3'!$B$13:$K$314,10,FALSE)</f>
        <v>1218</v>
      </c>
      <c r="K47" s="181">
        <f t="shared" si="2"/>
        <v>1218</v>
      </c>
    </row>
    <row r="48" spans="1:11" ht="15" customHeight="1">
      <c r="A48" s="43"/>
      <c r="B48" s="49" t="str">
        <f>VLOOKUP($C$34:$C$51,Equipment!$A$1:$B$2322,2,FALSE)</f>
        <v xml:space="preserve">Backhoe - Cat 365 </v>
      </c>
      <c r="C48" s="24" t="s">
        <v>4196</v>
      </c>
      <c r="D48" s="24"/>
      <c r="E48" s="24"/>
      <c r="F48" s="24"/>
      <c r="G48" s="24"/>
      <c r="H48" s="185">
        <v>1</v>
      </c>
      <c r="I48" s="184"/>
      <c r="J48" s="42">
        <f>VLOOKUP($B$34:$B$51,'Alberta Equip. Rates Year 3'!$B$13:$K$314,10,FALSE)</f>
        <v>1371</v>
      </c>
      <c r="K48" s="181">
        <f>(H48+I48)*J48</f>
        <v>1371</v>
      </c>
    </row>
    <row r="49" spans="1:11" ht="15" customHeight="1">
      <c r="A49" s="43"/>
      <c r="B49" s="49">
        <f>VLOOKUP($C$34:$C$51,Equipment!$A$1:$B$2322,2,FALSE)</f>
        <v>0</v>
      </c>
      <c r="C49" s="24"/>
      <c r="D49" s="24"/>
      <c r="E49" s="24"/>
      <c r="F49" s="24"/>
      <c r="G49" s="24"/>
      <c r="H49" s="185">
        <v>1</v>
      </c>
      <c r="I49" s="184"/>
      <c r="J49" s="42">
        <f>VLOOKUP($B$34:$B$51,'Alberta Equip. Rates Year 3'!$B$13:$K$314,10,FALSE)</f>
        <v>0</v>
      </c>
      <c r="K49" s="181">
        <f t="shared" si="2"/>
        <v>0</v>
      </c>
    </row>
    <row r="50" spans="1:11" ht="15" customHeight="1">
      <c r="A50" s="43"/>
      <c r="B50" s="49">
        <f>VLOOKUP($C$34:$C$51,Equipment!$A$1:$B$2322,2,FALSE)</f>
        <v>0</v>
      </c>
      <c r="C50" s="24"/>
      <c r="D50" s="24"/>
      <c r="E50" s="24"/>
      <c r="F50" s="24"/>
      <c r="G50" s="24"/>
      <c r="H50" s="185"/>
      <c r="I50" s="184"/>
      <c r="J50" s="42">
        <f>VLOOKUP($B$34:$B$51,'Alberta Equip. Rates Year 3'!$B$13:$K$314,10,FALSE)</f>
        <v>0</v>
      </c>
      <c r="K50" s="181">
        <f t="shared" si="2"/>
        <v>0</v>
      </c>
    </row>
    <row r="51" spans="1:11" ht="15" customHeight="1" thickBot="1">
      <c r="A51" s="43"/>
      <c r="B51" s="49">
        <f>VLOOKUP($C$34:$C$51,Equipment!$A$1:$B$2322,2,FALSE)</f>
        <v>0</v>
      </c>
      <c r="C51" s="24"/>
      <c r="D51" s="24"/>
      <c r="E51" s="24"/>
      <c r="F51" s="24"/>
      <c r="G51" s="24"/>
      <c r="H51" s="185"/>
      <c r="I51" s="184"/>
      <c r="J51" s="42">
        <f>VLOOKUP($B$34:$B$51,'Alberta Equip. Rates Year 3'!$B$13:$K$314,10,FALSE)</f>
        <v>0</v>
      </c>
      <c r="K51" s="181">
        <f t="shared" si="2"/>
        <v>0</v>
      </c>
    </row>
    <row r="52" spans="1:11" ht="12" thickBot="1">
      <c r="A52" s="25"/>
      <c r="B52" s="25"/>
      <c r="C52" s="25"/>
      <c r="D52" s="21"/>
      <c r="E52" s="21"/>
      <c r="F52" s="21"/>
      <c r="G52" s="21"/>
      <c r="H52" s="21"/>
      <c r="I52" s="360" t="s">
        <v>24</v>
      </c>
      <c r="J52" s="361"/>
      <c r="K52" s="182">
        <f>SUM(K34:K51)</f>
        <v>9732</v>
      </c>
    </row>
    <row r="53" spans="1:11" ht="12" thickBot="1">
      <c r="A53" s="26"/>
      <c r="D53" s="26"/>
      <c r="I53" s="27"/>
      <c r="J53" s="27"/>
      <c r="K53" s="28"/>
    </row>
    <row r="54" spans="1:11">
      <c r="A54" s="1" t="s">
        <v>25</v>
      </c>
      <c r="B54" s="29"/>
      <c r="D54" s="1"/>
      <c r="E54" s="1"/>
      <c r="F54" s="1"/>
      <c r="G54" s="1"/>
      <c r="H54" s="1"/>
      <c r="I54" s="362" t="s">
        <v>26</v>
      </c>
      <c r="J54" s="362"/>
      <c r="K54" s="37">
        <f>K31</f>
        <v>12614.52</v>
      </c>
    </row>
    <row r="55" spans="1:11">
      <c r="D55" s="1"/>
      <c r="E55" s="1"/>
      <c r="F55" s="1"/>
      <c r="G55" s="1"/>
      <c r="H55" s="1"/>
      <c r="I55" s="362" t="s">
        <v>27</v>
      </c>
      <c r="J55" s="362"/>
      <c r="K55" s="38">
        <f>K52</f>
        <v>9732</v>
      </c>
    </row>
    <row r="56" spans="1:11">
      <c r="D56" s="1"/>
      <c r="E56" s="1"/>
      <c r="F56" s="1"/>
      <c r="G56" s="1"/>
      <c r="H56" s="1"/>
      <c r="I56" s="27" t="s">
        <v>28</v>
      </c>
      <c r="J56" s="27"/>
      <c r="K56" s="38">
        <f>(O31)*14.15</f>
        <v>2179.1</v>
      </c>
    </row>
    <row r="57" spans="1:11">
      <c r="D57" s="1"/>
      <c r="E57" s="1"/>
      <c r="F57" s="1"/>
      <c r="G57" s="1"/>
      <c r="H57" s="1"/>
      <c r="I57" s="30" t="s">
        <v>29</v>
      </c>
      <c r="J57" s="30"/>
      <c r="K57" s="39"/>
    </row>
    <row r="58" spans="1:11">
      <c r="D58" s="1"/>
      <c r="E58" s="1"/>
      <c r="F58" s="1"/>
      <c r="G58" s="1"/>
      <c r="H58" s="1"/>
      <c r="I58" s="30" t="s">
        <v>30</v>
      </c>
      <c r="J58" s="30"/>
      <c r="K58" s="39"/>
    </row>
    <row r="59" spans="1:11">
      <c r="D59" s="1"/>
      <c r="E59" s="1"/>
      <c r="F59" s="1"/>
      <c r="G59" s="1"/>
      <c r="H59" s="1"/>
      <c r="I59" s="30" t="s">
        <v>31</v>
      </c>
      <c r="J59" s="30"/>
      <c r="K59" s="39"/>
    </row>
    <row r="60" spans="1:11" ht="12" thickBot="1">
      <c r="D60" s="1"/>
      <c r="E60" s="1"/>
      <c r="F60" s="1"/>
      <c r="G60" s="1"/>
      <c r="H60" s="1"/>
      <c r="I60" s="362" t="s">
        <v>32</v>
      </c>
      <c r="J60" s="362"/>
      <c r="K60" s="40">
        <f>SUM(K54:K59)</f>
        <v>24525.62</v>
      </c>
    </row>
    <row r="61" spans="1:11">
      <c r="D61" s="1"/>
      <c r="E61" s="1"/>
      <c r="F61" s="1"/>
      <c r="G61" s="1"/>
      <c r="H61" s="1"/>
      <c r="I61" s="27"/>
      <c r="J61" s="27"/>
    </row>
    <row r="62" spans="1:11">
      <c r="A62" s="31" t="s">
        <v>33</v>
      </c>
      <c r="B62" s="32"/>
      <c r="C62" s="32"/>
      <c r="D62" s="1"/>
      <c r="H62" s="33" t="s">
        <v>34</v>
      </c>
      <c r="I62" s="32"/>
      <c r="J62" s="32"/>
      <c r="K62" s="32"/>
    </row>
    <row r="63" spans="1:11" ht="15">
      <c r="A63" s="34"/>
      <c r="E63" s="8"/>
      <c r="F63" s="8"/>
      <c r="G63" s="8"/>
      <c r="H63" s="35"/>
      <c r="I63" s="35"/>
      <c r="J63" s="35"/>
      <c r="K63" s="35"/>
    </row>
    <row r="64" spans="1:11" ht="15">
      <c r="A64" s="34" t="s">
        <v>35</v>
      </c>
      <c r="E64" s="8"/>
      <c r="F64" s="8"/>
      <c r="G64" s="8"/>
      <c r="H64" s="35"/>
      <c r="I64" s="35"/>
      <c r="J64" s="35"/>
      <c r="K64" s="35"/>
    </row>
    <row r="65" spans="1:11" s="34" customFormat="1">
      <c r="A65" s="363">
        <v>41218.479166666664</v>
      </c>
      <c r="B65" s="363"/>
      <c r="C65" s="364"/>
      <c r="D65" s="364"/>
      <c r="E65" s="364"/>
      <c r="F65" s="364"/>
      <c r="G65" s="364"/>
      <c r="H65" s="364"/>
      <c r="I65" s="364"/>
      <c r="J65" s="364"/>
      <c r="K65" s="8"/>
    </row>
    <row r="75" spans="1:11">
      <c r="D75" s="1"/>
      <c r="E75" s="1"/>
      <c r="F75" s="1"/>
      <c r="G75" s="1"/>
      <c r="H75" s="1"/>
      <c r="I75" s="1"/>
      <c r="J75" s="1"/>
    </row>
    <row r="76" spans="1:11">
      <c r="D76" s="1"/>
      <c r="E76" s="1"/>
      <c r="F76" s="1"/>
      <c r="G76" s="1"/>
      <c r="H76" s="1"/>
      <c r="I76" s="1"/>
      <c r="J76" s="1"/>
    </row>
    <row r="77" spans="1:11">
      <c r="D77" s="1"/>
      <c r="E77" s="1"/>
      <c r="F77" s="1"/>
      <c r="G77" s="1"/>
      <c r="H77" s="1"/>
      <c r="I77" s="1"/>
      <c r="J77" s="1"/>
    </row>
    <row r="78" spans="1:11">
      <c r="D78" s="1"/>
      <c r="E78" s="1"/>
      <c r="F78" s="1"/>
      <c r="G78" s="1"/>
      <c r="H78" s="1"/>
      <c r="I78" s="1"/>
      <c r="J78" s="1"/>
    </row>
    <row r="79" spans="1:11">
      <c r="D79" s="1"/>
      <c r="E79" s="1"/>
      <c r="F79" s="1"/>
      <c r="G79" s="1"/>
      <c r="H79" s="1"/>
      <c r="I79" s="1"/>
      <c r="J79" s="1"/>
    </row>
    <row r="80" spans="1:11">
      <c r="D80" s="1"/>
      <c r="E80" s="1"/>
      <c r="F80" s="1"/>
      <c r="G80" s="1"/>
      <c r="H80" s="1"/>
      <c r="I80" s="1"/>
      <c r="J80" s="1"/>
    </row>
    <row r="81" s="1" customFormat="1"/>
    <row r="82" s="1" customFormat="1"/>
    <row r="83" s="1" customFormat="1"/>
    <row r="84" s="1" customFormat="1"/>
    <row r="85" s="1" customFormat="1"/>
    <row r="86" s="1" customFormat="1"/>
    <row r="87" s="1" customFormat="1"/>
    <row r="88" s="1" customFormat="1"/>
    <row r="93" s="1" customFormat="1"/>
    <row r="121" s="1" customFormat="1"/>
    <row r="122" s="1" customFormat="1"/>
    <row r="123" s="1" customFormat="1"/>
    <row r="124" s="1" customFormat="1"/>
  </sheetData>
  <mergeCells count="12">
    <mergeCell ref="I52:J52"/>
    <mergeCell ref="I54:J54"/>
    <mergeCell ref="I55:J55"/>
    <mergeCell ref="I60:J60"/>
    <mergeCell ref="A65:B65"/>
    <mergeCell ref="C65:J65"/>
    <mergeCell ref="I31:J31"/>
    <mergeCell ref="C1:H1"/>
    <mergeCell ref="C2:H2"/>
    <mergeCell ref="C3:H3"/>
    <mergeCell ref="H6:I6"/>
    <mergeCell ref="H7:I7"/>
  </mergeCells>
  <printOptions horizontalCentered="1"/>
  <pageMargins left="0.19685039370078741" right="0.19685039370078741" top="0.39370078740157483" bottom="0.39370078740157483" header="0" footer="0"/>
  <pageSetup orientation="portrait" horizontalDpi="4294967292" verticalDpi="4294967292"/>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2E00-000000000000}">
          <x14:formula1>
            <xm:f>Accounts!$A$4:$A$60</xm:f>
          </x14:formula1>
          <xm:sqref>K7</xm:sqref>
        </x14:dataValidation>
        <x14:dataValidation type="list" allowBlank="1" showInputMessage="1" showErrorMessage="1" xr:uid="{00000000-0002-0000-2E00-000001000000}">
          <x14:formula1>
            <xm:f>'Constr. Wage Rate Calculations'!$A$19:$A$288</xm:f>
          </x14:formula1>
          <xm:sqref>B11:B30</xm:sqref>
        </x14:dataValidation>
        <x14:dataValidation type="list" allowBlank="1" showInputMessage="1" showErrorMessage="1" xr:uid="{00000000-0002-0000-2E00-000002000000}">
          <x14:formula1>
            <xm:f>Personnel!$A:$A</xm:f>
          </x14:formula1>
          <xm:sqref>C11:C30</xm:sqref>
        </x14:dataValidation>
        <x14:dataValidation type="list" allowBlank="1" showInputMessage="1" showErrorMessage="1" xr:uid="{00000000-0002-0000-2E00-000003000000}">
          <x14:formula1>
            <xm:f>Equipment!$A:$A</xm:f>
          </x14:formula1>
          <xm:sqref>C34:C51</xm:sqref>
        </x14:dataValidation>
      </x14:dataValidations>
    </ext>
    <ext xmlns:mx="http://schemas.microsoft.com/office/mac/excel/2008/main" uri="{64002731-A6B0-56B0-2670-7721B7C09600}">
      <mx:PLV Mode="0" OnePage="0" WScale="0"/>
    </ext>
  </extLs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CCFFCC"/>
    <pageSetUpPr fitToPage="1"/>
  </sheetPr>
  <dimension ref="A1:O149"/>
  <sheetViews>
    <sheetView zoomScale="120" zoomScaleNormal="120" zoomScalePageLayoutView="120" workbookViewId="0">
      <selection activeCell="D12" sqref="D12"/>
    </sheetView>
  </sheetViews>
  <sheetFormatPr baseColWidth="10" defaultColWidth="8.83203125" defaultRowHeight="11"/>
  <cols>
    <col min="1" max="1" width="13" style="1" customWidth="1"/>
    <col min="2" max="2" width="30" style="1" customWidth="1"/>
    <col min="3" max="3" width="24.5" style="1" customWidth="1"/>
    <col min="4" max="4" width="8.6640625" style="2" customWidth="1"/>
    <col min="5" max="6" width="8.33203125" style="2" customWidth="1"/>
    <col min="7" max="8" width="8.6640625" style="2" customWidth="1"/>
    <col min="9" max="9" width="9.33203125" style="2" customWidth="1"/>
    <col min="10" max="10" width="8.6640625" style="2" customWidth="1"/>
    <col min="11" max="11" width="19.5" style="1" customWidth="1"/>
    <col min="12" max="12" width="3.5" style="1" hidden="1" customWidth="1"/>
    <col min="13" max="16384" width="8.83203125" style="1"/>
  </cols>
  <sheetData>
    <row r="1" spans="1:13" ht="15">
      <c r="C1" s="364"/>
      <c r="D1" s="365"/>
      <c r="E1" s="365"/>
      <c r="F1" s="365"/>
      <c r="G1" s="365"/>
      <c r="H1" s="366"/>
      <c r="J1" s="2" t="s">
        <v>0</v>
      </c>
      <c r="K1" s="197">
        <v>41659</v>
      </c>
      <c r="M1" s="45"/>
    </row>
    <row r="2" spans="1:13" ht="15">
      <c r="C2" s="367"/>
      <c r="D2" s="367"/>
      <c r="E2" s="367"/>
      <c r="F2" s="367"/>
      <c r="G2" s="367"/>
      <c r="H2" s="366"/>
      <c r="K2" s="41"/>
    </row>
    <row r="3" spans="1:13" ht="15">
      <c r="C3" s="368"/>
      <c r="D3" s="369"/>
      <c r="E3" s="369"/>
      <c r="F3" s="369"/>
      <c r="G3" s="369"/>
      <c r="H3" s="366"/>
    </row>
    <row r="4" spans="1:13">
      <c r="C4" s="3"/>
      <c r="D4" s="4"/>
      <c r="E4" s="4"/>
      <c r="F4" s="4"/>
      <c r="G4" s="4"/>
    </row>
    <row r="5" spans="1:13">
      <c r="C5" s="3"/>
      <c r="D5" s="4"/>
      <c r="E5" s="4"/>
      <c r="F5" s="4"/>
      <c r="G5" s="4"/>
    </row>
    <row r="6" spans="1:13" ht="12">
      <c r="B6" s="5"/>
      <c r="C6" s="6"/>
      <c r="D6" s="7"/>
      <c r="E6" s="8"/>
      <c r="F6" s="8"/>
      <c r="G6" s="1" t="s">
        <v>1</v>
      </c>
      <c r="H6" s="370">
        <v>18200</v>
      </c>
      <c r="I6" s="370"/>
      <c r="J6" s="1" t="s">
        <v>2</v>
      </c>
      <c r="K6" s="47"/>
    </row>
    <row r="7" spans="1:13" ht="12">
      <c r="A7" s="1" t="s">
        <v>3</v>
      </c>
      <c r="B7" s="9"/>
      <c r="C7" s="10"/>
      <c r="D7" s="11"/>
      <c r="E7" s="8"/>
      <c r="F7" s="8"/>
      <c r="G7" s="1" t="s">
        <v>4</v>
      </c>
      <c r="H7" s="371"/>
      <c r="I7" s="371"/>
      <c r="J7" s="1" t="s">
        <v>5</v>
      </c>
      <c r="K7" s="46"/>
    </row>
    <row r="8" spans="1:13" ht="12">
      <c r="B8" s="12"/>
      <c r="C8" s="13"/>
      <c r="D8" s="14"/>
      <c r="E8" s="8"/>
      <c r="F8" s="8"/>
      <c r="G8" s="1" t="s">
        <v>6</v>
      </c>
      <c r="H8" s="187"/>
      <c r="I8" s="188"/>
      <c r="J8" s="44"/>
    </row>
    <row r="9" spans="1:13" ht="16" thickBot="1">
      <c r="B9" s="15"/>
      <c r="C9" s="16"/>
      <c r="D9" s="16"/>
      <c r="E9" s="8"/>
      <c r="F9" s="8"/>
      <c r="G9" s="8"/>
    </row>
    <row r="10" spans="1:13" s="19" customFormat="1" ht="12" thickBot="1">
      <c r="A10" s="17" t="s">
        <v>7</v>
      </c>
      <c r="B10" s="17" t="s">
        <v>8</v>
      </c>
      <c r="C10" s="17" t="s">
        <v>9</v>
      </c>
      <c r="D10" s="18" t="s">
        <v>10</v>
      </c>
      <c r="E10" s="18" t="s">
        <v>11</v>
      </c>
      <c r="F10" s="18" t="s">
        <v>12</v>
      </c>
      <c r="G10" s="180" t="s">
        <v>13</v>
      </c>
      <c r="H10" s="18" t="s">
        <v>14</v>
      </c>
      <c r="I10" s="18" t="s">
        <v>15</v>
      </c>
      <c r="J10" s="18" t="s">
        <v>16</v>
      </c>
      <c r="K10" s="18" t="s">
        <v>17</v>
      </c>
      <c r="M10" s="19" t="s">
        <v>1797</v>
      </c>
    </row>
    <row r="11" spans="1:13" ht="15" customHeight="1">
      <c r="A11" s="48"/>
      <c r="B11" s="49">
        <f>VLOOKUP($C$11:$C$46,Personnel!$A$1:$B$1234,2,FALSE)</f>
        <v>0</v>
      </c>
      <c r="C11" s="36"/>
      <c r="D11" s="184"/>
      <c r="E11" s="179">
        <f>VLOOKUP($B$11:$B$46,'Constr. Wage Rate Calculations'!$A$19:$Z$288,22,FALSE)</f>
        <v>0</v>
      </c>
      <c r="F11" s="184"/>
      <c r="G11" s="179">
        <f>VLOOKUP($B$11:$B$46,'Constr. Wage Rate Calculations'!$A$19:$Z$288,23,FALSE)</f>
        <v>0</v>
      </c>
      <c r="H11" s="184"/>
      <c r="I11" s="179">
        <f>VLOOKUP($B$11:$B$46,'Constr. Wage Rate Calculations'!$A$19:$Z$288,24,FALSE)</f>
        <v>0</v>
      </c>
      <c r="J11" s="20">
        <f>VLOOKUP($B$11:$B$46,'Constr. Wage Rate Calculations'!$A$19:$Z$288,25,FALSE)</f>
        <v>0</v>
      </c>
      <c r="K11" s="179" t="str">
        <f t="shared" ref="K11:K46" si="0">IF($D11&gt;=1,$J11+(D11*E11)+(F11*G11)+(H11*I11),IF($F11&gt;=1,$J11+(D11*E11)+(F11*G11)+(H11*I11),IF($H11&gt;=1,$J11+(D11*E11)+(F11*G11)+(H11*I11),"")))</f>
        <v/>
      </c>
    </row>
    <row r="12" spans="1:13" ht="15" customHeight="1">
      <c r="A12" s="48"/>
      <c r="B12" s="49" t="str">
        <f>VLOOKUP($C$11:$C$46,Personnel!$A$1:$B$1234,2,FALSE)</f>
        <v>SET-IN/SET UP DRIVERS (BEND &amp; WELD)</v>
      </c>
      <c r="C12" s="36" t="s">
        <v>962</v>
      </c>
      <c r="D12" s="184">
        <v>8</v>
      </c>
      <c r="E12" s="179">
        <f>VLOOKUP($B$11:$B$46,'Constr. Wage Rate Calculations'!$A$19:$Z$288,22,FALSE)</f>
        <v>64.540000000000006</v>
      </c>
      <c r="F12" s="184">
        <v>3</v>
      </c>
      <c r="G12" s="179">
        <f>VLOOKUP($B$11:$B$46,'Constr. Wage Rate Calculations'!$A$19:$Z$288,23,FALSE)</f>
        <v>96.81</v>
      </c>
      <c r="H12" s="184"/>
      <c r="I12" s="179">
        <f>VLOOKUP($B$11:$B$46,'Constr. Wage Rate Calculations'!$A$19:$Z$288,24,FALSE)</f>
        <v>129.08000000000001</v>
      </c>
      <c r="J12" s="20">
        <f>VLOOKUP($B$11:$B$46,'Constr. Wage Rate Calculations'!$A$19:$Z$288,25,FALSE)</f>
        <v>85</v>
      </c>
      <c r="K12" s="179">
        <f t="shared" si="0"/>
        <v>891.75</v>
      </c>
      <c r="M12" s="1">
        <v>1</v>
      </c>
    </row>
    <row r="13" spans="1:13" ht="15" customHeight="1">
      <c r="A13" s="48"/>
      <c r="B13" s="49" t="str">
        <f>VLOOKUP($C$11:$C$46,Personnel!$A$1:$B$1234,2,FALSE)</f>
        <v>SET-IN/SET UP DRIVERS (BEND &amp; WELD)</v>
      </c>
      <c r="C13" s="36" t="s">
        <v>3011</v>
      </c>
      <c r="D13" s="184">
        <v>8</v>
      </c>
      <c r="E13" s="179">
        <f>VLOOKUP($B$11:$B$46,'Constr. Wage Rate Calculations'!$A$19:$Z$288,22,FALSE)</f>
        <v>64.540000000000006</v>
      </c>
      <c r="F13" s="184">
        <v>2</v>
      </c>
      <c r="G13" s="179">
        <f>VLOOKUP($B$11:$B$46,'Constr. Wage Rate Calculations'!$A$19:$Z$288,23,FALSE)</f>
        <v>96.81</v>
      </c>
      <c r="H13" s="184"/>
      <c r="I13" s="179">
        <f>VLOOKUP($B$11:$B$46,'Constr. Wage Rate Calculations'!$A$19:$Z$288,24,FALSE)</f>
        <v>129.08000000000001</v>
      </c>
      <c r="J13" s="20">
        <f>VLOOKUP($B$11:$B$46,'Constr. Wage Rate Calculations'!$A$19:$Z$288,25,FALSE)</f>
        <v>85</v>
      </c>
      <c r="K13" s="179">
        <f t="shared" si="0"/>
        <v>794.94</v>
      </c>
    </row>
    <row r="14" spans="1:13" ht="15" customHeight="1">
      <c r="A14" s="48"/>
      <c r="B14" s="49" t="str">
        <f>VLOOKUP($C$11:$C$46,Personnel!$A$1:$B$1234,2,FALSE)</f>
        <v>PICKER TRUCK DRIVER &gt; 12 TON</v>
      </c>
      <c r="C14" s="36" t="s">
        <v>1644</v>
      </c>
      <c r="D14" s="184">
        <v>8</v>
      </c>
      <c r="E14" s="179">
        <f>VLOOKUP($B$11:$B$46,'Constr. Wage Rate Calculations'!$A$19:$Z$288,22,FALSE)</f>
        <v>64.239999999999995</v>
      </c>
      <c r="F14" s="184">
        <v>4</v>
      </c>
      <c r="G14" s="179">
        <f>VLOOKUP($B$11:$B$46,'Constr. Wage Rate Calculations'!$A$19:$Z$288,23,FALSE)</f>
        <v>96.37</v>
      </c>
      <c r="H14" s="184"/>
      <c r="I14" s="179">
        <f>VLOOKUP($B$11:$B$46,'Constr. Wage Rate Calculations'!$A$19:$Z$288,24,FALSE)</f>
        <v>128.49</v>
      </c>
      <c r="J14" s="20">
        <f>VLOOKUP($B$11:$B$46,'Constr. Wage Rate Calculations'!$A$19:$Z$288,25,FALSE)</f>
        <v>85</v>
      </c>
      <c r="K14" s="179">
        <f t="shared" si="0"/>
        <v>984.4</v>
      </c>
      <c r="M14" s="1">
        <v>2</v>
      </c>
    </row>
    <row r="15" spans="1:13" ht="15" customHeight="1">
      <c r="A15" s="48"/>
      <c r="B15" s="49" t="str">
        <f>VLOOKUP($C$11:$C$46,Personnel!$A$1:$B$1234,2,FALSE)</f>
        <v>GENERAL LABOURER</v>
      </c>
      <c r="C15" s="36" t="s">
        <v>4072</v>
      </c>
      <c r="D15" s="184">
        <v>8</v>
      </c>
      <c r="E15" s="179">
        <f>VLOOKUP($B$11:$B$46,'Constr. Wage Rate Calculations'!$A$19:$Z$288,22,FALSE)</f>
        <v>48.1</v>
      </c>
      <c r="F15" s="184">
        <v>2</v>
      </c>
      <c r="G15" s="179">
        <f>VLOOKUP($B$11:$B$46,'Constr. Wage Rate Calculations'!$A$19:$Z$288,23,FALSE)</f>
        <v>72.150000000000006</v>
      </c>
      <c r="H15" s="184"/>
      <c r="I15" s="179">
        <f>VLOOKUP($B$11:$B$46,'Constr. Wage Rate Calculations'!$A$19:$Z$288,24,FALSE)</f>
        <v>96.2</v>
      </c>
      <c r="J15" s="20">
        <f>VLOOKUP($B$11:$B$46,'Constr. Wage Rate Calculations'!$A$19:$Z$288,25,FALSE)</f>
        <v>85</v>
      </c>
      <c r="K15" s="179">
        <f t="shared" si="0"/>
        <v>614.1</v>
      </c>
    </row>
    <row r="16" spans="1:13" ht="15" customHeight="1">
      <c r="A16" s="48" t="s">
        <v>4040</v>
      </c>
      <c r="B16" s="49" t="str">
        <f>VLOOKUP($C$11:$C$46,Personnel!$A$1:$B$1234,2,FALSE)</f>
        <v>STRAW  - FITTER ON STICK WELD SPREAD (QI APPLIES)</v>
      </c>
      <c r="C16" s="36" t="s">
        <v>2523</v>
      </c>
      <c r="D16" s="184">
        <v>8</v>
      </c>
      <c r="E16" s="179">
        <f>VLOOKUP($B$11:$B$46,'Constr. Wage Rate Calculations'!$A$19:$Z$288,22,FALSE)</f>
        <v>82.81</v>
      </c>
      <c r="F16" s="184">
        <v>4</v>
      </c>
      <c r="G16" s="179">
        <f>VLOOKUP($B$11:$B$46,'Constr. Wage Rate Calculations'!$A$19:$Z$288,23,FALSE)</f>
        <v>124.21</v>
      </c>
      <c r="H16" s="184"/>
      <c r="I16" s="179">
        <f>VLOOKUP($B$11:$B$46,'Constr. Wage Rate Calculations'!$A$19:$Z$288,24,FALSE)</f>
        <v>165.62</v>
      </c>
      <c r="J16" s="20">
        <f>VLOOKUP($B$11:$B$46,'Constr. Wage Rate Calculations'!$A$19:$Z$288,25,FALSE)</f>
        <v>85</v>
      </c>
      <c r="K16" s="179">
        <f t="shared" si="0"/>
        <v>1244.32</v>
      </c>
      <c r="M16" s="1">
        <v>2</v>
      </c>
    </row>
    <row r="17" spans="1:13" ht="15" customHeight="1">
      <c r="A17" s="48"/>
      <c r="B17" s="49" t="str">
        <f>VLOOKUP($C$11:$C$46,Personnel!$A$1:$B$1234,2,FALSE)</f>
        <v>NON-WELDER JOURNEYMAN/ FITTER ON AUTO WELD SPREAD (QI APPLIES)</v>
      </c>
      <c r="C17" s="36" t="s">
        <v>1120</v>
      </c>
      <c r="D17" s="184">
        <v>8</v>
      </c>
      <c r="E17" s="179">
        <f>VLOOKUP($B$11:$B$46,'Constr. Wage Rate Calculations'!$A$19:$Z$288,22,FALSE)</f>
        <v>69.010000000000005</v>
      </c>
      <c r="F17" s="184">
        <v>2</v>
      </c>
      <c r="G17" s="179">
        <f>VLOOKUP($B$11:$B$46,'Constr. Wage Rate Calculations'!$A$19:$Z$288,23,FALSE)</f>
        <v>103.51</v>
      </c>
      <c r="H17" s="184"/>
      <c r="I17" s="179">
        <f>VLOOKUP($B$11:$B$46,'Constr. Wage Rate Calculations'!$A$19:$Z$288,24,FALSE)</f>
        <v>138.02000000000001</v>
      </c>
      <c r="J17" s="20">
        <f>VLOOKUP($B$11:$B$46,'Constr. Wage Rate Calculations'!$A$19:$Z$288,25,FALSE)</f>
        <v>85</v>
      </c>
      <c r="K17" s="179">
        <f t="shared" si="0"/>
        <v>844.1</v>
      </c>
    </row>
    <row r="18" spans="1:13" ht="15" customHeight="1">
      <c r="A18" s="48"/>
      <c r="B18" s="49" t="str">
        <f>VLOOKUP($C$11:$C$46,Personnel!$A$1:$B$1234,2,FALSE)</f>
        <v>PRINCIPAL OPER 1</v>
      </c>
      <c r="C18" s="36" t="s">
        <v>2697</v>
      </c>
      <c r="D18" s="184">
        <v>8</v>
      </c>
      <c r="E18" s="179">
        <f>VLOOKUP($B$11:$B$46,'Constr. Wage Rate Calculations'!$A$19:$Z$288,22,FALSE)</f>
        <v>64.239999999999995</v>
      </c>
      <c r="F18" s="184">
        <v>3</v>
      </c>
      <c r="G18" s="179">
        <f>VLOOKUP($B$11:$B$46,'Constr. Wage Rate Calculations'!$A$19:$Z$288,23,FALSE)</f>
        <v>96.36</v>
      </c>
      <c r="H18" s="184"/>
      <c r="I18" s="179">
        <f>VLOOKUP($B$11:$B$46,'Constr. Wage Rate Calculations'!$A$19:$Z$288,24,FALSE)</f>
        <v>128.47</v>
      </c>
      <c r="J18" s="20">
        <f>VLOOKUP($B$11:$B$46,'Constr. Wage Rate Calculations'!$A$19:$Z$288,25,FALSE)</f>
        <v>85</v>
      </c>
      <c r="K18" s="179">
        <f t="shared" si="0"/>
        <v>888</v>
      </c>
      <c r="M18" s="1">
        <v>1</v>
      </c>
    </row>
    <row r="19" spans="1:13" ht="15" customHeight="1">
      <c r="A19" s="48"/>
      <c r="B19" s="49" t="str">
        <f>VLOOKUP($C$11:$C$46,Personnel!$A$1:$B$1234,2,FALSE)</f>
        <v>GENERAL LABOURER</v>
      </c>
      <c r="C19" s="36" t="s">
        <v>4074</v>
      </c>
      <c r="D19" s="184">
        <v>8</v>
      </c>
      <c r="E19" s="179">
        <f>VLOOKUP($B$11:$B$46,'Constr. Wage Rate Calculations'!$A$19:$Z$288,22,FALSE)</f>
        <v>48.1</v>
      </c>
      <c r="F19" s="184">
        <v>2</v>
      </c>
      <c r="G19" s="179">
        <f>VLOOKUP($B$11:$B$46,'Constr. Wage Rate Calculations'!$A$19:$Z$288,23,FALSE)</f>
        <v>72.150000000000006</v>
      </c>
      <c r="H19" s="184"/>
      <c r="I19" s="179">
        <f>VLOOKUP($B$11:$B$46,'Constr. Wage Rate Calculations'!$A$19:$Z$288,24,FALSE)</f>
        <v>96.2</v>
      </c>
      <c r="J19" s="20">
        <f>VLOOKUP($B$11:$B$46,'Constr. Wage Rate Calculations'!$A$19:$Z$288,25,FALSE)</f>
        <v>85</v>
      </c>
      <c r="K19" s="179">
        <f t="shared" si="0"/>
        <v>614.1</v>
      </c>
    </row>
    <row r="20" spans="1:13" ht="15" customHeight="1">
      <c r="A20" s="48"/>
      <c r="B20" s="49" t="str">
        <f>VLOOKUP($C$11:$C$46,Personnel!$A$1:$B$1234,2,FALSE)</f>
        <v>WELDER HELPER</v>
      </c>
      <c r="C20" s="36" t="s">
        <v>2839</v>
      </c>
      <c r="D20" s="184">
        <v>8</v>
      </c>
      <c r="E20" s="179">
        <f>VLOOKUP($B$11:$B$46,'Constr. Wage Rate Calculations'!$A$19:$Z$288,22,FALSE)</f>
        <v>53.52</v>
      </c>
      <c r="F20" s="184">
        <v>3</v>
      </c>
      <c r="G20" s="179">
        <f>VLOOKUP($B$11:$B$46,'Constr. Wage Rate Calculations'!$A$19:$Z$288,23,FALSE)</f>
        <v>80.290000000000006</v>
      </c>
      <c r="H20" s="184"/>
      <c r="I20" s="179">
        <f>VLOOKUP($B$11:$B$46,'Constr. Wage Rate Calculations'!$A$19:$Z$288,24,FALSE)</f>
        <v>107.05</v>
      </c>
      <c r="J20" s="20">
        <f>VLOOKUP($B$11:$B$46,'Constr. Wage Rate Calculations'!$A$19:$Z$288,25,FALSE)</f>
        <v>85</v>
      </c>
      <c r="K20" s="179">
        <f t="shared" si="0"/>
        <v>754.03000000000009</v>
      </c>
      <c r="M20" s="1">
        <v>1</v>
      </c>
    </row>
    <row r="21" spans="1:13" ht="15" customHeight="1">
      <c r="A21" s="48"/>
      <c r="B21" s="49" t="str">
        <f>VLOOKUP($C$11:$C$46,Personnel!$A$1:$B$1234,2,FALSE)</f>
        <v>BUS/ CREWCAB DRIVER</v>
      </c>
      <c r="C21" s="36" t="s">
        <v>2912</v>
      </c>
      <c r="D21" s="184">
        <v>8</v>
      </c>
      <c r="E21" s="179">
        <f>VLOOKUP($B$11:$B$46,'Constr. Wage Rate Calculations'!$A$19:$Z$288,22,FALSE)</f>
        <v>56.73</v>
      </c>
      <c r="F21" s="184">
        <v>3</v>
      </c>
      <c r="G21" s="179">
        <f>VLOOKUP($B$11:$B$46,'Constr. Wage Rate Calculations'!$A$19:$Z$288,23,FALSE)</f>
        <v>85.1</v>
      </c>
      <c r="H21" s="184"/>
      <c r="I21" s="179">
        <f>VLOOKUP($B$11:$B$46,'Constr. Wage Rate Calculations'!$A$19:$Z$288,24,FALSE)</f>
        <v>113.46</v>
      </c>
      <c r="J21" s="20">
        <f>VLOOKUP($B$11:$B$46,'Constr. Wage Rate Calculations'!$A$19:$Z$288,25,FALSE)</f>
        <v>85</v>
      </c>
      <c r="K21" s="179">
        <f t="shared" si="0"/>
        <v>794.13999999999987</v>
      </c>
    </row>
    <row r="22" spans="1:13" ht="15" customHeight="1">
      <c r="A22" s="48"/>
      <c r="B22" s="49" t="str">
        <f>VLOOKUP($C$11:$C$46,Personnel!$A$1:$B$1234,2,FALSE)</f>
        <v>FLAT DECK &lt; 5 TON</v>
      </c>
      <c r="C22" s="36" t="s">
        <v>1194</v>
      </c>
      <c r="D22" s="184">
        <v>8</v>
      </c>
      <c r="E22" s="179">
        <f>VLOOKUP($B$11:$B$46,'Constr. Wage Rate Calculations'!$A$19:$Z$288,22,FALSE)</f>
        <v>59.79</v>
      </c>
      <c r="F22" s="184">
        <v>3</v>
      </c>
      <c r="G22" s="179">
        <f>VLOOKUP($B$11:$B$46,'Constr. Wage Rate Calculations'!$A$19:$Z$288,23,FALSE)</f>
        <v>89.69</v>
      </c>
      <c r="H22" s="184"/>
      <c r="I22" s="179">
        <f>VLOOKUP($B$11:$B$46,'Constr. Wage Rate Calculations'!$A$19:$Z$288,24,FALSE)</f>
        <v>119.58</v>
      </c>
      <c r="J22" s="20">
        <f>VLOOKUP($B$11:$B$46,'Constr. Wage Rate Calculations'!$A$19:$Z$288,25,FALSE)</f>
        <v>85</v>
      </c>
      <c r="K22" s="179">
        <f t="shared" si="0"/>
        <v>832.38999999999987</v>
      </c>
      <c r="M22" s="1">
        <v>1</v>
      </c>
    </row>
    <row r="23" spans="1:13" ht="15" customHeight="1">
      <c r="A23" s="48"/>
      <c r="B23" s="49" t="str">
        <f>VLOOKUP($C$11:$C$46,Personnel!$A$1:$B$1234,2,FALSE)</f>
        <v>WELDER HELPER</v>
      </c>
      <c r="C23" s="36" t="s">
        <v>1196</v>
      </c>
      <c r="D23" s="184">
        <v>8</v>
      </c>
      <c r="E23" s="179">
        <f>VLOOKUP($B$11:$B$46,'Constr. Wage Rate Calculations'!$A$19:$Z$288,22,FALSE)</f>
        <v>53.52</v>
      </c>
      <c r="F23" s="184">
        <v>2</v>
      </c>
      <c r="G23" s="179">
        <f>VLOOKUP($B$11:$B$46,'Constr. Wage Rate Calculations'!$A$19:$Z$288,23,FALSE)</f>
        <v>80.290000000000006</v>
      </c>
      <c r="H23" s="184"/>
      <c r="I23" s="179">
        <f>VLOOKUP($B$11:$B$46,'Constr. Wage Rate Calculations'!$A$19:$Z$288,24,FALSE)</f>
        <v>107.05</v>
      </c>
      <c r="J23" s="20">
        <f>VLOOKUP($B$11:$B$46,'Constr. Wage Rate Calculations'!$A$19:$Z$288,25,FALSE)</f>
        <v>85</v>
      </c>
      <c r="K23" s="179">
        <f t="shared" si="0"/>
        <v>673.74000000000012</v>
      </c>
    </row>
    <row r="24" spans="1:13" ht="15" customHeight="1">
      <c r="A24" s="48"/>
      <c r="B24" s="49" t="str">
        <f>VLOOKUP($C$11:$C$46,Personnel!$A$1:$B$1234,2,FALSE)</f>
        <v>GENERAL LABOURER</v>
      </c>
      <c r="C24" s="36" t="s">
        <v>2913</v>
      </c>
      <c r="D24" s="184">
        <v>8</v>
      </c>
      <c r="E24" s="179">
        <f>VLOOKUP($B$11:$B$46,'Constr. Wage Rate Calculations'!$A$19:$Z$288,22,FALSE)</f>
        <v>48.1</v>
      </c>
      <c r="F24" s="184">
        <v>3</v>
      </c>
      <c r="G24" s="179">
        <f>VLOOKUP($B$11:$B$46,'Constr. Wage Rate Calculations'!$A$19:$Z$288,23,FALSE)</f>
        <v>72.150000000000006</v>
      </c>
      <c r="H24" s="184"/>
      <c r="I24" s="179">
        <f>VLOOKUP($B$11:$B$46,'Constr. Wage Rate Calculations'!$A$19:$Z$288,24,FALSE)</f>
        <v>96.2</v>
      </c>
      <c r="J24" s="20">
        <f>VLOOKUP($B$11:$B$46,'Constr. Wage Rate Calculations'!$A$19:$Z$288,25,FALSE)</f>
        <v>85</v>
      </c>
      <c r="K24" s="179">
        <f t="shared" si="0"/>
        <v>686.25</v>
      </c>
      <c r="M24" s="1">
        <v>1</v>
      </c>
    </row>
    <row r="25" spans="1:13" ht="15" customHeight="1">
      <c r="A25" s="48"/>
      <c r="B25" s="49" t="str">
        <f>VLOOKUP($C$11:$C$46,Personnel!$A$1:$B$1234,2,FALSE)</f>
        <v>WELDER HELPER</v>
      </c>
      <c r="C25" s="36" t="s">
        <v>1206</v>
      </c>
      <c r="D25" s="184">
        <v>8</v>
      </c>
      <c r="E25" s="179">
        <f>VLOOKUP($B$11:$B$46,'Constr. Wage Rate Calculations'!$A$19:$Z$288,22,FALSE)</f>
        <v>53.52</v>
      </c>
      <c r="F25" s="184">
        <v>2</v>
      </c>
      <c r="G25" s="179">
        <f>VLOOKUP($B$11:$B$46,'Constr. Wage Rate Calculations'!$A$19:$Z$288,23,FALSE)</f>
        <v>80.290000000000006</v>
      </c>
      <c r="H25" s="184"/>
      <c r="I25" s="179">
        <f>VLOOKUP($B$11:$B$46,'Constr. Wage Rate Calculations'!$A$19:$Z$288,24,FALSE)</f>
        <v>107.05</v>
      </c>
      <c r="J25" s="20">
        <f>VLOOKUP($B$11:$B$46,'Constr. Wage Rate Calculations'!$A$19:$Z$288,25,FALSE)</f>
        <v>85</v>
      </c>
      <c r="K25" s="179">
        <f t="shared" si="0"/>
        <v>673.74000000000012</v>
      </c>
    </row>
    <row r="26" spans="1:13" ht="15" customHeight="1">
      <c r="A26" s="48"/>
      <c r="B26" s="49" t="str">
        <f>VLOOKUP($C$11:$C$46,Personnel!$A$1:$B$1234,2,FALSE)</f>
        <v>NON-WELDER JOURNEYMAN/ FITTER ON AUTO WELD SPREAD (QI APPLIES)</v>
      </c>
      <c r="C26" s="36" t="s">
        <v>934</v>
      </c>
      <c r="D26" s="184">
        <v>8</v>
      </c>
      <c r="E26" s="179">
        <f>VLOOKUP($B$11:$B$46,'Constr. Wage Rate Calculations'!$A$19:$Z$288,22,FALSE)</f>
        <v>69.010000000000005</v>
      </c>
      <c r="F26" s="184">
        <v>2</v>
      </c>
      <c r="G26" s="179">
        <f>VLOOKUP($B$11:$B$46,'Constr. Wage Rate Calculations'!$A$19:$Z$288,23,FALSE)</f>
        <v>103.51</v>
      </c>
      <c r="H26" s="184"/>
      <c r="I26" s="179">
        <f>VLOOKUP($B$11:$B$46,'Constr. Wage Rate Calculations'!$A$19:$Z$288,24,FALSE)</f>
        <v>138.02000000000001</v>
      </c>
      <c r="J26" s="20">
        <f>VLOOKUP($B$11:$B$46,'Constr. Wage Rate Calculations'!$A$19:$Z$288,25,FALSE)</f>
        <v>85</v>
      </c>
      <c r="K26" s="179">
        <f t="shared" si="0"/>
        <v>844.1</v>
      </c>
    </row>
    <row r="27" spans="1:13" ht="15" customHeight="1">
      <c r="A27" s="48"/>
      <c r="B27" s="49" t="str">
        <f>VLOOKUP($C$11:$C$46,Personnel!$A$1:$B$1234,2,FALSE)</f>
        <v>NON-WELDER JOURNEYMAN/ FITTER ON AUTO WELD SPREAD (QI APPLIES)</v>
      </c>
      <c r="C27" s="36" t="s">
        <v>1122</v>
      </c>
      <c r="D27" s="184">
        <v>8</v>
      </c>
      <c r="E27" s="179">
        <f>VLOOKUP($B$11:$B$46,'Constr. Wage Rate Calculations'!$A$19:$Z$288,22,FALSE)</f>
        <v>69.010000000000005</v>
      </c>
      <c r="F27" s="184">
        <v>3</v>
      </c>
      <c r="G27" s="179">
        <f>VLOOKUP($B$11:$B$46,'Constr. Wage Rate Calculations'!$A$19:$Z$288,23,FALSE)</f>
        <v>103.51</v>
      </c>
      <c r="H27" s="184"/>
      <c r="I27" s="179">
        <f>VLOOKUP($B$11:$B$46,'Constr. Wage Rate Calculations'!$A$19:$Z$288,24,FALSE)</f>
        <v>138.02000000000001</v>
      </c>
      <c r="J27" s="20">
        <f>VLOOKUP($B$11:$B$46,'Constr. Wage Rate Calculations'!$A$19:$Z$288,25,FALSE)</f>
        <v>85</v>
      </c>
      <c r="K27" s="179">
        <f t="shared" si="0"/>
        <v>947.61000000000013</v>
      </c>
      <c r="M27" s="1">
        <v>1</v>
      </c>
    </row>
    <row r="28" spans="1:13" ht="15" customHeight="1">
      <c r="A28" s="48"/>
      <c r="B28" s="49" t="str">
        <f>VLOOKUP($C$11:$C$46,Personnel!$A$1:$B$1234,2,FALSE)</f>
        <v>NON-WELDER JOURNEYMAN/ FITTER ON AUTO WELD SPREAD (QI APPLIES)</v>
      </c>
      <c r="C28" s="36" t="s">
        <v>2698</v>
      </c>
      <c r="D28" s="184">
        <v>8</v>
      </c>
      <c r="E28" s="179">
        <f>VLOOKUP($B$11:$B$46,'Constr. Wage Rate Calculations'!$A$19:$Z$288,22,FALSE)</f>
        <v>69.010000000000005</v>
      </c>
      <c r="F28" s="184">
        <v>4</v>
      </c>
      <c r="G28" s="179">
        <f>VLOOKUP($B$11:$B$46,'Constr. Wage Rate Calculations'!$A$19:$Z$288,23,FALSE)</f>
        <v>103.51</v>
      </c>
      <c r="H28" s="184"/>
      <c r="I28" s="179">
        <f>VLOOKUP($B$11:$B$46,'Constr. Wage Rate Calculations'!$A$19:$Z$288,24,FALSE)</f>
        <v>138.02000000000001</v>
      </c>
      <c r="J28" s="20">
        <f>VLOOKUP($B$11:$B$46,'Constr. Wage Rate Calculations'!$A$19:$Z$288,25,FALSE)</f>
        <v>85</v>
      </c>
      <c r="K28" s="179">
        <f t="shared" si="0"/>
        <v>1051.1200000000001</v>
      </c>
      <c r="M28" s="1">
        <v>2</v>
      </c>
    </row>
    <row r="29" spans="1:13" ht="15" customHeight="1">
      <c r="A29" s="48"/>
      <c r="B29" s="49" t="str">
        <f>VLOOKUP($C$11:$C$46,Personnel!$A$1:$B$1234,2,FALSE)</f>
        <v>NON-WELDER JOURNEYMAN/ FITTER ON AUTO WELD SPREAD (QI APPLIES)</v>
      </c>
      <c r="C29" s="36" t="s">
        <v>2332</v>
      </c>
      <c r="D29" s="184">
        <v>8</v>
      </c>
      <c r="E29" s="179">
        <f>VLOOKUP($B$11:$B$46,'Constr. Wage Rate Calculations'!$A$19:$Z$288,22,FALSE)</f>
        <v>69.010000000000005</v>
      </c>
      <c r="F29" s="184">
        <v>2</v>
      </c>
      <c r="G29" s="179">
        <f>VLOOKUP($B$11:$B$46,'Constr. Wage Rate Calculations'!$A$19:$Z$288,23,FALSE)</f>
        <v>103.51</v>
      </c>
      <c r="H29" s="184"/>
      <c r="I29" s="179">
        <f>VLOOKUP($B$11:$B$46,'Constr. Wage Rate Calculations'!$A$19:$Z$288,24,FALSE)</f>
        <v>138.02000000000001</v>
      </c>
      <c r="J29" s="20">
        <f>VLOOKUP($B$11:$B$46,'Constr. Wage Rate Calculations'!$A$19:$Z$288,25,FALSE)</f>
        <v>85</v>
      </c>
      <c r="K29" s="179">
        <f t="shared" si="0"/>
        <v>844.1</v>
      </c>
    </row>
    <row r="30" spans="1:13" ht="15" customHeight="1">
      <c r="A30" s="48"/>
      <c r="B30" s="49" t="str">
        <f>VLOOKUP($C$11:$C$46,Personnel!$A$1:$B$1234,2,FALSE)</f>
        <v>NON-WELDER JOURNEYMAN/ FITTER ON AUTO WELD SPREAD (QI APPLIES)</v>
      </c>
      <c r="C30" s="36" t="s">
        <v>638</v>
      </c>
      <c r="D30" s="184">
        <v>8</v>
      </c>
      <c r="E30" s="179">
        <f>VLOOKUP($B$11:$B$46,'Constr. Wage Rate Calculations'!$A$19:$Z$288,22,FALSE)</f>
        <v>69.010000000000005</v>
      </c>
      <c r="F30" s="184">
        <v>3</v>
      </c>
      <c r="G30" s="179">
        <f>VLOOKUP($B$11:$B$46,'Constr. Wage Rate Calculations'!$A$19:$Z$288,23,FALSE)</f>
        <v>103.51</v>
      </c>
      <c r="H30" s="184"/>
      <c r="I30" s="179">
        <f>VLOOKUP($B$11:$B$46,'Constr. Wage Rate Calculations'!$A$19:$Z$288,24,FALSE)</f>
        <v>138.02000000000001</v>
      </c>
      <c r="J30" s="20">
        <f>VLOOKUP($B$11:$B$46,'Constr. Wage Rate Calculations'!$A$19:$Z$288,25,FALSE)</f>
        <v>85</v>
      </c>
      <c r="K30" s="179">
        <f t="shared" si="0"/>
        <v>947.61000000000013</v>
      </c>
      <c r="M30" s="1">
        <v>1</v>
      </c>
    </row>
    <row r="31" spans="1:13" ht="15" customHeight="1">
      <c r="A31" s="48"/>
      <c r="B31" s="49" t="str">
        <f>VLOOKUP($C$11:$C$46,Personnel!$A$1:$B$1234,2,FALSE)</f>
        <v>GENERAL LABOURER</v>
      </c>
      <c r="C31" s="36" t="s">
        <v>4077</v>
      </c>
      <c r="D31" s="184">
        <v>8</v>
      </c>
      <c r="E31" s="179">
        <f>VLOOKUP($B$11:$B$46,'Constr. Wage Rate Calculations'!$A$19:$Z$288,22,FALSE)</f>
        <v>48.1</v>
      </c>
      <c r="F31" s="184">
        <v>2</v>
      </c>
      <c r="G31" s="179">
        <f>VLOOKUP($B$11:$B$46,'Constr. Wage Rate Calculations'!$A$19:$Z$288,23,FALSE)</f>
        <v>72.150000000000006</v>
      </c>
      <c r="H31" s="184"/>
      <c r="I31" s="179">
        <f>VLOOKUP($B$11:$B$46,'Constr. Wage Rate Calculations'!$A$19:$Z$288,24,FALSE)</f>
        <v>96.2</v>
      </c>
      <c r="J31" s="20">
        <f>VLOOKUP($B$11:$B$46,'Constr. Wage Rate Calculations'!$A$19:$Z$288,25,FALSE)</f>
        <v>85</v>
      </c>
      <c r="K31" s="179">
        <f t="shared" si="0"/>
        <v>614.1</v>
      </c>
    </row>
    <row r="32" spans="1:13" ht="15" customHeight="1">
      <c r="A32" s="48"/>
      <c r="B32" s="49" t="str">
        <f>VLOOKUP($C$11:$C$46,Personnel!$A$1:$B$1234,2,FALSE)</f>
        <v>PRINCIPAL OPER 1</v>
      </c>
      <c r="C32" s="36" t="s">
        <v>4078</v>
      </c>
      <c r="D32" s="184">
        <v>8</v>
      </c>
      <c r="E32" s="179">
        <f>VLOOKUP($B$11:$B$46,'Constr. Wage Rate Calculations'!$A$19:$Z$288,22,FALSE)</f>
        <v>64.239999999999995</v>
      </c>
      <c r="F32" s="184">
        <v>3</v>
      </c>
      <c r="G32" s="179">
        <f>VLOOKUP($B$11:$B$46,'Constr. Wage Rate Calculations'!$A$19:$Z$288,23,FALSE)</f>
        <v>96.36</v>
      </c>
      <c r="H32" s="184"/>
      <c r="I32" s="179">
        <f>VLOOKUP($B$11:$B$46,'Constr. Wage Rate Calculations'!$A$19:$Z$288,24,FALSE)</f>
        <v>128.47</v>
      </c>
      <c r="J32" s="20">
        <f>VLOOKUP($B$11:$B$46,'Constr. Wage Rate Calculations'!$A$19:$Z$288,25,FALSE)</f>
        <v>85</v>
      </c>
      <c r="K32" s="179">
        <f t="shared" si="0"/>
        <v>888</v>
      </c>
      <c r="M32" s="1">
        <v>1</v>
      </c>
    </row>
    <row r="33" spans="1:15" ht="15" customHeight="1">
      <c r="A33" s="48"/>
      <c r="B33" s="49" t="str">
        <f>VLOOKUP($C$11:$C$46,Personnel!$A$1:$B$1234,2,FALSE)</f>
        <v>NON-WELDER JOURNEYMAN/ FITTER ON STICK WELD SPREAD (QI APPLIES)</v>
      </c>
      <c r="C33" s="36" t="s">
        <v>1370</v>
      </c>
      <c r="D33" s="184">
        <v>8</v>
      </c>
      <c r="E33" s="179">
        <f>VLOOKUP($B$11:$B$46,'Constr. Wage Rate Calculations'!$A$19:$Z$288,22,FALSE)</f>
        <v>69.010000000000005</v>
      </c>
      <c r="F33" s="184">
        <v>2</v>
      </c>
      <c r="G33" s="179">
        <f>VLOOKUP($B$11:$B$46,'Constr. Wage Rate Calculations'!$A$19:$Z$288,23,FALSE)</f>
        <v>103.51</v>
      </c>
      <c r="H33" s="184"/>
      <c r="I33" s="179">
        <f>VLOOKUP($B$11:$B$46,'Constr. Wage Rate Calculations'!$A$19:$Z$288,24,FALSE)</f>
        <v>138.02000000000001</v>
      </c>
      <c r="J33" s="20">
        <f>VLOOKUP($B$11:$B$46,'Constr. Wage Rate Calculations'!$A$19:$Z$288,25,FALSE)</f>
        <v>85</v>
      </c>
      <c r="K33" s="179">
        <f t="shared" si="0"/>
        <v>844.1</v>
      </c>
    </row>
    <row r="34" spans="1:15" ht="15" customHeight="1">
      <c r="A34" s="48"/>
      <c r="B34" s="49" t="str">
        <f>VLOOKUP($C$11:$C$46,Personnel!$A$1:$B$1234,2,FALSE)</f>
        <v>NON-WELDER JOURNEYMAN/ FITTER ON AUTO WELD SPREAD (QI APPLIES)</v>
      </c>
      <c r="C34" s="36" t="s">
        <v>1231</v>
      </c>
      <c r="D34" s="184">
        <v>8</v>
      </c>
      <c r="E34" s="179">
        <f>VLOOKUP($B$11:$B$46,'Constr. Wage Rate Calculations'!$A$19:$Z$288,22,FALSE)</f>
        <v>69.010000000000005</v>
      </c>
      <c r="F34" s="184">
        <v>2</v>
      </c>
      <c r="G34" s="179">
        <f>VLOOKUP($B$11:$B$46,'Constr. Wage Rate Calculations'!$A$19:$Z$288,23,FALSE)</f>
        <v>103.51</v>
      </c>
      <c r="H34" s="184"/>
      <c r="I34" s="179">
        <f>VLOOKUP($B$11:$B$46,'Constr. Wage Rate Calculations'!$A$19:$Z$288,24,FALSE)</f>
        <v>138.02000000000001</v>
      </c>
      <c r="J34" s="20">
        <f>VLOOKUP($B$11:$B$46,'Constr. Wage Rate Calculations'!$A$19:$Z$288,25,FALSE)</f>
        <v>85</v>
      </c>
      <c r="K34" s="179">
        <f t="shared" si="0"/>
        <v>844.1</v>
      </c>
    </row>
    <row r="35" spans="1:15" ht="15" customHeight="1">
      <c r="A35" s="48"/>
      <c r="B35" s="49" t="str">
        <f>VLOOKUP($C$11:$C$46,Personnel!$A$1:$B$1234,2,FALSE)</f>
        <v>GENERAL LABOURER</v>
      </c>
      <c r="C35" s="36" t="s">
        <v>4111</v>
      </c>
      <c r="D35" s="184">
        <v>8</v>
      </c>
      <c r="E35" s="179">
        <f>VLOOKUP($B$11:$B$46,'Constr. Wage Rate Calculations'!$A$19:$Z$288,22,FALSE)</f>
        <v>48.1</v>
      </c>
      <c r="F35" s="184">
        <v>2</v>
      </c>
      <c r="G35" s="179">
        <f>VLOOKUP($B$11:$B$46,'Constr. Wage Rate Calculations'!$A$19:$Z$288,23,FALSE)</f>
        <v>72.150000000000006</v>
      </c>
      <c r="H35" s="184"/>
      <c r="I35" s="179">
        <f>VLOOKUP($B$11:$B$46,'Constr. Wage Rate Calculations'!$A$19:$Z$288,24,FALSE)</f>
        <v>96.2</v>
      </c>
      <c r="J35" s="20">
        <f>VLOOKUP($B$11:$B$46,'Constr. Wage Rate Calculations'!$A$19:$Z$288,25,FALSE)</f>
        <v>85</v>
      </c>
      <c r="K35" s="179">
        <f t="shared" si="0"/>
        <v>614.1</v>
      </c>
    </row>
    <row r="36" spans="1:15" ht="15.75" customHeight="1">
      <c r="A36" s="48"/>
      <c r="B36" s="49" t="str">
        <f>VLOOKUP($C$11:$C$46,Personnel!$A$1:$B$1234,2,FALSE)</f>
        <v>WELDER HELPER</v>
      </c>
      <c r="C36" s="36" t="s">
        <v>4085</v>
      </c>
      <c r="D36" s="184">
        <v>8</v>
      </c>
      <c r="E36" s="179">
        <f>VLOOKUP($B$11:$B$46,'Constr. Wage Rate Calculations'!$A$19:$Z$288,22,FALSE)</f>
        <v>53.52</v>
      </c>
      <c r="F36" s="184">
        <v>2</v>
      </c>
      <c r="G36" s="179">
        <f>VLOOKUP($B$11:$B$46,'Constr. Wage Rate Calculations'!$A$19:$Z$288,23,FALSE)</f>
        <v>80.290000000000006</v>
      </c>
      <c r="H36" s="184"/>
      <c r="I36" s="179">
        <f>VLOOKUP($B$11:$B$46,'Constr. Wage Rate Calculations'!$A$19:$Z$288,24,FALSE)</f>
        <v>107.05</v>
      </c>
      <c r="J36" s="20">
        <f>VLOOKUP($B$11:$B$46,'Constr. Wage Rate Calculations'!$A$19:$Z$288,25,FALSE)</f>
        <v>85</v>
      </c>
      <c r="K36" s="179">
        <f t="shared" si="0"/>
        <v>673.74000000000012</v>
      </c>
    </row>
    <row r="37" spans="1:15" ht="15.75" customHeight="1">
      <c r="A37" s="48"/>
      <c r="B37" s="49" t="str">
        <f>VLOOKUP($C$11:$C$46,Personnel!$A$1:$B$1234,2,FALSE)</f>
        <v>WELDER HELPER</v>
      </c>
      <c r="C37" s="36" t="s">
        <v>1407</v>
      </c>
      <c r="D37" s="184">
        <v>8</v>
      </c>
      <c r="E37" s="179">
        <f>VLOOKUP($B$11:$B$46,'Constr. Wage Rate Calculations'!$A$19:$Z$288,22,FALSE)</f>
        <v>53.52</v>
      </c>
      <c r="F37" s="184">
        <v>2</v>
      </c>
      <c r="G37" s="179">
        <f>VLOOKUP($B$11:$B$46,'Constr. Wage Rate Calculations'!$A$19:$Z$288,23,FALSE)</f>
        <v>80.290000000000006</v>
      </c>
      <c r="H37" s="184"/>
      <c r="I37" s="179">
        <f>VLOOKUP($B$11:$B$46,'Constr. Wage Rate Calculations'!$A$19:$Z$288,24,FALSE)</f>
        <v>107.05</v>
      </c>
      <c r="J37" s="20">
        <f>VLOOKUP($B$11:$B$46,'Constr. Wage Rate Calculations'!$A$19:$Z$288,25,FALSE)</f>
        <v>85</v>
      </c>
      <c r="K37" s="179">
        <f t="shared" si="0"/>
        <v>673.74000000000012</v>
      </c>
    </row>
    <row r="38" spans="1:15" ht="15.75" customHeight="1">
      <c r="A38" s="48"/>
      <c r="B38" s="49" t="str">
        <f>VLOOKUP($C$11:$C$46,Personnel!$A$1:$B$1234,2,FALSE)</f>
        <v>PRINCIPAL OPER 2</v>
      </c>
      <c r="C38" s="36" t="s">
        <v>2789</v>
      </c>
      <c r="D38" s="184">
        <v>8</v>
      </c>
      <c r="E38" s="179">
        <f>VLOOKUP($B$11:$B$46,'Constr. Wage Rate Calculations'!$A$19:$Z$288,22,FALSE)</f>
        <v>62.77</v>
      </c>
      <c r="F38" s="184">
        <v>3</v>
      </c>
      <c r="G38" s="179">
        <f>VLOOKUP($B$11:$B$46,'Constr. Wage Rate Calculations'!$A$19:$Z$288,23,FALSE)</f>
        <v>94.15</v>
      </c>
      <c r="H38" s="184"/>
      <c r="I38" s="179">
        <f>VLOOKUP($B$11:$B$46,'Constr. Wage Rate Calculations'!$A$19:$Z$288,24,FALSE)</f>
        <v>125.54</v>
      </c>
      <c r="J38" s="20">
        <f>VLOOKUP($B$11:$B$46,'Constr. Wage Rate Calculations'!$A$19:$Z$288,25,FALSE)</f>
        <v>85</v>
      </c>
      <c r="K38" s="179">
        <f t="shared" si="0"/>
        <v>869.61000000000013</v>
      </c>
      <c r="M38" s="1">
        <v>1</v>
      </c>
    </row>
    <row r="39" spans="1:15" ht="15" customHeight="1">
      <c r="A39" s="48"/>
      <c r="B39" s="49" t="str">
        <f>VLOOKUP($C$11:$C$46,Personnel!$A$1:$B$1234,2,FALSE)</f>
        <v>WELDER HELPER</v>
      </c>
      <c r="C39" s="36" t="s">
        <v>2806</v>
      </c>
      <c r="D39" s="184">
        <v>8</v>
      </c>
      <c r="E39" s="179">
        <f>VLOOKUP($B$11:$B$46,'Constr. Wage Rate Calculations'!$A$19:$Z$288,22,FALSE)</f>
        <v>53.52</v>
      </c>
      <c r="F39" s="184">
        <v>2</v>
      </c>
      <c r="G39" s="179">
        <f>VLOOKUP($B$11:$B$46,'Constr. Wage Rate Calculations'!$A$19:$Z$288,23,FALSE)</f>
        <v>80.290000000000006</v>
      </c>
      <c r="H39" s="184"/>
      <c r="I39" s="179">
        <f>VLOOKUP($B$11:$B$46,'Constr. Wage Rate Calculations'!$A$19:$Z$288,24,FALSE)</f>
        <v>107.05</v>
      </c>
      <c r="J39" s="20">
        <f>VLOOKUP($B$11:$B$46,'Constr. Wage Rate Calculations'!$A$19:$Z$288,25,FALSE)</f>
        <v>85</v>
      </c>
      <c r="K39" s="179">
        <f t="shared" si="0"/>
        <v>673.74000000000012</v>
      </c>
    </row>
    <row r="40" spans="1:15" ht="15" customHeight="1">
      <c r="A40" s="48"/>
      <c r="B40" s="49" t="str">
        <f>VLOOKUP($C$11:$C$46,Personnel!$A$1:$B$1234,2,FALSE)</f>
        <v>GENERAL LABOURER</v>
      </c>
      <c r="C40" s="36" t="s">
        <v>2914</v>
      </c>
      <c r="D40" s="184">
        <v>8</v>
      </c>
      <c r="E40" s="179">
        <f>VLOOKUP($B$11:$B$46,'Constr. Wage Rate Calculations'!$A$19:$Z$288,22,FALSE)</f>
        <v>48.1</v>
      </c>
      <c r="F40" s="184">
        <v>2</v>
      </c>
      <c r="G40" s="179">
        <f>VLOOKUP($B$11:$B$46,'Constr. Wage Rate Calculations'!$A$19:$Z$288,23,FALSE)</f>
        <v>72.150000000000006</v>
      </c>
      <c r="H40" s="184"/>
      <c r="I40" s="179">
        <f>VLOOKUP($B$11:$B$46,'Constr. Wage Rate Calculations'!$A$19:$Z$288,24,FALSE)</f>
        <v>96.2</v>
      </c>
      <c r="J40" s="20">
        <f>VLOOKUP($B$11:$B$46,'Constr. Wage Rate Calculations'!$A$19:$Z$288,25,FALSE)</f>
        <v>85</v>
      </c>
      <c r="K40" s="179">
        <f t="shared" si="0"/>
        <v>614.1</v>
      </c>
    </row>
    <row r="41" spans="1:15" ht="15" customHeight="1">
      <c r="A41" s="48"/>
      <c r="B41" s="49">
        <f>VLOOKUP($C$11:$C$46,Personnel!$A$1:$B$1234,2,FALSE)</f>
        <v>0</v>
      </c>
      <c r="C41" s="36"/>
      <c r="D41" s="184"/>
      <c r="E41" s="179">
        <f>VLOOKUP($B$11:$B$46,'Constr. Wage Rate Calculations'!$A$19:$Z$288,22,FALSE)</f>
        <v>0</v>
      </c>
      <c r="F41" s="184"/>
      <c r="G41" s="179">
        <f>VLOOKUP($B$11:$B$46,'Constr. Wage Rate Calculations'!$A$19:$Z$288,23,FALSE)</f>
        <v>0</v>
      </c>
      <c r="H41" s="184"/>
      <c r="I41" s="179">
        <f>VLOOKUP($B$11:$B$46,'Constr. Wage Rate Calculations'!$A$19:$Z$288,24,FALSE)</f>
        <v>0</v>
      </c>
      <c r="J41" s="20">
        <f>VLOOKUP($B$11:$B$46,'Constr. Wage Rate Calculations'!$A$19:$Z$288,25,FALSE)</f>
        <v>0</v>
      </c>
      <c r="K41" s="179" t="str">
        <f>IF($D41&gt;=1,$J41+(D41*E41)+(F41*G41)+(H41*I41),IF($F41&gt;=1,$J41+(D41*E41)+(F41*G41)+(H41*I41),IF($H41&gt;=1,$J41+(D41*E41)+(F41*G41)+(H41*I41),"")))</f>
        <v/>
      </c>
    </row>
    <row r="42" spans="1:15" ht="15" customHeight="1">
      <c r="A42" s="48"/>
      <c r="B42" s="49">
        <f>VLOOKUP($C$11:$C$46,Personnel!$A$1:$B$1234,2,FALSE)</f>
        <v>0</v>
      </c>
      <c r="C42" s="36"/>
      <c r="D42" s="184"/>
      <c r="E42" s="179">
        <f>VLOOKUP($B$11:$B$46,'Constr. Wage Rate Calculations'!$A$19:$Z$288,22,FALSE)</f>
        <v>0</v>
      </c>
      <c r="F42" s="184"/>
      <c r="G42" s="179">
        <f>VLOOKUP($B$11:$B$46,'Constr. Wage Rate Calculations'!$A$19:$Z$288,23,FALSE)</f>
        <v>0</v>
      </c>
      <c r="H42" s="184"/>
      <c r="I42" s="179">
        <f>VLOOKUP($B$11:$B$46,'Constr. Wage Rate Calculations'!$A$19:$Z$288,24,FALSE)</f>
        <v>0</v>
      </c>
      <c r="J42" s="20">
        <f>VLOOKUP($B$11:$B$46,'Constr. Wage Rate Calculations'!$A$19:$Z$288,25,FALSE)</f>
        <v>0</v>
      </c>
      <c r="K42" s="179" t="str">
        <f>IF($D42&gt;=1,$J42+(D42*E42)+(F42*G42)+(H42*I42),IF($F42&gt;=1,$J42+(D42*E42)+(F42*G42)+(H42*I42),IF($H42&gt;=1,$J42+(D42*E42)+(F42*G42)+(H42*I42),"")))</f>
        <v/>
      </c>
    </row>
    <row r="43" spans="1:15" ht="13.5" customHeight="1">
      <c r="A43" s="48"/>
      <c r="B43" s="49">
        <f>VLOOKUP($C$11:$C$46,Personnel!$A$1:$B$1234,2,FALSE)</f>
        <v>0</v>
      </c>
      <c r="C43" s="36"/>
      <c r="D43" s="184"/>
      <c r="E43" s="179">
        <f>VLOOKUP($B$11:$B$46,'Constr. Wage Rate Calculations'!$A$19:$Z$288,22,FALSE)</f>
        <v>0</v>
      </c>
      <c r="F43" s="184"/>
      <c r="G43" s="179">
        <f>VLOOKUP($B$11:$B$46,'Constr. Wage Rate Calculations'!$A$19:$Z$288,23,FALSE)</f>
        <v>0</v>
      </c>
      <c r="H43" s="184"/>
      <c r="I43" s="179">
        <f>VLOOKUP($B$11:$B$46,'Constr. Wage Rate Calculations'!$A$19:$Z$288,24,FALSE)</f>
        <v>0</v>
      </c>
      <c r="J43" s="20">
        <f>VLOOKUP($B$11:$B$46,'Constr. Wage Rate Calculations'!$A$19:$Z$288,25,FALSE)</f>
        <v>0</v>
      </c>
      <c r="K43" s="179" t="str">
        <f>IF($D43&gt;=1,$J43+(D43*E43)+(F43*G43)+(H43*I43),IF($F43&gt;=1,$J43+(D43*E43)+(F43*G43)+(H43*I43),IF($H43&gt;=1,$J43+(D43*E43)+(F43*G43)+(H43*I43),"")))</f>
        <v/>
      </c>
    </row>
    <row r="44" spans="1:15" ht="15" customHeight="1">
      <c r="A44" s="48"/>
      <c r="B44" s="49">
        <f>VLOOKUP($C$11:$C$46,Personnel!$A$1:$B$1234,2,FALSE)</f>
        <v>0</v>
      </c>
      <c r="C44" s="36"/>
      <c r="D44" s="184"/>
      <c r="E44" s="179">
        <f>VLOOKUP($B$11:$B$46,'Constr. Wage Rate Calculations'!$A$19:$Z$288,22,FALSE)</f>
        <v>0</v>
      </c>
      <c r="F44" s="184"/>
      <c r="G44" s="179">
        <f>VLOOKUP($B$11:$B$46,'Constr. Wage Rate Calculations'!$A$19:$Z$288,23,FALSE)</f>
        <v>0</v>
      </c>
      <c r="H44" s="184"/>
      <c r="I44" s="179">
        <f>VLOOKUP($B$11:$B$46,'Constr. Wage Rate Calculations'!$A$19:$Z$288,24,FALSE)</f>
        <v>0</v>
      </c>
      <c r="J44" s="20">
        <f>VLOOKUP($B$11:$B$46,'Constr. Wage Rate Calculations'!$A$19:$Z$288,25,FALSE)</f>
        <v>0</v>
      </c>
      <c r="K44" s="179" t="str">
        <f>IF($D44&gt;=1,$J44+(D44*E44)+(F44*G44)+(H44*I44),IF($F44&gt;=1,$J44+(D44*E44)+(F44*G44)+(H44*I44),IF($H44&gt;=1,$J44+(D44*E44)+(F44*G44)+(H44*I44),"")))</f>
        <v/>
      </c>
    </row>
    <row r="45" spans="1:15" ht="13.5" customHeight="1">
      <c r="A45" s="48"/>
      <c r="B45" s="49">
        <f>VLOOKUP($C$11:$C$46,Personnel!$A$1:$B$1234,2,FALSE)</f>
        <v>0</v>
      </c>
      <c r="C45" s="36"/>
      <c r="D45" s="184"/>
      <c r="E45" s="179">
        <f>VLOOKUP($B$11:$B$46,'Constr. Wage Rate Calculations'!$A$19:$Z$288,22,FALSE)</f>
        <v>0</v>
      </c>
      <c r="F45" s="184"/>
      <c r="G45" s="179">
        <f>VLOOKUP($B$11:$B$46,'Constr. Wage Rate Calculations'!$A$19:$Z$288,23,FALSE)</f>
        <v>0</v>
      </c>
      <c r="H45" s="184"/>
      <c r="I45" s="179">
        <f>VLOOKUP($B$11:$B$46,'Constr. Wage Rate Calculations'!$A$19:$Z$288,24,FALSE)</f>
        <v>0</v>
      </c>
      <c r="J45" s="20">
        <f>VLOOKUP($B$11:$B$46,'Constr. Wage Rate Calculations'!$A$19:$Z$288,25,FALSE)</f>
        <v>0</v>
      </c>
      <c r="K45" s="179" t="str">
        <f>IF($D45&gt;=1,$J45+(D45*E45)+(F45*G45)+(H45*I45),IF($F45&gt;=1,$J45+(D45*E45)+(F45*G45)+(H45*I45),IF($H45&gt;=1,$J45+(D45*E45)+(F45*G45)+(H45*I45),"")))</f>
        <v/>
      </c>
    </row>
    <row r="46" spans="1:15" ht="15" customHeight="1" thickBot="1">
      <c r="A46" s="48"/>
      <c r="B46" s="49">
        <f>VLOOKUP($C$11:$C$46,Personnel!$A$1:$B$1234,2,FALSE)</f>
        <v>0</v>
      </c>
      <c r="C46" s="36"/>
      <c r="D46" s="184"/>
      <c r="E46" s="179">
        <f>VLOOKUP($B$11:$B$46,'Constr. Wage Rate Calculations'!$A$19:$Z$288,22,FALSE)</f>
        <v>0</v>
      </c>
      <c r="F46" s="184"/>
      <c r="G46" s="179">
        <f>VLOOKUP($B$11:$B$46,'Constr. Wage Rate Calculations'!$A$19:$Z$288,23,FALSE)</f>
        <v>0</v>
      </c>
      <c r="H46" s="184"/>
      <c r="I46" s="179">
        <f>VLOOKUP($B$11:$B$46,'Constr. Wage Rate Calculations'!$A$19:$Z$288,24,FALSE)</f>
        <v>0</v>
      </c>
      <c r="J46" s="20">
        <f>VLOOKUP($B$11:$B$46,'Constr. Wage Rate Calculations'!$A$19:$Z$288,25,FALSE)</f>
        <v>0</v>
      </c>
      <c r="K46" s="179" t="str">
        <f t="shared" si="0"/>
        <v/>
      </c>
      <c r="M46" s="1">
        <f>SUM(M11:M45)</f>
        <v>15</v>
      </c>
    </row>
    <row r="47" spans="1:15" ht="15" customHeight="1" thickBot="1">
      <c r="A47"/>
      <c r="B47"/>
      <c r="C47"/>
      <c r="D47" s="21">
        <f>SUM(D12:D46)</f>
        <v>232</v>
      </c>
      <c r="E47" s="21"/>
      <c r="F47" s="21">
        <f>SUM(F12:F46)</f>
        <v>74</v>
      </c>
      <c r="G47" s="21"/>
      <c r="H47" s="21"/>
      <c r="I47" s="360" t="s">
        <v>18</v>
      </c>
      <c r="J47" s="361"/>
      <c r="K47" s="183">
        <f>SUM(K11:K46)</f>
        <v>23233.870000000003</v>
      </c>
      <c r="M47" s="1">
        <f>SUMIFS(D11:D46,D11:D46,"&lt;3",D11:D46,"&lt;5")</f>
        <v>0</v>
      </c>
      <c r="N47" s="1">
        <f>SUMIFS(D11:D46,D11:D46,"&gt;3",D11:D46,"&gt;5")</f>
        <v>232</v>
      </c>
      <c r="O47" s="1">
        <f>SUM(M47,N47,F11:F46,H11:H46,-M46)</f>
        <v>291</v>
      </c>
    </row>
    <row r="48" spans="1:15" ht="10" customHeight="1" thickBot="1"/>
    <row r="49" spans="1:11" s="19" customFormat="1" ht="15" customHeight="1" thickBot="1">
      <c r="A49" s="22" t="s">
        <v>19</v>
      </c>
      <c r="B49" s="23" t="s">
        <v>20</v>
      </c>
      <c r="C49" s="23"/>
      <c r="D49" s="23"/>
      <c r="E49" s="23"/>
      <c r="F49" s="23"/>
      <c r="G49" s="23"/>
      <c r="H49" s="18" t="s">
        <v>21</v>
      </c>
      <c r="I49" s="18" t="s">
        <v>22</v>
      </c>
      <c r="J49" s="18" t="s">
        <v>23</v>
      </c>
      <c r="K49" s="18" t="s">
        <v>17</v>
      </c>
    </row>
    <row r="50" spans="1:11" ht="15" customHeight="1">
      <c r="A50" s="43"/>
      <c r="B50" s="49">
        <f>VLOOKUP($C$50:$C$76,Equipment!$A$1:$B$2322,2,FALSE)</f>
        <v>0</v>
      </c>
      <c r="C50" s="24"/>
      <c r="D50" s="24"/>
      <c r="E50" s="24"/>
      <c r="F50" s="24"/>
      <c r="G50" s="24"/>
      <c r="H50" s="185"/>
      <c r="I50" s="184"/>
      <c r="J50" s="42">
        <f>VLOOKUP($B$50:$B$76,'Alberta Equip. Rates Year 3'!$B$13:$K$314,10,FALSE)</f>
        <v>0</v>
      </c>
      <c r="K50" s="181">
        <f t="shared" ref="K50:K62" si="1">(H50+I50)*J50</f>
        <v>0</v>
      </c>
    </row>
    <row r="51" spans="1:11" ht="15" customHeight="1">
      <c r="A51" s="43"/>
      <c r="B51" s="49" t="str">
        <f>VLOOKUP($C$50:$C$76,Equipment!$A$1:$B$2322,2,FALSE)</f>
        <v>ARGO ATV Side By Side</v>
      </c>
      <c r="C51" s="24" t="s">
        <v>4081</v>
      </c>
      <c r="D51" s="24"/>
      <c r="E51" s="24"/>
      <c r="F51" s="24"/>
      <c r="G51" s="24"/>
      <c r="H51" s="185">
        <v>1</v>
      </c>
      <c r="I51" s="184"/>
      <c r="J51" s="42">
        <f>VLOOKUP($B$50:$B$76,'Alberta Equip. Rates Year 3'!$B$13:$K$314,10,FALSE)</f>
        <v>238.13</v>
      </c>
      <c r="K51" s="181">
        <f t="shared" ref="K51:K56" si="2">(H51+I51)*J51</f>
        <v>238.13</v>
      </c>
    </row>
    <row r="52" spans="1:11" ht="15" customHeight="1">
      <c r="A52" s="43"/>
      <c r="B52" s="49" t="str">
        <f>VLOOKUP($C$50:$C$76,Equipment!$A$1:$B$2322,2,FALSE)</f>
        <v>Backhoe - Cat 320 (or equivalent)</v>
      </c>
      <c r="C52" s="24" t="s">
        <v>2792</v>
      </c>
      <c r="D52" s="24"/>
      <c r="E52" s="24"/>
      <c r="F52" s="24"/>
      <c r="G52" s="24"/>
      <c r="H52" s="185">
        <v>1</v>
      </c>
      <c r="I52" s="184"/>
      <c r="J52" s="42">
        <f>VLOOKUP($B$50:$B$76,'Alberta Equip. Rates Year 3'!$B$13:$K$314,10,FALSE)</f>
        <v>477</v>
      </c>
      <c r="K52" s="181">
        <f t="shared" si="2"/>
        <v>477</v>
      </c>
    </row>
    <row r="53" spans="1:11" ht="15" customHeight="1">
      <c r="A53" s="43"/>
      <c r="B53" s="49" t="str">
        <f>VLOOKUP($C$50:$C$76,Equipment!$A$1:$B$2322,2,FALSE)</f>
        <v>Backhoe - Cat 320 (or equivalent)</v>
      </c>
      <c r="C53" s="24" t="s">
        <v>2931</v>
      </c>
      <c r="D53" s="24"/>
      <c r="E53" s="24"/>
      <c r="F53" s="24"/>
      <c r="G53" s="24"/>
      <c r="H53" s="185">
        <v>1</v>
      </c>
      <c r="I53" s="184"/>
      <c r="J53" s="42">
        <f>VLOOKUP($B$50:$B$76,'Alberta Equip. Rates Year 3'!$B$13:$K$314,10,FALSE)</f>
        <v>477</v>
      </c>
      <c r="K53" s="181">
        <f t="shared" si="2"/>
        <v>477</v>
      </c>
    </row>
    <row r="54" spans="1:11" ht="15" customHeight="1">
      <c r="A54" s="43"/>
      <c r="B54" s="49" t="str">
        <f>VLOOKUP($C$50:$C$76,Equipment!$A$1:$B$2322,2,FALSE)</f>
        <v>Crewcab - 1 Ton</v>
      </c>
      <c r="C54" s="259" t="s">
        <v>1907</v>
      </c>
      <c r="D54" s="24"/>
      <c r="E54" s="24"/>
      <c r="F54" s="24"/>
      <c r="G54" s="24"/>
      <c r="H54" s="185">
        <v>1</v>
      </c>
      <c r="I54" s="184"/>
      <c r="J54" s="42">
        <f>VLOOKUP($B$50:$B$76,'Alberta Equip. Rates Year 3'!$B$13:$K$314,10,FALSE)</f>
        <v>163</v>
      </c>
      <c r="K54" s="181">
        <f t="shared" si="2"/>
        <v>163</v>
      </c>
    </row>
    <row r="55" spans="1:11" ht="15" customHeight="1">
      <c r="A55" s="43"/>
      <c r="B55" s="49" t="str">
        <f>VLOOKUP($C$50:$C$76,Equipment!$A$1:$B$2322,2,FALSE)</f>
        <v>Crewcab - 3/4 Ton</v>
      </c>
      <c r="C55" s="259" t="s">
        <v>1904</v>
      </c>
      <c r="D55" s="24"/>
      <c r="E55" s="24"/>
      <c r="F55" s="24"/>
      <c r="G55" s="24"/>
      <c r="H55" s="185">
        <v>1</v>
      </c>
      <c r="I55" s="184"/>
      <c r="J55" s="42">
        <f>VLOOKUP($B$50:$B$76,'Alberta Equip. Rates Year 3'!$B$13:$K$314,10,FALSE)</f>
        <v>153</v>
      </c>
      <c r="K55" s="181">
        <f t="shared" si="2"/>
        <v>153</v>
      </c>
    </row>
    <row r="56" spans="1:11" ht="15" customHeight="1">
      <c r="A56" s="43"/>
      <c r="B56" s="49" t="str">
        <f>VLOOKUP($C$50:$C$76,Equipment!$A$1:$B$2322,2,FALSE)</f>
        <v>Propane/Preheat Truck</v>
      </c>
      <c r="C56" s="259" t="s">
        <v>1318</v>
      </c>
      <c r="D56" s="24"/>
      <c r="E56" s="24"/>
      <c r="F56" s="24"/>
      <c r="G56" s="24"/>
      <c r="H56" s="185">
        <v>1</v>
      </c>
      <c r="I56" s="184"/>
      <c r="J56" s="42">
        <f>VLOOKUP($B$50:$B$76,'Alberta Equip. Rates Year 3'!$B$13:$K$314,10,FALSE)</f>
        <v>189</v>
      </c>
      <c r="K56" s="181">
        <f t="shared" si="2"/>
        <v>189</v>
      </c>
    </row>
    <row r="57" spans="1:11" ht="15" customHeight="1">
      <c r="A57" s="43"/>
      <c r="B57" s="49" t="str">
        <f>VLOOKUP($C$50:$C$76,Equipment!$A$1:$B$2322,2,FALSE)</f>
        <v>Picker Truck - 25 Ton</v>
      </c>
      <c r="C57" s="259" t="s">
        <v>4043</v>
      </c>
      <c r="D57" s="24"/>
      <c r="E57" s="24"/>
      <c r="F57" s="24"/>
      <c r="G57" s="24"/>
      <c r="H57" s="185">
        <v>1</v>
      </c>
      <c r="I57" s="184"/>
      <c r="J57" s="42">
        <f>VLOOKUP($B$50:$B$76,'Alberta Equip. Rates Year 3'!$B$13:$K$314,10,FALSE)</f>
        <v>1059</v>
      </c>
      <c r="K57" s="181">
        <f t="shared" si="1"/>
        <v>1059</v>
      </c>
    </row>
    <row r="58" spans="1:11" ht="15" customHeight="1">
      <c r="A58" s="43"/>
      <c r="B58" s="49" t="str">
        <f>VLOOKUP($C$50:$C$76,Equipment!$A$1:$B$2322,2,FALSE)</f>
        <v>Pickup - 1/2 Ton</v>
      </c>
      <c r="C58" s="24" t="s">
        <v>2663</v>
      </c>
      <c r="D58" s="24"/>
      <c r="E58" s="24"/>
      <c r="F58" s="24"/>
      <c r="G58" s="24"/>
      <c r="H58" s="185">
        <v>1</v>
      </c>
      <c r="I58" s="184"/>
      <c r="J58" s="42">
        <f>VLOOKUP($B$50:$B$76,'Alberta Equip. Rates Year 3'!$B$13:$K$314,10,FALSE)</f>
        <v>125</v>
      </c>
      <c r="K58" s="181">
        <f t="shared" si="1"/>
        <v>125</v>
      </c>
    </row>
    <row r="59" spans="1:11" ht="15" customHeight="1">
      <c r="A59" s="43"/>
      <c r="B59" s="49" t="str">
        <f>VLOOKUP($C$50:$C$76,Equipment!$A$1:$B$2322,2,FALSE)</f>
        <v>Sideboom - Cat 583T</v>
      </c>
      <c r="C59" s="24" t="s">
        <v>1273</v>
      </c>
      <c r="D59" s="24"/>
      <c r="E59" s="24"/>
      <c r="F59" s="24"/>
      <c r="G59" s="24"/>
      <c r="H59" s="185">
        <v>1</v>
      </c>
      <c r="I59" s="184"/>
      <c r="J59" s="42">
        <f>VLOOKUP($B$50:$B$76,'Alberta Equip. Rates Year 3'!$B$13:$K$314,10,FALSE)</f>
        <v>1218</v>
      </c>
      <c r="K59" s="181">
        <f t="shared" si="1"/>
        <v>1218</v>
      </c>
    </row>
    <row r="60" spans="1:11" ht="15" customHeight="1">
      <c r="A60" s="43"/>
      <c r="B60" s="49" t="str">
        <f>VLOOKUP($C$50:$C$76,Equipment!$A$1:$B$2322,2,FALSE)</f>
        <v>Sideboom - Cat 583T</v>
      </c>
      <c r="C60" s="24" t="s">
        <v>1670</v>
      </c>
      <c r="D60" s="24"/>
      <c r="E60" s="24"/>
      <c r="F60" s="24"/>
      <c r="G60" s="24"/>
      <c r="H60" s="185">
        <v>1</v>
      </c>
      <c r="I60" s="184"/>
      <c r="J60" s="42">
        <f>VLOOKUP($B$50:$B$76,'Alberta Equip. Rates Year 3'!$B$13:$K$314,10,FALSE)</f>
        <v>1218</v>
      </c>
      <c r="K60" s="181">
        <f t="shared" ref="K60" si="3">(H60+I60)*J60</f>
        <v>1218</v>
      </c>
    </row>
    <row r="61" spans="1:11" ht="15" customHeight="1">
      <c r="A61" s="43"/>
      <c r="B61" s="49" t="str">
        <f>VLOOKUP($C$50:$C$76,Equipment!$A$1:$B$2322,2,FALSE)</f>
        <v>Transition Machine( Without Power Unit)</v>
      </c>
      <c r="C61" s="24" t="s">
        <v>2605</v>
      </c>
      <c r="D61" s="24"/>
      <c r="E61" s="24"/>
      <c r="F61" s="24"/>
      <c r="G61" s="24"/>
      <c r="H61" s="185">
        <v>1</v>
      </c>
      <c r="I61" s="184"/>
      <c r="J61" s="42">
        <f>VLOOKUP($B$50:$B$76,'Alberta Equip. Rates Year 3'!$B$13:$K$314,10,FALSE)</f>
        <v>899.58</v>
      </c>
      <c r="K61" s="181">
        <f t="shared" si="1"/>
        <v>899.58</v>
      </c>
    </row>
    <row r="62" spans="1:11" ht="15" customHeight="1">
      <c r="A62" s="43"/>
      <c r="B62" s="49" t="str">
        <f>VLOOKUP($C$50:$C$76,Equipment!$A$1:$B$2322,2,FALSE)</f>
        <v xml:space="preserve">Weld - Quad Welder/Tack Rig </v>
      </c>
      <c r="C62" s="24" t="s">
        <v>2320</v>
      </c>
      <c r="D62" s="24"/>
      <c r="E62" s="24"/>
      <c r="F62" s="24"/>
      <c r="G62" s="24"/>
      <c r="H62" s="185">
        <v>1</v>
      </c>
      <c r="I62" s="184"/>
      <c r="J62" s="42">
        <f>VLOOKUP($B$50:$B$76,'Alberta Equip. Rates Year 3'!$B$13:$K$314,10,FALSE)</f>
        <v>768</v>
      </c>
      <c r="K62" s="181">
        <f t="shared" si="1"/>
        <v>768</v>
      </c>
    </row>
    <row r="63" spans="1:11" ht="15" customHeight="1">
      <c r="A63" s="43"/>
      <c r="B63" s="49" t="str">
        <f>VLOOKUP($C$50:$C$76,Equipment!$A$1:$B$2322,2,FALSE)</f>
        <v>Weld - Welding Shack</v>
      </c>
      <c r="C63" s="24" t="s">
        <v>2395</v>
      </c>
      <c r="D63" s="24"/>
      <c r="E63" s="24"/>
      <c r="F63" s="24"/>
      <c r="G63" s="24"/>
      <c r="H63" s="185">
        <v>1</v>
      </c>
      <c r="I63" s="184"/>
      <c r="J63" s="42">
        <f>VLOOKUP($B$50:$B$76,'Alberta Equip. Rates Year 3'!$B$13:$K$314,10,FALSE)</f>
        <v>149</v>
      </c>
      <c r="K63" s="181">
        <f t="shared" ref="K63:K76" si="4">(H63+I63)*J63</f>
        <v>149</v>
      </c>
    </row>
    <row r="64" spans="1:11" ht="15" customHeight="1">
      <c r="A64" s="43"/>
      <c r="B64" s="49" t="str">
        <f>VLOOKUP($C$50:$C$76,Equipment!$A$1:$B$2322,2,FALSE)</f>
        <v>Pickup - 3/4 Ton</v>
      </c>
      <c r="C64" s="24" t="s">
        <v>632</v>
      </c>
      <c r="D64" s="24"/>
      <c r="E64" s="24"/>
      <c r="F64" s="24"/>
      <c r="G64" s="24"/>
      <c r="H64" s="185">
        <v>1</v>
      </c>
      <c r="I64" s="184"/>
      <c r="J64" s="42">
        <f>VLOOKUP($B$50:$B$76,'Alberta Equip. Rates Year 3'!$B$13:$K$314,10,FALSE)</f>
        <v>145</v>
      </c>
      <c r="K64" s="181">
        <f>(H64+I64)*J64</f>
        <v>145</v>
      </c>
    </row>
    <row r="65" spans="1:11" ht="15" customHeight="1">
      <c r="A65" s="43"/>
      <c r="B65" s="49" t="str">
        <f>VLOOKUP($C$50:$C$76,Equipment!$A$1:$B$2322,2,FALSE)</f>
        <v>Automatic Welding Tractor</v>
      </c>
      <c r="C65" s="24" t="s">
        <v>2286</v>
      </c>
      <c r="D65" s="24"/>
      <c r="E65" s="24"/>
      <c r="F65" s="24"/>
      <c r="G65" s="24"/>
      <c r="H65" s="185">
        <v>1</v>
      </c>
      <c r="I65" s="184"/>
      <c r="J65" s="42">
        <f>VLOOKUP($B$50:$B$76,'Alberta Equip. Rates Year 3'!$B$13:$K$314,10,FALSE)</f>
        <v>1345</v>
      </c>
      <c r="K65" s="181">
        <f t="shared" si="4"/>
        <v>1345</v>
      </c>
    </row>
    <row r="66" spans="1:11" ht="15" customHeight="1">
      <c r="A66" s="43"/>
      <c r="B66" s="49" t="str">
        <f>VLOOKUP($C$50:$C$76,Equipment!$A$1:$B$2322,2,FALSE)</f>
        <v>Bus</v>
      </c>
      <c r="C66" s="24" t="s">
        <v>4100</v>
      </c>
      <c r="D66" s="24"/>
      <c r="E66" s="24"/>
      <c r="F66" s="24"/>
      <c r="G66" s="24"/>
      <c r="H66" s="185">
        <v>1</v>
      </c>
      <c r="I66" s="184"/>
      <c r="J66" s="42">
        <f>VLOOKUP($B$50:$B$76,'Alberta Equip. Rates Year 3'!$B$13:$K$314,10,FALSE)</f>
        <v>254</v>
      </c>
      <c r="K66" s="181">
        <f t="shared" si="4"/>
        <v>254</v>
      </c>
    </row>
    <row r="67" spans="1:11" ht="15" customHeight="1">
      <c r="A67" s="43"/>
      <c r="B67" s="49">
        <f>VLOOKUP($C$50:$C$76,Equipment!$A$1:$B$2322,2,FALSE)</f>
        <v>0</v>
      </c>
      <c r="C67" s="24"/>
      <c r="D67" s="24"/>
      <c r="E67" s="24"/>
      <c r="F67" s="24"/>
      <c r="G67" s="24"/>
      <c r="H67" s="185"/>
      <c r="I67" s="184"/>
      <c r="J67" s="42">
        <f>VLOOKUP($B$50:$B$76,'Alberta Equip. Rates Year 3'!$B$13:$K$314,10,FALSE)</f>
        <v>0</v>
      </c>
      <c r="K67" s="181">
        <f t="shared" si="4"/>
        <v>0</v>
      </c>
    </row>
    <row r="68" spans="1:11" ht="15" customHeight="1">
      <c r="A68" s="43"/>
      <c r="B68" s="49">
        <f>VLOOKUP($C$50:$C$76,Equipment!$A$1:$B$2322,2,FALSE)</f>
        <v>0</v>
      </c>
      <c r="C68" s="24"/>
      <c r="D68" s="24"/>
      <c r="E68" s="24"/>
      <c r="F68" s="24"/>
      <c r="G68" s="24"/>
      <c r="H68" s="185"/>
      <c r="I68" s="184"/>
      <c r="J68" s="42">
        <f>VLOOKUP($B$50:$B$76,'Alberta Equip. Rates Year 3'!$B$13:$K$314,10,FALSE)</f>
        <v>0</v>
      </c>
      <c r="K68" s="181">
        <f t="shared" si="4"/>
        <v>0</v>
      </c>
    </row>
    <row r="69" spans="1:11" ht="15" customHeight="1">
      <c r="A69" s="43"/>
      <c r="B69" s="49">
        <f>VLOOKUP($C$50:$C$76,Equipment!$A$1:$B$2322,2,FALSE)</f>
        <v>0</v>
      </c>
      <c r="C69" s="24"/>
      <c r="D69" s="24"/>
      <c r="E69" s="24"/>
      <c r="F69" s="24"/>
      <c r="G69" s="24"/>
      <c r="H69" s="185"/>
      <c r="I69" s="184"/>
      <c r="J69" s="42">
        <f>VLOOKUP($B$50:$B$76,'Alberta Equip. Rates Year 3'!$B$13:$K$314,10,FALSE)</f>
        <v>0</v>
      </c>
      <c r="K69" s="181">
        <f t="shared" si="4"/>
        <v>0</v>
      </c>
    </row>
    <row r="70" spans="1:11" ht="15" customHeight="1">
      <c r="A70" s="43"/>
      <c r="B70" s="49">
        <f>VLOOKUP($C$50:$C$76,Equipment!$A$1:$B$2322,2,FALSE)</f>
        <v>0</v>
      </c>
      <c r="C70" s="24"/>
      <c r="D70" s="24"/>
      <c r="E70" s="24"/>
      <c r="F70" s="24"/>
      <c r="G70" s="24"/>
      <c r="H70" s="185"/>
      <c r="I70" s="184"/>
      <c r="J70" s="42">
        <f>VLOOKUP($B$50:$B$76,'Alberta Equip. Rates Year 3'!$B$13:$K$314,10,FALSE)</f>
        <v>0</v>
      </c>
      <c r="K70" s="181">
        <f t="shared" si="4"/>
        <v>0</v>
      </c>
    </row>
    <row r="71" spans="1:11" ht="15" customHeight="1">
      <c r="A71" s="43"/>
      <c r="B71" s="49">
        <f>VLOOKUP($C$50:$C$76,Equipment!$A$1:$B$2322,2,FALSE)</f>
        <v>0</v>
      </c>
      <c r="C71" s="24"/>
      <c r="D71" s="24"/>
      <c r="E71" s="24"/>
      <c r="F71" s="24"/>
      <c r="G71" s="24"/>
      <c r="H71" s="185"/>
      <c r="I71" s="184"/>
      <c r="J71" s="42">
        <f>VLOOKUP($B$50:$B$76,'Alberta Equip. Rates Year 3'!$B$13:$K$314,10,FALSE)</f>
        <v>0</v>
      </c>
      <c r="K71" s="181">
        <f t="shared" si="4"/>
        <v>0</v>
      </c>
    </row>
    <row r="72" spans="1:11" ht="15" customHeight="1">
      <c r="A72" s="43"/>
      <c r="B72" s="49">
        <f>VLOOKUP($C$50:$C$76,Equipment!$A$1:$B$2322,2,FALSE)</f>
        <v>0</v>
      </c>
      <c r="C72" s="24"/>
      <c r="D72" s="24"/>
      <c r="E72" s="24"/>
      <c r="F72" s="24"/>
      <c r="G72" s="24"/>
      <c r="H72" s="185"/>
      <c r="I72" s="184"/>
      <c r="J72" s="42">
        <f>VLOOKUP($B$50:$B$76,'Alberta Equip. Rates Year 3'!$B$13:$K$314,10,FALSE)</f>
        <v>0</v>
      </c>
      <c r="K72" s="181">
        <f t="shared" ref="K72:K75" si="5">(H72+I72)*J72</f>
        <v>0</v>
      </c>
    </row>
    <row r="73" spans="1:11" ht="15" customHeight="1">
      <c r="A73" s="43"/>
      <c r="B73" s="49">
        <f>VLOOKUP($C$50:$C$76,Equipment!$A$1:$B$2322,2,FALSE)</f>
        <v>0</v>
      </c>
      <c r="C73" s="24"/>
      <c r="D73" s="24"/>
      <c r="E73" s="24"/>
      <c r="F73" s="24"/>
      <c r="G73" s="24"/>
      <c r="H73" s="185"/>
      <c r="I73" s="184"/>
      <c r="J73" s="42">
        <f>VLOOKUP($B$50:$B$76,'Alberta Equip. Rates Year 3'!$B$13:$K$314,10,FALSE)</f>
        <v>0</v>
      </c>
      <c r="K73" s="181">
        <f t="shared" si="5"/>
        <v>0</v>
      </c>
    </row>
    <row r="74" spans="1:11" ht="15" customHeight="1">
      <c r="A74" s="43"/>
      <c r="B74" s="49">
        <f>VLOOKUP($C$50:$C$76,Equipment!$A$1:$B$2322,2,FALSE)</f>
        <v>0</v>
      </c>
      <c r="C74" s="24"/>
      <c r="D74" s="24"/>
      <c r="E74" s="24"/>
      <c r="F74" s="24"/>
      <c r="G74" s="24"/>
      <c r="H74" s="185"/>
      <c r="I74" s="184"/>
      <c r="J74" s="42">
        <f>VLOOKUP($B$50:$B$76,'Alberta Equip. Rates Year 3'!$B$13:$K$314,10,FALSE)</f>
        <v>0</v>
      </c>
      <c r="K74" s="181">
        <f t="shared" si="5"/>
        <v>0</v>
      </c>
    </row>
    <row r="75" spans="1:11" ht="15" customHeight="1">
      <c r="A75" s="43"/>
      <c r="B75" s="49">
        <f>VLOOKUP($C$50:$C$76,Equipment!$A$1:$B$2322,2,FALSE)</f>
        <v>0</v>
      </c>
      <c r="C75" s="24"/>
      <c r="D75" s="24"/>
      <c r="E75" s="24"/>
      <c r="F75" s="24"/>
      <c r="G75" s="24"/>
      <c r="H75" s="185"/>
      <c r="I75" s="184"/>
      <c r="J75" s="42">
        <f>VLOOKUP($B$50:$B$76,'Alberta Equip. Rates Year 3'!$B$13:$K$314,10,FALSE)</f>
        <v>0</v>
      </c>
      <c r="K75" s="181">
        <f t="shared" si="5"/>
        <v>0</v>
      </c>
    </row>
    <row r="76" spans="1:11" ht="15" customHeight="1" thickBot="1">
      <c r="A76" s="43"/>
      <c r="B76" s="49">
        <f>VLOOKUP($C$50:$C$76,Equipment!$A$1:$B$2322,2,FALSE)</f>
        <v>0</v>
      </c>
      <c r="C76" s="24"/>
      <c r="D76" s="24"/>
      <c r="E76" s="24"/>
      <c r="F76" s="24"/>
      <c r="G76" s="24"/>
      <c r="H76" s="185"/>
      <c r="I76" s="184"/>
      <c r="J76" s="42">
        <f>VLOOKUP($B$50:$B$76,'Alberta Equip. Rates Year 3'!$B$13:$K$314,10,FALSE)</f>
        <v>0</v>
      </c>
      <c r="K76" s="181">
        <f t="shared" si="4"/>
        <v>0</v>
      </c>
    </row>
    <row r="77" spans="1:11" ht="12" thickBot="1">
      <c r="A77" s="25"/>
      <c r="B77" s="25"/>
      <c r="C77" s="25"/>
      <c r="D77" s="21"/>
      <c r="E77" s="21"/>
      <c r="F77" s="21"/>
      <c r="G77" s="21"/>
      <c r="H77" s="21"/>
      <c r="I77" s="360" t="s">
        <v>24</v>
      </c>
      <c r="J77" s="361"/>
      <c r="K77" s="182">
        <f>SUM(K50:K76)</f>
        <v>8877.7099999999991</v>
      </c>
    </row>
    <row r="78" spans="1:11" ht="12" thickBot="1">
      <c r="A78" s="26"/>
      <c r="D78" s="26"/>
      <c r="I78" s="27"/>
      <c r="J78" s="27"/>
      <c r="K78" s="28"/>
    </row>
    <row r="79" spans="1:11">
      <c r="A79" s="1" t="s">
        <v>25</v>
      </c>
      <c r="B79" s="29"/>
      <c r="D79" s="1"/>
      <c r="E79" s="1"/>
      <c r="F79" s="1"/>
      <c r="G79" s="1"/>
      <c r="H79" s="1"/>
      <c r="I79" s="362" t="s">
        <v>26</v>
      </c>
      <c r="J79" s="362"/>
      <c r="K79" s="37">
        <f>K47</f>
        <v>23233.870000000003</v>
      </c>
    </row>
    <row r="80" spans="1:11">
      <c r="D80" s="1"/>
      <c r="E80" s="1"/>
      <c r="F80" s="1"/>
      <c r="G80" s="1"/>
      <c r="H80" s="1"/>
      <c r="I80" s="362" t="s">
        <v>27</v>
      </c>
      <c r="J80" s="362"/>
      <c r="K80" s="38">
        <f>K77</f>
        <v>8877.7099999999991</v>
      </c>
    </row>
    <row r="81" spans="1:11">
      <c r="D81" s="1"/>
      <c r="E81" s="1"/>
      <c r="F81" s="1"/>
      <c r="G81" s="1"/>
      <c r="H81" s="1"/>
      <c r="I81" s="27" t="s">
        <v>28</v>
      </c>
      <c r="J81" s="27"/>
      <c r="K81" s="38">
        <f>(O47)*14.15</f>
        <v>4117.6500000000005</v>
      </c>
    </row>
    <row r="82" spans="1:11">
      <c r="D82" s="1"/>
      <c r="E82" s="1"/>
      <c r="F82" s="1"/>
      <c r="G82" s="1"/>
      <c r="H82" s="1"/>
      <c r="I82" s="30" t="s">
        <v>29</v>
      </c>
      <c r="J82" s="30"/>
      <c r="K82" s="39"/>
    </row>
    <row r="83" spans="1:11">
      <c r="D83" s="1"/>
      <c r="E83" s="1"/>
      <c r="F83" s="1"/>
      <c r="G83" s="1"/>
      <c r="H83" s="1"/>
      <c r="I83" s="30" t="s">
        <v>30</v>
      </c>
      <c r="J83" s="30"/>
      <c r="K83" s="39"/>
    </row>
    <row r="84" spans="1:11">
      <c r="D84" s="1"/>
      <c r="E84" s="1"/>
      <c r="F84" s="1"/>
      <c r="G84" s="1"/>
      <c r="H84" s="1"/>
      <c r="I84" s="30" t="s">
        <v>31</v>
      </c>
      <c r="J84" s="30"/>
      <c r="K84" s="39"/>
    </row>
    <row r="85" spans="1:11" ht="12" thickBot="1">
      <c r="D85" s="1"/>
      <c r="E85" s="1"/>
      <c r="F85" s="1"/>
      <c r="G85" s="1"/>
      <c r="H85" s="1"/>
      <c r="I85" s="362" t="s">
        <v>32</v>
      </c>
      <c r="J85" s="362"/>
      <c r="K85" s="40">
        <f>SUM(K79:K84)</f>
        <v>36229.230000000003</v>
      </c>
    </row>
    <row r="86" spans="1:11">
      <c r="D86" s="1"/>
      <c r="E86" s="1"/>
      <c r="F86" s="1"/>
      <c r="G86" s="1"/>
      <c r="H86" s="1"/>
      <c r="I86" s="27"/>
      <c r="J86" s="27"/>
    </row>
    <row r="87" spans="1:11">
      <c r="A87" s="31" t="s">
        <v>33</v>
      </c>
      <c r="B87" s="32"/>
      <c r="C87" s="32"/>
      <c r="D87" s="1"/>
      <c r="H87" s="33" t="s">
        <v>34</v>
      </c>
      <c r="I87" s="32"/>
      <c r="J87" s="32"/>
      <c r="K87" s="32"/>
    </row>
    <row r="88" spans="1:11" ht="15">
      <c r="A88" s="34"/>
      <c r="E88" s="8"/>
      <c r="F88" s="8"/>
      <c r="G88" s="8"/>
      <c r="H88" s="35"/>
      <c r="I88" s="35"/>
      <c r="J88" s="35"/>
      <c r="K88" s="35"/>
    </row>
    <row r="89" spans="1:11" ht="15">
      <c r="A89" s="34" t="s">
        <v>35</v>
      </c>
      <c r="E89" s="8"/>
      <c r="F89" s="8"/>
      <c r="G89" s="8"/>
      <c r="H89" s="35"/>
      <c r="I89" s="35"/>
      <c r="J89" s="35"/>
      <c r="K89" s="35"/>
    </row>
    <row r="90" spans="1:11" s="34" customFormat="1">
      <c r="A90" s="363">
        <v>41218.479166666664</v>
      </c>
      <c r="B90" s="363"/>
      <c r="C90" s="364"/>
      <c r="D90" s="364"/>
      <c r="E90" s="364"/>
      <c r="F90" s="364"/>
      <c r="G90" s="364"/>
      <c r="H90" s="364"/>
      <c r="I90" s="364"/>
      <c r="J90" s="364"/>
      <c r="K90" s="8"/>
    </row>
    <row r="100" s="1" customFormat="1"/>
    <row r="101" s="1" customFormat="1"/>
    <row r="102" s="1" customFormat="1"/>
    <row r="103" s="1" customFormat="1"/>
    <row r="104" s="1" customFormat="1"/>
    <row r="105" s="1" customFormat="1"/>
    <row r="106" s="1" customFormat="1"/>
    <row r="107" s="1" customFormat="1"/>
    <row r="108" s="1" customFormat="1"/>
    <row r="109" s="1" customFormat="1"/>
    <row r="110" s="1" customFormat="1"/>
    <row r="111" s="1" customFormat="1"/>
    <row r="112" s="1" customFormat="1"/>
    <row r="113" s="1" customFormat="1"/>
    <row r="118" s="1" customFormat="1"/>
    <row r="146" s="1" customFormat="1"/>
    <row r="147" s="1" customFormat="1"/>
    <row r="148" s="1" customFormat="1"/>
    <row r="149" s="1" customFormat="1"/>
  </sheetData>
  <mergeCells count="12">
    <mergeCell ref="I77:J77"/>
    <mergeCell ref="I79:J79"/>
    <mergeCell ref="I80:J80"/>
    <mergeCell ref="I85:J85"/>
    <mergeCell ref="A90:B90"/>
    <mergeCell ref="C90:J90"/>
    <mergeCell ref="I47:J47"/>
    <mergeCell ref="C1:H1"/>
    <mergeCell ref="C2:H2"/>
    <mergeCell ref="C3:H3"/>
    <mergeCell ref="H6:I6"/>
    <mergeCell ref="H7:I7"/>
  </mergeCells>
  <conditionalFormatting sqref="M11:M46">
    <cfRule type="expression" dxfId="15" priority="39812">
      <formula>ISTEXT(A11:A46)</formula>
    </cfRule>
  </conditionalFormatting>
  <printOptions horizontalCentered="1"/>
  <pageMargins left="0.19685039370078741" right="0.19685039370078741" top="0.39370078740157483" bottom="0.39370078740157483" header="0" footer="0"/>
  <pageSetup orientation="portrait" horizontalDpi="4294967292" verticalDpi="4294967292"/>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2F00-000000000000}">
          <x14:formula1>
            <xm:f>Accounts!$A$4:$A$60</xm:f>
          </x14:formula1>
          <xm:sqref>K7</xm:sqref>
        </x14:dataValidation>
        <x14:dataValidation type="list" allowBlank="1" showInputMessage="1" showErrorMessage="1" xr:uid="{00000000-0002-0000-2F00-000001000000}">
          <x14:formula1>
            <xm:f>'Constr. Wage Rate Calculations'!$A$19:$A$288</xm:f>
          </x14:formula1>
          <xm:sqref>B11:B46</xm:sqref>
        </x14:dataValidation>
        <x14:dataValidation type="list" allowBlank="1" showInputMessage="1" showErrorMessage="1" xr:uid="{00000000-0002-0000-2F00-000002000000}">
          <x14:formula1>
            <xm:f>Personnel!$A:$A</xm:f>
          </x14:formula1>
          <xm:sqref>C11:C46</xm:sqref>
        </x14:dataValidation>
        <x14:dataValidation type="list" allowBlank="1" showInputMessage="1" showErrorMessage="1" xr:uid="{00000000-0002-0000-2F00-000003000000}">
          <x14:formula1>
            <xm:f>Equipment!$A:$A</xm:f>
          </x14:formula1>
          <xm:sqref>C50:C76</xm:sqref>
        </x14:dataValidation>
      </x14:dataValidations>
    </ext>
    <ext xmlns:mx="http://schemas.microsoft.com/office/mac/excel/2008/main" uri="{64002731-A6B0-56B0-2670-7721B7C09600}">
      <mx:PLV Mode="0" OnePage="0" WScale="0"/>
    </ext>
  </extLs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CCFFCC"/>
    <pageSetUpPr fitToPage="1"/>
  </sheetPr>
  <dimension ref="A1:O122"/>
  <sheetViews>
    <sheetView zoomScale="120" zoomScaleNormal="120" zoomScalePageLayoutView="120" workbookViewId="0">
      <selection activeCell="C7" sqref="C7"/>
    </sheetView>
  </sheetViews>
  <sheetFormatPr baseColWidth="10" defaultColWidth="8.83203125" defaultRowHeight="11"/>
  <cols>
    <col min="1" max="1" width="13" style="1" customWidth="1"/>
    <col min="2" max="2" width="30" style="1" customWidth="1"/>
    <col min="3" max="3" width="24.5" style="1" customWidth="1"/>
    <col min="4" max="4" width="8.6640625" style="2" customWidth="1"/>
    <col min="5" max="6" width="8.33203125" style="2" customWidth="1"/>
    <col min="7" max="8" width="8.6640625" style="2" customWidth="1"/>
    <col min="9" max="9" width="9.33203125" style="2" customWidth="1"/>
    <col min="10" max="10" width="8.6640625" style="2" customWidth="1"/>
    <col min="11" max="11" width="20.83203125" style="1" customWidth="1"/>
    <col min="12" max="12" width="3.5" style="1" hidden="1" customWidth="1"/>
    <col min="13" max="16384" width="8.83203125" style="1"/>
  </cols>
  <sheetData>
    <row r="1" spans="1:13" ht="15">
      <c r="C1" s="364"/>
      <c r="D1" s="365"/>
      <c r="E1" s="365"/>
      <c r="F1" s="365"/>
      <c r="G1" s="365"/>
      <c r="H1" s="366"/>
      <c r="J1" s="2" t="s">
        <v>0</v>
      </c>
      <c r="K1" s="197">
        <v>41659</v>
      </c>
      <c r="M1" s="45"/>
    </row>
    <row r="2" spans="1:13" ht="15">
      <c r="C2" s="367"/>
      <c r="D2" s="367"/>
      <c r="E2" s="367"/>
      <c r="F2" s="367"/>
      <c r="G2" s="367"/>
      <c r="H2" s="366"/>
      <c r="K2" s="199"/>
    </row>
    <row r="3" spans="1:13" ht="15">
      <c r="C3" s="368"/>
      <c r="D3" s="369"/>
      <c r="E3" s="369"/>
      <c r="F3" s="369"/>
      <c r="G3" s="369"/>
      <c r="H3" s="366"/>
    </row>
    <row r="4" spans="1:13">
      <c r="C4" s="3"/>
      <c r="D4" s="4"/>
      <c r="E4" s="4"/>
      <c r="F4" s="4"/>
      <c r="G4" s="4"/>
    </row>
    <row r="5" spans="1:13">
      <c r="C5" s="3"/>
      <c r="D5" s="4"/>
      <c r="E5" s="4"/>
      <c r="F5" s="4"/>
      <c r="G5" s="4"/>
    </row>
    <row r="6" spans="1:13" ht="12">
      <c r="B6" s="5"/>
      <c r="C6" s="6"/>
      <c r="D6" s="7"/>
      <c r="E6" s="8"/>
      <c r="F6" s="8"/>
      <c r="G6" s="1" t="s">
        <v>1</v>
      </c>
      <c r="H6" s="370">
        <v>18199</v>
      </c>
      <c r="I6" s="370"/>
      <c r="J6" s="1" t="s">
        <v>2</v>
      </c>
      <c r="K6" s="47"/>
    </row>
    <row r="7" spans="1:13" ht="12">
      <c r="A7" s="1" t="s">
        <v>3</v>
      </c>
      <c r="B7" s="9"/>
      <c r="C7" s="10"/>
      <c r="D7" s="11"/>
      <c r="E7" s="8"/>
      <c r="F7" s="8"/>
      <c r="G7" s="1" t="s">
        <v>4</v>
      </c>
      <c r="H7" s="371"/>
      <c r="I7" s="371"/>
      <c r="J7" s="1" t="s">
        <v>5</v>
      </c>
      <c r="K7" s="46"/>
    </row>
    <row r="8" spans="1:13" ht="12">
      <c r="B8" s="12"/>
      <c r="C8" s="13"/>
      <c r="D8" s="14"/>
      <c r="E8" s="8"/>
      <c r="F8" s="8"/>
      <c r="G8" s="1" t="s">
        <v>6</v>
      </c>
      <c r="H8" s="187"/>
      <c r="I8" s="188"/>
      <c r="J8" s="44"/>
    </row>
    <row r="9" spans="1:13" ht="16" thickBot="1">
      <c r="B9" s="15"/>
      <c r="C9" s="16"/>
      <c r="D9" s="16"/>
      <c r="E9" s="8"/>
      <c r="F9" s="8"/>
      <c r="G9" s="8"/>
    </row>
    <row r="10" spans="1:13" s="19" customFormat="1" ht="12" thickBot="1">
      <c r="A10" s="17" t="s">
        <v>7</v>
      </c>
      <c r="B10" s="17" t="s">
        <v>8</v>
      </c>
      <c r="C10" s="17" t="s">
        <v>9</v>
      </c>
      <c r="D10" s="18" t="s">
        <v>10</v>
      </c>
      <c r="E10" s="18" t="s">
        <v>11</v>
      </c>
      <c r="F10" s="18" t="s">
        <v>12</v>
      </c>
      <c r="G10" s="180" t="s">
        <v>13</v>
      </c>
      <c r="H10" s="18" t="s">
        <v>14</v>
      </c>
      <c r="I10" s="18" t="s">
        <v>15</v>
      </c>
      <c r="J10" s="18" t="s">
        <v>16</v>
      </c>
      <c r="K10" s="18" t="s">
        <v>17</v>
      </c>
      <c r="M10" s="19" t="s">
        <v>1797</v>
      </c>
    </row>
    <row r="11" spans="1:13" ht="15" customHeight="1">
      <c r="A11" s="48"/>
      <c r="B11" s="49">
        <f>VLOOKUP($C$11:$C$31,Personnel!$A$1:$B$1234,2,FALSE)</f>
        <v>0</v>
      </c>
      <c r="C11" s="36"/>
      <c r="D11" s="184"/>
      <c r="E11" s="179">
        <f>VLOOKUP($B$11:$B$31,'Constr. Wage Rate Calculations'!$A$19:$Z$288,22,FALSE)</f>
        <v>0</v>
      </c>
      <c r="F11" s="184"/>
      <c r="G11" s="179">
        <f>VLOOKUP($B$11:$B$31,'Constr. Wage Rate Calculations'!$A$19:$Z$288,23,FALSE)</f>
        <v>0</v>
      </c>
      <c r="H11" s="184"/>
      <c r="I11" s="179">
        <f>VLOOKUP($B$11:$B$31,'Constr. Wage Rate Calculations'!$A$19:$Z$288,24,FALSE)</f>
        <v>0</v>
      </c>
      <c r="J11" s="20">
        <f>VLOOKUP($B$11:$B$31,'Constr. Wage Rate Calculations'!$A$19:$Z$288,25,FALSE)</f>
        <v>0</v>
      </c>
      <c r="K11" s="179" t="str">
        <f t="shared" ref="K11:K31" si="0">IF($D11&gt;=1,$J11+(D11*E11)+(F11*G11)+(H11*I11),IF($F11&gt;=1,$J11+(D11*E11)+(F11*G11)+(H11*I11),IF($H11&gt;=1,$J11+(D11*E11)+(F11*G11)+(H11*I11),"")))</f>
        <v/>
      </c>
    </row>
    <row r="12" spans="1:13" ht="15" customHeight="1">
      <c r="A12" s="48"/>
      <c r="B12" s="49" t="str">
        <f>VLOOKUP($C$11:$C$31,Personnel!$A$1:$B$1234,2,FALSE)</f>
        <v>GENERAL LABOURER</v>
      </c>
      <c r="C12" s="36" t="s">
        <v>2203</v>
      </c>
      <c r="D12" s="184">
        <v>8</v>
      </c>
      <c r="E12" s="179">
        <f>VLOOKUP($B$11:$B$31,'Constr. Wage Rate Calculations'!$A$19:$Z$288,22,FALSE)</f>
        <v>48.1</v>
      </c>
      <c r="F12" s="184">
        <v>4</v>
      </c>
      <c r="G12" s="179">
        <f>VLOOKUP($B$11:$B$31,'Constr. Wage Rate Calculations'!$A$19:$Z$288,23,FALSE)</f>
        <v>72.150000000000006</v>
      </c>
      <c r="H12" s="184"/>
      <c r="I12" s="179">
        <f>VLOOKUP($B$11:$B$31,'Constr. Wage Rate Calculations'!$A$19:$Z$288,24,FALSE)</f>
        <v>96.2</v>
      </c>
      <c r="J12" s="20">
        <f>VLOOKUP($B$11:$B$31,'Constr. Wage Rate Calculations'!$A$19:$Z$288,25,FALSE)</f>
        <v>85</v>
      </c>
      <c r="K12" s="179">
        <f t="shared" si="0"/>
        <v>758.40000000000009</v>
      </c>
    </row>
    <row r="13" spans="1:13" ht="15" customHeight="1">
      <c r="A13" s="48"/>
      <c r="B13" s="49" t="str">
        <f>VLOOKUP($C$11:$C$31,Personnel!$A$1:$B$1234,2,FALSE)</f>
        <v>PRINCIPAL OPER 1</v>
      </c>
      <c r="C13" s="36" t="s">
        <v>2937</v>
      </c>
      <c r="D13" s="184">
        <v>8</v>
      </c>
      <c r="E13" s="179">
        <f>VLOOKUP($B$11:$B$31,'Constr. Wage Rate Calculations'!$A$19:$Z$288,22,FALSE)</f>
        <v>64.239999999999995</v>
      </c>
      <c r="F13" s="184">
        <v>4</v>
      </c>
      <c r="G13" s="179">
        <f>VLOOKUP($B$11:$B$31,'Constr. Wage Rate Calculations'!$A$19:$Z$288,23,FALSE)</f>
        <v>96.36</v>
      </c>
      <c r="H13" s="184"/>
      <c r="I13" s="179">
        <f>VLOOKUP($B$11:$B$31,'Constr. Wage Rate Calculations'!$A$19:$Z$288,24,FALSE)</f>
        <v>128.47</v>
      </c>
      <c r="J13" s="20">
        <f>VLOOKUP($B$11:$B$31,'Constr. Wage Rate Calculations'!$A$19:$Z$288,25,FALSE)</f>
        <v>85</v>
      </c>
      <c r="K13" s="179">
        <f t="shared" si="0"/>
        <v>984.3599999999999</v>
      </c>
    </row>
    <row r="14" spans="1:13" ht="15" customHeight="1">
      <c r="A14" s="48"/>
      <c r="B14" s="49" t="str">
        <f>VLOOKUP($C$11:$C$31,Personnel!$A$1:$B$1234,2,FALSE)</f>
        <v>GENERAL FOREMAN</v>
      </c>
      <c r="C14" s="36" t="s">
        <v>717</v>
      </c>
      <c r="D14" s="184">
        <v>1</v>
      </c>
      <c r="E14" s="179">
        <f>VLOOKUP($B$11:$B$31,'Constr. Wage Rate Calculations'!$A$19:$Z$288,22,FALSE)</f>
        <v>1332.16</v>
      </c>
      <c r="F14" s="184">
        <v>9</v>
      </c>
      <c r="G14" s="179">
        <f>VLOOKUP($B$11:$B$31,'Constr. Wage Rate Calculations'!$A$19:$Z$288,23,FALSE)</f>
        <v>0</v>
      </c>
      <c r="H14" s="184"/>
      <c r="I14" s="179">
        <f>VLOOKUP($B$11:$B$31,'Constr. Wage Rate Calculations'!$A$19:$Z$288,24,FALSE)</f>
        <v>0</v>
      </c>
      <c r="J14" s="20">
        <f>VLOOKUP($B$11:$B$31,'Constr. Wage Rate Calculations'!$A$19:$Z$288,25,FALSE)</f>
        <v>230</v>
      </c>
      <c r="K14" s="179">
        <f t="shared" si="0"/>
        <v>1562.16</v>
      </c>
    </row>
    <row r="15" spans="1:13" ht="15" customHeight="1">
      <c r="A15" s="48"/>
      <c r="B15" s="49" t="str">
        <f>VLOOKUP($C$11:$C$31,Personnel!$A$1:$B$1234,2,FALSE)</f>
        <v>PRINCIPAL OPER 1</v>
      </c>
      <c r="C15" s="36" t="s">
        <v>2942</v>
      </c>
      <c r="D15" s="184">
        <v>8</v>
      </c>
      <c r="E15" s="179">
        <f>VLOOKUP($B$11:$B$31,'Constr. Wage Rate Calculations'!$A$19:$Z$288,22,FALSE)</f>
        <v>64.239999999999995</v>
      </c>
      <c r="F15" s="184">
        <v>4</v>
      </c>
      <c r="G15" s="179">
        <f>VLOOKUP($B$11:$B$31,'Constr. Wage Rate Calculations'!$A$19:$Z$288,23,FALSE)</f>
        <v>96.36</v>
      </c>
      <c r="H15" s="184"/>
      <c r="I15" s="179">
        <f>VLOOKUP($B$11:$B$31,'Constr. Wage Rate Calculations'!$A$19:$Z$288,24,FALSE)</f>
        <v>128.47</v>
      </c>
      <c r="J15" s="20">
        <f>VLOOKUP($B$11:$B$31,'Constr. Wage Rate Calculations'!$A$19:$Z$288,25,FALSE)</f>
        <v>85</v>
      </c>
      <c r="K15" s="179">
        <f t="shared" si="0"/>
        <v>984.3599999999999</v>
      </c>
    </row>
    <row r="16" spans="1:13" ht="15" customHeight="1">
      <c r="A16" s="48"/>
      <c r="B16" s="49" t="str">
        <f>VLOOKUP($C$11:$C$31,Personnel!$A$1:$B$1234,2,FALSE)</f>
        <v>GENERAL LABOURER</v>
      </c>
      <c r="C16" s="36" t="s">
        <v>942</v>
      </c>
      <c r="D16" s="184">
        <v>8</v>
      </c>
      <c r="E16" s="179">
        <f>VLOOKUP($B$11:$B$31,'Constr. Wage Rate Calculations'!$A$19:$Z$288,22,FALSE)</f>
        <v>48.1</v>
      </c>
      <c r="F16" s="184">
        <v>4</v>
      </c>
      <c r="G16" s="179">
        <f>VLOOKUP($B$11:$B$31,'Constr. Wage Rate Calculations'!$A$19:$Z$288,23,FALSE)</f>
        <v>72.150000000000006</v>
      </c>
      <c r="H16" s="184"/>
      <c r="I16" s="179">
        <f>VLOOKUP($B$11:$B$31,'Constr. Wage Rate Calculations'!$A$19:$Z$288,24,FALSE)</f>
        <v>96.2</v>
      </c>
      <c r="J16" s="20">
        <f>VLOOKUP($B$11:$B$31,'Constr. Wage Rate Calculations'!$A$19:$Z$288,25,FALSE)</f>
        <v>85</v>
      </c>
      <c r="K16" s="179">
        <f t="shared" si="0"/>
        <v>758.40000000000009</v>
      </c>
    </row>
    <row r="17" spans="1:15" ht="15" customHeight="1">
      <c r="A17" s="48"/>
      <c r="B17" s="49" t="str">
        <f>VLOOKUP($C$11:$C$31,Personnel!$A$1:$B$1234,2,FALSE)</f>
        <v>GENERAL LABOURER</v>
      </c>
      <c r="C17" s="36" t="s">
        <v>2533</v>
      </c>
      <c r="D17" s="184">
        <v>8</v>
      </c>
      <c r="E17" s="179">
        <f>VLOOKUP($B$11:$B$31,'Constr. Wage Rate Calculations'!$A$19:$Z$288,22,FALSE)</f>
        <v>48.1</v>
      </c>
      <c r="F17" s="184">
        <v>4</v>
      </c>
      <c r="G17" s="179">
        <f>VLOOKUP($B$11:$B$31,'Constr. Wage Rate Calculations'!$A$19:$Z$288,23,FALSE)</f>
        <v>72.150000000000006</v>
      </c>
      <c r="H17" s="184"/>
      <c r="I17" s="179">
        <f>VLOOKUP($B$11:$B$31,'Constr. Wage Rate Calculations'!$A$19:$Z$288,24,FALSE)</f>
        <v>96.2</v>
      </c>
      <c r="J17" s="20">
        <f>VLOOKUP($B$11:$B$31,'Constr. Wage Rate Calculations'!$A$19:$Z$288,25,FALSE)</f>
        <v>85</v>
      </c>
      <c r="K17" s="179">
        <f t="shared" si="0"/>
        <v>758.40000000000009</v>
      </c>
    </row>
    <row r="18" spans="1:15" ht="15" customHeight="1">
      <c r="A18" s="48"/>
      <c r="B18" s="49" t="str">
        <f>VLOOKUP($C$11:$C$31,Personnel!$A$1:$B$1234,2,FALSE)</f>
        <v>STRAW - OPERATOR</v>
      </c>
      <c r="C18" s="36" t="s">
        <v>1367</v>
      </c>
      <c r="D18" s="184">
        <v>8</v>
      </c>
      <c r="E18" s="179">
        <f>VLOOKUP($B$11:$B$31,'Constr. Wage Rate Calculations'!$A$19:$Z$288,22,FALSE)</f>
        <v>64.239999999999995</v>
      </c>
      <c r="F18" s="184">
        <v>5</v>
      </c>
      <c r="G18" s="179">
        <f>VLOOKUP($B$11:$B$31,'Constr. Wage Rate Calculations'!$A$19:$Z$288,23,FALSE)</f>
        <v>96.36</v>
      </c>
      <c r="H18" s="184"/>
      <c r="I18" s="179">
        <f>VLOOKUP($B$11:$B$31,'Constr. Wage Rate Calculations'!$A$19:$Z$288,24,FALSE)</f>
        <v>128.47</v>
      </c>
      <c r="J18" s="20">
        <f>VLOOKUP($B$11:$B$31,'Constr. Wage Rate Calculations'!$A$19:$Z$288,25,FALSE)</f>
        <v>85</v>
      </c>
      <c r="K18" s="179">
        <f t="shared" si="0"/>
        <v>1080.72</v>
      </c>
      <c r="M18" s="1">
        <v>1</v>
      </c>
    </row>
    <row r="19" spans="1:15" ht="15" customHeight="1">
      <c r="A19" s="48"/>
      <c r="B19" s="49">
        <f>VLOOKUP($C$11:$C$31,Personnel!$A$1:$B$1234,2,FALSE)</f>
        <v>0</v>
      </c>
      <c r="C19" s="36"/>
      <c r="D19" s="184"/>
      <c r="E19" s="179">
        <f>VLOOKUP($B$11:$B$31,'Constr. Wage Rate Calculations'!$A$19:$Z$288,22,FALSE)</f>
        <v>0</v>
      </c>
      <c r="F19" s="184"/>
      <c r="G19" s="179">
        <f>VLOOKUP($B$11:$B$31,'Constr. Wage Rate Calculations'!$A$19:$Z$288,23,FALSE)</f>
        <v>0</v>
      </c>
      <c r="H19" s="184"/>
      <c r="I19" s="179">
        <f>VLOOKUP($B$11:$B$31,'Constr. Wage Rate Calculations'!$A$19:$Z$288,24,FALSE)</f>
        <v>0</v>
      </c>
      <c r="J19" s="20">
        <f>VLOOKUP($B$11:$B$31,'Constr. Wage Rate Calculations'!$A$19:$Z$288,25,FALSE)</f>
        <v>0</v>
      </c>
      <c r="K19" s="179" t="str">
        <f t="shared" si="0"/>
        <v/>
      </c>
    </row>
    <row r="20" spans="1:15" ht="15" customHeight="1">
      <c r="A20" s="48"/>
      <c r="B20" s="49">
        <f>VLOOKUP($C$11:$C$31,Personnel!$A$1:$B$1234,2,FALSE)</f>
        <v>0</v>
      </c>
      <c r="C20" s="36"/>
      <c r="D20" s="184"/>
      <c r="E20" s="179">
        <f>VLOOKUP($B$11:$B$31,'Constr. Wage Rate Calculations'!$A$19:$Z$288,22,FALSE)</f>
        <v>0</v>
      </c>
      <c r="F20" s="184"/>
      <c r="G20" s="179">
        <f>VLOOKUP($B$11:$B$31,'Constr. Wage Rate Calculations'!$A$19:$Z$288,23,FALSE)</f>
        <v>0</v>
      </c>
      <c r="H20" s="184"/>
      <c r="I20" s="179">
        <f>VLOOKUP($B$11:$B$31,'Constr. Wage Rate Calculations'!$A$19:$Z$288,24,FALSE)</f>
        <v>0</v>
      </c>
      <c r="J20" s="20">
        <f>VLOOKUP($B$11:$B$31,'Constr. Wage Rate Calculations'!$A$19:$Z$288,25,FALSE)</f>
        <v>0</v>
      </c>
      <c r="K20" s="179" t="str">
        <f t="shared" si="0"/>
        <v/>
      </c>
    </row>
    <row r="21" spans="1:15" ht="15" customHeight="1">
      <c r="A21" s="48"/>
      <c r="B21" s="49">
        <f>VLOOKUP($C$11:$C$31,Personnel!$A$1:$B$1234,2,FALSE)</f>
        <v>0</v>
      </c>
      <c r="C21" s="36"/>
      <c r="D21" s="184"/>
      <c r="E21" s="179">
        <f>VLOOKUP($B$11:$B$31,'Constr. Wage Rate Calculations'!$A$19:$Z$288,22,FALSE)</f>
        <v>0</v>
      </c>
      <c r="F21" s="184"/>
      <c r="G21" s="179">
        <f>VLOOKUP($B$11:$B$31,'Constr. Wage Rate Calculations'!$A$19:$Z$288,23,FALSE)</f>
        <v>0</v>
      </c>
      <c r="H21" s="184"/>
      <c r="I21" s="179">
        <f>VLOOKUP($B$11:$B$31,'Constr. Wage Rate Calculations'!$A$19:$Z$288,24,FALSE)</f>
        <v>0</v>
      </c>
      <c r="J21" s="20">
        <f>VLOOKUP($B$11:$B$31,'Constr. Wage Rate Calculations'!$A$19:$Z$288,25,FALSE)</f>
        <v>0</v>
      </c>
      <c r="K21" s="179" t="str">
        <f t="shared" si="0"/>
        <v/>
      </c>
    </row>
    <row r="22" spans="1:15" ht="15" customHeight="1">
      <c r="A22" s="48"/>
      <c r="B22" s="49">
        <f>VLOOKUP($C$11:$C$31,Personnel!$A$1:$B$1234,2,FALSE)</f>
        <v>0</v>
      </c>
      <c r="C22" s="36"/>
      <c r="D22" s="184"/>
      <c r="E22" s="179">
        <f>VLOOKUP($B$11:$B$31,'Constr. Wage Rate Calculations'!$A$19:$Z$288,22,FALSE)</f>
        <v>0</v>
      </c>
      <c r="F22" s="184"/>
      <c r="G22" s="179">
        <f>VLOOKUP($B$11:$B$31,'Constr. Wage Rate Calculations'!$A$19:$Z$288,23,FALSE)</f>
        <v>0</v>
      </c>
      <c r="H22" s="184"/>
      <c r="I22" s="179">
        <f>VLOOKUP($B$11:$B$31,'Constr. Wage Rate Calculations'!$A$19:$Z$288,24,FALSE)</f>
        <v>0</v>
      </c>
      <c r="J22" s="20">
        <f>VLOOKUP($B$11:$B$31,'Constr. Wage Rate Calculations'!$A$19:$Z$288,25,FALSE)</f>
        <v>0</v>
      </c>
      <c r="K22" s="179" t="str">
        <f t="shared" si="0"/>
        <v/>
      </c>
    </row>
    <row r="23" spans="1:15" ht="15" customHeight="1">
      <c r="A23" s="48"/>
      <c r="B23" s="49">
        <f>VLOOKUP($C$11:$C$31,Personnel!$A$1:$B$1234,2,FALSE)</f>
        <v>0</v>
      </c>
      <c r="C23" s="36"/>
      <c r="D23" s="184"/>
      <c r="E23" s="179">
        <f>VLOOKUP($B$11:$B$31,'Constr. Wage Rate Calculations'!$A$19:$Z$288,22,FALSE)</f>
        <v>0</v>
      </c>
      <c r="F23" s="184"/>
      <c r="G23" s="179">
        <f>VLOOKUP($B$11:$B$31,'Constr. Wage Rate Calculations'!$A$19:$Z$288,23,FALSE)</f>
        <v>0</v>
      </c>
      <c r="H23" s="184"/>
      <c r="I23" s="179">
        <f>VLOOKUP($B$11:$B$31,'Constr. Wage Rate Calculations'!$A$19:$Z$288,24,FALSE)</f>
        <v>0</v>
      </c>
      <c r="J23" s="20">
        <f>VLOOKUP($B$11:$B$31,'Constr. Wage Rate Calculations'!$A$19:$Z$288,25,FALSE)</f>
        <v>0</v>
      </c>
      <c r="K23" s="179" t="str">
        <f t="shared" si="0"/>
        <v/>
      </c>
    </row>
    <row r="24" spans="1:15" ht="15" customHeight="1">
      <c r="A24" s="48"/>
      <c r="B24" s="49">
        <f>VLOOKUP($C$11:$C$31,Personnel!$A$1:$B$1234,2,FALSE)</f>
        <v>0</v>
      </c>
      <c r="C24" s="36"/>
      <c r="D24" s="184"/>
      <c r="E24" s="179">
        <f>VLOOKUP($B$11:$B$31,'Constr. Wage Rate Calculations'!$A$19:$Z$288,22,FALSE)</f>
        <v>0</v>
      </c>
      <c r="F24" s="184"/>
      <c r="G24" s="179">
        <f>VLOOKUP($B$11:$B$31,'Constr. Wage Rate Calculations'!$A$19:$Z$288,23,FALSE)</f>
        <v>0</v>
      </c>
      <c r="H24" s="184"/>
      <c r="I24" s="179">
        <f>VLOOKUP($B$11:$B$31,'Constr. Wage Rate Calculations'!$A$19:$Z$288,24,FALSE)</f>
        <v>0</v>
      </c>
      <c r="J24" s="20">
        <f>VLOOKUP($B$11:$B$31,'Constr. Wage Rate Calculations'!$A$19:$Z$288,25,FALSE)</f>
        <v>0</v>
      </c>
      <c r="K24" s="179" t="str">
        <f t="shared" si="0"/>
        <v/>
      </c>
    </row>
    <row r="25" spans="1:15" ht="15" customHeight="1">
      <c r="A25" s="48"/>
      <c r="B25" s="49">
        <f>VLOOKUP($C$11:$C$31,Personnel!$A$1:$B$1234,2,FALSE)</f>
        <v>0</v>
      </c>
      <c r="C25" s="36"/>
      <c r="D25" s="184"/>
      <c r="E25" s="179">
        <f>VLOOKUP($B$11:$B$31,'Constr. Wage Rate Calculations'!$A$19:$Z$288,22,FALSE)</f>
        <v>0</v>
      </c>
      <c r="F25" s="184"/>
      <c r="G25" s="179">
        <f>VLOOKUP($B$11:$B$31,'Constr. Wage Rate Calculations'!$A$19:$Z$288,23,FALSE)</f>
        <v>0</v>
      </c>
      <c r="H25" s="184"/>
      <c r="I25" s="179">
        <f>VLOOKUP($B$11:$B$31,'Constr. Wage Rate Calculations'!$A$19:$Z$288,24,FALSE)</f>
        <v>0</v>
      </c>
      <c r="J25" s="20">
        <f>VLOOKUP($B$11:$B$31,'Constr. Wage Rate Calculations'!$A$19:$Z$288,25,FALSE)</f>
        <v>0</v>
      </c>
      <c r="K25" s="179" t="str">
        <f t="shared" si="0"/>
        <v/>
      </c>
    </row>
    <row r="26" spans="1:15" ht="15" customHeight="1">
      <c r="A26" s="48"/>
      <c r="B26" s="49">
        <f>VLOOKUP($C$11:$C$31,Personnel!$A$1:$B$1234,2,FALSE)</f>
        <v>0</v>
      </c>
      <c r="C26" s="36"/>
      <c r="D26" s="184"/>
      <c r="E26" s="179">
        <f>VLOOKUP($B$11:$B$31,'Constr. Wage Rate Calculations'!$A$19:$Z$288,22,FALSE)</f>
        <v>0</v>
      </c>
      <c r="F26" s="184"/>
      <c r="G26" s="179">
        <f>VLOOKUP($B$11:$B$31,'Constr. Wage Rate Calculations'!$A$19:$Z$288,23,FALSE)</f>
        <v>0</v>
      </c>
      <c r="H26" s="184"/>
      <c r="I26" s="179">
        <f>VLOOKUP($B$11:$B$31,'Constr. Wage Rate Calculations'!$A$19:$Z$288,24,FALSE)</f>
        <v>0</v>
      </c>
      <c r="J26" s="20">
        <f>VLOOKUP($B$11:$B$31,'Constr. Wage Rate Calculations'!$A$19:$Z$288,25,FALSE)</f>
        <v>0</v>
      </c>
      <c r="K26" s="179" t="str">
        <f t="shared" si="0"/>
        <v/>
      </c>
    </row>
    <row r="27" spans="1:15" ht="15" customHeight="1">
      <c r="A27" s="48"/>
      <c r="B27" s="49">
        <f>VLOOKUP($C$11:$C$31,Personnel!$A$1:$B$1234,2,FALSE)</f>
        <v>0</v>
      </c>
      <c r="C27" s="36"/>
      <c r="D27" s="184"/>
      <c r="E27" s="179">
        <f>VLOOKUP($B$11:$B$31,'Constr. Wage Rate Calculations'!$A$19:$Z$288,22,FALSE)</f>
        <v>0</v>
      </c>
      <c r="F27" s="184"/>
      <c r="G27" s="179">
        <f>VLOOKUP($B$11:$B$31,'Constr. Wage Rate Calculations'!$A$19:$Z$288,23,FALSE)</f>
        <v>0</v>
      </c>
      <c r="H27" s="184"/>
      <c r="I27" s="179">
        <f>VLOOKUP($B$11:$B$31,'Constr. Wage Rate Calculations'!$A$19:$Z$288,24,FALSE)</f>
        <v>0</v>
      </c>
      <c r="J27" s="20">
        <f>VLOOKUP($B$11:$B$31,'Constr. Wage Rate Calculations'!$A$19:$Z$288,25,FALSE)</f>
        <v>0</v>
      </c>
      <c r="K27" s="179" t="str">
        <f t="shared" si="0"/>
        <v/>
      </c>
    </row>
    <row r="28" spans="1:15" ht="15" customHeight="1">
      <c r="A28" s="48"/>
      <c r="B28" s="49">
        <f>VLOOKUP($C$11:$C$31,Personnel!$A$1:$B$1234,2,FALSE)</f>
        <v>0</v>
      </c>
      <c r="C28" s="36"/>
      <c r="D28" s="184"/>
      <c r="E28" s="179">
        <f>VLOOKUP($B$11:$B$31,'Constr. Wage Rate Calculations'!$A$19:$Z$288,22,FALSE)</f>
        <v>0</v>
      </c>
      <c r="F28" s="184"/>
      <c r="G28" s="179">
        <f>VLOOKUP($B$11:$B$31,'Constr. Wage Rate Calculations'!$A$19:$Z$288,23,FALSE)</f>
        <v>0</v>
      </c>
      <c r="H28" s="184"/>
      <c r="I28" s="179">
        <f>VLOOKUP($B$11:$B$31,'Constr. Wage Rate Calculations'!$A$19:$Z$288,24,FALSE)</f>
        <v>0</v>
      </c>
      <c r="J28" s="20">
        <f>VLOOKUP($B$11:$B$31,'Constr. Wage Rate Calculations'!$A$19:$Z$288,25,FALSE)</f>
        <v>0</v>
      </c>
      <c r="K28" s="179" t="str">
        <f t="shared" si="0"/>
        <v/>
      </c>
    </row>
    <row r="29" spans="1:15" ht="15" customHeight="1">
      <c r="A29" s="48"/>
      <c r="B29" s="49">
        <f>VLOOKUP($C$11:$C$31,Personnel!$A$1:$B$1234,2,FALSE)</f>
        <v>0</v>
      </c>
      <c r="C29" s="36"/>
      <c r="D29" s="184"/>
      <c r="E29" s="179">
        <f>VLOOKUP($B$11:$B$31,'Constr. Wage Rate Calculations'!$A$19:$Z$288,22,FALSE)</f>
        <v>0</v>
      </c>
      <c r="F29" s="184"/>
      <c r="G29" s="179">
        <f>VLOOKUP($B$11:$B$31,'Constr. Wage Rate Calculations'!$A$19:$Z$288,23,FALSE)</f>
        <v>0</v>
      </c>
      <c r="H29" s="184"/>
      <c r="I29" s="179">
        <f>VLOOKUP($B$11:$B$31,'Constr. Wage Rate Calculations'!$A$19:$Z$288,24,FALSE)</f>
        <v>0</v>
      </c>
      <c r="J29" s="20">
        <f>VLOOKUP($B$11:$B$31,'Constr. Wage Rate Calculations'!$A$19:$Z$288,25,FALSE)</f>
        <v>0</v>
      </c>
      <c r="K29" s="179" t="str">
        <f t="shared" si="0"/>
        <v/>
      </c>
    </row>
    <row r="30" spans="1:15" ht="15" customHeight="1">
      <c r="A30" s="48"/>
      <c r="B30" s="49">
        <f>VLOOKUP($C$11:$C$31,Personnel!$A$1:$B$1234,2,FALSE)</f>
        <v>0</v>
      </c>
      <c r="C30" s="36"/>
      <c r="D30" s="20"/>
      <c r="E30" s="179">
        <f>VLOOKUP($B$11:$B$31,'Constr. Wage Rate Calculations'!$A$19:$Z$288,22,FALSE)</f>
        <v>0</v>
      </c>
      <c r="F30" s="20"/>
      <c r="G30" s="179">
        <f>VLOOKUP($B$11:$B$31,'Constr. Wage Rate Calculations'!$A$19:$Z$288,23,FALSE)</f>
        <v>0</v>
      </c>
      <c r="H30" s="20"/>
      <c r="I30" s="179">
        <f>VLOOKUP($B$11:$B$31,'Constr. Wage Rate Calculations'!$A$19:$Z$288,24,FALSE)</f>
        <v>0</v>
      </c>
      <c r="J30" s="20">
        <f>VLOOKUP($B$11:$B$31,'Constr. Wage Rate Calculations'!$A$19:$Z$288,25,FALSE)</f>
        <v>0</v>
      </c>
      <c r="K30" s="179" t="str">
        <f t="shared" si="0"/>
        <v/>
      </c>
    </row>
    <row r="31" spans="1:15" ht="15" customHeight="1" thickBot="1">
      <c r="A31" s="48"/>
      <c r="B31" s="49">
        <f>VLOOKUP($C$11:$C$31,Personnel!$A$1:$B$1234,2,FALSE)</f>
        <v>0</v>
      </c>
      <c r="C31" s="36"/>
      <c r="D31" s="184"/>
      <c r="E31" s="179">
        <f>VLOOKUP($B$11:$B$31,'Constr. Wage Rate Calculations'!$A$19:$Z$288,22,FALSE)</f>
        <v>0</v>
      </c>
      <c r="F31" s="184"/>
      <c r="G31" s="179">
        <f>VLOOKUP($B$11:$B$31,'Constr. Wage Rate Calculations'!$A$19:$Z$288,23,FALSE)</f>
        <v>0</v>
      </c>
      <c r="H31" s="184"/>
      <c r="I31" s="179">
        <f>VLOOKUP($B$11:$B$31,'Constr. Wage Rate Calculations'!$A$19:$Z$288,24,FALSE)</f>
        <v>0</v>
      </c>
      <c r="J31" s="20">
        <f>VLOOKUP($B$11:$B$31,'Constr. Wage Rate Calculations'!$A$19:$Z$288,25,FALSE)</f>
        <v>0</v>
      </c>
      <c r="K31" s="179" t="str">
        <f t="shared" si="0"/>
        <v/>
      </c>
      <c r="M31" s="1">
        <f>SUM(M11:M30)</f>
        <v>1</v>
      </c>
    </row>
    <row r="32" spans="1:15" ht="15" customHeight="1" thickBot="1">
      <c r="A32"/>
      <c r="B32"/>
      <c r="C32"/>
      <c r="D32" s="21"/>
      <c r="E32" s="21"/>
      <c r="F32" s="21"/>
      <c r="G32" s="21"/>
      <c r="H32" s="21"/>
      <c r="I32" s="360" t="s">
        <v>18</v>
      </c>
      <c r="J32" s="361"/>
      <c r="K32" s="183">
        <f>SUM(K11:K31)</f>
        <v>6886.8</v>
      </c>
      <c r="M32" s="1">
        <f>SUMIFS(D11:D31,D11:D31,"&lt;3",D11:D31,"&lt;5")</f>
        <v>1</v>
      </c>
      <c r="N32" s="1">
        <f>SUMIFS(D11:D31,D11:D31,"&gt;3",D11:D31,"&gt;5")</f>
        <v>48</v>
      </c>
      <c r="O32" s="1">
        <f>SUM(F11:F31,H11:H31,M32,N32)-M31</f>
        <v>82</v>
      </c>
    </row>
    <row r="33" spans="1:11" ht="10" customHeight="1" thickBot="1"/>
    <row r="34" spans="1:11" s="19" customFormat="1" ht="15" customHeight="1" thickBot="1">
      <c r="A34" s="22" t="s">
        <v>19</v>
      </c>
      <c r="B34" s="23" t="s">
        <v>20</v>
      </c>
      <c r="C34" s="23"/>
      <c r="D34" s="23"/>
      <c r="E34" s="23"/>
      <c r="F34" s="23"/>
      <c r="G34" s="23"/>
      <c r="H34" s="18" t="s">
        <v>21</v>
      </c>
      <c r="I34" s="18" t="s">
        <v>22</v>
      </c>
      <c r="J34" s="18" t="s">
        <v>23</v>
      </c>
      <c r="K34" s="18" t="s">
        <v>17</v>
      </c>
    </row>
    <row r="35" spans="1:11" ht="15" customHeight="1">
      <c r="A35" s="195"/>
      <c r="B35" s="49">
        <f>VLOOKUP($C$35:$C$49,Equipment!$A$1:$B$2322,2,FALSE)</f>
        <v>0</v>
      </c>
      <c r="C35" s="24"/>
      <c r="D35" s="24"/>
      <c r="E35" s="24"/>
      <c r="F35" s="24"/>
      <c r="G35" s="24"/>
      <c r="H35" s="185"/>
      <c r="I35" s="184"/>
      <c r="J35" s="42">
        <f>VLOOKUP($B$35:$B$49,'Alberta Equip. Rates Year 3'!$B$13:$K$314,10,FALSE)</f>
        <v>0</v>
      </c>
      <c r="K35" s="181">
        <f t="shared" ref="K35:K48" si="1">(H35+I35)*J35</f>
        <v>0</v>
      </c>
    </row>
    <row r="36" spans="1:11" ht="15" customHeight="1">
      <c r="A36" s="196"/>
      <c r="B36" s="49" t="str">
        <f>VLOOKUP($C$35:$C$49,Equipment!$A$1:$B$2322,2,FALSE)</f>
        <v>Flow Through</v>
      </c>
      <c r="C36" s="24" t="s">
        <v>4118</v>
      </c>
      <c r="D36" s="24"/>
      <c r="E36" s="24"/>
      <c r="F36" s="24"/>
      <c r="G36" s="24"/>
      <c r="H36" s="185">
        <v>1</v>
      </c>
      <c r="I36" s="184"/>
      <c r="J36" s="42">
        <f>VLOOKUP($B$35:$B$49,'Alberta Equip. Rates Year 3'!$B$13:$K$314,10,FALSE)</f>
        <v>0</v>
      </c>
      <c r="K36" s="181">
        <f t="shared" si="1"/>
        <v>0</v>
      </c>
    </row>
    <row r="37" spans="1:11" ht="15" customHeight="1">
      <c r="A37" s="43"/>
      <c r="B37" s="49" t="str">
        <f>VLOOKUP($C$35:$C$49,Equipment!$A$1:$B$2322,2,FALSE)</f>
        <v>Backhoe - Cat 320 (or equivalent)</v>
      </c>
      <c r="C37" s="24" t="s">
        <v>4135</v>
      </c>
      <c r="D37" s="24"/>
      <c r="E37" s="24"/>
      <c r="F37" s="24"/>
      <c r="G37" s="24"/>
      <c r="H37" s="185">
        <v>1</v>
      </c>
      <c r="I37" s="184"/>
      <c r="J37" s="42">
        <f>VLOOKUP($B$35:$B$49,'Alberta Equip. Rates Year 3'!$B$13:$K$296,10,FALSE)</f>
        <v>477</v>
      </c>
      <c r="K37" s="181">
        <f t="shared" si="1"/>
        <v>477</v>
      </c>
    </row>
    <row r="38" spans="1:11" ht="15" customHeight="1">
      <c r="A38" s="43"/>
      <c r="B38" s="49" t="str">
        <f>VLOOKUP($C$35:$C$49,Equipment!$A$1:$B$2322,2,FALSE)</f>
        <v>Crewcab - 3/4 Ton</v>
      </c>
      <c r="C38" s="24" t="s">
        <v>1930</v>
      </c>
      <c r="D38" s="24"/>
      <c r="E38" s="24"/>
      <c r="F38" s="24"/>
      <c r="G38" s="24"/>
      <c r="H38" s="185">
        <v>1</v>
      </c>
      <c r="I38" s="184"/>
      <c r="J38" s="42">
        <f>VLOOKUP($B$35:$B$49,'Alberta Equip. Rates Year 3'!$B$13:$K$296,10,FALSE)</f>
        <v>153</v>
      </c>
      <c r="K38" s="181">
        <f t="shared" si="1"/>
        <v>153</v>
      </c>
    </row>
    <row r="39" spans="1:11" ht="15" customHeight="1">
      <c r="A39" s="43"/>
      <c r="B39" s="49" t="str">
        <f>VLOOKUP($C$35:$C$49,Equipment!$A$1:$B$2322,2,FALSE)</f>
        <v>Dozer - D6T LGP (or equivalent)</v>
      </c>
      <c r="C39" s="24" t="s">
        <v>2413</v>
      </c>
      <c r="D39" s="24"/>
      <c r="E39" s="24"/>
      <c r="F39" s="24"/>
      <c r="G39" s="24"/>
      <c r="H39" s="185">
        <v>1</v>
      </c>
      <c r="I39" s="184"/>
      <c r="J39" s="42">
        <f>VLOOKUP($B$35:$B$49,'Alberta Equip. Rates Year 3'!$B$13:$K$314,10,FALSE)</f>
        <v>964</v>
      </c>
      <c r="K39" s="181">
        <f t="shared" si="1"/>
        <v>964</v>
      </c>
    </row>
    <row r="40" spans="1:11" ht="15" customHeight="1">
      <c r="A40" s="196"/>
      <c r="B40" s="49" t="str">
        <f>VLOOKUP($C$35:$C$49,Equipment!$A$1:$B$2322,2,FALSE)</f>
        <v>Pickup - 1/2 Ton</v>
      </c>
      <c r="C40" s="24" t="s">
        <v>4019</v>
      </c>
      <c r="D40" s="24"/>
      <c r="E40" s="24"/>
      <c r="F40" s="24"/>
      <c r="G40" s="24"/>
      <c r="H40" s="185">
        <v>1</v>
      </c>
      <c r="I40" s="184"/>
      <c r="J40" s="42">
        <f>VLOOKUP($B$35:$B$49,'Alberta Equip. Rates Year 3'!$B$13:$K$314,10,FALSE)</f>
        <v>125</v>
      </c>
      <c r="K40" s="181">
        <f t="shared" si="1"/>
        <v>125</v>
      </c>
    </row>
    <row r="41" spans="1:11" ht="15" customHeight="1">
      <c r="A41" s="196"/>
      <c r="B41" s="49" t="str">
        <f>VLOOKUP($C$35:$C$49,Equipment!$A$1:$B$2322,2,FALSE)</f>
        <v>Pickup - 3/4 Ton</v>
      </c>
      <c r="C41" s="24" t="s">
        <v>667</v>
      </c>
      <c r="D41" s="24"/>
      <c r="E41" s="24"/>
      <c r="F41" s="24"/>
      <c r="G41" s="24"/>
      <c r="H41" s="185">
        <v>1</v>
      </c>
      <c r="I41" s="184"/>
      <c r="J41" s="42">
        <f>VLOOKUP($B$35:$B$49,'Alberta Equip. Rates Year 3'!$B$13:$K$314,10,FALSE)</f>
        <v>145</v>
      </c>
      <c r="K41" s="181">
        <f t="shared" si="1"/>
        <v>145</v>
      </c>
    </row>
    <row r="42" spans="1:11" ht="14.25" customHeight="1">
      <c r="A42" s="236"/>
      <c r="B42" s="49">
        <f>VLOOKUP($C$35:$C$49,Equipment!$A$1:$B$2322,2,FALSE)</f>
        <v>0</v>
      </c>
      <c r="C42" s="24"/>
      <c r="D42" s="24"/>
      <c r="E42" s="24"/>
      <c r="F42" s="24"/>
      <c r="G42" s="24"/>
      <c r="H42" s="185"/>
      <c r="I42" s="184"/>
      <c r="J42" s="42">
        <f>VLOOKUP($B$35:$B$49,'Alberta Equip. Rates Year 3'!$B$13:$K$314,10,FALSE)</f>
        <v>0</v>
      </c>
      <c r="K42" s="181">
        <f t="shared" si="1"/>
        <v>0</v>
      </c>
    </row>
    <row r="43" spans="1:11" ht="15" customHeight="1">
      <c r="A43" s="43"/>
      <c r="B43" s="49">
        <f>VLOOKUP($C$35:$C$49,Equipment!$A$1:$B$2322,2,FALSE)</f>
        <v>0</v>
      </c>
      <c r="C43" s="24"/>
      <c r="D43" s="24"/>
      <c r="E43" s="24"/>
      <c r="F43" s="24"/>
      <c r="G43" s="24"/>
      <c r="H43" s="185"/>
      <c r="I43" s="184"/>
      <c r="J43" s="42">
        <f>VLOOKUP($B$35:$B$49,'Alberta Equip. Rates Year 3'!$B$13:$K$314,10,FALSE)</f>
        <v>0</v>
      </c>
      <c r="K43" s="181">
        <f t="shared" si="1"/>
        <v>0</v>
      </c>
    </row>
    <row r="44" spans="1:11" ht="15" customHeight="1">
      <c r="A44" s="43"/>
      <c r="B44" s="49">
        <f>VLOOKUP($C$35:$C$49,Equipment!$A$1:$B$2322,2,FALSE)</f>
        <v>0</v>
      </c>
      <c r="C44" s="24"/>
      <c r="D44" s="24"/>
      <c r="E44" s="24"/>
      <c r="F44" s="24"/>
      <c r="G44" s="24"/>
      <c r="H44" s="185"/>
      <c r="I44" s="184"/>
      <c r="J44" s="42">
        <f>VLOOKUP($B$35:$B$49,'Alberta Equip. Rates Year 3'!$B$13:$K$314,10,FALSE)</f>
        <v>0</v>
      </c>
      <c r="K44" s="181">
        <f t="shared" si="1"/>
        <v>0</v>
      </c>
    </row>
    <row r="45" spans="1:11" ht="15" customHeight="1">
      <c r="A45" s="43"/>
      <c r="B45" s="49">
        <f>VLOOKUP($C$35:$C$49,Equipment!$A$1:$B$2322,2,FALSE)</f>
        <v>0</v>
      </c>
      <c r="C45" s="24"/>
      <c r="D45" s="24"/>
      <c r="E45" s="24"/>
      <c r="F45" s="24"/>
      <c r="G45" s="24"/>
      <c r="H45" s="185"/>
      <c r="I45" s="184"/>
      <c r="J45" s="42">
        <f>VLOOKUP($B$35:$B$49,'Alberta Equip. Rates Year 3'!$B$13:$K$314,10,FALSE)</f>
        <v>0</v>
      </c>
      <c r="K45" s="181">
        <f t="shared" si="1"/>
        <v>0</v>
      </c>
    </row>
    <row r="46" spans="1:11" ht="15" customHeight="1">
      <c r="A46" s="43"/>
      <c r="B46" s="49">
        <f>VLOOKUP($C$35:$C$49,Equipment!$A$1:$B$2322,2,FALSE)</f>
        <v>0</v>
      </c>
      <c r="C46" s="24"/>
      <c r="D46" s="24"/>
      <c r="E46" s="24"/>
      <c r="F46" s="24"/>
      <c r="G46" s="24"/>
      <c r="H46" s="185"/>
      <c r="I46" s="184"/>
      <c r="J46" s="42">
        <f>VLOOKUP($B$35:$B$49,'Alberta Equip. Rates Year 3'!$B$13:$K$314,10,FALSE)</f>
        <v>0</v>
      </c>
      <c r="K46" s="181">
        <f t="shared" si="1"/>
        <v>0</v>
      </c>
    </row>
    <row r="47" spans="1:11" ht="15" customHeight="1">
      <c r="A47" s="43"/>
      <c r="B47" s="49">
        <f>VLOOKUP($C$35:$C$49,Equipment!$A$1:$B$2322,2,FALSE)</f>
        <v>0</v>
      </c>
      <c r="C47" s="24"/>
      <c r="D47" s="24"/>
      <c r="E47" s="24"/>
      <c r="F47" s="24"/>
      <c r="G47" s="24"/>
      <c r="H47" s="185"/>
      <c r="I47" s="184"/>
      <c r="J47" s="42">
        <f>VLOOKUP($B$35:$B$49,'Alberta Equip. Rates Year 3'!$B$13:$K$314,10,FALSE)</f>
        <v>0</v>
      </c>
      <c r="K47" s="181">
        <f t="shared" si="1"/>
        <v>0</v>
      </c>
    </row>
    <row r="48" spans="1:11" ht="15" customHeight="1">
      <c r="A48" s="43"/>
      <c r="B48" s="49">
        <f>VLOOKUP($C$35:$C$49,Equipment!$A$1:$B$2322,2,FALSE)</f>
        <v>0</v>
      </c>
      <c r="C48" s="24"/>
      <c r="D48" s="24"/>
      <c r="E48" s="24"/>
      <c r="F48" s="24"/>
      <c r="G48" s="24"/>
      <c r="H48" s="185"/>
      <c r="I48" s="184"/>
      <c r="J48" s="42">
        <f>VLOOKUP($B$35:$B$49,'Alberta Equip. Rates Year 3'!$B$13:$K$314,10,FALSE)</f>
        <v>0</v>
      </c>
      <c r="K48" s="181">
        <f t="shared" si="1"/>
        <v>0</v>
      </c>
    </row>
    <row r="49" spans="1:11" ht="15" customHeight="1" thickBot="1">
      <c r="A49" s="43"/>
      <c r="B49" s="49">
        <f>VLOOKUP($C$35:$C$49,Equipment!$A$1:$B$2322,2,FALSE)</f>
        <v>0</v>
      </c>
      <c r="C49" s="24"/>
      <c r="D49" s="24"/>
      <c r="E49" s="24"/>
      <c r="F49" s="24"/>
      <c r="G49" s="24"/>
      <c r="H49" s="185"/>
      <c r="I49" s="184"/>
      <c r="J49" s="42">
        <f>VLOOKUP($B$35:$B$49,'Alberta Equip. Rates Year 3'!$B$13:$K$296,10,FALSE)</f>
        <v>0</v>
      </c>
      <c r="K49" s="181">
        <f t="shared" ref="K49" si="2">(H49+I49)*J49</f>
        <v>0</v>
      </c>
    </row>
    <row r="50" spans="1:11" ht="12" thickBot="1">
      <c r="A50" s="25"/>
      <c r="B50" s="25"/>
      <c r="C50" s="25"/>
      <c r="D50" s="21"/>
      <c r="E50" s="21"/>
      <c r="F50" s="21"/>
      <c r="G50" s="21"/>
      <c r="H50" s="21"/>
      <c r="I50" s="360" t="s">
        <v>24</v>
      </c>
      <c r="J50" s="361"/>
      <c r="K50" s="182">
        <f>SUM(K35:K49)</f>
        <v>1864</v>
      </c>
    </row>
    <row r="51" spans="1:11" ht="12" thickBot="1">
      <c r="A51" s="26"/>
      <c r="D51" s="26"/>
      <c r="I51" s="27"/>
      <c r="J51" s="27"/>
      <c r="K51" s="28"/>
    </row>
    <row r="52" spans="1:11">
      <c r="A52" s="1" t="s">
        <v>25</v>
      </c>
      <c r="B52" s="29"/>
      <c r="D52" s="1"/>
      <c r="E52" s="1"/>
      <c r="F52" s="1"/>
      <c r="G52" s="1"/>
      <c r="H52" s="1"/>
      <c r="I52" s="362" t="s">
        <v>26</v>
      </c>
      <c r="J52" s="362"/>
      <c r="K52" s="37">
        <f>K32</f>
        <v>6886.8</v>
      </c>
    </row>
    <row r="53" spans="1:11">
      <c r="D53" s="1"/>
      <c r="E53" s="1"/>
      <c r="F53" s="1"/>
      <c r="G53" s="1"/>
      <c r="H53" s="1"/>
      <c r="I53" s="362" t="s">
        <v>27</v>
      </c>
      <c r="J53" s="362"/>
      <c r="K53" s="38">
        <f>K50</f>
        <v>1864</v>
      </c>
    </row>
    <row r="54" spans="1:11">
      <c r="D54" s="1"/>
      <c r="E54" s="1"/>
      <c r="F54" s="1"/>
      <c r="G54" s="1"/>
      <c r="H54" s="1"/>
      <c r="I54" s="27" t="s">
        <v>28</v>
      </c>
      <c r="J54" s="27"/>
      <c r="K54" s="38">
        <f>(O32)*14.15</f>
        <v>1160.3</v>
      </c>
    </row>
    <row r="55" spans="1:11">
      <c r="D55" s="1"/>
      <c r="E55" s="1"/>
      <c r="F55" s="1"/>
      <c r="G55" s="1"/>
      <c r="H55" s="1"/>
      <c r="I55" s="30" t="s">
        <v>29</v>
      </c>
      <c r="J55" s="30"/>
      <c r="K55" s="39"/>
    </row>
    <row r="56" spans="1:11">
      <c r="D56" s="1"/>
      <c r="E56" s="1"/>
      <c r="F56" s="1"/>
      <c r="G56" s="1"/>
      <c r="H56" s="1"/>
      <c r="I56" s="30" t="s">
        <v>30</v>
      </c>
      <c r="J56" s="30"/>
      <c r="K56" s="39"/>
    </row>
    <row r="57" spans="1:11">
      <c r="D57" s="1"/>
      <c r="E57" s="1"/>
      <c r="F57" s="1"/>
      <c r="G57" s="1"/>
      <c r="H57" s="1"/>
      <c r="I57" s="30" t="s">
        <v>31</v>
      </c>
      <c r="J57" s="30"/>
      <c r="K57" s="39"/>
    </row>
    <row r="58" spans="1:11" ht="12" thickBot="1">
      <c r="D58" s="1"/>
      <c r="E58" s="1"/>
      <c r="F58" s="1"/>
      <c r="G58" s="1"/>
      <c r="H58" s="1"/>
      <c r="I58" s="362" t="s">
        <v>32</v>
      </c>
      <c r="J58" s="362"/>
      <c r="K58" s="40">
        <f>SUM(K52:K57)</f>
        <v>9911.0999999999985</v>
      </c>
    </row>
    <row r="59" spans="1:11">
      <c r="D59" s="1"/>
      <c r="E59" s="1"/>
      <c r="F59" s="1"/>
      <c r="G59" s="1"/>
      <c r="H59" s="1"/>
      <c r="I59" s="27"/>
      <c r="J59" s="27"/>
    </row>
    <row r="60" spans="1:11">
      <c r="A60" s="31" t="s">
        <v>33</v>
      </c>
      <c r="B60" s="32"/>
      <c r="C60" s="32"/>
      <c r="D60" s="1"/>
      <c r="H60" s="33" t="s">
        <v>34</v>
      </c>
      <c r="I60" s="32"/>
      <c r="J60" s="32"/>
      <c r="K60" s="32"/>
    </row>
    <row r="61" spans="1:11" ht="15">
      <c r="A61" s="34"/>
      <c r="E61" s="8"/>
      <c r="F61" s="8"/>
      <c r="G61" s="8"/>
      <c r="H61" s="35"/>
      <c r="I61" s="35"/>
      <c r="J61" s="35"/>
      <c r="K61" s="35"/>
    </row>
    <row r="62" spans="1:11" ht="15">
      <c r="A62" s="34" t="s">
        <v>35</v>
      </c>
      <c r="E62" s="8"/>
      <c r="F62" s="8"/>
      <c r="G62" s="8"/>
      <c r="H62" s="35"/>
      <c r="I62" s="35"/>
      <c r="J62" s="35"/>
      <c r="K62" s="35"/>
    </row>
    <row r="63" spans="1:11" s="34" customFormat="1">
      <c r="A63" s="363">
        <v>41218.479166666664</v>
      </c>
      <c r="B63" s="363"/>
      <c r="C63" s="364"/>
      <c r="D63" s="364"/>
      <c r="E63" s="364"/>
      <c r="F63" s="364"/>
      <c r="G63" s="364"/>
      <c r="H63" s="364"/>
      <c r="I63" s="364"/>
      <c r="J63" s="364"/>
      <c r="K63" s="8"/>
    </row>
    <row r="73" s="1" customFormat="1"/>
    <row r="74" s="1" customFormat="1"/>
    <row r="75" s="1" customFormat="1"/>
    <row r="76" s="1" customFormat="1"/>
    <row r="77" s="1" customFormat="1"/>
    <row r="78" s="1" customFormat="1"/>
    <row r="79" s="1" customFormat="1"/>
    <row r="80" s="1" customFormat="1"/>
    <row r="81" s="1" customFormat="1"/>
    <row r="82" s="1" customFormat="1"/>
    <row r="83" s="1" customFormat="1"/>
    <row r="84" s="1" customFormat="1"/>
    <row r="85" s="1" customFormat="1"/>
    <row r="86" s="1" customFormat="1"/>
    <row r="91" s="1" customFormat="1"/>
    <row r="119" s="1" customFormat="1"/>
    <row r="120" s="1" customFormat="1"/>
    <row r="121" s="1" customFormat="1"/>
    <row r="122" s="1" customFormat="1"/>
  </sheetData>
  <mergeCells count="12">
    <mergeCell ref="I50:J50"/>
    <mergeCell ref="I52:J52"/>
    <mergeCell ref="I53:J53"/>
    <mergeCell ref="I58:J58"/>
    <mergeCell ref="A63:B63"/>
    <mergeCell ref="C63:J63"/>
    <mergeCell ref="I32:J32"/>
    <mergeCell ref="C1:H1"/>
    <mergeCell ref="C2:H2"/>
    <mergeCell ref="C3:H3"/>
    <mergeCell ref="H6:I6"/>
    <mergeCell ref="H7:I7"/>
  </mergeCells>
  <conditionalFormatting sqref="M11">
    <cfRule type="expression" dxfId="14" priority="15111">
      <formula>ISTEXT(A11:A30)</formula>
    </cfRule>
  </conditionalFormatting>
  <printOptions horizontalCentered="1"/>
  <pageMargins left="0.19685039370078741" right="0.19685039370078741" top="0.39370078740157483" bottom="0.39370078740157483" header="0" footer="0"/>
  <pageSetup orientation="portrait" horizontalDpi="4294967292" verticalDpi="4294967292"/>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3000-000000000000}">
          <x14:formula1>
            <xm:f>Accounts!$A$4:$A$60</xm:f>
          </x14:formula1>
          <xm:sqref>K7</xm:sqref>
        </x14:dataValidation>
        <x14:dataValidation type="list" allowBlank="1" showInputMessage="1" showErrorMessage="1" xr:uid="{00000000-0002-0000-3000-000001000000}">
          <x14:formula1>
            <xm:f>'Constr. Wage Rate Calculations'!$A$19:$A$288</xm:f>
          </x14:formula1>
          <xm:sqref>B11:B31</xm:sqref>
        </x14:dataValidation>
        <x14:dataValidation type="list" allowBlank="1" showInputMessage="1" showErrorMessage="1" xr:uid="{00000000-0002-0000-3000-000002000000}">
          <x14:formula1>
            <xm:f>Personnel!$A:$A</xm:f>
          </x14:formula1>
          <xm:sqref>C11:C31</xm:sqref>
        </x14:dataValidation>
        <x14:dataValidation type="list" allowBlank="1" showInputMessage="1" showErrorMessage="1" xr:uid="{00000000-0002-0000-3000-000003000000}">
          <x14:formula1>
            <xm:f>Equipment!$A:$A</xm:f>
          </x14:formula1>
          <xm:sqref>C35:C49</xm:sqref>
        </x14:dataValidation>
      </x14:dataValidations>
    </ext>
    <ext xmlns:mx="http://schemas.microsoft.com/office/mac/excel/2008/main" uri="{64002731-A6B0-56B0-2670-7721B7C09600}">
      <mx:PLV Mode="0" OnePage="0" WScale="0"/>
    </ext>
  </extLs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CCFFCC"/>
    <pageSetUpPr fitToPage="1"/>
  </sheetPr>
  <dimension ref="A1:O126"/>
  <sheetViews>
    <sheetView topLeftCell="A3" zoomScale="120" zoomScaleNormal="120" zoomScalePageLayoutView="120" workbookViewId="0">
      <selection activeCell="C14" sqref="C14"/>
    </sheetView>
  </sheetViews>
  <sheetFormatPr baseColWidth="10" defaultColWidth="8.83203125" defaultRowHeight="11"/>
  <cols>
    <col min="1" max="1" width="13" style="1" customWidth="1"/>
    <col min="2" max="2" width="30" style="1" customWidth="1"/>
    <col min="3" max="3" width="24.5" style="1" customWidth="1"/>
    <col min="4" max="4" width="8.6640625" style="2" customWidth="1"/>
    <col min="5" max="6" width="8.33203125" style="2" customWidth="1"/>
    <col min="7" max="8" width="8.6640625" style="2" customWidth="1"/>
    <col min="9" max="9" width="9.33203125" style="2" customWidth="1"/>
    <col min="10" max="10" width="8.6640625" style="2" customWidth="1"/>
    <col min="11" max="11" width="20.6640625" style="1" customWidth="1"/>
    <col min="12" max="12" width="3.5" style="1" hidden="1" customWidth="1"/>
    <col min="13" max="16384" width="8.83203125" style="1"/>
  </cols>
  <sheetData>
    <row r="1" spans="1:13" ht="15">
      <c r="C1" s="364"/>
      <c r="D1" s="365"/>
      <c r="E1" s="365"/>
      <c r="F1" s="365"/>
      <c r="G1" s="365"/>
      <c r="H1" s="366"/>
      <c r="J1" s="2" t="s">
        <v>0</v>
      </c>
      <c r="K1" s="197">
        <v>41659</v>
      </c>
      <c r="M1" s="45"/>
    </row>
    <row r="2" spans="1:13" ht="15">
      <c r="C2" s="367"/>
      <c r="D2" s="367"/>
      <c r="E2" s="367"/>
      <c r="F2" s="367"/>
      <c r="G2" s="367"/>
      <c r="H2" s="366"/>
      <c r="K2" s="41"/>
    </row>
    <row r="3" spans="1:13" ht="15">
      <c r="C3" s="368"/>
      <c r="D3" s="369"/>
      <c r="E3" s="369"/>
      <c r="F3" s="369"/>
      <c r="G3" s="369"/>
      <c r="H3" s="366"/>
    </row>
    <row r="4" spans="1:13">
      <c r="C4" s="3"/>
      <c r="D4" s="4"/>
      <c r="E4" s="4"/>
      <c r="F4" s="4"/>
      <c r="G4" s="4"/>
    </row>
    <row r="5" spans="1:13">
      <c r="C5" s="3"/>
      <c r="D5" s="4"/>
      <c r="E5" s="4"/>
      <c r="F5" s="4"/>
      <c r="G5" s="4"/>
    </row>
    <row r="6" spans="1:13" ht="12">
      <c r="B6" s="5"/>
      <c r="C6" s="6"/>
      <c r="D6" s="7"/>
      <c r="E6" s="8"/>
      <c r="F6" s="8"/>
      <c r="G6" s="1" t="s">
        <v>1</v>
      </c>
      <c r="H6" s="370">
        <v>18198</v>
      </c>
      <c r="I6" s="370"/>
      <c r="J6" s="1" t="s">
        <v>2</v>
      </c>
      <c r="K6" s="47"/>
    </row>
    <row r="7" spans="1:13" ht="12">
      <c r="A7" s="1" t="s">
        <v>3</v>
      </c>
      <c r="B7" s="9"/>
      <c r="C7" s="10"/>
      <c r="D7" s="11"/>
      <c r="E7" s="8"/>
      <c r="F7" s="8"/>
      <c r="G7" s="1" t="s">
        <v>4</v>
      </c>
      <c r="H7" s="371"/>
      <c r="I7" s="371"/>
      <c r="J7" s="1" t="s">
        <v>5</v>
      </c>
      <c r="K7" s="46"/>
    </row>
    <row r="8" spans="1:13" ht="12">
      <c r="B8" s="12"/>
      <c r="C8" s="13"/>
      <c r="D8" s="14"/>
      <c r="E8" s="8"/>
      <c r="F8" s="8"/>
      <c r="G8" s="1" t="s">
        <v>6</v>
      </c>
      <c r="H8" s="189"/>
      <c r="I8" s="190"/>
      <c r="J8" s="44"/>
    </row>
    <row r="9" spans="1:13" ht="16" thickBot="1">
      <c r="B9" s="15"/>
      <c r="C9" s="16"/>
      <c r="D9" s="16"/>
      <c r="E9" s="8"/>
      <c r="F9" s="8"/>
      <c r="G9" s="8"/>
    </row>
    <row r="10" spans="1:13" s="19" customFormat="1" ht="12" thickBot="1">
      <c r="A10" s="17" t="s">
        <v>7</v>
      </c>
      <c r="B10" s="17" t="s">
        <v>8</v>
      </c>
      <c r="C10" s="17" t="s">
        <v>9</v>
      </c>
      <c r="D10" s="18" t="s">
        <v>10</v>
      </c>
      <c r="E10" s="18" t="s">
        <v>11</v>
      </c>
      <c r="F10" s="18" t="s">
        <v>12</v>
      </c>
      <c r="G10" s="180" t="s">
        <v>13</v>
      </c>
      <c r="H10" s="18" t="s">
        <v>14</v>
      </c>
      <c r="I10" s="18" t="s">
        <v>15</v>
      </c>
      <c r="J10" s="18" t="s">
        <v>16</v>
      </c>
      <c r="K10" s="18" t="s">
        <v>17</v>
      </c>
      <c r="M10" s="19" t="s">
        <v>1797</v>
      </c>
    </row>
    <row r="11" spans="1:13" ht="15" customHeight="1">
      <c r="A11" s="48"/>
      <c r="B11" s="49">
        <f>VLOOKUP($C$11:$C$31,Personnel!$A$1:$B$1234,2,FALSE)</f>
        <v>0</v>
      </c>
      <c r="C11" s="36"/>
      <c r="D11" s="184"/>
      <c r="E11" s="179">
        <f>VLOOKUP($B$11:$B$31,'Constr. Wage Rate Calculations'!$A$19:$Z$288,22,FALSE)</f>
        <v>0</v>
      </c>
      <c r="F11" s="184"/>
      <c r="G11" s="179">
        <f>VLOOKUP($B$11:$B$31,'Constr. Wage Rate Calculations'!$A$19:$Z$288,23,FALSE)</f>
        <v>0</v>
      </c>
      <c r="H11" s="184"/>
      <c r="I11" s="179">
        <f>VLOOKUP($B$11:$B$31,'Constr. Wage Rate Calculations'!$A$19:$Z$288,24,FALSE)</f>
        <v>0</v>
      </c>
      <c r="J11" s="20">
        <f>VLOOKUP($B$11:$B$31,'Constr. Wage Rate Calculations'!$A$19:$Z$288,25,FALSE)</f>
        <v>0</v>
      </c>
      <c r="K11" s="179" t="str">
        <f t="shared" ref="K11:K31" si="0">IF($D11&gt;=1,$J11+(D11*E11)+(F11*G11)+(H11*I11),IF($F11&gt;=1,$J11+(D11*E11)+(F11*G11)+(H11*I11),IF($H11&gt;=1,$J11+(D11*E11)+(F11*G11)+(H11*I11),"")))</f>
        <v/>
      </c>
    </row>
    <row r="12" spans="1:13" ht="15" customHeight="1">
      <c r="A12" s="48"/>
      <c r="B12" s="49" t="str">
        <f>VLOOKUP($C$11:$C$31,Personnel!$A$1:$B$1234,2,FALSE)</f>
        <v>FRONT-END/TIE-IN WELDER  ON STICK WELD SPREAD (QI APPLIES)</v>
      </c>
      <c r="C12" s="36" t="s">
        <v>1112</v>
      </c>
      <c r="D12" s="184">
        <v>8</v>
      </c>
      <c r="E12" s="179">
        <f>VLOOKUP($B$11:$B$31,'Constr. Wage Rate Calculations'!$A$19:$Z$288,22,FALSE)</f>
        <v>82.2</v>
      </c>
      <c r="F12" s="184">
        <v>4</v>
      </c>
      <c r="G12" s="179">
        <f>VLOOKUP($B$11:$B$31,'Constr. Wage Rate Calculations'!$A$19:$Z$288,23,FALSE)</f>
        <v>123.3</v>
      </c>
      <c r="H12" s="184"/>
      <c r="I12" s="179">
        <f>VLOOKUP($B$11:$B$31,'Constr. Wage Rate Calculations'!$A$19:$Z$288,24,FALSE)</f>
        <v>164.4</v>
      </c>
      <c r="J12" s="20">
        <f>VLOOKUP($B$11:$B$31,'Constr. Wage Rate Calculations'!$A$19:$Z$288,25,FALSE)</f>
        <v>85</v>
      </c>
      <c r="K12" s="179">
        <f t="shared" si="0"/>
        <v>1235.8</v>
      </c>
    </row>
    <row r="13" spans="1:13" ht="15" customHeight="1">
      <c r="A13" s="48"/>
      <c r="B13" s="49" t="str">
        <f>VLOOKUP($C$11:$C$31,Personnel!$A$1:$B$1234,2,FALSE)</f>
        <v>STRAW  - FITTER ON AUTO WELD SPREAD (QI APPLIES)</v>
      </c>
      <c r="C13" s="36" t="s">
        <v>2525</v>
      </c>
      <c r="D13" s="184">
        <v>8</v>
      </c>
      <c r="E13" s="179">
        <f>VLOOKUP($B$11:$B$31,'Constr. Wage Rate Calculations'!$A$19:$Z$288,22,FALSE)</f>
        <v>82.81</v>
      </c>
      <c r="F13" s="184">
        <v>6</v>
      </c>
      <c r="G13" s="179">
        <f>VLOOKUP($B$11:$B$31,'Constr. Wage Rate Calculations'!$A$19:$Z$288,23,FALSE)</f>
        <v>124.21</v>
      </c>
      <c r="H13" s="184"/>
      <c r="I13" s="179">
        <f>VLOOKUP($B$11:$B$31,'Constr. Wage Rate Calculations'!$A$19:$Z$288,24,FALSE)</f>
        <v>165.62</v>
      </c>
      <c r="J13" s="20">
        <f>VLOOKUP($B$11:$B$31,'Constr. Wage Rate Calculations'!$A$19:$Z$288,25,FALSE)</f>
        <v>85</v>
      </c>
      <c r="K13" s="179">
        <f t="shared" si="0"/>
        <v>1492.74</v>
      </c>
      <c r="M13" s="1">
        <v>2</v>
      </c>
    </row>
    <row r="14" spans="1:13" ht="15" customHeight="1">
      <c r="A14" s="48"/>
      <c r="B14" s="49" t="str">
        <f>VLOOKUP($C$11:$C$31,Personnel!$A$1:$B$1234,2,FALSE)</f>
        <v>PRINCIPAL OPER 1</v>
      </c>
      <c r="C14" s="36" t="s">
        <v>1480</v>
      </c>
      <c r="D14" s="184">
        <v>8</v>
      </c>
      <c r="E14" s="179">
        <f>VLOOKUP($B$11:$B$31,'Constr. Wage Rate Calculations'!$A$19:$Z$288,22,FALSE)</f>
        <v>64.239999999999995</v>
      </c>
      <c r="F14" s="184">
        <v>4</v>
      </c>
      <c r="G14" s="179">
        <f>VLOOKUP($B$11:$B$31,'Constr. Wage Rate Calculations'!$A$19:$Z$288,23,FALSE)</f>
        <v>96.36</v>
      </c>
      <c r="H14" s="184"/>
      <c r="I14" s="179">
        <f>VLOOKUP($B$11:$B$31,'Constr. Wage Rate Calculations'!$A$19:$Z$288,24,FALSE)</f>
        <v>128.47</v>
      </c>
      <c r="J14" s="20">
        <f>VLOOKUP($B$11:$B$31,'Constr. Wage Rate Calculations'!$A$19:$Z$288,25,FALSE)</f>
        <v>85</v>
      </c>
      <c r="K14" s="179">
        <f t="shared" si="0"/>
        <v>984.3599999999999</v>
      </c>
    </row>
    <row r="15" spans="1:13" ht="15" customHeight="1">
      <c r="A15" s="48"/>
      <c r="B15" s="49" t="str">
        <f>VLOOKUP($C$11:$C$31,Personnel!$A$1:$B$1234,2,FALSE)</f>
        <v>PRINCIPAL OPER 1</v>
      </c>
      <c r="C15" s="36" t="s">
        <v>3022</v>
      </c>
      <c r="D15" s="184">
        <v>8</v>
      </c>
      <c r="E15" s="179">
        <f>VLOOKUP($B$11:$B$31,'Constr. Wage Rate Calculations'!$A$19:$Z$288,22,FALSE)</f>
        <v>64.239999999999995</v>
      </c>
      <c r="F15" s="184">
        <v>4</v>
      </c>
      <c r="G15" s="179">
        <f>VLOOKUP($B$11:$B$31,'Constr. Wage Rate Calculations'!$A$19:$Z$288,23,FALSE)</f>
        <v>96.36</v>
      </c>
      <c r="H15" s="184"/>
      <c r="I15" s="179">
        <f>VLOOKUP($B$11:$B$31,'Constr. Wage Rate Calculations'!$A$19:$Z$288,24,FALSE)</f>
        <v>128.47</v>
      </c>
      <c r="J15" s="20">
        <f>VLOOKUP($B$11:$B$31,'Constr. Wage Rate Calculations'!$A$19:$Z$288,25,FALSE)</f>
        <v>85</v>
      </c>
      <c r="K15" s="179">
        <f t="shared" si="0"/>
        <v>984.3599999999999</v>
      </c>
    </row>
    <row r="16" spans="1:13" ht="15" customHeight="1">
      <c r="A16" s="48"/>
      <c r="B16" s="49" t="str">
        <f>VLOOKUP($C$11:$C$31,Personnel!$A$1:$B$1234,2,FALSE)</f>
        <v>GENERAL LABOURER</v>
      </c>
      <c r="C16" s="36" t="s">
        <v>1453</v>
      </c>
      <c r="D16" s="184">
        <v>8</v>
      </c>
      <c r="E16" s="179">
        <f>VLOOKUP($B$11:$B$31,'Constr. Wage Rate Calculations'!$A$19:$Z$288,22,FALSE)</f>
        <v>48.1</v>
      </c>
      <c r="F16" s="184">
        <v>4</v>
      </c>
      <c r="G16" s="179">
        <f>VLOOKUP($B$11:$B$31,'Constr. Wage Rate Calculations'!$A$19:$Z$288,23,FALSE)</f>
        <v>72.150000000000006</v>
      </c>
      <c r="H16" s="184"/>
      <c r="I16" s="179">
        <f>VLOOKUP($B$11:$B$31,'Constr. Wage Rate Calculations'!$A$19:$Z$288,24,FALSE)</f>
        <v>96.2</v>
      </c>
      <c r="J16" s="20">
        <f>VLOOKUP($B$11:$B$31,'Constr. Wage Rate Calculations'!$A$19:$Z$288,25,FALSE)</f>
        <v>85</v>
      </c>
      <c r="K16" s="179">
        <f t="shared" si="0"/>
        <v>758.40000000000009</v>
      </c>
    </row>
    <row r="17" spans="1:15" ht="15" customHeight="1">
      <c r="A17" s="48"/>
      <c r="B17" s="49" t="str">
        <f>VLOOKUP($C$11:$C$31,Personnel!$A$1:$B$1234,2,FALSE)</f>
        <v>STRAW - OPERATOR</v>
      </c>
      <c r="C17" s="36" t="s">
        <v>1393</v>
      </c>
      <c r="D17" s="184">
        <v>8</v>
      </c>
      <c r="E17" s="179">
        <f>VLOOKUP($B$11:$B$31,'Constr. Wage Rate Calculations'!$A$19:$Z$288,22,FALSE)</f>
        <v>64.239999999999995</v>
      </c>
      <c r="F17" s="184">
        <v>6</v>
      </c>
      <c r="G17" s="179">
        <f>VLOOKUP($B$11:$B$31,'Constr. Wage Rate Calculations'!$A$19:$Z$288,23,FALSE)</f>
        <v>96.36</v>
      </c>
      <c r="H17" s="184"/>
      <c r="I17" s="179">
        <f>VLOOKUP($B$11:$B$31,'Constr. Wage Rate Calculations'!$A$19:$Z$288,24,FALSE)</f>
        <v>128.47</v>
      </c>
      <c r="J17" s="20">
        <f>VLOOKUP($B$11:$B$31,'Constr. Wage Rate Calculations'!$A$19:$Z$288,25,FALSE)</f>
        <v>85</v>
      </c>
      <c r="K17" s="179">
        <f t="shared" si="0"/>
        <v>1177.08</v>
      </c>
      <c r="M17" s="1">
        <v>2</v>
      </c>
    </row>
    <row r="18" spans="1:15" ht="15" customHeight="1">
      <c r="A18" s="48"/>
      <c r="B18" s="49" t="str">
        <f>VLOOKUP($C$11:$C$31,Personnel!$A$1:$B$1234,2,FALSE)</f>
        <v>FRONT-END/TIE-IN WELDER  ON STICK WELD SPREAD (QI APPLIES)</v>
      </c>
      <c r="C18" s="36" t="s">
        <v>799</v>
      </c>
      <c r="D18" s="184">
        <v>8</v>
      </c>
      <c r="E18" s="179">
        <f>VLOOKUP($B$11:$B$31,'Constr. Wage Rate Calculations'!$A$19:$Z$288,22,FALSE)</f>
        <v>82.2</v>
      </c>
      <c r="F18" s="184">
        <v>4</v>
      </c>
      <c r="G18" s="179">
        <f>VLOOKUP($B$11:$B$31,'Constr. Wage Rate Calculations'!$A$19:$Z$288,23,FALSE)</f>
        <v>123.3</v>
      </c>
      <c r="H18" s="184"/>
      <c r="I18" s="179">
        <f>VLOOKUP($B$11:$B$31,'Constr. Wage Rate Calculations'!$A$19:$Z$288,24,FALSE)</f>
        <v>164.4</v>
      </c>
      <c r="J18" s="20">
        <f>VLOOKUP($B$11:$B$31,'Constr. Wage Rate Calculations'!$A$19:$Z$288,25,FALSE)</f>
        <v>85</v>
      </c>
      <c r="K18" s="179">
        <f t="shared" si="0"/>
        <v>1235.8</v>
      </c>
    </row>
    <row r="19" spans="1:15" ht="15" customHeight="1">
      <c r="A19" s="48"/>
      <c r="B19" s="49" t="str">
        <f>VLOOKUP($C$11:$C$31,Personnel!$A$1:$B$1234,2,FALSE)</f>
        <v>UA TIE-IN FOREMAN</v>
      </c>
      <c r="C19" s="36" t="s">
        <v>1362</v>
      </c>
      <c r="D19" s="184">
        <v>1</v>
      </c>
      <c r="E19" s="179">
        <f>VLOOKUP($B$11:$B$31,'Constr. Wage Rate Calculations'!$A$19:$Z$288,22,FALSE)</f>
        <v>1952.31</v>
      </c>
      <c r="F19" s="184">
        <v>9</v>
      </c>
      <c r="G19" s="179">
        <f>VLOOKUP($B$11:$B$31,'Constr. Wage Rate Calculations'!$A$19:$Z$288,23,FALSE)</f>
        <v>0</v>
      </c>
      <c r="H19" s="184"/>
      <c r="I19" s="179">
        <f>VLOOKUP($B$11:$B$31,'Constr. Wage Rate Calculations'!$A$19:$Z$288,24,FALSE)</f>
        <v>0</v>
      </c>
      <c r="J19" s="20">
        <f>VLOOKUP($B$11:$B$31,'Constr. Wage Rate Calculations'!$A$19:$Z$288,25,FALSE)</f>
        <v>230</v>
      </c>
      <c r="K19" s="179">
        <f t="shared" si="0"/>
        <v>2182.31</v>
      </c>
    </row>
    <row r="20" spans="1:15" ht="15" customHeight="1">
      <c r="A20" s="48"/>
      <c r="B20" s="49" t="str">
        <f>VLOOKUP($C$11:$C$31,Personnel!$A$1:$B$1234,2,FALSE)</f>
        <v>PRINCIPAL OPER 1</v>
      </c>
      <c r="C20" s="36" t="s">
        <v>1445</v>
      </c>
      <c r="D20" s="184">
        <v>8</v>
      </c>
      <c r="E20" s="179">
        <f>VLOOKUP($B$11:$B$31,'Constr. Wage Rate Calculations'!$A$19:$Z$288,22,FALSE)</f>
        <v>64.239999999999995</v>
      </c>
      <c r="F20" s="184">
        <v>4</v>
      </c>
      <c r="G20" s="179">
        <f>VLOOKUP($B$11:$B$31,'Constr. Wage Rate Calculations'!$A$19:$Z$288,23,FALSE)</f>
        <v>96.36</v>
      </c>
      <c r="H20" s="184"/>
      <c r="I20" s="179">
        <f>VLOOKUP($B$11:$B$31,'Constr. Wage Rate Calculations'!$A$19:$Z$288,24,FALSE)</f>
        <v>128.47</v>
      </c>
      <c r="J20" s="20">
        <f>VLOOKUP($B$11:$B$31,'Constr. Wage Rate Calculations'!$A$19:$Z$288,25,FALSE)</f>
        <v>85</v>
      </c>
      <c r="K20" s="179">
        <f t="shared" si="0"/>
        <v>984.3599999999999</v>
      </c>
    </row>
    <row r="21" spans="1:15" ht="15" customHeight="1">
      <c r="A21" s="48"/>
      <c r="B21" s="49" t="str">
        <f>VLOOKUP($C$11:$C$31,Personnel!$A$1:$B$1234,2,FALSE)</f>
        <v>APPRENTICE OPER/OILER</v>
      </c>
      <c r="C21" s="36" t="s">
        <v>1366</v>
      </c>
      <c r="D21" s="184">
        <v>8</v>
      </c>
      <c r="E21" s="179">
        <f>VLOOKUP($B$11:$B$31,'Constr. Wage Rate Calculations'!$A$19:$Z$288,22,FALSE)</f>
        <v>49.44</v>
      </c>
      <c r="F21" s="184">
        <v>4</v>
      </c>
      <c r="G21" s="179">
        <f>VLOOKUP($B$11:$B$31,'Constr. Wage Rate Calculations'!$A$19:$Z$288,23,FALSE)</f>
        <v>74.16</v>
      </c>
      <c r="H21" s="184"/>
      <c r="I21" s="179">
        <f>VLOOKUP($B$11:$B$31,'Constr. Wage Rate Calculations'!$A$19:$Z$288,24,FALSE)</f>
        <v>98.89</v>
      </c>
      <c r="J21" s="20">
        <f>VLOOKUP($B$11:$B$31,'Constr. Wage Rate Calculations'!$A$19:$Z$288,25,FALSE)</f>
        <v>85</v>
      </c>
      <c r="K21" s="179">
        <f t="shared" si="0"/>
        <v>777.16</v>
      </c>
    </row>
    <row r="22" spans="1:15" ht="15" customHeight="1">
      <c r="A22" s="48"/>
      <c r="B22" s="49" t="str">
        <f>VLOOKUP($C$11:$C$31,Personnel!$A$1:$B$1234,2,FALSE)</f>
        <v>GENERAL LABOURER</v>
      </c>
      <c r="C22" s="36" t="s">
        <v>3395</v>
      </c>
      <c r="D22" s="184">
        <v>8</v>
      </c>
      <c r="E22" s="179">
        <f>VLOOKUP($B$11:$B$31,'Constr. Wage Rate Calculations'!$A$19:$Z$288,22,FALSE)</f>
        <v>48.1</v>
      </c>
      <c r="F22" s="184">
        <v>4</v>
      </c>
      <c r="G22" s="179">
        <f>VLOOKUP($B$11:$B$31,'Constr. Wage Rate Calculations'!$A$19:$Z$288,23,FALSE)</f>
        <v>72.150000000000006</v>
      </c>
      <c r="H22" s="184"/>
      <c r="I22" s="179">
        <f>VLOOKUP($B$11:$B$31,'Constr. Wage Rate Calculations'!$A$19:$Z$288,24,FALSE)</f>
        <v>96.2</v>
      </c>
      <c r="J22" s="20">
        <f>VLOOKUP($B$11:$B$31,'Constr. Wage Rate Calculations'!$A$19:$Z$288,25,FALSE)</f>
        <v>85</v>
      </c>
      <c r="K22" s="179">
        <f t="shared" si="0"/>
        <v>758.40000000000009</v>
      </c>
    </row>
    <row r="23" spans="1:15" ht="15" customHeight="1">
      <c r="A23" s="48"/>
      <c r="B23" s="49" t="str">
        <f>VLOOKUP($C$11:$C$31,Personnel!$A$1:$B$1234,2,FALSE)</f>
        <v>PRINCIPAL OPER 1</v>
      </c>
      <c r="C23" s="36" t="s">
        <v>2975</v>
      </c>
      <c r="D23" s="184">
        <v>8</v>
      </c>
      <c r="E23" s="179">
        <f>VLOOKUP($B$11:$B$31,'Constr. Wage Rate Calculations'!$A$19:$Z$288,22,FALSE)</f>
        <v>64.239999999999995</v>
      </c>
      <c r="F23" s="184">
        <v>4</v>
      </c>
      <c r="G23" s="179">
        <f>VLOOKUP($B$11:$B$31,'Constr. Wage Rate Calculations'!$A$19:$Z$288,23,FALSE)</f>
        <v>96.36</v>
      </c>
      <c r="H23" s="184"/>
      <c r="I23" s="179">
        <f>VLOOKUP($B$11:$B$31,'Constr. Wage Rate Calculations'!$A$19:$Z$288,24,FALSE)</f>
        <v>128.47</v>
      </c>
      <c r="J23" s="20">
        <f>VLOOKUP($B$11:$B$31,'Constr. Wage Rate Calculations'!$A$19:$Z$288,25,FALSE)</f>
        <v>85</v>
      </c>
      <c r="K23" s="179">
        <f t="shared" si="0"/>
        <v>984.3599999999999</v>
      </c>
    </row>
    <row r="24" spans="1:15" ht="15" customHeight="1">
      <c r="A24" s="48"/>
      <c r="B24" s="49" t="str">
        <f>VLOOKUP($C$11:$C$31,Personnel!$A$1:$B$1234,2,FALSE)</f>
        <v>GENERAL LABOURER</v>
      </c>
      <c r="C24" s="36" t="s">
        <v>4194</v>
      </c>
      <c r="D24" s="184">
        <v>8</v>
      </c>
      <c r="E24" s="179">
        <f>VLOOKUP($B$11:$B$31,'Constr. Wage Rate Calculations'!$A$19:$Z$288,22,FALSE)</f>
        <v>48.1</v>
      </c>
      <c r="F24" s="184">
        <v>2</v>
      </c>
      <c r="G24" s="179">
        <f>VLOOKUP($B$11:$B$31,'Constr. Wage Rate Calculations'!$A$19:$Z$288,23,FALSE)</f>
        <v>72.150000000000006</v>
      </c>
      <c r="H24" s="184"/>
      <c r="I24" s="179">
        <f>VLOOKUP($B$11:$B$31,'Constr. Wage Rate Calculations'!$A$19:$Z$288,24,FALSE)</f>
        <v>96.2</v>
      </c>
      <c r="J24" s="20">
        <f>VLOOKUP($B$11:$B$31,'Constr. Wage Rate Calculations'!$A$19:$Z$288,25,FALSE)</f>
        <v>85</v>
      </c>
      <c r="K24" s="179">
        <f t="shared" si="0"/>
        <v>614.1</v>
      </c>
    </row>
    <row r="25" spans="1:15" ht="15" customHeight="1">
      <c r="A25" s="48"/>
      <c r="B25" s="49" t="str">
        <f>VLOOKUP($C$11:$C$31,Personnel!$A$1:$B$1234,2,FALSE)</f>
        <v>BUS/ CREWCAB DRIVER</v>
      </c>
      <c r="C25" s="36" t="s">
        <v>2987</v>
      </c>
      <c r="D25" s="184">
        <v>8</v>
      </c>
      <c r="E25" s="179">
        <f>VLOOKUP($B$11:$B$31,'Constr. Wage Rate Calculations'!$A$19:$Z$288,22,FALSE)</f>
        <v>56.73</v>
      </c>
      <c r="F25" s="184">
        <v>5</v>
      </c>
      <c r="G25" s="179">
        <f>VLOOKUP($B$11:$B$31,'Constr. Wage Rate Calculations'!$A$19:$Z$288,23,FALSE)</f>
        <v>85.1</v>
      </c>
      <c r="H25" s="184"/>
      <c r="I25" s="179">
        <f>VLOOKUP($B$11:$B$31,'Constr. Wage Rate Calculations'!$A$19:$Z$288,24,FALSE)</f>
        <v>113.46</v>
      </c>
      <c r="J25" s="20">
        <f>VLOOKUP($B$11:$B$31,'Constr. Wage Rate Calculations'!$A$19:$Z$288,25,FALSE)</f>
        <v>85</v>
      </c>
      <c r="K25" s="179">
        <f t="shared" si="0"/>
        <v>964.33999999999992</v>
      </c>
    </row>
    <row r="26" spans="1:15" ht="15" customHeight="1">
      <c r="A26" s="48"/>
      <c r="B26" s="49" t="str">
        <f>VLOOKUP($C$11:$C$31,Personnel!$A$1:$B$1234,2,FALSE)</f>
        <v>WELDER HELPER</v>
      </c>
      <c r="C26" s="36" t="s">
        <v>1134</v>
      </c>
      <c r="D26" s="184">
        <v>8</v>
      </c>
      <c r="E26" s="179">
        <f>VLOOKUP($B$11:$B$31,'Constr. Wage Rate Calculations'!$A$19:$Z$288,22,FALSE)</f>
        <v>53.52</v>
      </c>
      <c r="F26" s="184">
        <v>4</v>
      </c>
      <c r="G26" s="179">
        <f>VLOOKUP($B$11:$B$31,'Constr. Wage Rate Calculations'!$A$19:$Z$288,23,FALSE)</f>
        <v>80.290000000000006</v>
      </c>
      <c r="H26" s="184"/>
      <c r="I26" s="179">
        <f>VLOOKUP($B$11:$B$31,'Constr. Wage Rate Calculations'!$A$19:$Z$288,24,FALSE)</f>
        <v>107.05</v>
      </c>
      <c r="J26" s="20">
        <f>VLOOKUP($B$11:$B$31,'Constr. Wage Rate Calculations'!$A$19:$Z$288,25,FALSE)</f>
        <v>85</v>
      </c>
      <c r="K26" s="179">
        <f t="shared" si="0"/>
        <v>834.32000000000016</v>
      </c>
    </row>
    <row r="27" spans="1:15" ht="15" customHeight="1">
      <c r="A27" s="48"/>
      <c r="B27" s="49" t="str">
        <f>VLOOKUP($C$11:$C$31,Personnel!$A$1:$B$1234,2,FALSE)</f>
        <v>WELDER HELPER</v>
      </c>
      <c r="C27" s="36" t="s">
        <v>804</v>
      </c>
      <c r="D27" s="184">
        <v>8</v>
      </c>
      <c r="E27" s="179">
        <f>VLOOKUP($B$11:$B$31,'Constr. Wage Rate Calculations'!$A$19:$Z$288,22,FALSE)</f>
        <v>53.52</v>
      </c>
      <c r="F27" s="184">
        <v>4</v>
      </c>
      <c r="G27" s="179">
        <f>VLOOKUP($B$11:$B$31,'Constr. Wage Rate Calculations'!$A$19:$Z$288,23,FALSE)</f>
        <v>80.290000000000006</v>
      </c>
      <c r="H27" s="184"/>
      <c r="I27" s="179">
        <f>VLOOKUP($B$11:$B$31,'Constr. Wage Rate Calculations'!$A$19:$Z$288,24,FALSE)</f>
        <v>107.05</v>
      </c>
      <c r="J27" s="20">
        <f>VLOOKUP($B$11:$B$31,'Constr. Wage Rate Calculations'!$A$19:$Z$288,25,FALSE)</f>
        <v>85</v>
      </c>
      <c r="K27" s="179">
        <f t="shared" si="0"/>
        <v>834.32000000000016</v>
      </c>
    </row>
    <row r="28" spans="1:15" ht="15" customHeight="1">
      <c r="A28" s="48"/>
      <c r="B28" s="49" t="str">
        <f>VLOOKUP($C$11:$C$31,Personnel!$A$1:$B$1234,2,FALSE)</f>
        <v>PRINCIPAL OPER 1</v>
      </c>
      <c r="C28" s="36" t="s">
        <v>1559</v>
      </c>
      <c r="D28" s="184">
        <v>8</v>
      </c>
      <c r="E28" s="179">
        <f>VLOOKUP($B$11:$B$31,'Constr. Wage Rate Calculations'!$A$19:$Z$288,22,FALSE)</f>
        <v>64.239999999999995</v>
      </c>
      <c r="F28" s="184">
        <v>4</v>
      </c>
      <c r="G28" s="179">
        <f>VLOOKUP($B$11:$B$31,'Constr. Wage Rate Calculations'!$A$19:$Z$288,23,FALSE)</f>
        <v>96.36</v>
      </c>
      <c r="H28" s="184"/>
      <c r="I28" s="179">
        <f>VLOOKUP($B$11:$B$31,'Constr. Wage Rate Calculations'!$A$19:$Z$288,24,FALSE)</f>
        <v>128.47</v>
      </c>
      <c r="J28" s="20">
        <f>VLOOKUP($B$11:$B$31,'Constr. Wage Rate Calculations'!$A$19:$Z$288,25,FALSE)</f>
        <v>85</v>
      </c>
      <c r="K28" s="179">
        <f t="shared" si="0"/>
        <v>984.3599999999999</v>
      </c>
    </row>
    <row r="29" spans="1:15" ht="15" customHeight="1">
      <c r="A29" s="48"/>
      <c r="B29" s="49" t="str">
        <f>VLOOKUP($C$11:$C$31,Personnel!$A$1:$B$1234,2,FALSE)</f>
        <v>PRINCIPAL OPER 1</v>
      </c>
      <c r="C29" s="36" t="s">
        <v>1578</v>
      </c>
      <c r="D29" s="184">
        <v>8</v>
      </c>
      <c r="E29" s="179">
        <f>VLOOKUP($B$11:$B$31,'Constr. Wage Rate Calculations'!$A$19:$Z$288,22,FALSE)</f>
        <v>64.239999999999995</v>
      </c>
      <c r="F29" s="184">
        <v>4</v>
      </c>
      <c r="G29" s="179">
        <f>VLOOKUP($B$11:$B$31,'Constr. Wage Rate Calculations'!$A$19:$Z$288,23,FALSE)</f>
        <v>96.36</v>
      </c>
      <c r="H29" s="184"/>
      <c r="I29" s="179">
        <f>VLOOKUP($B$11:$B$31,'Constr. Wage Rate Calculations'!$A$19:$Z$288,24,FALSE)</f>
        <v>128.47</v>
      </c>
      <c r="J29" s="20">
        <f>VLOOKUP($B$11:$B$31,'Constr. Wage Rate Calculations'!$A$19:$Z$288,25,FALSE)</f>
        <v>85</v>
      </c>
      <c r="K29" s="179">
        <f t="shared" si="0"/>
        <v>984.3599999999999</v>
      </c>
    </row>
    <row r="30" spans="1:15" ht="15" customHeight="1">
      <c r="A30" s="48"/>
      <c r="B30" s="49" t="str">
        <f>VLOOKUP($C$11:$C$31,Personnel!$A$1:$B$1234,2,FALSE)</f>
        <v>GENERAL LABOURER</v>
      </c>
      <c r="C30" s="36" t="s">
        <v>4150</v>
      </c>
      <c r="D30" s="184">
        <v>8</v>
      </c>
      <c r="E30" s="179">
        <f>VLOOKUP($B$11:$B$31,'Constr. Wage Rate Calculations'!$A$19:$Z$288,22,FALSE)</f>
        <v>48.1</v>
      </c>
      <c r="F30" s="184">
        <v>4</v>
      </c>
      <c r="G30" s="179">
        <f>VLOOKUP($B$11:$B$31,'Constr. Wage Rate Calculations'!$A$19:$Z$288,23,FALSE)</f>
        <v>72.150000000000006</v>
      </c>
      <c r="H30" s="184"/>
      <c r="I30" s="179">
        <f>VLOOKUP($B$11:$B$31,'Constr. Wage Rate Calculations'!$A$19:$Z$288,24,FALSE)</f>
        <v>96.2</v>
      </c>
      <c r="J30" s="20">
        <f>VLOOKUP($B$11:$B$31,'Constr. Wage Rate Calculations'!$A$19:$Z$288,25,FALSE)</f>
        <v>85</v>
      </c>
      <c r="K30" s="179">
        <f t="shared" si="0"/>
        <v>758.40000000000009</v>
      </c>
    </row>
    <row r="31" spans="1:15" ht="15" customHeight="1" thickBot="1">
      <c r="A31" s="48"/>
      <c r="B31" s="49">
        <f>VLOOKUP($C$11:$C$31,Personnel!$A$1:$B$1234,2,FALSE)</f>
        <v>0</v>
      </c>
      <c r="C31" s="36"/>
      <c r="D31" s="184"/>
      <c r="E31" s="179">
        <f>VLOOKUP($B$11:$B$31,'Constr. Wage Rate Calculations'!$A$19:$Z$288,22,FALSE)</f>
        <v>0</v>
      </c>
      <c r="F31" s="184"/>
      <c r="G31" s="179">
        <f>VLOOKUP($B$11:$B$31,'Constr. Wage Rate Calculations'!$A$19:$Z$288,23,FALSE)</f>
        <v>0</v>
      </c>
      <c r="H31" s="184"/>
      <c r="I31" s="179">
        <f>VLOOKUP($B$11:$B$31,'Constr. Wage Rate Calculations'!$A$19:$Z$288,24,FALSE)</f>
        <v>0</v>
      </c>
      <c r="J31" s="20">
        <f>VLOOKUP($B$11:$B$31,'Constr. Wage Rate Calculations'!$A$19:$Z$288,25,FALSE)</f>
        <v>0</v>
      </c>
      <c r="K31" s="179" t="str">
        <f t="shared" si="0"/>
        <v/>
      </c>
      <c r="M31" s="1">
        <f>SUM(M11:M29)</f>
        <v>4</v>
      </c>
    </row>
    <row r="32" spans="1:15" ht="15" customHeight="1" thickBot="1">
      <c r="A32"/>
      <c r="B32"/>
      <c r="C32"/>
      <c r="D32" s="21"/>
      <c r="E32" s="21"/>
      <c r="F32" s="21"/>
      <c r="G32" s="21"/>
      <c r="H32" s="21"/>
      <c r="I32" s="360" t="s">
        <v>18</v>
      </c>
      <c r="J32" s="361"/>
      <c r="K32" s="183">
        <f>SUM(K11:K31)</f>
        <v>19529.330000000005</v>
      </c>
      <c r="M32" s="1">
        <f>SUMIFS(D11:D31,D11:D31,"&lt;3",D11:D31,"&lt;5")</f>
        <v>1</v>
      </c>
      <c r="N32" s="1">
        <f>SUMIFS(D11:D31,D11:D31,"&gt;3",D11:D31,"&gt;5")</f>
        <v>144</v>
      </c>
      <c r="O32" s="1">
        <f>SUM(F11:F31,H11:H31,M32,N32)-M31</f>
        <v>225</v>
      </c>
    </row>
    <row r="33" spans="1:11" ht="10" customHeight="1" thickBot="1"/>
    <row r="34" spans="1:11" s="19" customFormat="1" ht="15" customHeight="1" thickBot="1">
      <c r="A34" s="22" t="s">
        <v>19</v>
      </c>
      <c r="B34" s="23" t="s">
        <v>20</v>
      </c>
      <c r="C34" s="23" t="s">
        <v>613</v>
      </c>
      <c r="D34" s="23"/>
      <c r="E34" s="23"/>
      <c r="F34" s="23"/>
      <c r="G34" s="23"/>
      <c r="H34" s="18" t="s">
        <v>21</v>
      </c>
      <c r="I34" s="18" t="s">
        <v>22</v>
      </c>
      <c r="J34" s="18" t="s">
        <v>23</v>
      </c>
      <c r="K34" s="18" t="s">
        <v>17</v>
      </c>
    </row>
    <row r="35" spans="1:11" ht="15" customHeight="1">
      <c r="A35" s="43"/>
      <c r="B35" s="49">
        <f>VLOOKUP($C$35:$C$53,Equipment!$A$1:$B$2322,2,FALSE)</f>
        <v>0</v>
      </c>
      <c r="C35" s="24"/>
      <c r="D35" s="24"/>
      <c r="E35" s="24"/>
      <c r="F35" s="24"/>
      <c r="G35" s="24"/>
      <c r="H35" s="202"/>
      <c r="I35" s="203"/>
      <c r="J35" s="42">
        <f>VLOOKUP($B$35:$B$53,'Alberta Equip. Rates Year 3'!$B$13:$K$314,10,FALSE)</f>
        <v>0</v>
      </c>
      <c r="K35" s="181">
        <f t="shared" ref="K35:K42" si="1">(H35+I35)*J35</f>
        <v>0</v>
      </c>
    </row>
    <row r="36" spans="1:11" ht="15" customHeight="1">
      <c r="A36" s="43"/>
      <c r="B36" s="49" t="str">
        <f>VLOOKUP($C$35:$C$53,Equipment!$A$1:$B$2322,2,FALSE)</f>
        <v>Backhoe - Cat 345 Longstick</v>
      </c>
      <c r="C36" s="24" t="s">
        <v>1660</v>
      </c>
      <c r="D36" s="24"/>
      <c r="E36" s="24"/>
      <c r="F36" s="24"/>
      <c r="G36" s="24"/>
      <c r="H36" s="36">
        <v>1</v>
      </c>
      <c r="I36" s="20"/>
      <c r="J36" s="42">
        <f>VLOOKUP($B$35:$B$53,'Alberta Equip. Rates Year 3'!$B$13:$K$314,10,FALSE)</f>
        <v>1085</v>
      </c>
      <c r="K36" s="181">
        <f t="shared" si="1"/>
        <v>1085</v>
      </c>
    </row>
    <row r="37" spans="1:11" ht="15" customHeight="1">
      <c r="A37" s="43"/>
      <c r="B37" s="49" t="str">
        <f>VLOOKUP($C$35:$C$43,Equipment!$A$1:$B$2322,2,FALSE)</f>
        <v>Bus</v>
      </c>
      <c r="C37" s="24" t="s">
        <v>2657</v>
      </c>
      <c r="D37" s="24"/>
      <c r="E37" s="24"/>
      <c r="F37" s="24"/>
      <c r="G37" s="24"/>
      <c r="H37" s="36">
        <v>1</v>
      </c>
      <c r="I37" s="20"/>
      <c r="J37" s="42">
        <f>VLOOKUP($B$35:$B$43,'Alberta Equip. Rates Year 3'!$B$13:$K$314,10,FALSE)</f>
        <v>254</v>
      </c>
      <c r="K37" s="181">
        <f t="shared" si="1"/>
        <v>254</v>
      </c>
    </row>
    <row r="38" spans="1:11" ht="15" customHeight="1">
      <c r="A38" s="43"/>
      <c r="B38" s="49" t="str">
        <f>VLOOKUP($C$35:$C$53,Equipment!$A$1:$B$2322,2,FALSE)</f>
        <v>Crewcab - 1 Ton</v>
      </c>
      <c r="C38" s="24" t="s">
        <v>1691</v>
      </c>
      <c r="D38" s="24"/>
      <c r="E38" s="24"/>
      <c r="F38" s="24"/>
      <c r="G38" s="24"/>
      <c r="H38" s="36">
        <v>1</v>
      </c>
      <c r="I38" s="20"/>
      <c r="J38" s="42">
        <f>VLOOKUP($B$35:$B$53,'Alberta Equip. Rates Year 3'!$B$13:$K$314,10,FALSE)</f>
        <v>163</v>
      </c>
      <c r="K38" s="181">
        <f t="shared" si="1"/>
        <v>163</v>
      </c>
    </row>
    <row r="39" spans="1:11" ht="15" customHeight="1">
      <c r="A39" s="43"/>
      <c r="B39" s="49" t="str">
        <f>VLOOKUP($C$35:$C$53,Equipment!$A$1:$B$2322,2,FALSE)</f>
        <v>Crewcab - 1 Ton</v>
      </c>
      <c r="C39" s="24" t="s">
        <v>3386</v>
      </c>
      <c r="D39" s="24"/>
      <c r="E39" s="24"/>
      <c r="F39" s="24"/>
      <c r="G39" s="24"/>
      <c r="H39" s="36">
        <v>1</v>
      </c>
      <c r="I39" s="20"/>
      <c r="J39" s="42">
        <f>VLOOKUP($B$35:$B$53,'Alberta Equip. Rates Year 3'!$B$13:$K$314,10,FALSE)</f>
        <v>163</v>
      </c>
      <c r="K39" s="181">
        <f t="shared" si="1"/>
        <v>163</v>
      </c>
    </row>
    <row r="40" spans="1:11" ht="15" customHeight="1">
      <c r="A40" s="43"/>
      <c r="B40" s="49" t="str">
        <f>VLOOKUP($C$35:$C$43,Equipment!$A$1:$B$2322,2,FALSE)</f>
        <v>Crewcab - 3/4 Ton</v>
      </c>
      <c r="C40" s="24" t="s">
        <v>2830</v>
      </c>
      <c r="D40" s="24"/>
      <c r="E40" s="24"/>
      <c r="F40" s="24"/>
      <c r="G40" s="24"/>
      <c r="H40" s="36">
        <v>1</v>
      </c>
      <c r="I40" s="20"/>
      <c r="J40" s="42">
        <f>VLOOKUP($B$35:$B$43,'Alberta Equip. Rates Year 3'!$B$13:$K$314,10,FALSE)</f>
        <v>153</v>
      </c>
      <c r="K40" s="181">
        <f>(H40+I40)*J40</f>
        <v>153</v>
      </c>
    </row>
    <row r="41" spans="1:11" ht="14.25" customHeight="1">
      <c r="A41" s="43"/>
      <c r="B41" s="49" t="str">
        <f>VLOOKUP($C$35:$C$53,Equipment!$A$1:$B$2322,2,FALSE)</f>
        <v>Flatdeck - 2 Ton</v>
      </c>
      <c r="C41" s="24" t="s">
        <v>787</v>
      </c>
      <c r="D41" s="24"/>
      <c r="E41" s="24"/>
      <c r="F41" s="24"/>
      <c r="G41" s="24"/>
      <c r="H41" s="36">
        <v>1</v>
      </c>
      <c r="I41" s="20"/>
      <c r="J41" s="42">
        <f>VLOOKUP($B$35:$B$53,'Alberta Equip. Rates Year 3'!$B$13:$K$314,10,FALSE)</f>
        <v>165</v>
      </c>
      <c r="K41" s="181">
        <f t="shared" si="1"/>
        <v>165</v>
      </c>
    </row>
    <row r="42" spans="1:11" ht="15" customHeight="1">
      <c r="A42" s="43"/>
      <c r="B42" s="49" t="str">
        <f>VLOOKUP($C$35:$C$53,Equipment!$A$1:$B$2322,2,FALSE)</f>
        <v>Sideboom - Cat 587T</v>
      </c>
      <c r="C42" s="24" t="s">
        <v>2932</v>
      </c>
      <c r="D42" s="24"/>
      <c r="E42" s="24"/>
      <c r="F42" s="24"/>
      <c r="G42" s="24"/>
      <c r="H42" s="36">
        <v>1</v>
      </c>
      <c r="I42" s="20"/>
      <c r="J42" s="42">
        <f>VLOOKUP($B$35:$B$53,'Alberta Equip. Rates Year 3'!$B$13:$K$314,10,FALSE)</f>
        <v>1323</v>
      </c>
      <c r="K42" s="181">
        <f t="shared" si="1"/>
        <v>1323</v>
      </c>
    </row>
    <row r="43" spans="1:11" ht="15" customHeight="1">
      <c r="A43" s="43"/>
      <c r="B43" s="49" t="str">
        <f>VLOOKUP($C$35:$C$53,Equipment!$A$1:$B$2322,2,FALSE)</f>
        <v>Sideboom - Cat 594</v>
      </c>
      <c r="C43" s="24" t="s">
        <v>1674</v>
      </c>
      <c r="D43" s="24"/>
      <c r="E43" s="24"/>
      <c r="F43" s="24"/>
      <c r="G43" s="24"/>
      <c r="H43" s="36">
        <v>1</v>
      </c>
      <c r="I43" s="184"/>
      <c r="J43" s="42">
        <f>VLOOKUP($B$35:$B$53,'Alberta Equip. Rates Year 3'!$B$13:$K$314,10,FALSE)</f>
        <v>1323</v>
      </c>
      <c r="K43" s="181">
        <f>(H43+I43)*J43</f>
        <v>1323</v>
      </c>
    </row>
    <row r="44" spans="1:11" ht="15" customHeight="1">
      <c r="A44" s="43"/>
      <c r="B44" s="49" t="str">
        <f>VLOOKUP($C$35:$C$53,Equipment!$A$1:$B$2322,2,FALSE)</f>
        <v>Sideboom - Cat 594</v>
      </c>
      <c r="C44" s="24" t="s">
        <v>1668</v>
      </c>
      <c r="D44" s="24"/>
      <c r="E44" s="24"/>
      <c r="F44" s="24"/>
      <c r="G44" s="24"/>
      <c r="H44" s="36">
        <v>1</v>
      </c>
      <c r="I44" s="184"/>
      <c r="J44" s="42">
        <f>VLOOKUP($B$35:$B$53,'Alberta Equip. Rates Year 3'!$B$13:$K$314,10,FALSE)</f>
        <v>1323</v>
      </c>
      <c r="K44" s="181">
        <f t="shared" ref="K44:K48" si="2">(H44+I44)*J44</f>
        <v>1323</v>
      </c>
    </row>
    <row r="45" spans="1:11" ht="15" customHeight="1">
      <c r="A45" s="43"/>
      <c r="B45" s="49" t="str">
        <f>VLOOKUP($C$35:$C$53,Equipment!$A$1:$B$2322,2,FALSE)</f>
        <v>Sideboom - Cat 594</v>
      </c>
      <c r="C45" s="24" t="s">
        <v>2026</v>
      </c>
      <c r="D45" s="24"/>
      <c r="E45" s="24"/>
      <c r="F45" s="24"/>
      <c r="G45" s="24"/>
      <c r="H45" s="36">
        <v>1</v>
      </c>
      <c r="I45" s="184"/>
      <c r="J45" s="42">
        <f>VLOOKUP($B$35:$B$53,'Alberta Equip. Rates Year 3'!$B$13:$K$314,10,FALSE)</f>
        <v>1323</v>
      </c>
      <c r="K45" s="181">
        <f t="shared" si="2"/>
        <v>1323</v>
      </c>
    </row>
    <row r="46" spans="1:11" ht="15" customHeight="1">
      <c r="A46" s="43"/>
      <c r="B46" s="49" t="str">
        <f>VLOOKUP($C$35:$C$53,Equipment!$A$1:$B$2322,2,FALSE)</f>
        <v>Tag-A-Long Trailer (Utility)</v>
      </c>
      <c r="C46" s="24" t="s">
        <v>2633</v>
      </c>
      <c r="D46" s="24"/>
      <c r="E46" s="24"/>
      <c r="F46" s="24"/>
      <c r="G46" s="24"/>
      <c r="H46" s="36">
        <v>1</v>
      </c>
      <c r="I46" s="184"/>
      <c r="J46" s="42">
        <f>VLOOKUP($B$35:$B$53,'Alberta Equip. Rates Year 3'!$B$13:$K$314,10,FALSE)</f>
        <v>64</v>
      </c>
      <c r="K46" s="181">
        <f t="shared" si="2"/>
        <v>64</v>
      </c>
    </row>
    <row r="47" spans="1:11" ht="15" customHeight="1">
      <c r="A47" s="43"/>
      <c r="B47" s="49" t="str">
        <f>VLOOKUP($C$35:$C$53,Equipment!$A$1:$B$2322,2,FALSE)</f>
        <v>Welding Rig</v>
      </c>
      <c r="C47" s="24" t="s">
        <v>2666</v>
      </c>
      <c r="D47" s="24"/>
      <c r="E47" s="24"/>
      <c r="F47" s="24"/>
      <c r="G47" s="24"/>
      <c r="H47" s="36"/>
      <c r="I47" s="184">
        <v>12</v>
      </c>
      <c r="J47" s="42">
        <f>VLOOKUP($B$35:$B$53,'Alberta Equip. Rates Year 3'!$B$13:$K$314,10,FALSE)</f>
        <v>48</v>
      </c>
      <c r="K47" s="181">
        <f t="shared" si="2"/>
        <v>576</v>
      </c>
    </row>
    <row r="48" spans="1:11" ht="15" customHeight="1">
      <c r="A48" s="43"/>
      <c r="B48" s="49" t="str">
        <f>VLOOKUP($C$35:$C$53,Equipment!$A$1:$B$2322,2,FALSE)</f>
        <v>Welding Rig</v>
      </c>
      <c r="C48" s="24" t="s">
        <v>2668</v>
      </c>
      <c r="D48" s="24"/>
      <c r="E48" s="24"/>
      <c r="F48" s="24"/>
      <c r="G48" s="24"/>
      <c r="H48" s="36"/>
      <c r="I48" s="184">
        <v>12</v>
      </c>
      <c r="J48" s="42">
        <f>VLOOKUP($B$35:$B$53,'Alberta Equip. Rates Year 3'!$B$13:$K$314,10,FALSE)</f>
        <v>48</v>
      </c>
      <c r="K48" s="181">
        <f t="shared" si="2"/>
        <v>576</v>
      </c>
    </row>
    <row r="49" spans="1:11" ht="15" customHeight="1">
      <c r="A49" s="43"/>
      <c r="B49" s="49" t="str">
        <f>VLOOKUP($C$35:$C$53,Equipment!$A$1:$B$2322,2,FALSE)</f>
        <v>Generator Pump &amp; Light 15-20kW</v>
      </c>
      <c r="C49" s="24" t="s">
        <v>4094</v>
      </c>
      <c r="D49" s="24"/>
      <c r="E49" s="24"/>
      <c r="F49" s="24"/>
      <c r="G49" s="24"/>
      <c r="H49" s="36">
        <v>1</v>
      </c>
      <c r="I49" s="184"/>
      <c r="J49" s="42">
        <f>VLOOKUP($B$35:$B$53,'Alberta Equip. Rates Year 3'!$B$13:$K$314,10,FALSE)</f>
        <v>230.19</v>
      </c>
      <c r="K49" s="181">
        <f t="shared" ref="K49:K53" si="3">(H49+I49)*J49</f>
        <v>230.19</v>
      </c>
    </row>
    <row r="50" spans="1:11" ht="15" customHeight="1">
      <c r="A50" s="43"/>
      <c r="B50" s="49" t="str">
        <f>VLOOKUP($C$35:$C$53,Equipment!$A$1:$B$2322,2,FALSE)</f>
        <v>Generator Pump &amp; Light 15-20kW</v>
      </c>
      <c r="C50" s="24" t="s">
        <v>4095</v>
      </c>
      <c r="D50" s="24"/>
      <c r="E50" s="24"/>
      <c r="F50" s="24"/>
      <c r="G50" s="24"/>
      <c r="H50" s="36">
        <v>1</v>
      </c>
      <c r="I50" s="184"/>
      <c r="J50" s="42">
        <f>VLOOKUP($B$35:$B$53,'Alberta Equip. Rates Year 3'!$B$13:$K$314,10,FALSE)</f>
        <v>230.19</v>
      </c>
      <c r="K50" s="181">
        <f t="shared" si="3"/>
        <v>230.19</v>
      </c>
    </row>
    <row r="51" spans="1:11" ht="15" customHeight="1">
      <c r="A51" s="43"/>
      <c r="B51" s="49" t="str">
        <f>VLOOKUP($C$35:$C$53,Equipment!$A$1:$B$2322,2,FALSE)</f>
        <v>Sideboom - Cat 594</v>
      </c>
      <c r="C51" s="24" t="s">
        <v>4195</v>
      </c>
      <c r="D51" s="24"/>
      <c r="E51" s="24"/>
      <c r="F51" s="24"/>
      <c r="G51" s="24"/>
      <c r="H51" s="185">
        <v>1</v>
      </c>
      <c r="I51" s="184"/>
      <c r="J51" s="42">
        <f>VLOOKUP($B$35:$B$53,'Alberta Equip. Rates Year 3'!$B$13:$K$314,10,FALSE)</f>
        <v>1323</v>
      </c>
      <c r="K51" s="181">
        <f t="shared" si="3"/>
        <v>1323</v>
      </c>
    </row>
    <row r="52" spans="1:11" ht="15" customHeight="1">
      <c r="A52" s="43"/>
      <c r="B52" s="49">
        <f>VLOOKUP($C$35:$C$53,Equipment!$A$1:$B$2322,2,FALSE)</f>
        <v>0</v>
      </c>
      <c r="C52" s="24"/>
      <c r="D52" s="24"/>
      <c r="E52" s="24"/>
      <c r="F52" s="24"/>
      <c r="G52" s="24"/>
      <c r="H52" s="185"/>
      <c r="I52" s="184"/>
      <c r="J52" s="42">
        <f>VLOOKUP($B$35:$B$53,'Alberta Equip. Rates Year 3'!$B$13:$K$314,10,FALSE)</f>
        <v>0</v>
      </c>
      <c r="K52" s="181">
        <f t="shared" si="3"/>
        <v>0</v>
      </c>
    </row>
    <row r="53" spans="1:11" ht="15" customHeight="1" thickBot="1">
      <c r="A53" s="43"/>
      <c r="B53" s="49">
        <f>VLOOKUP($C$35:$C$53,Equipment!$A$1:$B$2322,2,FALSE)</f>
        <v>0</v>
      </c>
      <c r="C53" s="24"/>
      <c r="D53" s="24"/>
      <c r="E53" s="24"/>
      <c r="F53" s="24"/>
      <c r="G53" s="24"/>
      <c r="H53" s="185"/>
      <c r="I53" s="184"/>
      <c r="J53" s="42">
        <f>VLOOKUP($B$35:$B$53,'Alberta Equip. Rates Year 3'!$B$13:$K$314,10,FALSE)</f>
        <v>0</v>
      </c>
      <c r="K53" s="181">
        <f t="shared" si="3"/>
        <v>0</v>
      </c>
    </row>
    <row r="54" spans="1:11" ht="12" thickBot="1">
      <c r="A54" s="25"/>
      <c r="B54" s="25"/>
      <c r="C54" s="25"/>
      <c r="D54" s="21"/>
      <c r="E54" s="21"/>
      <c r="F54" s="21"/>
      <c r="G54" s="21"/>
      <c r="H54" s="21"/>
      <c r="I54" s="360" t="s">
        <v>24</v>
      </c>
      <c r="J54" s="361"/>
      <c r="K54" s="207">
        <f>SUM(K35:K53)</f>
        <v>10274.380000000001</v>
      </c>
    </row>
    <row r="55" spans="1:11" ht="12" thickBot="1">
      <c r="A55" s="26"/>
      <c r="D55" s="26"/>
      <c r="I55" s="27"/>
      <c r="J55" s="27"/>
      <c r="K55" s="28"/>
    </row>
    <row r="56" spans="1:11">
      <c r="A56" s="1" t="s">
        <v>25</v>
      </c>
      <c r="B56" s="29"/>
      <c r="D56" s="1"/>
      <c r="E56" s="1"/>
      <c r="F56" s="1"/>
      <c r="G56" s="1"/>
      <c r="H56" s="1"/>
      <c r="I56" s="362" t="s">
        <v>26</v>
      </c>
      <c r="J56" s="362"/>
      <c r="K56" s="37">
        <f>K32</f>
        <v>19529.330000000005</v>
      </c>
    </row>
    <row r="57" spans="1:11">
      <c r="D57" s="1"/>
      <c r="E57" s="1"/>
      <c r="F57" s="1"/>
      <c r="G57" s="1"/>
      <c r="H57" s="1"/>
      <c r="I57" s="362" t="s">
        <v>27</v>
      </c>
      <c r="J57" s="362"/>
      <c r="K57" s="38">
        <f>K54</f>
        <v>10274.380000000001</v>
      </c>
    </row>
    <row r="58" spans="1:11">
      <c r="D58" s="1"/>
      <c r="E58" s="1"/>
      <c r="F58" s="1"/>
      <c r="G58" s="1"/>
      <c r="H58" s="1"/>
      <c r="I58" s="27" t="s">
        <v>28</v>
      </c>
      <c r="J58" s="27"/>
      <c r="K58" s="38">
        <f>(O32)*14.15</f>
        <v>3183.75</v>
      </c>
    </row>
    <row r="59" spans="1:11">
      <c r="D59" s="1"/>
      <c r="E59" s="1"/>
      <c r="F59" s="1"/>
      <c r="G59" s="1"/>
      <c r="H59" s="1"/>
      <c r="I59" s="30" t="s">
        <v>29</v>
      </c>
      <c r="J59" s="30"/>
      <c r="K59" s="39"/>
    </row>
    <row r="60" spans="1:11">
      <c r="D60" s="1"/>
      <c r="E60" s="1"/>
      <c r="F60" s="1"/>
      <c r="G60" s="1"/>
      <c r="H60" s="1"/>
      <c r="I60" s="30" t="s">
        <v>30</v>
      </c>
      <c r="J60" s="30"/>
      <c r="K60" s="39"/>
    </row>
    <row r="61" spans="1:11">
      <c r="D61" s="1"/>
      <c r="E61" s="1"/>
      <c r="F61" s="1"/>
      <c r="G61" s="1"/>
      <c r="H61" s="1"/>
      <c r="I61" s="30" t="s">
        <v>31</v>
      </c>
      <c r="J61" s="30"/>
      <c r="K61" s="39"/>
    </row>
    <row r="62" spans="1:11" ht="12" thickBot="1">
      <c r="D62" s="1"/>
      <c r="E62" s="1"/>
      <c r="F62" s="1"/>
      <c r="G62" s="1"/>
      <c r="H62" s="1"/>
      <c r="I62" s="362" t="s">
        <v>32</v>
      </c>
      <c r="J62" s="362"/>
      <c r="K62" s="40">
        <f>SUM(K56:K61)</f>
        <v>32987.460000000006</v>
      </c>
    </row>
    <row r="63" spans="1:11">
      <c r="D63" s="1"/>
      <c r="E63" s="1"/>
      <c r="F63" s="1"/>
      <c r="G63" s="1"/>
      <c r="H63" s="1"/>
      <c r="I63" s="27"/>
      <c r="J63" s="27"/>
    </row>
    <row r="64" spans="1:11">
      <c r="A64" s="31" t="s">
        <v>33</v>
      </c>
      <c r="B64" s="32"/>
      <c r="C64" s="32"/>
      <c r="D64" s="1"/>
      <c r="H64" s="33" t="s">
        <v>34</v>
      </c>
      <c r="I64" s="32"/>
      <c r="J64" s="32"/>
      <c r="K64" s="32"/>
    </row>
    <row r="65" spans="1:11" ht="15">
      <c r="A65" s="34"/>
      <c r="E65" s="8"/>
      <c r="F65" s="8"/>
      <c r="G65" s="8"/>
      <c r="H65" s="35"/>
      <c r="I65" s="35"/>
      <c r="J65" s="35"/>
      <c r="K65" s="35"/>
    </row>
    <row r="66" spans="1:11" ht="15">
      <c r="A66" s="34" t="s">
        <v>35</v>
      </c>
      <c r="E66" s="8"/>
      <c r="F66" s="8"/>
      <c r="G66" s="8"/>
      <c r="H66" s="35"/>
      <c r="I66" s="35"/>
      <c r="J66" s="35"/>
      <c r="K66" s="35"/>
    </row>
    <row r="67" spans="1:11" s="34" customFormat="1">
      <c r="A67" s="363">
        <v>41218.479166666664</v>
      </c>
      <c r="B67" s="363"/>
      <c r="C67" s="364"/>
      <c r="D67" s="364"/>
      <c r="E67" s="364"/>
      <c r="F67" s="364"/>
      <c r="G67" s="364"/>
      <c r="H67" s="364"/>
      <c r="I67" s="364"/>
      <c r="J67" s="364"/>
      <c r="K67" s="8"/>
    </row>
    <row r="77" spans="1:11">
      <c r="D77" s="1"/>
      <c r="E77" s="1"/>
      <c r="F77" s="1"/>
      <c r="G77" s="1"/>
      <c r="H77" s="1"/>
      <c r="I77" s="1"/>
      <c r="J77" s="1"/>
    </row>
    <row r="78" spans="1:11">
      <c r="D78" s="1"/>
      <c r="E78" s="1"/>
      <c r="F78" s="1"/>
      <c r="G78" s="1"/>
      <c r="H78" s="1"/>
      <c r="I78" s="1"/>
      <c r="J78" s="1"/>
    </row>
    <row r="79" spans="1:11">
      <c r="D79" s="1"/>
      <c r="E79" s="1"/>
      <c r="F79" s="1"/>
      <c r="G79" s="1"/>
      <c r="H79" s="1"/>
      <c r="I79" s="1"/>
      <c r="J79" s="1"/>
    </row>
    <row r="80" spans="1:11">
      <c r="D80" s="1"/>
      <c r="E80" s="1"/>
      <c r="F80" s="1"/>
      <c r="G80" s="1"/>
      <c r="H80" s="1"/>
      <c r="I80" s="1"/>
      <c r="J80" s="1"/>
    </row>
    <row r="81" s="1" customFormat="1"/>
    <row r="82" s="1" customFormat="1"/>
    <row r="83" s="1" customFormat="1"/>
    <row r="84" s="1" customFormat="1"/>
    <row r="85" s="1" customFormat="1"/>
    <row r="86" s="1" customFormat="1"/>
    <row r="87" s="1" customFormat="1"/>
    <row r="88" s="1" customFormat="1"/>
    <row r="89" s="1" customFormat="1"/>
    <row r="90" s="1" customFormat="1"/>
    <row r="95" s="1" customFormat="1"/>
    <row r="123" s="1" customFormat="1"/>
    <row r="124" s="1" customFormat="1"/>
    <row r="125" s="1" customFormat="1"/>
    <row r="126" s="1" customFormat="1"/>
  </sheetData>
  <mergeCells count="12">
    <mergeCell ref="C1:H1"/>
    <mergeCell ref="C2:H2"/>
    <mergeCell ref="C3:H3"/>
    <mergeCell ref="I32:J32"/>
    <mergeCell ref="I62:J62"/>
    <mergeCell ref="H6:I6"/>
    <mergeCell ref="H7:I7"/>
    <mergeCell ref="A67:B67"/>
    <mergeCell ref="C67:J67"/>
    <mergeCell ref="I54:J54"/>
    <mergeCell ref="I56:J56"/>
    <mergeCell ref="I57:J57"/>
  </mergeCells>
  <phoneticPr fontId="50" type="noConversion"/>
  <printOptions horizontalCentered="1"/>
  <pageMargins left="0.19685039370078741" right="0.19685039370078741" top="0.39370078740157483" bottom="0.39370078740157483" header="0" footer="0"/>
  <pageSetup orientation="portrait" horizontalDpi="4294967292" verticalDpi="4294967292"/>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3100-000000000000}">
          <x14:formula1>
            <xm:f>Accounts!$A$4:$A$60</xm:f>
          </x14:formula1>
          <xm:sqref>K7</xm:sqref>
        </x14:dataValidation>
        <x14:dataValidation type="list" allowBlank="1" showInputMessage="1" showErrorMessage="1" xr:uid="{00000000-0002-0000-3100-000001000000}">
          <x14:formula1>
            <xm:f>'Constr. Wage Rate Calculations'!$A$19:$A$288</xm:f>
          </x14:formula1>
          <xm:sqref>B11:B31</xm:sqref>
        </x14:dataValidation>
        <x14:dataValidation type="list" allowBlank="1" showInputMessage="1" showErrorMessage="1" xr:uid="{00000000-0002-0000-3100-000002000000}">
          <x14:formula1>
            <xm:f>Personnel!$A:$A</xm:f>
          </x14:formula1>
          <xm:sqref>C11:C31</xm:sqref>
        </x14:dataValidation>
        <x14:dataValidation type="list" allowBlank="1" showInputMessage="1" showErrorMessage="1" xr:uid="{00000000-0002-0000-3100-000003000000}">
          <x14:formula1>
            <xm:f>Equipment!$A:$A</xm:f>
          </x14:formula1>
          <xm:sqref>C35:C53</xm:sqref>
        </x14:dataValidation>
      </x14:dataValidations>
    </ext>
    <ext xmlns:mx="http://schemas.microsoft.com/office/mac/excel/2008/main" uri="{64002731-A6B0-56B0-2670-7721B7C09600}">
      <mx:PLV Mode="0" OnePage="0" WScale="0"/>
    </ext>
  </extLs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N60"/>
  <sheetViews>
    <sheetView tabSelected="1" workbookViewId="0">
      <pane ySplit="9" topLeftCell="A10" activePane="bottomLeft" state="frozen"/>
      <selection pane="bottomLeft" activeCell="G54" sqref="G54"/>
    </sheetView>
  </sheetViews>
  <sheetFormatPr baseColWidth="10" defaultColWidth="11.5" defaultRowHeight="16"/>
  <cols>
    <col min="1" max="1" width="11.5" style="219"/>
    <col min="2" max="2" width="26.33203125" style="221" customWidth="1"/>
    <col min="3" max="3" width="20.83203125" style="221" customWidth="1"/>
    <col min="4" max="4" width="15.5" style="221" customWidth="1"/>
    <col min="5" max="11" width="14.1640625" style="222" customWidth="1"/>
    <col min="12" max="12" width="14.5" style="219" bestFit="1" customWidth="1"/>
    <col min="13" max="13" width="11.5" style="219"/>
  </cols>
  <sheetData>
    <row r="1" spans="1:14">
      <c r="A1" s="235"/>
    </row>
    <row r="5" spans="1:14">
      <c r="B5" s="220"/>
      <c r="C5" s="220"/>
    </row>
    <row r="6" spans="1:14">
      <c r="A6" s="223" t="s">
        <v>507</v>
      </c>
      <c r="B6" s="224">
        <f>B10</f>
        <v>41659</v>
      </c>
      <c r="C6" s="224"/>
    </row>
    <row r="7" spans="1:14">
      <c r="B7" s="224"/>
    </row>
    <row r="9" spans="1:14" s="186" customFormat="1" ht="18" customHeight="1">
      <c r="A9" s="225" t="s">
        <v>508</v>
      </c>
      <c r="B9" s="225" t="s">
        <v>501</v>
      </c>
      <c r="C9" s="225" t="s">
        <v>627</v>
      </c>
      <c r="D9" s="225" t="s">
        <v>1825</v>
      </c>
      <c r="E9" s="226" t="s">
        <v>502</v>
      </c>
      <c r="F9" s="226" t="s">
        <v>20</v>
      </c>
      <c r="G9" s="226" t="s">
        <v>503</v>
      </c>
      <c r="H9" s="226" t="s">
        <v>504</v>
      </c>
      <c r="I9" s="226" t="s">
        <v>505</v>
      </c>
      <c r="J9" s="226" t="s">
        <v>506</v>
      </c>
      <c r="K9" s="226" t="s">
        <v>17</v>
      </c>
      <c r="L9" s="227"/>
      <c r="M9" s="227"/>
    </row>
    <row r="10" spans="1:14">
      <c r="A10" s="219">
        <v>1</v>
      </c>
      <c r="B10" s="230">
        <f>'Field Log (1)'!$K$1</f>
        <v>41659</v>
      </c>
      <c r="C10" s="231">
        <f>'Field Log (1)'!$H$6</f>
        <v>18198</v>
      </c>
      <c r="D10" s="388" t="s">
        <v>4230</v>
      </c>
      <c r="E10" s="222">
        <f>'Field Log (1)'!$K$56</f>
        <v>19529.330000000005</v>
      </c>
      <c r="F10" s="222">
        <f>'Field Log (1)'!$K$57</f>
        <v>10274.380000000001</v>
      </c>
      <c r="G10" s="222">
        <f>'Field Log (1)'!$K$58</f>
        <v>3183.75</v>
      </c>
      <c r="H10" s="222">
        <f>'Field Log (1)'!$K$59</f>
        <v>0</v>
      </c>
      <c r="I10" s="222">
        <f>'Field Log (1)'!$K$60</f>
        <v>0</v>
      </c>
      <c r="J10" s="222">
        <f>'Field Log (1)'!$K$61</f>
        <v>0</v>
      </c>
      <c r="K10" s="229">
        <f>SUM(E10:J10)</f>
        <v>32987.460000000006</v>
      </c>
    </row>
    <row r="11" spans="1:14" ht="14.25" customHeight="1">
      <c r="A11" s="219">
        <v>8</v>
      </c>
      <c r="B11" s="224">
        <f>'Field Log (8)'!$K$1</f>
        <v>41659</v>
      </c>
      <c r="C11" s="221">
        <f>'Field Log (8)'!$H$6</f>
        <v>18199</v>
      </c>
      <c r="D11" s="388" t="s">
        <v>4230</v>
      </c>
      <c r="E11" s="229">
        <f>'Field Log (8)'!$K$52</f>
        <v>6886.8</v>
      </c>
      <c r="F11" s="229">
        <f>'Field Log (8)'!$K$53</f>
        <v>1864</v>
      </c>
      <c r="G11" s="229">
        <f>'Field Log (8)'!$K$54</f>
        <v>1160.3</v>
      </c>
      <c r="H11" s="229">
        <f>'Field Log (8)'!$K$55</f>
        <v>0</v>
      </c>
      <c r="I11" s="229">
        <f>'Field Log (8)'!$K$56</f>
        <v>0</v>
      </c>
      <c r="J11" s="229">
        <f>'Field Log (8)'!$K$57</f>
        <v>0</v>
      </c>
      <c r="K11" s="229">
        <f>SUM(E11:J11)</f>
        <v>9911.0999999999985</v>
      </c>
      <c r="L11" s="228"/>
      <c r="M11" s="228"/>
      <c r="N11" t="s">
        <v>4218</v>
      </c>
    </row>
    <row r="12" spans="1:14" ht="13.5" customHeight="1">
      <c r="A12" s="219">
        <v>28</v>
      </c>
      <c r="B12" s="224">
        <f>'Field Log (28)'!$K$1</f>
        <v>41659</v>
      </c>
      <c r="C12" s="221">
        <f>'Field Log (28)'!$H$6</f>
        <v>18200</v>
      </c>
      <c r="D12" s="388" t="s">
        <v>4230</v>
      </c>
      <c r="E12" s="229">
        <f>'Field Log (28)'!$K$79</f>
        <v>23233.870000000003</v>
      </c>
      <c r="F12" s="229">
        <f>'Field Log (28)'!$K$80</f>
        <v>8877.7099999999991</v>
      </c>
      <c r="G12" s="229">
        <f>'Field Log (28)'!$K$81</f>
        <v>4117.6500000000005</v>
      </c>
      <c r="H12" s="229">
        <f>'Field Log (28)'!$K$82</f>
        <v>0</v>
      </c>
      <c r="I12" s="229">
        <f>'Field Log (28)'!$K$83</f>
        <v>0</v>
      </c>
      <c r="J12" s="229">
        <f>'Field Log (28)'!$K$84</f>
        <v>0</v>
      </c>
      <c r="K12" s="229">
        <f>SUM(E12:J12)</f>
        <v>36229.230000000003</v>
      </c>
      <c r="L12" s="228"/>
      <c r="M12" s="228"/>
    </row>
    <row r="13" spans="1:14">
      <c r="A13" s="219">
        <v>12</v>
      </c>
      <c r="B13" s="224">
        <f>'Field Log (12)'!$K$1</f>
        <v>41659</v>
      </c>
      <c r="C13" s="221">
        <f>'Field Log (12)'!$H$6</f>
        <v>18201</v>
      </c>
      <c r="D13" s="388" t="s">
        <v>4230</v>
      </c>
      <c r="E13" s="229">
        <f>'Field Log (12)'!$K$54</f>
        <v>12614.52</v>
      </c>
      <c r="F13" s="229">
        <f>'Field Log (12)'!$K$55</f>
        <v>9732</v>
      </c>
      <c r="G13" s="229">
        <f>'Field Log (12)'!$K$56</f>
        <v>2179.1</v>
      </c>
      <c r="H13" s="229">
        <f>'Field Log (12)'!$K$57</f>
        <v>0</v>
      </c>
      <c r="I13" s="229">
        <f>'Field Log (12)'!$K$58</f>
        <v>0</v>
      </c>
      <c r="J13" s="229">
        <f>'Field Log (12)'!$K$59</f>
        <v>0</v>
      </c>
      <c r="K13" s="229">
        <f t="shared" ref="K13" si="0">SUM(E13:J13)</f>
        <v>24525.62</v>
      </c>
      <c r="L13" s="228"/>
      <c r="M13" s="228"/>
    </row>
    <row r="14" spans="1:14">
      <c r="A14" s="219">
        <v>32</v>
      </c>
      <c r="B14" s="224">
        <f>'Field Log (32)'!$K$1</f>
        <v>41659</v>
      </c>
      <c r="C14" s="221">
        <f>'Field Log (32)'!$H$6</f>
        <v>18202</v>
      </c>
      <c r="D14" s="388" t="s">
        <v>4230</v>
      </c>
      <c r="E14" s="229">
        <f>'Field Log (32)'!$K$139</f>
        <v>1258.1400000000001</v>
      </c>
      <c r="F14" s="229">
        <f>'Field Log (32)'!$K$140</f>
        <v>375</v>
      </c>
      <c r="G14" s="229">
        <f>'Field Log (32)'!$K$141</f>
        <v>169.8</v>
      </c>
      <c r="H14" s="229">
        <f>'Field Log (32)'!$K$142</f>
        <v>0</v>
      </c>
      <c r="I14" s="229">
        <f>'Field Log (32)'!$K$143</f>
        <v>0</v>
      </c>
      <c r="J14" s="229">
        <f>'Field Log (32)'!$K$144</f>
        <v>0</v>
      </c>
      <c r="K14" s="229">
        <f t="shared" ref="K14:K20" si="1">SUM(E14:J14)</f>
        <v>1802.94</v>
      </c>
    </row>
    <row r="15" spans="1:14" ht="15" customHeight="1">
      <c r="A15" s="219">
        <v>11</v>
      </c>
      <c r="B15" s="224">
        <f>'Field Log (11)'!$K$1</f>
        <v>41659</v>
      </c>
      <c r="C15" s="221">
        <f>'Field Log (11)'!$H$6</f>
        <v>18203</v>
      </c>
      <c r="D15" s="388" t="s">
        <v>4230</v>
      </c>
      <c r="E15" s="229">
        <f>'Field Log (11)'!$K$53</f>
        <v>15370.06</v>
      </c>
      <c r="F15" s="229">
        <f>'Field Log (11)'!$K$54</f>
        <v>1091</v>
      </c>
      <c r="G15" s="229">
        <f>'Field Log (11)'!$K$55</f>
        <v>1415</v>
      </c>
      <c r="H15" s="229">
        <f>'Field Log (11)'!$K$56</f>
        <v>0</v>
      </c>
      <c r="I15" s="229">
        <f>'Field Log (11)'!$K$57</f>
        <v>0</v>
      </c>
      <c r="J15" s="229">
        <f>'Field Log (11)'!$K$58</f>
        <v>0</v>
      </c>
      <c r="K15" s="229">
        <f t="shared" si="1"/>
        <v>17876.059999999998</v>
      </c>
    </row>
    <row r="16" spans="1:14">
      <c r="A16" s="219">
        <v>2</v>
      </c>
      <c r="B16" s="238">
        <f>'Field Log (2)'!$K$1</f>
        <v>41659</v>
      </c>
      <c r="C16" s="221">
        <f>'Field Log (2)'!$H$6</f>
        <v>18204</v>
      </c>
      <c r="D16" s="388" t="s">
        <v>4230</v>
      </c>
      <c r="E16" s="222">
        <f>'Field Log (2)'!$K$52</f>
        <v>17315.59</v>
      </c>
      <c r="F16" s="222">
        <f>'Field Log (2)'!$K$53</f>
        <v>8516</v>
      </c>
      <c r="G16" s="222">
        <f>'Field Log (2)'!$K$54</f>
        <v>3197.9</v>
      </c>
      <c r="H16" s="222">
        <f>'Field Log (2)'!$K$55</f>
        <v>0</v>
      </c>
      <c r="I16" s="222">
        <f>'Field Log (2)'!$K$56</f>
        <v>0</v>
      </c>
      <c r="J16" s="222">
        <f>'Field Log (2)'!$K$57</f>
        <v>0</v>
      </c>
      <c r="K16" s="222">
        <f t="shared" si="1"/>
        <v>29029.49</v>
      </c>
      <c r="L16" s="228"/>
      <c r="M16" s="228"/>
    </row>
    <row r="17" spans="1:14">
      <c r="A17" s="219">
        <v>21</v>
      </c>
      <c r="B17" s="224">
        <f>'Field Log (21)'!$K$1</f>
        <v>41659</v>
      </c>
      <c r="C17" s="221">
        <f>'Field Log (21)'!$H$6</f>
        <v>18205</v>
      </c>
      <c r="D17" s="388" t="s">
        <v>4230</v>
      </c>
      <c r="E17" s="229">
        <f>'Field Log (21)'!$K$81</f>
        <v>18103.489999999998</v>
      </c>
      <c r="F17" s="229">
        <f>'Field Log (21)'!$K$82</f>
        <v>11583.32</v>
      </c>
      <c r="G17" s="229">
        <f>'Field Log (21)'!$K$83</f>
        <v>2872.4500000000003</v>
      </c>
      <c r="H17" s="229">
        <f>'Field Log (21)'!$K$84</f>
        <v>0</v>
      </c>
      <c r="I17" s="229">
        <f>'Field Log (21)'!$K$85</f>
        <v>0</v>
      </c>
      <c r="J17" s="229">
        <f>'Field Log (21)'!$K$86</f>
        <v>0</v>
      </c>
      <c r="K17" s="229">
        <f t="shared" si="1"/>
        <v>32559.26</v>
      </c>
      <c r="M17" s="228"/>
    </row>
    <row r="18" spans="1:14">
      <c r="A18" s="219">
        <v>9</v>
      </c>
      <c r="B18" s="224">
        <f>'Field Log (9)'!$K$1</f>
        <v>41659</v>
      </c>
      <c r="C18" s="221">
        <f>'Field Log (9)'!$H$6</f>
        <v>18206</v>
      </c>
      <c r="D18" s="388" t="s">
        <v>4230</v>
      </c>
      <c r="E18" s="229">
        <f>'Field Log (9)'!$K$98</f>
        <v>11073.300000000001</v>
      </c>
      <c r="F18" s="229">
        <f>'Field Log (9)'!$K$99</f>
        <v>5187.1900000000005</v>
      </c>
      <c r="G18" s="229">
        <f>'Field Log (9)'!$K$100</f>
        <v>1669.7</v>
      </c>
      <c r="H18" s="229">
        <f>'Field Log (9)'!$K$101</f>
        <v>0</v>
      </c>
      <c r="I18" s="229">
        <f>'Field Log (9)'!$K$102</f>
        <v>0</v>
      </c>
      <c r="J18" s="229">
        <f>'Field Log (9)'!$K$103</f>
        <v>0</v>
      </c>
      <c r="K18" s="229">
        <f>SUM(E18:J18)</f>
        <v>17930.190000000002</v>
      </c>
      <c r="L18" s="228"/>
      <c r="M18" s="228"/>
    </row>
    <row r="19" spans="1:14">
      <c r="A19" s="219">
        <v>27</v>
      </c>
      <c r="B19" s="224">
        <f>'Field Log (27)'!$K$1</f>
        <v>41659</v>
      </c>
      <c r="C19" s="221">
        <f>'Field Log (27)'!$H$6</f>
        <v>18207</v>
      </c>
      <c r="D19" s="388" t="s">
        <v>4230</v>
      </c>
      <c r="E19" s="229">
        <f>'Field Log (27)'!$K$62</f>
        <v>13666.469999999996</v>
      </c>
      <c r="F19" s="229">
        <f>'Field Log (27)'!$K$63</f>
        <v>10492</v>
      </c>
      <c r="G19" s="229">
        <f>'Field Log (27)'!$K$64</f>
        <v>2348.9</v>
      </c>
      <c r="H19" s="229">
        <f>'Field Log (27)'!$K$65</f>
        <v>0</v>
      </c>
      <c r="I19" s="229">
        <f>'Field Log (27)'!$K$66</f>
        <v>0</v>
      </c>
      <c r="J19" s="229">
        <f>'Field Log (27)'!$K$67</f>
        <v>0</v>
      </c>
      <c r="K19" s="229">
        <f t="shared" si="1"/>
        <v>26507.369999999995</v>
      </c>
    </row>
    <row r="20" spans="1:14">
      <c r="A20" s="219">
        <v>6</v>
      </c>
      <c r="B20" s="224">
        <f>'Field Log (6)'!$K$1</f>
        <v>41659</v>
      </c>
      <c r="C20" s="221">
        <f>'Field Log (6)'!$H$6</f>
        <v>18208</v>
      </c>
      <c r="D20" s="388" t="s">
        <v>4230</v>
      </c>
      <c r="E20" s="222">
        <f>'Field Log (6)'!$K$47</f>
        <v>6601.7000000000007</v>
      </c>
      <c r="F20" s="222">
        <f>'Field Log (6)'!$K$48</f>
        <v>625</v>
      </c>
      <c r="G20" s="222">
        <f>'Field Log (6)'!$K$49</f>
        <v>905.6</v>
      </c>
      <c r="H20" s="222">
        <f>'Field Log (6)'!$K$50</f>
        <v>0</v>
      </c>
      <c r="I20" s="222">
        <f>'Field Log (6)'!$K$51</f>
        <v>0</v>
      </c>
      <c r="J20" s="222">
        <f>'Field Log (6)'!$K$52</f>
        <v>0</v>
      </c>
      <c r="K20" s="222">
        <f t="shared" si="1"/>
        <v>8132.3000000000011</v>
      </c>
      <c r="L20" s="228"/>
      <c r="M20" s="228"/>
    </row>
    <row r="21" spans="1:14" ht="15" customHeight="1">
      <c r="A21" s="219">
        <v>25</v>
      </c>
      <c r="B21" s="224">
        <f>'Field Log (25)'!$K$1</f>
        <v>41659</v>
      </c>
      <c r="C21" s="221">
        <f>'Field Log (25)'!$H$6</f>
        <v>18209</v>
      </c>
      <c r="D21" s="388" t="s">
        <v>4230</v>
      </c>
      <c r="E21" s="229">
        <f>'Field Log (25)'!$K$88</f>
        <v>2419.63</v>
      </c>
      <c r="F21" s="229">
        <f>'Field Log (25)'!$K$89</f>
        <v>138</v>
      </c>
      <c r="G21" s="229">
        <f>'Field Log (25)'!$K$90</f>
        <v>311.3</v>
      </c>
      <c r="H21" s="229">
        <f>'Field Log (25)'!$K$91</f>
        <v>0</v>
      </c>
      <c r="I21" s="229">
        <f>'Field Log (25)'!$K$92</f>
        <v>0</v>
      </c>
      <c r="J21" s="229">
        <f>'Field Log (25)'!$K$93</f>
        <v>0</v>
      </c>
      <c r="K21" s="229">
        <f>SUM(E21:J21)</f>
        <v>2868.9300000000003</v>
      </c>
    </row>
    <row r="22" spans="1:14" ht="14.25" customHeight="1">
      <c r="A22" s="219">
        <v>19</v>
      </c>
      <c r="B22" s="224">
        <f>'Field Log (19)'!$K$1</f>
        <v>41659</v>
      </c>
      <c r="C22" s="221">
        <f>'Field Log (19)'!$H$6</f>
        <v>18210</v>
      </c>
      <c r="D22" s="388" t="s">
        <v>4230</v>
      </c>
      <c r="E22" s="229">
        <f>'Field Log (19)'!$K$73</f>
        <v>6679.8400000000011</v>
      </c>
      <c r="F22" s="229">
        <f>'Field Log (19)'!$K$74</f>
        <v>1928</v>
      </c>
      <c r="G22" s="229">
        <f>'Field Log (19)'!$K$75</f>
        <v>1358.4</v>
      </c>
      <c r="H22" s="229">
        <f>'Field Log (19)'!$K$76</f>
        <v>0</v>
      </c>
      <c r="I22" s="229">
        <f>'Field Log (19)'!$K$77</f>
        <v>0</v>
      </c>
      <c r="J22" s="229">
        <f>'Field Log (19)'!$K$78</f>
        <v>0</v>
      </c>
      <c r="K22" s="229">
        <f>SUM(E22:J22)</f>
        <v>9966.24</v>
      </c>
      <c r="L22" s="228"/>
      <c r="M22" s="228"/>
    </row>
    <row r="23" spans="1:14">
      <c r="A23" s="219">
        <v>23</v>
      </c>
      <c r="B23" s="238">
        <f>'Field Log (23)'!$K$1</f>
        <v>41659</v>
      </c>
      <c r="C23" s="221">
        <f>'Field Log (23)'!$H$6</f>
        <v>18211</v>
      </c>
      <c r="D23" s="388" t="s">
        <v>4230</v>
      </c>
      <c r="E23" s="229">
        <f>'Field Log (23)'!$K$80</f>
        <v>30339.020000000015</v>
      </c>
      <c r="F23" s="229">
        <f>'Field Log (23)'!$K$81</f>
        <v>9272.36</v>
      </c>
      <c r="G23" s="229">
        <f>'Field Log (23)'!$K$82</f>
        <v>5660</v>
      </c>
      <c r="H23" s="229">
        <f>'Field Log (23)'!$K$83</f>
        <v>0</v>
      </c>
      <c r="I23" s="229">
        <f>'Field Log (23)'!$K$84</f>
        <v>0</v>
      </c>
      <c r="J23" s="229">
        <f>'Field Log (23)'!$K$85</f>
        <v>0</v>
      </c>
      <c r="K23" s="229">
        <f>SUM(E23:J23)</f>
        <v>45271.380000000019</v>
      </c>
      <c r="L23" s="228"/>
      <c r="M23" s="228"/>
    </row>
    <row r="24" spans="1:14">
      <c r="A24" s="219">
        <v>3</v>
      </c>
      <c r="B24" s="238">
        <f>'Field Log (3)'!$K$1</f>
        <v>41659</v>
      </c>
      <c r="C24" s="221">
        <f>'Field Log (3)'!$H$6</f>
        <v>18212</v>
      </c>
      <c r="D24" s="388" t="s">
        <v>4230</v>
      </c>
      <c r="E24" s="229">
        <f>'Field Log (3)'!$K$41</f>
        <v>4003.9400000000005</v>
      </c>
      <c r="F24" s="229">
        <f>'Field Log (3)'!$K$42</f>
        <v>566</v>
      </c>
      <c r="G24" s="229">
        <f>'Field Log (3)'!$K$43</f>
        <v>424.5</v>
      </c>
      <c r="H24" s="229">
        <f>'Field Log (3)'!$K$44</f>
        <v>0</v>
      </c>
      <c r="I24" s="229">
        <f>'Field Log (3)'!$K$45</f>
        <v>0</v>
      </c>
      <c r="J24" s="229">
        <f>'Field Log (3)'!$K$46</f>
        <v>0</v>
      </c>
      <c r="K24" s="229">
        <f t="shared" ref="K24" si="2">SUM(E24:J24)</f>
        <v>4994.4400000000005</v>
      </c>
      <c r="L24" s="228"/>
      <c r="M24" s="228"/>
    </row>
    <row r="25" spans="1:14">
      <c r="A25" s="219">
        <v>26</v>
      </c>
      <c r="B25" s="224">
        <f>'Field Log (26)'!$K$1</f>
        <v>41659</v>
      </c>
      <c r="C25" s="221">
        <f>'Field Log (26)'!$H$6</f>
        <v>18213</v>
      </c>
      <c r="D25" s="388" t="s">
        <v>4230</v>
      </c>
      <c r="E25" s="229">
        <f>'Field Log (26)'!$K$91</f>
        <v>29379.920000000009</v>
      </c>
      <c r="F25" s="229">
        <f>'Field Log (26)'!$K$92</f>
        <v>37633.589999999997</v>
      </c>
      <c r="G25" s="229">
        <f>'Field Log (26)'!$K$93</f>
        <v>4938.3500000000004</v>
      </c>
      <c r="H25" s="229">
        <f>'Field Log (26)'!$K$94</f>
        <v>0</v>
      </c>
      <c r="I25" s="229">
        <f>'Field Log (26)'!$K$95</f>
        <v>0</v>
      </c>
      <c r="J25" s="229">
        <f>'Field Log (26)'!$K$96</f>
        <v>0</v>
      </c>
      <c r="K25" s="229">
        <f>SUM(E25:J25)</f>
        <v>71951.860000000015</v>
      </c>
      <c r="N25" t="s">
        <v>4219</v>
      </c>
    </row>
    <row r="26" spans="1:14">
      <c r="A26" s="219">
        <v>29</v>
      </c>
      <c r="B26" s="224">
        <f>'Field Log (29)'!$K$1</f>
        <v>41659</v>
      </c>
      <c r="C26" s="221">
        <f>'Field Log (29)'!$H$6</f>
        <v>18214</v>
      </c>
      <c r="D26" s="388" t="s">
        <v>4230</v>
      </c>
      <c r="E26" s="229">
        <f>'Field Log (29)'!$K$46</f>
        <v>5417.94</v>
      </c>
      <c r="F26" s="229">
        <f>'Field Log (29)'!$K$47</f>
        <v>3048</v>
      </c>
      <c r="G26" s="229">
        <f>'Field Log (29)'!$K$48</f>
        <v>820.7</v>
      </c>
      <c r="H26" s="229">
        <f>'Field Log (29)'!$K$49</f>
        <v>0</v>
      </c>
      <c r="I26" s="229">
        <f>'Field Log (29)'!$K$50</f>
        <v>0</v>
      </c>
      <c r="J26" s="229">
        <f>'Field Log (29)'!$K$51</f>
        <v>0</v>
      </c>
      <c r="K26" s="229">
        <f t="shared" ref="K26" si="3">SUM(E26:J26)</f>
        <v>9286.64</v>
      </c>
    </row>
    <row r="27" spans="1:14">
      <c r="A27" s="219">
        <v>10</v>
      </c>
      <c r="B27" s="238">
        <f>'Field Log (10)'!$K$1</f>
        <v>41659</v>
      </c>
      <c r="C27" s="221">
        <f>'Field Log (10)'!$H$6</f>
        <v>18215</v>
      </c>
      <c r="D27" s="388" t="s">
        <v>4230</v>
      </c>
      <c r="E27" s="229">
        <f>'Field Log (10)'!$K$164</f>
        <v>10705.59</v>
      </c>
      <c r="F27" s="229">
        <f>'Field Log (10)'!$K$165</f>
        <v>19057.569999999996</v>
      </c>
      <c r="G27" s="229">
        <f>'Field Log (10)'!$K$166</f>
        <v>1966.8500000000001</v>
      </c>
      <c r="H27" s="229">
        <f>'Field Log (10)'!$K$167</f>
        <v>0</v>
      </c>
      <c r="I27" s="229">
        <f>'Field Log (10)'!$K$168</f>
        <v>0</v>
      </c>
      <c r="J27" s="229">
        <f>'Field Log (10)'!$K$169</f>
        <v>0</v>
      </c>
      <c r="K27" s="229">
        <f t="shared" ref="K27:K35" si="4">SUM(E27:J27)</f>
        <v>31730.009999999995</v>
      </c>
      <c r="L27" s="228"/>
      <c r="M27" s="228"/>
    </row>
    <row r="28" spans="1:14">
      <c r="A28" s="219">
        <v>33</v>
      </c>
      <c r="B28" s="224">
        <f>'Field Log (33)'!$K$1</f>
        <v>41659</v>
      </c>
      <c r="C28" s="221">
        <f>'Field Log (33)'!$H$6</f>
        <v>18216</v>
      </c>
      <c r="D28" s="388" t="s">
        <v>4230</v>
      </c>
      <c r="E28" s="229">
        <f>'Field Log (33)'!$K$94</f>
        <v>15395.58</v>
      </c>
      <c r="F28" s="229">
        <f>'Field Log (33)'!$K$95</f>
        <v>4459</v>
      </c>
      <c r="G28" s="229">
        <f>'Field Log (33)'!$K$96</f>
        <v>2292.3000000000002</v>
      </c>
      <c r="H28" s="229">
        <f>'Field Log (33)'!$K$97</f>
        <v>0</v>
      </c>
      <c r="I28" s="229">
        <f>'Field Log (33)'!$K$98</f>
        <v>0</v>
      </c>
      <c r="J28" s="229">
        <f>'Field Log (33)'!$K$99</f>
        <v>0</v>
      </c>
      <c r="K28" s="229">
        <f>SUM(E28:J28)</f>
        <v>22146.880000000001</v>
      </c>
    </row>
    <row r="29" spans="1:14">
      <c r="A29" s="219">
        <v>5</v>
      </c>
      <c r="B29" s="238">
        <f>'Field Log (5)'!$K$1</f>
        <v>41659</v>
      </c>
      <c r="C29" s="221">
        <f>'Field Log (5)'!$H$6</f>
        <v>18217</v>
      </c>
      <c r="D29" s="388" t="s">
        <v>4230</v>
      </c>
      <c r="E29" s="222">
        <f>'Field Log (5)'!$K$114</f>
        <v>18942.72</v>
      </c>
      <c r="F29" s="222">
        <f>'Field Log (5)'!$K$115</f>
        <v>16032.5</v>
      </c>
      <c r="G29" s="222">
        <f>'Field Log (5)'!$K$116</f>
        <v>3339.4</v>
      </c>
      <c r="H29" s="222">
        <f>'Field Log (5)'!$K$117</f>
        <v>0</v>
      </c>
      <c r="I29" s="222">
        <f>'Field Log (5)'!$K$118</f>
        <v>0</v>
      </c>
      <c r="J29" s="222">
        <f>'Field Log (5)'!$K$119</f>
        <v>0</v>
      </c>
      <c r="K29" s="222">
        <f>SUM(E29:J29)</f>
        <v>38314.620000000003</v>
      </c>
      <c r="L29" s="228"/>
      <c r="M29" s="228"/>
    </row>
    <row r="30" spans="1:14" ht="15" customHeight="1">
      <c r="A30" s="219">
        <v>14</v>
      </c>
      <c r="B30" s="224">
        <f>'Field Log (14)'!$K$1</f>
        <v>41659</v>
      </c>
      <c r="C30" s="221">
        <f>'Field Log (14)'!$H$6</f>
        <v>18218</v>
      </c>
      <c r="D30" s="388" t="s">
        <v>4230</v>
      </c>
      <c r="E30" s="229">
        <f>'Field Log (14)'!$K$55</f>
        <v>18600.679999999997</v>
      </c>
      <c r="F30" s="229">
        <f>'Field Log (14)'!$K$56</f>
        <v>10483</v>
      </c>
      <c r="G30" s="229">
        <f>'Field Log (14)'!$K$57</f>
        <v>2872.4500000000003</v>
      </c>
      <c r="H30" s="229">
        <f>'Field Log (14)'!$K$58</f>
        <v>0</v>
      </c>
      <c r="I30" s="229">
        <f>'Field Log (14)'!$K$59</f>
        <v>0</v>
      </c>
      <c r="J30" s="229">
        <f>'Field Log (14)'!$K$60</f>
        <v>0</v>
      </c>
      <c r="K30" s="229">
        <f t="shared" ref="K30" si="5">SUM(E30:J30)</f>
        <v>31956.129999999997</v>
      </c>
      <c r="L30" s="228"/>
      <c r="M30" s="228"/>
    </row>
    <row r="31" spans="1:14" ht="15" customHeight="1">
      <c r="A31" s="219">
        <v>17</v>
      </c>
      <c r="B31" s="224">
        <f>'Field Log (17)'!$K$1</f>
        <v>41659</v>
      </c>
      <c r="C31" s="221">
        <f>'Field Log (17)'!$H$6</f>
        <v>18219</v>
      </c>
      <c r="D31" s="388" t="s">
        <v>4230</v>
      </c>
      <c r="E31" s="229">
        <f>'Field Log (17)'!$K$39</f>
        <v>5773.51</v>
      </c>
      <c r="F31" s="229">
        <f>'Field Log (17)'!$K$40</f>
        <v>587</v>
      </c>
      <c r="G31" s="229">
        <f>'Field Log (17)'!$K$41</f>
        <v>1018.8000000000001</v>
      </c>
      <c r="H31" s="229">
        <f>'Field Log (17)'!$K$42</f>
        <v>0</v>
      </c>
      <c r="I31" s="229">
        <f>'Field Log (17)'!$K$43</f>
        <v>0</v>
      </c>
      <c r="J31" s="229">
        <f>'Field Log (17)'!$K$44</f>
        <v>0</v>
      </c>
      <c r="K31" s="229">
        <f t="shared" si="4"/>
        <v>7379.31</v>
      </c>
      <c r="L31" s="228"/>
      <c r="M31" s="228"/>
    </row>
    <row r="32" spans="1:14">
      <c r="A32" s="219">
        <v>7</v>
      </c>
      <c r="B32" s="238">
        <f>'Field Log (7)'!$K$1</f>
        <v>41659</v>
      </c>
      <c r="C32" s="221">
        <f>'Field Log (7)'!$H$6</f>
        <v>18220</v>
      </c>
      <c r="D32" s="388" t="s">
        <v>4230</v>
      </c>
      <c r="E32" s="222">
        <f>'Field Log (7)'!$K$54</f>
        <v>5162.1499999999996</v>
      </c>
      <c r="F32" s="222">
        <f>'Field Log (7)'!$K$55</f>
        <v>421</v>
      </c>
      <c r="G32" s="222">
        <f>'Field Log (7)'!$K$56</f>
        <v>820.7</v>
      </c>
      <c r="H32" s="222">
        <f>'Field Log (7)'!$K$57</f>
        <v>0</v>
      </c>
      <c r="I32" s="222">
        <f>'Field Log (7)'!$K$58</f>
        <v>0</v>
      </c>
      <c r="J32" s="222">
        <f>'Field Log (7)'!$K$59</f>
        <v>0</v>
      </c>
      <c r="K32" s="222">
        <f t="shared" si="4"/>
        <v>6403.8499999999995</v>
      </c>
      <c r="L32" s="228"/>
      <c r="M32" s="228"/>
    </row>
    <row r="33" spans="1:13">
      <c r="A33" s="219">
        <v>31</v>
      </c>
      <c r="B33" s="224">
        <f>'Field Log (31)'!$K$1</f>
        <v>41659</v>
      </c>
      <c r="C33" s="221">
        <f>'Field Log (31)'!$H$6</f>
        <v>18222</v>
      </c>
      <c r="D33" s="388" t="s">
        <v>4230</v>
      </c>
      <c r="E33" s="229">
        <f>'Field Log (31)'!$K$63</f>
        <v>23671.589999999997</v>
      </c>
      <c r="F33" s="229">
        <f>'Field Log (31)'!$K$64</f>
        <v>14338.11</v>
      </c>
      <c r="G33" s="229">
        <f>'Field Log (31)'!$K$65</f>
        <v>3834.65</v>
      </c>
      <c r="H33" s="229">
        <f>'Field Log (31)'!$K$66</f>
        <v>0</v>
      </c>
      <c r="I33" s="229">
        <f>'Field Log (31)'!$K$67</f>
        <v>0</v>
      </c>
      <c r="J33" s="229">
        <f>'Field Log (31)'!$K$68</f>
        <v>0</v>
      </c>
      <c r="K33" s="229">
        <f t="shared" si="4"/>
        <v>41844.35</v>
      </c>
    </row>
    <row r="34" spans="1:13">
      <c r="A34" s="219">
        <v>35</v>
      </c>
      <c r="B34" s="224">
        <f>'Field Log (35)'!$K$1</f>
        <v>41659</v>
      </c>
      <c r="C34" s="221">
        <f>'Field Log (35)'!$H$6</f>
        <v>18226</v>
      </c>
      <c r="D34" s="388" t="s">
        <v>4230</v>
      </c>
      <c r="E34" s="229">
        <f>'Field Log (35)'!$K$107</f>
        <v>4990.57</v>
      </c>
      <c r="F34" s="229">
        <f>'Field Log (35)'!$K$108</f>
        <v>1135.19</v>
      </c>
      <c r="G34" s="229">
        <f>'Field Log (35)'!$K$109</f>
        <v>820.7</v>
      </c>
      <c r="H34" s="229">
        <f>'Field Log (35)'!$K$110</f>
        <v>0</v>
      </c>
      <c r="I34" s="229">
        <f>'Field Log (35)'!$K$111</f>
        <v>0</v>
      </c>
      <c r="J34" s="229">
        <f>'Field Log (35)'!$K$112</f>
        <v>0</v>
      </c>
      <c r="K34" s="229">
        <f t="shared" si="4"/>
        <v>6946.46</v>
      </c>
    </row>
    <row r="35" spans="1:13" ht="14.25" customHeight="1">
      <c r="A35" s="219">
        <v>24</v>
      </c>
      <c r="B35" s="224">
        <f>'Field Log (24)'!$K$1</f>
        <v>41659</v>
      </c>
      <c r="C35" s="221">
        <f>'Field Log (24)'!$H$6</f>
        <v>18229</v>
      </c>
      <c r="D35" s="388" t="s">
        <v>4230</v>
      </c>
      <c r="E35" s="229">
        <f>'Field Log (24)'!$K$112</f>
        <v>23908.500000000004</v>
      </c>
      <c r="F35" s="229">
        <f>'Field Log (24)'!$K$113</f>
        <v>23568.320000000007</v>
      </c>
      <c r="G35" s="229">
        <f>'Field Log (24)'!$K$114</f>
        <v>4216.7</v>
      </c>
      <c r="H35" s="229">
        <f>'Field Log (24)'!$K$115</f>
        <v>0</v>
      </c>
      <c r="I35" s="229">
        <f>'Field Log (24)'!$K$116</f>
        <v>0</v>
      </c>
      <c r="J35" s="229">
        <f>'Field Log (24)'!$K$117</f>
        <v>0</v>
      </c>
      <c r="K35" s="229">
        <f t="shared" si="4"/>
        <v>51693.520000000004</v>
      </c>
      <c r="L35" s="228"/>
      <c r="M35" s="228"/>
    </row>
    <row r="36" spans="1:13">
      <c r="A36" s="219">
        <v>30</v>
      </c>
      <c r="B36" s="238">
        <f>'Field Log (30)'!$K$1</f>
        <v>41659</v>
      </c>
      <c r="C36" s="221">
        <f>'Field Log (30)'!$H$6</f>
        <v>18230</v>
      </c>
      <c r="D36" s="388" t="s">
        <v>4230</v>
      </c>
      <c r="E36" s="229">
        <f>'Field Log (30)'!$K$83</f>
        <v>13138.63</v>
      </c>
      <c r="F36" s="229">
        <f>'Field Log (30)'!$K$84</f>
        <v>1474.13</v>
      </c>
      <c r="G36" s="229">
        <f>'Field Log (30)'!$K$85</f>
        <v>1018.8000000000001</v>
      </c>
      <c r="H36" s="229">
        <f>'Field Log (30)'!$K$86</f>
        <v>0</v>
      </c>
      <c r="I36" s="229">
        <f>'Field Log (30)'!$K$87</f>
        <v>0</v>
      </c>
      <c r="J36" s="229">
        <f>'Field Log (30)'!$K$88</f>
        <v>0</v>
      </c>
      <c r="K36" s="229">
        <f t="shared" ref="K36" si="6">SUM(E36:J36)</f>
        <v>15631.559999999998</v>
      </c>
    </row>
    <row r="37" spans="1:13">
      <c r="A37" s="219">
        <v>4</v>
      </c>
      <c r="B37" s="224">
        <f>'Field Log (4)'!$K$1</f>
        <v>41659</v>
      </c>
      <c r="C37" s="221">
        <f>'Field Log (4)'!$H$6</f>
        <v>18234</v>
      </c>
      <c r="D37" s="388" t="s">
        <v>4230</v>
      </c>
      <c r="E37" s="229">
        <f>'Field Log (4)'!$K$73</f>
        <v>10821.23</v>
      </c>
      <c r="F37" s="229">
        <f>'Field Log (4)'!$K$74</f>
        <v>4177</v>
      </c>
      <c r="G37" s="229">
        <f>'Field Log (4)'!$K$75</f>
        <v>1457.45</v>
      </c>
      <c r="H37" s="229">
        <f>'Field Log (4)'!$K$76</f>
        <v>0</v>
      </c>
      <c r="I37" s="229">
        <f>'Field Log (4)'!$K$77</f>
        <v>0</v>
      </c>
      <c r="J37" s="229">
        <f>'Field Log (4)'!$K$78</f>
        <v>0</v>
      </c>
      <c r="K37" s="229">
        <f>SUM(E37:J37)</f>
        <v>16455.68</v>
      </c>
      <c r="L37" s="228"/>
      <c r="M37" s="228"/>
    </row>
    <row r="38" spans="1:13">
      <c r="A38" s="219">
        <v>20</v>
      </c>
      <c r="B38" s="224">
        <f>'Field Log (20)'!$K$1</f>
        <v>41659</v>
      </c>
      <c r="C38" s="221">
        <f>'Field Log (20)'!$H$6</f>
        <v>18238</v>
      </c>
      <c r="D38" s="388" t="s">
        <v>4230</v>
      </c>
      <c r="E38" s="229">
        <f>'Field Log (20)'!$K$176</f>
        <v>5163.42</v>
      </c>
      <c r="F38" s="229">
        <f>'Field Log (20)'!$K$177</f>
        <v>28329.21000000001</v>
      </c>
      <c r="G38" s="229">
        <f>'Field Log (20)'!$K$178</f>
        <v>622.6</v>
      </c>
      <c r="H38" s="229">
        <f>'Field Log (20)'!$K$179</f>
        <v>0</v>
      </c>
      <c r="I38" s="229">
        <f>'Field Log (20)'!$K$180</f>
        <v>0</v>
      </c>
      <c r="J38" s="229">
        <f>'Field Log (20)'!$K$181</f>
        <v>0</v>
      </c>
      <c r="K38" s="229">
        <f>SUM(E38:J38)</f>
        <v>34115.23000000001</v>
      </c>
      <c r="L38" s="228"/>
      <c r="M38" s="228"/>
    </row>
    <row r="39" spans="1:13">
      <c r="A39" s="219">
        <v>18</v>
      </c>
      <c r="B39" s="224">
        <f>'Field Log (18)'!$K$1</f>
        <v>41659</v>
      </c>
      <c r="C39" s="221">
        <f>'Field Log (18)'!$H$6</f>
        <v>18240</v>
      </c>
      <c r="D39" s="388" t="s">
        <v>4230</v>
      </c>
      <c r="E39" s="229">
        <f>'Field Log (18)'!$K$93</f>
        <v>21487.54</v>
      </c>
      <c r="F39" s="229">
        <f>'Field Log (18)'!$K$94</f>
        <v>5560</v>
      </c>
      <c r="G39" s="229">
        <f>'Field Log (18)'!$K$95</f>
        <v>3268.65</v>
      </c>
      <c r="H39" s="229">
        <f>'Field Log (18)'!$K$96</f>
        <v>0</v>
      </c>
      <c r="I39" s="229">
        <f>'Field Log (18)'!$K$97</f>
        <v>0</v>
      </c>
      <c r="J39" s="229">
        <f>'Field Log (18)'!$K$98</f>
        <v>0</v>
      </c>
      <c r="K39" s="229">
        <f>SUM(E39:J39)</f>
        <v>30316.190000000002</v>
      </c>
      <c r="L39" s="228"/>
      <c r="M39" s="228"/>
    </row>
    <row r="40" spans="1:13">
      <c r="A40" s="219">
        <v>15</v>
      </c>
      <c r="B40" s="224">
        <f>'Field Log (15)'!$K$1</f>
        <v>41659</v>
      </c>
      <c r="C40" s="221">
        <f>'Field Log (15)'!$H$6</f>
        <v>18241</v>
      </c>
      <c r="D40" s="388" t="s">
        <v>4230</v>
      </c>
      <c r="E40" s="229">
        <f>'Field Log (15)'!$K$105</f>
        <v>20038.409999999996</v>
      </c>
      <c r="F40" s="229">
        <f>'Field Log (15)'!$K$106</f>
        <v>5557.01</v>
      </c>
      <c r="G40" s="229">
        <f>'Field Log (15)'!$K$107</f>
        <v>3268.65</v>
      </c>
      <c r="H40" s="229">
        <f>'Field Log (15)'!$K$108</f>
        <v>0</v>
      </c>
      <c r="I40" s="229">
        <f>'Field Log (15)'!$K$109</f>
        <v>0</v>
      </c>
      <c r="J40" s="229">
        <f>'Field Log (15)'!$K$110</f>
        <v>0</v>
      </c>
      <c r="K40" s="229">
        <f t="shared" ref="K40" si="7">SUM(E40:J40)</f>
        <v>28864.07</v>
      </c>
      <c r="L40" s="228"/>
      <c r="M40" s="228"/>
    </row>
    <row r="41" spans="1:13">
      <c r="A41" s="219">
        <v>16</v>
      </c>
      <c r="B41" s="224">
        <f>'Field Log (16)'!$K$1</f>
        <v>41659</v>
      </c>
      <c r="C41" s="221">
        <f>'Field Log (16)'!$H$6</f>
        <v>18246</v>
      </c>
      <c r="D41" s="388" t="s">
        <v>4230</v>
      </c>
      <c r="E41" s="229">
        <f>'Field Log (16)'!$K$115</f>
        <v>41253.44999999999</v>
      </c>
      <c r="F41" s="229">
        <f>'Field Log (16)'!$K$116</f>
        <v>10650</v>
      </c>
      <c r="G41" s="229">
        <f>'Field Log (16)'!$K$117</f>
        <v>6664.6500000000005</v>
      </c>
      <c r="H41" s="229">
        <f>'Field Log (16)'!$K$118</f>
        <v>0</v>
      </c>
      <c r="I41" s="229">
        <f>'Field Log (16)'!$K$119</f>
        <v>0</v>
      </c>
      <c r="J41" s="229">
        <f>'Field Log (16)'!$K$120</f>
        <v>0</v>
      </c>
      <c r="K41" s="229">
        <f>SUM(E41:J41)</f>
        <v>58568.099999999991</v>
      </c>
    </row>
    <row r="42" spans="1:13">
      <c r="D42" s="276"/>
      <c r="L42" s="229">
        <f>SUM(K9:K44)</f>
        <v>804196.47</v>
      </c>
    </row>
    <row r="43" spans="1:13">
      <c r="A43" s="219">
        <v>22</v>
      </c>
      <c r="B43" s="224">
        <f>'Field Log (22)'!$K$1</f>
        <v>0</v>
      </c>
      <c r="C43" s="221">
        <f>'Field Log (22)'!$H$6</f>
        <v>0</v>
      </c>
      <c r="D43" s="388" t="s">
        <v>4230</v>
      </c>
      <c r="E43" s="229">
        <f>'Field Log (22)'!$K$109</f>
        <v>0</v>
      </c>
      <c r="F43" s="229">
        <f>'Field Log (22)'!$K$110</f>
        <v>0</v>
      </c>
      <c r="G43" s="229">
        <f>'Field Log (22)'!$K$111</f>
        <v>0</v>
      </c>
      <c r="H43" s="229">
        <f>'Field Log (22)'!$K$112</f>
        <v>0</v>
      </c>
      <c r="I43" s="229">
        <f>'Field Log (22)'!$K$113</f>
        <v>0</v>
      </c>
      <c r="J43" s="229">
        <f>'Field Log (22)'!$K$114</f>
        <v>0</v>
      </c>
      <c r="K43" s="229">
        <f t="shared" ref="K43" si="8">SUM(E43:J43)</f>
        <v>0</v>
      </c>
      <c r="L43" s="228"/>
      <c r="M43" s="228"/>
    </row>
    <row r="44" spans="1:13">
      <c r="A44" s="219">
        <v>13</v>
      </c>
      <c r="B44" s="224">
        <f>'Field Log (13)'!$K$1</f>
        <v>0</v>
      </c>
      <c r="C44" s="221">
        <f>'Field Log (13)'!$H$6</f>
        <v>0</v>
      </c>
      <c r="D44" s="388" t="s">
        <v>4230</v>
      </c>
      <c r="E44" s="229">
        <f>'Field Log (13)'!$K$67</f>
        <v>0</v>
      </c>
      <c r="F44" s="229">
        <f>'Field Log (13)'!$K$68</f>
        <v>0</v>
      </c>
      <c r="G44" s="229">
        <f>'Field Log (13)'!$K$69</f>
        <v>0</v>
      </c>
      <c r="H44" s="229">
        <f>'Field Log (13)'!$K$70</f>
        <v>0</v>
      </c>
      <c r="I44" s="229">
        <f>'Field Log (13)'!$K$71</f>
        <v>0</v>
      </c>
      <c r="J44" s="229">
        <f>'Field Log (13)'!$K$72</f>
        <v>0</v>
      </c>
      <c r="K44" s="229">
        <f>SUM(E44:J44)</f>
        <v>0</v>
      </c>
      <c r="M44" s="228"/>
    </row>
    <row r="45" spans="1:13">
      <c r="A45" s="219">
        <v>34</v>
      </c>
      <c r="B45" s="224">
        <f>'Field Log (34)'!$K$1</f>
        <v>0</v>
      </c>
      <c r="C45" s="221">
        <f>'Field Log (34)'!$H$6</f>
        <v>0</v>
      </c>
      <c r="D45" s="388" t="s">
        <v>4230</v>
      </c>
      <c r="E45" s="229">
        <f>'Field Log (34)'!$K$45</f>
        <v>0</v>
      </c>
      <c r="F45" s="229">
        <f>'Field Log (34)'!$K$46</f>
        <v>0</v>
      </c>
      <c r="G45" s="229">
        <f>'Field Log (34)'!$K$47</f>
        <v>0</v>
      </c>
      <c r="H45" s="229">
        <f>'Field Log (34)'!$K$48</f>
        <v>0</v>
      </c>
      <c r="I45" s="229">
        <f>'Field Log (34)'!$K$49</f>
        <v>0</v>
      </c>
      <c r="J45" s="229">
        <f>'Field Log (34)'!$K$50</f>
        <v>0</v>
      </c>
      <c r="K45" s="229">
        <f t="shared" ref="K45:K60" si="9">SUM(E45:J45)</f>
        <v>0</v>
      </c>
    </row>
    <row r="46" spans="1:13">
      <c r="A46" s="219">
        <v>36</v>
      </c>
      <c r="B46" s="224">
        <f>'Field Log (36)'!$K$1</f>
        <v>0</v>
      </c>
      <c r="C46" s="221">
        <f>'Field Log (36)'!$H$6</f>
        <v>0</v>
      </c>
      <c r="D46" s="388" t="s">
        <v>4230</v>
      </c>
      <c r="E46" s="229">
        <f>'Field Log (36)'!$K$91</f>
        <v>0</v>
      </c>
      <c r="F46" s="229">
        <f>'Field Log (36)'!$K$92</f>
        <v>0</v>
      </c>
      <c r="G46" s="229">
        <f>'Field Log (36)'!$K$93</f>
        <v>0</v>
      </c>
      <c r="H46" s="229">
        <f>'Field Log (36)'!$K$94</f>
        <v>0</v>
      </c>
      <c r="I46" s="229">
        <f>'Field Log (36)'!$K$95</f>
        <v>0</v>
      </c>
      <c r="J46" s="229">
        <f>'Field Log (36)'!$K$96</f>
        <v>0</v>
      </c>
      <c r="K46" s="229">
        <f t="shared" si="9"/>
        <v>0</v>
      </c>
    </row>
    <row r="47" spans="1:13">
      <c r="A47" s="219">
        <v>37</v>
      </c>
      <c r="B47" s="224">
        <f>'Field Log (37)'!$K$1</f>
        <v>0</v>
      </c>
      <c r="C47" s="221">
        <f>'Field Log (37)'!$H$6</f>
        <v>0</v>
      </c>
      <c r="D47" s="388" t="s">
        <v>4230</v>
      </c>
      <c r="E47" s="229">
        <f>'Field Log (37)'!$K$77</f>
        <v>0</v>
      </c>
      <c r="F47" s="229">
        <f>'Field Log (37)'!$K$78</f>
        <v>0</v>
      </c>
      <c r="G47" s="229">
        <f>'Field Log (37)'!$K$79</f>
        <v>0</v>
      </c>
      <c r="H47" s="229">
        <f>'Field Log (37)'!$K$80</f>
        <v>0</v>
      </c>
      <c r="I47" s="229">
        <f>'Field Log (37)'!$K$81</f>
        <v>0</v>
      </c>
      <c r="J47" s="229">
        <f>'Field Log (37)'!$K$82</f>
        <v>0</v>
      </c>
      <c r="K47" s="229">
        <f t="shared" si="9"/>
        <v>0</v>
      </c>
    </row>
    <row r="48" spans="1:13">
      <c r="A48" s="219">
        <v>38</v>
      </c>
      <c r="B48" s="224">
        <f>'Field Log (38)'!$K$1</f>
        <v>0</v>
      </c>
      <c r="C48" s="221">
        <f>'Field Log (38)'!$H$6</f>
        <v>0</v>
      </c>
      <c r="D48" s="388" t="s">
        <v>4230</v>
      </c>
      <c r="E48" s="229">
        <f>'Field Log (38)'!$K$64</f>
        <v>0</v>
      </c>
      <c r="F48" s="229">
        <f>'Field Log (38)'!$K$65</f>
        <v>0</v>
      </c>
      <c r="G48" s="229">
        <f>'Field Log (38)'!$K$66</f>
        <v>0</v>
      </c>
      <c r="H48" s="229">
        <f>'Field Log (38)'!$K$67</f>
        <v>0</v>
      </c>
      <c r="I48" s="229">
        <f>'Field Log (38)'!$K$68</f>
        <v>0</v>
      </c>
      <c r="J48" s="229">
        <f>'Field Log (38)'!$K$69</f>
        <v>0</v>
      </c>
      <c r="K48" s="229">
        <f t="shared" si="9"/>
        <v>0</v>
      </c>
    </row>
    <row r="49" spans="1:11">
      <c r="A49" s="219">
        <v>39</v>
      </c>
      <c r="B49" s="224">
        <f>'Field Log (39)'!$K$1</f>
        <v>0</v>
      </c>
      <c r="C49" s="221">
        <f>'Field Log (39)'!$H$6</f>
        <v>0</v>
      </c>
      <c r="D49" s="388" t="s">
        <v>4230</v>
      </c>
      <c r="E49" s="222">
        <f>'Field Log (39)'!$K$45</f>
        <v>0</v>
      </c>
      <c r="F49" s="222">
        <f>'Field Log (39)'!$K$46</f>
        <v>0</v>
      </c>
      <c r="G49" s="222">
        <f>'Field Log (39)'!$K$47</f>
        <v>0</v>
      </c>
      <c r="H49" s="222">
        <f>'Field Log (39)'!$K$48</f>
        <v>0</v>
      </c>
      <c r="I49" s="222">
        <f>'Field Log (39)'!$K$49</f>
        <v>0</v>
      </c>
      <c r="J49" s="222">
        <f>'Field Log (39)'!$K$50</f>
        <v>0</v>
      </c>
      <c r="K49" s="222">
        <f t="shared" si="9"/>
        <v>0</v>
      </c>
    </row>
    <row r="50" spans="1:11">
      <c r="A50" s="219">
        <v>40</v>
      </c>
      <c r="B50" s="224">
        <f>'Field Log (40)'!$K$1</f>
        <v>0</v>
      </c>
      <c r="C50" s="221">
        <f>'Field Log (40)'!$H$6</f>
        <v>0</v>
      </c>
      <c r="D50" s="388" t="s">
        <v>4230</v>
      </c>
      <c r="E50" s="222">
        <f>'Field Log (40)'!$K$45</f>
        <v>0</v>
      </c>
      <c r="F50" s="222">
        <f>'Field Log (40)'!$K$46</f>
        <v>0</v>
      </c>
      <c r="G50" s="222">
        <f>'Field Log (40)'!$K$47</f>
        <v>0</v>
      </c>
      <c r="H50" s="222">
        <f>'Field Log (40)'!$K$48</f>
        <v>0</v>
      </c>
      <c r="I50" s="222">
        <f>'Field Log (40)'!$K$49</f>
        <v>0</v>
      </c>
      <c r="J50" s="222">
        <f>'Field Log (40)'!$K$50</f>
        <v>0</v>
      </c>
      <c r="K50" s="222">
        <f t="shared" si="9"/>
        <v>0</v>
      </c>
    </row>
    <row r="51" spans="1:11">
      <c r="A51" s="219">
        <v>41</v>
      </c>
      <c r="B51" s="224">
        <f>'Field Log (41)'!$K$1</f>
        <v>0</v>
      </c>
      <c r="C51" s="221">
        <f>'Field Log (41)'!$H$6</f>
        <v>0</v>
      </c>
      <c r="D51" s="388" t="s">
        <v>4230</v>
      </c>
      <c r="E51" s="222">
        <f>'Field Log (41)'!$K$45</f>
        <v>0</v>
      </c>
      <c r="F51" s="222">
        <f>'Field Log (41)'!$K$46</f>
        <v>0</v>
      </c>
      <c r="G51" s="222">
        <f>'Field Log (41)'!$K$47</f>
        <v>0</v>
      </c>
      <c r="H51" s="222">
        <f>'Field Log (41)'!$K$48</f>
        <v>0</v>
      </c>
      <c r="I51" s="222">
        <f>'Field Log (41)'!$K$49</f>
        <v>0</v>
      </c>
      <c r="J51" s="222">
        <f>'Field Log (41)'!$K$50</f>
        <v>0</v>
      </c>
      <c r="K51" s="222">
        <f t="shared" si="9"/>
        <v>0</v>
      </c>
    </row>
    <row r="52" spans="1:11">
      <c r="A52" s="219">
        <v>42</v>
      </c>
      <c r="B52" s="224">
        <f>'Field Log (42)'!$K$1</f>
        <v>0</v>
      </c>
      <c r="C52" s="221">
        <f>'Field Log (42)'!$H$6</f>
        <v>0</v>
      </c>
      <c r="D52" s="388" t="s">
        <v>4230</v>
      </c>
      <c r="E52" s="222">
        <f>'Field Log (42)'!$K$45</f>
        <v>0</v>
      </c>
      <c r="F52" s="222">
        <f>'Field Log (42)'!$K$46</f>
        <v>0</v>
      </c>
      <c r="G52" s="222">
        <f>'Field Log (42)'!$K$47</f>
        <v>0</v>
      </c>
      <c r="H52" s="222">
        <f>'Field Log (42)'!$K$48</f>
        <v>0</v>
      </c>
      <c r="I52" s="222">
        <f>'Field Log (42)'!$K$49</f>
        <v>0</v>
      </c>
      <c r="J52" s="222">
        <f>'Field Log (42)'!$K$50</f>
        <v>0</v>
      </c>
      <c r="K52" s="222">
        <f t="shared" si="9"/>
        <v>0</v>
      </c>
    </row>
    <row r="53" spans="1:11">
      <c r="A53" s="219">
        <v>43</v>
      </c>
      <c r="B53" s="224">
        <f>'Field Log (43)'!$K$1</f>
        <v>0</v>
      </c>
      <c r="C53" s="221">
        <f>'Field Log (43)'!$H$6</f>
        <v>0</v>
      </c>
      <c r="D53" s="388" t="s">
        <v>4230</v>
      </c>
      <c r="E53" s="222">
        <f>'Field Log (43)'!$K$45</f>
        <v>0</v>
      </c>
      <c r="F53" s="222">
        <f>'Field Log (43)'!$K$46</f>
        <v>0</v>
      </c>
      <c r="G53" s="222">
        <f>'Field Log (43)'!$K$47</f>
        <v>0</v>
      </c>
      <c r="H53" s="222">
        <f>'Field Log (43)'!$K$48</f>
        <v>0</v>
      </c>
      <c r="I53" s="222">
        <f>'Field Log (43)'!$K$49</f>
        <v>0</v>
      </c>
      <c r="J53" s="222">
        <f>'Field Log (43)'!$K$50</f>
        <v>0</v>
      </c>
      <c r="K53" s="222">
        <f t="shared" si="9"/>
        <v>0</v>
      </c>
    </row>
    <row r="54" spans="1:11">
      <c r="A54" s="219">
        <v>44</v>
      </c>
      <c r="B54" s="224">
        <f>'Field Log (44)'!$K$1</f>
        <v>0</v>
      </c>
      <c r="C54" s="221">
        <f>'Field Log (44)'!$H$6</f>
        <v>0</v>
      </c>
      <c r="D54" s="388" t="s">
        <v>4230</v>
      </c>
      <c r="E54" s="222">
        <f>'Field Log (44)'!$K$45</f>
        <v>0</v>
      </c>
      <c r="F54" s="222">
        <f>'Field Log (44)'!$K$46</f>
        <v>0</v>
      </c>
      <c r="G54" s="222">
        <f>'Field Log (44)'!$K$47</f>
        <v>0</v>
      </c>
      <c r="H54" s="222">
        <f>'Field Log (44)'!$K$48</f>
        <v>0</v>
      </c>
      <c r="I54" s="222">
        <f>'Field Log (44)'!$K$49</f>
        <v>0</v>
      </c>
      <c r="J54" s="222">
        <f>'Field Log (44)'!$K$50</f>
        <v>0</v>
      </c>
      <c r="K54" s="222">
        <f t="shared" si="9"/>
        <v>0</v>
      </c>
    </row>
    <row r="55" spans="1:11">
      <c r="A55" s="219">
        <v>45</v>
      </c>
      <c r="B55" s="224">
        <f>'Field Log (45)'!$K$1</f>
        <v>0</v>
      </c>
      <c r="C55" s="221">
        <f>'Field Log (45)'!$H$6</f>
        <v>0</v>
      </c>
      <c r="D55" s="388" t="s">
        <v>4230</v>
      </c>
      <c r="E55" s="222">
        <f>'Field Log (45)'!$K$45</f>
        <v>0</v>
      </c>
      <c r="F55" s="222">
        <f>'Field Log (45)'!$K$46</f>
        <v>0</v>
      </c>
      <c r="G55" s="222">
        <f>'Field Log (45)'!$K$47</f>
        <v>0</v>
      </c>
      <c r="H55" s="222">
        <f>'Field Log (45)'!$K$48</f>
        <v>0</v>
      </c>
      <c r="I55" s="222">
        <f>'Field Log (45)'!$K$49</f>
        <v>0</v>
      </c>
      <c r="J55" s="222">
        <f>'Field Log (45)'!$K$50</f>
        <v>0</v>
      </c>
      <c r="K55" s="222">
        <f t="shared" si="9"/>
        <v>0</v>
      </c>
    </row>
    <row r="56" spans="1:11">
      <c r="A56" s="219">
        <v>46</v>
      </c>
      <c r="B56" s="224">
        <f>'Field Log (46)'!$K$1</f>
        <v>0</v>
      </c>
      <c r="C56" s="221">
        <f>'Field Log (46)'!$H$6</f>
        <v>0</v>
      </c>
      <c r="D56" s="388" t="s">
        <v>4230</v>
      </c>
      <c r="E56" s="222">
        <f>'Field Log (46)'!$K$52</f>
        <v>0</v>
      </c>
      <c r="F56" s="222">
        <f>'Field Log (46)'!$K$53</f>
        <v>0</v>
      </c>
      <c r="G56" s="222">
        <f>'Field Log (46)'!$K$54</f>
        <v>0</v>
      </c>
      <c r="H56" s="222">
        <f>'Field Log (46)'!$K$55</f>
        <v>0</v>
      </c>
      <c r="I56" s="222">
        <f>'Field Log (46)'!$K$56</f>
        <v>0</v>
      </c>
      <c r="J56" s="222">
        <f>'Field Log (46)'!$K$57</f>
        <v>0</v>
      </c>
      <c r="K56" s="222">
        <f t="shared" si="9"/>
        <v>0</v>
      </c>
    </row>
    <row r="57" spans="1:11">
      <c r="A57" s="219">
        <v>47</v>
      </c>
      <c r="B57" s="224">
        <f>'Field Log (47)'!$K$1</f>
        <v>0</v>
      </c>
      <c r="C57" s="221">
        <f>'Field Log (47)'!$H$6</f>
        <v>0</v>
      </c>
      <c r="D57" s="388" t="s">
        <v>4230</v>
      </c>
      <c r="E57" s="222">
        <f>'Field Log (47)'!$K$52</f>
        <v>0</v>
      </c>
      <c r="F57" s="222">
        <f>'Field Log (47)'!$K$53</f>
        <v>0</v>
      </c>
      <c r="G57" s="222">
        <f>'Field Log (47)'!$K$54</f>
        <v>0</v>
      </c>
      <c r="H57" s="222">
        <f>'Field Log (47)'!$K$55</f>
        <v>0</v>
      </c>
      <c r="I57" s="222">
        <f>'Field Log (47)'!$K$56</f>
        <v>0</v>
      </c>
      <c r="J57" s="222">
        <f>'Field Log (47)'!$K$57</f>
        <v>0</v>
      </c>
      <c r="K57" s="222">
        <f t="shared" si="9"/>
        <v>0</v>
      </c>
    </row>
    <row r="58" spans="1:11">
      <c r="A58" s="219">
        <v>48</v>
      </c>
      <c r="B58" s="224">
        <f>'Field Log (48)'!$K$1</f>
        <v>0</v>
      </c>
      <c r="C58" s="221">
        <f>'Field Log (48)'!$H$6</f>
        <v>0</v>
      </c>
      <c r="D58" s="388" t="s">
        <v>4230</v>
      </c>
      <c r="E58" s="222">
        <f>'Field Log (48)'!$K$52</f>
        <v>0</v>
      </c>
      <c r="F58" s="222">
        <f>'Field Log (48)'!$K$53</f>
        <v>0</v>
      </c>
      <c r="G58" s="222">
        <f>'Field Log (48)'!$K$54</f>
        <v>0</v>
      </c>
      <c r="H58" s="222">
        <f>'Field Log (48)'!$K$55</f>
        <v>0</v>
      </c>
      <c r="I58" s="222">
        <f>'Field Log (48)'!$K$56</f>
        <v>0</v>
      </c>
      <c r="J58" s="222">
        <f>'Field Log (48)'!$K$57</f>
        <v>0</v>
      </c>
      <c r="K58" s="222">
        <f t="shared" si="9"/>
        <v>0</v>
      </c>
    </row>
    <row r="59" spans="1:11">
      <c r="A59" s="219">
        <v>49</v>
      </c>
      <c r="B59" s="224">
        <f>'Field Log (49)'!$K$1</f>
        <v>0</v>
      </c>
      <c r="C59" s="221">
        <f>'Field Log (49)'!$H$6</f>
        <v>0</v>
      </c>
      <c r="D59" s="388" t="s">
        <v>4230</v>
      </c>
      <c r="E59" s="222">
        <f>'Field Log (49)'!$K$52</f>
        <v>0</v>
      </c>
      <c r="F59" s="222">
        <f>'Field Log (49)'!$K$53</f>
        <v>0</v>
      </c>
      <c r="G59" s="222">
        <f>'Field Log (49)'!$K$54</f>
        <v>0</v>
      </c>
      <c r="H59" s="222">
        <f>'Field Log (49)'!$K$55</f>
        <v>0</v>
      </c>
      <c r="I59" s="222">
        <f>'Field Log (49)'!$K$56</f>
        <v>0</v>
      </c>
      <c r="J59" s="222">
        <f>'Field Log (49)'!$K$57</f>
        <v>0</v>
      </c>
      <c r="K59" s="222">
        <f t="shared" si="9"/>
        <v>0</v>
      </c>
    </row>
    <row r="60" spans="1:11">
      <c r="A60" s="219">
        <v>50</v>
      </c>
      <c r="B60" s="224">
        <f>'Field Log (50)'!$K$1</f>
        <v>0</v>
      </c>
      <c r="C60" s="221">
        <f>'Field Log (50)'!$H$6</f>
        <v>0</v>
      </c>
      <c r="D60" s="388" t="s">
        <v>4230</v>
      </c>
      <c r="E60" s="222">
        <f>'Field Log (50)'!$K$52</f>
        <v>0</v>
      </c>
      <c r="F60" s="222">
        <f>'Field Log (50)'!$K$53</f>
        <v>0</v>
      </c>
      <c r="G60" s="222">
        <f>'Field Log (50)'!$K$54</f>
        <v>0</v>
      </c>
      <c r="H60" s="222">
        <f>'Field Log (50)'!$K$55</f>
        <v>0</v>
      </c>
      <c r="I60" s="222">
        <f>'Field Log (50)'!$K$56</f>
        <v>0</v>
      </c>
      <c r="J60" s="222">
        <f>'Field Log (50)'!$K$57</f>
        <v>0</v>
      </c>
      <c r="K60" s="222">
        <f t="shared" si="9"/>
        <v>0</v>
      </c>
    </row>
  </sheetData>
  <sheetProtection insertRows="0" deleteRows="0"/>
  <phoneticPr fontId="50" type="noConversion"/>
  <pageMargins left="0.75000000000000011" right="0.75000000000000011"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J214"/>
  <sheetViews>
    <sheetView workbookViewId="0">
      <pane ySplit="1" topLeftCell="A2" activePane="bottomLeft" state="frozen"/>
      <selection pane="bottomLeft" activeCell="B3" sqref="B3:AJ207"/>
    </sheetView>
  </sheetViews>
  <sheetFormatPr baseColWidth="10" defaultColWidth="11.5" defaultRowHeight="15"/>
  <cols>
    <col min="1" max="1" width="1.33203125" customWidth="1"/>
    <col min="2" max="6" width="12.83203125" style="218" customWidth="1"/>
    <col min="7" max="7" width="16.33203125" style="218" customWidth="1"/>
    <col min="8" max="16" width="12.83203125" style="218" customWidth="1"/>
    <col min="17" max="31" width="12.83203125" customWidth="1"/>
    <col min="36" max="36" width="15.6640625" bestFit="1" customWidth="1"/>
  </cols>
  <sheetData>
    <row r="1" spans="1:36">
      <c r="B1" s="186" t="s">
        <v>1785</v>
      </c>
      <c r="C1"/>
      <c r="D1"/>
      <c r="E1"/>
      <c r="F1"/>
      <c r="G1"/>
      <c r="H1"/>
      <c r="I1"/>
      <c r="J1"/>
      <c r="K1"/>
      <c r="L1"/>
      <c r="M1"/>
      <c r="N1"/>
      <c r="O1"/>
      <c r="P1"/>
    </row>
    <row r="2" spans="1:36" s="186" customFormat="1" ht="16">
      <c r="A2" s="227"/>
      <c r="B2" s="233" t="s">
        <v>1275</v>
      </c>
      <c r="C2" s="233" t="s">
        <v>1276</v>
      </c>
      <c r="D2" s="233" t="s">
        <v>1279</v>
      </c>
      <c r="E2" s="233" t="s">
        <v>1277</v>
      </c>
      <c r="F2" s="233" t="s">
        <v>1283</v>
      </c>
      <c r="G2" s="233" t="s">
        <v>1278</v>
      </c>
      <c r="H2" s="233" t="s">
        <v>1280</v>
      </c>
      <c r="I2" s="233" t="s">
        <v>1284</v>
      </c>
      <c r="J2" s="233" t="s">
        <v>1281</v>
      </c>
      <c r="K2" s="233" t="s">
        <v>1289</v>
      </c>
      <c r="L2" s="233" t="s">
        <v>1282</v>
      </c>
      <c r="M2" s="233" t="s">
        <v>1288</v>
      </c>
      <c r="N2" s="233" t="s">
        <v>1285</v>
      </c>
      <c r="O2" s="233" t="s">
        <v>1286</v>
      </c>
      <c r="P2" s="233" t="s">
        <v>1287</v>
      </c>
      <c r="Q2" s="233" t="s">
        <v>1611</v>
      </c>
      <c r="R2" s="233" t="s">
        <v>1612</v>
      </c>
      <c r="S2" s="233" t="s">
        <v>1613</v>
      </c>
      <c r="T2" s="233" t="s">
        <v>1614</v>
      </c>
      <c r="U2" s="233" t="s">
        <v>1615</v>
      </c>
      <c r="V2" s="233" t="s">
        <v>1763</v>
      </c>
      <c r="W2" s="233" t="s">
        <v>1776</v>
      </c>
      <c r="X2" s="233" t="s">
        <v>1777</v>
      </c>
      <c r="Y2" s="233" t="s">
        <v>1778</v>
      </c>
      <c r="Z2" s="233" t="s">
        <v>1779</v>
      </c>
      <c r="AA2" s="233" t="s">
        <v>1780</v>
      </c>
      <c r="AB2" s="233" t="s">
        <v>1781</v>
      </c>
      <c r="AC2" s="233" t="s">
        <v>1782</v>
      </c>
      <c r="AD2" s="233" t="s">
        <v>1783</v>
      </c>
      <c r="AE2" s="233" t="s">
        <v>1784</v>
      </c>
      <c r="AF2" s="233" t="s">
        <v>3226</v>
      </c>
      <c r="AG2" s="233" t="s">
        <v>3227</v>
      </c>
      <c r="AH2" s="233" t="s">
        <v>3228</v>
      </c>
      <c r="AI2" s="233" t="s">
        <v>3229</v>
      </c>
      <c r="AJ2" s="233" t="s">
        <v>3230</v>
      </c>
    </row>
    <row r="3" spans="1:36">
      <c r="B3" s="232">
        <f>'Field Log (1)'!C11</f>
        <v>0</v>
      </c>
      <c r="C3" s="232">
        <f>'Field Log (2)'!C11</f>
        <v>0</v>
      </c>
      <c r="D3" s="232">
        <f>'Field Log (3)'!C11</f>
        <v>0</v>
      </c>
      <c r="E3" s="232">
        <f>'Field Log (4)'!C11</f>
        <v>0</v>
      </c>
      <c r="F3" s="232">
        <f>'Field Log (5)'!C11</f>
        <v>0</v>
      </c>
      <c r="G3" s="232">
        <f>'Field Log (6)'!C11</f>
        <v>0</v>
      </c>
      <c r="H3" s="232">
        <f>'Field Log (7)'!C11</f>
        <v>0</v>
      </c>
      <c r="I3" s="232">
        <f>'Field Log (8)'!C11</f>
        <v>0</v>
      </c>
      <c r="J3" s="232">
        <f>'Field Log (9)'!C11</f>
        <v>0</v>
      </c>
      <c r="K3" s="232">
        <f>'Field Log (10)'!C11</f>
        <v>0</v>
      </c>
      <c r="L3" s="232">
        <f>'Field Log (11)'!C11</f>
        <v>0</v>
      </c>
      <c r="M3" s="232">
        <f>'Field Log (12)'!C11</f>
        <v>0</v>
      </c>
      <c r="N3" s="232">
        <f>'Field Log (13)'!C11</f>
        <v>0</v>
      </c>
      <c r="O3" s="232">
        <f>'Field Log (14)'!C11</f>
        <v>0</v>
      </c>
      <c r="P3" s="232">
        <f>'Field Log (15)'!$C11</f>
        <v>0</v>
      </c>
      <c r="Q3" s="232">
        <f>'Field Log (16)'!$C11</f>
        <v>0</v>
      </c>
      <c r="R3" s="232">
        <f>'Field Log (17)'!$C11</f>
        <v>0</v>
      </c>
      <c r="S3" s="232">
        <f>'Field Log (18)'!$C11</f>
        <v>0</v>
      </c>
      <c r="T3" s="232">
        <f>'Field Log (19)'!$C11</f>
        <v>0</v>
      </c>
      <c r="U3" s="232">
        <f>'Field Log (20)'!$C11</f>
        <v>0</v>
      </c>
      <c r="V3" s="232">
        <f>'Field Log (21)'!$C11</f>
        <v>0</v>
      </c>
      <c r="W3" s="232">
        <f>'Field Log (22)'!$C11</f>
        <v>0</v>
      </c>
      <c r="X3" s="232">
        <f>'Field Log (23)'!$C11</f>
        <v>0</v>
      </c>
      <c r="Y3" s="232">
        <f>'Field Log (24)'!$C11</f>
        <v>0</v>
      </c>
      <c r="Z3" s="232">
        <f>'Field Log (25)'!$C11</f>
        <v>0</v>
      </c>
      <c r="AA3" s="232">
        <f>'Field Log (26)'!$C11</f>
        <v>0</v>
      </c>
      <c r="AB3" s="232">
        <f>'Field Log (27)'!$C11</f>
        <v>0</v>
      </c>
      <c r="AC3" s="232">
        <f>'Field Log (28)'!$C11</f>
        <v>0</v>
      </c>
      <c r="AD3" s="232">
        <f>'Field Log (29)'!$C11</f>
        <v>0</v>
      </c>
      <c r="AE3" s="232">
        <f>'Field Log (30)'!$C11</f>
        <v>0</v>
      </c>
      <c r="AF3" s="232">
        <f>'Field Log (31)'!$C11</f>
        <v>0</v>
      </c>
      <c r="AG3" s="232">
        <f>'Field Log (32)'!$C11</f>
        <v>0</v>
      </c>
      <c r="AH3" s="232">
        <f>'Field Log (33)'!$C11</f>
        <v>0</v>
      </c>
      <c r="AI3" s="232">
        <f>'Field Log (34)'!$C11</f>
        <v>0</v>
      </c>
      <c r="AJ3" s="232">
        <f>'Field Log (35)'!$C11</f>
        <v>0</v>
      </c>
    </row>
    <row r="4" spans="1:36">
      <c r="B4" s="232" t="str">
        <f>'Field Log (1)'!C12</f>
        <v>Hankewich, Allen</v>
      </c>
      <c r="C4" s="232" t="str">
        <f>'Field Log (2)'!C12</f>
        <v>Lavallee, Brent</v>
      </c>
      <c r="D4" s="232" t="str">
        <f>'Field Log (3)'!C12</f>
        <v>Cameron, Alex</v>
      </c>
      <c r="E4" s="232" t="str">
        <f>'Field Log (4)'!C12</f>
        <v>Untinen, Brian</v>
      </c>
      <c r="F4" s="232" t="str">
        <f>'Field Log (5)'!C12</f>
        <v>Cassidy, Andrew</v>
      </c>
      <c r="G4" s="232" t="str">
        <f>'Field Log (6)'!C12</f>
        <v>Kreke, Blair</v>
      </c>
      <c r="H4" s="232" t="str">
        <f>'Field Log (7)'!C12</f>
        <v>Paquette, Brian</v>
      </c>
      <c r="I4" s="232" t="str">
        <f>'Field Log (8)'!C12</f>
        <v>Mursal, Abdi</v>
      </c>
      <c r="J4" s="232" t="str">
        <f>'Field Log (9)'!C12</f>
        <v>Flaman, Dallas</v>
      </c>
      <c r="K4" s="232" t="str">
        <f>'Field Log (10)'!C12</f>
        <v>Lush, Chuck</v>
      </c>
      <c r="L4" s="232" t="str">
        <f>'Field Log (11)'!C12</f>
        <v>Andrews, Brian</v>
      </c>
      <c r="M4" s="232" t="str">
        <f>'Field Log (12)'!C12</f>
        <v>Staub, Alan</v>
      </c>
      <c r="N4" s="232">
        <f>'Field Log (13)'!C12</f>
        <v>0</v>
      </c>
      <c r="O4" s="232" t="str">
        <f>'Field Log (14)'!C12</f>
        <v>Ochocki, Andrew</v>
      </c>
      <c r="P4" s="232" t="str">
        <f>'Field Log (15)'!$C12</f>
        <v>Ebrahimi, Arash</v>
      </c>
      <c r="Q4" s="232" t="str">
        <f>'Field Log (16)'!$C12</f>
        <v>ARR, Ali</v>
      </c>
      <c r="R4" s="232" t="str">
        <f>'Field Log (17)'!$C12</f>
        <v>Shaw, Anthony</v>
      </c>
      <c r="S4" s="232" t="str">
        <f>'Field Log (18)'!$C12</f>
        <v>MacDonald, Bernard</v>
      </c>
      <c r="T4" s="232" t="str">
        <f>'Field Log (19)'!$C12</f>
        <v>Penner, Geraldine</v>
      </c>
      <c r="U4" s="232" t="str">
        <f>'Field Log (20)'!$C12</f>
        <v>Isaac, Allan</v>
      </c>
      <c r="V4" s="232" t="str">
        <f>'Field Log (21)'!$C12</f>
        <v>Hyslop, Barry</v>
      </c>
      <c r="W4" s="232">
        <f>'Field Log (22)'!$C12</f>
        <v>0</v>
      </c>
      <c r="X4" s="232" t="str">
        <f>'Field Log (23)'!$C12</f>
        <v>Deagle, Aaron</v>
      </c>
      <c r="Y4" s="232" t="str">
        <f>'Field Log (24)'!$C12</f>
        <v>Meunier, Aaron</v>
      </c>
      <c r="Z4" s="232" t="str">
        <f>'Field Log (25)'!$C12</f>
        <v>Ellis, Christopher</v>
      </c>
      <c r="AA4" s="232" t="str">
        <f>'Field Log (26)'!$C12</f>
        <v>Cousineau, Andre</v>
      </c>
      <c r="AB4" s="232" t="str">
        <f>'Field Log (27)'!$C12</f>
        <v>Cote, Allan</v>
      </c>
      <c r="AC4" s="232" t="str">
        <f>'Field Log (28)'!$C12</f>
        <v>Swanson, Arvid</v>
      </c>
      <c r="AD4" s="232" t="str">
        <f>'Field Log (29)'!$C12</f>
        <v>Danells, Brian</v>
      </c>
      <c r="AE4" s="232" t="str">
        <f>'Field Log (30)'!$C12</f>
        <v>Todd, Bob</v>
      </c>
      <c r="AF4" s="232" t="str">
        <f>'Field Log (31)'!$C12</f>
        <v>McQuaker, Andrew</v>
      </c>
      <c r="AG4" s="232">
        <f>'Field Log (32)'!$C12</f>
        <v>0</v>
      </c>
      <c r="AH4" s="232" t="str">
        <f>'Field Log (33)'!$C12</f>
        <v>McLean, Brett</v>
      </c>
      <c r="AI4" s="232">
        <f>'Field Log (34)'!$C12</f>
        <v>0</v>
      </c>
      <c r="AJ4" s="232" t="str">
        <f>'Field Log (35)'!$C12</f>
        <v>Panko, Al</v>
      </c>
    </row>
    <row r="5" spans="1:36">
      <c r="B5" s="232" t="str">
        <f>'Field Log (1)'!C13</f>
        <v>Slack, Clayton</v>
      </c>
      <c r="C5" s="232" t="str">
        <f>'Field Log (2)'!C13</f>
        <v>Chern, Brett</v>
      </c>
      <c r="D5" s="232" t="str">
        <f>'Field Log (3)'!C13</f>
        <v>Jones, Goldwyn</v>
      </c>
      <c r="E5" s="232" t="str">
        <f>'Field Log (4)'!C13</f>
        <v>Skori, Guy</v>
      </c>
      <c r="F5" s="232" t="str">
        <f>'Field Log (5)'!C13</f>
        <v>Komoroski, Andrew</v>
      </c>
      <c r="G5" s="232" t="str">
        <f>'Field Log (6)'!C13</f>
        <v>Hawley, David</v>
      </c>
      <c r="H5" s="232" t="str">
        <f>'Field Log (7)'!C13</f>
        <v>Burns, Cameron</v>
      </c>
      <c r="I5" s="232" t="str">
        <f>'Field Log (8)'!C13</f>
        <v>Erskine, Bill</v>
      </c>
      <c r="J5" s="232" t="str">
        <f>'Field Log (9)'!C13</f>
        <v>McKie, Doug</v>
      </c>
      <c r="K5" s="232" t="str">
        <f>'Field Log (10)'!C13</f>
        <v>Dionne, Daniel</v>
      </c>
      <c r="L5" s="232" t="str">
        <f>'Field Log (11)'!C13</f>
        <v>Greco, Daniele</v>
      </c>
      <c r="M5" s="232" t="str">
        <f>'Field Log (12)'!C13</f>
        <v>Burton, Doug</v>
      </c>
      <c r="N5" s="232">
        <f>'Field Log (13)'!C13</f>
        <v>0</v>
      </c>
      <c r="O5" s="232" t="str">
        <f>'Field Log (14)'!C13</f>
        <v>McLean, Bradley</v>
      </c>
      <c r="P5" s="232" t="str">
        <f>'Field Log (15)'!$C13</f>
        <v>Cheek, Blaine</v>
      </c>
      <c r="Q5" s="232" t="str">
        <f>'Field Log (16)'!$C13</f>
        <v>Hannah, Aaron</v>
      </c>
      <c r="R5" s="232" t="str">
        <f>'Field Log (17)'!$C13</f>
        <v>Day, Chad</v>
      </c>
      <c r="S5" s="232" t="str">
        <f>'Field Log (18)'!$C13</f>
        <v>Whitworth, Brad</v>
      </c>
      <c r="T5" s="232" t="str">
        <f>'Field Log (19)'!$C13</f>
        <v>Jackson, Herbert</v>
      </c>
      <c r="U5" s="232" t="str">
        <f>'Field Log (20)'!$C13</f>
        <v>Van Wallegham, Allan</v>
      </c>
      <c r="V5" s="232" t="str">
        <f>'Field Log (21)'!$C13</f>
        <v>Ouellet, Benoit</v>
      </c>
      <c r="W5" s="232">
        <f>'Field Log (22)'!$C13</f>
        <v>0</v>
      </c>
      <c r="X5" s="232" t="str">
        <f>'Field Log (23)'!$C13</f>
        <v>Pegg, Aaron</v>
      </c>
      <c r="Y5" s="232" t="str">
        <f>'Field Log (24)'!$C13</f>
        <v>Thiel, Andre</v>
      </c>
      <c r="Z5" s="232" t="str">
        <f>'Field Log (25)'!$C13</f>
        <v>Joseph, Joey</v>
      </c>
      <c r="AA5" s="232" t="str">
        <f>'Field Log (26)'!$C13</f>
        <v>Gagne, Antonio</v>
      </c>
      <c r="AB5" s="232" t="str">
        <f>'Field Log (27)'!$C13</f>
        <v>Spencer McLay, Angus</v>
      </c>
      <c r="AC5" s="232" t="str">
        <f>'Field Log (28)'!$C13</f>
        <v>Izzo, Beniamino</v>
      </c>
      <c r="AD5" s="232" t="str">
        <f>'Field Log (29)'!$C13</f>
        <v>Laschuk, John</v>
      </c>
      <c r="AE5" s="232" t="str">
        <f>'Field Log (30)'!$C13</f>
        <v>Anderson, Carl</v>
      </c>
      <c r="AF5" s="232" t="str">
        <f>'Field Log (31)'!$C13</f>
        <v>Robert, Aurel</v>
      </c>
      <c r="AG5" s="232">
        <f>'Field Log (32)'!$C13</f>
        <v>0</v>
      </c>
      <c r="AH5" s="232" t="str">
        <f>'Field Log (33)'!$C13</f>
        <v>Anderson, Chris</v>
      </c>
      <c r="AI5" s="232">
        <f>'Field Log (34)'!$C13</f>
        <v>0</v>
      </c>
      <c r="AJ5" s="232" t="str">
        <f>'Field Log (35)'!$C13</f>
        <v>Cardinal, Ernest</v>
      </c>
    </row>
    <row r="6" spans="1:36">
      <c r="B6" s="232" t="str">
        <f>'Field Log (1)'!C14</f>
        <v>Jamison, Cody</v>
      </c>
      <c r="C6" s="232" t="str">
        <f>'Field Log (2)'!C14</f>
        <v>Uhrich, Brett</v>
      </c>
      <c r="D6" s="232" t="str">
        <f>'Field Log (3)'!C14</f>
        <v>Lamb, James</v>
      </c>
      <c r="E6" s="232" t="str">
        <f>'Field Log (4)'!C14</f>
        <v>Martin, James</v>
      </c>
      <c r="F6" s="232" t="str">
        <f>'Field Log (5)'!C14</f>
        <v>Merko, Andrew</v>
      </c>
      <c r="G6" s="232" t="str">
        <f>'Field Log (6)'!C14</f>
        <v>Stoyko, Heidi</v>
      </c>
      <c r="H6" s="232" t="str">
        <f>'Field Log (7)'!C14</f>
        <v>Roby, John</v>
      </c>
      <c r="I6" s="232" t="str">
        <f>'Field Log (8)'!C14</f>
        <v>Baran, Chuck</v>
      </c>
      <c r="J6" s="232" t="str">
        <f>'Field Log (9)'!C14</f>
        <v>Mianucci, Giuseppe</v>
      </c>
      <c r="K6" s="232" t="str">
        <f>'Field Log (10)'!C14</f>
        <v>Connolly, Denny</v>
      </c>
      <c r="L6" s="232" t="str">
        <f>'Field Log (11)'!C14</f>
        <v>Cantwell, Jack</v>
      </c>
      <c r="M6" s="232" t="str">
        <f>'Field Log (12)'!C14</f>
        <v>Traub, Gary</v>
      </c>
      <c r="N6" s="232">
        <f>'Field Log (13)'!C14</f>
        <v>0</v>
      </c>
      <c r="O6" s="232" t="str">
        <f>'Field Log (14)'!C14</f>
        <v>Ried, Denver</v>
      </c>
      <c r="P6" s="232" t="str">
        <f>'Field Log (15)'!$C14</f>
        <v>Restau, Brad</v>
      </c>
      <c r="Q6" s="232" t="str">
        <f>'Field Log (16)'!$C14</f>
        <v>Simms, Aaron</v>
      </c>
      <c r="R6" s="232" t="str">
        <f>'Field Log (17)'!$C14</f>
        <v>Griffin, Clay</v>
      </c>
      <c r="S6" s="232" t="str">
        <f>'Field Log (18)'!$C14</f>
        <v>Sharpe. Bryan</v>
      </c>
      <c r="T6" s="232" t="str">
        <f>'Field Log (19)'!$C14</f>
        <v>Dendura, Jake</v>
      </c>
      <c r="U6" s="232" t="str">
        <f>'Field Log (20)'!$C14</f>
        <v>Tolley, Julie</v>
      </c>
      <c r="V6" s="232" t="str">
        <f>'Field Log (21)'!$C14</f>
        <v>Payne, Carl</v>
      </c>
      <c r="W6" s="232">
        <f>'Field Log (22)'!$C14</f>
        <v>0</v>
      </c>
      <c r="X6" s="232" t="str">
        <f>'Field Log (23)'!$C14</f>
        <v>Vautour, Andrew</v>
      </c>
      <c r="Y6" s="232" t="str">
        <f>'Field Log (24)'!$C14</f>
        <v>Flath, Darren</v>
      </c>
      <c r="Z6" s="232">
        <f>'Field Log (25)'!$C14</f>
        <v>0</v>
      </c>
      <c r="AA6" s="232" t="str">
        <f>'Field Log (26)'!$C14</f>
        <v>Jackson, Arnold</v>
      </c>
      <c r="AB6" s="232" t="str">
        <f>'Field Log (27)'!$C14</f>
        <v>Schmalz, Ashley</v>
      </c>
      <c r="AC6" s="232" t="str">
        <f>'Field Log (28)'!$C14</f>
        <v>Curry, Brent</v>
      </c>
      <c r="AD6" s="232" t="str">
        <f>'Field Log (29)'!$C14</f>
        <v>MacDonal, John</v>
      </c>
      <c r="AE6" s="232" t="str">
        <f>'Field Log (30)'!$C14</f>
        <v>Wanner, Chelsea</v>
      </c>
      <c r="AF6" s="232" t="str">
        <f>'Field Log (31)'!$C14</f>
        <v>Hill, Bernard</v>
      </c>
      <c r="AG6" s="232">
        <f>'Field Log (32)'!$C14</f>
        <v>0</v>
      </c>
      <c r="AH6" s="232" t="str">
        <f>'Field Log (33)'!$C14</f>
        <v>Marchuk, Chris</v>
      </c>
      <c r="AI6" s="232">
        <f>'Field Log (34)'!$C14</f>
        <v>0</v>
      </c>
      <c r="AJ6" s="232" t="str">
        <f>'Field Log (35)'!$C14</f>
        <v>Seaby, Gordon</v>
      </c>
    </row>
    <row r="7" spans="1:36">
      <c r="B7" s="232" t="str">
        <f>'Field Log (1)'!C15</f>
        <v>McKie, Cody</v>
      </c>
      <c r="C7" s="232" t="str">
        <f>'Field Log (2)'!C15</f>
        <v>Griffin, Casey</v>
      </c>
      <c r="D7" s="232" t="str">
        <f>'Field Log (3)'!C15</f>
        <v>Ireland, Penny</v>
      </c>
      <c r="E7" s="232" t="str">
        <f>'Field Log (4)'!C15</f>
        <v>Stefanov, Kamen</v>
      </c>
      <c r="F7" s="232" t="str">
        <f>'Field Log (5)'!C15</f>
        <v>Slyford, Blake</v>
      </c>
      <c r="G7" s="232" t="str">
        <f>'Field Log (6)'!C15</f>
        <v>Myers, Jason</v>
      </c>
      <c r="H7" s="232" t="str">
        <f>'Field Log (7)'!C15</f>
        <v>Kostyniuk, Michael</v>
      </c>
      <c r="I7" s="232" t="str">
        <f>'Field Log (8)'!C15</f>
        <v>Boyd, Corrine</v>
      </c>
      <c r="J7" s="232" t="str">
        <f>'Field Log (9)'!C15</f>
        <v>Kiryluik, Greg</v>
      </c>
      <c r="K7" s="232" t="str">
        <f>'Field Log (10)'!C15</f>
        <v>Haines, Derek</v>
      </c>
      <c r="L7" s="232" t="str">
        <f>'Field Log (11)'!C15</f>
        <v>Clancy, Jim</v>
      </c>
      <c r="M7" s="232" t="str">
        <f>'Field Log (12)'!C15</f>
        <v>Brazeau, Guy</v>
      </c>
      <c r="N7" s="232">
        <f>'Field Log (13)'!C15</f>
        <v>0</v>
      </c>
      <c r="O7" s="232" t="str">
        <f>'Field Log (14)'!C15</f>
        <v>Muxlow, Doug</v>
      </c>
      <c r="P7" s="232" t="str">
        <f>'Field Log (15)'!$C15</f>
        <v>Whitworth, Brett</v>
      </c>
      <c r="Q7" s="232" t="str">
        <f>'Field Log (16)'!$C15</f>
        <v>Hannah, Adam</v>
      </c>
      <c r="R7" s="232" t="str">
        <f>'Field Log (17)'!$C15</f>
        <v>Pickering, Clayton</v>
      </c>
      <c r="S7" s="232" t="str">
        <f>'Field Log (18)'!$C15</f>
        <v>Arias, Chris</v>
      </c>
      <c r="T7" s="232" t="str">
        <f>'Field Log (19)'!$C15</f>
        <v>Jenson, Jason</v>
      </c>
      <c r="U7" s="232" t="str">
        <f>'Field Log (20)'!$C15</f>
        <v>Denne, Michael</v>
      </c>
      <c r="V7" s="232" t="str">
        <f>'Field Log (21)'!$C15</f>
        <v>Nemec, Dave</v>
      </c>
      <c r="W7" s="232">
        <f>'Field Log (22)'!$C15</f>
        <v>0</v>
      </c>
      <c r="X7" s="232" t="str">
        <f>'Field Log (23)'!$C15</f>
        <v>Daffurn, Chad</v>
      </c>
      <c r="Y7" s="232" t="str">
        <f>'Field Log (24)'!$C15</f>
        <v>MacDonnell, Derek</v>
      </c>
      <c r="Z7" s="232">
        <f>'Field Log (25)'!$C15</f>
        <v>0</v>
      </c>
      <c r="AA7" s="232" t="str">
        <f>'Field Log (26)'!$C15</f>
        <v>Wiens, Chandin</v>
      </c>
      <c r="AB7" s="232" t="str">
        <f>'Field Log (27)'!$C15</f>
        <v>Osborne, Brian</v>
      </c>
      <c r="AC7" s="232" t="str">
        <f>'Field Log (28)'!$C15</f>
        <v>Santos, Carlos</v>
      </c>
      <c r="AD7" s="232" t="str">
        <f>'Field Log (29)'!$C15</f>
        <v>Langlois, Randy</v>
      </c>
      <c r="AE7" s="232" t="str">
        <f>'Field Log (30)'!$C15</f>
        <v>Ochocki, Ernie</v>
      </c>
      <c r="AF7" s="232" t="str">
        <f>'Field Log (31)'!$C15</f>
        <v>Gagne, Brad</v>
      </c>
      <c r="AG7" s="232" t="str">
        <f>'Field Log (32)'!$C15</f>
        <v>Chapman, Thomas</v>
      </c>
      <c r="AH7" s="232" t="str">
        <f>'Field Log (33)'!$C15</f>
        <v>Ryning, Clifford</v>
      </c>
      <c r="AI7" s="232">
        <f>'Field Log (34)'!$C15</f>
        <v>0</v>
      </c>
      <c r="AJ7" s="232" t="str">
        <f>'Field Log (35)'!$C15</f>
        <v>Rostek, John</v>
      </c>
    </row>
    <row r="8" spans="1:36">
      <c r="B8" s="232" t="str">
        <f>'Field Log (1)'!C16</f>
        <v>Hallihan, Daniel</v>
      </c>
      <c r="C8" s="232" t="str">
        <f>'Field Log (2)'!C16</f>
        <v>Gillard, Colin</v>
      </c>
      <c r="D8" s="232">
        <f>'Field Log (3)'!C16</f>
        <v>0</v>
      </c>
      <c r="E8" s="232" t="str">
        <f>'Field Log (4)'!C16</f>
        <v>Untinen, Kerry</v>
      </c>
      <c r="F8" s="232" t="str">
        <f>'Field Log (5)'!C16</f>
        <v>Osler, Chris</v>
      </c>
      <c r="G8" s="232" t="str">
        <f>'Field Log (6)'!C16</f>
        <v>Garinger, Kerri</v>
      </c>
      <c r="H8" s="232" t="str">
        <f>'Field Log (7)'!C16</f>
        <v>Quinn, Shaun</v>
      </c>
      <c r="I8" s="232" t="str">
        <f>'Field Log (8)'!C16</f>
        <v>Mashford, Curtis</v>
      </c>
      <c r="J8" s="232" t="str">
        <f>'Field Log (9)'!C16</f>
        <v>Galan, Greg</v>
      </c>
      <c r="K8" s="232" t="str">
        <f>'Field Log (10)'!C16</f>
        <v>Hunter, Johnathan</v>
      </c>
      <c r="L8" s="232" t="str">
        <f>'Field Log (11)'!C16</f>
        <v>Phillips, Joe</v>
      </c>
      <c r="M8" s="232" t="str">
        <f>'Field Log (12)'!C16</f>
        <v>Burton, Jamie</v>
      </c>
      <c r="N8" s="232">
        <f>'Field Log (13)'!C16</f>
        <v>0</v>
      </c>
      <c r="O8" s="232" t="str">
        <f>'Field Log (14)'!C16</f>
        <v>Quaghebeur, Glen</v>
      </c>
      <c r="P8" s="232" t="str">
        <f>'Field Log (15)'!$C16</f>
        <v>Madigan, Cornelius</v>
      </c>
      <c r="Q8" s="232" t="str">
        <f>'Field Log (16)'!$C16</f>
        <v>Hull, Adam</v>
      </c>
      <c r="R8" s="232" t="str">
        <f>'Field Log (17)'!$C16</f>
        <v>Arbour, Denis</v>
      </c>
      <c r="S8" s="232" t="str">
        <f>'Field Log (18)'!$C16</f>
        <v>Vader, Cody</v>
      </c>
      <c r="T8" s="232" t="str">
        <f>'Field Log (19)'!$C16</f>
        <v>Murphy, Malcolm</v>
      </c>
      <c r="U8" s="232">
        <f>'Field Log (20)'!$C16</f>
        <v>0</v>
      </c>
      <c r="V8" s="232" t="str">
        <f>'Field Log (21)'!$C16</f>
        <v>McGreish, Duncan</v>
      </c>
      <c r="W8" s="232">
        <f>'Field Log (22)'!$C16</f>
        <v>0</v>
      </c>
      <c r="X8" s="232" t="str">
        <f>'Field Log (23)'!$C16</f>
        <v>Price, Charles</v>
      </c>
      <c r="Y8" s="232" t="str">
        <f>'Field Log (24)'!$C16</f>
        <v>Tremblay, Dominique</v>
      </c>
      <c r="Z8" s="232">
        <f>'Field Log (25)'!$C16</f>
        <v>0</v>
      </c>
      <c r="AA8" s="232" t="str">
        <f>'Field Log (26)'!$C16</f>
        <v>Smith, Clark</v>
      </c>
      <c r="AB8" s="232" t="str">
        <f>'Field Log (27)'!$C16</f>
        <v>Sirois, Gratien</v>
      </c>
      <c r="AC8" s="232" t="str">
        <f>'Field Log (28)'!$C16</f>
        <v>Hankewich, Chad</v>
      </c>
      <c r="AD8" s="232" t="str">
        <f>'Field Log (29)'!$C16</f>
        <v>Laur, Robert</v>
      </c>
      <c r="AE8" s="232" t="str">
        <f>'Field Log (30)'!$C16</f>
        <v>MacDonald, Hector</v>
      </c>
      <c r="AF8" s="232" t="str">
        <f>'Field Log (31)'!$C16</f>
        <v>Pertteli, Chantelle</v>
      </c>
      <c r="AG8" s="232">
        <f>'Field Log (32)'!$C16</f>
        <v>0</v>
      </c>
      <c r="AH8" s="232" t="str">
        <f>'Field Log (33)'!$C16</f>
        <v>Morris, Donald</v>
      </c>
      <c r="AI8" s="232">
        <f>'Field Log (34)'!$C16</f>
        <v>0</v>
      </c>
      <c r="AJ8" s="232" t="str">
        <f>'Field Log (35)'!$C16</f>
        <v>Brindly, Kevin</v>
      </c>
    </row>
    <row r="9" spans="1:36">
      <c r="B9" s="232" t="str">
        <f>'Field Log (1)'!C17</f>
        <v>Chartrand, Darryl</v>
      </c>
      <c r="C9" s="232" t="str">
        <f>'Field Log (2)'!C17</f>
        <v>Hanson, Dustin</v>
      </c>
      <c r="D9" s="232">
        <f>'Field Log (3)'!C17</f>
        <v>0</v>
      </c>
      <c r="E9" s="232" t="str">
        <f>'Field Log (4)'!C17</f>
        <v>Deford, Mark</v>
      </c>
      <c r="F9" s="232" t="str">
        <f>'Field Log (5)'!C17</f>
        <v>Toenders, Cinth</v>
      </c>
      <c r="G9" s="232" t="str">
        <f>'Field Log (6)'!C17</f>
        <v>Richmond, Michelle</v>
      </c>
      <c r="H9" s="232">
        <f>'Field Log (7)'!C17</f>
        <v>0</v>
      </c>
      <c r="I9" s="232" t="str">
        <f>'Field Log (8)'!C17</f>
        <v>Stinson, Doug</v>
      </c>
      <c r="J9" s="232" t="str">
        <f>'Field Log (9)'!C17</f>
        <v xml:space="preserve">MacArthur, John </v>
      </c>
      <c r="K9" s="232" t="str">
        <f>'Field Log (10)'!C17</f>
        <v>Van Wallegham, Kelly</v>
      </c>
      <c r="L9" s="232" t="str">
        <f>'Field Log (11)'!C17</f>
        <v>Cote, Marco</v>
      </c>
      <c r="M9" s="232" t="str">
        <f>'Field Log (12)'!C17</f>
        <v>Paquette, Keinan</v>
      </c>
      <c r="N9" s="232">
        <f>'Field Log (13)'!C17</f>
        <v>0</v>
      </c>
      <c r="O9" s="232" t="str">
        <f>'Field Log (14)'!C17</f>
        <v>Quann, James</v>
      </c>
      <c r="P9" s="232" t="str">
        <f>'Field Log (15)'!$C17</f>
        <v>MacLean, Daniel</v>
      </c>
      <c r="Q9" s="232" t="str">
        <f>'Field Log (16)'!$C17</f>
        <v>Fraser, Aspen</v>
      </c>
      <c r="R9" s="232" t="str">
        <f>'Field Log (17)'!$C17</f>
        <v>Bourassa, Nathan</v>
      </c>
      <c r="S9" s="232" t="str">
        <f>'Field Log (18)'!$C17</f>
        <v>Warren, Cody</v>
      </c>
      <c r="T9" s="232" t="str">
        <f>'Field Log (19)'!$C17</f>
        <v>Malloy, Mike</v>
      </c>
      <c r="U9" s="232">
        <f>'Field Log (20)'!$C17</f>
        <v>0</v>
      </c>
      <c r="V9" s="232" t="str">
        <f>'Field Log (21)'!$C17</f>
        <v>Crossman, Edgar</v>
      </c>
      <c r="W9" s="232">
        <f>'Field Log (22)'!$C17</f>
        <v>0</v>
      </c>
      <c r="X9" s="232" t="str">
        <f>'Field Log (23)'!$C17</f>
        <v>LaBelle, Corey</v>
      </c>
      <c r="Y9" s="232" t="str">
        <f>'Field Log (24)'!$C17</f>
        <v>Starr, Donald</v>
      </c>
      <c r="Z9" s="232">
        <f>'Field Log (25)'!$C17</f>
        <v>0</v>
      </c>
      <c r="AA9" s="232" t="str">
        <f>'Field Log (26)'!$C17</f>
        <v>Carter, Clayton</v>
      </c>
      <c r="AB9" s="232" t="str">
        <f>'Field Log (27)'!$C17</f>
        <v>Issac, Jesse</v>
      </c>
      <c r="AC9" s="232" t="str">
        <f>'Field Log (28)'!$C17</f>
        <v>Henderson, George</v>
      </c>
      <c r="AD9" s="232">
        <f>'Field Log (29)'!$C17</f>
        <v>0</v>
      </c>
      <c r="AE9" s="232" t="str">
        <f>'Field Log (30)'!$C17</f>
        <v>Gauthier, Kandis</v>
      </c>
      <c r="AF9" s="232" t="str">
        <f>'Field Log (31)'!$C17</f>
        <v>Pideherny, Darryon</v>
      </c>
      <c r="AG9" s="232">
        <f>'Field Log (32)'!$C17</f>
        <v>0</v>
      </c>
      <c r="AH9" s="232" t="str">
        <f>'Field Log (33)'!$C17</f>
        <v>McKinnon, Mike</v>
      </c>
      <c r="AI9" s="232">
        <f>'Field Log (34)'!$C17</f>
        <v>0</v>
      </c>
      <c r="AJ9" s="232" t="str">
        <f>'Field Log (35)'!$C17</f>
        <v>Spencer, Kyle</v>
      </c>
    </row>
    <row r="10" spans="1:36">
      <c r="B10" s="232" t="str">
        <f>'Field Log (1)'!C18</f>
        <v>Pederson, Don</v>
      </c>
      <c r="C10" s="232" t="str">
        <f>'Field Log (2)'!C18</f>
        <v>Grignon, Henry</v>
      </c>
      <c r="D10" s="232">
        <f>'Field Log (3)'!C18</f>
        <v>0</v>
      </c>
      <c r="E10" s="232" t="str">
        <f>'Field Log (4)'!C18</f>
        <v>Schmalz, Myles</v>
      </c>
      <c r="F10" s="232" t="str">
        <f>'Field Log (5)'!C18</f>
        <v>Zorn, Elizabeth</v>
      </c>
      <c r="G10" s="232">
        <f>'Field Log (6)'!C18</f>
        <v>0</v>
      </c>
      <c r="H10" s="232">
        <f>'Field Log (7)'!C18</f>
        <v>0</v>
      </c>
      <c r="I10" s="232" t="str">
        <f>'Field Log (8)'!C18</f>
        <v>Baran, Jim</v>
      </c>
      <c r="J10" s="232" t="str">
        <f>'Field Log (9)'!C18</f>
        <v>Flaman, Larry</v>
      </c>
      <c r="K10" s="232" t="str">
        <f>'Field Log (10)'!C18</f>
        <v>Jacques, Lawrence</v>
      </c>
      <c r="L10" s="232" t="str">
        <f>'Field Log (11)'!C18</f>
        <v>Webber, Murray</v>
      </c>
      <c r="M10" s="232" t="str">
        <f>'Field Log (12)'!C18</f>
        <v>LeBlanc, Kenneth</v>
      </c>
      <c r="N10" s="232">
        <f>'Field Log (13)'!C18</f>
        <v>0</v>
      </c>
      <c r="O10" s="232" t="str">
        <f>'Field Log (14)'!C18</f>
        <v>Hebert, Jesse</v>
      </c>
      <c r="P10" s="232" t="str">
        <f>'Field Log (15)'!$C18</f>
        <v>MacLean, Dion</v>
      </c>
      <c r="Q10" s="232" t="str">
        <f>'Field Log (16)'!$C18</f>
        <v>Lajoie, Barry</v>
      </c>
      <c r="R10" s="232">
        <f>'Field Log (17)'!$C18</f>
        <v>0</v>
      </c>
      <c r="S10" s="232" t="str">
        <f>'Field Log (18)'!$C18</f>
        <v>Faryna, Dana</v>
      </c>
      <c r="T10" s="232" t="str">
        <f>'Field Log (19)'!$C18</f>
        <v>Shaw, Vernon</v>
      </c>
      <c r="U10" s="232">
        <f>'Field Log (20)'!$C18</f>
        <v>0</v>
      </c>
      <c r="V10" s="232" t="str">
        <f>'Field Log (21)'!$C18</f>
        <v>Shaiye, Isse</v>
      </c>
      <c r="W10" s="232">
        <f>'Field Log (22)'!$C18</f>
        <v>0</v>
      </c>
      <c r="X10" s="232" t="str">
        <f>'Field Log (23)'!$C18</f>
        <v>Babic, Dale</v>
      </c>
      <c r="Y10" s="232" t="str">
        <f>'Field Log (24)'!$C18</f>
        <v>MacPhail, Douglas</v>
      </c>
      <c r="Z10" s="232">
        <f>'Field Log (25)'!$C18</f>
        <v>0</v>
      </c>
      <c r="AA10" s="232" t="str">
        <f>'Field Log (26)'!$C18</f>
        <v>Leroy, Dan</v>
      </c>
      <c r="AB10" s="232" t="str">
        <f>'Field Log (27)'!$C18</f>
        <v>Dessureault, Jim</v>
      </c>
      <c r="AC10" s="232" t="str">
        <f>'Field Log (28)'!$C18</f>
        <v>Knoll, Glenn</v>
      </c>
      <c r="AD10" s="232">
        <f>'Field Log (29)'!$C18</f>
        <v>0</v>
      </c>
      <c r="AE10" s="232" t="str">
        <f>'Field Log (30)'!$C18</f>
        <v>Santos, Marco</v>
      </c>
      <c r="AF10" s="232" t="str">
        <f>'Field Log (31)'!$C18</f>
        <v>Pettifer, Donald</v>
      </c>
      <c r="AG10" s="232">
        <f>'Field Log (32)'!$C18</f>
        <v>0</v>
      </c>
      <c r="AH10" s="232" t="str">
        <f>'Field Log (33)'!$C18</f>
        <v>Mohamud, Mohamed</v>
      </c>
      <c r="AI10" s="232">
        <f>'Field Log (34)'!$C18</f>
        <v>0</v>
      </c>
      <c r="AJ10" s="232">
        <f>'Field Log (35)'!$C18</f>
        <v>0</v>
      </c>
    </row>
    <row r="11" spans="1:36">
      <c r="B11" s="232" t="str">
        <f>'Field Log (1)'!C19</f>
        <v>Babchischin, Gerald</v>
      </c>
      <c r="C11" s="232" t="str">
        <f>'Field Log (2)'!C19</f>
        <v>Cassel, Herbert</v>
      </c>
      <c r="D11" s="232">
        <f>'Field Log (3)'!C19</f>
        <v>0</v>
      </c>
      <c r="E11" s="232" t="str">
        <f>'Field Log (4)'!C19</f>
        <v>Untinen, Richard</v>
      </c>
      <c r="F11" s="232" t="str">
        <f>'Field Log (5)'!C19</f>
        <v>Nelson, Gary</v>
      </c>
      <c r="G11" s="232">
        <f>'Field Log (6)'!C19</f>
        <v>0</v>
      </c>
      <c r="H11" s="232">
        <f>'Field Log (7)'!C19</f>
        <v>0</v>
      </c>
      <c r="I11" s="232">
        <f>'Field Log (8)'!C19</f>
        <v>0</v>
      </c>
      <c r="J11" s="232" t="str">
        <f>'Field Log (9)'!C19</f>
        <v>Flaman, Sean</v>
      </c>
      <c r="K11" s="232" t="str">
        <f>'Field Log (10)'!C19</f>
        <v>Rogers, Mark</v>
      </c>
      <c r="L11" s="232" t="str">
        <f>'Field Log (11)'!C19</f>
        <v>Gosby, Robert</v>
      </c>
      <c r="M11" s="232" t="str">
        <f>'Field Log (12)'!C19</f>
        <v>Ritchie, Mark</v>
      </c>
      <c r="N11" s="232">
        <f>'Field Log (13)'!C19</f>
        <v>0</v>
      </c>
      <c r="O11" s="232" t="str">
        <f>'Field Log (14)'!C19</f>
        <v>Maltais, Jocelyn</v>
      </c>
      <c r="P11" s="232" t="str">
        <f>'Field Log (15)'!$C19</f>
        <v>Elmi, Feisal</v>
      </c>
      <c r="Q11" s="232" t="str">
        <f>'Field Log (16)'!$C19</f>
        <v>Jardine, Billy</v>
      </c>
      <c r="R11" s="232">
        <f>'Field Log (17)'!$C19</f>
        <v>0</v>
      </c>
      <c r="S11" s="232" t="str">
        <f>'Field Log (18)'!$C19</f>
        <v>Gardiner, Dana</v>
      </c>
      <c r="T11" s="232" t="str">
        <f>'Field Log (19)'!$C19</f>
        <v>Grant, William</v>
      </c>
      <c r="U11" s="232">
        <f>'Field Log (20)'!$C19</f>
        <v>0</v>
      </c>
      <c r="V11" s="232" t="str">
        <f>'Field Log (21)'!$C19</f>
        <v>Long, John</v>
      </c>
      <c r="W11" s="232">
        <f>'Field Log (22)'!$C19</f>
        <v>0</v>
      </c>
      <c r="X11" s="232" t="str">
        <f>'Field Log (23)'!$C19</f>
        <v>Hogan, Darnell</v>
      </c>
      <c r="Y11" s="232" t="str">
        <f>'Field Log (24)'!$C19</f>
        <v>Wolchyn, Dwayne</v>
      </c>
      <c r="Z11" s="232">
        <f>'Field Log (25)'!$C19</f>
        <v>0</v>
      </c>
      <c r="AA11" s="232" t="str">
        <f>'Field Log (26)'!$C19</f>
        <v>Frailick, Daniel</v>
      </c>
      <c r="AB11" s="232" t="str">
        <f>'Field Log (27)'!$C19</f>
        <v>Tedesco, John</v>
      </c>
      <c r="AC11" s="232" t="str">
        <f>'Field Log (28)'!$C19</f>
        <v>Urie, Glenn</v>
      </c>
      <c r="AD11" s="232">
        <f>'Field Log (29)'!$C19</f>
        <v>0</v>
      </c>
      <c r="AE11" s="232">
        <f>'Field Log (30)'!$C19</f>
        <v>0</v>
      </c>
      <c r="AF11" s="232" t="str">
        <f>'Field Log (31)'!$C19</f>
        <v>Husak, Gordon</v>
      </c>
      <c r="AG11" s="232">
        <f>'Field Log (32)'!$C19</f>
        <v>0</v>
      </c>
      <c r="AH11" s="232" t="str">
        <f>'Field Log (33)'!$C19</f>
        <v>Allaire, Philippe</v>
      </c>
      <c r="AI11" s="232">
        <f>'Field Log (34)'!$C19</f>
        <v>0</v>
      </c>
      <c r="AJ11" s="232">
        <f>'Field Log (35)'!$C19</f>
        <v>0</v>
      </c>
    </row>
    <row r="12" spans="1:36">
      <c r="B12" s="232" t="str">
        <f>'Field Log (1)'!C20</f>
        <v>Gravel, Gilles</v>
      </c>
      <c r="C12" s="232" t="str">
        <f>'Field Log (2)'!C20</f>
        <v>Fornal, Jay</v>
      </c>
      <c r="D12" s="232">
        <f>'Field Log (3)'!C20</f>
        <v>0</v>
      </c>
      <c r="E12" s="232" t="str">
        <f>'Field Log (4)'!C20</f>
        <v>Bach, Rodney</v>
      </c>
      <c r="F12" s="232" t="str">
        <f>'Field Log (5)'!C20</f>
        <v>Sanderson, Jennifer</v>
      </c>
      <c r="G12" s="232">
        <f>'Field Log (6)'!C20</f>
        <v>0</v>
      </c>
      <c r="H12" s="232">
        <f>'Field Log (7)'!C20</f>
        <v>0</v>
      </c>
      <c r="I12" s="232">
        <f>'Field Log (8)'!C20</f>
        <v>0</v>
      </c>
      <c r="J12" s="232" t="str">
        <f>'Field Log (9)'!C20</f>
        <v>Jones, Travis</v>
      </c>
      <c r="K12" s="232" t="str">
        <f>'Field Log (10)'!C20</f>
        <v>Piwtarak, Mike</v>
      </c>
      <c r="L12" s="232" t="str">
        <f>'Field Log (11)'!C20</f>
        <v>Sutton, Ron</v>
      </c>
      <c r="M12" s="232" t="str">
        <f>'Field Log (12)'!C20</f>
        <v>Paquette, Rick</v>
      </c>
      <c r="N12" s="232">
        <f>'Field Log (13)'!C20</f>
        <v>0</v>
      </c>
      <c r="O12" s="232" t="str">
        <f>'Field Log (14)'!C20</f>
        <v>Brazeau, John</v>
      </c>
      <c r="P12" s="232" t="str">
        <f>'Field Log (15)'!$C20</f>
        <v>Aradi, Ferenc</v>
      </c>
      <c r="Q12" s="232" t="str">
        <f>'Field Log (16)'!$C20</f>
        <v>Armstrong, Brad</v>
      </c>
      <c r="R12" s="232">
        <f>'Field Log (17)'!$C20</f>
        <v>0</v>
      </c>
      <c r="S12" s="232" t="str">
        <f>'Field Log (18)'!$C20</f>
        <v>Gawdunyk, Gary</v>
      </c>
      <c r="T12" s="232">
        <f>'Field Log (19)'!$C20</f>
        <v>0</v>
      </c>
      <c r="U12" s="232">
        <f>'Field Log (20)'!$C20</f>
        <v>0</v>
      </c>
      <c r="V12" s="232" t="str">
        <f>'Field Log (21)'!$C20</f>
        <v>McKague, Michael</v>
      </c>
      <c r="W12" s="232">
        <f>'Field Log (22)'!$C20</f>
        <v>0</v>
      </c>
      <c r="X12" s="232" t="str">
        <f>'Field Log (23)'!$C20</f>
        <v>Ilkew, Darryl</v>
      </c>
      <c r="Y12" s="232" t="str">
        <f>'Field Log (24)'!$C20</f>
        <v>LaFrance, Eric</v>
      </c>
      <c r="Z12" s="232">
        <f>'Field Log (25)'!$C20</f>
        <v>0</v>
      </c>
      <c r="AA12" s="232" t="str">
        <f>'Field Log (26)'!$C20</f>
        <v>Thimer, Davis</v>
      </c>
      <c r="AB12" s="232" t="str">
        <f>'Field Log (27)'!$C20</f>
        <v>Burton, Justin</v>
      </c>
      <c r="AC12" s="232" t="str">
        <f>'Field Log (28)'!$C20</f>
        <v>Smith, Harvey</v>
      </c>
      <c r="AD12" s="232">
        <f>'Field Log (29)'!$C20</f>
        <v>0</v>
      </c>
      <c r="AE12" s="232">
        <f>'Field Log (30)'!$C20</f>
        <v>0</v>
      </c>
      <c r="AF12" s="232" t="str">
        <f>'Field Log (31)'!$C20</f>
        <v>Norton, James</v>
      </c>
      <c r="AG12" s="232">
        <f>'Field Log (32)'!$C20</f>
        <v>0</v>
      </c>
      <c r="AH12" s="232" t="str">
        <f>'Field Log (33)'!$C20</f>
        <v>Cazabon, Pierre</v>
      </c>
      <c r="AI12" s="232">
        <f>'Field Log (34)'!$C20</f>
        <v>0</v>
      </c>
      <c r="AJ12" s="232">
        <f>'Field Log (35)'!$C20</f>
        <v>0</v>
      </c>
    </row>
    <row r="13" spans="1:36">
      <c r="B13" s="232" t="str">
        <f>'Field Log (1)'!C21</f>
        <v>Ball, James</v>
      </c>
      <c r="C13" s="232" t="str">
        <f>'Field Log (2)'!C21</f>
        <v>Herman, Joseph</v>
      </c>
      <c r="D13" s="232">
        <f>'Field Log (3)'!C21</f>
        <v>0</v>
      </c>
      <c r="E13" s="232" t="str">
        <f>'Field Log (4)'!C21</f>
        <v>Murphy, Nadine</v>
      </c>
      <c r="F13" s="232" t="str">
        <f>'Field Log (5)'!C21</f>
        <v>Slyford, Joshua</v>
      </c>
      <c r="G13" s="232">
        <f>'Field Log (6)'!C21</f>
        <v>0</v>
      </c>
      <c r="H13" s="232">
        <f>'Field Log (7)'!C21</f>
        <v>0</v>
      </c>
      <c r="I13" s="232">
        <f>'Field Log (8)'!C21</f>
        <v>0</v>
      </c>
      <c r="J13" s="232" t="str">
        <f>'Field Log (9)'!C21</f>
        <v>Sisto, Arturo</v>
      </c>
      <c r="K13" s="232" t="str">
        <f>'Field Log (10)'!C21</f>
        <v>Giese, Vic</v>
      </c>
      <c r="L13" s="232" t="str">
        <f>'Field Log (11)'!C21</f>
        <v>Schram, Wynn</v>
      </c>
      <c r="M13" s="232" t="str">
        <f>'Field Log (12)'!C21</f>
        <v>Douglas, Robbie</v>
      </c>
      <c r="N13" s="232">
        <f>'Field Log (13)'!C21</f>
        <v>0</v>
      </c>
      <c r="O13" s="232" t="str">
        <f>'Field Log (14)'!C21</f>
        <v>Ochocki, Kirk</v>
      </c>
      <c r="P13" s="232" t="str">
        <f>'Field Log (15)'!$C21</f>
        <v>Methot, Gaston</v>
      </c>
      <c r="Q13" s="232" t="str">
        <f>'Field Log (16)'!$C21</f>
        <v>Young, Cameron</v>
      </c>
      <c r="R13" s="232">
        <f>'Field Log (17)'!$C21</f>
        <v>0</v>
      </c>
      <c r="S13" s="232" t="str">
        <f>'Field Log (18)'!$C21</f>
        <v>Coutourier, Hector</v>
      </c>
      <c r="T13" s="232">
        <f>'Field Log (19)'!$C21</f>
        <v>0</v>
      </c>
      <c r="U13" s="232">
        <f>'Field Log (20)'!$C21</f>
        <v>0</v>
      </c>
      <c r="V13" s="232" t="str">
        <f>'Field Log (21)'!$C21</f>
        <v>Mallais, Miguel</v>
      </c>
      <c r="W13" s="232">
        <f>'Field Log (22)'!$C21</f>
        <v>0</v>
      </c>
      <c r="X13" s="232" t="str">
        <f>'Field Log (23)'!$C21</f>
        <v>Desjarlais, Dennis</v>
      </c>
      <c r="Y13" s="232" t="str">
        <f>'Field Log (24)'!$C21</f>
        <v>Otten, Gerald</v>
      </c>
      <c r="Z13" s="232">
        <f>'Field Log (25)'!$C21</f>
        <v>0</v>
      </c>
      <c r="AA13" s="232" t="str">
        <f>'Field Log (26)'!$C21</f>
        <v>Trithardt, Dennis</v>
      </c>
      <c r="AB13" s="232" t="str">
        <f>'Field Log (27)'!$C21</f>
        <v>Caldwell, Mark</v>
      </c>
      <c r="AC13" s="232" t="str">
        <f>'Field Log (28)'!$C21</f>
        <v>Trottier, James</v>
      </c>
      <c r="AD13" s="232">
        <f>'Field Log (29)'!$C21</f>
        <v>0</v>
      </c>
      <c r="AE13" s="232">
        <f>'Field Log (30)'!$C21</f>
        <v>0</v>
      </c>
      <c r="AF13" s="232" t="str">
        <f>'Field Log (31)'!$C21</f>
        <v>Tessier, Jean Paul</v>
      </c>
      <c r="AG13" s="232">
        <f>'Field Log (32)'!$C21</f>
        <v>0</v>
      </c>
      <c r="AH13" s="232" t="str">
        <f>'Field Log (33)'!$C21</f>
        <v>Loisel, Richard</v>
      </c>
      <c r="AI13" s="232">
        <f>'Field Log (34)'!$C21</f>
        <v>0</v>
      </c>
      <c r="AJ13" s="232">
        <f>'Field Log (35)'!$C21</f>
        <v>0</v>
      </c>
    </row>
    <row r="14" spans="1:36">
      <c r="B14" s="232" t="str">
        <f>'Field Log (1)'!C22</f>
        <v>Harrop, James</v>
      </c>
      <c r="C14" s="232" t="str">
        <f>'Field Log (2)'!C22</f>
        <v>Stewart, Lukas</v>
      </c>
      <c r="D14" s="232">
        <f>'Field Log (3)'!C22</f>
        <v>0</v>
      </c>
      <c r="E14" s="232">
        <f>'Field Log (4)'!C22</f>
        <v>0</v>
      </c>
      <c r="F14" s="232" t="str">
        <f>'Field Log (5)'!C22</f>
        <v>McKim, Justin</v>
      </c>
      <c r="G14" s="232">
        <f>'Field Log (6)'!C22</f>
        <v>0</v>
      </c>
      <c r="H14" s="232">
        <f>'Field Log (7)'!C22</f>
        <v>0</v>
      </c>
      <c r="I14" s="232">
        <f>'Field Log (8)'!C22</f>
        <v>0</v>
      </c>
      <c r="J14" s="232">
        <f>'Field Log (9)'!C22</f>
        <v>0</v>
      </c>
      <c r="K14" s="232" t="str">
        <f>'Field Log (10)'!C22</f>
        <v>Lien, Wesley</v>
      </c>
      <c r="L14" s="232">
        <f>'Field Log (11)'!C22</f>
        <v>0</v>
      </c>
      <c r="M14" s="232" t="str">
        <f>'Field Log (12)'!C22</f>
        <v>Brinton, Tanner</v>
      </c>
      <c r="N14" s="232">
        <f>'Field Log (13)'!C22</f>
        <v>0</v>
      </c>
      <c r="O14" s="232" t="str">
        <f>'Field Log (14)'!C22</f>
        <v>Trepanier, Leslie</v>
      </c>
      <c r="P14" s="232" t="str">
        <f>'Field Log (15)'!$C22</f>
        <v>Collins, Gilles</v>
      </c>
      <c r="Q14" s="232" t="str">
        <f>'Field Log (16)'!$C22</f>
        <v>Roney, Clayton</v>
      </c>
      <c r="R14" s="232">
        <f>'Field Log (17)'!$C22</f>
        <v>0</v>
      </c>
      <c r="S14" s="232" t="str">
        <f>'Field Log (18)'!$C22</f>
        <v>Merrick, James</v>
      </c>
      <c r="T14" s="232">
        <f>'Field Log (19)'!$C22</f>
        <v>0</v>
      </c>
      <c r="U14" s="232">
        <f>'Field Log (20)'!$C22</f>
        <v>0</v>
      </c>
      <c r="V14" s="232" t="str">
        <f>'Field Log (21)'!$C22</f>
        <v>Andrews, Randy</v>
      </c>
      <c r="W14" s="232">
        <f>'Field Log (22)'!$C22</f>
        <v>0</v>
      </c>
      <c r="X14" s="232" t="str">
        <f>'Field Log (23)'!$C22</f>
        <v>Leblanc, Dennis</v>
      </c>
      <c r="Y14" s="232" t="str">
        <f>'Field Log (24)'!$C22</f>
        <v>Guitard, Gerry</v>
      </c>
      <c r="Z14" s="232">
        <f>'Field Log (25)'!$C22</f>
        <v>0</v>
      </c>
      <c r="AA14" s="232" t="str">
        <f>'Field Log (26)'!$C22</f>
        <v>Lambert, Devon</v>
      </c>
      <c r="AB14" s="232" t="str">
        <f>'Field Log (27)'!$C22</f>
        <v>Sinclair, Sheila</v>
      </c>
      <c r="AC14" s="232" t="str">
        <f>'Field Log (28)'!$C22</f>
        <v>Prouty, Janet</v>
      </c>
      <c r="AD14" s="232">
        <f>'Field Log (29)'!$C22</f>
        <v>0</v>
      </c>
      <c r="AE14" s="232">
        <f>'Field Log (30)'!$C22</f>
        <v>0</v>
      </c>
      <c r="AF14" s="232" t="str">
        <f>'Field Log (31)'!$C22</f>
        <v>Levell, Jessie</v>
      </c>
      <c r="AG14" s="232">
        <f>'Field Log (32)'!$C22</f>
        <v>0</v>
      </c>
      <c r="AH14" s="232" t="str">
        <f>'Field Log (33)'!$C22</f>
        <v>Vodden, Ryan</v>
      </c>
      <c r="AI14" s="232">
        <f>'Field Log (34)'!$C22</f>
        <v>0</v>
      </c>
      <c r="AJ14" s="232">
        <f>'Field Log (35)'!$C22</f>
        <v>0</v>
      </c>
    </row>
    <row r="15" spans="1:36">
      <c r="B15" s="232" t="str">
        <f>'Field Log (1)'!C23</f>
        <v>Prive, Johnathon</v>
      </c>
      <c r="C15" s="232" t="str">
        <f>'Field Log (2)'!C23</f>
        <v>Stewart, Nathan</v>
      </c>
      <c r="D15" s="232">
        <f>'Field Log (3)'!C23</f>
        <v>0</v>
      </c>
      <c r="E15" s="232">
        <f>'Field Log (4)'!C23</f>
        <v>0</v>
      </c>
      <c r="F15" s="232" t="str">
        <f>'Field Log (5)'!C23</f>
        <v>Zalluski, Ken</v>
      </c>
      <c r="G15" s="232">
        <f>'Field Log (6)'!C23</f>
        <v>0</v>
      </c>
      <c r="H15" s="232">
        <f>'Field Log (7)'!C23</f>
        <v>0</v>
      </c>
      <c r="I15" s="232">
        <f>'Field Log (8)'!C23</f>
        <v>0</v>
      </c>
      <c r="J15" s="232">
        <f>'Field Log (9)'!C23</f>
        <v>0</v>
      </c>
      <c r="K15" s="232">
        <f>'Field Log (10)'!C23</f>
        <v>0</v>
      </c>
      <c r="L15" s="232">
        <f>'Field Log (11)'!C23</f>
        <v>0</v>
      </c>
      <c r="M15" s="232" t="str">
        <f>'Field Log (12)'!C23</f>
        <v>Maric, Vojislan</v>
      </c>
      <c r="N15" s="232">
        <f>'Field Log (13)'!C23</f>
        <v>0</v>
      </c>
      <c r="O15" s="232" t="str">
        <f>'Field Log (14)'!C23</f>
        <v>Lajoie, Mark</v>
      </c>
      <c r="P15" s="232" t="str">
        <f>'Field Log (15)'!$C23</f>
        <v>Brys, John</v>
      </c>
      <c r="Q15" s="232" t="str">
        <f>'Field Log (16)'!$C23</f>
        <v>Kierstead, David</v>
      </c>
      <c r="R15" s="232">
        <f>'Field Log (17)'!$C23</f>
        <v>0</v>
      </c>
      <c r="S15" s="232" t="str">
        <f>'Field Log (18)'!$C23</f>
        <v>Moffat, Justin</v>
      </c>
      <c r="T15" s="232">
        <f>'Field Log (19)'!$C23</f>
        <v>0</v>
      </c>
      <c r="U15" s="232">
        <f>'Field Log (20)'!$C23</f>
        <v>0</v>
      </c>
      <c r="V15" s="232" t="str">
        <f>'Field Log (21)'!$C23</f>
        <v>Carrigan, Earl</v>
      </c>
      <c r="W15" s="232">
        <f>'Field Log (22)'!$C23</f>
        <v>0</v>
      </c>
      <c r="X15" s="232" t="str">
        <f>'Field Log (23)'!$C23</f>
        <v>Gauld, Darel</v>
      </c>
      <c r="Y15" s="232" t="str">
        <f>'Field Log (24)'!$C23</f>
        <v>Faulkner, Ian</v>
      </c>
      <c r="Z15" s="232">
        <f>'Field Log (25)'!$C23</f>
        <v>0</v>
      </c>
      <c r="AA15" s="232" t="str">
        <f>'Field Log (26)'!$C23</f>
        <v>Brauer, Dustin</v>
      </c>
      <c r="AB15" s="232" t="str">
        <f>'Field Log (27)'!$C23</f>
        <v>Dockrill, Steve</v>
      </c>
      <c r="AC15" s="232" t="str">
        <f>'Field Log (28)'!$C23</f>
        <v>Remillard-Eliuk, Jed</v>
      </c>
      <c r="AD15" s="232">
        <f>'Field Log (29)'!$C23</f>
        <v>0</v>
      </c>
      <c r="AE15" s="232">
        <f>'Field Log (30)'!$C23</f>
        <v>0</v>
      </c>
      <c r="AF15" s="232" t="str">
        <f>'Field Log (31)'!$C23</f>
        <v>McQuaker, Jim</v>
      </c>
      <c r="AG15" s="232">
        <f>'Field Log (32)'!$C23</f>
        <v>0</v>
      </c>
      <c r="AH15" s="232" t="str">
        <f>'Field Log (33)'!$C23</f>
        <v>MacDonald, Tanner</v>
      </c>
      <c r="AI15" s="232">
        <f>'Field Log (34)'!$C23</f>
        <v>0</v>
      </c>
      <c r="AJ15" s="232">
        <f>'Field Log (35)'!$C23</f>
        <v>0</v>
      </c>
    </row>
    <row r="16" spans="1:36">
      <c r="B16" s="232" t="str">
        <f>'Field Log (1)'!C24</f>
        <v>Synnes, Joshua</v>
      </c>
      <c r="C16" s="232" t="str">
        <f>'Field Log (2)'!C24</f>
        <v>Ventanilla, Raymond</v>
      </c>
      <c r="D16" s="232">
        <f>'Field Log (3)'!C24</f>
        <v>0</v>
      </c>
      <c r="E16" s="232">
        <f>'Field Log (4)'!C24</f>
        <v>0</v>
      </c>
      <c r="F16" s="232" t="str">
        <f>'Field Log (5)'!C24</f>
        <v>Reicker, Kevin</v>
      </c>
      <c r="G16" s="232">
        <f>'Field Log (6)'!C24</f>
        <v>0</v>
      </c>
      <c r="H16" s="232">
        <f>'Field Log (7)'!C24</f>
        <v>0</v>
      </c>
      <c r="I16" s="232">
        <f>'Field Log (8)'!C24</f>
        <v>0</v>
      </c>
      <c r="J16" s="232">
        <f>'Field Log (9)'!C24</f>
        <v>0</v>
      </c>
      <c r="K16" s="232">
        <f>'Field Log (10)'!C24</f>
        <v>0</v>
      </c>
      <c r="L16" s="232">
        <f>'Field Log (11)'!C24</f>
        <v>0</v>
      </c>
      <c r="M16" s="232" t="str">
        <f>'Field Log (12)'!C24</f>
        <v>Cassie, Raymond</v>
      </c>
      <c r="N16" s="232">
        <f>'Field Log (13)'!C24</f>
        <v>0</v>
      </c>
      <c r="O16" s="232" t="str">
        <f>'Field Log (14)'!C24</f>
        <v>Robinson, Murray</v>
      </c>
      <c r="P16" s="232" t="str">
        <f>'Field Log (15)'!$C24</f>
        <v>Kinch-McCrae, Jonathan</v>
      </c>
      <c r="Q16" s="232" t="str">
        <f>'Field Log (16)'!$C24</f>
        <v>Vienneau, Eugene</v>
      </c>
      <c r="R16" s="232">
        <f>'Field Log (17)'!$C24</f>
        <v>0</v>
      </c>
      <c r="S16" s="232" t="str">
        <f>'Field Log (18)'!$C24</f>
        <v>O'Brien, Kevin</v>
      </c>
      <c r="T16" s="232">
        <f>'Field Log (19)'!$C24</f>
        <v>0</v>
      </c>
      <c r="U16" s="232">
        <f>'Field Log (20)'!$C24</f>
        <v>0</v>
      </c>
      <c r="V16" s="232" t="str">
        <f>'Field Log (21)'!$C24</f>
        <v>Quibell, Ryan</v>
      </c>
      <c r="W16" s="232">
        <f>'Field Log (22)'!$C24</f>
        <v>0</v>
      </c>
      <c r="X16" s="232" t="str">
        <f>'Field Log (23)'!$C24</f>
        <v>Russell, Donald</v>
      </c>
      <c r="Y16" s="232" t="str">
        <f>'Field Log (24)'!$C24</f>
        <v>Sutherland, Joe</v>
      </c>
      <c r="Z16" s="232">
        <f>'Field Log (25)'!$C24</f>
        <v>0</v>
      </c>
      <c r="AA16" s="232" t="str">
        <f>'Field Log (26)'!$C24</f>
        <v>Berabi, Giovanni</v>
      </c>
      <c r="AB16" s="232" t="str">
        <f>'Field Log (27)'!$C24</f>
        <v>Delorme, Terrance</v>
      </c>
      <c r="AC16" s="232" t="str">
        <f>'Field Log (28)'!$C24</f>
        <v>Toews, Jordan</v>
      </c>
      <c r="AD16" s="232">
        <f>'Field Log (29)'!$C24</f>
        <v>0</v>
      </c>
      <c r="AE16" s="232">
        <f>'Field Log (30)'!$C24</f>
        <v>0</v>
      </c>
      <c r="AF16" s="232" t="str">
        <f>'Field Log (31)'!$C24</f>
        <v>Balash, Larry</v>
      </c>
      <c r="AG16" s="232">
        <f>'Field Log (32)'!$C24</f>
        <v>0</v>
      </c>
      <c r="AH16" s="232" t="str">
        <f>'Field Log (33)'!$C24</f>
        <v>Erwin, Johnathon</v>
      </c>
      <c r="AI16" s="232">
        <f>'Field Log (34)'!$C24</f>
        <v>0</v>
      </c>
      <c r="AJ16" s="232">
        <f>'Field Log (35)'!$C24</f>
        <v>0</v>
      </c>
    </row>
    <row r="17" spans="2:36">
      <c r="B17" s="232" t="str">
        <f>'Field Log (1)'!C25</f>
        <v>Bilyk, Larry</v>
      </c>
      <c r="C17" s="232" t="str">
        <f>'Field Log (2)'!C25</f>
        <v>Fornal, Reed</v>
      </c>
      <c r="D17" s="232">
        <f>'Field Log (3)'!C25</f>
        <v>0</v>
      </c>
      <c r="E17" s="232">
        <f>'Field Log (4)'!C25</f>
        <v>0</v>
      </c>
      <c r="F17" s="232" t="str">
        <f>'Field Log (5)'!C25</f>
        <v>Inglis, Michael</v>
      </c>
      <c r="G17" s="232">
        <f>'Field Log (6)'!C25</f>
        <v>0</v>
      </c>
      <c r="H17" s="232">
        <f>'Field Log (7)'!C25</f>
        <v>0</v>
      </c>
      <c r="I17" s="232">
        <f>'Field Log (8)'!C25</f>
        <v>0</v>
      </c>
      <c r="J17" s="232">
        <f>'Field Log (9)'!C25</f>
        <v>0</v>
      </c>
      <c r="K17" s="232">
        <f>'Field Log (10)'!C25</f>
        <v>0</v>
      </c>
      <c r="L17" s="232">
        <f>'Field Log (11)'!C25</f>
        <v>0</v>
      </c>
      <c r="M17" s="232">
        <f>'Field Log (12)'!C25</f>
        <v>0</v>
      </c>
      <c r="N17" s="232">
        <f>'Field Log (13)'!C25</f>
        <v>0</v>
      </c>
      <c r="O17" s="232" t="str">
        <f>'Field Log (14)'!C25</f>
        <v>Henderson, Robert</v>
      </c>
      <c r="P17" s="232" t="str">
        <f>'Field Log (15)'!$C25</f>
        <v>Mickey, Kevin</v>
      </c>
      <c r="Q17" s="232" t="str">
        <f>'Field Log (16)'!$C25</f>
        <v>Laity, Evan</v>
      </c>
      <c r="R17" s="232">
        <f>'Field Log (17)'!$C25</f>
        <v>0</v>
      </c>
      <c r="S17" s="232" t="str">
        <f>'Field Log (18)'!$C25</f>
        <v>Gawdunyk, Kim</v>
      </c>
      <c r="T17" s="232">
        <f>'Field Log (19)'!$C25</f>
        <v>0</v>
      </c>
      <c r="U17" s="232">
        <f>'Field Log (20)'!$C25</f>
        <v>0</v>
      </c>
      <c r="V17" s="232" t="str">
        <f>'Field Log (21)'!$C25</f>
        <v>Desbiane, Shane</v>
      </c>
      <c r="W17" s="232">
        <f>'Field Log (22)'!$C25</f>
        <v>0</v>
      </c>
      <c r="X17" s="232" t="str">
        <f>'Field Log (23)'!$C25</f>
        <v>LaFleur, James</v>
      </c>
      <c r="Y17" s="232" t="str">
        <f>'Field Log (24)'!$C25</f>
        <v>Schrey, Justin</v>
      </c>
      <c r="Z17" s="232">
        <f>'Field Log (25)'!$C25</f>
        <v>0</v>
      </c>
      <c r="AA17" s="232" t="str">
        <f>'Field Log (26)'!$C25</f>
        <v>Adair, John</v>
      </c>
      <c r="AB17" s="232" t="str">
        <f>'Field Log (27)'!$C25</f>
        <v>Springer, Trent</v>
      </c>
      <c r="AC17" s="232" t="str">
        <f>'Field Log (28)'!$C25</f>
        <v>Schettler, Kyle</v>
      </c>
      <c r="AD17" s="232" t="str">
        <f>'Field Log (29)'!$C25</f>
        <v>OR1519</v>
      </c>
      <c r="AE17" s="232">
        <f>'Field Log (30)'!$C25</f>
        <v>0</v>
      </c>
      <c r="AF17" s="232" t="str">
        <f>'Field Log (31)'!$C25</f>
        <v>Beever, Leslie</v>
      </c>
      <c r="AG17" s="232">
        <f>'Field Log (32)'!$C25</f>
        <v>0</v>
      </c>
      <c r="AH17" s="232" t="str">
        <f>'Field Log (33)'!$C25</f>
        <v>Sananes, Rachel</v>
      </c>
      <c r="AI17" s="232">
        <f>'Field Log (34)'!$C25</f>
        <v>0</v>
      </c>
      <c r="AJ17" s="232">
        <f>'Field Log (35)'!$C25</f>
        <v>0</v>
      </c>
    </row>
    <row r="18" spans="2:36">
      <c r="B18" s="232" t="str">
        <f>'Field Log (1)'!C26</f>
        <v>Jones, Richard</v>
      </c>
      <c r="C18" s="232" t="str">
        <f>'Field Log (2)'!C26</f>
        <v>Griffin, Riley</v>
      </c>
      <c r="D18" s="232">
        <f>'Field Log (3)'!C26</f>
        <v>0</v>
      </c>
      <c r="E18" s="232">
        <f>'Field Log (4)'!C26</f>
        <v>0</v>
      </c>
      <c r="F18" s="232" t="str">
        <f>'Field Log (5)'!C26</f>
        <v>Poeta, Robert</v>
      </c>
      <c r="G18" s="232">
        <f>'Field Log (6)'!C26</f>
        <v>0</v>
      </c>
      <c r="H18" s="232">
        <f>'Field Log (7)'!C26</f>
        <v>0</v>
      </c>
      <c r="I18" s="232">
        <f>'Field Log (8)'!C26</f>
        <v>0</v>
      </c>
      <c r="J18" s="232">
        <f>'Field Log (9)'!C26</f>
        <v>0</v>
      </c>
      <c r="K18" s="232">
        <f>'Field Log (10)'!C26</f>
        <v>0</v>
      </c>
      <c r="L18" s="232">
        <f>'Field Log (11)'!C26</f>
        <v>0</v>
      </c>
      <c r="M18" s="232">
        <f>'Field Log (12)'!C26</f>
        <v>0</v>
      </c>
      <c r="N18" s="232">
        <f>'Field Log (13)'!C26</f>
        <v>0</v>
      </c>
      <c r="O18" s="232" t="str">
        <f>'Field Log (14)'!C26</f>
        <v>Vaughn, Robert</v>
      </c>
      <c r="P18" s="232" t="str">
        <f>'Field Log (15)'!$C26</f>
        <v>Houle, Patrick</v>
      </c>
      <c r="Q18" s="232" t="str">
        <f>'Field Log (16)'!$C26</f>
        <v>Lavoie Francis</v>
      </c>
      <c r="R18" s="232" t="str">
        <f>'Field Log (17)'!$C26</f>
        <v>OR1084</v>
      </c>
      <c r="S18" s="232" t="str">
        <f>'Field Log (18)'!$C26</f>
        <v>Smith, Mehgan</v>
      </c>
      <c r="T18" s="232">
        <f>'Field Log (19)'!$C26</f>
        <v>0</v>
      </c>
      <c r="U18" s="232">
        <f>'Field Log (20)'!$C26</f>
        <v>0</v>
      </c>
      <c r="V18" s="232" t="str">
        <f>'Field Log (21)'!$C26</f>
        <v>Cook, Shawn</v>
      </c>
      <c r="W18" s="232">
        <f>'Field Log (22)'!$C26</f>
        <v>0</v>
      </c>
      <c r="X18" s="232" t="str">
        <f>'Field Log (23)'!$C26</f>
        <v>Sorenson, James</v>
      </c>
      <c r="Y18" s="232" t="str">
        <f>'Field Log (24)'!$C26</f>
        <v>Enns, Kenneth</v>
      </c>
      <c r="Z18" s="232">
        <f>'Field Log (25)'!$C26</f>
        <v>0</v>
      </c>
      <c r="AA18" s="232" t="str">
        <f>'Field Log (26)'!$C26</f>
        <v>Konopad, John</v>
      </c>
      <c r="AB18" s="232">
        <f>'Field Log (27)'!$C26</f>
        <v>0</v>
      </c>
      <c r="AC18" s="232" t="str">
        <f>'Field Log (28)'!$C26</f>
        <v>Kehler, Leroy</v>
      </c>
      <c r="AD18" s="232" t="str">
        <f>'Field Log (29)'!$C26</f>
        <v>OR1726</v>
      </c>
      <c r="AE18" s="232">
        <f>'Field Log (30)'!$C26</f>
        <v>0</v>
      </c>
      <c r="AF18" s="232" t="str">
        <f>'Field Log (31)'!$C26</f>
        <v>Shabaga, Mark</v>
      </c>
      <c r="AG18" s="232">
        <f>'Field Log (32)'!$C26</f>
        <v>0</v>
      </c>
      <c r="AH18" s="232">
        <f>'Field Log (33)'!$C26</f>
        <v>0</v>
      </c>
      <c r="AI18" s="232">
        <f>'Field Log (34)'!$C26</f>
        <v>0</v>
      </c>
      <c r="AJ18" s="232">
        <f>'Field Log (35)'!$C26</f>
        <v>0</v>
      </c>
    </row>
    <row r="19" spans="2:36">
      <c r="B19" s="232" t="str">
        <f>'Field Log (1)'!C27</f>
        <v>Deford, Rob</v>
      </c>
      <c r="C19" s="232" t="str">
        <f>'Field Log (2)'!C27</f>
        <v>Jackson, Russell</v>
      </c>
      <c r="D19" s="232">
        <f>'Field Log (3)'!C27</f>
        <v>0</v>
      </c>
      <c r="E19" s="232">
        <f>'Field Log (4)'!C27</f>
        <v>0</v>
      </c>
      <c r="F19" s="232" t="str">
        <f>'Field Log (5)'!C27</f>
        <v>Saunders, Sandy</v>
      </c>
      <c r="G19" s="232">
        <f>'Field Log (6)'!C27</f>
        <v>0</v>
      </c>
      <c r="H19" s="232">
        <f>'Field Log (7)'!C27</f>
        <v>0</v>
      </c>
      <c r="I19" s="232">
        <f>'Field Log (8)'!C27</f>
        <v>0</v>
      </c>
      <c r="J19" s="232">
        <f>'Field Log (9)'!C27</f>
        <v>0</v>
      </c>
      <c r="K19" s="232">
        <f>'Field Log (10)'!C27</f>
        <v>0</v>
      </c>
      <c r="L19" s="232">
        <f>'Field Log (11)'!C27</f>
        <v>0</v>
      </c>
      <c r="M19" s="232">
        <f>'Field Log (12)'!C27</f>
        <v>0</v>
      </c>
      <c r="N19" s="232">
        <f>'Field Log (13)'!C27</f>
        <v>0</v>
      </c>
      <c r="O19" s="232" t="str">
        <f>'Field Log (14)'!C27</f>
        <v>McDonald, Sheldon</v>
      </c>
      <c r="P19" s="232" t="str">
        <f>'Field Log (15)'!$C27</f>
        <v>Hendricks, Rick</v>
      </c>
      <c r="Q19" s="232" t="str">
        <f>'Field Log (16)'!$C27</f>
        <v>Coughlin, Glen</v>
      </c>
      <c r="R19" s="232" t="str">
        <f>'Field Log (17)'!$C27</f>
        <v>OR1449</v>
      </c>
      <c r="S19" s="232" t="str">
        <f>'Field Log (18)'!$C27</f>
        <v>Maruschak, Mike</v>
      </c>
      <c r="T19" s="232">
        <f>'Field Log (19)'!$C27</f>
        <v>0</v>
      </c>
      <c r="U19" s="232">
        <f>'Field Log (20)'!$C27</f>
        <v>0</v>
      </c>
      <c r="V19" s="232" t="str">
        <f>'Field Log (21)'!$C27</f>
        <v>Cook, Wendy</v>
      </c>
      <c r="W19" s="232">
        <f>'Field Log (22)'!$C27</f>
        <v>0</v>
      </c>
      <c r="X19" s="232" t="str">
        <f>'Field Log (23)'!$C27</f>
        <v>Spragg, John</v>
      </c>
      <c r="Y19" s="232" t="str">
        <f>'Field Log (24)'!$C27</f>
        <v>Pallister, Layne</v>
      </c>
      <c r="Z19" s="232">
        <f>'Field Log (25)'!$C27</f>
        <v>0</v>
      </c>
      <c r="AA19" s="232" t="str">
        <f>'Field Log (26)'!$C27</f>
        <v>Langlois, John</v>
      </c>
      <c r="AB19" s="232">
        <f>'Field Log (27)'!$C27</f>
        <v>0</v>
      </c>
      <c r="AC19" s="232" t="str">
        <f>'Field Log (28)'!$C27</f>
        <v>Hickey, Mark</v>
      </c>
      <c r="AD19" s="232" t="str">
        <f>'Field Log (29)'!$C27</f>
        <v>OR1756</v>
      </c>
      <c r="AE19" s="232">
        <f>'Field Log (30)'!$C27</f>
        <v>0</v>
      </c>
      <c r="AF19" s="232" t="str">
        <f>'Field Log (31)'!$C27</f>
        <v>Haney, Randy</v>
      </c>
      <c r="AG19" s="232">
        <f>'Field Log (32)'!$C27</f>
        <v>0</v>
      </c>
      <c r="AH19" s="232">
        <f>'Field Log (33)'!$C27</f>
        <v>0</v>
      </c>
      <c r="AI19" s="232">
        <f>'Field Log (34)'!$C27</f>
        <v>0</v>
      </c>
      <c r="AJ19" s="232">
        <f>'Field Log (35)'!$C27</f>
        <v>0</v>
      </c>
    </row>
    <row r="20" spans="2:36">
      <c r="B20" s="232" t="str">
        <f>'Field Log (1)'!C28</f>
        <v>Prive, Robert</v>
      </c>
      <c r="C20" s="232" t="str">
        <f>'Field Log (2)'!C28</f>
        <v>Slater, Ryan</v>
      </c>
      <c r="D20" s="232" t="str">
        <f>'Field Log (3)'!C28</f>
        <v>OR1193</v>
      </c>
      <c r="E20" s="232">
        <f>'Field Log (4)'!C28</f>
        <v>0</v>
      </c>
      <c r="F20" s="232" t="str">
        <f>'Field Log (5)'!C28</f>
        <v>Snow, Shannon</v>
      </c>
      <c r="G20" s="232">
        <f>'Field Log (6)'!C28</f>
        <v>0</v>
      </c>
      <c r="H20" s="232">
        <f>'Field Log (7)'!C28</f>
        <v>0</v>
      </c>
      <c r="I20" s="232">
        <f>'Field Log (8)'!C28</f>
        <v>0</v>
      </c>
      <c r="J20" s="232">
        <f>'Field Log (9)'!C28</f>
        <v>0</v>
      </c>
      <c r="K20" s="232">
        <f>'Field Log (10)'!C28</f>
        <v>0</v>
      </c>
      <c r="L20" s="232">
        <f>'Field Log (11)'!C28</f>
        <v>0</v>
      </c>
      <c r="M20" s="232">
        <f>'Field Log (12)'!C28</f>
        <v>0</v>
      </c>
      <c r="N20" s="232">
        <f>'Field Log (13)'!C28</f>
        <v>0</v>
      </c>
      <c r="O20" s="232" t="str">
        <f>'Field Log (14)'!C28</f>
        <v>Bozelli, John</v>
      </c>
      <c r="P20" s="232" t="str">
        <f>'Field Log (15)'!$C28</f>
        <v>Hendricks, Ryan</v>
      </c>
      <c r="Q20" s="232" t="str">
        <f>'Field Log (16)'!$C28</f>
        <v>Desbiens, Guy</v>
      </c>
      <c r="R20" s="232" t="str">
        <f>'Field Log (17)'!$C28</f>
        <v>OR1453</v>
      </c>
      <c r="S20" s="232" t="str">
        <f>'Field Log (18)'!$C28</f>
        <v>Casagrande, Peter</v>
      </c>
      <c r="T20" s="232">
        <f>'Field Log (19)'!$C28</f>
        <v>0</v>
      </c>
      <c r="U20" s="232">
        <f>'Field Log (20)'!$C28</f>
        <v>0</v>
      </c>
      <c r="V20" s="232" t="str">
        <f>'Field Log (21)'!$C28</f>
        <v>Shifano, Salvatore</v>
      </c>
      <c r="W20" s="232">
        <f>'Field Log (22)'!$C28</f>
        <v>0</v>
      </c>
      <c r="X20" s="232" t="str">
        <f>'Field Log (23)'!$C28</f>
        <v>King, Justin</v>
      </c>
      <c r="Y20" s="232" t="str">
        <f>'Field Log (24)'!$C28</f>
        <v>Snyder, Leonard</v>
      </c>
      <c r="Z20" s="232">
        <f>'Field Log (25)'!$C28</f>
        <v>0</v>
      </c>
      <c r="AA20" s="232" t="str">
        <f>'Field Log (26)'!$C28</f>
        <v>Reed, John</v>
      </c>
      <c r="AB20" s="232">
        <f>'Field Log (27)'!$C28</f>
        <v>0</v>
      </c>
      <c r="AC20" s="232" t="str">
        <f>'Field Log (28)'!$C28</f>
        <v>Bley, Michael</v>
      </c>
      <c r="AD20" s="232" t="str">
        <f>'Field Log (29)'!$C28</f>
        <v>OR1538</v>
      </c>
      <c r="AE20" s="232">
        <f>'Field Log (30)'!$C28</f>
        <v>0</v>
      </c>
      <c r="AF20" s="232" t="str">
        <f>'Field Log (31)'!$C28</f>
        <v>Imeson, Sean</v>
      </c>
      <c r="AG20" s="232">
        <f>'Field Log (32)'!$C28</f>
        <v>0</v>
      </c>
      <c r="AH20" s="232">
        <f>'Field Log (33)'!$C28</f>
        <v>0</v>
      </c>
      <c r="AI20" s="232">
        <f>'Field Log (34)'!$C28</f>
        <v>0</v>
      </c>
      <c r="AJ20" s="232">
        <f>'Field Log (35)'!$C28</f>
        <v>0</v>
      </c>
    </row>
    <row r="21" spans="2:36">
      <c r="B21" s="232" t="str">
        <f>'Field Log (1)'!C29</f>
        <v>Simpson, Vance</v>
      </c>
      <c r="C21" s="232" t="str">
        <f>'Field Log (2)'!C29</f>
        <v>Tang, Sam</v>
      </c>
      <c r="D21" s="232" t="str">
        <f>'Field Log (3)'!C29</f>
        <v>OR1031</v>
      </c>
      <c r="E21" s="232">
        <f>'Field Log (4)'!C29</f>
        <v>0</v>
      </c>
      <c r="F21" s="232" t="str">
        <f>'Field Log (5)'!C29</f>
        <v>Savarie, Tim</v>
      </c>
      <c r="G21" s="232">
        <f>'Field Log (6)'!C29</f>
        <v>0</v>
      </c>
      <c r="H21" s="232">
        <f>'Field Log (7)'!C29</f>
        <v>0</v>
      </c>
      <c r="I21" s="232">
        <f>'Field Log (8)'!C29</f>
        <v>0</v>
      </c>
      <c r="J21" s="232">
        <f>'Field Log (9)'!C29</f>
        <v>0</v>
      </c>
      <c r="K21" s="232">
        <f>'Field Log (10)'!C29</f>
        <v>0</v>
      </c>
      <c r="L21" s="232">
        <f>'Field Log (11)'!C29</f>
        <v>0</v>
      </c>
      <c r="M21" s="232">
        <f>'Field Log (12)'!C29</f>
        <v>0</v>
      </c>
      <c r="N21" s="232">
        <f>'Field Log (13)'!C29</f>
        <v>0</v>
      </c>
      <c r="O21" s="232">
        <f>'Field Log (14)'!C29</f>
        <v>0</v>
      </c>
      <c r="P21" s="232" t="str">
        <f>'Field Log (15)'!$C29</f>
        <v>Kehler, Shawn</v>
      </c>
      <c r="Q21" s="232" t="str">
        <f>'Field Log (16)'!$C29</f>
        <v>McMillan, Jack</v>
      </c>
      <c r="R21" s="232">
        <f>'Field Log (17)'!$C29</f>
        <v>0</v>
      </c>
      <c r="S21" s="232" t="str">
        <f>'Field Log (18)'!$C29</f>
        <v>Moss, Phil</v>
      </c>
      <c r="T21" s="232">
        <f>'Field Log (19)'!$C29</f>
        <v>0</v>
      </c>
      <c r="U21" s="232">
        <f>'Field Log (20)'!$C29</f>
        <v>0</v>
      </c>
      <c r="V21" s="232">
        <f>'Field Log (21)'!$C29</f>
        <v>0</v>
      </c>
      <c r="W21" s="232">
        <f>'Field Log (22)'!$C29</f>
        <v>0</v>
      </c>
      <c r="X21" s="232" t="str">
        <f>'Field Log (23)'!$C29</f>
        <v>Labelle, Kevin</v>
      </c>
      <c r="Y21" s="232" t="str">
        <f>'Field Log (24)'!$C29</f>
        <v>Goldman, Michael</v>
      </c>
      <c r="Z21" s="232">
        <f>'Field Log (25)'!$C29</f>
        <v>0</v>
      </c>
      <c r="AA21" s="232" t="str">
        <f>'Field Log (26)'!$C29</f>
        <v>Sutton, Jonathan</v>
      </c>
      <c r="AB21" s="232">
        <f>'Field Log (27)'!$C29</f>
        <v>0</v>
      </c>
      <c r="AC21" s="232" t="str">
        <f>'Field Log (28)'!$C29</f>
        <v>Robertson, Monty</v>
      </c>
      <c r="AD21" s="232" t="str">
        <f>'Field Log (29)'!$C29</f>
        <v>OR1540</v>
      </c>
      <c r="AE21" s="232">
        <f>'Field Log (30)'!$C29</f>
        <v>0</v>
      </c>
      <c r="AF21" s="232" t="str">
        <f>'Field Log (31)'!$C29</f>
        <v>Mulkay, Sid</v>
      </c>
      <c r="AG21" s="232">
        <f>'Field Log (32)'!$C29</f>
        <v>0</v>
      </c>
      <c r="AH21" s="232">
        <f>'Field Log (33)'!$C29</f>
        <v>0</v>
      </c>
      <c r="AI21" s="232">
        <f>'Field Log (34)'!$C29</f>
        <v>0</v>
      </c>
      <c r="AJ21" s="232">
        <f>'Field Log (35)'!$C29</f>
        <v>0</v>
      </c>
    </row>
    <row r="22" spans="2:36">
      <c r="B22" s="232" t="str">
        <f>'Field Log (1)'!C30</f>
        <v>Wali Fidin, Yussuf</v>
      </c>
      <c r="C22" s="232" t="str">
        <f>'Field Log (2)'!C30</f>
        <v>Cocks, Wade</v>
      </c>
      <c r="D22" s="232" t="str">
        <f>'Field Log (3)'!C30</f>
        <v>OR1035</v>
      </c>
      <c r="E22" s="232">
        <f>'Field Log (4)'!C30</f>
        <v>0</v>
      </c>
      <c r="F22" s="232" t="str">
        <f>'Field Log (5)'!C30</f>
        <v>Stewart, William</v>
      </c>
      <c r="G22" s="232" t="str">
        <f>'Field Log (6)'!C30</f>
        <v>OR1392</v>
      </c>
      <c r="H22" s="232">
        <f>'Field Log (7)'!C30</f>
        <v>0</v>
      </c>
      <c r="I22" s="232">
        <f>'Field Log (8)'!C30</f>
        <v>0</v>
      </c>
      <c r="J22" s="232">
        <f>'Field Log (9)'!C30</f>
        <v>0</v>
      </c>
      <c r="K22" s="232">
        <f>'Field Log (10)'!C30</f>
        <v>0</v>
      </c>
      <c r="L22" s="232">
        <f>'Field Log (11)'!C30</f>
        <v>0</v>
      </c>
      <c r="M22" s="232">
        <f>'Field Log (12)'!C30</f>
        <v>0</v>
      </c>
      <c r="N22" s="232">
        <f>'Field Log (13)'!C30</f>
        <v>0</v>
      </c>
      <c r="O22" s="232">
        <f>'Field Log (14)'!C30</f>
        <v>0</v>
      </c>
      <c r="P22" s="232" t="str">
        <f>'Field Log (15)'!$C30</f>
        <v>Ansari, Soroush</v>
      </c>
      <c r="Q22" s="232" t="str">
        <f>'Field Log (16)'!$C30</f>
        <v>Delorey, Jason</v>
      </c>
      <c r="R22" s="232">
        <f>'Field Log (17)'!$C30</f>
        <v>0</v>
      </c>
      <c r="S22" s="232" t="str">
        <f>'Field Log (18)'!$C30</f>
        <v>El-Cheralowi, Rafic</v>
      </c>
      <c r="T22" s="232">
        <f>'Field Log (19)'!$C30</f>
        <v>0</v>
      </c>
      <c r="U22" s="232" t="str">
        <f>'Field Log (20)'!$C30</f>
        <v>OR1598</v>
      </c>
      <c r="V22" s="232">
        <f>'Field Log (21)'!$C30</f>
        <v>0</v>
      </c>
      <c r="W22" s="232">
        <f>'Field Log (22)'!$C30</f>
        <v>0</v>
      </c>
      <c r="X22" s="232" t="str">
        <f>'Field Log (23)'!$C30</f>
        <v>Van de Ligt, Lesley</v>
      </c>
      <c r="Y22" s="232" t="str">
        <f>'Field Log (24)'!$C30</f>
        <v>Langlais, Michael</v>
      </c>
      <c r="Z22" s="232">
        <f>'Field Log (25)'!$C30</f>
        <v>0</v>
      </c>
      <c r="AA22" s="232" t="str">
        <f>'Field Log (26)'!$C30</f>
        <v>Wawin, Joshua</v>
      </c>
      <c r="AB22" s="232">
        <f>'Field Log (27)'!$C30</f>
        <v>0</v>
      </c>
      <c r="AC22" s="232" t="str">
        <f>'Field Log (28)'!$C30</f>
        <v>Bebbe, Nevin</v>
      </c>
      <c r="AD22" s="232">
        <f>'Field Log (29)'!$C30</f>
        <v>0</v>
      </c>
      <c r="AE22" s="232">
        <f>'Field Log (30)'!$C30</f>
        <v>0</v>
      </c>
      <c r="AF22" s="232" t="str">
        <f>'Field Log (31)'!$C30</f>
        <v>Scmidt, Travis</v>
      </c>
      <c r="AG22" s="232">
        <f>'Field Log (32)'!$C30</f>
        <v>0</v>
      </c>
      <c r="AH22" s="232">
        <f>'Field Log (33)'!$C30</f>
        <v>0</v>
      </c>
      <c r="AI22" s="232">
        <f>'Field Log (34)'!$C30</f>
        <v>0</v>
      </c>
      <c r="AJ22" s="232">
        <f>'Field Log (35)'!$C30</f>
        <v>0</v>
      </c>
    </row>
    <row r="23" spans="2:36">
      <c r="B23" s="232">
        <f>'Field Log (1)'!C31</f>
        <v>0</v>
      </c>
      <c r="C23" s="232">
        <f>'Field Log (2)'!C31</f>
        <v>0</v>
      </c>
      <c r="D23" s="232" t="str">
        <f>'Field Log (3)'!C31</f>
        <v>DL2812</v>
      </c>
      <c r="E23" s="232">
        <f>'Field Log (4)'!C31</f>
        <v>0</v>
      </c>
      <c r="F23" s="232" t="str">
        <f>'Field Log (5)'!C31</f>
        <v>Balash, Garth</v>
      </c>
      <c r="G23" s="232" t="str">
        <f>'Field Log (6)'!C31</f>
        <v>OR1393</v>
      </c>
      <c r="H23" s="232">
        <f>'Field Log (7)'!C31</f>
        <v>0</v>
      </c>
      <c r="I23" s="232">
        <f>'Field Log (8)'!C31</f>
        <v>0</v>
      </c>
      <c r="J23" s="232">
        <f>'Field Log (9)'!C31</f>
        <v>0</v>
      </c>
      <c r="K23" s="232">
        <f>'Field Log (10)'!C31</f>
        <v>0</v>
      </c>
      <c r="L23" s="232" t="str">
        <f>'Field Log (11)'!C31</f>
        <v>DL2567</v>
      </c>
      <c r="M23" s="232">
        <f>'Field Log (12)'!C31</f>
        <v>0</v>
      </c>
      <c r="N23" s="232">
        <f>'Field Log (13)'!C31</f>
        <v>0</v>
      </c>
      <c r="O23" s="232">
        <f>'Field Log (14)'!C31</f>
        <v>0</v>
      </c>
      <c r="P23" s="232" t="str">
        <f>'Field Log (15)'!$C31</f>
        <v>Landry, Stephanie</v>
      </c>
      <c r="Q23" s="232" t="str">
        <f>'Field Log (16)'!$C31</f>
        <v>Swanson, Jason</v>
      </c>
      <c r="R23" s="232">
        <f>'Field Log (17)'!$C31</f>
        <v>0</v>
      </c>
      <c r="S23" s="232" t="str">
        <f>'Field Log (18)'!$C31</f>
        <v>Christenson, Shaun</v>
      </c>
      <c r="T23" s="232">
        <f>'Field Log (19)'!$C31</f>
        <v>0</v>
      </c>
      <c r="U23" s="232" t="str">
        <f>'Field Log (20)'!$C31</f>
        <v>OR1367</v>
      </c>
      <c r="V23" s="232">
        <f>'Field Log (21)'!$C31</f>
        <v>0</v>
      </c>
      <c r="W23" s="232">
        <f>'Field Log (22)'!$C31</f>
        <v>0</v>
      </c>
      <c r="X23" s="232" t="str">
        <f>'Field Log (23)'!$C31</f>
        <v>Hofer, Levi</v>
      </c>
      <c r="Y23" s="232" t="str">
        <f>'Field Log (24)'!$C31</f>
        <v>Gall, Milton</v>
      </c>
      <c r="Z23" s="232">
        <f>'Field Log (25)'!$C31</f>
        <v>0</v>
      </c>
      <c r="AA23" s="232" t="str">
        <f>'Field Log (26)'!$C31</f>
        <v>Gordon, Kelly</v>
      </c>
      <c r="AB23" s="232">
        <f>'Field Log (27)'!$C31</f>
        <v>0</v>
      </c>
      <c r="AC23" s="232" t="str">
        <f>'Field Log (28)'!$C31</f>
        <v>Agboola, Olusoji</v>
      </c>
      <c r="AD23" s="232">
        <f>'Field Log (29)'!$C31</f>
        <v>0</v>
      </c>
      <c r="AE23" s="232">
        <f>'Field Log (30)'!$C31</f>
        <v>0</v>
      </c>
      <c r="AF23" s="232" t="str">
        <f>'Field Log (31)'!$C31</f>
        <v>Balan, Tyler</v>
      </c>
      <c r="AG23" s="232">
        <f>'Field Log (32)'!$C31</f>
        <v>0</v>
      </c>
      <c r="AH23" s="232">
        <f>'Field Log (33)'!$C31</f>
        <v>0</v>
      </c>
      <c r="AI23" s="232">
        <f>'Field Log (34)'!$C31</f>
        <v>0</v>
      </c>
      <c r="AJ23" s="232" t="str">
        <f>'Field Log (35)'!$C31</f>
        <v>OR1008</v>
      </c>
    </row>
    <row r="24" spans="2:36">
      <c r="B24" s="232">
        <f>'Field Log (1)'!C32</f>
        <v>0</v>
      </c>
      <c r="C24" s="232">
        <f>'Field Log (2)'!C32</f>
        <v>0</v>
      </c>
      <c r="D24" s="232">
        <f>'Field Log (3)'!C32</f>
        <v>0</v>
      </c>
      <c r="E24" s="232">
        <f>'Field Log (4)'!C32</f>
        <v>0</v>
      </c>
      <c r="F24" s="232">
        <f>'Field Log (5)'!C32</f>
        <v>0</v>
      </c>
      <c r="G24" s="232" t="str">
        <f>'Field Log (6)'!C32</f>
        <v>OR1016</v>
      </c>
      <c r="H24" s="232">
        <f>'Field Log (7)'!C32</f>
        <v>0</v>
      </c>
      <c r="I24" s="232">
        <f>'Field Log (8)'!C32</f>
        <v>0</v>
      </c>
      <c r="J24" s="232">
        <f>'Field Log (9)'!C32</f>
        <v>0</v>
      </c>
      <c r="K24" s="232">
        <f>'Field Log (10)'!C32</f>
        <v>0</v>
      </c>
      <c r="L24" s="232" t="str">
        <f>'Field Log (11)'!C32</f>
        <v>DL2720</v>
      </c>
      <c r="M24" s="232">
        <f>'Field Log (12)'!C32</f>
        <v>0</v>
      </c>
      <c r="N24" s="232">
        <f>'Field Log (13)'!C32</f>
        <v>0</v>
      </c>
      <c r="O24" s="232">
        <f>'Field Log (14)'!C32</f>
        <v>0</v>
      </c>
      <c r="P24" s="232" t="str">
        <f>'Field Log (15)'!$C32</f>
        <v>Grosul, Ted</v>
      </c>
      <c r="Q24" s="232" t="str">
        <f>'Field Log (16)'!$C32</f>
        <v>Madiuk, Jeff</v>
      </c>
      <c r="R24" s="232">
        <f>'Field Log (17)'!$C32</f>
        <v>0</v>
      </c>
      <c r="S24" s="232" t="str">
        <f>'Field Log (18)'!$C32</f>
        <v>Jardine, Shaun</v>
      </c>
      <c r="T24" s="232">
        <f>'Field Log (19)'!$C32</f>
        <v>0</v>
      </c>
      <c r="U24" s="232" t="str">
        <f>'Field Log (20)'!$C32</f>
        <v>OR1763</v>
      </c>
      <c r="V24" s="232">
        <f>'Field Log (21)'!$C32</f>
        <v>0</v>
      </c>
      <c r="W24" s="232">
        <f>'Field Log (22)'!$C32</f>
        <v>0</v>
      </c>
      <c r="X24" s="232" t="str">
        <f>'Field Log (23)'!$C32</f>
        <v>White, Lloyd</v>
      </c>
      <c r="Y24" s="232" t="str">
        <f>'Field Log (24)'!$C32</f>
        <v>Langlois, Nathan</v>
      </c>
      <c r="Z24" s="232">
        <f>'Field Log (25)'!$C32</f>
        <v>0</v>
      </c>
      <c r="AA24" s="232" t="str">
        <f>'Field Log (26)'!$C32</f>
        <v>Svennes, Leonard</v>
      </c>
      <c r="AB24" s="232">
        <f>'Field Log (27)'!$C32</f>
        <v>0</v>
      </c>
      <c r="AC24" s="232" t="str">
        <f>'Field Log (28)'!$C32</f>
        <v>Mickey, Raymond</v>
      </c>
      <c r="AD24" s="232">
        <f>'Field Log (29)'!$C32</f>
        <v>0</v>
      </c>
      <c r="AE24" s="232">
        <f>'Field Log (30)'!$C32</f>
        <v>0</v>
      </c>
      <c r="AF24" s="232" t="str">
        <f>'Field Log (31)'!$C32</f>
        <v>Pettifer, Bill</v>
      </c>
      <c r="AG24" s="232">
        <f>'Field Log (32)'!$C32</f>
        <v>0</v>
      </c>
      <c r="AH24" s="232">
        <f>'Field Log (33)'!$C32</f>
        <v>0</v>
      </c>
      <c r="AI24" s="232">
        <f>'Field Log (34)'!$C32</f>
        <v>0</v>
      </c>
      <c r="AJ24" s="232" t="str">
        <f>'Field Log (35)'!$C32</f>
        <v>OR1096</v>
      </c>
    </row>
    <row r="25" spans="2:36">
      <c r="B25" s="232">
        <f>'Field Log (1)'!C33</f>
        <v>0</v>
      </c>
      <c r="C25" s="232">
        <f>'Field Log (2)'!C33</f>
        <v>0</v>
      </c>
      <c r="D25" s="232">
        <f>'Field Log (3)'!C33</f>
        <v>0</v>
      </c>
      <c r="E25" s="232">
        <f>'Field Log (4)'!C33</f>
        <v>0</v>
      </c>
      <c r="F25" s="232">
        <f>'Field Log (5)'!C33</f>
        <v>0</v>
      </c>
      <c r="G25" s="232" t="str">
        <f>'Field Log (6)'!C33</f>
        <v>OR1047</v>
      </c>
      <c r="H25" s="232">
        <f>'Field Log (7)'!C33</f>
        <v>0</v>
      </c>
      <c r="I25" s="232">
        <f>'Field Log (8)'!C33</f>
        <v>0</v>
      </c>
      <c r="J25" s="232">
        <f>'Field Log (9)'!C33</f>
        <v>0</v>
      </c>
      <c r="K25" s="232">
        <f>'Field Log (10)'!C33</f>
        <v>0</v>
      </c>
      <c r="L25" s="232" t="str">
        <f>'Field Log (11)'!C33</f>
        <v>DL2811</v>
      </c>
      <c r="M25" s="232">
        <f>'Field Log (12)'!C33</f>
        <v>0</v>
      </c>
      <c r="N25" s="232">
        <f>'Field Log (13)'!C33</f>
        <v>0</v>
      </c>
      <c r="O25" s="232">
        <f>'Field Log (14)'!C33</f>
        <v>0</v>
      </c>
      <c r="P25" s="232" t="str">
        <f>'Field Log (15)'!$C33</f>
        <v>MacIsaac, Trevor</v>
      </c>
      <c r="Q25" s="232" t="str">
        <f>'Field Log (16)'!$C33</f>
        <v>Turgeon, Joe</v>
      </c>
      <c r="R25" s="232">
        <f>'Field Log (17)'!$C33</f>
        <v>0</v>
      </c>
      <c r="S25" s="232" t="str">
        <f>'Field Log (18)'!$C33</f>
        <v>Young, Warren</v>
      </c>
      <c r="T25" s="232">
        <f>'Field Log (19)'!$C33</f>
        <v>0</v>
      </c>
      <c r="U25" s="232" t="str">
        <f>'Field Log (20)'!$C33</f>
        <v>OR1216</v>
      </c>
      <c r="V25" s="232">
        <f>'Field Log (21)'!$C33</f>
        <v>0</v>
      </c>
      <c r="W25" s="232">
        <f>'Field Log (22)'!$C33</f>
        <v>0</v>
      </c>
      <c r="X25" s="232" t="str">
        <f>'Field Log (23)'!$C33</f>
        <v>Villata, Lorenzo</v>
      </c>
      <c r="Y25" s="232" t="str">
        <f>'Field Log (24)'!$C33</f>
        <v>MacPhail, Robert</v>
      </c>
      <c r="Z25" s="232">
        <f>'Field Log (25)'!$C33</f>
        <v>0</v>
      </c>
      <c r="AA25" s="232" t="str">
        <f>'Field Log (26)'!$C33</f>
        <v>Wondemu, Mesfin</v>
      </c>
      <c r="AB25" s="232">
        <f>'Field Log (27)'!$C33</f>
        <v>0</v>
      </c>
      <c r="AC25" s="232" t="str">
        <f>'Field Log (28)'!$C33</f>
        <v>Beaudry, Rheau</v>
      </c>
      <c r="AD25" s="232">
        <f>'Field Log (29)'!$C33</f>
        <v>0</v>
      </c>
      <c r="AE25" s="232">
        <f>'Field Log (30)'!$C33</f>
        <v>0</v>
      </c>
      <c r="AF25" s="232">
        <f>'Field Log (31)'!$C33</f>
        <v>0</v>
      </c>
      <c r="AG25" s="232" t="str">
        <f>'Field Log (32)'!$C33</f>
        <v>OR1038</v>
      </c>
      <c r="AH25" s="232">
        <f>'Field Log (33)'!$C33</f>
        <v>0</v>
      </c>
      <c r="AI25" s="232">
        <f>'Field Log (34)'!$C33</f>
        <v>0</v>
      </c>
      <c r="AJ25" s="232" t="str">
        <f>'Field Log (35)'!$C33</f>
        <v>DL2504</v>
      </c>
    </row>
    <row r="26" spans="2:36">
      <c r="B26" s="232" t="str">
        <f>'Field Log (1)'!C34</f>
        <v>Unit No.</v>
      </c>
      <c r="C26" s="232">
        <f>'Field Log (2)'!C34</f>
        <v>0</v>
      </c>
      <c r="D26" s="232">
        <f>'Field Log (3)'!C34</f>
        <v>0</v>
      </c>
      <c r="E26" s="232">
        <f>'Field Log (4)'!C34</f>
        <v>0</v>
      </c>
      <c r="F26" s="232">
        <f>'Field Log (5)'!C34</f>
        <v>0</v>
      </c>
      <c r="G26" s="232" t="str">
        <f>'Field Log (6)'!C34</f>
        <v>OR1087</v>
      </c>
      <c r="H26" s="232">
        <f>'Field Log (7)'!C34</f>
        <v>0</v>
      </c>
      <c r="I26" s="232">
        <f>'Field Log (8)'!C34</f>
        <v>0</v>
      </c>
      <c r="J26" s="232">
        <f>'Field Log (9)'!C34</f>
        <v>0</v>
      </c>
      <c r="K26" s="232">
        <f>'Field Log (10)'!C34</f>
        <v>0</v>
      </c>
      <c r="L26" s="232" t="str">
        <f>'Field Log (11)'!C34</f>
        <v>DL2861</v>
      </c>
      <c r="M26" s="232">
        <f>'Field Log (12)'!C34</f>
        <v>0</v>
      </c>
      <c r="N26" s="232">
        <f>'Field Log (13)'!C34</f>
        <v>0</v>
      </c>
      <c r="O26" s="232">
        <f>'Field Log (14)'!C34</f>
        <v>0</v>
      </c>
      <c r="P26" s="232" t="str">
        <f>'Field Log (15)'!$C34</f>
        <v>Smith, Tyler</v>
      </c>
      <c r="Q26" s="232" t="str">
        <f>'Field Log (16)'!$C34</f>
        <v>McGoey, Joey</v>
      </c>
      <c r="R26" s="232">
        <f>'Field Log (17)'!$C34</f>
        <v>0</v>
      </c>
      <c r="S26" s="232" t="str">
        <f>'Field Log (18)'!$C34</f>
        <v>Lambert, Wayne</v>
      </c>
      <c r="T26" s="232">
        <f>'Field Log (19)'!$C34</f>
        <v>0</v>
      </c>
      <c r="U26" s="232" t="str">
        <f>'Field Log (20)'!$C34</f>
        <v>OR1692</v>
      </c>
      <c r="V26" s="232">
        <f>'Field Log (21)'!$C34</f>
        <v>0</v>
      </c>
      <c r="W26" s="232">
        <f>'Field Log (22)'!$C34</f>
        <v>0</v>
      </c>
      <c r="X26" s="232" t="str">
        <f>'Field Log (23)'!$C34</f>
        <v>Gauvin, Mario</v>
      </c>
      <c r="Y26" s="232" t="str">
        <f>'Field Log (24)'!$C34</f>
        <v>Ghebreghziabher, Tbehaye</v>
      </c>
      <c r="Z26" s="232">
        <f>'Field Log (25)'!$C34</f>
        <v>0</v>
      </c>
      <c r="AA26" s="232" t="str">
        <f>'Field Log (26)'!$C34</f>
        <v>Ritza, Philip</v>
      </c>
      <c r="AB26" s="232">
        <f>'Field Log (27)'!$C34</f>
        <v>0</v>
      </c>
      <c r="AC26" s="232" t="str">
        <f>'Field Log (28)'!$C34</f>
        <v>Whitworth, Richard</v>
      </c>
      <c r="AD26" s="232">
        <f>'Field Log (29)'!$C34</f>
        <v>0</v>
      </c>
      <c r="AE26" s="232">
        <f>'Field Log (30)'!$C34</f>
        <v>0</v>
      </c>
      <c r="AF26" s="232">
        <f>'Field Log (31)'!$C34</f>
        <v>0</v>
      </c>
      <c r="AG26" s="232" t="str">
        <f>'Field Log (32)'!$C34</f>
        <v>OR1730</v>
      </c>
      <c r="AH26" s="232">
        <f>'Field Log (33)'!$C34</f>
        <v>0</v>
      </c>
      <c r="AI26" s="232">
        <f>'Field Log (34)'!$C34</f>
        <v>0</v>
      </c>
      <c r="AJ26" s="232" t="str">
        <f>'Field Log (35)'!$C34</f>
        <v>OR1470</v>
      </c>
    </row>
    <row r="27" spans="2:36">
      <c r="B27" s="232">
        <f>'Field Log (1)'!C35</f>
        <v>0</v>
      </c>
      <c r="C27" s="232">
        <f>'Field Log (2)'!C35</f>
        <v>0</v>
      </c>
      <c r="D27" s="232">
        <f>'Field Log (3)'!C35</f>
        <v>0</v>
      </c>
      <c r="E27" s="232" t="str">
        <f>'Field Log (4)'!C35</f>
        <v>OR1712</v>
      </c>
      <c r="F27" s="232">
        <f>'Field Log (5)'!C35</f>
        <v>0</v>
      </c>
      <c r="G27" s="232" t="str">
        <f>'Field Log (6)'!C35</f>
        <v>OR1090</v>
      </c>
      <c r="H27" s="232">
        <f>'Field Log (7)'!C35</f>
        <v>0</v>
      </c>
      <c r="I27" s="232">
        <f>'Field Log (8)'!C35</f>
        <v>0</v>
      </c>
      <c r="J27" s="232">
        <f>'Field Log (9)'!C35</f>
        <v>0</v>
      </c>
      <c r="K27" s="232">
        <f>'Field Log (10)'!C35</f>
        <v>0</v>
      </c>
      <c r="L27" s="232" t="str">
        <f>'Field Log (11)'!C35</f>
        <v>OR2252</v>
      </c>
      <c r="M27" s="232" t="str">
        <f>'Field Log (12)'!C35</f>
        <v>OR1520</v>
      </c>
      <c r="N27" s="232">
        <f>'Field Log (13)'!C35</f>
        <v>0</v>
      </c>
      <c r="O27" s="232">
        <f>'Field Log (14)'!C35</f>
        <v>0</v>
      </c>
      <c r="P27" s="232">
        <f>'Field Log (15)'!$C35</f>
        <v>0</v>
      </c>
      <c r="Q27" s="232" t="str">
        <f>'Field Log (16)'!$C35</f>
        <v>Johnston, Jordan</v>
      </c>
      <c r="R27" s="232">
        <f>'Field Log (17)'!$C35</f>
        <v>0</v>
      </c>
      <c r="S27" s="232">
        <f>'Field Log (18)'!$C35</f>
        <v>0</v>
      </c>
      <c r="T27" s="232">
        <f>'Field Log (19)'!$C35</f>
        <v>0</v>
      </c>
      <c r="U27" s="232" t="str">
        <f>'Field Log (20)'!$C35</f>
        <v>OR1820</v>
      </c>
      <c r="V27" s="232">
        <f>'Field Log (21)'!$C35</f>
        <v>0</v>
      </c>
      <c r="W27" s="232">
        <f>'Field Log (22)'!$C35</f>
        <v>0</v>
      </c>
      <c r="X27" s="232" t="str">
        <f>'Field Log (23)'!$C35</f>
        <v>Basic, Peter</v>
      </c>
      <c r="Y27" s="232">
        <f>'Field Log (24)'!$C35</f>
        <v>0</v>
      </c>
      <c r="Z27" s="232">
        <f>'Field Log (25)'!$C35</f>
        <v>0</v>
      </c>
      <c r="AA27" s="232" t="str">
        <f>'Field Log (26)'!$C35</f>
        <v>Wojcichowsky, Ron</v>
      </c>
      <c r="AB27" s="232">
        <f>'Field Log (27)'!$C35</f>
        <v>0</v>
      </c>
      <c r="AC27" s="232" t="str">
        <f>'Field Log (28)'!$C35</f>
        <v>MacKinnon, Robert</v>
      </c>
      <c r="AD27" s="232">
        <f>'Field Log (29)'!$C35</f>
        <v>0</v>
      </c>
      <c r="AE27" s="232">
        <f>'Field Log (30)'!$C35</f>
        <v>0</v>
      </c>
      <c r="AF27" s="232">
        <f>'Field Log (31)'!$C35</f>
        <v>0</v>
      </c>
      <c r="AG27" s="232" t="str">
        <f>'Field Log (32)'!$C35</f>
        <v>OR1731</v>
      </c>
      <c r="AH27" s="232">
        <f>'Field Log (33)'!$C35</f>
        <v>0</v>
      </c>
      <c r="AI27" s="232">
        <f>'Field Log (34)'!$C35</f>
        <v>0</v>
      </c>
      <c r="AJ27" s="232" t="str">
        <f>'Field Log (35)'!$C35</f>
        <v>OR1447</v>
      </c>
    </row>
    <row r="28" spans="2:36">
      <c r="B28" s="232" t="str">
        <f>'Field Log (1)'!C36</f>
        <v>SA6-013</v>
      </c>
      <c r="C28" s="232">
        <f>'Field Log (2)'!C36</f>
        <v>0</v>
      </c>
      <c r="D28" s="232">
        <f>'Field Log (3)'!C36</f>
        <v>0</v>
      </c>
      <c r="E28" s="232" t="str">
        <f>'Field Log (4)'!C36</f>
        <v>DL2586</v>
      </c>
      <c r="F28" s="232">
        <f>'Field Log (5)'!C36</f>
        <v>0</v>
      </c>
      <c r="G28" s="232" t="str">
        <f>'Field Log (6)'!C36</f>
        <v>OR1091</v>
      </c>
      <c r="H28" s="232">
        <f>'Field Log (7)'!C36</f>
        <v>0</v>
      </c>
      <c r="I28" s="232" t="str">
        <f>'Field Log (8)'!C36</f>
        <v>OR1793</v>
      </c>
      <c r="J28" s="232">
        <f>'Field Log (9)'!C36</f>
        <v>0</v>
      </c>
      <c r="K28" s="232">
        <f>'Field Log (10)'!C36</f>
        <v>0</v>
      </c>
      <c r="L28" s="232" t="str">
        <f>'Field Log (11)'!C36</f>
        <v>DL2500</v>
      </c>
      <c r="M28" s="232" t="str">
        <f>'Field Log (12)'!C36</f>
        <v>OR1528</v>
      </c>
      <c r="N28" s="232">
        <f>'Field Log (13)'!C36</f>
        <v>0</v>
      </c>
      <c r="O28" s="232" t="str">
        <f>'Field Log (14)'!C36</f>
        <v>SA6-001</v>
      </c>
      <c r="P28" s="232">
        <f>'Field Log (15)'!$C36</f>
        <v>0</v>
      </c>
      <c r="Q28" s="232" t="str">
        <f>'Field Log (16)'!$C36</f>
        <v>Trombley, josh</v>
      </c>
      <c r="R28" s="232">
        <f>'Field Log (17)'!$C36</f>
        <v>0</v>
      </c>
      <c r="S28" s="232">
        <f>'Field Log (18)'!$C36</f>
        <v>0</v>
      </c>
      <c r="T28" s="232">
        <f>'Field Log (19)'!$C36</f>
        <v>0</v>
      </c>
      <c r="U28" s="232" t="str">
        <f>'Field Log (20)'!$C36</f>
        <v>BM58</v>
      </c>
      <c r="V28" s="232">
        <f>'Field Log (21)'!$C36</f>
        <v>0</v>
      </c>
      <c r="W28" s="232">
        <f>'Field Log (22)'!$C36</f>
        <v>0</v>
      </c>
      <c r="X28" s="232" t="str">
        <f>'Field Log (23)'!$C36</f>
        <v>Gibson, Peter</v>
      </c>
      <c r="Y28" s="232">
        <f>'Field Log (24)'!$C36</f>
        <v>0</v>
      </c>
      <c r="Z28" s="232">
        <f>'Field Log (25)'!$C36</f>
        <v>0</v>
      </c>
      <c r="AA28" s="232" t="str">
        <f>'Field Log (26)'!$C36</f>
        <v>Redford, Scot</v>
      </c>
      <c r="AB28" s="232">
        <f>'Field Log (27)'!$C36</f>
        <v>0</v>
      </c>
      <c r="AC28" s="232" t="str">
        <f>'Field Log (28)'!$C36</f>
        <v>Dawe, Ronald</v>
      </c>
      <c r="AD28" s="232">
        <f>'Field Log (29)'!$C36</f>
        <v>0</v>
      </c>
      <c r="AE28" s="232">
        <f>'Field Log (30)'!$C36</f>
        <v>0</v>
      </c>
      <c r="AF28" s="232">
        <f>'Field Log (31)'!$C36</f>
        <v>0</v>
      </c>
      <c r="AG28" s="232">
        <f>'Field Log (32)'!$C36</f>
        <v>0</v>
      </c>
      <c r="AH28" s="232">
        <f>'Field Log (33)'!$C36</f>
        <v>0</v>
      </c>
      <c r="AI28" s="232">
        <f>'Field Log (34)'!$C36</f>
        <v>0</v>
      </c>
      <c r="AJ28" s="232" t="str">
        <f>'Field Log (35)'!$C36</f>
        <v>OR1450</v>
      </c>
    </row>
    <row r="29" spans="2:36">
      <c r="B29" s="232" t="str">
        <f>'Field Log (1)'!C37</f>
        <v>OR1131</v>
      </c>
      <c r="C29" s="232" t="str">
        <f>'Field Log (2)'!C37</f>
        <v>SA8-003</v>
      </c>
      <c r="D29" s="232">
        <f>'Field Log (3)'!C37</f>
        <v>0</v>
      </c>
      <c r="E29" s="232" t="str">
        <f>'Field Log (4)'!C37</f>
        <v>OR1062</v>
      </c>
      <c r="F29" s="232">
        <f>'Field Log (5)'!C37</f>
        <v>0</v>
      </c>
      <c r="G29" s="232">
        <f>'Field Log (6)'!C37</f>
        <v>0</v>
      </c>
      <c r="H29" s="232">
        <f>'Field Log (7)'!C37</f>
        <v>0</v>
      </c>
      <c r="I29" s="232" t="str">
        <f>'Field Log (8)'!C37</f>
        <v>OR1602d</v>
      </c>
      <c r="J29" s="232">
        <f>'Field Log (9)'!C37</f>
        <v>0</v>
      </c>
      <c r="K29" s="232">
        <f>'Field Log (10)'!C37</f>
        <v>0</v>
      </c>
      <c r="L29" s="232" t="str">
        <f>'Field Log (11)'!C37</f>
        <v>DL2502</v>
      </c>
      <c r="M29" s="232" t="str">
        <f>'Field Log (12)'!C37</f>
        <v>OR1532</v>
      </c>
      <c r="N29" s="232">
        <f>'Field Log (13)'!C37</f>
        <v>0</v>
      </c>
      <c r="O29" s="232" t="str">
        <f>'Field Log (14)'!C37</f>
        <v>SA8-006</v>
      </c>
      <c r="P29" s="232">
        <f>'Field Log (15)'!$C37</f>
        <v>0</v>
      </c>
      <c r="Q29" s="232" t="str">
        <f>'Field Log (16)'!$C37</f>
        <v>Bley, Kelly</v>
      </c>
      <c r="R29" s="232">
        <f>'Field Log (17)'!$C37</f>
        <v>0</v>
      </c>
      <c r="S29" s="232">
        <f>'Field Log (18)'!$C37</f>
        <v>0</v>
      </c>
      <c r="T29" s="232">
        <f>'Field Log (19)'!$C37</f>
        <v>0</v>
      </c>
      <c r="U29" s="232" t="str">
        <f>'Field Log (20)'!$C37</f>
        <v>OR1050</v>
      </c>
      <c r="V29" s="232" t="str">
        <f>'Field Log (21)'!$C37</f>
        <v>AT02</v>
      </c>
      <c r="W29" s="232">
        <f>'Field Log (22)'!$C37</f>
        <v>0</v>
      </c>
      <c r="X29" s="232" t="str">
        <f>'Field Log (23)'!$C37</f>
        <v>White, Peter</v>
      </c>
      <c r="Y29" s="232">
        <f>'Field Log (24)'!$C37</f>
        <v>0</v>
      </c>
      <c r="Z29" s="232">
        <f>'Field Log (25)'!$C37</f>
        <v>0</v>
      </c>
      <c r="AA29" s="232" t="str">
        <f>'Field Log (26)'!$C37</f>
        <v>Harder, Ted</v>
      </c>
      <c r="AB29" s="232">
        <f>'Field Log (27)'!$C37</f>
        <v>0</v>
      </c>
      <c r="AC29" s="232" t="str">
        <f>'Field Log (28)'!$C37</f>
        <v>Daulby, Rory</v>
      </c>
      <c r="AD29" s="232">
        <f>'Field Log (29)'!$C37</f>
        <v>0</v>
      </c>
      <c r="AE29" s="232">
        <f>'Field Log (30)'!$C37</f>
        <v>0</v>
      </c>
      <c r="AF29" s="232">
        <f>'Field Log (31)'!$C37</f>
        <v>0</v>
      </c>
      <c r="AG29" s="232">
        <f>'Field Log (32)'!$C37</f>
        <v>0</v>
      </c>
      <c r="AH29" s="232">
        <f>'Field Log (33)'!$C37</f>
        <v>0</v>
      </c>
      <c r="AI29" s="232">
        <f>'Field Log (34)'!$C37</f>
        <v>0</v>
      </c>
      <c r="AJ29" s="232">
        <f>'Field Log (35)'!$C37</f>
        <v>0</v>
      </c>
    </row>
    <row r="30" spans="2:36">
      <c r="B30" s="232" t="str">
        <f>'Field Log (1)'!C38</f>
        <v>DL2531</v>
      </c>
      <c r="C30" s="232" t="str">
        <f>'Field Log (2)'!C38</f>
        <v>OR1282</v>
      </c>
      <c r="D30" s="232">
        <f>'Field Log (3)'!C38</f>
        <v>0</v>
      </c>
      <c r="E30" s="232" t="str">
        <f>'Field Log (4)'!C38</f>
        <v>SB312</v>
      </c>
      <c r="F30" s="232">
        <f>'Field Log (5)'!C38</f>
        <v>0</v>
      </c>
      <c r="G30" s="232">
        <f>'Field Log (6)'!C38</f>
        <v>0</v>
      </c>
      <c r="H30" s="232">
        <f>'Field Log (7)'!C38</f>
        <v>0</v>
      </c>
      <c r="I30" s="232" t="str">
        <f>'Field Log (8)'!C38</f>
        <v>OR1019</v>
      </c>
      <c r="J30" s="232">
        <f>'Field Log (9)'!C38</f>
        <v>0</v>
      </c>
      <c r="K30" s="232">
        <f>'Field Log (10)'!C38</f>
        <v>0</v>
      </c>
      <c r="L30" s="232" t="str">
        <f>'Field Log (11)'!C38</f>
        <v>DL2564</v>
      </c>
      <c r="M30" s="232" t="str">
        <f>'Field Log (12)'!C38</f>
        <v>OR1534</v>
      </c>
      <c r="N30" s="232">
        <f>'Field Log (13)'!C38</f>
        <v>0</v>
      </c>
      <c r="O30" s="232" t="str">
        <f>'Field Log (14)'!C38</f>
        <v>OR1711</v>
      </c>
      <c r="P30" s="232">
        <f>'Field Log (15)'!$C38</f>
        <v>0</v>
      </c>
      <c r="Q30" s="232" t="str">
        <f>'Field Log (16)'!$C38</f>
        <v>Leganchuk, Larry</v>
      </c>
      <c r="R30" s="232">
        <f>'Field Log (17)'!$C38</f>
        <v>0</v>
      </c>
      <c r="S30" s="232">
        <f>'Field Log (18)'!$C38</f>
        <v>0</v>
      </c>
      <c r="T30" s="232">
        <f>'Field Log (19)'!$C38</f>
        <v>0</v>
      </c>
      <c r="U30" s="232" t="str">
        <f>'Field Log (20)'!$C38</f>
        <v>OR1058</v>
      </c>
      <c r="V30" s="232" t="str">
        <f>'Field Log (21)'!$C38</f>
        <v>OR1791</v>
      </c>
      <c r="W30" s="232">
        <f>'Field Log (22)'!$C38</f>
        <v>0</v>
      </c>
      <c r="X30" s="232" t="str">
        <f>'Field Log (23)'!$C38</f>
        <v>Christen, Robert</v>
      </c>
      <c r="Y30" s="232">
        <f>'Field Log (24)'!$C38</f>
        <v>0</v>
      </c>
      <c r="Z30" s="232">
        <f>'Field Log (25)'!$C38</f>
        <v>0</v>
      </c>
      <c r="AA30" s="232" t="str">
        <f>'Field Log (26)'!$C38</f>
        <v>Dodd, Tom</v>
      </c>
      <c r="AB30" s="232">
        <f>'Field Log (27)'!$C38</f>
        <v>0</v>
      </c>
      <c r="AC30" s="232" t="str">
        <f>'Field Log (28)'!$C38</f>
        <v>Moore, Shawn</v>
      </c>
      <c r="AD30" s="232">
        <f>'Field Log (29)'!$C38</f>
        <v>0</v>
      </c>
      <c r="AE30" s="232">
        <f>'Field Log (30)'!$C38</f>
        <v>0</v>
      </c>
      <c r="AF30" s="232">
        <f>'Field Log (31)'!$C38</f>
        <v>0</v>
      </c>
      <c r="AG30" s="232">
        <f>'Field Log (32)'!$C38</f>
        <v>0</v>
      </c>
      <c r="AH30" s="232">
        <f>'Field Log (33)'!$C38</f>
        <v>0</v>
      </c>
      <c r="AI30" s="232">
        <f>'Field Log (34)'!$C38</f>
        <v>0</v>
      </c>
      <c r="AJ30" s="232">
        <f>'Field Log (35)'!$C38</f>
        <v>0</v>
      </c>
    </row>
    <row r="31" spans="2:36">
      <c r="B31" s="232" t="str">
        <f>'Field Log (1)'!C39</f>
        <v>OR1710</v>
      </c>
      <c r="C31" s="232" t="str">
        <f>'Field Log (2)'!C39</f>
        <v>SA8-001</v>
      </c>
      <c r="D31" s="232">
        <f>'Field Log (3)'!C39</f>
        <v>0</v>
      </c>
      <c r="E31" s="232" t="str">
        <f>'Field Log (4)'!C39</f>
        <v>U651Q0182</v>
      </c>
      <c r="F31" s="232">
        <f>'Field Log (5)'!C39</f>
        <v>0</v>
      </c>
      <c r="G31" s="232">
        <f>'Field Log (6)'!C39</f>
        <v>0</v>
      </c>
      <c r="H31" s="232" t="str">
        <f>'Field Log (7)'!C39</f>
        <v>DL2603</v>
      </c>
      <c r="I31" s="232" t="str">
        <f>'Field Log (8)'!C39</f>
        <v>OR1589</v>
      </c>
      <c r="J31" s="232">
        <f>'Field Log (9)'!C39</f>
        <v>0</v>
      </c>
      <c r="K31" s="232">
        <f>'Field Log (10)'!C39</f>
        <v>0</v>
      </c>
      <c r="L31" s="232">
        <f>'Field Log (11)'!C39</f>
        <v>0</v>
      </c>
      <c r="M31" s="232" t="str">
        <f>'Field Log (12)'!C39</f>
        <v>OR1535</v>
      </c>
      <c r="N31" s="232">
        <f>'Field Log (13)'!C39</f>
        <v>0</v>
      </c>
      <c r="O31" s="232" t="str">
        <f>'Field Log (14)'!C39</f>
        <v>OR1734</v>
      </c>
      <c r="P31" s="232">
        <f>'Field Log (15)'!$C39</f>
        <v>0</v>
      </c>
      <c r="Q31" s="232" t="str">
        <f>'Field Log (16)'!$C39</f>
        <v>Ouellet, Luc</v>
      </c>
      <c r="R31" s="232">
        <f>'Field Log (17)'!$C39</f>
        <v>0</v>
      </c>
      <c r="S31" s="232">
        <f>'Field Log (18)'!$C39</f>
        <v>0</v>
      </c>
      <c r="T31" s="232">
        <f>'Field Log (19)'!$C39</f>
        <v>0</v>
      </c>
      <c r="U31" s="232" t="str">
        <f>'Field Log (20)'!$C39</f>
        <v>OR1065</v>
      </c>
      <c r="V31" s="232" t="str">
        <f>'Field Log (21)'!$C39</f>
        <v>OR1661</v>
      </c>
      <c r="W31" s="232">
        <f>'Field Log (22)'!$C39</f>
        <v>0</v>
      </c>
      <c r="X31" s="232" t="str">
        <f>'Field Log (23)'!$C39</f>
        <v>Letourneau, Robert</v>
      </c>
      <c r="Y31" s="232">
        <f>'Field Log (24)'!$C39</f>
        <v>0</v>
      </c>
      <c r="Z31" s="232">
        <f>'Field Log (25)'!$C39</f>
        <v>0</v>
      </c>
      <c r="AA31" s="232" t="str">
        <f>'Field Log (26)'!$C39</f>
        <v>Larocque, Travis</v>
      </c>
      <c r="AB31" s="232">
        <f>'Field Log (27)'!$C39</f>
        <v>0</v>
      </c>
      <c r="AC31" s="232" t="str">
        <f>'Field Log (28)'!$C39</f>
        <v>Mann, Steven</v>
      </c>
      <c r="AD31" s="232">
        <f>'Field Log (29)'!$C39</f>
        <v>0</v>
      </c>
      <c r="AE31" s="232">
        <f>'Field Log (30)'!$C39</f>
        <v>0</v>
      </c>
      <c r="AF31" s="232" t="str">
        <f>'Field Log (31)'!$C39</f>
        <v>DL2623</v>
      </c>
      <c r="AG31" s="232">
        <f>'Field Log (32)'!$C39</f>
        <v>0</v>
      </c>
      <c r="AH31" s="232">
        <f>'Field Log (33)'!$C39</f>
        <v>0</v>
      </c>
      <c r="AI31" s="232">
        <f>'Field Log (34)'!$C39</f>
        <v>0</v>
      </c>
      <c r="AJ31" s="232">
        <f>'Field Log (35)'!$C39</f>
        <v>0</v>
      </c>
    </row>
    <row r="32" spans="2:36">
      <c r="B32" s="232" t="str">
        <f>'Field Log (1)'!C40</f>
        <v>OR1097</v>
      </c>
      <c r="C32" s="232" t="str">
        <f>'Field Log (2)'!C40</f>
        <v>OR1132</v>
      </c>
      <c r="D32" s="232">
        <f>'Field Log (3)'!C40</f>
        <v>0</v>
      </c>
      <c r="E32" s="232" t="str">
        <f>'Field Log (4)'!C40</f>
        <v>OR1168</v>
      </c>
      <c r="F32" s="232">
        <f>'Field Log (5)'!C40</f>
        <v>0</v>
      </c>
      <c r="G32" s="232">
        <f>'Field Log (6)'!C40</f>
        <v>0</v>
      </c>
      <c r="H32" s="232" t="str">
        <f>'Field Log (7)'!C40</f>
        <v>DL2625</v>
      </c>
      <c r="I32" s="232" t="str">
        <f>'Field Log (8)'!C40</f>
        <v>OR1729</v>
      </c>
      <c r="J32" s="232">
        <f>'Field Log (9)'!C40</f>
        <v>0</v>
      </c>
      <c r="K32" s="232" t="str">
        <f>'Field Log (10)'!C40</f>
        <v>OR1843</v>
      </c>
      <c r="L32" s="232">
        <f>'Field Log (11)'!C40</f>
        <v>0</v>
      </c>
      <c r="M32" s="232" t="str">
        <f>'Field Log (12)'!C40</f>
        <v>OR1098</v>
      </c>
      <c r="N32" s="232">
        <f>'Field Log (13)'!C40</f>
        <v>0</v>
      </c>
      <c r="O32" s="232" t="str">
        <f>'Field Log (14)'!C40</f>
        <v>OR1012</v>
      </c>
      <c r="P32" s="232" t="str">
        <f>'Field Log (15)'!$C40</f>
        <v>OR1299</v>
      </c>
      <c r="Q32" s="232" t="str">
        <f>'Field Log (16)'!$C40</f>
        <v>Belanger, Marc</v>
      </c>
      <c r="R32" s="232">
        <f>'Field Log (17)'!$C40</f>
        <v>0</v>
      </c>
      <c r="S32" s="232">
        <f>'Field Log (18)'!$C40</f>
        <v>0</v>
      </c>
      <c r="T32" s="232">
        <f>'Field Log (19)'!$C40</f>
        <v>0</v>
      </c>
      <c r="U32" s="232" t="str">
        <f>'Field Log (20)'!$C40</f>
        <v>OR1075</v>
      </c>
      <c r="V32" s="232" t="str">
        <f>'Field Log (21)'!$C40</f>
        <v>OR1074</v>
      </c>
      <c r="W32" s="232">
        <f>'Field Log (22)'!$C40</f>
        <v>0</v>
      </c>
      <c r="X32" s="232" t="str">
        <f>'Field Log (23)'!$C40</f>
        <v>Belcourt, Roland</v>
      </c>
      <c r="Y32" s="232">
        <f>'Field Log (24)'!$C40</f>
        <v>0</v>
      </c>
      <c r="Z32" s="232">
        <f>'Field Log (25)'!$C40</f>
        <v>0</v>
      </c>
      <c r="AA32" s="232" t="str">
        <f>'Field Log (26)'!$C40</f>
        <v>Heise, William</v>
      </c>
      <c r="AB32" s="232" t="str">
        <f>'Field Log (27)'!$C40</f>
        <v>OR1575</v>
      </c>
      <c r="AC32" s="232" t="str">
        <f>'Field Log (28)'!$C40</f>
        <v>Near, William</v>
      </c>
      <c r="AD32" s="232">
        <f>'Field Log (29)'!$C40</f>
        <v>0</v>
      </c>
      <c r="AE32" s="232">
        <f>'Field Log (30)'!$C40</f>
        <v>0</v>
      </c>
      <c r="AF32" s="232" t="str">
        <f>'Field Log (31)'!$C40</f>
        <v>OR1434</v>
      </c>
      <c r="AG32" s="232">
        <f>'Field Log (32)'!$C40</f>
        <v>0</v>
      </c>
      <c r="AH32" s="232">
        <f>'Field Log (33)'!$C40</f>
        <v>0</v>
      </c>
      <c r="AI32" s="232">
        <f>'Field Log (34)'!$C40</f>
        <v>0</v>
      </c>
      <c r="AJ32" s="232">
        <f>'Field Log (35)'!$C40</f>
        <v>0</v>
      </c>
    </row>
    <row r="33" spans="2:36">
      <c r="B33" s="232" t="str">
        <f>'Field Log (1)'!C41</f>
        <v>DL2574</v>
      </c>
      <c r="C33" s="232" t="str">
        <f>'Field Log (2)'!C41</f>
        <v>OR1061</v>
      </c>
      <c r="D33" s="232">
        <f>'Field Log (3)'!C41</f>
        <v>0</v>
      </c>
      <c r="E33" s="232" t="str">
        <f>'Field Log (4)'!C41</f>
        <v>OR1173</v>
      </c>
      <c r="F33" s="232">
        <f>'Field Log (5)'!C41</f>
        <v>0</v>
      </c>
      <c r="G33" s="232">
        <f>'Field Log (6)'!C41</f>
        <v>0</v>
      </c>
      <c r="H33" s="232" t="str">
        <f>'Field Log (7)'!C41</f>
        <v>DL2722</v>
      </c>
      <c r="I33" s="232" t="str">
        <f>'Field Log (8)'!C41</f>
        <v>DL2613</v>
      </c>
      <c r="J33" s="232">
        <f>'Field Log (9)'!C41</f>
        <v>0</v>
      </c>
      <c r="K33" s="232" t="str">
        <f>'Field Log (10)'!C41</f>
        <v>OR1476</v>
      </c>
      <c r="L33" s="232">
        <f>'Field Log (11)'!C41</f>
        <v>0</v>
      </c>
      <c r="M33" s="232" t="str">
        <f>'Field Log (12)'!C41</f>
        <v>OR1725</v>
      </c>
      <c r="N33" s="232">
        <f>'Field Log (13)'!C41</f>
        <v>0</v>
      </c>
      <c r="O33" s="232" t="str">
        <f>'Field Log (14)'!C41</f>
        <v>TC123</v>
      </c>
      <c r="P33" s="232" t="str">
        <f>'Field Log (15)'!$C41</f>
        <v>OR1468</v>
      </c>
      <c r="Q33" s="232" t="str">
        <f>'Field Log (16)'!$C41</f>
        <v>Chromik, Matt</v>
      </c>
      <c r="R33" s="232">
        <f>'Field Log (17)'!$C41</f>
        <v>0</v>
      </c>
      <c r="S33" s="232">
        <f>'Field Log (18)'!$C41</f>
        <v>0</v>
      </c>
      <c r="T33" s="232">
        <f>'Field Log (19)'!$C41</f>
        <v>0</v>
      </c>
      <c r="U33" s="232" t="str">
        <f>'Field Log (20)'!$C41</f>
        <v>OR1082</v>
      </c>
      <c r="V33" s="232" t="str">
        <f>'Field Log (21)'!$C41</f>
        <v>OR1750</v>
      </c>
      <c r="W33" s="232">
        <f>'Field Log (22)'!$C41</f>
        <v>0</v>
      </c>
      <c r="X33" s="232" t="str">
        <f>'Field Log (23)'!$C41</f>
        <v>Theirault, Ron</v>
      </c>
      <c r="Y33" s="232">
        <f>'Field Log (24)'!$C41</f>
        <v>0</v>
      </c>
      <c r="Z33" s="232">
        <f>'Field Log (25)'!$C41</f>
        <v>0</v>
      </c>
      <c r="AA33" s="232">
        <f>'Field Log (26)'!$C41</f>
        <v>0</v>
      </c>
      <c r="AB33" s="232" t="str">
        <f>'Field Log (27)'!$C41</f>
        <v>OR1523</v>
      </c>
      <c r="AC33" s="232">
        <f>'Field Log (28)'!$C41</f>
        <v>0</v>
      </c>
      <c r="AD33" s="232">
        <f>'Field Log (29)'!$C41</f>
        <v>0</v>
      </c>
      <c r="AE33" s="232">
        <f>'Field Log (30)'!$C41</f>
        <v>0</v>
      </c>
      <c r="AF33" s="232" t="str">
        <f>'Field Log (31)'!$C41</f>
        <v>OR1445d</v>
      </c>
      <c r="AG33" s="232">
        <f>'Field Log (32)'!$C41</f>
        <v>0</v>
      </c>
      <c r="AH33" s="232">
        <f>'Field Log (33)'!$C41</f>
        <v>0</v>
      </c>
      <c r="AI33" s="232">
        <f>'Field Log (34)'!$C41</f>
        <v>0</v>
      </c>
      <c r="AJ33" s="232">
        <f>'Field Log (35)'!$C41</f>
        <v>0</v>
      </c>
    </row>
    <row r="34" spans="2:36">
      <c r="B34" s="232" t="str">
        <f>'Field Log (1)'!C42</f>
        <v>OR1549</v>
      </c>
      <c r="C34" s="232" t="str">
        <f>'Field Log (2)'!C42</f>
        <v>OR1073</v>
      </c>
      <c r="D34" s="232">
        <f>'Field Log (3)'!C42</f>
        <v>0</v>
      </c>
      <c r="E34" s="232">
        <f>'Field Log (4)'!C42</f>
        <v>0</v>
      </c>
      <c r="F34" s="232">
        <f>'Field Log (5)'!C42</f>
        <v>0</v>
      </c>
      <c r="G34" s="232">
        <f>'Field Log (6)'!C42</f>
        <v>0</v>
      </c>
      <c r="H34" s="232">
        <f>'Field Log (7)'!C42</f>
        <v>0</v>
      </c>
      <c r="I34" s="232">
        <f>'Field Log (8)'!C42</f>
        <v>0</v>
      </c>
      <c r="J34" s="232">
        <f>'Field Log (9)'!C42</f>
        <v>0</v>
      </c>
      <c r="K34" s="232" t="str">
        <f>'Field Log (10)'!C42</f>
        <v>OR1474</v>
      </c>
      <c r="L34" s="232">
        <f>'Field Log (11)'!C42</f>
        <v>0</v>
      </c>
      <c r="M34" s="232" t="str">
        <f>'Field Log (12)'!C42</f>
        <v>OR1727</v>
      </c>
      <c r="N34" s="232">
        <f>'Field Log (13)'!C42</f>
        <v>0</v>
      </c>
      <c r="O34" s="232" t="str">
        <f>'Field Log (14)'!C42</f>
        <v>OR1054</v>
      </c>
      <c r="P34" s="232" t="str">
        <f>'Field Log (15)'!$C42</f>
        <v>OR1141</v>
      </c>
      <c r="Q34" s="232" t="str">
        <f>'Field Log (16)'!$C42</f>
        <v>Moffat, Michael</v>
      </c>
      <c r="R34" s="232">
        <f>'Field Log (17)'!$C42</f>
        <v>0</v>
      </c>
      <c r="S34" s="232">
        <f>'Field Log (18)'!$C42</f>
        <v>0</v>
      </c>
      <c r="T34" s="232">
        <f>'Field Log (19)'!$C42</f>
        <v>0</v>
      </c>
      <c r="U34" s="232" t="str">
        <f>'Field Log (20)'!$C42</f>
        <v>OR1083</v>
      </c>
      <c r="V34" s="232" t="str">
        <f>'Field Log (21)'!$C42</f>
        <v>OR1702</v>
      </c>
      <c r="W34" s="232">
        <f>'Field Log (22)'!$C42</f>
        <v>0</v>
      </c>
      <c r="X34" s="232" t="str">
        <f>'Field Log (23)'!$C42</f>
        <v>Gauld, Ryan</v>
      </c>
      <c r="Y34" s="232" t="str">
        <f>'Field Log (24)'!$C42</f>
        <v>OR1313</v>
      </c>
      <c r="Z34" s="232">
        <f>'Field Log (25)'!$C42</f>
        <v>0</v>
      </c>
      <c r="AA34" s="232">
        <f>'Field Log (26)'!$C42</f>
        <v>0</v>
      </c>
      <c r="AB34" s="232" t="str">
        <f>'Field Log (27)'!$C42</f>
        <v>OR1533</v>
      </c>
      <c r="AC34" s="232">
        <f>'Field Log (28)'!$C42</f>
        <v>0</v>
      </c>
      <c r="AD34" s="232">
        <f>'Field Log (29)'!$C42</f>
        <v>0</v>
      </c>
      <c r="AE34" s="232">
        <f>'Field Log (30)'!$C42</f>
        <v>0</v>
      </c>
      <c r="AF34" s="232" t="str">
        <f>'Field Log (31)'!$C42</f>
        <v>OR1159</v>
      </c>
      <c r="AG34" s="232">
        <f>'Field Log (32)'!$C42</f>
        <v>0</v>
      </c>
      <c r="AH34" s="232">
        <f>'Field Log (33)'!$C42</f>
        <v>0</v>
      </c>
      <c r="AI34" s="232">
        <f>'Field Log (34)'!$C42</f>
        <v>0</v>
      </c>
      <c r="AJ34" s="232">
        <f>'Field Log (35)'!$C42</f>
        <v>0</v>
      </c>
    </row>
    <row r="35" spans="2:36">
      <c r="B35" s="232" t="str">
        <f>'Field Log (1)'!C43</f>
        <v>SB410</v>
      </c>
      <c r="C35" s="232" t="str">
        <f>'Field Log (2)'!C43</f>
        <v>OR1002</v>
      </c>
      <c r="D35" s="232">
        <f>'Field Log (3)'!C43</f>
        <v>0</v>
      </c>
      <c r="E35" s="232">
        <f>'Field Log (4)'!C43</f>
        <v>0</v>
      </c>
      <c r="F35" s="232">
        <f>'Field Log (5)'!C43</f>
        <v>0</v>
      </c>
      <c r="G35" s="232">
        <f>'Field Log (6)'!C43</f>
        <v>0</v>
      </c>
      <c r="H35" s="232">
        <f>'Field Log (7)'!C43</f>
        <v>0</v>
      </c>
      <c r="I35" s="232">
        <f>'Field Log (8)'!C43</f>
        <v>0</v>
      </c>
      <c r="J35" s="232">
        <f>'Field Log (9)'!C43</f>
        <v>0</v>
      </c>
      <c r="K35" s="232" t="str">
        <f>'Field Log (10)'!C43</f>
        <v>ATV18</v>
      </c>
      <c r="L35" s="232">
        <f>'Field Log (11)'!C43</f>
        <v>0</v>
      </c>
      <c r="M35" s="232" t="str">
        <f>'Field Log (12)'!C43</f>
        <v>OR1095</v>
      </c>
      <c r="N35" s="232">
        <f>'Field Log (13)'!C43</f>
        <v>0</v>
      </c>
      <c r="O35" s="232" t="str">
        <f>'Field Log (14)'!C43</f>
        <v>DL2572</v>
      </c>
      <c r="P35" s="232" t="str">
        <f>'Field Log (15)'!$C43</f>
        <v>DL2592</v>
      </c>
      <c r="Q35" s="232" t="str">
        <f>'Field Log (16)'!$C43</f>
        <v>Allan, Mitch</v>
      </c>
      <c r="R35" s="232">
        <f>'Field Log (17)'!$C43</f>
        <v>0</v>
      </c>
      <c r="S35" s="232">
        <f>'Field Log (18)'!$C43</f>
        <v>0</v>
      </c>
      <c r="T35" s="232">
        <f>'Field Log (19)'!$C43</f>
        <v>0</v>
      </c>
      <c r="U35" s="232" t="str">
        <f>'Field Log (20)'!$C43</f>
        <v>OR1724</v>
      </c>
      <c r="V35" s="232" t="str">
        <f>'Field Log (21)'!$C43</f>
        <v>OR1709</v>
      </c>
      <c r="W35" s="232">
        <f>'Field Log (22)'!$C43</f>
        <v>0</v>
      </c>
      <c r="X35" s="232" t="str">
        <f>'Field Log (23)'!$C43</f>
        <v>Libiak, Ryan</v>
      </c>
      <c r="Y35" s="232" t="str">
        <f>'Field Log (24)'!$C43</f>
        <v>OR1303C</v>
      </c>
      <c r="Z35" s="232">
        <f>'Field Log (25)'!$C43</f>
        <v>0</v>
      </c>
      <c r="AA35" s="232">
        <f>'Field Log (26)'!$C43</f>
        <v>0</v>
      </c>
      <c r="AB35" s="232" t="str">
        <f>'Field Log (27)'!$C43</f>
        <v>E109</v>
      </c>
      <c r="AC35" s="232">
        <f>'Field Log (28)'!$C43</f>
        <v>0</v>
      </c>
      <c r="AD35" s="232">
        <f>'Field Log (29)'!$C43</f>
        <v>0</v>
      </c>
      <c r="AE35" s="232">
        <f>'Field Log (30)'!$C43</f>
        <v>0</v>
      </c>
      <c r="AF35" s="232" t="str">
        <f>'Field Log (31)'!$C43</f>
        <v>OR1160</v>
      </c>
      <c r="AG35" s="232">
        <f>'Field Log (32)'!$C43</f>
        <v>0</v>
      </c>
      <c r="AH35" s="232" t="str">
        <f>'Field Log (33)'!$C43</f>
        <v>OR1056</v>
      </c>
      <c r="AI35" s="232">
        <f>'Field Log (34)'!$C43</f>
        <v>0</v>
      </c>
      <c r="AJ35" s="232">
        <f>'Field Log (35)'!$C43</f>
        <v>0</v>
      </c>
    </row>
    <row r="36" spans="2:36">
      <c r="B36" s="232" t="str">
        <f>'Field Log (1)'!C44</f>
        <v>SB415</v>
      </c>
      <c r="C36" s="232" t="str">
        <f>'Field Log (2)'!C44</f>
        <v>SA8-001a</v>
      </c>
      <c r="D36" s="232">
        <f>'Field Log (3)'!C44</f>
        <v>0</v>
      </c>
      <c r="E36" s="232">
        <f>'Field Log (4)'!C44</f>
        <v>0</v>
      </c>
      <c r="F36" s="232" t="str">
        <f>'Field Log (5)'!C44</f>
        <v>OR1513</v>
      </c>
      <c r="G36" s="232">
        <f>'Field Log (6)'!C44</f>
        <v>0</v>
      </c>
      <c r="H36" s="232">
        <f>'Field Log (7)'!C44</f>
        <v>0</v>
      </c>
      <c r="I36" s="232">
        <f>'Field Log (8)'!C44</f>
        <v>0</v>
      </c>
      <c r="J36" s="232">
        <f>'Field Log (9)'!C44</f>
        <v>0</v>
      </c>
      <c r="K36" s="232" t="str">
        <f>'Field Log (10)'!C44</f>
        <v>OR1130</v>
      </c>
      <c r="L36" s="232">
        <f>'Field Log (11)'!C44</f>
        <v>0</v>
      </c>
      <c r="M36" s="232" t="str">
        <f>'Field Log (12)'!C44</f>
        <v>OR1705</v>
      </c>
      <c r="N36" s="232">
        <f>'Field Log (13)'!C44</f>
        <v>0</v>
      </c>
      <c r="O36" s="232" t="str">
        <f>'Field Log (14)'!C44</f>
        <v>OR1783</v>
      </c>
      <c r="P36" s="232" t="str">
        <f>'Field Log (15)'!$C44</f>
        <v>OR1714</v>
      </c>
      <c r="Q36" s="232" t="str">
        <f>'Field Log (16)'!$C44</f>
        <v>McDonald, Owen</v>
      </c>
      <c r="R36" s="232">
        <f>'Field Log (17)'!$C44</f>
        <v>0</v>
      </c>
      <c r="S36" s="232">
        <f>'Field Log (18)'!$C44</f>
        <v>0</v>
      </c>
      <c r="T36" s="232">
        <f>'Field Log (19)'!$C44</f>
        <v>0</v>
      </c>
      <c r="U36" s="232" t="str">
        <f>'Field Log (20)'!$C44</f>
        <v>OR1754</v>
      </c>
      <c r="V36" s="232" t="str">
        <f>'Field Log (21)'!$C44</f>
        <v>OR1077</v>
      </c>
      <c r="W36" s="232">
        <f>'Field Log (22)'!$C44</f>
        <v>0</v>
      </c>
      <c r="X36" s="232" t="str">
        <f>'Field Log (23)'!$C44</f>
        <v>Niles, Samuel</v>
      </c>
      <c r="Y36" s="232" t="str">
        <f>'Field Log (24)'!$C44</f>
        <v>444cT</v>
      </c>
      <c r="Z36" s="232">
        <f>'Field Log (25)'!$C44</f>
        <v>0</v>
      </c>
      <c r="AA36" s="232">
        <f>'Field Log (26)'!$C44</f>
        <v>0</v>
      </c>
      <c r="AB36" s="232" t="str">
        <f>'Field Log (27)'!$C44</f>
        <v>OR1592</v>
      </c>
      <c r="AC36" s="232">
        <f>'Field Log (28)'!$C44</f>
        <v>0</v>
      </c>
      <c r="AD36" s="232">
        <f>'Field Log (29)'!$C44</f>
        <v>0</v>
      </c>
      <c r="AE36" s="232" t="str">
        <f>'Field Log (30)'!$C44</f>
        <v>ATV16</v>
      </c>
      <c r="AF36" s="232" t="str">
        <f>'Field Log (31)'!$C44</f>
        <v>OR1161</v>
      </c>
      <c r="AG36" s="232">
        <f>'Field Log (32)'!$C44</f>
        <v>0</v>
      </c>
      <c r="AH36" s="232" t="str">
        <f>'Field Log (33)'!$C44</f>
        <v>OR1092</v>
      </c>
      <c r="AI36" s="232">
        <f>'Field Log (34)'!$C44</f>
        <v>0</v>
      </c>
      <c r="AJ36" s="232">
        <f>'Field Log (35)'!$C44</f>
        <v>0</v>
      </c>
    </row>
    <row r="37" spans="2:36">
      <c r="B37" s="232" t="str">
        <f>'Field Log (1)'!C45</f>
        <v>SB416</v>
      </c>
      <c r="C37" s="232" t="str">
        <f>'Field Log (2)'!C45</f>
        <v>SB308</v>
      </c>
      <c r="D37" s="232">
        <f>'Field Log (3)'!C45</f>
        <v>0</v>
      </c>
      <c r="E37" s="232">
        <f>'Field Log (4)'!C45</f>
        <v>0</v>
      </c>
      <c r="F37" s="232" t="str">
        <f>'Field Log (5)'!C45</f>
        <v>OR1522</v>
      </c>
      <c r="G37" s="232">
        <f>'Field Log (6)'!C45</f>
        <v>0</v>
      </c>
      <c r="H37" s="232">
        <f>'Field Log (7)'!C45</f>
        <v>0</v>
      </c>
      <c r="I37" s="232">
        <f>'Field Log (8)'!C45</f>
        <v>0</v>
      </c>
      <c r="J37" s="232">
        <f>'Field Log (9)'!C45</f>
        <v>0</v>
      </c>
      <c r="K37" s="232" t="str">
        <f>'Field Log (10)'!C45</f>
        <v>OR1136</v>
      </c>
      <c r="L37" s="232">
        <f>'Field Log (11)'!C45</f>
        <v>0</v>
      </c>
      <c r="M37" s="232" t="str">
        <f>'Field Log (12)'!C45</f>
        <v>OR1716</v>
      </c>
      <c r="N37" s="232">
        <f>'Field Log (13)'!C45</f>
        <v>0</v>
      </c>
      <c r="O37" s="232" t="str">
        <f>'Field Log (14)'!C45</f>
        <v>SB409</v>
      </c>
      <c r="P37" s="232" t="str">
        <f>'Field Log (15)'!$C45</f>
        <v>OR1723</v>
      </c>
      <c r="Q37" s="232" t="str">
        <f>'Field Log (16)'!$C45</f>
        <v>Mitchell, Perry</v>
      </c>
      <c r="R37" s="232">
        <f>'Field Log (17)'!$C45</f>
        <v>0</v>
      </c>
      <c r="S37" s="232">
        <f>'Field Log (18)'!$C45</f>
        <v>0</v>
      </c>
      <c r="T37" s="232">
        <f>'Field Log (19)'!$C45</f>
        <v>0</v>
      </c>
      <c r="U37" s="232" t="str">
        <f>'Field Log (20)'!$C45</f>
        <v>OR1757d</v>
      </c>
      <c r="V37" s="232" t="str">
        <f>'Field Log (21)'!$C45</f>
        <v>OR1458</v>
      </c>
      <c r="W37" s="232">
        <f>'Field Log (22)'!$C45</f>
        <v>0</v>
      </c>
      <c r="X37" s="232" t="str">
        <f>'Field Log (23)'!$C45</f>
        <v>Boucher, Yvon</v>
      </c>
      <c r="Y37" s="232" t="str">
        <f>'Field Log (24)'!$C45</f>
        <v>OR1301C</v>
      </c>
      <c r="Z37" s="232">
        <f>'Field Log (25)'!$C45</f>
        <v>0</v>
      </c>
      <c r="AA37" s="232">
        <f>'Field Log (26)'!$C45</f>
        <v>0</v>
      </c>
      <c r="AB37" s="232" t="str">
        <f>'Field Log (27)'!$C45</f>
        <v>OR1017</v>
      </c>
      <c r="AC37" s="232">
        <f>'Field Log (28)'!$C45</f>
        <v>0</v>
      </c>
      <c r="AD37" s="232">
        <f>'Field Log (29)'!$C45</f>
        <v>0</v>
      </c>
      <c r="AE37" s="232" t="str">
        <f>'Field Log (30)'!$C45</f>
        <v>ATV19</v>
      </c>
      <c r="AF37" s="232" t="str">
        <f>'Field Log (31)'!$C45</f>
        <v>OR1162</v>
      </c>
      <c r="AG37" s="232">
        <f>'Field Log (32)'!$C45</f>
        <v>0</v>
      </c>
      <c r="AH37" s="232" t="str">
        <f>'Field Log (33)'!$C45</f>
        <v>OR1043</v>
      </c>
      <c r="AI37" s="232">
        <f>'Field Log (34)'!$C45</f>
        <v>0</v>
      </c>
      <c r="AJ37" s="232">
        <f>'Field Log (35)'!$C45</f>
        <v>0</v>
      </c>
    </row>
    <row r="38" spans="2:36">
      <c r="B38" s="232" t="str">
        <f>'Field Log (1)'!C46</f>
        <v>OR1401</v>
      </c>
      <c r="C38" s="232" t="str">
        <f>'Field Log (2)'!C46</f>
        <v>SB309</v>
      </c>
      <c r="D38" s="232">
        <f>'Field Log (3)'!C46</f>
        <v>0</v>
      </c>
      <c r="E38" s="232">
        <f>'Field Log (4)'!C46</f>
        <v>0</v>
      </c>
      <c r="F38" s="232" t="str">
        <f>'Field Log (5)'!C46</f>
        <v>OR1524</v>
      </c>
      <c r="G38" s="232">
        <f>'Field Log (6)'!C46</f>
        <v>0</v>
      </c>
      <c r="H38" s="232">
        <f>'Field Log (7)'!C46</f>
        <v>0</v>
      </c>
      <c r="I38" s="232">
        <f>'Field Log (8)'!C46</f>
        <v>0</v>
      </c>
      <c r="J38" s="232" t="str">
        <f>'Field Log (9)'!C46</f>
        <v>OR1099</v>
      </c>
      <c r="K38" s="232" t="str">
        <f>'Field Log (10)'!C46</f>
        <v>OR1137</v>
      </c>
      <c r="L38" s="232">
        <f>'Field Log (11)'!C46</f>
        <v>0</v>
      </c>
      <c r="M38" s="232" t="str">
        <f>'Field Log (12)'!C46</f>
        <v>OR1634</v>
      </c>
      <c r="N38" s="232">
        <f>'Field Log (13)'!C46</f>
        <v>0</v>
      </c>
      <c r="O38" s="232" t="str">
        <f>'Field Log (14)'!C46</f>
        <v>SB412</v>
      </c>
      <c r="P38" s="232" t="str">
        <f>'Field Log (15)'!$C46</f>
        <v>DL2579</v>
      </c>
      <c r="Q38" s="232" t="str">
        <f>'Field Log (16)'!$C46</f>
        <v>VonRieben, Pete</v>
      </c>
      <c r="R38" s="232">
        <f>'Field Log (17)'!$C46</f>
        <v>0</v>
      </c>
      <c r="S38" s="232">
        <f>'Field Log (18)'!$C46</f>
        <v>0</v>
      </c>
      <c r="T38" s="232">
        <f>'Field Log (19)'!$C46</f>
        <v>0</v>
      </c>
      <c r="U38" s="232" t="str">
        <f>'Field Log (20)'!$C46</f>
        <v>OR1700</v>
      </c>
      <c r="V38" s="232" t="str">
        <f>'Field Log (21)'!$C46</f>
        <v>OR1805</v>
      </c>
      <c r="W38" s="232">
        <f>'Field Log (22)'!$C46</f>
        <v>0</v>
      </c>
      <c r="X38" s="232">
        <f>'Field Log (23)'!$C46</f>
        <v>0</v>
      </c>
      <c r="Y38" s="232" t="str">
        <f>'Field Log (24)'!$C46</f>
        <v>SA9-002C</v>
      </c>
      <c r="Z38" s="232">
        <f>'Field Log (25)'!$C46</f>
        <v>0</v>
      </c>
      <c r="AA38" s="232" t="str">
        <f>'Field Log (26)'!$C46</f>
        <v>OR1341</v>
      </c>
      <c r="AB38" s="232" t="str">
        <f>'Field Log (27)'!$C46</f>
        <v>OR1052</v>
      </c>
      <c r="AC38" s="232">
        <f>'Field Log (28)'!$C46</f>
        <v>0</v>
      </c>
      <c r="AD38" s="232">
        <f>'Field Log (29)'!$C46</f>
        <v>0</v>
      </c>
      <c r="AE38" s="232" t="str">
        <f>'Field Log (30)'!$C46</f>
        <v>ATV14</v>
      </c>
      <c r="AF38" s="232" t="str">
        <f>'Field Log (31)'!$C46</f>
        <v>OR1145</v>
      </c>
      <c r="AG38" s="232">
        <f>'Field Log (32)'!$C46</f>
        <v>0</v>
      </c>
      <c r="AH38" s="232" t="str">
        <f>'Field Log (33)'!$C46</f>
        <v>OR1642</v>
      </c>
      <c r="AI38" s="232">
        <f>'Field Log (34)'!$C46</f>
        <v>0</v>
      </c>
      <c r="AJ38" s="232">
        <f>'Field Log (35)'!$C46</f>
        <v>0</v>
      </c>
    </row>
    <row r="39" spans="2:36">
      <c r="B39" s="232" t="str">
        <f>'Field Log (1)'!C47</f>
        <v>OR1170</v>
      </c>
      <c r="C39" s="232" t="str">
        <f>'Field Log (2)'!C47</f>
        <v>SA7-003</v>
      </c>
      <c r="D39" s="232">
        <f>'Field Log (3)'!C47</f>
        <v>0</v>
      </c>
      <c r="E39" s="232">
        <f>'Field Log (4)'!C47</f>
        <v>0</v>
      </c>
      <c r="F39" s="232" t="str">
        <f>'Field Log (5)'!C47</f>
        <v>OR1525</v>
      </c>
      <c r="G39" s="232">
        <f>'Field Log (6)'!C47</f>
        <v>0</v>
      </c>
      <c r="H39" s="232">
        <f>'Field Log (7)'!C47</f>
        <v>0</v>
      </c>
      <c r="I39" s="232">
        <f>'Field Log (8)'!C47</f>
        <v>0</v>
      </c>
      <c r="J39" s="232" t="str">
        <f>'Field Log (9)'!C47</f>
        <v>DL2524</v>
      </c>
      <c r="K39" s="232" t="str">
        <f>'Field Log (10)'!C47</f>
        <v>OR1139</v>
      </c>
      <c r="L39" s="232">
        <f>'Field Log (11)'!C47</f>
        <v>0</v>
      </c>
      <c r="M39" s="232" t="str">
        <f>'Field Log (12)'!C47</f>
        <v>OR1697</v>
      </c>
      <c r="N39" s="232">
        <f>'Field Log (13)'!C47</f>
        <v>0</v>
      </c>
      <c r="O39" s="232" t="str">
        <f>'Field Log (14)'!C47</f>
        <v>SB413</v>
      </c>
      <c r="P39" s="232" t="str">
        <f>'Field Log (15)'!$C47</f>
        <v>OR1829</v>
      </c>
      <c r="Q39" s="232" t="str">
        <f>'Field Log (16)'!$C47</f>
        <v>Lefebvre, Pete</v>
      </c>
      <c r="R39" s="232">
        <f>'Field Log (17)'!$C47</f>
        <v>0</v>
      </c>
      <c r="S39" s="232">
        <f>'Field Log (18)'!$C47</f>
        <v>0</v>
      </c>
      <c r="T39" s="232">
        <f>'Field Log (19)'!$C47</f>
        <v>0</v>
      </c>
      <c r="U39" s="232" t="str">
        <f>'Field Log (20)'!$C47</f>
        <v>OR1701</v>
      </c>
      <c r="V39" s="232" t="str">
        <f>'Field Log (21)'!$C47</f>
        <v>OR1806</v>
      </c>
      <c r="W39" s="232">
        <f>'Field Log (22)'!$C47</f>
        <v>0</v>
      </c>
      <c r="X39" s="232">
        <f>'Field Log (23)'!$C47</f>
        <v>0</v>
      </c>
      <c r="Y39" s="232" t="str">
        <f>'Field Log (24)'!$C47</f>
        <v>SA9-026C</v>
      </c>
      <c r="Z39" s="232">
        <f>'Field Log (25)'!$C47</f>
        <v>0</v>
      </c>
      <c r="AA39" s="232" t="str">
        <f>'Field Log (26)'!$C47</f>
        <v>OR1586</v>
      </c>
      <c r="AB39" s="232" t="str">
        <f>'Field Log (27)'!$C47</f>
        <v>OR1028</v>
      </c>
      <c r="AC39" s="232">
        <f>'Field Log (28)'!$C47</f>
        <v>0</v>
      </c>
      <c r="AD39" s="232">
        <f>'Field Log (29)'!$C47</f>
        <v>0</v>
      </c>
      <c r="AE39" s="232" t="str">
        <f>'Field Log (30)'!$C47</f>
        <v>OR1194</v>
      </c>
      <c r="AF39" s="232" t="str">
        <f>'Field Log (31)'!$C47</f>
        <v>OR1146</v>
      </c>
      <c r="AG39" s="232">
        <f>'Field Log (32)'!$C47</f>
        <v>0</v>
      </c>
      <c r="AH39" s="232" t="str">
        <f>'Field Log (33)'!$C47</f>
        <v>SB414</v>
      </c>
      <c r="AI39" s="232">
        <f>'Field Log (34)'!$C47</f>
        <v>0</v>
      </c>
      <c r="AJ39" s="232">
        <f>'Field Log (35)'!$C47</f>
        <v>0</v>
      </c>
    </row>
    <row r="40" spans="2:36">
      <c r="B40" s="232" t="str">
        <f>'Field Log (1)'!C48</f>
        <v>OR1171</v>
      </c>
      <c r="C40" s="232" t="str">
        <f>'Field Log (2)'!C48</f>
        <v>SA7-007</v>
      </c>
      <c r="D40" s="232">
        <f>'Field Log (3)'!C48</f>
        <v>0</v>
      </c>
      <c r="E40" s="232">
        <f>'Field Log (4)'!C48</f>
        <v>0</v>
      </c>
      <c r="F40" s="232" t="str">
        <f>'Field Log (5)'!C48</f>
        <v>OR1530</v>
      </c>
      <c r="G40" s="232">
        <f>'Field Log (6)'!C48</f>
        <v>0</v>
      </c>
      <c r="H40" s="232">
        <f>'Field Log (7)'!C48</f>
        <v>0</v>
      </c>
      <c r="I40" s="232">
        <f>'Field Log (8)'!C48</f>
        <v>0</v>
      </c>
      <c r="J40" s="232" t="str">
        <f>'Field Log (9)'!C48</f>
        <v>OR1471</v>
      </c>
      <c r="K40" s="232" t="str">
        <f>'Field Log (10)'!C48</f>
        <v>OR1140</v>
      </c>
      <c r="L40" s="232">
        <f>'Field Log (11)'!C48</f>
        <v>0</v>
      </c>
      <c r="M40" s="232" t="str">
        <f>'Field Log (12)'!C48</f>
        <v>OR1781</v>
      </c>
      <c r="N40" s="232">
        <f>'Field Log (13)'!C48</f>
        <v>0</v>
      </c>
      <c r="O40" s="232" t="str">
        <f>'Field Log (14)'!C48</f>
        <v>OR1174</v>
      </c>
      <c r="P40" s="232" t="str">
        <f>'Field Log (15)'!$C48</f>
        <v>DL2606</v>
      </c>
      <c r="Q40" s="232" t="str">
        <f>'Field Log (16)'!$C48</f>
        <v>Hayduk, Randy</v>
      </c>
      <c r="R40" s="232">
        <f>'Field Log (17)'!$C48</f>
        <v>0</v>
      </c>
      <c r="S40" s="232">
        <f>'Field Log (18)'!$C48</f>
        <v>0</v>
      </c>
      <c r="T40" s="232">
        <f>'Field Log (19)'!$C48</f>
        <v>0</v>
      </c>
      <c r="U40" s="232" t="str">
        <f>'Field Log (20)'!$C48</f>
        <v>OR1703</v>
      </c>
      <c r="V40" s="232" t="str">
        <f>'Field Log (21)'!$C48</f>
        <v>OR1807</v>
      </c>
      <c r="W40" s="232">
        <f>'Field Log (22)'!$C48</f>
        <v>0</v>
      </c>
      <c r="X40" s="232">
        <f>'Field Log (23)'!$C48</f>
        <v>0</v>
      </c>
      <c r="Y40" s="232" t="str">
        <f>'Field Log (24)'!$C48</f>
        <v>SA9-027C</v>
      </c>
      <c r="Z40" s="232">
        <f>'Field Log (25)'!$C48</f>
        <v>0</v>
      </c>
      <c r="AA40" s="232" t="str">
        <f>'Field Log (26)'!$C48</f>
        <v>OR1587</v>
      </c>
      <c r="AB40" s="232" t="str">
        <f>'Field Log (27)'!$C48</f>
        <v>OR1037</v>
      </c>
      <c r="AC40" s="232">
        <f>'Field Log (28)'!$C48</f>
        <v>0</v>
      </c>
      <c r="AD40" s="232">
        <f>'Field Log (29)'!$C48</f>
        <v>0</v>
      </c>
      <c r="AE40" s="232" t="str">
        <f>'Field Log (30)'!$C48</f>
        <v>DL2507</v>
      </c>
      <c r="AF40" s="232" t="str">
        <f>'Field Log (31)'!$C48</f>
        <v>OR1148</v>
      </c>
      <c r="AG40" s="232">
        <f>'Field Log (32)'!$C48</f>
        <v>0</v>
      </c>
      <c r="AH40" s="232" t="str">
        <f>'Field Log (33)'!$C48</f>
        <v>OR1199</v>
      </c>
      <c r="AI40" s="232">
        <f>'Field Log (34)'!$C48</f>
        <v>0</v>
      </c>
      <c r="AJ40" s="232">
        <f>'Field Log (35)'!$C48</f>
        <v>0</v>
      </c>
    </row>
    <row r="41" spans="2:36">
      <c r="B41" s="232" t="str">
        <f>'Field Log (1)'!C49</f>
        <v>OR1472</v>
      </c>
      <c r="C41" s="232">
        <f>'Field Log (2)'!C49</f>
        <v>0</v>
      </c>
      <c r="D41" s="232">
        <f>'Field Log (3)'!C49</f>
        <v>0</v>
      </c>
      <c r="E41" s="232">
        <f>'Field Log (4)'!C49</f>
        <v>0</v>
      </c>
      <c r="F41" s="232" t="str">
        <f>'Field Log (5)'!C49</f>
        <v>OR1536</v>
      </c>
      <c r="G41" s="232">
        <f>'Field Log (6)'!C49</f>
        <v>0</v>
      </c>
      <c r="H41" s="232">
        <f>'Field Log (7)'!C49</f>
        <v>0</v>
      </c>
      <c r="I41" s="232">
        <f>'Field Log (8)'!C49</f>
        <v>0</v>
      </c>
      <c r="J41" s="232" t="str">
        <f>'Field Log (9)'!C49</f>
        <v>OR1462</v>
      </c>
      <c r="K41" s="232" t="str">
        <f>'Field Log (10)'!C49</f>
        <v>OR1752d</v>
      </c>
      <c r="L41" s="232">
        <f>'Field Log (11)'!C49</f>
        <v>0</v>
      </c>
      <c r="M41" s="232">
        <f>'Field Log (12)'!C49</f>
        <v>0</v>
      </c>
      <c r="N41" s="232">
        <f>'Field Log (13)'!C49</f>
        <v>0</v>
      </c>
      <c r="O41" s="232" t="str">
        <f>'Field Log (14)'!C49</f>
        <v>OR1176</v>
      </c>
      <c r="P41" s="232" t="str">
        <f>'Field Log (15)'!$C49</f>
        <v>SA7-008</v>
      </c>
      <c r="Q41" s="232" t="str">
        <f>'Field Log (16)'!$C49</f>
        <v>Mallette, Rodney</v>
      </c>
      <c r="R41" s="232">
        <f>'Field Log (17)'!$C49</f>
        <v>0</v>
      </c>
      <c r="S41" s="232">
        <f>'Field Log (18)'!$C49</f>
        <v>0</v>
      </c>
      <c r="T41" s="232">
        <f>'Field Log (19)'!$C49</f>
        <v>0</v>
      </c>
      <c r="U41" s="232" t="str">
        <f>'Field Log (20)'!$C49</f>
        <v>OR1708</v>
      </c>
      <c r="V41" s="232" t="str">
        <f>'Field Log (21)'!$C49</f>
        <v>OR1808</v>
      </c>
      <c r="W41" s="232">
        <f>'Field Log (22)'!$C49</f>
        <v>0</v>
      </c>
      <c r="X41" s="232">
        <f>'Field Log (23)'!$C49</f>
        <v>0</v>
      </c>
      <c r="Y41" s="232" t="str">
        <f>'Field Log (24)'!$C49</f>
        <v>OR1339</v>
      </c>
      <c r="Z41" s="232">
        <f>'Field Log (25)'!$C49</f>
        <v>0</v>
      </c>
      <c r="AA41" s="232" t="str">
        <f>'Field Log (26)'!$C49</f>
        <v>OR1664</v>
      </c>
      <c r="AB41" s="232" t="str">
        <f>'Field Log (27)'!$C49</f>
        <v>OR1687</v>
      </c>
      <c r="AC41" s="232">
        <f>'Field Log (28)'!$C49</f>
        <v>0</v>
      </c>
      <c r="AD41" s="232">
        <f>'Field Log (29)'!$C49</f>
        <v>0</v>
      </c>
      <c r="AE41" s="232" t="str">
        <f>'Field Log (30)'!$C49</f>
        <v>DL2508</v>
      </c>
      <c r="AF41" s="232" t="str">
        <f>'Field Log (31)'!$C49</f>
        <v>OR1149</v>
      </c>
      <c r="AG41" s="232">
        <f>'Field Log (32)'!$C49</f>
        <v>0</v>
      </c>
      <c r="AH41" s="232" t="str">
        <f>'Field Log (33)'!$C49</f>
        <v>OR1165</v>
      </c>
      <c r="AI41" s="232">
        <f>'Field Log (34)'!$C49</f>
        <v>0</v>
      </c>
      <c r="AJ41" s="232">
        <f>'Field Log (35)'!$C49</f>
        <v>0</v>
      </c>
    </row>
    <row r="42" spans="2:36">
      <c r="B42" s="232" t="str">
        <f>'Field Log (1)'!C50</f>
        <v>OR1473</v>
      </c>
      <c r="C42" s="232">
        <f>'Field Log (2)'!C50</f>
        <v>0</v>
      </c>
      <c r="D42" s="232">
        <f>'Field Log (3)'!C50</f>
        <v>0</v>
      </c>
      <c r="E42" s="232">
        <f>'Field Log (4)'!C50</f>
        <v>0</v>
      </c>
      <c r="F42" s="232" t="str">
        <f>'Field Log (5)'!C50</f>
        <v>OR1045</v>
      </c>
      <c r="G42" s="232">
        <f>'Field Log (6)'!C50</f>
        <v>0</v>
      </c>
      <c r="H42" s="232">
        <f>'Field Log (7)'!C50</f>
        <v>0</v>
      </c>
      <c r="I42" s="232">
        <f>'Field Log (8)'!C50</f>
        <v>0</v>
      </c>
      <c r="J42" s="232" t="str">
        <f>'Field Log (9)'!C50</f>
        <v>OR1089</v>
      </c>
      <c r="K42" s="232" t="str">
        <f>'Field Log (10)'!C50</f>
        <v>OR1830</v>
      </c>
      <c r="L42" s="232">
        <f>'Field Log (11)'!C50</f>
        <v>0</v>
      </c>
      <c r="M42" s="232">
        <f>'Field Log (12)'!C50</f>
        <v>0</v>
      </c>
      <c r="N42" s="232">
        <f>'Field Log (13)'!C50</f>
        <v>0</v>
      </c>
      <c r="O42" s="232">
        <f>'Field Log (14)'!C50</f>
        <v>0</v>
      </c>
      <c r="P42" s="232" t="str">
        <f>'Field Log (15)'!$C50</f>
        <v>SA7-012</v>
      </c>
      <c r="Q42" s="232" t="str">
        <f>'Field Log (16)'!$C50</f>
        <v>Vande Vyvere, Ryan</v>
      </c>
      <c r="R42" s="232">
        <f>'Field Log (17)'!$C50</f>
        <v>0</v>
      </c>
      <c r="S42" s="232">
        <f>'Field Log (18)'!$C50</f>
        <v>0</v>
      </c>
      <c r="T42" s="232">
        <f>'Field Log (19)'!$C50</f>
        <v>0</v>
      </c>
      <c r="U42" s="232" t="str">
        <f>'Field Log (20)'!$C50</f>
        <v>OR1093</v>
      </c>
      <c r="V42" s="232" t="str">
        <f>'Field Log (21)'!$C50</f>
        <v>SA7-010</v>
      </c>
      <c r="W42" s="232">
        <f>'Field Log (22)'!$C50</f>
        <v>0</v>
      </c>
      <c r="X42" s="232">
        <f>'Field Log (23)'!$C50</f>
        <v>0</v>
      </c>
      <c r="Y42" s="232" t="str">
        <f>'Field Log (24)'!$C50</f>
        <v>OR1454</v>
      </c>
      <c r="Z42" s="232">
        <f>'Field Log (25)'!$C50</f>
        <v>0</v>
      </c>
      <c r="AA42" s="232" t="str">
        <f>'Field Log (26)'!$C50</f>
        <v>OR1514</v>
      </c>
      <c r="AB42" s="232" t="str">
        <f>'Field Log (27)'!$C50</f>
        <v>OR1767</v>
      </c>
      <c r="AC42" s="232">
        <f>'Field Log (28)'!$C50</f>
        <v>0</v>
      </c>
      <c r="AD42" s="232">
        <f>'Field Log (29)'!$C50</f>
        <v>0</v>
      </c>
      <c r="AE42" s="232" t="str">
        <f>'Field Log (30)'!$C50</f>
        <v>DL2714</v>
      </c>
      <c r="AF42" s="232" t="str">
        <f>'Field Log (31)'!$C50</f>
        <v>OR1150</v>
      </c>
      <c r="AG42" s="232">
        <f>'Field Log (32)'!$C50</f>
        <v>0</v>
      </c>
      <c r="AH42" s="232" t="str">
        <f>'Field Log (33)'!$C50</f>
        <v>OR1184</v>
      </c>
      <c r="AI42" s="232">
        <f>'Field Log (34)'!$C50</f>
        <v>0</v>
      </c>
      <c r="AJ42" s="232">
        <f>'Field Log (35)'!$C50</f>
        <v>0</v>
      </c>
    </row>
    <row r="43" spans="2:36">
      <c r="B43" s="232" t="str">
        <f>'Field Log (1)'!C51</f>
        <v>OR1794</v>
      </c>
      <c r="C43" s="232">
        <f>'Field Log (2)'!C51</f>
        <v>0</v>
      </c>
      <c r="D43" s="232">
        <f>'Field Log (3)'!C51</f>
        <v>0</v>
      </c>
      <c r="E43" s="232">
        <f>'Field Log (4)'!C51</f>
        <v>0</v>
      </c>
      <c r="F43" s="232" t="str">
        <f>'Field Log (5)'!C51</f>
        <v>OR1094</v>
      </c>
      <c r="G43" s="232">
        <f>'Field Log (6)'!C51</f>
        <v>0</v>
      </c>
      <c r="H43" s="232">
        <f>'Field Log (7)'!C51</f>
        <v>0</v>
      </c>
      <c r="I43" s="232">
        <f>'Field Log (8)'!C51</f>
        <v>0</v>
      </c>
      <c r="J43" s="232" t="str">
        <f>'Field Log (9)'!C51</f>
        <v>OR1011</v>
      </c>
      <c r="K43" s="232" t="str">
        <f>'Field Log (10)'!C51</f>
        <v>OR1832</v>
      </c>
      <c r="L43" s="232">
        <f>'Field Log (11)'!C51</f>
        <v>0</v>
      </c>
      <c r="M43" s="232">
        <f>'Field Log (12)'!C51</f>
        <v>0</v>
      </c>
      <c r="N43" s="232">
        <f>'Field Log (13)'!C51</f>
        <v>0</v>
      </c>
      <c r="O43" s="232">
        <f>'Field Log (14)'!C51</f>
        <v>0</v>
      </c>
      <c r="P43" s="232" t="str">
        <f>'Field Log (15)'!$C51</f>
        <v>OR1600</v>
      </c>
      <c r="Q43" s="232" t="str">
        <f>'Field Log (16)'!$C51</f>
        <v>Peters, Samson</v>
      </c>
      <c r="R43" s="232">
        <f>'Field Log (17)'!$C51</f>
        <v>0</v>
      </c>
      <c r="S43" s="232">
        <f>'Field Log (18)'!$C51</f>
        <v>0</v>
      </c>
      <c r="T43" s="232">
        <f>'Field Log (19)'!$C51</f>
        <v>0</v>
      </c>
      <c r="U43" s="232" t="str">
        <f>'Field Log (20)'!$C51</f>
        <v>OR1081</v>
      </c>
      <c r="V43" s="232" t="str">
        <f>'Field Log (21)'!$C51</f>
        <v>OR1784</v>
      </c>
      <c r="W43" s="232">
        <f>'Field Log (22)'!$C51</f>
        <v>0</v>
      </c>
      <c r="X43" s="232">
        <f>'Field Log (23)'!$C51</f>
        <v>0</v>
      </c>
      <c r="Y43" s="232" t="str">
        <f>'Field Log (24)'!$C51</f>
        <v>OR1506</v>
      </c>
      <c r="Z43" s="232" t="str">
        <f>'Field Log (25)'!$C51</f>
        <v>OR1086</v>
      </c>
      <c r="AA43" s="232" t="str">
        <f>'Field Log (26)'!$C51</f>
        <v>OR1518</v>
      </c>
      <c r="AB43" s="232" t="str">
        <f>'Field Log (27)'!$C51</f>
        <v>OR1539</v>
      </c>
      <c r="AC43" s="232" t="str">
        <f>'Field Log (28)'!$C51</f>
        <v>OR1469</v>
      </c>
      <c r="AD43" s="232">
        <f>'Field Log (29)'!$C51</f>
        <v>0</v>
      </c>
      <c r="AE43" s="232" t="str">
        <f>'Field Log (30)'!$C51</f>
        <v>DL2612</v>
      </c>
      <c r="AF43" s="232" t="str">
        <f>'Field Log (31)'!$C51</f>
        <v>OR1153</v>
      </c>
      <c r="AG43" s="232">
        <f>'Field Log (32)'!$C51</f>
        <v>0</v>
      </c>
      <c r="AH43" s="232">
        <f>'Field Log (33)'!$C51</f>
        <v>0</v>
      </c>
      <c r="AI43" s="232">
        <f>'Field Log (34)'!$C51</f>
        <v>0</v>
      </c>
      <c r="AJ43" s="232">
        <f>'Field Log (35)'!$C51</f>
        <v>0</v>
      </c>
    </row>
    <row r="44" spans="2:36">
      <c r="B44" s="232">
        <f>'Field Log (1)'!C52</f>
        <v>0</v>
      </c>
      <c r="C44" s="232">
        <f>'Field Log (2)'!C52</f>
        <v>0</v>
      </c>
      <c r="D44" s="232">
        <f>'Field Log (3)'!C52</f>
        <v>0</v>
      </c>
      <c r="E44" s="232">
        <f>'Field Log (4)'!C52</f>
        <v>0</v>
      </c>
      <c r="F44" s="232" t="str">
        <f>'Field Log (5)'!C52</f>
        <v>OR1704</v>
      </c>
      <c r="G44" s="232">
        <f>'Field Log (6)'!C52</f>
        <v>0</v>
      </c>
      <c r="H44" s="232">
        <f>'Field Log (7)'!C52</f>
        <v>0</v>
      </c>
      <c r="I44" s="232">
        <f>'Field Log (8)'!C52</f>
        <v>0</v>
      </c>
      <c r="J44" s="232" t="str">
        <f>'Field Log (9)'!C52</f>
        <v>OR1640</v>
      </c>
      <c r="K44" s="232" t="str">
        <f>'Field Log (10)'!C52</f>
        <v>OR1751</v>
      </c>
      <c r="L44" s="232">
        <f>'Field Log (11)'!C52</f>
        <v>0</v>
      </c>
      <c r="M44" s="232">
        <f>'Field Log (12)'!C52</f>
        <v>0</v>
      </c>
      <c r="N44" s="232">
        <f>'Field Log (13)'!C52</f>
        <v>0</v>
      </c>
      <c r="O44" s="232">
        <f>'Field Log (14)'!C52</f>
        <v>0</v>
      </c>
      <c r="P44" s="232" t="str">
        <f>'Field Log (15)'!$C52</f>
        <v>OR1601</v>
      </c>
      <c r="Q44" s="232" t="str">
        <f>'Field Log (16)'!$C52</f>
        <v>Derrah, Scott</v>
      </c>
      <c r="R44" s="232">
        <f>'Field Log (17)'!$C52</f>
        <v>0</v>
      </c>
      <c r="S44" s="232">
        <f>'Field Log (18)'!$C52</f>
        <v>0</v>
      </c>
      <c r="T44" s="232" t="str">
        <f>'Field Log (19)'!$C52</f>
        <v>OR1070D</v>
      </c>
      <c r="U44" s="232" t="str">
        <f>'Field Log (20)'!$C52</f>
        <v>OR1040</v>
      </c>
      <c r="V44" s="232" t="str">
        <f>'Field Log (21)'!$C52</f>
        <v>OR1785</v>
      </c>
      <c r="W44" s="232">
        <f>'Field Log (22)'!$C52</f>
        <v>0</v>
      </c>
      <c r="X44" s="232">
        <f>'Field Log (23)'!$C52</f>
        <v>0</v>
      </c>
      <c r="Y44" s="232" t="str">
        <f>'Field Log (24)'!$C52</f>
        <v>SA3-010</v>
      </c>
      <c r="Z44" s="232">
        <f>'Field Log (25)'!$C52</f>
        <v>0</v>
      </c>
      <c r="AA44" s="232" t="str">
        <f>'Field Log (26)'!$C52</f>
        <v>OR1521</v>
      </c>
      <c r="AB44" s="232" t="str">
        <f>'Field Log (27)'!$C52</f>
        <v>OR1542</v>
      </c>
      <c r="AC44" s="232" t="str">
        <f>'Field Log (28)'!$C52</f>
        <v>OR1576</v>
      </c>
      <c r="AD44" s="232">
        <f>'Field Log (29)'!$C52</f>
        <v>0</v>
      </c>
      <c r="AE44" s="232" t="str">
        <f>'Field Log (30)'!$C52</f>
        <v>DL2624</v>
      </c>
      <c r="AF44" s="232" t="str">
        <f>'Field Log (31)'!$C52</f>
        <v>OR1154</v>
      </c>
      <c r="AG44" s="232">
        <f>'Field Log (32)'!$C52</f>
        <v>0</v>
      </c>
      <c r="AH44" s="232">
        <f>'Field Log (33)'!$C52</f>
        <v>0</v>
      </c>
      <c r="AI44" s="232">
        <f>'Field Log (34)'!$C52</f>
        <v>0</v>
      </c>
      <c r="AJ44" s="232">
        <f>'Field Log (35)'!$C52</f>
        <v>0</v>
      </c>
    </row>
    <row r="45" spans="2:36">
      <c r="B45" s="232">
        <f>'Field Log (1)'!C53</f>
        <v>0</v>
      </c>
      <c r="C45" s="232">
        <f>'Field Log (2)'!C53</f>
        <v>0</v>
      </c>
      <c r="D45" s="232">
        <f>'Field Log (3)'!C53</f>
        <v>0</v>
      </c>
      <c r="E45" s="232">
        <f>'Field Log (4)'!C53</f>
        <v>0</v>
      </c>
      <c r="F45" s="232" t="str">
        <f>'Field Log (5)'!C53</f>
        <v>OR1651</v>
      </c>
      <c r="G45" s="232">
        <f>'Field Log (6)'!C53</f>
        <v>0</v>
      </c>
      <c r="H45" s="232">
        <f>'Field Log (7)'!C53</f>
        <v>0</v>
      </c>
      <c r="I45" s="232">
        <f>'Field Log (8)'!C53</f>
        <v>0</v>
      </c>
      <c r="J45" s="232" t="str">
        <f>'Field Log (9)'!C53</f>
        <v>OR1649</v>
      </c>
      <c r="K45" s="232" t="str">
        <f>'Field Log (10)'!C53</f>
        <v>DL2532</v>
      </c>
      <c r="L45" s="232">
        <f>'Field Log (11)'!C53</f>
        <v>0</v>
      </c>
      <c r="M45" s="232">
        <f>'Field Log (12)'!C53</f>
        <v>0</v>
      </c>
      <c r="N45" s="232">
        <f>'Field Log (13)'!C53</f>
        <v>0</v>
      </c>
      <c r="O45" s="232">
        <f>'Field Log (14)'!C53</f>
        <v>0</v>
      </c>
      <c r="P45" s="232">
        <f>'Field Log (15)'!$C53</f>
        <v>0</v>
      </c>
      <c r="Q45" s="232" t="str">
        <f>'Field Log (16)'!$C53</f>
        <v>Calladine, Senya</v>
      </c>
      <c r="R45" s="232">
        <f>'Field Log (17)'!$C53</f>
        <v>0</v>
      </c>
      <c r="S45" s="232">
        <f>'Field Log (18)'!$C53</f>
        <v>0</v>
      </c>
      <c r="T45" s="232" t="str">
        <f>'Field Log (19)'!$C53</f>
        <v>OR1071D</v>
      </c>
      <c r="U45" s="232" t="str">
        <f>'Field Log (20)'!$C53</f>
        <v>OR1009</v>
      </c>
      <c r="V45" s="232" t="str">
        <f>'Field Log (21)'!$C53</f>
        <v>OR1786</v>
      </c>
      <c r="W45" s="232">
        <f>'Field Log (22)'!$C53</f>
        <v>0</v>
      </c>
      <c r="X45" s="232" t="str">
        <f>'Field Log (23)'!$C53</f>
        <v>OR1138</v>
      </c>
      <c r="Y45" s="232" t="str">
        <f>'Field Log (24)'!$C53</f>
        <v>T314</v>
      </c>
      <c r="Z45" s="232">
        <f>'Field Log (25)'!$C53</f>
        <v>0</v>
      </c>
      <c r="AA45" s="232" t="str">
        <f>'Field Log (26)'!$C53</f>
        <v>OR1527</v>
      </c>
      <c r="AB45" s="232" t="str">
        <f>'Field Log (27)'!$C53</f>
        <v>OR1543</v>
      </c>
      <c r="AC45" s="232" t="str">
        <f>'Field Log (28)'!$C53</f>
        <v>OR1577</v>
      </c>
      <c r="AD45" s="232">
        <f>'Field Log (29)'!$C53</f>
        <v>0</v>
      </c>
      <c r="AE45" s="232" t="str">
        <f>'Field Log (30)'!$C53</f>
        <v>496T</v>
      </c>
      <c r="AF45" s="232" t="str">
        <f>'Field Log (31)'!$C53</f>
        <v>OR1155</v>
      </c>
      <c r="AG45" s="232">
        <f>'Field Log (32)'!$C53</f>
        <v>0</v>
      </c>
      <c r="AH45" s="232">
        <f>'Field Log (33)'!$C53</f>
        <v>0</v>
      </c>
      <c r="AI45" s="232">
        <f>'Field Log (34)'!$C53</f>
        <v>0</v>
      </c>
      <c r="AJ45" s="232">
        <f>'Field Log (35)'!$C53</f>
        <v>0</v>
      </c>
    </row>
    <row r="46" spans="2:36">
      <c r="B46" s="232">
        <f>'Field Log (1)'!C54</f>
        <v>0</v>
      </c>
      <c r="C46" s="232">
        <f>'Field Log (2)'!C54</f>
        <v>0</v>
      </c>
      <c r="D46" s="232">
        <f>'Field Log (3)'!C54</f>
        <v>0</v>
      </c>
      <c r="E46" s="232">
        <f>'Field Log (4)'!C54</f>
        <v>0</v>
      </c>
      <c r="F46" s="232" t="str">
        <f>'Field Log (5)'!C54</f>
        <v>OR1569</v>
      </c>
      <c r="G46" s="232">
        <f>'Field Log (6)'!C54</f>
        <v>0</v>
      </c>
      <c r="H46" s="232">
        <f>'Field Log (7)'!C54</f>
        <v>0</v>
      </c>
      <c r="I46" s="232">
        <f>'Field Log (8)'!C54</f>
        <v>0</v>
      </c>
      <c r="J46" s="232" t="str">
        <f>'Field Log (9)'!C54</f>
        <v>OR1243</v>
      </c>
      <c r="K46" s="232" t="str">
        <f>'Field Log (10)'!C54</f>
        <v>OR1053</v>
      </c>
      <c r="L46" s="232">
        <f>'Field Log (11)'!C54</f>
        <v>0</v>
      </c>
      <c r="M46" s="232">
        <f>'Field Log (12)'!C54</f>
        <v>0</v>
      </c>
      <c r="N46" s="232">
        <f>'Field Log (13)'!C54</f>
        <v>0</v>
      </c>
      <c r="O46" s="232">
        <f>'Field Log (14)'!C54</f>
        <v>0</v>
      </c>
      <c r="P46" s="232">
        <f>'Field Log (15)'!$C54</f>
        <v>0</v>
      </c>
      <c r="Q46" s="232" t="str">
        <f>'Field Log (16)'!$C54</f>
        <v>Whitworth, Shannon</v>
      </c>
      <c r="R46" s="232">
        <f>'Field Log (17)'!$C54</f>
        <v>0</v>
      </c>
      <c r="S46" s="232">
        <f>'Field Log (18)'!$C54</f>
        <v>0</v>
      </c>
      <c r="T46" s="232" t="str">
        <f>'Field Log (19)'!$C54</f>
        <v>OR1330D</v>
      </c>
      <c r="U46" s="232" t="str">
        <f>'Field Log (20)'!$C54</f>
        <v>OR1435</v>
      </c>
      <c r="V46" s="232" t="str">
        <f>'Field Log (21)'!$C54</f>
        <v>SB404</v>
      </c>
      <c r="W46" s="232">
        <f>'Field Log (22)'!$C54</f>
        <v>0</v>
      </c>
      <c r="X46" s="232" t="str">
        <f>'Field Log (23)'!$C54</f>
        <v>OR1849</v>
      </c>
      <c r="Y46" s="232" t="str">
        <f>'Field Log (24)'!$C54</f>
        <v>SA9-011</v>
      </c>
      <c r="Z46" s="232">
        <f>'Field Log (25)'!$C54</f>
        <v>0</v>
      </c>
      <c r="AA46" s="232" t="str">
        <f>'Field Log (26)'!$C54</f>
        <v>OR1537</v>
      </c>
      <c r="AB46" s="232" t="str">
        <f>'Field Log (27)'!$C54</f>
        <v>DL2585</v>
      </c>
      <c r="AC46" s="232" t="str">
        <f>'Field Log (28)'!$C54</f>
        <v>OR1064</v>
      </c>
      <c r="AD46" s="232">
        <f>'Field Log (29)'!$C54</f>
        <v>0</v>
      </c>
      <c r="AE46" s="232">
        <f>'Field Log (30)'!$C54</f>
        <v>0</v>
      </c>
      <c r="AF46" s="232" t="str">
        <f>'Field Log (31)'!$C54</f>
        <v>OR1156</v>
      </c>
      <c r="AG46" s="232">
        <f>'Field Log (32)'!$C54</f>
        <v>0</v>
      </c>
      <c r="AH46" s="232">
        <f>'Field Log (33)'!$C54</f>
        <v>0</v>
      </c>
      <c r="AI46" s="232">
        <f>'Field Log (34)'!$C54</f>
        <v>0</v>
      </c>
      <c r="AJ46" s="232">
        <f>'Field Log (35)'!$C54</f>
        <v>0</v>
      </c>
    </row>
    <row r="47" spans="2:36">
      <c r="B47" s="232">
        <f>'Field Log (1)'!C55</f>
        <v>0</v>
      </c>
      <c r="C47" s="232">
        <f>'Field Log (2)'!C55</f>
        <v>0</v>
      </c>
      <c r="D47" s="232">
        <f>'Field Log (3)'!C55</f>
        <v>0</v>
      </c>
      <c r="E47" s="232">
        <f>'Field Log (4)'!C55</f>
        <v>0</v>
      </c>
      <c r="F47" s="232" t="str">
        <f>'Field Log (5)'!C55</f>
        <v>OR1722</v>
      </c>
      <c r="G47" s="232">
        <f>'Field Log (6)'!C55</f>
        <v>0</v>
      </c>
      <c r="H47" s="232">
        <f>'Field Log (7)'!C55</f>
        <v>0</v>
      </c>
      <c r="I47" s="232">
        <f>'Field Log (8)'!C55</f>
        <v>0</v>
      </c>
      <c r="J47" s="232" t="str">
        <f>'Field Log (9)'!C55</f>
        <v>OR1626</v>
      </c>
      <c r="K47" s="232" t="str">
        <f>'Field Log (10)'!C55</f>
        <v>DL2510</v>
      </c>
      <c r="L47" s="232">
        <f>'Field Log (11)'!C55</f>
        <v>0</v>
      </c>
      <c r="M47" s="232">
        <f>'Field Log (12)'!C55</f>
        <v>0</v>
      </c>
      <c r="N47" s="232">
        <f>'Field Log (13)'!C55</f>
        <v>0</v>
      </c>
      <c r="O47" s="232">
        <f>'Field Log (14)'!C55</f>
        <v>0</v>
      </c>
      <c r="P47" s="232">
        <f>'Field Log (15)'!$C55</f>
        <v>0</v>
      </c>
      <c r="Q47" s="232" t="str">
        <f>'Field Log (16)'!$C55</f>
        <v>Dooley, Steven</v>
      </c>
      <c r="R47" s="232">
        <f>'Field Log (17)'!$C55</f>
        <v>0</v>
      </c>
      <c r="S47" s="232" t="str">
        <f>'Field Log (18)'!$C55</f>
        <v>OR1554</v>
      </c>
      <c r="T47" s="232" t="str">
        <f>'Field Log (19)'!$C55</f>
        <v>T333</v>
      </c>
      <c r="U47" s="232" t="str">
        <f>'Field Log (20)'!$C55</f>
        <v>OR1562</v>
      </c>
      <c r="V47" s="232" t="str">
        <f>'Field Log (21)'!$C55</f>
        <v>OR1629</v>
      </c>
      <c r="W47" s="232">
        <f>'Field Log (22)'!$C55</f>
        <v>0</v>
      </c>
      <c r="X47" s="232" t="str">
        <f>'Field Log (23)'!$C55</f>
        <v>OR1851</v>
      </c>
      <c r="Y47" s="232" t="str">
        <f>'Field Log (24)'!$C55</f>
        <v>SA9-012</v>
      </c>
      <c r="Z47" s="232">
        <f>'Field Log (25)'!$C55</f>
        <v>0</v>
      </c>
      <c r="AA47" s="232" t="str">
        <f>'Field Log (26)'!$C55</f>
        <v>OR1512</v>
      </c>
      <c r="AB47" s="232" t="str">
        <f>'Field Log (27)'!$C55</f>
        <v>OR1451</v>
      </c>
      <c r="AC47" s="232" t="str">
        <f>'Field Log (28)'!$C55</f>
        <v>OR1018</v>
      </c>
      <c r="AD47" s="232">
        <f>'Field Log (29)'!$C55</f>
        <v>0</v>
      </c>
      <c r="AE47" s="232">
        <f>'Field Log (30)'!$C55</f>
        <v>0</v>
      </c>
      <c r="AF47" s="232" t="str">
        <f>'Field Log (31)'!$C55</f>
        <v>OR1157</v>
      </c>
      <c r="AG47" s="232">
        <f>'Field Log (32)'!$C55</f>
        <v>0</v>
      </c>
      <c r="AH47" s="232">
        <f>'Field Log (33)'!$C55</f>
        <v>0</v>
      </c>
      <c r="AI47" s="232">
        <f>'Field Log (34)'!$C55</f>
        <v>0</v>
      </c>
      <c r="AJ47" s="232">
        <f>'Field Log (35)'!$C55</f>
        <v>0</v>
      </c>
    </row>
    <row r="48" spans="2:36">
      <c r="B48" s="232">
        <f>'Field Log (1)'!C56</f>
        <v>0</v>
      </c>
      <c r="C48" s="232">
        <f>'Field Log (2)'!C56</f>
        <v>0</v>
      </c>
      <c r="D48" s="232">
        <f>'Field Log (3)'!C56</f>
        <v>0</v>
      </c>
      <c r="E48" s="232">
        <f>'Field Log (4)'!C56</f>
        <v>0</v>
      </c>
      <c r="F48" s="232" t="str">
        <f>'Field Log (5)'!C56</f>
        <v>or1044</v>
      </c>
      <c r="G48" s="232">
        <f>'Field Log (6)'!C56</f>
        <v>0</v>
      </c>
      <c r="H48" s="232">
        <f>'Field Log (7)'!C56</f>
        <v>0</v>
      </c>
      <c r="I48" s="232">
        <f>'Field Log (8)'!C56</f>
        <v>0</v>
      </c>
      <c r="J48" s="232">
        <f>'Field Log (9)'!C56</f>
        <v>0</v>
      </c>
      <c r="K48" s="232" t="str">
        <f>'Field Log (10)'!C56</f>
        <v>OR1717</v>
      </c>
      <c r="L48" s="232">
        <f>'Field Log (11)'!C56</f>
        <v>0</v>
      </c>
      <c r="M48" s="232">
        <f>'Field Log (12)'!C56</f>
        <v>0</v>
      </c>
      <c r="N48" s="232">
        <f>'Field Log (13)'!C56</f>
        <v>0</v>
      </c>
      <c r="O48" s="232">
        <f>'Field Log (14)'!C56</f>
        <v>0</v>
      </c>
      <c r="P48" s="232">
        <f>'Field Log (15)'!$C56</f>
        <v>0</v>
      </c>
      <c r="Q48" s="232" t="str">
        <f>'Field Log (16)'!$C56</f>
        <v>Nelson, Tyler</v>
      </c>
      <c r="R48" s="232">
        <f>'Field Log (17)'!$C56</f>
        <v>0</v>
      </c>
      <c r="S48" s="232" t="str">
        <f>'Field Log (18)'!$C56</f>
        <v>OR1555</v>
      </c>
      <c r="T48" s="232" t="str">
        <f>'Field Log (19)'!$C56</f>
        <v>OR1085</v>
      </c>
      <c r="U48" s="232" t="str">
        <f>'Field Log (20)'!$C56</f>
        <v>OR1679</v>
      </c>
      <c r="V48" s="232" t="str">
        <f>'Field Log (21)'!$C56</f>
        <v>OR1790</v>
      </c>
      <c r="W48" s="232">
        <f>'Field Log (22)'!$C56</f>
        <v>0</v>
      </c>
      <c r="X48" s="232" t="str">
        <f>'Field Log (23)'!$C56</f>
        <v>OR1852</v>
      </c>
      <c r="Y48" s="232" t="str">
        <f>'Field Log (24)'!$C56</f>
        <v>OR1312</v>
      </c>
      <c r="Z48" s="232">
        <f>'Field Log (25)'!$C56</f>
        <v>0</v>
      </c>
      <c r="AA48" s="232" t="str">
        <f>'Field Log (26)'!$C56</f>
        <v>OR1133</v>
      </c>
      <c r="AB48" s="232" t="str">
        <f>'Field Log (27)'!$C56</f>
        <v>OR1024</v>
      </c>
      <c r="AC48" s="232" t="str">
        <f>'Field Log (28)'!$C56</f>
        <v>DL2580</v>
      </c>
      <c r="AD48" s="232">
        <f>'Field Log (29)'!$C56</f>
        <v>0</v>
      </c>
      <c r="AE48" s="232">
        <f>'Field Log (30)'!$C56</f>
        <v>0</v>
      </c>
      <c r="AF48" s="232" t="str">
        <f>'Field Log (31)'!$C56</f>
        <v>SA3-009</v>
      </c>
      <c r="AG48" s="232">
        <f>'Field Log (32)'!$C56</f>
        <v>0</v>
      </c>
      <c r="AH48" s="232">
        <f>'Field Log (33)'!$C56</f>
        <v>0</v>
      </c>
      <c r="AI48" s="232">
        <f>'Field Log (34)'!$C56</f>
        <v>0</v>
      </c>
      <c r="AJ48" s="232">
        <f>'Field Log (35)'!$C56</f>
        <v>0</v>
      </c>
    </row>
    <row r="49" spans="2:36">
      <c r="B49" s="232">
        <f>'Field Log (1)'!C57</f>
        <v>0</v>
      </c>
      <c r="C49" s="232">
        <f>'Field Log (2)'!C57</f>
        <v>0</v>
      </c>
      <c r="D49" s="232">
        <f>'Field Log (3)'!C57</f>
        <v>0</v>
      </c>
      <c r="E49" s="232">
        <f>'Field Log (4)'!C57</f>
        <v>0</v>
      </c>
      <c r="F49" s="232" t="str">
        <f>'Field Log (5)'!C57</f>
        <v>OR1623</v>
      </c>
      <c r="G49" s="232">
        <f>'Field Log (6)'!C57</f>
        <v>0</v>
      </c>
      <c r="H49" s="232">
        <f>'Field Log (7)'!C57</f>
        <v>0</v>
      </c>
      <c r="I49" s="232">
        <f>'Field Log (8)'!C57</f>
        <v>0</v>
      </c>
      <c r="J49" s="232">
        <f>'Field Log (9)'!C57</f>
        <v>0</v>
      </c>
      <c r="K49" s="232" t="str">
        <f>'Field Log (10)'!C57</f>
        <v>OR1719</v>
      </c>
      <c r="L49" s="232">
        <f>'Field Log (11)'!C57</f>
        <v>0</v>
      </c>
      <c r="M49" s="232">
        <f>'Field Log (12)'!C57</f>
        <v>0</v>
      </c>
      <c r="N49" s="232">
        <f>'Field Log (13)'!C57</f>
        <v>0</v>
      </c>
      <c r="O49" s="232">
        <f>'Field Log (14)'!C57</f>
        <v>0</v>
      </c>
      <c r="P49" s="232">
        <f>'Field Log (15)'!$C57</f>
        <v>0</v>
      </c>
      <c r="Q49" s="232" t="str">
        <f>'Field Log (16)'!$C57</f>
        <v>Woodward, Warren</v>
      </c>
      <c r="R49" s="232">
        <f>'Field Log (17)'!$C57</f>
        <v>0</v>
      </c>
      <c r="S49" s="232" t="str">
        <f>'Field Log (18)'!$C57</f>
        <v>OR1135</v>
      </c>
      <c r="T49" s="232" t="str">
        <f>'Field Log (19)'!$C57</f>
        <v>OR1046</v>
      </c>
      <c r="U49" s="232" t="str">
        <f>'Field Log (20)'!$C57</f>
        <v>OR1681</v>
      </c>
      <c r="V49" s="232">
        <f>'Field Log (21)'!$C57</f>
        <v>0</v>
      </c>
      <c r="W49" s="232">
        <f>'Field Log (22)'!$C57</f>
        <v>0</v>
      </c>
      <c r="X49" s="232" t="str">
        <f>'Field Log (23)'!$C57</f>
        <v>OR1006</v>
      </c>
      <c r="Y49" s="232" t="str">
        <f>'Field Log (24)'!$C57</f>
        <v>403T</v>
      </c>
      <c r="Z49" s="232">
        <f>'Field Log (25)'!$C57</f>
        <v>0</v>
      </c>
      <c r="AA49" s="232" t="str">
        <f>'Field Log (26)'!$C57</f>
        <v>OR1776</v>
      </c>
      <c r="AB49" s="232" t="str">
        <f>'Field Log (27)'!$C57</f>
        <v>DL2609</v>
      </c>
      <c r="AC49" s="232" t="str">
        <f>'Field Log (28)'!$C57</f>
        <v>OR1822</v>
      </c>
      <c r="AD49" s="232">
        <f>'Field Log (29)'!$C57</f>
        <v>0</v>
      </c>
      <c r="AE49" s="232">
        <f>'Field Log (30)'!$C57</f>
        <v>0</v>
      </c>
      <c r="AF49" s="232" t="str">
        <f>'Field Log (31)'!$C57</f>
        <v>OR1329</v>
      </c>
      <c r="AG49" s="232">
        <f>'Field Log (32)'!$C57</f>
        <v>0</v>
      </c>
      <c r="AH49" s="232">
        <f>'Field Log (33)'!$C57</f>
        <v>0</v>
      </c>
      <c r="AI49" s="232">
        <f>'Field Log (34)'!$C57</f>
        <v>0</v>
      </c>
      <c r="AJ49" s="232">
        <f>'Field Log (35)'!$C57</f>
        <v>0</v>
      </c>
    </row>
    <row r="50" spans="2:36">
      <c r="B50" s="232">
        <f>'Field Log (1)'!C58</f>
        <v>0</v>
      </c>
      <c r="C50" s="232">
        <f>'Field Log (2)'!C58</f>
        <v>0</v>
      </c>
      <c r="D50" s="232">
        <f>'Field Log (3)'!C58</f>
        <v>0</v>
      </c>
      <c r="E50" s="232">
        <f>'Field Log (4)'!C58</f>
        <v>0</v>
      </c>
      <c r="F50" s="232" t="str">
        <f>'Field Log (5)'!C58</f>
        <v>OR1014</v>
      </c>
      <c r="G50" s="232">
        <f>'Field Log (6)'!C58</f>
        <v>0</v>
      </c>
      <c r="H50" s="232">
        <f>'Field Log (7)'!C58</f>
        <v>0</v>
      </c>
      <c r="I50" s="232">
        <f>'Field Log (8)'!C58</f>
        <v>0</v>
      </c>
      <c r="J50" s="232">
        <f>'Field Log (9)'!C58</f>
        <v>0</v>
      </c>
      <c r="K50" s="232" t="str">
        <f>'Field Log (10)'!C58</f>
        <v>OR1375d</v>
      </c>
      <c r="L50" s="232">
        <f>'Field Log (11)'!C58</f>
        <v>0</v>
      </c>
      <c r="M50" s="232">
        <f>'Field Log (12)'!C58</f>
        <v>0</v>
      </c>
      <c r="N50" s="232">
        <f>'Field Log (13)'!C58</f>
        <v>0</v>
      </c>
      <c r="O50" s="232">
        <f>'Field Log (14)'!C58</f>
        <v>0</v>
      </c>
      <c r="P50" s="232">
        <f>'Field Log (15)'!$C58</f>
        <v>0</v>
      </c>
      <c r="Q50" s="232" t="str">
        <f>'Field Log (16)'!$C58</f>
        <v>Laplante, Yvan</v>
      </c>
      <c r="R50" s="232">
        <f>'Field Log (17)'!$C58</f>
        <v>0</v>
      </c>
      <c r="S50" s="232" t="str">
        <f>'Field Log (18)'!$C58</f>
        <v>OR1755</v>
      </c>
      <c r="T50" s="232">
        <f>'Field Log (19)'!$C58</f>
        <v>0</v>
      </c>
      <c r="U50" s="232" t="str">
        <f>'Field Log (20)'!$C58</f>
        <v>OR1765</v>
      </c>
      <c r="V50" s="232">
        <f>'Field Log (21)'!$C58</f>
        <v>0</v>
      </c>
      <c r="W50" s="232">
        <f>'Field Log (22)'!$C58</f>
        <v>0</v>
      </c>
      <c r="X50" s="232" t="str">
        <f>'Field Log (23)'!$C58</f>
        <v>OR1057d</v>
      </c>
      <c r="Y50" s="232" t="str">
        <f>'Field Log (24)'!$C58</f>
        <v>406T</v>
      </c>
      <c r="Z50" s="232">
        <f>'Field Log (25)'!$C58</f>
        <v>0</v>
      </c>
      <c r="AA50" s="232" t="str">
        <f>'Field Log (26)'!$C58</f>
        <v>OR1051</v>
      </c>
      <c r="AB50" s="232">
        <f>'Field Log (27)'!$C58</f>
        <v>0</v>
      </c>
      <c r="AC50" s="232" t="str">
        <f>'Field Log (28)'!$C58</f>
        <v>OR1049</v>
      </c>
      <c r="AD50" s="232">
        <f>'Field Log (29)'!$C58</f>
        <v>0</v>
      </c>
      <c r="AE50" s="232">
        <f>'Field Log (30)'!$C58</f>
        <v>0</v>
      </c>
      <c r="AF50" s="232" t="str">
        <f>'Field Log (31)'!$C58</f>
        <v>OR1304d</v>
      </c>
      <c r="AG50" s="232">
        <f>'Field Log (32)'!$C58</f>
        <v>0</v>
      </c>
      <c r="AH50" s="232">
        <f>'Field Log (33)'!$C58</f>
        <v>0</v>
      </c>
      <c r="AI50" s="232">
        <f>'Field Log (34)'!$C58</f>
        <v>0</v>
      </c>
      <c r="AJ50" s="232">
        <f>'Field Log (35)'!$C58</f>
        <v>0</v>
      </c>
    </row>
    <row r="51" spans="2:36">
      <c r="B51" s="232">
        <f>'Field Log (1)'!C59</f>
        <v>0</v>
      </c>
      <c r="C51" s="232">
        <f>'Field Log (2)'!C59</f>
        <v>0</v>
      </c>
      <c r="D51" s="232">
        <f>'Field Log (3)'!C59</f>
        <v>0</v>
      </c>
      <c r="E51" s="232">
        <f>'Field Log (4)'!C59</f>
        <v>0</v>
      </c>
      <c r="F51" s="232">
        <f>'Field Log (5)'!C59</f>
        <v>0</v>
      </c>
      <c r="G51" s="232">
        <f>'Field Log (6)'!C59</f>
        <v>0</v>
      </c>
      <c r="H51" s="232">
        <f>'Field Log (7)'!C59</f>
        <v>0</v>
      </c>
      <c r="I51" s="232">
        <f>'Field Log (8)'!C59</f>
        <v>0</v>
      </c>
      <c r="J51" s="232">
        <f>'Field Log (9)'!C59</f>
        <v>0</v>
      </c>
      <c r="K51" s="232" t="str">
        <f>'Field Log (10)'!C59</f>
        <v>OR1376d</v>
      </c>
      <c r="L51" s="232">
        <f>'Field Log (11)'!C59</f>
        <v>0</v>
      </c>
      <c r="M51" s="232">
        <f>'Field Log (12)'!C59</f>
        <v>0</v>
      </c>
      <c r="N51" s="232">
        <f>'Field Log (13)'!C59</f>
        <v>0</v>
      </c>
      <c r="O51" s="232">
        <f>'Field Log (14)'!C59</f>
        <v>0</v>
      </c>
      <c r="P51" s="232">
        <f>'Field Log (15)'!$C59</f>
        <v>0</v>
      </c>
      <c r="Q51" s="232" t="str">
        <f>'Field Log (16)'!$C59</f>
        <v>McMillan, Donovan</v>
      </c>
      <c r="R51" s="232">
        <f>'Field Log (17)'!$C59</f>
        <v>0</v>
      </c>
      <c r="S51" s="232" t="str">
        <f>'Field Log (18)'!$C59</f>
        <v>SA14-016</v>
      </c>
      <c r="T51" s="232">
        <f>'Field Log (19)'!$C59</f>
        <v>0</v>
      </c>
      <c r="U51" s="232" t="str">
        <f>'Field Log (20)'!$C59</f>
        <v>OR1766</v>
      </c>
      <c r="V51" s="232">
        <f>'Field Log (21)'!$C59</f>
        <v>0</v>
      </c>
      <c r="W51" s="232">
        <f>'Field Log (22)'!$C59</f>
        <v>0</v>
      </c>
      <c r="X51" s="232" t="str">
        <f>'Field Log (23)'!$C59</f>
        <v>OR1001</v>
      </c>
      <c r="Y51" s="232" t="str">
        <f>'Field Log (24)'!$C59</f>
        <v>444aT</v>
      </c>
      <c r="Z51" s="232">
        <f>'Field Log (25)'!$C59</f>
        <v>0</v>
      </c>
      <c r="AA51" s="232" t="str">
        <f>'Field Log (26)'!$C59</f>
        <v>DL2534</v>
      </c>
      <c r="AB51" s="232">
        <f>'Field Log (27)'!$C59</f>
        <v>0</v>
      </c>
      <c r="AC51" s="232" t="str">
        <f>'Field Log (28)'!$C59</f>
        <v>SA7-011</v>
      </c>
      <c r="AD51" s="232">
        <f>'Field Log (29)'!$C59</f>
        <v>0</v>
      </c>
      <c r="AE51" s="232">
        <f>'Field Log (30)'!$C59</f>
        <v>0</v>
      </c>
      <c r="AF51" s="232" t="str">
        <f>'Field Log (31)'!$C59</f>
        <v>OR1158</v>
      </c>
      <c r="AG51" s="232">
        <f>'Field Log (32)'!$C59</f>
        <v>0</v>
      </c>
      <c r="AH51" s="232">
        <f>'Field Log (33)'!$C59</f>
        <v>0</v>
      </c>
      <c r="AI51" s="232">
        <f>'Field Log (34)'!$C59</f>
        <v>0</v>
      </c>
      <c r="AJ51" s="232">
        <f>'Field Log (35)'!$C59</f>
        <v>0</v>
      </c>
    </row>
    <row r="52" spans="2:36">
      <c r="B52" s="232">
        <f>'Field Log (1)'!C60</f>
        <v>0</v>
      </c>
      <c r="C52" s="232">
        <f>'Field Log (2)'!C60</f>
        <v>0</v>
      </c>
      <c r="D52" s="232">
        <f>'Field Log (3)'!C60</f>
        <v>0</v>
      </c>
      <c r="E52" s="232">
        <f>'Field Log (4)'!C60</f>
        <v>0</v>
      </c>
      <c r="F52" s="232">
        <f>'Field Log (5)'!C60</f>
        <v>0</v>
      </c>
      <c r="G52" s="232">
        <f>'Field Log (6)'!C60</f>
        <v>0</v>
      </c>
      <c r="H52" s="232">
        <f>'Field Log (7)'!C60</f>
        <v>0</v>
      </c>
      <c r="I52" s="232">
        <f>'Field Log (8)'!C60</f>
        <v>0</v>
      </c>
      <c r="J52" s="232">
        <f>'Field Log (9)'!C60</f>
        <v>0</v>
      </c>
      <c r="K52" s="232" t="str">
        <f>'Field Log (10)'!C60</f>
        <v>OR1377d</v>
      </c>
      <c r="L52" s="232">
        <f>'Field Log (11)'!C60</f>
        <v>0</v>
      </c>
      <c r="M52" s="232">
        <f>'Field Log (12)'!C60</f>
        <v>0</v>
      </c>
      <c r="N52" s="232">
        <f>'Field Log (13)'!C60</f>
        <v>0</v>
      </c>
      <c r="O52" s="232">
        <f>'Field Log (14)'!C60</f>
        <v>0</v>
      </c>
      <c r="P52" s="232">
        <f>'Field Log (15)'!$C60</f>
        <v>0</v>
      </c>
      <c r="Q52" s="232">
        <f>'Field Log (16)'!$C60</f>
        <v>0</v>
      </c>
      <c r="R52" s="232">
        <f>'Field Log (17)'!$C60</f>
        <v>0</v>
      </c>
      <c r="S52" s="232">
        <f>'Field Log (18)'!$C60</f>
        <v>0</v>
      </c>
      <c r="T52" s="232">
        <f>'Field Log (19)'!$C60</f>
        <v>0</v>
      </c>
      <c r="U52" s="232" t="str">
        <f>'Field Log (20)'!$C60</f>
        <v>OR1770</v>
      </c>
      <c r="V52" s="232">
        <f>'Field Log (21)'!$C60</f>
        <v>0</v>
      </c>
      <c r="W52" s="232">
        <f>'Field Log (22)'!$C60</f>
        <v>0</v>
      </c>
      <c r="X52" s="232" t="str">
        <f>'Field Log (23)'!$C60</f>
        <v>OR1720</v>
      </c>
      <c r="Y52" s="232" t="str">
        <f>'Field Log (24)'!$C60</f>
        <v>OR1301A</v>
      </c>
      <c r="Z52" s="232">
        <f>'Field Log (25)'!$C60</f>
        <v>0</v>
      </c>
      <c r="AA52" s="232" t="str">
        <f>'Field Log (26)'!$C60</f>
        <v>OR1007</v>
      </c>
      <c r="AB52" s="232">
        <f>'Field Log (27)'!$C60</f>
        <v>0</v>
      </c>
      <c r="AC52" s="232" t="str">
        <f>'Field Log (28)'!$C60</f>
        <v>SA7-015</v>
      </c>
      <c r="AD52" s="232">
        <f>'Field Log (29)'!$C60</f>
        <v>0</v>
      </c>
      <c r="AE52" s="232">
        <f>'Field Log (30)'!$C60</f>
        <v>0</v>
      </c>
      <c r="AF52" s="232">
        <f>'Field Log (31)'!$C60</f>
        <v>0</v>
      </c>
      <c r="AG52" s="232">
        <f>'Field Log (32)'!$C60</f>
        <v>0</v>
      </c>
      <c r="AH52" s="232">
        <f>'Field Log (33)'!$C60</f>
        <v>0</v>
      </c>
      <c r="AI52" s="232">
        <f>'Field Log (34)'!$C60</f>
        <v>0</v>
      </c>
      <c r="AJ52" s="232">
        <f>'Field Log (35)'!$C60</f>
        <v>0</v>
      </c>
    </row>
    <row r="53" spans="2:36">
      <c r="B53" s="232">
        <f>'Field Log (1)'!C61</f>
        <v>0</v>
      </c>
      <c r="C53" s="232">
        <f>'Field Log (2)'!C61</f>
        <v>0</v>
      </c>
      <c r="D53" s="232">
        <f>'Field Log (3)'!C61</f>
        <v>0</v>
      </c>
      <c r="E53" s="232">
        <f>'Field Log (4)'!C61</f>
        <v>0</v>
      </c>
      <c r="F53" s="232">
        <f>'Field Log (5)'!C61</f>
        <v>0</v>
      </c>
      <c r="G53" s="232">
        <f>'Field Log (6)'!C61</f>
        <v>0</v>
      </c>
      <c r="H53" s="232">
        <f>'Field Log (7)'!C61</f>
        <v>0</v>
      </c>
      <c r="I53" s="232">
        <f>'Field Log (8)'!C61</f>
        <v>0</v>
      </c>
      <c r="J53" s="232">
        <f>'Field Log (9)'!C61</f>
        <v>0</v>
      </c>
      <c r="K53" s="232" t="str">
        <f>'Field Log (10)'!C61</f>
        <v>OR1067</v>
      </c>
      <c r="L53" s="232">
        <f>'Field Log (11)'!C61</f>
        <v>0</v>
      </c>
      <c r="M53" s="232">
        <f>'Field Log (12)'!C61</f>
        <v>0</v>
      </c>
      <c r="N53" s="232">
        <f>'Field Log (13)'!C61</f>
        <v>0</v>
      </c>
      <c r="O53" s="232">
        <f>'Field Log (14)'!C61</f>
        <v>0</v>
      </c>
      <c r="P53" s="232">
        <f>'Field Log (15)'!$C61</f>
        <v>0</v>
      </c>
      <c r="Q53" s="232">
        <f>'Field Log (16)'!$C61</f>
        <v>0</v>
      </c>
      <c r="R53" s="232">
        <f>'Field Log (17)'!$C61</f>
        <v>0</v>
      </c>
      <c r="S53" s="232" t="str">
        <f>'Field Log (18)'!$C61</f>
        <v>OR1166</v>
      </c>
      <c r="T53" s="232">
        <f>'Field Log (19)'!$C61</f>
        <v>0</v>
      </c>
      <c r="U53" s="232" t="str">
        <f>'Field Log (20)'!$C61</f>
        <v>OR1771</v>
      </c>
      <c r="V53" s="232">
        <f>'Field Log (21)'!$C61</f>
        <v>0</v>
      </c>
      <c r="W53" s="232">
        <f>'Field Log (22)'!$C61</f>
        <v>0</v>
      </c>
      <c r="X53" s="232" t="str">
        <f>'Field Log (23)'!$C61</f>
        <v>P621</v>
      </c>
      <c r="Y53" s="232" t="str">
        <f>'Field Log (24)'!$C61</f>
        <v>OR1303A</v>
      </c>
      <c r="Z53" s="232">
        <f>'Field Log (25)'!$C61</f>
        <v>0</v>
      </c>
      <c r="AA53" s="232" t="str">
        <f>'Field Log (26)'!$C61</f>
        <v>OR1715</v>
      </c>
      <c r="AB53" s="232">
        <f>'Field Log (27)'!$C61</f>
        <v>0</v>
      </c>
      <c r="AC53" s="232" t="str">
        <f>'Field Log (28)'!$C61</f>
        <v>OR1287</v>
      </c>
      <c r="AD53" s="232">
        <f>'Field Log (29)'!$C61</f>
        <v>0</v>
      </c>
      <c r="AE53" s="232">
        <f>'Field Log (30)'!$C61</f>
        <v>0</v>
      </c>
      <c r="AF53" s="232">
        <f>'Field Log (31)'!$C61</f>
        <v>0</v>
      </c>
      <c r="AG53" s="232">
        <f>'Field Log (32)'!$C61</f>
        <v>0</v>
      </c>
      <c r="AH53" s="232">
        <f>'Field Log (33)'!$C61</f>
        <v>0</v>
      </c>
      <c r="AI53" s="232">
        <f>'Field Log (34)'!$C61</f>
        <v>0</v>
      </c>
      <c r="AJ53" s="232">
        <f>'Field Log (35)'!$C61</f>
        <v>0</v>
      </c>
    </row>
    <row r="54" spans="2:36">
      <c r="B54" s="232">
        <f>'Field Log (1)'!C62</f>
        <v>0</v>
      </c>
      <c r="C54" s="232">
        <f>'Field Log (2)'!C62</f>
        <v>0</v>
      </c>
      <c r="D54" s="232">
        <f>'Field Log (3)'!C62</f>
        <v>0</v>
      </c>
      <c r="E54" s="232">
        <f>'Field Log (4)'!C62</f>
        <v>0</v>
      </c>
      <c r="F54" s="232">
        <f>'Field Log (5)'!C62</f>
        <v>0</v>
      </c>
      <c r="G54" s="232">
        <f>'Field Log (6)'!C62</f>
        <v>0</v>
      </c>
      <c r="H54" s="232">
        <f>'Field Log (7)'!C62</f>
        <v>0</v>
      </c>
      <c r="I54" s="232">
        <f>'Field Log (8)'!C62</f>
        <v>0</v>
      </c>
      <c r="J54" s="232">
        <f>'Field Log (9)'!C62</f>
        <v>0</v>
      </c>
      <c r="K54" s="232" t="str">
        <f>'Field Log (10)'!C62</f>
        <v>OR1010</v>
      </c>
      <c r="L54" s="232">
        <f>'Field Log (11)'!C62</f>
        <v>0</v>
      </c>
      <c r="M54" s="232">
        <f>'Field Log (12)'!C62</f>
        <v>0</v>
      </c>
      <c r="N54" s="232">
        <f>'Field Log (13)'!C62</f>
        <v>0</v>
      </c>
      <c r="O54" s="232">
        <f>'Field Log (14)'!C62</f>
        <v>0</v>
      </c>
      <c r="P54" s="232">
        <f>'Field Log (15)'!$C62</f>
        <v>0</v>
      </c>
      <c r="Q54" s="232">
        <f>'Field Log (16)'!$C62</f>
        <v>0</v>
      </c>
      <c r="R54" s="232">
        <f>'Field Log (17)'!$C62</f>
        <v>0</v>
      </c>
      <c r="S54" s="232" t="str">
        <f>'Field Log (18)'!$C62</f>
        <v>OR1189</v>
      </c>
      <c r="T54" s="232">
        <f>'Field Log (19)'!$C62</f>
        <v>0</v>
      </c>
      <c r="U54" s="232" t="str">
        <f>'Field Log (20)'!$C62</f>
        <v>OR1772</v>
      </c>
      <c r="V54" s="232">
        <f>'Field Log (21)'!$C62</f>
        <v>0</v>
      </c>
      <c r="W54" s="232">
        <f>'Field Log (22)'!$C62</f>
        <v>0</v>
      </c>
      <c r="X54" s="232" t="str">
        <f>'Field Log (23)'!$C62</f>
        <v>OR1464</v>
      </c>
      <c r="Y54" s="232" t="str">
        <f>'Field Log (24)'!$C62</f>
        <v>SA9-026A</v>
      </c>
      <c r="Z54" s="232">
        <f>'Field Log (25)'!$C62</f>
        <v>0</v>
      </c>
      <c r="AA54" s="232" t="str">
        <f>'Field Log (26)'!$C62</f>
        <v>SA5-003</v>
      </c>
      <c r="AB54" s="232">
        <f>'Field Log (27)'!$C62</f>
        <v>0</v>
      </c>
      <c r="AC54" s="232" t="str">
        <f>'Field Log (28)'!$C62</f>
        <v>OR1599</v>
      </c>
      <c r="AD54" s="232">
        <f>'Field Log (29)'!$C62</f>
        <v>0</v>
      </c>
      <c r="AE54" s="232">
        <f>'Field Log (30)'!$C62</f>
        <v>0</v>
      </c>
      <c r="AF54" s="232">
        <f>'Field Log (31)'!$C62</f>
        <v>0</v>
      </c>
      <c r="AG54" s="232">
        <f>'Field Log (32)'!$C62</f>
        <v>0</v>
      </c>
      <c r="AH54" s="232">
        <f>'Field Log (33)'!$C62</f>
        <v>0</v>
      </c>
      <c r="AI54" s="232">
        <f>'Field Log (34)'!$C62</f>
        <v>0</v>
      </c>
      <c r="AJ54" s="232">
        <f>'Field Log (35)'!$C62</f>
        <v>0</v>
      </c>
    </row>
    <row r="55" spans="2:36">
      <c r="B55" s="232">
        <f>'Field Log (1)'!C63</f>
        <v>0</v>
      </c>
      <c r="C55" s="232">
        <f>'Field Log (2)'!C63</f>
        <v>0</v>
      </c>
      <c r="D55" s="232">
        <f>'Field Log (3)'!C63</f>
        <v>0</v>
      </c>
      <c r="E55" s="232">
        <f>'Field Log (4)'!C63</f>
        <v>0</v>
      </c>
      <c r="F55" s="232">
        <f>'Field Log (5)'!C63</f>
        <v>0</v>
      </c>
      <c r="G55" s="232">
        <f>'Field Log (6)'!C63</f>
        <v>0</v>
      </c>
      <c r="H55" s="232">
        <f>'Field Log (7)'!C63</f>
        <v>0</v>
      </c>
      <c r="I55" s="232">
        <f>'Field Log (8)'!C63</f>
        <v>0</v>
      </c>
      <c r="J55" s="232">
        <f>'Field Log (9)'!C63</f>
        <v>0</v>
      </c>
      <c r="K55" s="232" t="str">
        <f>'Field Log (10)'!C63</f>
        <v>OR1706</v>
      </c>
      <c r="L55" s="232">
        <f>'Field Log (11)'!C63</f>
        <v>0</v>
      </c>
      <c r="M55" s="232">
        <f>'Field Log (12)'!C63</f>
        <v>0</v>
      </c>
      <c r="N55" s="232">
        <f>'Field Log (13)'!C63</f>
        <v>0</v>
      </c>
      <c r="O55" s="232">
        <f>'Field Log (14)'!C63</f>
        <v>0</v>
      </c>
      <c r="P55" s="232">
        <f>'Field Log (15)'!$C63</f>
        <v>0</v>
      </c>
      <c r="Q55" s="232">
        <f>'Field Log (16)'!$C63</f>
        <v>0</v>
      </c>
      <c r="R55" s="232">
        <f>'Field Log (17)'!$C63</f>
        <v>0</v>
      </c>
      <c r="S55" s="232" t="str">
        <f>'Field Log (18)'!$C63</f>
        <v>OR1169</v>
      </c>
      <c r="T55" s="232">
        <f>'Field Log (19)'!$C63</f>
        <v>0</v>
      </c>
      <c r="U55" s="232" t="str">
        <f>'Field Log (20)'!$C63</f>
        <v>OR1775</v>
      </c>
      <c r="V55" s="232">
        <f>'Field Log (21)'!$C63</f>
        <v>0</v>
      </c>
      <c r="W55" s="232">
        <f>'Field Log (22)'!$C63</f>
        <v>0</v>
      </c>
      <c r="X55" s="232" t="str">
        <f>'Field Log (23)'!$C63</f>
        <v>T222</v>
      </c>
      <c r="Y55" s="232" t="str">
        <f>'Field Log (24)'!$C63</f>
        <v>SA9-027A</v>
      </c>
      <c r="Z55" s="232">
        <f>'Field Log (25)'!$C63</f>
        <v>0</v>
      </c>
      <c r="AA55" s="232" t="str">
        <f>'Field Log (26)'!$C63</f>
        <v>OR1596</v>
      </c>
      <c r="AB55" s="232">
        <f>'Field Log (27)'!$C63</f>
        <v>0</v>
      </c>
      <c r="AC55" s="232" t="str">
        <f>'Field Log (28)'!$C63</f>
        <v>SA14-020</v>
      </c>
      <c r="AD55" s="232">
        <f>'Field Log (29)'!$C63</f>
        <v>0</v>
      </c>
      <c r="AE55" s="232">
        <f>'Field Log (30)'!$C63</f>
        <v>0</v>
      </c>
      <c r="AF55" s="232">
        <f>'Field Log (31)'!$C63</f>
        <v>0</v>
      </c>
      <c r="AG55" s="232">
        <f>'Field Log (32)'!$C63</f>
        <v>0</v>
      </c>
      <c r="AH55" s="232">
        <f>'Field Log (33)'!$C63</f>
        <v>0</v>
      </c>
      <c r="AI55" s="232">
        <f>'Field Log (34)'!$C63</f>
        <v>0</v>
      </c>
      <c r="AJ55" s="232">
        <f>'Field Log (35)'!$C63</f>
        <v>0</v>
      </c>
    </row>
    <row r="56" spans="2:36">
      <c r="B56" s="232">
        <f>'Field Log (1)'!C64</f>
        <v>0</v>
      </c>
      <c r="C56" s="232">
        <f>'Field Log (2)'!C64</f>
        <v>0</v>
      </c>
      <c r="D56" s="232">
        <f>'Field Log (3)'!C64</f>
        <v>0</v>
      </c>
      <c r="E56" s="232">
        <f>'Field Log (4)'!C64</f>
        <v>0</v>
      </c>
      <c r="F56" s="232">
        <f>'Field Log (5)'!C64</f>
        <v>0</v>
      </c>
      <c r="G56" s="232">
        <f>'Field Log (6)'!C64</f>
        <v>0</v>
      </c>
      <c r="H56" s="232">
        <f>'Field Log (7)'!C64</f>
        <v>0</v>
      </c>
      <c r="I56" s="232">
        <f>'Field Log (8)'!C64</f>
        <v>0</v>
      </c>
      <c r="J56" s="232">
        <f>'Field Log (9)'!C64</f>
        <v>0</v>
      </c>
      <c r="K56" s="232" t="str">
        <f>'Field Log (10)'!C64</f>
        <v>OR1055</v>
      </c>
      <c r="L56" s="232">
        <f>'Field Log (11)'!C64</f>
        <v>0</v>
      </c>
      <c r="M56" s="232">
        <f>'Field Log (12)'!C64</f>
        <v>0</v>
      </c>
      <c r="N56" s="232">
        <f>'Field Log (13)'!C64</f>
        <v>0</v>
      </c>
      <c r="O56" s="232">
        <f>'Field Log (14)'!C64</f>
        <v>0</v>
      </c>
      <c r="P56" s="232">
        <f>'Field Log (15)'!$C64</f>
        <v>0</v>
      </c>
      <c r="Q56" s="232">
        <f>'Field Log (16)'!$C64</f>
        <v>0</v>
      </c>
      <c r="R56" s="232">
        <f>'Field Log (17)'!$C64</f>
        <v>0</v>
      </c>
      <c r="S56" s="232" t="str">
        <f>'Field Log (18)'!$C64</f>
        <v>OR1172</v>
      </c>
      <c r="T56" s="232">
        <f>'Field Log (19)'!$C64</f>
        <v>0</v>
      </c>
      <c r="U56" s="232" t="str">
        <f>'Field Log (20)'!$C64</f>
        <v>OR1769</v>
      </c>
      <c r="V56" s="232">
        <f>'Field Log (21)'!$C64</f>
        <v>0</v>
      </c>
      <c r="W56" s="232">
        <f>'Field Log (22)'!$C64</f>
        <v>0</v>
      </c>
      <c r="X56" s="232" t="str">
        <f>'Field Log (23)'!$C64</f>
        <v>OR1788</v>
      </c>
      <c r="Y56" s="232" t="str">
        <f>'Field Log (24)'!$C64</f>
        <v>SA9-002A</v>
      </c>
      <c r="Z56" s="232">
        <f>'Field Log (25)'!$C64</f>
        <v>0</v>
      </c>
      <c r="AA56" s="232" t="str">
        <f>'Field Log (26)'!$C64</f>
        <v>OR1563</v>
      </c>
      <c r="AB56" s="232">
        <f>'Field Log (27)'!$C64</f>
        <v>0</v>
      </c>
      <c r="AC56" s="232" t="str">
        <f>'Field Log (28)'!$C64</f>
        <v>DL2601</v>
      </c>
      <c r="AD56" s="232">
        <f>'Field Log (29)'!$C64</f>
        <v>0</v>
      </c>
      <c r="AE56" s="232">
        <f>'Field Log (30)'!$C64</f>
        <v>0</v>
      </c>
      <c r="AF56" s="232">
        <f>'Field Log (31)'!$C64</f>
        <v>0</v>
      </c>
      <c r="AG56" s="232">
        <f>'Field Log (32)'!$C64</f>
        <v>0</v>
      </c>
      <c r="AH56" s="232">
        <f>'Field Log (33)'!$C64</f>
        <v>0</v>
      </c>
      <c r="AI56" s="232">
        <f>'Field Log (34)'!$C64</f>
        <v>0</v>
      </c>
      <c r="AJ56" s="232">
        <f>'Field Log (35)'!$C64</f>
        <v>0</v>
      </c>
    </row>
    <row r="57" spans="2:36">
      <c r="B57" s="232">
        <f>'Field Log (1)'!C65</f>
        <v>0</v>
      </c>
      <c r="C57" s="232">
        <f>'Field Log (2)'!C65</f>
        <v>0</v>
      </c>
      <c r="D57" s="232">
        <f>'Field Log (3)'!C65</f>
        <v>0</v>
      </c>
      <c r="E57" s="232">
        <f>'Field Log (4)'!C65</f>
        <v>0</v>
      </c>
      <c r="F57" s="232">
        <f>'Field Log (5)'!C65</f>
        <v>0</v>
      </c>
      <c r="G57" s="232">
        <f>'Field Log (6)'!C65</f>
        <v>0</v>
      </c>
      <c r="H57" s="232">
        <f>'Field Log (7)'!C65</f>
        <v>0</v>
      </c>
      <c r="I57" s="232">
        <f>'Field Log (8)'!C65</f>
        <v>0</v>
      </c>
      <c r="J57" s="232">
        <f>'Field Log (9)'!C65</f>
        <v>0</v>
      </c>
      <c r="K57" s="232" t="str">
        <f>'Field Log (10)'!C65</f>
        <v>OR1059</v>
      </c>
      <c r="L57" s="232">
        <f>'Field Log (11)'!C65</f>
        <v>0</v>
      </c>
      <c r="M57" s="232">
        <f>'Field Log (12)'!C65</f>
        <v>0</v>
      </c>
      <c r="N57" s="232">
        <f>'Field Log (13)'!C65</f>
        <v>0</v>
      </c>
      <c r="O57" s="232">
        <f>'Field Log (14)'!C65</f>
        <v>0</v>
      </c>
      <c r="P57" s="232">
        <f>'Field Log (15)'!$C65</f>
        <v>0</v>
      </c>
      <c r="Q57" s="232">
        <f>'Field Log (16)'!$C65</f>
        <v>0</v>
      </c>
      <c r="R57" s="232">
        <f>'Field Log (17)'!$C65</f>
        <v>0</v>
      </c>
      <c r="S57" s="232">
        <f>'Field Log (18)'!$C65</f>
        <v>0</v>
      </c>
      <c r="T57" s="232">
        <f>'Field Log (19)'!$C65</f>
        <v>0</v>
      </c>
      <c r="U57" s="232" t="str">
        <f>'Field Log (20)'!$C65</f>
        <v>OR1063</v>
      </c>
      <c r="V57" s="232">
        <f>'Field Log (21)'!$C65</f>
        <v>0</v>
      </c>
      <c r="W57" s="232">
        <f>'Field Log (22)'!$C65</f>
        <v>0</v>
      </c>
      <c r="X57" s="232" t="str">
        <f>'Field Log (23)'!$C65</f>
        <v>OR1486</v>
      </c>
      <c r="Y57" s="232" t="str">
        <f>'Field Log (24)'!$C65</f>
        <v>SA4-001</v>
      </c>
      <c r="Z57" s="232">
        <f>'Field Log (25)'!$C65</f>
        <v>0</v>
      </c>
      <c r="AA57" s="232" t="str">
        <f>'Field Log (26)'!$C65</f>
        <v>OR1564</v>
      </c>
      <c r="AB57" s="232">
        <f>'Field Log (27)'!$C65</f>
        <v>0</v>
      </c>
      <c r="AC57" s="232" t="str">
        <f>'Field Log (28)'!$C65</f>
        <v>OR1552</v>
      </c>
      <c r="AD57" s="232">
        <f>'Field Log (29)'!$C65</f>
        <v>0</v>
      </c>
      <c r="AE57" s="232">
        <f>'Field Log (30)'!$C65</f>
        <v>0</v>
      </c>
      <c r="AF57" s="232">
        <f>'Field Log (31)'!$C65</f>
        <v>0</v>
      </c>
      <c r="AG57" s="232">
        <f>'Field Log (32)'!$C65</f>
        <v>0</v>
      </c>
      <c r="AH57" s="232">
        <f>'Field Log (33)'!$C65</f>
        <v>0</v>
      </c>
      <c r="AI57" s="232">
        <f>'Field Log (34)'!$C65</f>
        <v>0</v>
      </c>
      <c r="AJ57" s="232">
        <f>'Field Log (35)'!$C65</f>
        <v>0</v>
      </c>
    </row>
    <row r="58" spans="2:36">
      <c r="B58" s="232">
        <f>'Field Log (1)'!C66</f>
        <v>0</v>
      </c>
      <c r="C58" s="232">
        <f>'Field Log (2)'!C66</f>
        <v>0</v>
      </c>
      <c r="D58" s="232">
        <f>'Field Log (3)'!C66</f>
        <v>0</v>
      </c>
      <c r="E58" s="232">
        <f>'Field Log (4)'!C66</f>
        <v>0</v>
      </c>
      <c r="F58" s="232">
        <f>'Field Log (5)'!C66</f>
        <v>0</v>
      </c>
      <c r="G58" s="232">
        <f>'Field Log (6)'!C66</f>
        <v>0</v>
      </c>
      <c r="H58" s="232">
        <f>'Field Log (7)'!C66</f>
        <v>0</v>
      </c>
      <c r="I58" s="232">
        <f>'Field Log (8)'!C66</f>
        <v>0</v>
      </c>
      <c r="J58" s="232">
        <f>'Field Log (9)'!C66</f>
        <v>0</v>
      </c>
      <c r="K58" s="232" t="str">
        <f>'Field Log (10)'!C66</f>
        <v>OR1500</v>
      </c>
      <c r="L58" s="232">
        <f>'Field Log (11)'!C66</f>
        <v>0</v>
      </c>
      <c r="M58" s="232">
        <f>'Field Log (12)'!C66</f>
        <v>0</v>
      </c>
      <c r="N58" s="232">
        <f>'Field Log (13)'!C66</f>
        <v>0</v>
      </c>
      <c r="O58" s="232">
        <f>'Field Log (14)'!C66</f>
        <v>0</v>
      </c>
      <c r="P58" s="232">
        <f>'Field Log (15)'!$C66</f>
        <v>0</v>
      </c>
      <c r="Q58" s="232">
        <f>'Field Log (16)'!$C66</f>
        <v>0</v>
      </c>
      <c r="R58" s="232">
        <f>'Field Log (17)'!$C66</f>
        <v>0</v>
      </c>
      <c r="S58" s="232">
        <f>'Field Log (18)'!$C66</f>
        <v>0</v>
      </c>
      <c r="T58" s="232">
        <f>'Field Log (19)'!$C66</f>
        <v>0</v>
      </c>
      <c r="U58" s="232" t="str">
        <f>'Field Log (20)'!$C66</f>
        <v>DL2576</v>
      </c>
      <c r="V58" s="232">
        <f>'Field Log (21)'!$C66</f>
        <v>0</v>
      </c>
      <c r="W58" s="232">
        <f>'Field Log (22)'!$C66</f>
        <v>0</v>
      </c>
      <c r="X58" s="232" t="str">
        <f>'Field Log (23)'!$C66</f>
        <v>SB101</v>
      </c>
      <c r="Y58" s="232" t="str">
        <f>'Field Log (24)'!$C66</f>
        <v>T318</v>
      </c>
      <c r="Z58" s="232">
        <f>'Field Log (25)'!$C66</f>
        <v>0</v>
      </c>
      <c r="AA58" s="232" t="str">
        <f>'Field Log (26)'!$C66</f>
        <v>OR1573</v>
      </c>
      <c r="AB58" s="232">
        <f>'Field Log (27)'!$C66</f>
        <v>0</v>
      </c>
      <c r="AC58" s="232" t="str">
        <f>'Field Log (28)'!$C66</f>
        <v>OR1831</v>
      </c>
      <c r="AD58" s="232">
        <f>'Field Log (29)'!$C66</f>
        <v>0</v>
      </c>
      <c r="AE58" s="232">
        <f>'Field Log (30)'!$C66</f>
        <v>0</v>
      </c>
      <c r="AF58" s="232">
        <f>'Field Log (31)'!$C66</f>
        <v>0</v>
      </c>
      <c r="AG58" s="232">
        <f>'Field Log (32)'!$C66</f>
        <v>0</v>
      </c>
      <c r="AH58" s="232">
        <f>'Field Log (33)'!$C66</f>
        <v>0</v>
      </c>
      <c r="AI58" s="232">
        <f>'Field Log (34)'!$C66</f>
        <v>0</v>
      </c>
      <c r="AJ58" s="232">
        <f>'Field Log (35)'!$C66</f>
        <v>0</v>
      </c>
    </row>
    <row r="59" spans="2:36">
      <c r="B59" s="232">
        <f>'Field Log (1)'!C67</f>
        <v>0</v>
      </c>
      <c r="C59" s="232">
        <f>'Field Log (2)'!C67</f>
        <v>0</v>
      </c>
      <c r="D59" s="232">
        <f>'Field Log (3)'!C67</f>
        <v>0</v>
      </c>
      <c r="E59" s="232">
        <f>'Field Log (4)'!C67</f>
        <v>0</v>
      </c>
      <c r="F59" s="232">
        <f>'Field Log (5)'!C67</f>
        <v>0</v>
      </c>
      <c r="G59" s="232">
        <f>'Field Log (6)'!C67</f>
        <v>0</v>
      </c>
      <c r="H59" s="232">
        <f>'Field Log (7)'!C67</f>
        <v>0</v>
      </c>
      <c r="I59" s="232">
        <f>'Field Log (8)'!C67</f>
        <v>0</v>
      </c>
      <c r="J59" s="232">
        <f>'Field Log (9)'!C67</f>
        <v>0</v>
      </c>
      <c r="K59" s="232" t="str">
        <f>'Field Log (10)'!C67</f>
        <v>OR1241</v>
      </c>
      <c r="L59" s="232">
        <f>'Field Log (11)'!C67</f>
        <v>0</v>
      </c>
      <c r="M59" s="232">
        <f>'Field Log (12)'!C67</f>
        <v>0</v>
      </c>
      <c r="N59" s="232">
        <f>'Field Log (13)'!C67</f>
        <v>0</v>
      </c>
      <c r="O59" s="232">
        <f>'Field Log (14)'!C67</f>
        <v>0</v>
      </c>
      <c r="P59" s="232">
        <f>'Field Log (15)'!$C67</f>
        <v>0</v>
      </c>
      <c r="Q59" s="232">
        <f>'Field Log (16)'!$C67</f>
        <v>0</v>
      </c>
      <c r="R59" s="232">
        <f>'Field Log (17)'!$C67</f>
        <v>0</v>
      </c>
      <c r="S59" s="232">
        <f>'Field Log (18)'!$C67</f>
        <v>0</v>
      </c>
      <c r="T59" s="232">
        <f>'Field Log (19)'!$C67</f>
        <v>0</v>
      </c>
      <c r="U59" s="232" t="str">
        <f>'Field Log (20)'!$C67</f>
        <v>OR1072</v>
      </c>
      <c r="V59" s="232">
        <f>'Field Log (21)'!$C67</f>
        <v>0</v>
      </c>
      <c r="W59" s="232">
        <f>'Field Log (22)'!$C67</f>
        <v>0</v>
      </c>
      <c r="X59" s="232" t="str">
        <f>'Field Log (23)'!$C67</f>
        <v>OR1560d</v>
      </c>
      <c r="Y59" s="232" t="str">
        <f>'Field Log (24)'!$C67</f>
        <v>OR1336</v>
      </c>
      <c r="Z59" s="232">
        <f>'Field Log (25)'!$C67</f>
        <v>0</v>
      </c>
      <c r="AA59" s="232" t="str">
        <f>'Field Log (26)'!$C67</f>
        <v>OR1544</v>
      </c>
      <c r="AB59" s="232">
        <f>'Field Log (27)'!$C67</f>
        <v>0</v>
      </c>
      <c r="AC59" s="232">
        <f>'Field Log (28)'!$C67</f>
        <v>0</v>
      </c>
      <c r="AD59" s="232">
        <f>'Field Log (29)'!$C67</f>
        <v>0</v>
      </c>
      <c r="AE59" s="232">
        <f>'Field Log (30)'!$C67</f>
        <v>0</v>
      </c>
      <c r="AF59" s="232">
        <f>'Field Log (31)'!$C67</f>
        <v>0</v>
      </c>
      <c r="AG59" s="232">
        <f>'Field Log (32)'!$C67</f>
        <v>0</v>
      </c>
      <c r="AH59" s="232">
        <f>'Field Log (33)'!$C67</f>
        <v>0</v>
      </c>
      <c r="AI59" s="232">
        <f>'Field Log (34)'!$C67</f>
        <v>0</v>
      </c>
      <c r="AJ59" s="232">
        <f>'Field Log (35)'!$C67</f>
        <v>0</v>
      </c>
    </row>
    <row r="60" spans="2:36">
      <c r="B60" s="232">
        <f>'Field Log (1)'!C68</f>
        <v>0</v>
      </c>
      <c r="C60" s="232">
        <f>'Field Log (2)'!C68</f>
        <v>0</v>
      </c>
      <c r="D60" s="232">
        <f>'Field Log (3)'!C68</f>
        <v>0</v>
      </c>
      <c r="E60" s="232">
        <f>'Field Log (4)'!C68</f>
        <v>0</v>
      </c>
      <c r="F60" s="232">
        <f>'Field Log (5)'!C68</f>
        <v>0</v>
      </c>
      <c r="G60" s="232">
        <f>'Field Log (6)'!C68</f>
        <v>0</v>
      </c>
      <c r="H60" s="232">
        <f>'Field Log (7)'!C68</f>
        <v>0</v>
      </c>
      <c r="I60" s="232">
        <f>'Field Log (8)'!C68</f>
        <v>0</v>
      </c>
      <c r="J60" s="232">
        <f>'Field Log (9)'!C68</f>
        <v>0</v>
      </c>
      <c r="K60" s="232" t="str">
        <f>'Field Log (10)'!C68</f>
        <v>OR1423</v>
      </c>
      <c r="L60" s="232">
        <f>'Field Log (11)'!C68</f>
        <v>0</v>
      </c>
      <c r="M60" s="232">
        <f>'Field Log (12)'!C68</f>
        <v>0</v>
      </c>
      <c r="N60" s="232">
        <f>'Field Log (13)'!C68</f>
        <v>0</v>
      </c>
      <c r="O60" s="232">
        <f>'Field Log (14)'!C68</f>
        <v>0</v>
      </c>
      <c r="P60" s="232">
        <f>'Field Log (15)'!$C68</f>
        <v>0</v>
      </c>
      <c r="Q60" s="232" t="str">
        <f>'Field Log (16)'!$C68</f>
        <v>OR1551</v>
      </c>
      <c r="R60" s="232">
        <f>'Field Log (17)'!$C68</f>
        <v>0</v>
      </c>
      <c r="S60" s="232">
        <f>'Field Log (18)'!$C68</f>
        <v>0</v>
      </c>
      <c r="T60" s="232">
        <f>'Field Log (19)'!$C68</f>
        <v>0</v>
      </c>
      <c r="U60" s="232" t="str">
        <f>'Field Log (20)'!$C68</f>
        <v>OR2086</v>
      </c>
      <c r="V60" s="232">
        <f>'Field Log (21)'!$C68</f>
        <v>0</v>
      </c>
      <c r="W60" s="232">
        <f>'Field Log (22)'!$C68</f>
        <v>0</v>
      </c>
      <c r="X60" s="232" t="str">
        <f>'Field Log (23)'!$C68</f>
        <v>OR1561d</v>
      </c>
      <c r="Y60" s="232" t="str">
        <f>'Field Log (24)'!$C68</f>
        <v>SA3-001</v>
      </c>
      <c r="Z60" s="232">
        <f>'Field Log (25)'!$C68</f>
        <v>0</v>
      </c>
      <c r="AA60" s="232" t="str">
        <f>'Field Log (26)'!$C68</f>
        <v>SA5-008</v>
      </c>
      <c r="AB60" s="232">
        <f>'Field Log (27)'!$C68</f>
        <v>0</v>
      </c>
      <c r="AC60" s="232">
        <f>'Field Log (28)'!$C68</f>
        <v>0</v>
      </c>
      <c r="AD60" s="232">
        <f>'Field Log (29)'!$C68</f>
        <v>0</v>
      </c>
      <c r="AE60" s="232">
        <f>'Field Log (30)'!$C68</f>
        <v>0</v>
      </c>
      <c r="AF60" s="232">
        <f>'Field Log (31)'!$C68</f>
        <v>0</v>
      </c>
      <c r="AG60" s="232">
        <f>'Field Log (32)'!$C68</f>
        <v>0</v>
      </c>
      <c r="AH60" s="232">
        <f>'Field Log (33)'!$C68</f>
        <v>0</v>
      </c>
      <c r="AI60" s="232">
        <f>'Field Log (34)'!$C68</f>
        <v>0</v>
      </c>
      <c r="AJ60" s="232">
        <f>'Field Log (35)'!$C68</f>
        <v>0</v>
      </c>
    </row>
    <row r="61" spans="2:36">
      <c r="B61" s="232">
        <f>'Field Log (1)'!C69</f>
        <v>0</v>
      </c>
      <c r="C61" s="232">
        <f>'Field Log (2)'!C69</f>
        <v>0</v>
      </c>
      <c r="D61" s="232">
        <f>'Field Log (3)'!C69</f>
        <v>0</v>
      </c>
      <c r="E61" s="232">
        <f>'Field Log (4)'!C69</f>
        <v>0</v>
      </c>
      <c r="F61" s="232">
        <f>'Field Log (5)'!C69</f>
        <v>0</v>
      </c>
      <c r="G61" s="232">
        <f>'Field Log (6)'!C69</f>
        <v>0</v>
      </c>
      <c r="H61" s="232">
        <f>'Field Log (7)'!C69</f>
        <v>0</v>
      </c>
      <c r="I61" s="232">
        <f>'Field Log (8)'!C69</f>
        <v>0</v>
      </c>
      <c r="J61" s="232">
        <f>'Field Log (9)'!C69</f>
        <v>0</v>
      </c>
      <c r="K61" s="232" t="str">
        <f>'Field Log (10)'!C69</f>
        <v>OR1219</v>
      </c>
      <c r="L61" s="232">
        <f>'Field Log (11)'!C69</f>
        <v>0</v>
      </c>
      <c r="M61" s="232">
        <f>'Field Log (12)'!C69</f>
        <v>0</v>
      </c>
      <c r="N61" s="232">
        <f>'Field Log (13)'!C69</f>
        <v>0</v>
      </c>
      <c r="O61" s="232">
        <f>'Field Log (14)'!C69</f>
        <v>0</v>
      </c>
      <c r="P61" s="232">
        <f>'Field Log (15)'!$C69</f>
        <v>0</v>
      </c>
      <c r="Q61" s="232" t="str">
        <f>'Field Log (16)'!$C69</f>
        <v>OR1553</v>
      </c>
      <c r="R61" s="232">
        <f>'Field Log (17)'!$C69</f>
        <v>0</v>
      </c>
      <c r="S61" s="232">
        <f>'Field Log (18)'!$C69</f>
        <v>0</v>
      </c>
      <c r="T61" s="232">
        <f>'Field Log (19)'!$C69</f>
        <v>0</v>
      </c>
      <c r="U61" s="232" t="str">
        <f>'Field Log (20)'!$C69</f>
        <v>G-1</v>
      </c>
      <c r="V61" s="232">
        <f>'Field Log (21)'!$C69</f>
        <v>0</v>
      </c>
      <c r="W61" s="232">
        <f>'Field Log (22)'!$C69</f>
        <v>0</v>
      </c>
      <c r="X61" s="232" t="str">
        <f>'Field Log (23)'!$C69</f>
        <v>SA11-019</v>
      </c>
      <c r="Y61" s="232" t="str">
        <f>'Field Log (24)'!$C69</f>
        <v>SA3-002</v>
      </c>
      <c r="Z61" s="232">
        <f>'Field Log (25)'!$C69</f>
        <v>0</v>
      </c>
      <c r="AA61" s="232" t="str">
        <f>'Field Log (26)'!$C69</f>
        <v>SA5-009</v>
      </c>
      <c r="AB61" s="232">
        <f>'Field Log (27)'!$C69</f>
        <v>0</v>
      </c>
      <c r="AC61" s="232">
        <f>'Field Log (28)'!$C69</f>
        <v>0</v>
      </c>
      <c r="AD61" s="232">
        <f>'Field Log (29)'!$C69</f>
        <v>0</v>
      </c>
      <c r="AE61" s="232">
        <f>'Field Log (30)'!$C69</f>
        <v>0</v>
      </c>
      <c r="AF61" s="232">
        <f>'Field Log (31)'!$C69</f>
        <v>0</v>
      </c>
      <c r="AG61" s="232">
        <f>'Field Log (32)'!$C69</f>
        <v>0</v>
      </c>
      <c r="AH61" s="232">
        <f>'Field Log (33)'!$C69</f>
        <v>0</v>
      </c>
      <c r="AI61" s="232">
        <f>'Field Log (34)'!$C69</f>
        <v>0</v>
      </c>
      <c r="AJ61" s="232">
        <f>'Field Log (35)'!$C69</f>
        <v>0</v>
      </c>
    </row>
    <row r="62" spans="2:36">
      <c r="B62" s="232">
        <f>'Field Log (1)'!C70</f>
        <v>0</v>
      </c>
      <c r="C62" s="232">
        <f>'Field Log (2)'!C70</f>
        <v>0</v>
      </c>
      <c r="D62" s="232">
        <f>'Field Log (3)'!C70</f>
        <v>0</v>
      </c>
      <c r="E62" s="232">
        <f>'Field Log (4)'!C70</f>
        <v>0</v>
      </c>
      <c r="F62" s="232">
        <f>'Field Log (5)'!C70</f>
        <v>0</v>
      </c>
      <c r="G62" s="232">
        <f>'Field Log (6)'!C70</f>
        <v>0</v>
      </c>
      <c r="H62" s="232">
        <f>'Field Log (7)'!C70</f>
        <v>0</v>
      </c>
      <c r="I62" s="232">
        <f>'Field Log (8)'!C70</f>
        <v>0</v>
      </c>
      <c r="J62" s="232">
        <f>'Field Log (9)'!C70</f>
        <v>0</v>
      </c>
      <c r="K62" s="232" t="str">
        <f>'Field Log (10)'!C70</f>
        <v>OR1116</v>
      </c>
      <c r="L62" s="232">
        <f>'Field Log (11)'!C70</f>
        <v>0</v>
      </c>
      <c r="M62" s="232">
        <f>'Field Log (12)'!C70</f>
        <v>0</v>
      </c>
      <c r="N62" s="232">
        <f>'Field Log (13)'!C70</f>
        <v>0</v>
      </c>
      <c r="O62" s="232">
        <f>'Field Log (14)'!C70</f>
        <v>0</v>
      </c>
      <c r="P62" s="232">
        <f>'Field Log (15)'!$C70</f>
        <v>0</v>
      </c>
      <c r="Q62" s="232" t="str">
        <f>'Field Log (16)'!$C70</f>
        <v>OR1557</v>
      </c>
      <c r="R62" s="232">
        <f>'Field Log (17)'!$C70</f>
        <v>0</v>
      </c>
      <c r="S62" s="232">
        <f>'Field Log (18)'!$C70</f>
        <v>0</v>
      </c>
      <c r="T62" s="232">
        <f>'Field Log (19)'!$C70</f>
        <v>0</v>
      </c>
      <c r="U62" s="232" t="str">
        <f>'Field Log (20)'!$C70</f>
        <v>G-10</v>
      </c>
      <c r="V62" s="232">
        <f>'Field Log (21)'!$C70</f>
        <v>0</v>
      </c>
      <c r="W62" s="232">
        <f>'Field Log (22)'!$C70</f>
        <v>0</v>
      </c>
      <c r="X62" s="232" t="str">
        <f>'Field Log (23)'!$C70</f>
        <v>OR1403</v>
      </c>
      <c r="Y62" s="232" t="str">
        <f>'Field Log (24)'!$C70</f>
        <v>SA3-003</v>
      </c>
      <c r="Z62" s="232">
        <f>'Field Log (25)'!$C70</f>
        <v>0</v>
      </c>
      <c r="AA62" s="232" t="str">
        <f>'Field Log (26)'!$C70</f>
        <v>SA5-010</v>
      </c>
      <c r="AB62" s="232">
        <f>'Field Log (27)'!$C70</f>
        <v>0</v>
      </c>
      <c r="AC62" s="232">
        <f>'Field Log (28)'!$C70</f>
        <v>0</v>
      </c>
      <c r="AD62" s="232">
        <f>'Field Log (29)'!$C70</f>
        <v>0</v>
      </c>
      <c r="AE62" s="232">
        <f>'Field Log (30)'!$C70</f>
        <v>0</v>
      </c>
      <c r="AF62" s="232">
        <f>'Field Log (31)'!$C70</f>
        <v>0</v>
      </c>
      <c r="AG62" s="232">
        <f>'Field Log (32)'!$C70</f>
        <v>0</v>
      </c>
      <c r="AH62" s="232">
        <f>'Field Log (33)'!$C70</f>
        <v>0</v>
      </c>
      <c r="AI62" s="232">
        <f>'Field Log (34)'!$C70</f>
        <v>0</v>
      </c>
      <c r="AJ62" s="232">
        <f>'Field Log (35)'!$C70</f>
        <v>0</v>
      </c>
    </row>
    <row r="63" spans="2:36">
      <c r="B63" s="232">
        <f>'Field Log (1)'!C71</f>
        <v>0</v>
      </c>
      <c r="C63" s="232">
        <f>'Field Log (2)'!C71</f>
        <v>0</v>
      </c>
      <c r="D63" s="232">
        <f>'Field Log (3)'!C71</f>
        <v>0</v>
      </c>
      <c r="E63" s="232">
        <f>'Field Log (4)'!C71</f>
        <v>0</v>
      </c>
      <c r="F63" s="232">
        <f>'Field Log (5)'!C71</f>
        <v>0</v>
      </c>
      <c r="G63" s="232">
        <f>'Field Log (6)'!C71</f>
        <v>0</v>
      </c>
      <c r="H63" s="232">
        <f>'Field Log (7)'!C71</f>
        <v>0</v>
      </c>
      <c r="I63" s="232">
        <f>'Field Log (8)'!C71</f>
        <v>0</v>
      </c>
      <c r="J63" s="232">
        <f>'Field Log (9)'!C71</f>
        <v>0</v>
      </c>
      <c r="K63" s="232" t="str">
        <f>'Field Log (10)'!C71</f>
        <v>OR1117</v>
      </c>
      <c r="L63" s="232">
        <f>'Field Log (11)'!C71</f>
        <v>0</v>
      </c>
      <c r="M63" s="232">
        <f>'Field Log (12)'!C71</f>
        <v>0</v>
      </c>
      <c r="N63" s="232">
        <f>'Field Log (13)'!C71</f>
        <v>0</v>
      </c>
      <c r="O63" s="232">
        <f>'Field Log (14)'!C71</f>
        <v>0</v>
      </c>
      <c r="P63" s="232">
        <f>'Field Log (15)'!$C71</f>
        <v>0</v>
      </c>
      <c r="Q63" s="232" t="str">
        <f>'Field Log (16)'!$C71</f>
        <v>OR1558</v>
      </c>
      <c r="R63" s="232">
        <f>'Field Log (17)'!$C71</f>
        <v>0</v>
      </c>
      <c r="S63" s="232">
        <f>'Field Log (18)'!$C71</f>
        <v>0</v>
      </c>
      <c r="T63" s="232">
        <f>'Field Log (19)'!$C71</f>
        <v>0</v>
      </c>
      <c r="U63" s="232" t="str">
        <f>'Field Log (20)'!$C71</f>
        <v>G-11</v>
      </c>
      <c r="V63" s="232">
        <f>'Field Log (21)'!$C71</f>
        <v>0</v>
      </c>
      <c r="W63" s="232">
        <f>'Field Log (22)'!$C71</f>
        <v>0</v>
      </c>
      <c r="X63" s="232" t="str">
        <f>'Field Log (23)'!$C71</f>
        <v>OR1411</v>
      </c>
      <c r="Y63" s="232" t="str">
        <f>'Field Log (24)'!$C71</f>
        <v>OR1332d</v>
      </c>
      <c r="Z63" s="232">
        <f>'Field Log (25)'!$C71</f>
        <v>0</v>
      </c>
      <c r="AA63" s="232" t="str">
        <f>'Field Log (26)'!$C71</f>
        <v>SA5-019</v>
      </c>
      <c r="AB63" s="232">
        <f>'Field Log (27)'!$C71</f>
        <v>0</v>
      </c>
      <c r="AC63" s="232">
        <f>'Field Log (28)'!$C71</f>
        <v>0</v>
      </c>
      <c r="AD63" s="232">
        <f>'Field Log (29)'!$C71</f>
        <v>0</v>
      </c>
      <c r="AE63" s="232">
        <f>'Field Log (30)'!$C71</f>
        <v>0</v>
      </c>
      <c r="AF63" s="232">
        <f>'Field Log (31)'!$C71</f>
        <v>0</v>
      </c>
      <c r="AG63" s="232">
        <f>'Field Log (32)'!$C71</f>
        <v>0</v>
      </c>
      <c r="AH63" s="232">
        <f>'Field Log (33)'!$C71</f>
        <v>0</v>
      </c>
      <c r="AI63" s="232">
        <f>'Field Log (34)'!$C71</f>
        <v>0</v>
      </c>
      <c r="AJ63" s="232">
        <f>'Field Log (35)'!$C71</f>
        <v>0</v>
      </c>
    </row>
    <row r="64" spans="2:36">
      <c r="B64" s="232">
        <f>'Field Log (1)'!C72</f>
        <v>0</v>
      </c>
      <c r="C64" s="232">
        <f>'Field Log (2)'!C72</f>
        <v>0</v>
      </c>
      <c r="D64" s="232">
        <f>'Field Log (3)'!C72</f>
        <v>0</v>
      </c>
      <c r="E64" s="232">
        <f>'Field Log (4)'!C72</f>
        <v>0</v>
      </c>
      <c r="F64" s="232">
        <f>'Field Log (5)'!C72</f>
        <v>0</v>
      </c>
      <c r="G64" s="232">
        <f>'Field Log (6)'!C72</f>
        <v>0</v>
      </c>
      <c r="H64" s="232">
        <f>'Field Log (7)'!C72</f>
        <v>0</v>
      </c>
      <c r="I64" s="232">
        <f>'Field Log (8)'!C72</f>
        <v>0</v>
      </c>
      <c r="J64" s="232">
        <f>'Field Log (9)'!C72</f>
        <v>0</v>
      </c>
      <c r="K64" s="232" t="str">
        <f>'Field Log (10)'!C72</f>
        <v>OR1102</v>
      </c>
      <c r="L64" s="232">
        <f>'Field Log (11)'!C72</f>
        <v>0</v>
      </c>
      <c r="M64" s="232">
        <f>'Field Log (12)'!C72</f>
        <v>0</v>
      </c>
      <c r="N64" s="232">
        <f>'Field Log (13)'!C72</f>
        <v>0</v>
      </c>
      <c r="O64" s="232">
        <f>'Field Log (14)'!C72</f>
        <v>0</v>
      </c>
      <c r="P64" s="232">
        <f>'Field Log (15)'!$C72</f>
        <v>0</v>
      </c>
      <c r="Q64" s="232" t="str">
        <f>'Field Log (16)'!$C72</f>
        <v>OR1559</v>
      </c>
      <c r="R64" s="232">
        <f>'Field Log (17)'!$C72</f>
        <v>0</v>
      </c>
      <c r="S64" s="232">
        <f>'Field Log (18)'!$C72</f>
        <v>0</v>
      </c>
      <c r="T64" s="232">
        <f>'Field Log (19)'!$C72</f>
        <v>0</v>
      </c>
      <c r="U64" s="232" t="str">
        <f>'Field Log (20)'!$C72</f>
        <v>G-5</v>
      </c>
      <c r="V64" s="232">
        <f>'Field Log (21)'!$C72</f>
        <v>0</v>
      </c>
      <c r="W64" s="232">
        <f>'Field Log (22)'!$C72</f>
        <v>0</v>
      </c>
      <c r="X64" s="232" t="str">
        <f>'Field Log (23)'!$C72</f>
        <v>OR1398</v>
      </c>
      <c r="Y64" s="232" t="str">
        <f>'Field Log (24)'!$C72</f>
        <v>OR1303B</v>
      </c>
      <c r="Z64" s="232">
        <f>'Field Log (25)'!$C72</f>
        <v>0</v>
      </c>
      <c r="AA64" s="232" t="str">
        <f>'Field Log (26)'!$C72</f>
        <v>SA5-020</v>
      </c>
      <c r="AB64" s="232">
        <f>'Field Log (27)'!$C72</f>
        <v>0</v>
      </c>
      <c r="AC64" s="232">
        <f>'Field Log (28)'!$C72</f>
        <v>0</v>
      </c>
      <c r="AD64" s="232">
        <f>'Field Log (29)'!$C72</f>
        <v>0</v>
      </c>
      <c r="AE64" s="232">
        <f>'Field Log (30)'!$C72</f>
        <v>0</v>
      </c>
      <c r="AF64" s="232">
        <f>'Field Log (31)'!$C72</f>
        <v>0</v>
      </c>
      <c r="AG64" s="232">
        <f>'Field Log (32)'!$C72</f>
        <v>0</v>
      </c>
      <c r="AH64" s="232">
        <f>'Field Log (33)'!$C72</f>
        <v>0</v>
      </c>
      <c r="AI64" s="232">
        <f>'Field Log (34)'!$C72</f>
        <v>0</v>
      </c>
      <c r="AJ64" s="232">
        <f>'Field Log (35)'!$C72</f>
        <v>0</v>
      </c>
    </row>
    <row r="65" spans="2:36">
      <c r="B65" s="232">
        <f>'Field Log (1)'!C73</f>
        <v>0</v>
      </c>
      <c r="C65" s="232">
        <f>'Field Log (2)'!C73</f>
        <v>0</v>
      </c>
      <c r="D65" s="232">
        <f>'Field Log (3)'!C73</f>
        <v>0</v>
      </c>
      <c r="E65" s="232">
        <f>'Field Log (4)'!C73</f>
        <v>0</v>
      </c>
      <c r="F65" s="232">
        <f>'Field Log (5)'!C73</f>
        <v>0</v>
      </c>
      <c r="G65" s="232">
        <f>'Field Log (6)'!C73</f>
        <v>0</v>
      </c>
      <c r="H65" s="232">
        <f>'Field Log (7)'!C73</f>
        <v>0</v>
      </c>
      <c r="I65" s="232">
        <f>'Field Log (8)'!C73</f>
        <v>0</v>
      </c>
      <c r="J65" s="232">
        <f>'Field Log (9)'!C73</f>
        <v>0</v>
      </c>
      <c r="K65" s="232" t="str">
        <f>'Field Log (10)'!C73</f>
        <v>OR1439</v>
      </c>
      <c r="L65" s="232">
        <f>'Field Log (11)'!C73</f>
        <v>0</v>
      </c>
      <c r="M65" s="232">
        <f>'Field Log (12)'!C73</f>
        <v>0</v>
      </c>
      <c r="N65" s="232">
        <f>'Field Log (13)'!C73</f>
        <v>0</v>
      </c>
      <c r="O65" s="232">
        <f>'Field Log (14)'!C73</f>
        <v>0</v>
      </c>
      <c r="P65" s="232">
        <f>'Field Log (15)'!$C73</f>
        <v>0</v>
      </c>
      <c r="Q65" s="232" t="str">
        <f>'Field Log (16)'!$C73</f>
        <v>OR1142</v>
      </c>
      <c r="R65" s="232">
        <f>'Field Log (17)'!$C73</f>
        <v>0</v>
      </c>
      <c r="S65" s="232">
        <f>'Field Log (18)'!$C73</f>
        <v>0</v>
      </c>
      <c r="T65" s="232">
        <f>'Field Log (19)'!$C73</f>
        <v>0</v>
      </c>
      <c r="U65" s="232" t="str">
        <f>'Field Log (20)'!$C73</f>
        <v>G-6</v>
      </c>
      <c r="V65" s="232">
        <f>'Field Log (21)'!$C73</f>
        <v>0</v>
      </c>
      <c r="W65" s="232">
        <f>'Field Log (22)'!$C73</f>
        <v>0</v>
      </c>
      <c r="X65" s="232" t="str">
        <f>'Field Log (23)'!$C73</f>
        <v>OR1718</v>
      </c>
      <c r="Y65" s="232" t="str">
        <f>'Field Log (24)'!$C73</f>
        <v>OR1301B</v>
      </c>
      <c r="Z65" s="232">
        <f>'Field Log (25)'!$C73</f>
        <v>0</v>
      </c>
      <c r="AA65" s="232" t="str">
        <f>'Field Log (26)'!$C73</f>
        <v>SA5-021</v>
      </c>
      <c r="AB65" s="232">
        <f>'Field Log (27)'!$C73</f>
        <v>0</v>
      </c>
      <c r="AC65" s="232">
        <f>'Field Log (28)'!$C73</f>
        <v>0</v>
      </c>
      <c r="AD65" s="232">
        <f>'Field Log (29)'!$C73</f>
        <v>0</v>
      </c>
      <c r="AE65" s="232">
        <f>'Field Log (30)'!$C73</f>
        <v>0</v>
      </c>
      <c r="AF65" s="232">
        <f>'Field Log (31)'!$C73</f>
        <v>0</v>
      </c>
      <c r="AG65" s="232">
        <f>'Field Log (32)'!$C73</f>
        <v>0</v>
      </c>
      <c r="AH65" s="232">
        <f>'Field Log (33)'!$C73</f>
        <v>0</v>
      </c>
      <c r="AI65" s="232">
        <f>'Field Log (34)'!$C73</f>
        <v>0</v>
      </c>
      <c r="AJ65" s="232">
        <f>'Field Log (35)'!$C73</f>
        <v>0</v>
      </c>
    </row>
    <row r="66" spans="2:36">
      <c r="B66" s="232">
        <f>'Field Log (1)'!C74</f>
        <v>0</v>
      </c>
      <c r="C66" s="232">
        <f>'Field Log (2)'!C74</f>
        <v>0</v>
      </c>
      <c r="D66" s="232">
        <f>'Field Log (3)'!C74</f>
        <v>0</v>
      </c>
      <c r="E66" s="232">
        <f>'Field Log (4)'!C74</f>
        <v>0</v>
      </c>
      <c r="F66" s="232">
        <f>'Field Log (5)'!C74</f>
        <v>0</v>
      </c>
      <c r="G66" s="232">
        <f>'Field Log (6)'!C74</f>
        <v>0</v>
      </c>
      <c r="H66" s="232">
        <f>'Field Log (7)'!C74</f>
        <v>0</v>
      </c>
      <c r="I66" s="232">
        <f>'Field Log (8)'!C74</f>
        <v>0</v>
      </c>
      <c r="J66" s="232">
        <f>'Field Log (9)'!C74</f>
        <v>0</v>
      </c>
      <c r="K66" s="232" t="str">
        <f>'Field Log (10)'!C74</f>
        <v>OR1440</v>
      </c>
      <c r="L66" s="232">
        <f>'Field Log (11)'!C74</f>
        <v>0</v>
      </c>
      <c r="M66" s="232">
        <f>'Field Log (12)'!C74</f>
        <v>0</v>
      </c>
      <c r="N66" s="232">
        <f>'Field Log (13)'!C74</f>
        <v>0</v>
      </c>
      <c r="O66" s="232">
        <f>'Field Log (14)'!C74</f>
        <v>0</v>
      </c>
      <c r="P66" s="232">
        <f>'Field Log (15)'!$C74</f>
        <v>0</v>
      </c>
      <c r="Q66" s="232" t="str">
        <f>'Field Log (16)'!$C74</f>
        <v>DL2591</v>
      </c>
      <c r="R66" s="232">
        <f>'Field Log (17)'!$C74</f>
        <v>0</v>
      </c>
      <c r="S66" s="232">
        <f>'Field Log (18)'!$C74</f>
        <v>0</v>
      </c>
      <c r="T66" s="232">
        <f>'Field Log (19)'!$C74</f>
        <v>0</v>
      </c>
      <c r="U66" s="232" t="str">
        <f>'Field Log (20)'!$C74</f>
        <v>G-7</v>
      </c>
      <c r="V66" s="232">
        <f>'Field Log (21)'!$C74</f>
        <v>0</v>
      </c>
      <c r="W66" s="232">
        <f>'Field Log (22)'!$C74</f>
        <v>0</v>
      </c>
      <c r="X66" s="232" t="str">
        <f>'Field Log (23)'!$C74</f>
        <v>DL2611</v>
      </c>
      <c r="Y66" s="232" t="str">
        <f>'Field Log (24)'!$C74</f>
        <v>444bT</v>
      </c>
      <c r="Z66" s="232">
        <f>'Field Log (25)'!$C74</f>
        <v>0</v>
      </c>
      <c r="AA66" s="232" t="str">
        <f>'Field Log (26)'!$C74</f>
        <v>SA5-022</v>
      </c>
      <c r="AB66" s="232">
        <f>'Field Log (27)'!$C74</f>
        <v>0</v>
      </c>
      <c r="AC66" s="232">
        <f>'Field Log (28)'!$C74</f>
        <v>0</v>
      </c>
      <c r="AD66" s="232">
        <f>'Field Log (29)'!$C74</f>
        <v>0</v>
      </c>
      <c r="AE66" s="232">
        <f>'Field Log (30)'!$C74</f>
        <v>0</v>
      </c>
      <c r="AF66" s="232">
        <f>'Field Log (31)'!$C74</f>
        <v>0</v>
      </c>
      <c r="AG66" s="232">
        <f>'Field Log (32)'!$C74</f>
        <v>0</v>
      </c>
      <c r="AH66" s="232">
        <f>'Field Log (33)'!$C74</f>
        <v>0</v>
      </c>
      <c r="AI66" s="232">
        <f>'Field Log (34)'!$C74</f>
        <v>0</v>
      </c>
      <c r="AJ66" s="232">
        <f>'Field Log (35)'!$C74</f>
        <v>0</v>
      </c>
    </row>
    <row r="67" spans="2:36">
      <c r="B67" s="232">
        <f>'Field Log (1)'!C75</f>
        <v>0</v>
      </c>
      <c r="C67" s="232">
        <f>'Field Log (2)'!C75</f>
        <v>0</v>
      </c>
      <c r="D67" s="232">
        <f>'Field Log (3)'!C75</f>
        <v>0</v>
      </c>
      <c r="E67" s="232">
        <f>'Field Log (4)'!C75</f>
        <v>0</v>
      </c>
      <c r="F67" s="232">
        <f>'Field Log (5)'!C75</f>
        <v>0</v>
      </c>
      <c r="G67" s="232">
        <f>'Field Log (6)'!C75</f>
        <v>0</v>
      </c>
      <c r="H67" s="232">
        <f>'Field Log (7)'!C75</f>
        <v>0</v>
      </c>
      <c r="I67" s="232">
        <f>'Field Log (8)'!C75</f>
        <v>0</v>
      </c>
      <c r="J67" s="232">
        <f>'Field Log (9)'!C75</f>
        <v>0</v>
      </c>
      <c r="K67" s="232" t="str">
        <f>'Field Log (10)'!C75</f>
        <v>OR1441</v>
      </c>
      <c r="L67" s="232">
        <f>'Field Log (11)'!C75</f>
        <v>0</v>
      </c>
      <c r="M67" s="232">
        <f>'Field Log (12)'!C75</f>
        <v>0</v>
      </c>
      <c r="N67" s="232">
        <f>'Field Log (13)'!C75</f>
        <v>0</v>
      </c>
      <c r="O67" s="232">
        <f>'Field Log (14)'!C75</f>
        <v>0</v>
      </c>
      <c r="P67" s="232">
        <f>'Field Log (15)'!$C75</f>
        <v>0</v>
      </c>
      <c r="Q67" s="232" t="str">
        <f>'Field Log (16)'!$C75</f>
        <v>DL2593</v>
      </c>
      <c r="R67" s="232">
        <f>'Field Log (17)'!$C75</f>
        <v>0</v>
      </c>
      <c r="S67" s="232">
        <f>'Field Log (18)'!$C75</f>
        <v>0</v>
      </c>
      <c r="T67" s="232">
        <f>'Field Log (19)'!$C75</f>
        <v>0</v>
      </c>
      <c r="U67" s="232" t="str">
        <f>'Field Log (20)'!$C75</f>
        <v>G-8</v>
      </c>
      <c r="V67" s="232">
        <f>'Field Log (21)'!$C75</f>
        <v>0</v>
      </c>
      <c r="W67" s="232">
        <f>'Field Log (22)'!$C75</f>
        <v>0</v>
      </c>
      <c r="X67" s="232">
        <f>'Field Log (23)'!$C75</f>
        <v>0</v>
      </c>
      <c r="Y67" s="232" t="str">
        <f>'Field Log (24)'!$C75</f>
        <v>SA9-002B</v>
      </c>
      <c r="Z67" s="232">
        <f>'Field Log (25)'!$C75</f>
        <v>0</v>
      </c>
      <c r="AA67" s="232" t="str">
        <f>'Field Log (26)'!$C75</f>
        <v>OR1633</v>
      </c>
      <c r="AB67" s="232">
        <f>'Field Log (27)'!$C75</f>
        <v>0</v>
      </c>
      <c r="AC67" s="232">
        <f>'Field Log (28)'!$C75</f>
        <v>0</v>
      </c>
      <c r="AD67" s="232">
        <f>'Field Log (29)'!$C75</f>
        <v>0</v>
      </c>
      <c r="AE67" s="232">
        <f>'Field Log (30)'!$C75</f>
        <v>0</v>
      </c>
      <c r="AF67" s="232">
        <f>'Field Log (31)'!$C75</f>
        <v>0</v>
      </c>
      <c r="AG67" s="232">
        <f>'Field Log (32)'!$C75</f>
        <v>0</v>
      </c>
      <c r="AH67" s="232">
        <f>'Field Log (33)'!$C75</f>
        <v>0</v>
      </c>
      <c r="AI67" s="232">
        <f>'Field Log (34)'!$C75</f>
        <v>0</v>
      </c>
      <c r="AJ67" s="232">
        <f>'Field Log (35)'!$C75</f>
        <v>0</v>
      </c>
    </row>
    <row r="68" spans="2:36">
      <c r="B68" s="232">
        <f>'Field Log (1)'!C76</f>
        <v>0</v>
      </c>
      <c r="C68" s="232">
        <f>'Field Log (2)'!C76</f>
        <v>0</v>
      </c>
      <c r="D68" s="232">
        <f>'Field Log (3)'!C76</f>
        <v>0</v>
      </c>
      <c r="E68" s="232">
        <f>'Field Log (4)'!C76</f>
        <v>0</v>
      </c>
      <c r="F68" s="232">
        <f>'Field Log (5)'!C76</f>
        <v>0</v>
      </c>
      <c r="G68" s="232">
        <f>'Field Log (6)'!C76</f>
        <v>0</v>
      </c>
      <c r="H68" s="232">
        <f>'Field Log (7)'!C76</f>
        <v>0</v>
      </c>
      <c r="I68" s="232">
        <f>'Field Log (8)'!C76</f>
        <v>0</v>
      </c>
      <c r="J68" s="232">
        <f>'Field Log (9)'!C76</f>
        <v>0</v>
      </c>
      <c r="K68" s="232" t="str">
        <f>'Field Log (10)'!C76</f>
        <v>OR1457</v>
      </c>
      <c r="L68" s="232">
        <f>'Field Log (11)'!C76</f>
        <v>0</v>
      </c>
      <c r="M68" s="232">
        <f>'Field Log (12)'!C76</f>
        <v>0</v>
      </c>
      <c r="N68" s="232">
        <f>'Field Log (13)'!C76</f>
        <v>0</v>
      </c>
      <c r="O68" s="232">
        <f>'Field Log (14)'!C76</f>
        <v>0</v>
      </c>
      <c r="P68" s="232">
        <f>'Field Log (15)'!$C76</f>
        <v>0</v>
      </c>
      <c r="Q68" s="232" t="str">
        <f>'Field Log (16)'!$C76</f>
        <v>OR1004</v>
      </c>
      <c r="R68" s="232">
        <f>'Field Log (17)'!$C76</f>
        <v>0</v>
      </c>
      <c r="S68" s="232">
        <f>'Field Log (18)'!$C76</f>
        <v>0</v>
      </c>
      <c r="T68" s="232">
        <f>'Field Log (19)'!$C76</f>
        <v>0</v>
      </c>
      <c r="U68" s="232" t="str">
        <f>'Field Log (20)'!$C76</f>
        <v>G-9</v>
      </c>
      <c r="V68" s="232">
        <f>'Field Log (21)'!$C76</f>
        <v>0</v>
      </c>
      <c r="W68" s="232">
        <f>'Field Log (22)'!$C76</f>
        <v>0</v>
      </c>
      <c r="X68" s="232">
        <f>'Field Log (23)'!$C76</f>
        <v>0</v>
      </c>
      <c r="Y68" s="232" t="str">
        <f>'Field Log (24)'!$C76</f>
        <v>SA9-027B</v>
      </c>
      <c r="Z68" s="232">
        <f>'Field Log (25)'!$C76</f>
        <v>0</v>
      </c>
      <c r="AA68" s="232" t="str">
        <f>'Field Log (26)'!$C76</f>
        <v>OR1653</v>
      </c>
      <c r="AB68" s="232">
        <f>'Field Log (27)'!$C76</f>
        <v>0</v>
      </c>
      <c r="AC68" s="232">
        <f>'Field Log (28)'!$C76</f>
        <v>0</v>
      </c>
      <c r="AD68" s="232">
        <f>'Field Log (29)'!$C76</f>
        <v>0</v>
      </c>
      <c r="AE68" s="232">
        <f>'Field Log (30)'!$C76</f>
        <v>0</v>
      </c>
      <c r="AF68" s="232">
        <f>'Field Log (31)'!$C76</f>
        <v>0</v>
      </c>
      <c r="AG68" s="232">
        <f>'Field Log (32)'!$C76</f>
        <v>0</v>
      </c>
      <c r="AH68" s="232">
        <f>'Field Log (33)'!$C76</f>
        <v>0</v>
      </c>
      <c r="AI68" s="232">
        <f>'Field Log (34)'!$C76</f>
        <v>0</v>
      </c>
      <c r="AJ68" s="232">
        <f>'Field Log (35)'!$C76</f>
        <v>0</v>
      </c>
    </row>
    <row r="69" spans="2:36">
      <c r="B69" s="232">
        <f>'Field Log (1)'!C77</f>
        <v>0</v>
      </c>
      <c r="C69" s="232">
        <f>'Field Log (2)'!C77</f>
        <v>0</v>
      </c>
      <c r="D69" s="232">
        <f>'Field Log (3)'!C77</f>
        <v>0</v>
      </c>
      <c r="E69" s="232">
        <f>'Field Log (4)'!C77</f>
        <v>0</v>
      </c>
      <c r="F69" s="232">
        <f>'Field Log (5)'!C77</f>
        <v>0</v>
      </c>
      <c r="G69" s="232">
        <f>'Field Log (6)'!C77</f>
        <v>0</v>
      </c>
      <c r="H69" s="232">
        <f>'Field Log (7)'!C77</f>
        <v>0</v>
      </c>
      <c r="I69" s="232">
        <f>'Field Log (8)'!C77</f>
        <v>0</v>
      </c>
      <c r="J69" s="232">
        <f>'Field Log (9)'!C77</f>
        <v>0</v>
      </c>
      <c r="K69" s="232" t="str">
        <f>'Field Log (10)'!C77</f>
        <v>OR1460</v>
      </c>
      <c r="L69" s="232">
        <f>'Field Log (11)'!C77</f>
        <v>0</v>
      </c>
      <c r="M69" s="232">
        <f>'Field Log (12)'!C77</f>
        <v>0</v>
      </c>
      <c r="N69" s="232">
        <f>'Field Log (13)'!C77</f>
        <v>0</v>
      </c>
      <c r="O69" s="232">
        <f>'Field Log (14)'!C77</f>
        <v>0</v>
      </c>
      <c r="P69" s="232">
        <f>'Field Log (15)'!$C77</f>
        <v>0</v>
      </c>
      <c r="Q69" s="232" t="str">
        <f>'Field Log (16)'!$C77</f>
        <v>OR1210</v>
      </c>
      <c r="R69" s="232">
        <f>'Field Log (17)'!$C77</f>
        <v>0</v>
      </c>
      <c r="S69" s="232">
        <f>'Field Log (18)'!$C77</f>
        <v>0</v>
      </c>
      <c r="T69" s="232">
        <f>'Field Log (19)'!$C77</f>
        <v>0</v>
      </c>
      <c r="U69" s="232" t="str">
        <f>'Field Log (20)'!$C77</f>
        <v>OR1413</v>
      </c>
      <c r="V69" s="232">
        <f>'Field Log (21)'!$C77</f>
        <v>0</v>
      </c>
      <c r="W69" s="232">
        <f>'Field Log (22)'!$C77</f>
        <v>0</v>
      </c>
      <c r="X69" s="232">
        <f>'Field Log (23)'!$C77</f>
        <v>0</v>
      </c>
      <c r="Y69" s="232" t="str">
        <f>'Field Log (24)'!$C77</f>
        <v>SA9-026B</v>
      </c>
      <c r="Z69" s="232">
        <f>'Field Log (25)'!$C77</f>
        <v>0</v>
      </c>
      <c r="AA69" s="232" t="str">
        <f>'Field Log (26)'!$C77</f>
        <v>OR1621</v>
      </c>
      <c r="AB69" s="232">
        <f>'Field Log (27)'!$C77</f>
        <v>0</v>
      </c>
      <c r="AC69" s="232">
        <f>'Field Log (28)'!$C77</f>
        <v>0</v>
      </c>
      <c r="AD69" s="232">
        <f>'Field Log (29)'!$C77</f>
        <v>0</v>
      </c>
      <c r="AE69" s="232">
        <f>'Field Log (30)'!$C77</f>
        <v>0</v>
      </c>
      <c r="AF69" s="232">
        <f>'Field Log (31)'!$C77</f>
        <v>0</v>
      </c>
      <c r="AG69" s="232">
        <f>'Field Log (32)'!$C77</f>
        <v>0</v>
      </c>
      <c r="AH69" s="232">
        <f>'Field Log (33)'!$C77</f>
        <v>0</v>
      </c>
      <c r="AI69" s="232">
        <f>'Field Log (34)'!$C77</f>
        <v>0</v>
      </c>
      <c r="AJ69" s="232">
        <f>'Field Log (35)'!$C77</f>
        <v>0</v>
      </c>
    </row>
    <row r="70" spans="2:36">
      <c r="B70" s="232">
        <f>'Field Log (1)'!C78</f>
        <v>0</v>
      </c>
      <c r="C70" s="232">
        <f>'Field Log (2)'!C78</f>
        <v>0</v>
      </c>
      <c r="D70" s="232">
        <f>'Field Log (3)'!C78</f>
        <v>0</v>
      </c>
      <c r="E70" s="232">
        <f>'Field Log (4)'!C78</f>
        <v>0</v>
      </c>
      <c r="F70" s="232">
        <f>'Field Log (5)'!C78</f>
        <v>0</v>
      </c>
      <c r="G70" s="232">
        <f>'Field Log (6)'!C78</f>
        <v>0</v>
      </c>
      <c r="H70" s="232">
        <f>'Field Log (7)'!C78</f>
        <v>0</v>
      </c>
      <c r="I70" s="232">
        <f>'Field Log (8)'!C78</f>
        <v>0</v>
      </c>
      <c r="J70" s="232">
        <f>'Field Log (9)'!C78</f>
        <v>0</v>
      </c>
      <c r="K70" s="232" t="str">
        <f>'Field Log (10)'!C78</f>
        <v>OR1463</v>
      </c>
      <c r="L70" s="232">
        <f>'Field Log (11)'!C78</f>
        <v>0</v>
      </c>
      <c r="M70" s="232">
        <f>'Field Log (12)'!C78</f>
        <v>0</v>
      </c>
      <c r="N70" s="232">
        <f>'Field Log (13)'!C78</f>
        <v>0</v>
      </c>
      <c r="O70" s="232">
        <f>'Field Log (14)'!C78</f>
        <v>0</v>
      </c>
      <c r="P70" s="232">
        <f>'Field Log (15)'!$C78</f>
        <v>0</v>
      </c>
      <c r="Q70" s="232" t="str">
        <f>'Field Log (16)'!$C78</f>
        <v>OR1461</v>
      </c>
      <c r="R70" s="232">
        <f>'Field Log (17)'!$C78</f>
        <v>0</v>
      </c>
      <c r="S70" s="232">
        <f>'Field Log (18)'!$C78</f>
        <v>0</v>
      </c>
      <c r="T70" s="232">
        <f>'Field Log (19)'!$C78</f>
        <v>0</v>
      </c>
      <c r="U70" s="232" t="str">
        <f>'Field Log (20)'!$C78</f>
        <v>OR1414d</v>
      </c>
      <c r="V70" s="232">
        <f>'Field Log (21)'!$C78</f>
        <v>0</v>
      </c>
      <c r="W70" s="232">
        <f>'Field Log (22)'!$C78</f>
        <v>0</v>
      </c>
      <c r="X70" s="232">
        <f>'Field Log (23)'!$C78</f>
        <v>0</v>
      </c>
      <c r="Y70" s="232" t="str">
        <f>'Field Log (24)'!$C78</f>
        <v>OR1129</v>
      </c>
      <c r="Z70" s="232">
        <f>'Field Log (25)'!$C78</f>
        <v>0</v>
      </c>
      <c r="AA70" s="232" t="str">
        <f>'Field Log (26)'!$C78</f>
        <v>OR1502</v>
      </c>
      <c r="AB70" s="232">
        <f>'Field Log (27)'!$C78</f>
        <v>0</v>
      </c>
      <c r="AC70" s="232">
        <f>'Field Log (28)'!$C78</f>
        <v>0</v>
      </c>
      <c r="AD70" s="232">
        <f>'Field Log (29)'!$C78</f>
        <v>0</v>
      </c>
      <c r="AE70" s="232">
        <f>'Field Log (30)'!$C78</f>
        <v>0</v>
      </c>
      <c r="AF70" s="232">
        <f>'Field Log (31)'!$C78</f>
        <v>0</v>
      </c>
      <c r="AG70" s="232">
        <f>'Field Log (32)'!$C78</f>
        <v>0</v>
      </c>
      <c r="AH70" s="232">
        <f>'Field Log (33)'!$C78</f>
        <v>0</v>
      </c>
      <c r="AI70" s="232">
        <f>'Field Log (34)'!$C78</f>
        <v>0</v>
      </c>
      <c r="AJ70" s="232">
        <f>'Field Log (35)'!$C78</f>
        <v>0</v>
      </c>
    </row>
    <row r="71" spans="2:36">
      <c r="B71" s="232">
        <f>'Field Log (1)'!C79</f>
        <v>0</v>
      </c>
      <c r="C71" s="232">
        <f>'Field Log (2)'!C79</f>
        <v>0</v>
      </c>
      <c r="D71" s="232">
        <f>'Field Log (3)'!C79</f>
        <v>0</v>
      </c>
      <c r="E71" s="232">
        <f>'Field Log (4)'!C79</f>
        <v>0</v>
      </c>
      <c r="F71" s="232">
        <f>'Field Log (5)'!C79</f>
        <v>0</v>
      </c>
      <c r="G71" s="232">
        <f>'Field Log (6)'!C79</f>
        <v>0</v>
      </c>
      <c r="H71" s="232">
        <f>'Field Log (7)'!C79</f>
        <v>0</v>
      </c>
      <c r="I71" s="232">
        <f>'Field Log (8)'!C79</f>
        <v>0</v>
      </c>
      <c r="J71" s="232">
        <f>'Field Log (9)'!C79</f>
        <v>0</v>
      </c>
      <c r="K71" s="232" t="str">
        <f>'Field Log (10)'!C79</f>
        <v>OR1467</v>
      </c>
      <c r="L71" s="232">
        <f>'Field Log (11)'!C79</f>
        <v>0</v>
      </c>
      <c r="M71" s="232">
        <f>'Field Log (12)'!C79</f>
        <v>0</v>
      </c>
      <c r="N71" s="232">
        <f>'Field Log (13)'!C79</f>
        <v>0</v>
      </c>
      <c r="O71" s="232">
        <f>'Field Log (14)'!C79</f>
        <v>0</v>
      </c>
      <c r="P71" s="232">
        <f>'Field Log (15)'!$C79</f>
        <v>0</v>
      </c>
      <c r="Q71" s="232" t="str">
        <f>'Field Log (16)'!$C79</f>
        <v>OR1320</v>
      </c>
      <c r="R71" s="232">
        <f>'Field Log (17)'!$C79</f>
        <v>0</v>
      </c>
      <c r="S71" s="232">
        <f>'Field Log (18)'!$C79</f>
        <v>0</v>
      </c>
      <c r="T71" s="232">
        <f>'Field Log (19)'!$C79</f>
        <v>0</v>
      </c>
      <c r="U71" s="232" t="str">
        <f>'Field Log (20)'!$C79</f>
        <v>OR1251</v>
      </c>
      <c r="V71" s="232">
        <f>'Field Log (21)'!$C79</f>
        <v>0</v>
      </c>
      <c r="W71" s="232">
        <f>'Field Log (22)'!$C79</f>
        <v>0</v>
      </c>
      <c r="X71" s="232">
        <f>'Field Log (23)'!$C79</f>
        <v>0</v>
      </c>
      <c r="Y71" s="232" t="str">
        <f>'Field Log (24)'!$C79</f>
        <v>T334</v>
      </c>
      <c r="Z71" s="232">
        <f>'Field Log (25)'!$C79</f>
        <v>0</v>
      </c>
      <c r="AA71" s="232" t="str">
        <f>'Field Log (26)'!$C79</f>
        <v>OR1503</v>
      </c>
      <c r="AB71" s="232">
        <f>'Field Log (27)'!$C79</f>
        <v>0</v>
      </c>
      <c r="AC71" s="232">
        <f>'Field Log (28)'!$C79</f>
        <v>0</v>
      </c>
      <c r="AD71" s="232">
        <f>'Field Log (29)'!$C79</f>
        <v>0</v>
      </c>
      <c r="AE71" s="232">
        <f>'Field Log (30)'!$C79</f>
        <v>0</v>
      </c>
      <c r="AF71" s="232">
        <f>'Field Log (31)'!$C79</f>
        <v>0</v>
      </c>
      <c r="AG71" s="232">
        <f>'Field Log (32)'!$C79</f>
        <v>0</v>
      </c>
      <c r="AH71" s="232">
        <f>'Field Log (33)'!$C79</f>
        <v>0</v>
      </c>
      <c r="AI71" s="232">
        <f>'Field Log (34)'!$C79</f>
        <v>0</v>
      </c>
      <c r="AJ71" s="232">
        <f>'Field Log (35)'!$C79</f>
        <v>0</v>
      </c>
    </row>
    <row r="72" spans="2:36">
      <c r="B72" s="232">
        <f>'Field Log (1)'!C80</f>
        <v>0</v>
      </c>
      <c r="C72" s="232">
        <f>'Field Log (2)'!C80</f>
        <v>0</v>
      </c>
      <c r="D72" s="232">
        <f>'Field Log (3)'!C80</f>
        <v>0</v>
      </c>
      <c r="E72" s="232">
        <f>'Field Log (4)'!C80</f>
        <v>0</v>
      </c>
      <c r="F72" s="232">
        <f>'Field Log (5)'!C80</f>
        <v>0</v>
      </c>
      <c r="G72" s="232">
        <f>'Field Log (6)'!C80</f>
        <v>0</v>
      </c>
      <c r="H72" s="232">
        <f>'Field Log (7)'!C80</f>
        <v>0</v>
      </c>
      <c r="I72" s="232">
        <f>'Field Log (8)'!C80</f>
        <v>0</v>
      </c>
      <c r="J72" s="232">
        <f>'Field Log (9)'!C80</f>
        <v>0</v>
      </c>
      <c r="K72" s="232" t="str">
        <f>'Field Log (10)'!C80</f>
        <v>OR1224</v>
      </c>
      <c r="L72" s="232">
        <f>'Field Log (11)'!C80</f>
        <v>0</v>
      </c>
      <c r="M72" s="232">
        <f>'Field Log (12)'!C80</f>
        <v>0</v>
      </c>
      <c r="N72" s="232">
        <f>'Field Log (13)'!C80</f>
        <v>0</v>
      </c>
      <c r="O72" s="232">
        <f>'Field Log (14)'!C80</f>
        <v>0</v>
      </c>
      <c r="P72" s="232">
        <f>'Field Log (15)'!$C80</f>
        <v>0</v>
      </c>
      <c r="Q72" s="232" t="str">
        <f>'Field Log (16)'!$C80</f>
        <v>OR1309</v>
      </c>
      <c r="R72" s="232">
        <f>'Field Log (17)'!$C80</f>
        <v>0</v>
      </c>
      <c r="S72" s="232">
        <f>'Field Log (18)'!$C80</f>
        <v>0</v>
      </c>
      <c r="T72" s="232">
        <f>'Field Log (19)'!$C80</f>
        <v>0</v>
      </c>
      <c r="U72" s="232" t="str">
        <f>'Field Log (20)'!$C80</f>
        <v>OR1246</v>
      </c>
      <c r="V72" s="232">
        <f>'Field Log (21)'!$C80</f>
        <v>0</v>
      </c>
      <c r="W72" s="232">
        <f>'Field Log (22)'!$C80</f>
        <v>0</v>
      </c>
      <c r="X72" s="232">
        <f>'Field Log (23)'!$C80</f>
        <v>0</v>
      </c>
      <c r="Y72" s="232" t="str">
        <f>'Field Log (24)'!$C80</f>
        <v>SA3-007</v>
      </c>
      <c r="Z72" s="232">
        <f>'Field Log (25)'!$C80</f>
        <v>0</v>
      </c>
      <c r="AA72" s="232" t="str">
        <f>'Field Log (26)'!$C80</f>
        <v>OR1787</v>
      </c>
      <c r="AB72" s="232">
        <f>'Field Log (27)'!$C80</f>
        <v>0</v>
      </c>
      <c r="AC72" s="232">
        <f>'Field Log (28)'!$C80</f>
        <v>0</v>
      </c>
      <c r="AD72" s="232">
        <f>'Field Log (29)'!$C80</f>
        <v>0</v>
      </c>
      <c r="AE72" s="232">
        <f>'Field Log (30)'!$C80</f>
        <v>0</v>
      </c>
      <c r="AF72" s="232">
        <f>'Field Log (31)'!$C80</f>
        <v>0</v>
      </c>
      <c r="AG72" s="232">
        <f>'Field Log (32)'!$C80</f>
        <v>0</v>
      </c>
      <c r="AH72" s="232">
        <f>'Field Log (33)'!$C80</f>
        <v>0</v>
      </c>
      <c r="AI72" s="232">
        <f>'Field Log (34)'!$C80</f>
        <v>0</v>
      </c>
      <c r="AJ72" s="232">
        <f>'Field Log (35)'!$C80</f>
        <v>0</v>
      </c>
    </row>
    <row r="73" spans="2:36">
      <c r="B73" s="232">
        <f>'Field Log (1)'!C81</f>
        <v>0</v>
      </c>
      <c r="C73" s="232">
        <f>'Field Log (2)'!C81</f>
        <v>0</v>
      </c>
      <c r="D73" s="232">
        <f>'Field Log (3)'!C81</f>
        <v>0</v>
      </c>
      <c r="E73" s="232">
        <f>'Field Log (4)'!C81</f>
        <v>0</v>
      </c>
      <c r="F73" s="232">
        <f>'Field Log (5)'!C81</f>
        <v>0</v>
      </c>
      <c r="G73" s="232">
        <f>'Field Log (6)'!C81</f>
        <v>0</v>
      </c>
      <c r="H73" s="232">
        <f>'Field Log (7)'!C81</f>
        <v>0</v>
      </c>
      <c r="I73" s="232">
        <f>'Field Log (8)'!C81</f>
        <v>0</v>
      </c>
      <c r="J73" s="232">
        <f>'Field Log (9)'!C81</f>
        <v>0</v>
      </c>
      <c r="K73" s="232" t="str">
        <f>'Field Log (10)'!C81</f>
        <v>OR1229</v>
      </c>
      <c r="L73" s="232">
        <f>'Field Log (11)'!C81</f>
        <v>0</v>
      </c>
      <c r="M73" s="232">
        <f>'Field Log (12)'!C81</f>
        <v>0</v>
      </c>
      <c r="N73" s="232">
        <f>'Field Log (13)'!C81</f>
        <v>0</v>
      </c>
      <c r="O73" s="232">
        <f>'Field Log (14)'!C81</f>
        <v>0</v>
      </c>
      <c r="P73" s="232">
        <f>'Field Log (15)'!$C81</f>
        <v>0</v>
      </c>
      <c r="Q73" s="232" t="str">
        <f>'Field Log (16)'!$C81</f>
        <v>SA14-011</v>
      </c>
      <c r="R73" s="232">
        <f>'Field Log (17)'!$C81</f>
        <v>0</v>
      </c>
      <c r="S73" s="232">
        <f>'Field Log (18)'!$C81</f>
        <v>0</v>
      </c>
      <c r="T73" s="232">
        <f>'Field Log (19)'!$C81</f>
        <v>0</v>
      </c>
      <c r="U73" s="232" t="str">
        <f>'Field Log (20)'!$C81</f>
        <v>OR1247</v>
      </c>
      <c r="V73" s="232">
        <f>'Field Log (21)'!$C81</f>
        <v>0</v>
      </c>
      <c r="W73" s="232">
        <f>'Field Log (22)'!$C81</f>
        <v>0</v>
      </c>
      <c r="X73" s="232">
        <f>'Field Log (23)'!$C81</f>
        <v>0</v>
      </c>
      <c r="Y73" s="232" t="str">
        <f>'Field Log (24)'!$C81</f>
        <v>T278</v>
      </c>
      <c r="Z73" s="232">
        <f>'Field Log (25)'!$C81</f>
        <v>0</v>
      </c>
      <c r="AA73" s="232" t="str">
        <f>'Field Log (26)'!$C81</f>
        <v>OR1656</v>
      </c>
      <c r="AB73" s="232">
        <f>'Field Log (27)'!$C81</f>
        <v>0</v>
      </c>
      <c r="AC73" s="232">
        <f>'Field Log (28)'!$C81</f>
        <v>0</v>
      </c>
      <c r="AD73" s="232">
        <f>'Field Log (29)'!$C81</f>
        <v>0</v>
      </c>
      <c r="AE73" s="232">
        <f>'Field Log (30)'!$C81</f>
        <v>0</v>
      </c>
      <c r="AF73" s="232">
        <f>'Field Log (31)'!$C81</f>
        <v>0</v>
      </c>
      <c r="AG73" s="232">
        <f>'Field Log (32)'!$C81</f>
        <v>0</v>
      </c>
      <c r="AH73" s="232">
        <f>'Field Log (33)'!$C81</f>
        <v>0</v>
      </c>
      <c r="AI73" s="232">
        <f>'Field Log (34)'!$C81</f>
        <v>0</v>
      </c>
      <c r="AJ73" s="232">
        <f>'Field Log (35)'!$C81</f>
        <v>0</v>
      </c>
    </row>
    <row r="74" spans="2:36">
      <c r="B74" s="232">
        <f>'Field Log (1)'!C82</f>
        <v>0</v>
      </c>
      <c r="C74" s="232">
        <f>'Field Log (2)'!C82</f>
        <v>0</v>
      </c>
      <c r="D74" s="232">
        <f>'Field Log (3)'!C82</f>
        <v>0</v>
      </c>
      <c r="E74" s="232">
        <f>'Field Log (4)'!C82</f>
        <v>0</v>
      </c>
      <c r="F74" s="232">
        <f>'Field Log (5)'!C82</f>
        <v>0</v>
      </c>
      <c r="G74" s="232">
        <f>'Field Log (6)'!C82</f>
        <v>0</v>
      </c>
      <c r="H74" s="232">
        <f>'Field Log (7)'!C82</f>
        <v>0</v>
      </c>
      <c r="I74" s="232">
        <f>'Field Log (8)'!C82</f>
        <v>0</v>
      </c>
      <c r="J74" s="232">
        <f>'Field Log (9)'!C82</f>
        <v>0</v>
      </c>
      <c r="K74" s="232" t="str">
        <f>'Field Log (10)'!C82</f>
        <v>OR1119</v>
      </c>
      <c r="L74" s="232">
        <f>'Field Log (11)'!C82</f>
        <v>0</v>
      </c>
      <c r="M74" s="232">
        <f>'Field Log (12)'!C82</f>
        <v>0</v>
      </c>
      <c r="N74" s="232">
        <f>'Field Log (13)'!C82</f>
        <v>0</v>
      </c>
      <c r="O74" s="232">
        <f>'Field Log (14)'!C82</f>
        <v>0</v>
      </c>
      <c r="P74" s="232">
        <f>'Field Log (15)'!$C82</f>
        <v>0</v>
      </c>
      <c r="Q74" s="232" t="str">
        <f>'Field Log (16)'!$C82</f>
        <v>SA14-013</v>
      </c>
      <c r="R74" s="232">
        <f>'Field Log (17)'!$C82</f>
        <v>0</v>
      </c>
      <c r="S74" s="232">
        <f>'Field Log (18)'!$C82</f>
        <v>0</v>
      </c>
      <c r="T74" s="232">
        <f>'Field Log (19)'!$C82</f>
        <v>0</v>
      </c>
      <c r="U74" s="232" t="str">
        <f>'Field Log (20)'!$C82</f>
        <v>OR1566</v>
      </c>
      <c r="V74" s="232">
        <f>'Field Log (21)'!$C82</f>
        <v>0</v>
      </c>
      <c r="W74" s="232">
        <f>'Field Log (22)'!$C82</f>
        <v>0</v>
      </c>
      <c r="X74" s="232">
        <f>'Field Log (23)'!$C82</f>
        <v>0</v>
      </c>
      <c r="Y74" s="232" t="str">
        <f>'Field Log (24)'!$C82</f>
        <v>OR1023</v>
      </c>
      <c r="Z74" s="232">
        <f>'Field Log (25)'!$C82</f>
        <v>0</v>
      </c>
      <c r="AA74" s="232" t="str">
        <f>'Field Log (26)'!$C82</f>
        <v>OR1780</v>
      </c>
      <c r="AB74" s="232">
        <f>'Field Log (27)'!$C82</f>
        <v>0</v>
      </c>
      <c r="AC74" s="232">
        <f>'Field Log (28)'!$C82</f>
        <v>0</v>
      </c>
      <c r="AD74" s="232">
        <f>'Field Log (29)'!$C82</f>
        <v>0</v>
      </c>
      <c r="AE74" s="232">
        <f>'Field Log (30)'!$C82</f>
        <v>0</v>
      </c>
      <c r="AF74" s="232">
        <f>'Field Log (31)'!$C82</f>
        <v>0</v>
      </c>
      <c r="AG74" s="232">
        <f>'Field Log (32)'!$C82</f>
        <v>0</v>
      </c>
      <c r="AH74" s="232">
        <f>'Field Log (33)'!$C82</f>
        <v>0</v>
      </c>
      <c r="AI74" s="232">
        <f>'Field Log (34)'!$C82</f>
        <v>0</v>
      </c>
      <c r="AJ74" s="232">
        <f>'Field Log (35)'!$C82</f>
        <v>0</v>
      </c>
    </row>
    <row r="75" spans="2:36">
      <c r="B75" s="232">
        <f>'Field Log (1)'!C83</f>
        <v>0</v>
      </c>
      <c r="C75" s="232">
        <f>'Field Log (2)'!C83</f>
        <v>0</v>
      </c>
      <c r="D75" s="232">
        <f>'Field Log (3)'!C83</f>
        <v>0</v>
      </c>
      <c r="E75" s="232">
        <f>'Field Log (4)'!C83</f>
        <v>0</v>
      </c>
      <c r="F75" s="232">
        <f>'Field Log (5)'!C83</f>
        <v>0</v>
      </c>
      <c r="G75" s="232">
        <f>'Field Log (6)'!C83</f>
        <v>0</v>
      </c>
      <c r="H75" s="232">
        <f>'Field Log (7)'!C83</f>
        <v>0</v>
      </c>
      <c r="I75" s="232">
        <f>'Field Log (8)'!C83</f>
        <v>0</v>
      </c>
      <c r="J75" s="232">
        <f>'Field Log (9)'!C83</f>
        <v>0</v>
      </c>
      <c r="K75" s="232" t="str">
        <f>'Field Log (10)'!C83</f>
        <v>OR1121</v>
      </c>
      <c r="L75" s="232">
        <f>'Field Log (11)'!C83</f>
        <v>0</v>
      </c>
      <c r="M75" s="232">
        <f>'Field Log (12)'!C83</f>
        <v>0</v>
      </c>
      <c r="N75" s="232">
        <f>'Field Log (13)'!C83</f>
        <v>0</v>
      </c>
      <c r="O75" s="232">
        <f>'Field Log (14)'!C83</f>
        <v>0</v>
      </c>
      <c r="P75" s="232">
        <f>'Field Log (15)'!$C83</f>
        <v>0</v>
      </c>
      <c r="Q75" s="232" t="str">
        <f>'Field Log (16)'!$C83</f>
        <v>SA14-014</v>
      </c>
      <c r="R75" s="232">
        <f>'Field Log (17)'!$C83</f>
        <v>0</v>
      </c>
      <c r="S75" s="232">
        <f>'Field Log (18)'!$C83</f>
        <v>0</v>
      </c>
      <c r="T75" s="232">
        <f>'Field Log (19)'!$C83</f>
        <v>0</v>
      </c>
      <c r="U75" s="232" t="str">
        <f>'Field Log (20)'!$C83</f>
        <v>OR1317</v>
      </c>
      <c r="V75" s="232">
        <f>'Field Log (21)'!$C83</f>
        <v>0</v>
      </c>
      <c r="W75" s="232">
        <f>'Field Log (22)'!$C83</f>
        <v>0</v>
      </c>
      <c r="X75" s="232">
        <f>'Field Log (23)'!$C83</f>
        <v>0</v>
      </c>
      <c r="Y75" s="232" t="str">
        <f>'Field Log (24)'!$C83</f>
        <v>OR1039</v>
      </c>
      <c r="Z75" s="232">
        <f>'Field Log (25)'!$C83</f>
        <v>0</v>
      </c>
      <c r="AA75" s="232" t="str">
        <f>'Field Log (26)'!$C83</f>
        <v>OR1619</v>
      </c>
      <c r="AB75" s="232">
        <f>'Field Log (27)'!$C83</f>
        <v>0</v>
      </c>
      <c r="AC75" s="232">
        <f>'Field Log (28)'!$C83</f>
        <v>0</v>
      </c>
      <c r="AD75" s="232">
        <f>'Field Log (29)'!$C83</f>
        <v>0</v>
      </c>
      <c r="AE75" s="232">
        <f>'Field Log (30)'!$C83</f>
        <v>0</v>
      </c>
      <c r="AF75" s="232">
        <f>'Field Log (31)'!$C83</f>
        <v>0</v>
      </c>
      <c r="AG75" s="232">
        <f>'Field Log (32)'!$C83</f>
        <v>0</v>
      </c>
      <c r="AH75" s="232">
        <f>'Field Log (33)'!$C83</f>
        <v>0</v>
      </c>
      <c r="AI75" s="232">
        <f>'Field Log (34)'!$C83</f>
        <v>0</v>
      </c>
      <c r="AJ75" s="232">
        <f>'Field Log (35)'!$C83</f>
        <v>0</v>
      </c>
    </row>
    <row r="76" spans="2:36">
      <c r="B76" s="232">
        <f>'Field Log (1)'!C84</f>
        <v>0</v>
      </c>
      <c r="C76" s="232">
        <f>'Field Log (2)'!C84</f>
        <v>0</v>
      </c>
      <c r="D76" s="232">
        <f>'Field Log (3)'!C84</f>
        <v>0</v>
      </c>
      <c r="E76" s="232">
        <f>'Field Log (4)'!C84</f>
        <v>0</v>
      </c>
      <c r="F76" s="232">
        <f>'Field Log (5)'!C84</f>
        <v>0</v>
      </c>
      <c r="G76" s="232">
        <f>'Field Log (6)'!C84</f>
        <v>0</v>
      </c>
      <c r="H76" s="232">
        <f>'Field Log (7)'!C84</f>
        <v>0</v>
      </c>
      <c r="I76" s="232">
        <f>'Field Log (8)'!C84</f>
        <v>0</v>
      </c>
      <c r="J76" s="232">
        <f>'Field Log (9)'!C84</f>
        <v>0</v>
      </c>
      <c r="K76" s="232" t="str">
        <f>'Field Log (10)'!C84</f>
        <v>OR1122</v>
      </c>
      <c r="L76" s="232">
        <f>'Field Log (11)'!C84</f>
        <v>0</v>
      </c>
      <c r="M76" s="232">
        <f>'Field Log (12)'!C84</f>
        <v>0</v>
      </c>
      <c r="N76" s="232">
        <f>'Field Log (13)'!C84</f>
        <v>0</v>
      </c>
      <c r="O76" s="232">
        <f>'Field Log (14)'!C84</f>
        <v>0</v>
      </c>
      <c r="P76" s="232">
        <f>'Field Log (15)'!$C84</f>
        <v>0</v>
      </c>
      <c r="Q76" s="232" t="str">
        <f>'Field Log (16)'!$C84</f>
        <v>SA14-019</v>
      </c>
      <c r="R76" s="232">
        <f>'Field Log (17)'!$C84</f>
        <v>0</v>
      </c>
      <c r="S76" s="232">
        <f>'Field Log (18)'!$C84</f>
        <v>0</v>
      </c>
      <c r="T76" s="232">
        <f>'Field Log (19)'!$C84</f>
        <v>0</v>
      </c>
      <c r="U76" s="232" t="str">
        <f>'Field Log (20)'!$C84</f>
        <v>SA11-026D</v>
      </c>
      <c r="V76" s="232">
        <f>'Field Log (21)'!$C84</f>
        <v>0</v>
      </c>
      <c r="W76" s="232">
        <f>'Field Log (22)'!$C84</f>
        <v>0</v>
      </c>
      <c r="X76" s="232">
        <f>'Field Log (23)'!$C84</f>
        <v>0</v>
      </c>
      <c r="Y76" s="232" t="str">
        <f>'Field Log (24)'!$C84</f>
        <v>DL2556</v>
      </c>
      <c r="Z76" s="232">
        <f>'Field Log (25)'!$C84</f>
        <v>0</v>
      </c>
      <c r="AA76" s="232" t="str">
        <f>'Field Log (26)'!$C84</f>
        <v>OR1777d</v>
      </c>
      <c r="AB76" s="232">
        <f>'Field Log (27)'!$C84</f>
        <v>0</v>
      </c>
      <c r="AC76" s="232">
        <f>'Field Log (28)'!$C84</f>
        <v>0</v>
      </c>
      <c r="AD76" s="232">
        <f>'Field Log (29)'!$C84</f>
        <v>0</v>
      </c>
      <c r="AE76" s="232">
        <f>'Field Log (30)'!$C84</f>
        <v>0</v>
      </c>
      <c r="AF76" s="232">
        <f>'Field Log (31)'!$C84</f>
        <v>0</v>
      </c>
      <c r="AG76" s="232">
        <f>'Field Log (32)'!$C84</f>
        <v>0</v>
      </c>
      <c r="AH76" s="232">
        <f>'Field Log (33)'!$C84</f>
        <v>0</v>
      </c>
      <c r="AI76" s="232">
        <f>'Field Log (34)'!$C84</f>
        <v>0</v>
      </c>
      <c r="AJ76" s="232">
        <f>'Field Log (35)'!$C84</f>
        <v>0</v>
      </c>
    </row>
    <row r="77" spans="2:36">
      <c r="B77" s="232">
        <f>'Field Log (1)'!C85</f>
        <v>0</v>
      </c>
      <c r="C77" s="232">
        <f>'Field Log (2)'!C85</f>
        <v>0</v>
      </c>
      <c r="D77" s="232">
        <f>'Field Log (3)'!C85</f>
        <v>0</v>
      </c>
      <c r="E77" s="232">
        <f>'Field Log (4)'!C85</f>
        <v>0</v>
      </c>
      <c r="F77" s="232">
        <f>'Field Log (5)'!C85</f>
        <v>0</v>
      </c>
      <c r="G77" s="232">
        <f>'Field Log (6)'!C85</f>
        <v>0</v>
      </c>
      <c r="H77" s="232">
        <f>'Field Log (7)'!C85</f>
        <v>0</v>
      </c>
      <c r="I77" s="232">
        <f>'Field Log (8)'!C85</f>
        <v>0</v>
      </c>
      <c r="J77" s="232">
        <f>'Field Log (9)'!C85</f>
        <v>0</v>
      </c>
      <c r="K77" s="232" t="str">
        <f>'Field Log (10)'!C85</f>
        <v>OR1123</v>
      </c>
      <c r="L77" s="232">
        <f>'Field Log (11)'!C85</f>
        <v>0</v>
      </c>
      <c r="M77" s="232">
        <f>'Field Log (12)'!C85</f>
        <v>0</v>
      </c>
      <c r="N77" s="232">
        <f>'Field Log (13)'!C85</f>
        <v>0</v>
      </c>
      <c r="O77" s="232">
        <f>'Field Log (14)'!C85</f>
        <v>0</v>
      </c>
      <c r="P77" s="232">
        <f>'Field Log (15)'!$C85</f>
        <v>0</v>
      </c>
      <c r="Q77" s="232" t="str">
        <f>'Field Log (16)'!$C85</f>
        <v>SA14-022</v>
      </c>
      <c r="R77" s="232">
        <f>'Field Log (17)'!$C85</f>
        <v>0</v>
      </c>
      <c r="S77" s="232">
        <f>'Field Log (18)'!$C85</f>
        <v>0</v>
      </c>
      <c r="T77" s="232">
        <f>'Field Log (19)'!$C85</f>
        <v>0</v>
      </c>
      <c r="U77" s="232" t="str">
        <f>'Field Log (20)'!$C85</f>
        <v>OR1203</v>
      </c>
      <c r="V77" s="232">
        <f>'Field Log (21)'!$C85</f>
        <v>0</v>
      </c>
      <c r="W77" s="232">
        <f>'Field Log (22)'!$C85</f>
        <v>0</v>
      </c>
      <c r="X77" s="232">
        <f>'Field Log (23)'!$C85</f>
        <v>0</v>
      </c>
      <c r="Y77" s="232" t="str">
        <f>'Field Log (24)'!$C85</f>
        <v>DL2607</v>
      </c>
      <c r="Z77" s="232">
        <f>'Field Log (25)'!$C85</f>
        <v>0</v>
      </c>
      <c r="AA77" s="232">
        <f>'Field Log (26)'!$C85</f>
        <v>0</v>
      </c>
      <c r="AB77" s="232">
        <f>'Field Log (27)'!$C85</f>
        <v>0</v>
      </c>
      <c r="AC77" s="232">
        <f>'Field Log (28)'!$C85</f>
        <v>0</v>
      </c>
      <c r="AD77" s="232">
        <f>'Field Log (29)'!$C85</f>
        <v>0</v>
      </c>
      <c r="AE77" s="232">
        <f>'Field Log (30)'!$C85</f>
        <v>0</v>
      </c>
      <c r="AF77" s="232">
        <f>'Field Log (31)'!$C85</f>
        <v>0</v>
      </c>
      <c r="AG77" s="232">
        <f>'Field Log (32)'!$C85</f>
        <v>0</v>
      </c>
      <c r="AH77" s="232">
        <f>'Field Log (33)'!$C85</f>
        <v>0</v>
      </c>
      <c r="AI77" s="232">
        <f>'Field Log (34)'!$C85</f>
        <v>0</v>
      </c>
      <c r="AJ77" s="232">
        <f>'Field Log (35)'!$C85</f>
        <v>0</v>
      </c>
    </row>
    <row r="78" spans="2:36">
      <c r="B78" s="232">
        <f>'Field Log (1)'!C86</f>
        <v>0</v>
      </c>
      <c r="C78" s="232">
        <f>'Field Log (2)'!C86</f>
        <v>0</v>
      </c>
      <c r="D78" s="232">
        <f>'Field Log (3)'!C86</f>
        <v>0</v>
      </c>
      <c r="E78" s="232">
        <f>'Field Log (4)'!C86</f>
        <v>0</v>
      </c>
      <c r="F78" s="232">
        <f>'Field Log (5)'!C86</f>
        <v>0</v>
      </c>
      <c r="G78" s="232">
        <f>'Field Log (6)'!C86</f>
        <v>0</v>
      </c>
      <c r="H78" s="232">
        <f>'Field Log (7)'!C86</f>
        <v>0</v>
      </c>
      <c r="I78" s="232">
        <f>'Field Log (8)'!C86</f>
        <v>0</v>
      </c>
      <c r="J78" s="232">
        <f>'Field Log (9)'!C86</f>
        <v>0</v>
      </c>
      <c r="K78" s="232" t="str">
        <f>'Field Log (10)'!C86</f>
        <v>OR1415</v>
      </c>
      <c r="L78" s="232">
        <f>'Field Log (11)'!C86</f>
        <v>0</v>
      </c>
      <c r="M78" s="232">
        <f>'Field Log (12)'!C86</f>
        <v>0</v>
      </c>
      <c r="N78" s="232">
        <f>'Field Log (13)'!C86</f>
        <v>0</v>
      </c>
      <c r="O78" s="232">
        <f>'Field Log (14)'!C86</f>
        <v>0</v>
      </c>
      <c r="P78" s="232">
        <f>'Field Log (15)'!$C86</f>
        <v>0</v>
      </c>
      <c r="Q78" s="232" t="str">
        <f>'Field Log (16)'!$C86</f>
        <v>OR1167</v>
      </c>
      <c r="R78" s="232">
        <f>'Field Log (17)'!$C86</f>
        <v>0</v>
      </c>
      <c r="S78" s="232">
        <f>'Field Log (18)'!$C86</f>
        <v>0</v>
      </c>
      <c r="T78" s="232">
        <f>'Field Log (19)'!$C86</f>
        <v>0</v>
      </c>
      <c r="U78" s="232" t="str">
        <f>'Field Log (20)'!$C86</f>
        <v>OR1235</v>
      </c>
      <c r="V78" s="232">
        <f>'Field Log (21)'!$C86</f>
        <v>0</v>
      </c>
      <c r="W78" s="232">
        <f>'Field Log (22)'!$C86</f>
        <v>0</v>
      </c>
      <c r="X78" s="232">
        <f>'Field Log (23)'!$C86</f>
        <v>0</v>
      </c>
      <c r="Y78" s="232" t="str">
        <f>'Field Log (24)'!$C86</f>
        <v>DL2616</v>
      </c>
      <c r="Z78" s="232">
        <f>'Field Log (25)'!$C86</f>
        <v>0</v>
      </c>
      <c r="AA78" s="232">
        <f>'Field Log (26)'!$C86</f>
        <v>0</v>
      </c>
      <c r="AB78" s="232">
        <f>'Field Log (27)'!$C86</f>
        <v>0</v>
      </c>
      <c r="AC78" s="232">
        <f>'Field Log (28)'!$C86</f>
        <v>0</v>
      </c>
      <c r="AD78" s="232">
        <f>'Field Log (29)'!$C86</f>
        <v>0</v>
      </c>
      <c r="AE78" s="232">
        <f>'Field Log (30)'!$C86</f>
        <v>0</v>
      </c>
      <c r="AF78" s="232">
        <f>'Field Log (31)'!$C86</f>
        <v>0</v>
      </c>
      <c r="AG78" s="232">
        <f>'Field Log (32)'!$C86</f>
        <v>0</v>
      </c>
      <c r="AH78" s="232">
        <f>'Field Log (33)'!$C86</f>
        <v>0</v>
      </c>
      <c r="AI78" s="232">
        <f>'Field Log (34)'!$C86</f>
        <v>0</v>
      </c>
      <c r="AJ78" s="232">
        <f>'Field Log (35)'!$C86</f>
        <v>0</v>
      </c>
    </row>
    <row r="79" spans="2:36">
      <c r="B79" s="232">
        <f>'Field Log (1)'!C87</f>
        <v>0</v>
      </c>
      <c r="C79" s="232">
        <f>'Field Log (2)'!C87</f>
        <v>0</v>
      </c>
      <c r="D79" s="232">
        <f>'Field Log (3)'!C87</f>
        <v>0</v>
      </c>
      <c r="E79" s="232">
        <f>'Field Log (4)'!C87</f>
        <v>0</v>
      </c>
      <c r="F79" s="232">
        <f>'Field Log (5)'!C87</f>
        <v>0</v>
      </c>
      <c r="G79" s="232">
        <f>'Field Log (6)'!C87</f>
        <v>0</v>
      </c>
      <c r="H79" s="232">
        <f>'Field Log (7)'!C87</f>
        <v>0</v>
      </c>
      <c r="I79" s="232">
        <f>'Field Log (8)'!C87</f>
        <v>0</v>
      </c>
      <c r="J79" s="232">
        <f>'Field Log (9)'!C87</f>
        <v>0</v>
      </c>
      <c r="K79" s="232" t="str">
        <f>'Field Log (10)'!C87</f>
        <v>OR1421</v>
      </c>
      <c r="L79" s="232">
        <f>'Field Log (11)'!C87</f>
        <v>0</v>
      </c>
      <c r="M79" s="232">
        <f>'Field Log (12)'!C87</f>
        <v>0</v>
      </c>
      <c r="N79" s="232">
        <f>'Field Log (13)'!C87</f>
        <v>0</v>
      </c>
      <c r="O79" s="232">
        <f>'Field Log (14)'!C87</f>
        <v>0</v>
      </c>
      <c r="P79" s="232">
        <f>'Field Log (15)'!$C87</f>
        <v>0</v>
      </c>
      <c r="Q79" s="232" t="str">
        <f>'Field Log (16)'!$C87</f>
        <v>OR1180</v>
      </c>
      <c r="R79" s="232">
        <f>'Field Log (17)'!$C87</f>
        <v>0</v>
      </c>
      <c r="S79" s="232">
        <f>'Field Log (18)'!$C87</f>
        <v>0</v>
      </c>
      <c r="T79" s="232">
        <f>'Field Log (19)'!$C87</f>
        <v>0</v>
      </c>
      <c r="U79" s="232" t="str">
        <f>'Field Log (20)'!$C87</f>
        <v>OR1236</v>
      </c>
      <c r="V79" s="232">
        <f>'Field Log (21)'!$C87</f>
        <v>0</v>
      </c>
      <c r="W79" s="232">
        <f>'Field Log (22)'!$C87</f>
        <v>0</v>
      </c>
      <c r="X79" s="232">
        <f>'Field Log (23)'!$C87</f>
        <v>0</v>
      </c>
      <c r="Y79" s="232" t="str">
        <f>'Field Log (24)'!$C87</f>
        <v>420T</v>
      </c>
      <c r="Z79" s="232">
        <f>'Field Log (25)'!$C87</f>
        <v>0</v>
      </c>
      <c r="AA79" s="232">
        <f>'Field Log (26)'!$C87</f>
        <v>0</v>
      </c>
      <c r="AB79" s="232">
        <f>'Field Log (27)'!$C87</f>
        <v>0</v>
      </c>
      <c r="AC79" s="232">
        <f>'Field Log (28)'!$C87</f>
        <v>0</v>
      </c>
      <c r="AD79" s="232">
        <f>'Field Log (29)'!$C87</f>
        <v>0</v>
      </c>
      <c r="AE79" s="232">
        <f>'Field Log (30)'!$C87</f>
        <v>0</v>
      </c>
      <c r="AF79" s="232">
        <f>'Field Log (31)'!$C87</f>
        <v>0</v>
      </c>
      <c r="AG79" s="232">
        <f>'Field Log (32)'!$C87</f>
        <v>0</v>
      </c>
      <c r="AH79" s="232">
        <f>'Field Log (33)'!$C87</f>
        <v>0</v>
      </c>
      <c r="AI79" s="232">
        <f>'Field Log (34)'!$C87</f>
        <v>0</v>
      </c>
      <c r="AJ79" s="232">
        <f>'Field Log (35)'!$C87</f>
        <v>0</v>
      </c>
    </row>
    <row r="80" spans="2:36">
      <c r="B80" s="232">
        <f>'Field Log (1)'!C88</f>
        <v>0</v>
      </c>
      <c r="C80" s="232">
        <f>'Field Log (2)'!C88</f>
        <v>0</v>
      </c>
      <c r="D80" s="232">
        <f>'Field Log (3)'!C88</f>
        <v>0</v>
      </c>
      <c r="E80" s="232">
        <f>'Field Log (4)'!C88</f>
        <v>0</v>
      </c>
      <c r="F80" s="232">
        <f>'Field Log (5)'!C88</f>
        <v>0</v>
      </c>
      <c r="G80" s="232">
        <f>'Field Log (6)'!C88</f>
        <v>0</v>
      </c>
      <c r="H80" s="232">
        <f>'Field Log (7)'!C88</f>
        <v>0</v>
      </c>
      <c r="I80" s="232">
        <f>'Field Log (8)'!C88</f>
        <v>0</v>
      </c>
      <c r="J80" s="232">
        <f>'Field Log (9)'!C88</f>
        <v>0</v>
      </c>
      <c r="K80" s="232" t="str">
        <f>'Field Log (10)'!C88</f>
        <v>OR1429</v>
      </c>
      <c r="L80" s="232">
        <f>'Field Log (11)'!C88</f>
        <v>0</v>
      </c>
      <c r="M80" s="232">
        <f>'Field Log (12)'!C88</f>
        <v>0</v>
      </c>
      <c r="N80" s="232">
        <f>'Field Log (13)'!C88</f>
        <v>0</v>
      </c>
      <c r="O80" s="232">
        <f>'Field Log (14)'!C88</f>
        <v>0</v>
      </c>
      <c r="P80" s="232">
        <f>'Field Log (15)'!$C88</f>
        <v>0</v>
      </c>
      <c r="Q80" s="232" t="str">
        <f>'Field Log (16)'!$C88</f>
        <v>OR1175</v>
      </c>
      <c r="R80" s="232">
        <f>'Field Log (17)'!$C88</f>
        <v>0</v>
      </c>
      <c r="S80" s="232">
        <f>'Field Log (18)'!$C88</f>
        <v>0</v>
      </c>
      <c r="T80" s="232">
        <f>'Field Log (19)'!$C88</f>
        <v>0</v>
      </c>
      <c r="U80" s="232" t="str">
        <f>'Field Log (20)'!$C88</f>
        <v>OR1238</v>
      </c>
      <c r="V80" s="232">
        <f>'Field Log (21)'!$C88</f>
        <v>0</v>
      </c>
      <c r="W80" s="232">
        <f>'Field Log (22)'!$C88</f>
        <v>0</v>
      </c>
      <c r="X80" s="232">
        <f>'Field Log (23)'!$C88</f>
        <v>0</v>
      </c>
      <c r="Y80" s="232" t="str">
        <f>'Field Log (24)'!$C88</f>
        <v>446T</v>
      </c>
      <c r="Z80" s="232">
        <f>'Field Log (25)'!$C88</f>
        <v>0</v>
      </c>
      <c r="AA80" s="232">
        <f>'Field Log (26)'!$C88</f>
        <v>0</v>
      </c>
      <c r="AB80" s="232">
        <f>'Field Log (27)'!$C88</f>
        <v>0</v>
      </c>
      <c r="AC80" s="232">
        <f>'Field Log (28)'!$C88</f>
        <v>0</v>
      </c>
      <c r="AD80" s="232">
        <f>'Field Log (29)'!$C88</f>
        <v>0</v>
      </c>
      <c r="AE80" s="232">
        <f>'Field Log (30)'!$C88</f>
        <v>0</v>
      </c>
      <c r="AF80" s="232">
        <f>'Field Log (31)'!$C88</f>
        <v>0</v>
      </c>
      <c r="AG80" s="232">
        <f>'Field Log (32)'!$C88</f>
        <v>0</v>
      </c>
      <c r="AH80" s="232">
        <f>'Field Log (33)'!$C88</f>
        <v>0</v>
      </c>
      <c r="AI80" s="232">
        <f>'Field Log (34)'!$C88</f>
        <v>0</v>
      </c>
      <c r="AJ80" s="232">
        <f>'Field Log (35)'!$C88</f>
        <v>0</v>
      </c>
    </row>
    <row r="81" spans="2:36">
      <c r="B81" s="232">
        <f>'Field Log (1)'!C89</f>
        <v>0</v>
      </c>
      <c r="C81" s="232">
        <f>'Field Log (2)'!C89</f>
        <v>0</v>
      </c>
      <c r="D81" s="232">
        <f>'Field Log (3)'!C89</f>
        <v>0</v>
      </c>
      <c r="E81" s="232">
        <f>'Field Log (4)'!C89</f>
        <v>0</v>
      </c>
      <c r="F81" s="232">
        <f>'Field Log (5)'!C89</f>
        <v>0</v>
      </c>
      <c r="G81" s="232">
        <f>'Field Log (6)'!C89</f>
        <v>0</v>
      </c>
      <c r="H81" s="232">
        <f>'Field Log (7)'!C89</f>
        <v>0</v>
      </c>
      <c r="I81" s="232">
        <f>'Field Log (8)'!C89</f>
        <v>0</v>
      </c>
      <c r="J81" s="232">
        <f>'Field Log (9)'!C89</f>
        <v>0</v>
      </c>
      <c r="K81" s="232" t="str">
        <f>'Field Log (10)'!C89</f>
        <v>OR1436</v>
      </c>
      <c r="L81" s="232">
        <f>'Field Log (11)'!C89</f>
        <v>0</v>
      </c>
      <c r="M81" s="232">
        <f>'Field Log (12)'!C89</f>
        <v>0</v>
      </c>
      <c r="N81" s="232">
        <f>'Field Log (13)'!C89</f>
        <v>0</v>
      </c>
      <c r="O81" s="232">
        <f>'Field Log (14)'!C89</f>
        <v>0</v>
      </c>
      <c r="P81" s="232">
        <f>'Field Log (15)'!$C89</f>
        <v>0</v>
      </c>
      <c r="Q81" s="232">
        <f>'Field Log (16)'!$C89</f>
        <v>0</v>
      </c>
      <c r="R81" s="232">
        <f>'Field Log (17)'!$C89</f>
        <v>0</v>
      </c>
      <c r="S81" s="232">
        <f>'Field Log (18)'!$C89</f>
        <v>0</v>
      </c>
      <c r="T81" s="232">
        <f>'Field Log (19)'!$C89</f>
        <v>0</v>
      </c>
      <c r="U81" s="232" t="str">
        <f>'Field Log (20)'!$C89</f>
        <v>OR1225</v>
      </c>
      <c r="V81" s="232">
        <f>'Field Log (21)'!$C89</f>
        <v>0</v>
      </c>
      <c r="W81" s="232">
        <f>'Field Log (22)'!$C89</f>
        <v>0</v>
      </c>
      <c r="X81" s="232">
        <f>'Field Log (23)'!$C89</f>
        <v>0</v>
      </c>
      <c r="Y81" s="232" t="str">
        <f>'Field Log (24)'!$C89</f>
        <v>492T</v>
      </c>
      <c r="Z81" s="232">
        <f>'Field Log (25)'!$C89</f>
        <v>0</v>
      </c>
      <c r="AA81" s="232">
        <f>'Field Log (26)'!$C89</f>
        <v>0</v>
      </c>
      <c r="AB81" s="232">
        <f>'Field Log (27)'!$C89</f>
        <v>0</v>
      </c>
      <c r="AC81" s="232">
        <f>'Field Log (28)'!$C89</f>
        <v>0</v>
      </c>
      <c r="AD81" s="232">
        <f>'Field Log (29)'!$C89</f>
        <v>0</v>
      </c>
      <c r="AE81" s="232">
        <f>'Field Log (30)'!$C89</f>
        <v>0</v>
      </c>
      <c r="AF81" s="232">
        <f>'Field Log (31)'!$C89</f>
        <v>0</v>
      </c>
      <c r="AG81" s="232">
        <f>'Field Log (32)'!$C89</f>
        <v>0</v>
      </c>
      <c r="AH81" s="232">
        <f>'Field Log (33)'!$C89</f>
        <v>0</v>
      </c>
      <c r="AI81" s="232">
        <f>'Field Log (34)'!$C89</f>
        <v>0</v>
      </c>
      <c r="AJ81" s="232">
        <f>'Field Log (35)'!$C89</f>
        <v>0</v>
      </c>
    </row>
    <row r="82" spans="2:36">
      <c r="B82" s="232">
        <f>'Field Log (1)'!C90</f>
        <v>0</v>
      </c>
      <c r="C82" s="232">
        <f>'Field Log (2)'!C90</f>
        <v>0</v>
      </c>
      <c r="D82" s="232">
        <f>'Field Log (3)'!C90</f>
        <v>0</v>
      </c>
      <c r="E82" s="232">
        <f>'Field Log (4)'!C90</f>
        <v>0</v>
      </c>
      <c r="F82" s="232">
        <f>'Field Log (5)'!C90</f>
        <v>0</v>
      </c>
      <c r="G82" s="232">
        <f>'Field Log (6)'!C90</f>
        <v>0</v>
      </c>
      <c r="H82" s="232">
        <f>'Field Log (7)'!C90</f>
        <v>0</v>
      </c>
      <c r="I82" s="232">
        <f>'Field Log (8)'!C90</f>
        <v>0</v>
      </c>
      <c r="J82" s="232">
        <f>'Field Log (9)'!C90</f>
        <v>0</v>
      </c>
      <c r="K82" s="232" t="str">
        <f>'Field Log (10)'!C90</f>
        <v>OR1437</v>
      </c>
      <c r="L82" s="232">
        <f>'Field Log (11)'!C90</f>
        <v>0</v>
      </c>
      <c r="M82" s="232">
        <f>'Field Log (12)'!C90</f>
        <v>0</v>
      </c>
      <c r="N82" s="232">
        <f>'Field Log (13)'!C90</f>
        <v>0</v>
      </c>
      <c r="O82" s="232">
        <f>'Field Log (14)'!C90</f>
        <v>0</v>
      </c>
      <c r="P82" s="232">
        <f>'Field Log (15)'!$C90</f>
        <v>0</v>
      </c>
      <c r="Q82" s="232">
        <f>'Field Log (16)'!$C90</f>
        <v>0</v>
      </c>
      <c r="R82" s="232">
        <f>'Field Log (17)'!$C90</f>
        <v>0</v>
      </c>
      <c r="S82" s="232">
        <f>'Field Log (18)'!$C90</f>
        <v>0</v>
      </c>
      <c r="T82" s="232">
        <f>'Field Log (19)'!$C90</f>
        <v>0</v>
      </c>
      <c r="U82" s="232" t="str">
        <f>'Field Log (20)'!$C90</f>
        <v>OR1233</v>
      </c>
      <c r="V82" s="232">
        <f>'Field Log (21)'!$C90</f>
        <v>0</v>
      </c>
      <c r="W82" s="232">
        <f>'Field Log (22)'!$C90</f>
        <v>0</v>
      </c>
      <c r="X82" s="232">
        <f>'Field Log (23)'!$C90</f>
        <v>0</v>
      </c>
      <c r="Y82" s="232" t="str">
        <f>'Field Log (24)'!$C90</f>
        <v>SB302</v>
      </c>
      <c r="Z82" s="232">
        <f>'Field Log (25)'!$C90</f>
        <v>0</v>
      </c>
      <c r="AA82" s="232">
        <f>'Field Log (26)'!$C90</f>
        <v>0</v>
      </c>
      <c r="AB82" s="232">
        <f>'Field Log (27)'!$C90</f>
        <v>0</v>
      </c>
      <c r="AC82" s="232">
        <f>'Field Log (28)'!$C90</f>
        <v>0</v>
      </c>
      <c r="AD82" s="232">
        <f>'Field Log (29)'!$C90</f>
        <v>0</v>
      </c>
      <c r="AE82" s="232">
        <f>'Field Log (30)'!$C90</f>
        <v>0</v>
      </c>
      <c r="AF82" s="232">
        <f>'Field Log (31)'!$C90</f>
        <v>0</v>
      </c>
      <c r="AG82" s="232">
        <f>'Field Log (32)'!$C90</f>
        <v>0</v>
      </c>
      <c r="AH82" s="232">
        <f>'Field Log (33)'!$C90</f>
        <v>0</v>
      </c>
      <c r="AI82" s="232">
        <f>'Field Log (34)'!$C90</f>
        <v>0</v>
      </c>
      <c r="AJ82" s="232">
        <f>'Field Log (35)'!$C90</f>
        <v>0</v>
      </c>
    </row>
    <row r="83" spans="2:36">
      <c r="B83" s="232">
        <f>'Field Log (1)'!C91</f>
        <v>0</v>
      </c>
      <c r="C83" s="232">
        <f>'Field Log (2)'!C91</f>
        <v>0</v>
      </c>
      <c r="D83" s="232">
        <f>'Field Log (3)'!C91</f>
        <v>0</v>
      </c>
      <c r="E83" s="232">
        <f>'Field Log (4)'!C91</f>
        <v>0</v>
      </c>
      <c r="F83" s="232">
        <f>'Field Log (5)'!C91</f>
        <v>0</v>
      </c>
      <c r="G83" s="232">
        <f>'Field Log (6)'!C91</f>
        <v>0</v>
      </c>
      <c r="H83" s="232">
        <f>'Field Log (7)'!C91</f>
        <v>0</v>
      </c>
      <c r="I83" s="232">
        <f>'Field Log (8)'!C91</f>
        <v>0</v>
      </c>
      <c r="J83" s="232">
        <f>'Field Log (9)'!C91</f>
        <v>0</v>
      </c>
      <c r="K83" s="232" t="str">
        <f>'Field Log (10)'!C91</f>
        <v>OR1501</v>
      </c>
      <c r="L83" s="232">
        <f>'Field Log (11)'!C91</f>
        <v>0</v>
      </c>
      <c r="M83" s="232">
        <f>'Field Log (12)'!C91</f>
        <v>0</v>
      </c>
      <c r="N83" s="232">
        <f>'Field Log (13)'!C91</f>
        <v>0</v>
      </c>
      <c r="O83" s="232">
        <f>'Field Log (14)'!C91</f>
        <v>0</v>
      </c>
      <c r="P83" s="232">
        <f>'Field Log (15)'!$C91</f>
        <v>0</v>
      </c>
      <c r="Q83" s="232">
        <f>'Field Log (16)'!$C91</f>
        <v>0</v>
      </c>
      <c r="R83" s="232">
        <f>'Field Log (17)'!$C91</f>
        <v>0</v>
      </c>
      <c r="S83" s="232">
        <f>'Field Log (18)'!$C91</f>
        <v>0</v>
      </c>
      <c r="T83" s="232">
        <f>'Field Log (19)'!$C91</f>
        <v>0</v>
      </c>
      <c r="U83" s="232" t="str">
        <f>'Field Log (20)'!$C91</f>
        <v>OR1442</v>
      </c>
      <c r="V83" s="232">
        <f>'Field Log (21)'!$C91</f>
        <v>0</v>
      </c>
      <c r="W83" s="232">
        <f>'Field Log (22)'!$C91</f>
        <v>0</v>
      </c>
      <c r="X83" s="232">
        <f>'Field Log (23)'!$C91</f>
        <v>0</v>
      </c>
      <c r="Y83" s="232" t="str">
        <f>'Field Log (24)'!$C91</f>
        <v>SA9-005</v>
      </c>
      <c r="Z83" s="232">
        <f>'Field Log (25)'!$C91</f>
        <v>0</v>
      </c>
      <c r="AA83" s="232">
        <f>'Field Log (26)'!$C91</f>
        <v>0</v>
      </c>
      <c r="AB83" s="232">
        <f>'Field Log (27)'!$C91</f>
        <v>0</v>
      </c>
      <c r="AC83" s="232">
        <f>'Field Log (28)'!$C91</f>
        <v>0</v>
      </c>
      <c r="AD83" s="232">
        <f>'Field Log (29)'!$C91</f>
        <v>0</v>
      </c>
      <c r="AE83" s="232">
        <f>'Field Log (30)'!$C91</f>
        <v>0</v>
      </c>
      <c r="AF83" s="232">
        <f>'Field Log (31)'!$C91</f>
        <v>0</v>
      </c>
      <c r="AG83" s="232">
        <f>'Field Log (32)'!$C91</f>
        <v>0</v>
      </c>
      <c r="AH83" s="232">
        <f>'Field Log (33)'!$C91</f>
        <v>0</v>
      </c>
      <c r="AI83" s="232">
        <f>'Field Log (34)'!$C91</f>
        <v>0</v>
      </c>
      <c r="AJ83" s="232">
        <f>'Field Log (35)'!$C91</f>
        <v>0</v>
      </c>
    </row>
    <row r="84" spans="2:36">
      <c r="B84" s="232">
        <f>'Field Log (1)'!C92</f>
        <v>0</v>
      </c>
      <c r="C84" s="232">
        <f>'Field Log (2)'!C92</f>
        <v>0</v>
      </c>
      <c r="D84" s="232">
        <f>'Field Log (3)'!C92</f>
        <v>0</v>
      </c>
      <c r="E84" s="232">
        <f>'Field Log (4)'!C92</f>
        <v>0</v>
      </c>
      <c r="F84" s="232">
        <f>'Field Log (5)'!C92</f>
        <v>0</v>
      </c>
      <c r="G84" s="232">
        <f>'Field Log (6)'!C92</f>
        <v>0</v>
      </c>
      <c r="H84" s="232">
        <f>'Field Log (7)'!C92</f>
        <v>0</v>
      </c>
      <c r="I84" s="232">
        <f>'Field Log (8)'!C92</f>
        <v>0</v>
      </c>
      <c r="J84" s="232">
        <f>'Field Log (9)'!C92</f>
        <v>0</v>
      </c>
      <c r="K84" s="232" t="str">
        <f>'Field Log (10)'!C92</f>
        <v>SA4-002</v>
      </c>
      <c r="L84" s="232">
        <f>'Field Log (11)'!C92</f>
        <v>0</v>
      </c>
      <c r="M84" s="232">
        <f>'Field Log (12)'!C92</f>
        <v>0</v>
      </c>
      <c r="N84" s="232">
        <f>'Field Log (13)'!C92</f>
        <v>0</v>
      </c>
      <c r="O84" s="232">
        <f>'Field Log (14)'!C92</f>
        <v>0</v>
      </c>
      <c r="P84" s="232">
        <f>'Field Log (15)'!$C92</f>
        <v>0</v>
      </c>
      <c r="Q84" s="232">
        <f>'Field Log (16)'!$C92</f>
        <v>0</v>
      </c>
      <c r="R84" s="232">
        <f>'Field Log (17)'!$C92</f>
        <v>0</v>
      </c>
      <c r="S84" s="232">
        <f>'Field Log (18)'!$C92</f>
        <v>0</v>
      </c>
      <c r="T84" s="232">
        <f>'Field Log (19)'!$C92</f>
        <v>0</v>
      </c>
      <c r="U84" s="232" t="str">
        <f>'Field Log (20)'!$C92</f>
        <v>OR1443</v>
      </c>
      <c r="V84" s="232">
        <f>'Field Log (21)'!$C92</f>
        <v>0</v>
      </c>
      <c r="W84" s="232">
        <f>'Field Log (22)'!$C92</f>
        <v>0</v>
      </c>
      <c r="X84" s="232">
        <f>'Field Log (23)'!$C92</f>
        <v>0</v>
      </c>
      <c r="Y84" s="232" t="str">
        <f>'Field Log (24)'!$C92</f>
        <v>SA9-006</v>
      </c>
      <c r="Z84" s="232">
        <f>'Field Log (25)'!$C92</f>
        <v>0</v>
      </c>
      <c r="AA84" s="232">
        <f>'Field Log (26)'!$C92</f>
        <v>0</v>
      </c>
      <c r="AB84" s="232">
        <f>'Field Log (27)'!$C92</f>
        <v>0</v>
      </c>
      <c r="AC84" s="232">
        <f>'Field Log (28)'!$C92</f>
        <v>0</v>
      </c>
      <c r="AD84" s="232">
        <f>'Field Log (29)'!$C92</f>
        <v>0</v>
      </c>
      <c r="AE84" s="232">
        <f>'Field Log (30)'!$C92</f>
        <v>0</v>
      </c>
      <c r="AF84" s="232">
        <f>'Field Log (31)'!$C92</f>
        <v>0</v>
      </c>
      <c r="AG84" s="232">
        <f>'Field Log (32)'!$C92</f>
        <v>0</v>
      </c>
      <c r="AH84" s="232">
        <f>'Field Log (33)'!$C92</f>
        <v>0</v>
      </c>
      <c r="AI84" s="232">
        <f>'Field Log (34)'!$C92</f>
        <v>0</v>
      </c>
      <c r="AJ84" s="232">
        <f>'Field Log (35)'!$C92</f>
        <v>0</v>
      </c>
    </row>
    <row r="85" spans="2:36">
      <c r="B85" s="232">
        <f>'Field Log (1)'!C93</f>
        <v>0</v>
      </c>
      <c r="C85" s="232">
        <f>'Field Log (2)'!C93</f>
        <v>0</v>
      </c>
      <c r="D85" s="232">
        <f>'Field Log (3)'!C93</f>
        <v>0</v>
      </c>
      <c r="E85" s="232">
        <f>'Field Log (4)'!C93</f>
        <v>0</v>
      </c>
      <c r="F85" s="232">
        <f>'Field Log (5)'!C93</f>
        <v>0</v>
      </c>
      <c r="G85" s="232">
        <f>'Field Log (6)'!C93</f>
        <v>0</v>
      </c>
      <c r="H85" s="232">
        <f>'Field Log (7)'!C93</f>
        <v>0</v>
      </c>
      <c r="I85" s="232">
        <f>'Field Log (8)'!C93</f>
        <v>0</v>
      </c>
      <c r="J85" s="232">
        <f>'Field Log (9)'!C93</f>
        <v>0</v>
      </c>
      <c r="K85" s="232" t="str">
        <f>'Field Log (10)'!C93</f>
        <v>OR2004a</v>
      </c>
      <c r="L85" s="232">
        <f>'Field Log (11)'!C93</f>
        <v>0</v>
      </c>
      <c r="M85" s="232">
        <f>'Field Log (12)'!C93</f>
        <v>0</v>
      </c>
      <c r="N85" s="232">
        <f>'Field Log (13)'!C93</f>
        <v>0</v>
      </c>
      <c r="O85" s="232">
        <f>'Field Log (14)'!C93</f>
        <v>0</v>
      </c>
      <c r="P85" s="232">
        <f>'Field Log (15)'!$C93</f>
        <v>0</v>
      </c>
      <c r="Q85" s="232">
        <f>'Field Log (16)'!$C93</f>
        <v>0</v>
      </c>
      <c r="R85" s="232">
        <f>'Field Log (17)'!$C93</f>
        <v>0</v>
      </c>
      <c r="S85" s="232">
        <f>'Field Log (18)'!$C93</f>
        <v>0</v>
      </c>
      <c r="T85" s="232">
        <f>'Field Log (19)'!$C93</f>
        <v>0</v>
      </c>
      <c r="U85" s="232" t="str">
        <f>'Field Log (20)'!$C93</f>
        <v>OR1448</v>
      </c>
      <c r="V85" s="232">
        <f>'Field Log (21)'!$C93</f>
        <v>0</v>
      </c>
      <c r="W85" s="232">
        <f>'Field Log (22)'!$C93</f>
        <v>0</v>
      </c>
      <c r="X85" s="232">
        <f>'Field Log (23)'!$C93</f>
        <v>0</v>
      </c>
      <c r="Y85" s="232" t="str">
        <f>'Field Log (24)'!$C93</f>
        <v>SA9-007</v>
      </c>
      <c r="Z85" s="232">
        <f>'Field Log (25)'!$C93</f>
        <v>0</v>
      </c>
      <c r="AA85" s="232">
        <f>'Field Log (26)'!$C93</f>
        <v>0</v>
      </c>
      <c r="AB85" s="232">
        <f>'Field Log (27)'!$C93</f>
        <v>0</v>
      </c>
      <c r="AC85" s="232">
        <f>'Field Log (28)'!$C93</f>
        <v>0</v>
      </c>
      <c r="AD85" s="232">
        <f>'Field Log (29)'!$C93</f>
        <v>0</v>
      </c>
      <c r="AE85" s="232">
        <f>'Field Log (30)'!$C93</f>
        <v>0</v>
      </c>
      <c r="AF85" s="232">
        <f>'Field Log (31)'!$C93</f>
        <v>0</v>
      </c>
      <c r="AG85" s="232">
        <f>'Field Log (32)'!$C93</f>
        <v>0</v>
      </c>
      <c r="AH85" s="232">
        <f>'Field Log (33)'!$C93</f>
        <v>0</v>
      </c>
      <c r="AI85" s="232">
        <f>'Field Log (34)'!$C93</f>
        <v>0</v>
      </c>
      <c r="AJ85" s="232">
        <f>'Field Log (35)'!$C93</f>
        <v>0</v>
      </c>
    </row>
    <row r="86" spans="2:36">
      <c r="B86" s="232">
        <f>'Field Log (1)'!C94</f>
        <v>0</v>
      </c>
      <c r="C86" s="232">
        <f>'Field Log (2)'!C94</f>
        <v>0</v>
      </c>
      <c r="D86" s="232">
        <f>'Field Log (3)'!C94</f>
        <v>0</v>
      </c>
      <c r="E86" s="232">
        <f>'Field Log (4)'!C94</f>
        <v>0</v>
      </c>
      <c r="F86" s="232">
        <f>'Field Log (5)'!C94</f>
        <v>0</v>
      </c>
      <c r="G86" s="232">
        <f>'Field Log (6)'!C94</f>
        <v>0</v>
      </c>
      <c r="H86" s="232">
        <f>'Field Log (7)'!C94</f>
        <v>0</v>
      </c>
      <c r="I86" s="232">
        <f>'Field Log (8)'!C94</f>
        <v>0</v>
      </c>
      <c r="J86" s="232">
        <f>'Field Log (9)'!C94</f>
        <v>0</v>
      </c>
      <c r="K86" s="232" t="str">
        <f>'Field Log (10)'!C94</f>
        <v>OR2004b</v>
      </c>
      <c r="L86" s="232">
        <f>'Field Log (11)'!C94</f>
        <v>0</v>
      </c>
      <c r="M86" s="232">
        <f>'Field Log (12)'!C94</f>
        <v>0</v>
      </c>
      <c r="N86" s="232">
        <f>'Field Log (13)'!C94</f>
        <v>0</v>
      </c>
      <c r="O86" s="232">
        <f>'Field Log (14)'!C94</f>
        <v>0</v>
      </c>
      <c r="P86" s="232">
        <f>'Field Log (15)'!$C94</f>
        <v>0</v>
      </c>
      <c r="Q86" s="232">
        <f>'Field Log (16)'!$C94</f>
        <v>0</v>
      </c>
      <c r="R86" s="232">
        <f>'Field Log (17)'!$C94</f>
        <v>0</v>
      </c>
      <c r="S86" s="232">
        <f>'Field Log (18)'!$C94</f>
        <v>0</v>
      </c>
      <c r="T86" s="232">
        <f>'Field Log (19)'!$C94</f>
        <v>0</v>
      </c>
      <c r="U86" s="232" t="str">
        <f>'Field Log (20)'!$C94</f>
        <v>OR1452</v>
      </c>
      <c r="V86" s="232">
        <f>'Field Log (21)'!$C94</f>
        <v>0</v>
      </c>
      <c r="W86" s="232">
        <f>'Field Log (22)'!$C94</f>
        <v>0</v>
      </c>
      <c r="X86" s="232">
        <f>'Field Log (23)'!$C94</f>
        <v>0</v>
      </c>
      <c r="Y86" s="232" t="str">
        <f>'Field Log (24)'!$C94</f>
        <v>SA9-010</v>
      </c>
      <c r="Z86" s="232">
        <f>'Field Log (25)'!$C94</f>
        <v>0</v>
      </c>
      <c r="AA86" s="232">
        <f>'Field Log (26)'!$C94</f>
        <v>0</v>
      </c>
      <c r="AB86" s="232">
        <f>'Field Log (27)'!$C94</f>
        <v>0</v>
      </c>
      <c r="AC86" s="232">
        <f>'Field Log (28)'!$C94</f>
        <v>0</v>
      </c>
      <c r="AD86" s="232">
        <f>'Field Log (29)'!$C94</f>
        <v>0</v>
      </c>
      <c r="AE86" s="232">
        <f>'Field Log (30)'!$C94</f>
        <v>0</v>
      </c>
      <c r="AF86" s="232">
        <f>'Field Log (31)'!$C94</f>
        <v>0</v>
      </c>
      <c r="AG86" s="232">
        <f>'Field Log (32)'!$C94</f>
        <v>0</v>
      </c>
      <c r="AH86" s="232">
        <f>'Field Log (33)'!$C94</f>
        <v>0</v>
      </c>
      <c r="AI86" s="232">
        <f>'Field Log (34)'!$C94</f>
        <v>0</v>
      </c>
      <c r="AJ86" s="232">
        <f>'Field Log (35)'!$C94</f>
        <v>0</v>
      </c>
    </row>
    <row r="87" spans="2:36">
      <c r="B87" s="232">
        <f>'Field Log (1)'!C95</f>
        <v>0</v>
      </c>
      <c r="C87" s="232">
        <f>'Field Log (2)'!C95</f>
        <v>0</v>
      </c>
      <c r="D87" s="232">
        <f>'Field Log (3)'!C95</f>
        <v>0</v>
      </c>
      <c r="E87" s="232">
        <f>'Field Log (4)'!C95</f>
        <v>0</v>
      </c>
      <c r="F87" s="232">
        <f>'Field Log (5)'!C95</f>
        <v>0</v>
      </c>
      <c r="G87" s="232">
        <f>'Field Log (6)'!C95</f>
        <v>0</v>
      </c>
      <c r="H87" s="232">
        <f>'Field Log (7)'!C95</f>
        <v>0</v>
      </c>
      <c r="I87" s="232">
        <f>'Field Log (8)'!C95</f>
        <v>0</v>
      </c>
      <c r="J87" s="232">
        <f>'Field Log (9)'!C95</f>
        <v>0</v>
      </c>
      <c r="K87" s="232" t="str">
        <f>'Field Log (10)'!C95</f>
        <v>OR1446</v>
      </c>
      <c r="L87" s="232">
        <f>'Field Log (11)'!C95</f>
        <v>0</v>
      </c>
      <c r="M87" s="232">
        <f>'Field Log (12)'!C95</f>
        <v>0</v>
      </c>
      <c r="N87" s="232">
        <f>'Field Log (13)'!C95</f>
        <v>0</v>
      </c>
      <c r="O87" s="232">
        <f>'Field Log (14)'!C95</f>
        <v>0</v>
      </c>
      <c r="P87" s="232">
        <f>'Field Log (15)'!$C95</f>
        <v>0</v>
      </c>
      <c r="Q87" s="232">
        <f>'Field Log (16)'!$C95</f>
        <v>0</v>
      </c>
      <c r="R87" s="232">
        <f>'Field Log (17)'!$C95</f>
        <v>0</v>
      </c>
      <c r="S87" s="232">
        <f>'Field Log (18)'!$C95</f>
        <v>0</v>
      </c>
      <c r="T87" s="232">
        <f>'Field Log (19)'!$C95</f>
        <v>0</v>
      </c>
      <c r="U87" s="232" t="str">
        <f>'Field Log (20)'!$C95</f>
        <v>OR1459</v>
      </c>
      <c r="V87" s="232">
        <f>'Field Log (21)'!$C95</f>
        <v>0</v>
      </c>
      <c r="W87" s="232">
        <f>'Field Log (22)'!$C95</f>
        <v>0</v>
      </c>
      <c r="X87" s="232">
        <f>'Field Log (23)'!$C95</f>
        <v>0</v>
      </c>
      <c r="Y87" s="232" t="str">
        <f>'Field Log (24)'!$C95</f>
        <v>501T</v>
      </c>
      <c r="Z87" s="232">
        <f>'Field Log (25)'!$C95</f>
        <v>0</v>
      </c>
      <c r="AA87" s="232">
        <f>'Field Log (26)'!$C95</f>
        <v>0</v>
      </c>
      <c r="AB87" s="232">
        <f>'Field Log (27)'!$C95</f>
        <v>0</v>
      </c>
      <c r="AC87" s="232">
        <f>'Field Log (28)'!$C95</f>
        <v>0</v>
      </c>
      <c r="AD87" s="232">
        <f>'Field Log (29)'!$C95</f>
        <v>0</v>
      </c>
      <c r="AE87" s="232">
        <f>'Field Log (30)'!$C95</f>
        <v>0</v>
      </c>
      <c r="AF87" s="232">
        <f>'Field Log (31)'!$C95</f>
        <v>0</v>
      </c>
      <c r="AG87" s="232">
        <f>'Field Log (32)'!$C95</f>
        <v>0</v>
      </c>
      <c r="AH87" s="232">
        <f>'Field Log (33)'!$C95</f>
        <v>0</v>
      </c>
      <c r="AI87" s="232">
        <f>'Field Log (34)'!$C95</f>
        <v>0</v>
      </c>
      <c r="AJ87" s="232">
        <f>'Field Log (35)'!$C95</f>
        <v>0</v>
      </c>
    </row>
    <row r="88" spans="2:36">
      <c r="B88" s="232">
        <f>'Field Log (1)'!C96</f>
        <v>0</v>
      </c>
      <c r="C88" s="232">
        <f>'Field Log (2)'!C96</f>
        <v>0</v>
      </c>
      <c r="D88" s="232">
        <f>'Field Log (3)'!C96</f>
        <v>0</v>
      </c>
      <c r="E88" s="232">
        <f>'Field Log (4)'!C96</f>
        <v>0</v>
      </c>
      <c r="F88" s="232">
        <f>'Field Log (5)'!C96</f>
        <v>0</v>
      </c>
      <c r="G88" s="232">
        <f>'Field Log (6)'!C96</f>
        <v>0</v>
      </c>
      <c r="H88" s="232">
        <f>'Field Log (7)'!C96</f>
        <v>0</v>
      </c>
      <c r="I88" s="232">
        <f>'Field Log (8)'!C96</f>
        <v>0</v>
      </c>
      <c r="J88" s="232">
        <f>'Field Log (9)'!C96</f>
        <v>0</v>
      </c>
      <c r="K88" s="232" t="str">
        <f>'Field Log (10)'!C96</f>
        <v>OR1424</v>
      </c>
      <c r="L88" s="232">
        <f>'Field Log (11)'!C96</f>
        <v>0</v>
      </c>
      <c r="M88" s="232">
        <f>'Field Log (12)'!C96</f>
        <v>0</v>
      </c>
      <c r="N88" s="232">
        <f>'Field Log (13)'!C96</f>
        <v>0</v>
      </c>
      <c r="O88" s="232">
        <f>'Field Log (14)'!C96</f>
        <v>0</v>
      </c>
      <c r="P88" s="232">
        <f>'Field Log (15)'!$C96</f>
        <v>0</v>
      </c>
      <c r="Q88" s="232">
        <f>'Field Log (16)'!$C96</f>
        <v>0</v>
      </c>
      <c r="R88" s="232">
        <f>'Field Log (17)'!$C96</f>
        <v>0</v>
      </c>
      <c r="S88" s="232">
        <f>'Field Log (18)'!$C96</f>
        <v>0</v>
      </c>
      <c r="T88" s="232">
        <f>'Field Log (19)'!$C96</f>
        <v>0</v>
      </c>
      <c r="U88" s="232" t="str">
        <f>'Field Log (20)'!$C96</f>
        <v>OR1465</v>
      </c>
      <c r="V88" s="232">
        <f>'Field Log (21)'!$C96</f>
        <v>0</v>
      </c>
      <c r="W88" s="232">
        <f>'Field Log (22)'!$C96</f>
        <v>0</v>
      </c>
      <c r="X88" s="232">
        <f>'Field Log (23)'!$C96</f>
        <v>0</v>
      </c>
      <c r="Y88" s="232" t="str">
        <f>'Field Log (24)'!$C96</f>
        <v>OR1302</v>
      </c>
      <c r="Z88" s="232">
        <f>'Field Log (25)'!$C96</f>
        <v>0</v>
      </c>
      <c r="AA88" s="232">
        <f>'Field Log (26)'!$C96</f>
        <v>0</v>
      </c>
      <c r="AB88" s="232">
        <f>'Field Log (27)'!$C96</f>
        <v>0</v>
      </c>
      <c r="AC88" s="232">
        <f>'Field Log (28)'!$C96</f>
        <v>0</v>
      </c>
      <c r="AD88" s="232">
        <f>'Field Log (29)'!$C96</f>
        <v>0</v>
      </c>
      <c r="AE88" s="232">
        <f>'Field Log (30)'!$C96</f>
        <v>0</v>
      </c>
      <c r="AF88" s="232">
        <f>'Field Log (31)'!$C96</f>
        <v>0</v>
      </c>
      <c r="AG88" s="232">
        <f>'Field Log (32)'!$C96</f>
        <v>0</v>
      </c>
      <c r="AH88" s="232">
        <f>'Field Log (33)'!$C96</f>
        <v>0</v>
      </c>
      <c r="AI88" s="232">
        <f>'Field Log (34)'!$C96</f>
        <v>0</v>
      </c>
      <c r="AJ88" s="232">
        <f>'Field Log (35)'!$C96</f>
        <v>0</v>
      </c>
    </row>
    <row r="89" spans="2:36">
      <c r="B89" s="232">
        <f>'Field Log (1)'!C97</f>
        <v>0</v>
      </c>
      <c r="C89" s="232">
        <f>'Field Log (2)'!C97</f>
        <v>0</v>
      </c>
      <c r="D89" s="232">
        <f>'Field Log (3)'!C97</f>
        <v>0</v>
      </c>
      <c r="E89" s="232">
        <f>'Field Log (4)'!C97</f>
        <v>0</v>
      </c>
      <c r="F89" s="232">
        <f>'Field Log (5)'!C97</f>
        <v>0</v>
      </c>
      <c r="G89" s="232">
        <f>'Field Log (6)'!C97</f>
        <v>0</v>
      </c>
      <c r="H89" s="232">
        <f>'Field Log (7)'!C97</f>
        <v>0</v>
      </c>
      <c r="I89" s="232">
        <f>'Field Log (8)'!C97</f>
        <v>0</v>
      </c>
      <c r="J89" s="232">
        <f>'Field Log (9)'!C97</f>
        <v>0</v>
      </c>
      <c r="K89" s="232" t="str">
        <f>'Field Log (10)'!C97</f>
        <v>OR1103a</v>
      </c>
      <c r="L89" s="232">
        <f>'Field Log (11)'!C97</f>
        <v>0</v>
      </c>
      <c r="M89" s="232">
        <f>'Field Log (12)'!C97</f>
        <v>0</v>
      </c>
      <c r="N89" s="232">
        <f>'Field Log (13)'!C97</f>
        <v>0</v>
      </c>
      <c r="O89" s="232">
        <f>'Field Log (14)'!C97</f>
        <v>0</v>
      </c>
      <c r="P89" s="232">
        <f>'Field Log (15)'!$C97</f>
        <v>0</v>
      </c>
      <c r="Q89" s="232">
        <f>'Field Log (16)'!$C97</f>
        <v>0</v>
      </c>
      <c r="R89" s="232">
        <f>'Field Log (17)'!$C97</f>
        <v>0</v>
      </c>
      <c r="S89" s="232">
        <f>'Field Log (18)'!$C97</f>
        <v>0</v>
      </c>
      <c r="T89" s="232">
        <f>'Field Log (19)'!$C97</f>
        <v>0</v>
      </c>
      <c r="U89" s="232" t="str">
        <f>'Field Log (20)'!$C97</f>
        <v>OR1466</v>
      </c>
      <c r="V89" s="232">
        <f>'Field Log (21)'!$C97</f>
        <v>0</v>
      </c>
      <c r="W89" s="232">
        <f>'Field Log (22)'!$C97</f>
        <v>0</v>
      </c>
      <c r="X89" s="232">
        <f>'Field Log (23)'!$C97</f>
        <v>0</v>
      </c>
      <c r="Y89" s="232" t="str">
        <f>'Field Log (24)'!$C97</f>
        <v>OR1307</v>
      </c>
      <c r="Z89" s="232">
        <f>'Field Log (25)'!$C97</f>
        <v>0</v>
      </c>
      <c r="AA89" s="232">
        <f>'Field Log (26)'!$C97</f>
        <v>0</v>
      </c>
      <c r="AB89" s="232">
        <f>'Field Log (27)'!$C97</f>
        <v>0</v>
      </c>
      <c r="AC89" s="232">
        <f>'Field Log (28)'!$C97</f>
        <v>0</v>
      </c>
      <c r="AD89" s="232">
        <f>'Field Log (29)'!$C97</f>
        <v>0</v>
      </c>
      <c r="AE89" s="232">
        <f>'Field Log (30)'!$C97</f>
        <v>0</v>
      </c>
      <c r="AF89" s="232">
        <f>'Field Log (31)'!$C97</f>
        <v>0</v>
      </c>
      <c r="AG89" s="232">
        <f>'Field Log (32)'!$C97</f>
        <v>0</v>
      </c>
      <c r="AH89" s="232">
        <f>'Field Log (33)'!$C97</f>
        <v>0</v>
      </c>
      <c r="AI89" s="232">
        <f>'Field Log (34)'!$C97</f>
        <v>0</v>
      </c>
      <c r="AJ89" s="232">
        <f>'Field Log (35)'!$C97</f>
        <v>0</v>
      </c>
    </row>
    <row r="90" spans="2:36">
      <c r="B90" s="232">
        <f>'Field Log (1)'!C98</f>
        <v>0</v>
      </c>
      <c r="C90" s="232">
        <f>'Field Log (2)'!C98</f>
        <v>0</v>
      </c>
      <c r="D90" s="232">
        <f>'Field Log (3)'!C98</f>
        <v>0</v>
      </c>
      <c r="E90" s="232">
        <f>'Field Log (4)'!C98</f>
        <v>0</v>
      </c>
      <c r="F90" s="232">
        <f>'Field Log (5)'!C98</f>
        <v>0</v>
      </c>
      <c r="G90" s="232">
        <f>'Field Log (6)'!C98</f>
        <v>0</v>
      </c>
      <c r="H90" s="232">
        <f>'Field Log (7)'!C98</f>
        <v>0</v>
      </c>
      <c r="I90" s="232">
        <f>'Field Log (8)'!C98</f>
        <v>0</v>
      </c>
      <c r="J90" s="232">
        <f>'Field Log (9)'!C98</f>
        <v>0</v>
      </c>
      <c r="K90" s="232" t="str">
        <f>'Field Log (10)'!C98</f>
        <v>OR1103b</v>
      </c>
      <c r="L90" s="232">
        <f>'Field Log (11)'!C98</f>
        <v>0</v>
      </c>
      <c r="M90" s="232">
        <f>'Field Log (12)'!C98</f>
        <v>0</v>
      </c>
      <c r="N90" s="232">
        <f>'Field Log (13)'!C98</f>
        <v>0</v>
      </c>
      <c r="O90" s="232">
        <f>'Field Log (14)'!C98</f>
        <v>0</v>
      </c>
      <c r="P90" s="232">
        <f>'Field Log (15)'!$C98</f>
        <v>0</v>
      </c>
      <c r="Q90" s="232">
        <f>'Field Log (16)'!$C98</f>
        <v>0</v>
      </c>
      <c r="R90" s="232">
        <f>'Field Log (17)'!$C98</f>
        <v>0</v>
      </c>
      <c r="S90" s="232">
        <f>'Field Log (18)'!$C98</f>
        <v>0</v>
      </c>
      <c r="T90" s="232">
        <f>'Field Log (19)'!$C98</f>
        <v>0</v>
      </c>
      <c r="U90" s="232" t="str">
        <f>'Field Log (20)'!$C98</f>
        <v>OR1118</v>
      </c>
      <c r="V90" s="232">
        <f>'Field Log (21)'!$C98</f>
        <v>0</v>
      </c>
      <c r="W90" s="232">
        <f>'Field Log (22)'!$C98</f>
        <v>0</v>
      </c>
      <c r="X90" s="232">
        <f>'Field Log (23)'!$C98</f>
        <v>0</v>
      </c>
      <c r="Y90" s="232" t="str">
        <f>'Field Log (24)'!$C98</f>
        <v>OR1322</v>
      </c>
      <c r="Z90" s="232">
        <f>'Field Log (25)'!$C98</f>
        <v>0</v>
      </c>
      <c r="AA90" s="232">
        <f>'Field Log (26)'!$C98</f>
        <v>0</v>
      </c>
      <c r="AB90" s="232">
        <f>'Field Log (27)'!$C98</f>
        <v>0</v>
      </c>
      <c r="AC90" s="232">
        <f>'Field Log (28)'!$C98</f>
        <v>0</v>
      </c>
      <c r="AD90" s="232">
        <f>'Field Log (29)'!$C98</f>
        <v>0</v>
      </c>
      <c r="AE90" s="232">
        <f>'Field Log (30)'!$C98</f>
        <v>0</v>
      </c>
      <c r="AF90" s="232">
        <f>'Field Log (31)'!$C98</f>
        <v>0</v>
      </c>
      <c r="AG90" s="232">
        <f>'Field Log (32)'!$C98</f>
        <v>0</v>
      </c>
      <c r="AH90" s="232">
        <f>'Field Log (33)'!$C98</f>
        <v>0</v>
      </c>
      <c r="AI90" s="232">
        <f>'Field Log (34)'!$C98</f>
        <v>0</v>
      </c>
      <c r="AJ90" s="232">
        <f>'Field Log (35)'!$C98</f>
        <v>0</v>
      </c>
    </row>
    <row r="91" spans="2:36">
      <c r="B91" s="232">
        <f>'Field Log (1)'!C99</f>
        <v>0</v>
      </c>
      <c r="C91" s="232">
        <f>'Field Log (2)'!C99</f>
        <v>0</v>
      </c>
      <c r="D91" s="232">
        <f>'Field Log (3)'!C99</f>
        <v>0</v>
      </c>
      <c r="E91" s="232">
        <f>'Field Log (4)'!C99</f>
        <v>0</v>
      </c>
      <c r="F91" s="232">
        <f>'Field Log (5)'!C99</f>
        <v>0</v>
      </c>
      <c r="G91" s="232">
        <f>'Field Log (6)'!C99</f>
        <v>0</v>
      </c>
      <c r="H91" s="232">
        <f>'Field Log (7)'!C99</f>
        <v>0</v>
      </c>
      <c r="I91" s="232">
        <f>'Field Log (8)'!C99</f>
        <v>0</v>
      </c>
      <c r="J91" s="232">
        <f>'Field Log (9)'!C99</f>
        <v>0</v>
      </c>
      <c r="K91" s="232" t="str">
        <f>'Field Log (10)'!C99</f>
        <v>OR1104a</v>
      </c>
      <c r="L91" s="232">
        <f>'Field Log (11)'!C99</f>
        <v>0</v>
      </c>
      <c r="M91" s="232">
        <f>'Field Log (12)'!C99</f>
        <v>0</v>
      </c>
      <c r="N91" s="232">
        <f>'Field Log (13)'!C99</f>
        <v>0</v>
      </c>
      <c r="O91" s="232">
        <f>'Field Log (14)'!C99</f>
        <v>0</v>
      </c>
      <c r="P91" s="232">
        <f>'Field Log (15)'!$C99</f>
        <v>0</v>
      </c>
      <c r="Q91" s="232">
        <f>'Field Log (16)'!$C99</f>
        <v>0</v>
      </c>
      <c r="R91" s="232">
        <f>'Field Log (17)'!$C99</f>
        <v>0</v>
      </c>
      <c r="S91" s="232">
        <f>'Field Log (18)'!$C99</f>
        <v>0</v>
      </c>
      <c r="T91" s="232">
        <f>'Field Log (19)'!$C99</f>
        <v>0</v>
      </c>
      <c r="U91" s="232" t="str">
        <f>'Field Log (20)'!$C99</f>
        <v>OR1368</v>
      </c>
      <c r="V91" s="232">
        <f>'Field Log (21)'!$C99</f>
        <v>0</v>
      </c>
      <c r="W91" s="232">
        <f>'Field Log (22)'!$C99</f>
        <v>0</v>
      </c>
      <c r="X91" s="232">
        <f>'Field Log (23)'!$C99</f>
        <v>0</v>
      </c>
      <c r="Y91" s="232" t="str">
        <f>'Field Log (24)'!$C99</f>
        <v>OR1331</v>
      </c>
      <c r="Z91" s="232">
        <f>'Field Log (25)'!$C99</f>
        <v>0</v>
      </c>
      <c r="AA91" s="232">
        <f>'Field Log (26)'!$C99</f>
        <v>0</v>
      </c>
      <c r="AB91" s="232">
        <f>'Field Log (27)'!$C99</f>
        <v>0</v>
      </c>
      <c r="AC91" s="232">
        <f>'Field Log (28)'!$C99</f>
        <v>0</v>
      </c>
      <c r="AD91" s="232">
        <f>'Field Log (29)'!$C99</f>
        <v>0</v>
      </c>
      <c r="AE91" s="232">
        <f>'Field Log (30)'!$C99</f>
        <v>0</v>
      </c>
      <c r="AF91" s="232">
        <f>'Field Log (31)'!$C99</f>
        <v>0</v>
      </c>
      <c r="AG91" s="232">
        <f>'Field Log (32)'!$C99</f>
        <v>0</v>
      </c>
      <c r="AH91" s="232">
        <f>'Field Log (33)'!$C99</f>
        <v>0</v>
      </c>
      <c r="AI91" s="232">
        <f>'Field Log (34)'!$C99</f>
        <v>0</v>
      </c>
      <c r="AJ91" s="232">
        <f>'Field Log (35)'!$C99</f>
        <v>0</v>
      </c>
    </row>
    <row r="92" spans="2:36">
      <c r="B92" s="232">
        <f>'Field Log (1)'!C100</f>
        <v>0</v>
      </c>
      <c r="C92" s="232">
        <f>'Field Log (2)'!C100</f>
        <v>0</v>
      </c>
      <c r="D92" s="232">
        <f>'Field Log (3)'!C100</f>
        <v>0</v>
      </c>
      <c r="E92" s="232">
        <f>'Field Log (4)'!C100</f>
        <v>0</v>
      </c>
      <c r="F92" s="232">
        <f>'Field Log (5)'!C100</f>
        <v>0</v>
      </c>
      <c r="G92" s="232">
        <f>'Field Log (6)'!C100</f>
        <v>0</v>
      </c>
      <c r="H92" s="232">
        <f>'Field Log (7)'!C100</f>
        <v>0</v>
      </c>
      <c r="I92" s="232">
        <f>'Field Log (8)'!C100</f>
        <v>0</v>
      </c>
      <c r="J92" s="232">
        <f>'Field Log (9)'!C100</f>
        <v>0</v>
      </c>
      <c r="K92" s="232" t="str">
        <f>'Field Log (10)'!C100</f>
        <v>OR1104b</v>
      </c>
      <c r="L92" s="232">
        <f>'Field Log (11)'!C100</f>
        <v>0</v>
      </c>
      <c r="M92" s="232">
        <f>'Field Log (12)'!C100</f>
        <v>0</v>
      </c>
      <c r="N92" s="232">
        <f>'Field Log (13)'!C100</f>
        <v>0</v>
      </c>
      <c r="O92" s="232">
        <f>'Field Log (14)'!C100</f>
        <v>0</v>
      </c>
      <c r="P92" s="232">
        <f>'Field Log (15)'!$C100</f>
        <v>0</v>
      </c>
      <c r="Q92" s="232">
        <f>'Field Log (16)'!$C100</f>
        <v>0</v>
      </c>
      <c r="R92" s="232">
        <f>'Field Log (17)'!$C100</f>
        <v>0</v>
      </c>
      <c r="S92" s="232">
        <f>'Field Log (18)'!$C100</f>
        <v>0</v>
      </c>
      <c r="T92" s="232">
        <f>'Field Log (19)'!$C100</f>
        <v>0</v>
      </c>
      <c r="U92" s="232" t="str">
        <f>'Field Log (20)'!$C100</f>
        <v>OR1382</v>
      </c>
      <c r="V92" s="232">
        <f>'Field Log (21)'!$C100</f>
        <v>0</v>
      </c>
      <c r="W92" s="232">
        <f>'Field Log (22)'!$C100</f>
        <v>0</v>
      </c>
      <c r="X92" s="232">
        <f>'Field Log (23)'!$C100</f>
        <v>0</v>
      </c>
      <c r="Y92" s="232" t="str">
        <f>'Field Log (24)'!$C100</f>
        <v>OR1337</v>
      </c>
      <c r="Z92" s="232">
        <f>'Field Log (25)'!$C100</f>
        <v>0</v>
      </c>
      <c r="AA92" s="232">
        <f>'Field Log (26)'!$C100</f>
        <v>0</v>
      </c>
      <c r="AB92" s="232">
        <f>'Field Log (27)'!$C100</f>
        <v>0</v>
      </c>
      <c r="AC92" s="232">
        <f>'Field Log (28)'!$C100</f>
        <v>0</v>
      </c>
      <c r="AD92" s="232">
        <f>'Field Log (29)'!$C100</f>
        <v>0</v>
      </c>
      <c r="AE92" s="232">
        <f>'Field Log (30)'!$C100</f>
        <v>0</v>
      </c>
      <c r="AF92" s="232">
        <f>'Field Log (31)'!$C100</f>
        <v>0</v>
      </c>
      <c r="AG92" s="232">
        <f>'Field Log (32)'!$C100</f>
        <v>0</v>
      </c>
      <c r="AH92" s="232">
        <f>'Field Log (33)'!$C100</f>
        <v>0</v>
      </c>
      <c r="AI92" s="232">
        <f>'Field Log (34)'!$C100</f>
        <v>0</v>
      </c>
      <c r="AJ92" s="232">
        <f>'Field Log (35)'!$C100</f>
        <v>0</v>
      </c>
    </row>
    <row r="93" spans="2:36">
      <c r="B93" s="232">
        <f>'Field Log (1)'!C101</f>
        <v>0</v>
      </c>
      <c r="C93" s="232">
        <f>'Field Log (2)'!C101</f>
        <v>0</v>
      </c>
      <c r="D93" s="232">
        <f>'Field Log (3)'!C101</f>
        <v>0</v>
      </c>
      <c r="E93" s="232">
        <f>'Field Log (4)'!C101</f>
        <v>0</v>
      </c>
      <c r="F93" s="232">
        <f>'Field Log (5)'!C101</f>
        <v>0</v>
      </c>
      <c r="G93" s="232">
        <f>'Field Log (6)'!C101</f>
        <v>0</v>
      </c>
      <c r="H93" s="232">
        <f>'Field Log (7)'!C101</f>
        <v>0</v>
      </c>
      <c r="I93" s="232">
        <f>'Field Log (8)'!C101</f>
        <v>0</v>
      </c>
      <c r="J93" s="232">
        <f>'Field Log (9)'!C101</f>
        <v>0</v>
      </c>
      <c r="K93" s="232" t="str">
        <f>'Field Log (10)'!C101</f>
        <v>OR1105</v>
      </c>
      <c r="L93" s="232">
        <f>'Field Log (11)'!C101</f>
        <v>0</v>
      </c>
      <c r="M93" s="232">
        <f>'Field Log (12)'!C101</f>
        <v>0</v>
      </c>
      <c r="N93" s="232">
        <f>'Field Log (13)'!C101</f>
        <v>0</v>
      </c>
      <c r="O93" s="232">
        <f>'Field Log (14)'!C101</f>
        <v>0</v>
      </c>
      <c r="P93" s="232">
        <f>'Field Log (15)'!$C101</f>
        <v>0</v>
      </c>
      <c r="Q93" s="232">
        <f>'Field Log (16)'!$C101</f>
        <v>0</v>
      </c>
      <c r="R93" s="232">
        <f>'Field Log (17)'!$C101</f>
        <v>0</v>
      </c>
      <c r="S93" s="232">
        <f>'Field Log (18)'!$C101</f>
        <v>0</v>
      </c>
      <c r="T93" s="232">
        <f>'Field Log (19)'!$C101</f>
        <v>0</v>
      </c>
      <c r="U93" s="232" t="str">
        <f>'Field Log (20)'!$C101</f>
        <v>OR1792</v>
      </c>
      <c r="V93" s="232">
        <f>'Field Log (21)'!$C101</f>
        <v>0</v>
      </c>
      <c r="W93" s="232">
        <f>'Field Log (22)'!$C101</f>
        <v>0</v>
      </c>
      <c r="X93" s="232">
        <f>'Field Log (23)'!$C101</f>
        <v>0</v>
      </c>
      <c r="Y93" s="232" t="str">
        <f>'Field Log (24)'!$C101</f>
        <v>OR1338</v>
      </c>
      <c r="Z93" s="232">
        <f>'Field Log (25)'!$C101</f>
        <v>0</v>
      </c>
      <c r="AA93" s="232">
        <f>'Field Log (26)'!$C101</f>
        <v>0</v>
      </c>
      <c r="AB93" s="232">
        <f>'Field Log (27)'!$C101</f>
        <v>0</v>
      </c>
      <c r="AC93" s="232">
        <f>'Field Log (28)'!$C101</f>
        <v>0</v>
      </c>
      <c r="AD93" s="232">
        <f>'Field Log (29)'!$C101</f>
        <v>0</v>
      </c>
      <c r="AE93" s="232">
        <f>'Field Log (30)'!$C101</f>
        <v>0</v>
      </c>
      <c r="AF93" s="232">
        <f>'Field Log (31)'!$C101</f>
        <v>0</v>
      </c>
      <c r="AG93" s="232">
        <f>'Field Log (32)'!$C101</f>
        <v>0</v>
      </c>
      <c r="AH93" s="232">
        <f>'Field Log (33)'!$C101</f>
        <v>0</v>
      </c>
      <c r="AI93" s="232">
        <f>'Field Log (34)'!$C101</f>
        <v>0</v>
      </c>
      <c r="AJ93" s="232">
        <f>'Field Log (35)'!$C101</f>
        <v>0</v>
      </c>
    </row>
    <row r="94" spans="2:36">
      <c r="B94" s="232">
        <f>'Field Log (1)'!C102</f>
        <v>0</v>
      </c>
      <c r="C94" s="232">
        <f>'Field Log (2)'!C102</f>
        <v>0</v>
      </c>
      <c r="D94" s="232">
        <f>'Field Log (3)'!C102</f>
        <v>0</v>
      </c>
      <c r="E94" s="232">
        <f>'Field Log (4)'!C102</f>
        <v>0</v>
      </c>
      <c r="F94" s="232">
        <f>'Field Log (5)'!C102</f>
        <v>0</v>
      </c>
      <c r="G94" s="232">
        <f>'Field Log (6)'!C102</f>
        <v>0</v>
      </c>
      <c r="H94" s="232">
        <f>'Field Log (7)'!C102</f>
        <v>0</v>
      </c>
      <c r="I94" s="232">
        <f>'Field Log (8)'!C102</f>
        <v>0</v>
      </c>
      <c r="J94" s="232">
        <f>'Field Log (9)'!C102</f>
        <v>0</v>
      </c>
      <c r="K94" s="232" t="str">
        <f>'Field Log (10)'!C102</f>
        <v>OR1106</v>
      </c>
      <c r="L94" s="232">
        <f>'Field Log (11)'!C102</f>
        <v>0</v>
      </c>
      <c r="M94" s="232">
        <f>'Field Log (12)'!C102</f>
        <v>0</v>
      </c>
      <c r="N94" s="232">
        <f>'Field Log (13)'!C102</f>
        <v>0</v>
      </c>
      <c r="O94" s="232">
        <f>'Field Log (14)'!C102</f>
        <v>0</v>
      </c>
      <c r="P94" s="232">
        <f>'Field Log (15)'!$C102</f>
        <v>0</v>
      </c>
      <c r="Q94" s="232">
        <f>'Field Log (16)'!$C102</f>
        <v>0</v>
      </c>
      <c r="R94" s="232">
        <f>'Field Log (17)'!$C102</f>
        <v>0</v>
      </c>
      <c r="S94" s="232">
        <f>'Field Log (18)'!$C102</f>
        <v>0</v>
      </c>
      <c r="T94" s="232">
        <f>'Field Log (19)'!$C102</f>
        <v>0</v>
      </c>
      <c r="U94" s="232" t="str">
        <f>'Field Log (20)'!$C102</f>
        <v>OR1728</v>
      </c>
      <c r="V94" s="232">
        <f>'Field Log (21)'!$C102</f>
        <v>0</v>
      </c>
      <c r="W94" s="232">
        <f>'Field Log (22)'!$C102</f>
        <v>0</v>
      </c>
      <c r="X94" s="232">
        <f>'Field Log (23)'!$C102</f>
        <v>0</v>
      </c>
      <c r="Y94" s="232" t="str">
        <f>'Field Log (24)'!$C102</f>
        <v>SA3-005</v>
      </c>
      <c r="Z94" s="232">
        <f>'Field Log (25)'!$C102</f>
        <v>0</v>
      </c>
      <c r="AA94" s="232">
        <f>'Field Log (26)'!$C102</f>
        <v>0</v>
      </c>
      <c r="AB94" s="232">
        <f>'Field Log (27)'!$C102</f>
        <v>0</v>
      </c>
      <c r="AC94" s="232">
        <f>'Field Log (28)'!$C102</f>
        <v>0</v>
      </c>
      <c r="AD94" s="232">
        <f>'Field Log (29)'!$C102</f>
        <v>0</v>
      </c>
      <c r="AE94" s="232">
        <f>'Field Log (30)'!$C102</f>
        <v>0</v>
      </c>
      <c r="AF94" s="232">
        <f>'Field Log (31)'!$C102</f>
        <v>0</v>
      </c>
      <c r="AG94" s="232">
        <f>'Field Log (32)'!$C102</f>
        <v>0</v>
      </c>
      <c r="AH94" s="232">
        <f>'Field Log (33)'!$C102</f>
        <v>0</v>
      </c>
      <c r="AI94" s="232">
        <f>'Field Log (34)'!$C102</f>
        <v>0</v>
      </c>
      <c r="AJ94" s="232">
        <f>'Field Log (35)'!$C102</f>
        <v>0</v>
      </c>
    </row>
    <row r="95" spans="2:36">
      <c r="B95" s="232">
        <f>'Field Log (1)'!C103</f>
        <v>0</v>
      </c>
      <c r="C95" s="232">
        <f>'Field Log (2)'!C103</f>
        <v>0</v>
      </c>
      <c r="D95" s="232">
        <f>'Field Log (3)'!C103</f>
        <v>0</v>
      </c>
      <c r="E95" s="232">
        <f>'Field Log (4)'!C103</f>
        <v>0</v>
      </c>
      <c r="F95" s="232">
        <f>'Field Log (5)'!C103</f>
        <v>0</v>
      </c>
      <c r="G95" s="232">
        <f>'Field Log (6)'!C103</f>
        <v>0</v>
      </c>
      <c r="H95" s="232">
        <f>'Field Log (7)'!C103</f>
        <v>0</v>
      </c>
      <c r="I95" s="232">
        <f>'Field Log (8)'!C103</f>
        <v>0</v>
      </c>
      <c r="J95" s="232">
        <f>'Field Log (9)'!C103</f>
        <v>0</v>
      </c>
      <c r="K95" s="232" t="str">
        <f>'Field Log (10)'!C103</f>
        <v>OR1108a</v>
      </c>
      <c r="L95" s="232">
        <f>'Field Log (11)'!C103</f>
        <v>0</v>
      </c>
      <c r="M95" s="232">
        <f>'Field Log (12)'!C103</f>
        <v>0</v>
      </c>
      <c r="N95" s="232">
        <f>'Field Log (13)'!C103</f>
        <v>0</v>
      </c>
      <c r="O95" s="232">
        <f>'Field Log (14)'!C103</f>
        <v>0</v>
      </c>
      <c r="P95" s="232">
        <f>'Field Log (15)'!$C103</f>
        <v>0</v>
      </c>
      <c r="Q95" s="232">
        <f>'Field Log (16)'!$C103</f>
        <v>0</v>
      </c>
      <c r="R95" s="232">
        <f>'Field Log (17)'!$C103</f>
        <v>0</v>
      </c>
      <c r="S95" s="232">
        <f>'Field Log (18)'!$C103</f>
        <v>0</v>
      </c>
      <c r="T95" s="232">
        <f>'Field Log (19)'!$C103</f>
        <v>0</v>
      </c>
      <c r="U95" s="232" t="str">
        <f>'Field Log (20)'!$C103</f>
        <v>OR1068</v>
      </c>
      <c r="V95" s="232">
        <f>'Field Log (21)'!$C103</f>
        <v>0</v>
      </c>
      <c r="W95" s="232">
        <f>'Field Log (22)'!$C103</f>
        <v>0</v>
      </c>
      <c r="X95" s="232">
        <f>'Field Log (23)'!$C103</f>
        <v>0</v>
      </c>
      <c r="Y95" s="232" t="str">
        <f>'Field Log (24)'!$C103</f>
        <v>OR1306</v>
      </c>
      <c r="Z95" s="232">
        <f>'Field Log (25)'!$C103</f>
        <v>0</v>
      </c>
      <c r="AA95" s="232">
        <f>'Field Log (26)'!$C103</f>
        <v>0</v>
      </c>
      <c r="AB95" s="232">
        <f>'Field Log (27)'!$C103</f>
        <v>0</v>
      </c>
      <c r="AC95" s="232">
        <f>'Field Log (28)'!$C103</f>
        <v>0</v>
      </c>
      <c r="AD95" s="232">
        <f>'Field Log (29)'!$C103</f>
        <v>0</v>
      </c>
      <c r="AE95" s="232">
        <f>'Field Log (30)'!$C103</f>
        <v>0</v>
      </c>
      <c r="AF95" s="232">
        <f>'Field Log (31)'!$C103</f>
        <v>0</v>
      </c>
      <c r="AG95" s="232">
        <f>'Field Log (32)'!$C103</f>
        <v>0</v>
      </c>
      <c r="AH95" s="232">
        <f>'Field Log (33)'!$C103</f>
        <v>0</v>
      </c>
      <c r="AI95" s="232">
        <f>'Field Log (34)'!$C103</f>
        <v>0</v>
      </c>
      <c r="AJ95" s="232">
        <f>'Field Log (35)'!$C103</f>
        <v>0</v>
      </c>
    </row>
    <row r="96" spans="2:36">
      <c r="B96" s="232">
        <f>'Field Log (1)'!C104</f>
        <v>0</v>
      </c>
      <c r="C96" s="232">
        <f>'Field Log (2)'!C104</f>
        <v>0</v>
      </c>
      <c r="D96" s="232">
        <f>'Field Log (3)'!C104</f>
        <v>0</v>
      </c>
      <c r="E96" s="232">
        <f>'Field Log (4)'!C104</f>
        <v>0</v>
      </c>
      <c r="F96" s="232">
        <f>'Field Log (5)'!C104</f>
        <v>0</v>
      </c>
      <c r="G96" s="232">
        <f>'Field Log (6)'!C104</f>
        <v>0</v>
      </c>
      <c r="H96" s="232">
        <f>'Field Log (7)'!C104</f>
        <v>0</v>
      </c>
      <c r="I96" s="232">
        <f>'Field Log (8)'!C104</f>
        <v>0</v>
      </c>
      <c r="J96" s="232">
        <f>'Field Log (9)'!C104</f>
        <v>0</v>
      </c>
      <c r="K96" s="232" t="str">
        <f>'Field Log (10)'!C104</f>
        <v>OR1108b</v>
      </c>
      <c r="L96" s="232">
        <f>'Field Log (11)'!C104</f>
        <v>0</v>
      </c>
      <c r="M96" s="232">
        <f>'Field Log (12)'!C104</f>
        <v>0</v>
      </c>
      <c r="N96" s="232">
        <f>'Field Log (13)'!C104</f>
        <v>0</v>
      </c>
      <c r="O96" s="232">
        <f>'Field Log (14)'!C104</f>
        <v>0</v>
      </c>
      <c r="P96" s="232">
        <f>'Field Log (15)'!$C104</f>
        <v>0</v>
      </c>
      <c r="Q96" s="232">
        <f>'Field Log (16)'!$C104</f>
        <v>0</v>
      </c>
      <c r="R96" s="232">
        <f>'Field Log (17)'!$C104</f>
        <v>0</v>
      </c>
      <c r="S96" s="232">
        <f>'Field Log (18)'!$C104</f>
        <v>0</v>
      </c>
      <c r="T96" s="232">
        <f>'Field Log (19)'!$C104</f>
        <v>0</v>
      </c>
      <c r="U96" s="232" t="str">
        <f>'Field Log (20)'!$C104</f>
        <v>OR1021</v>
      </c>
      <c r="V96" s="232">
        <f>'Field Log (21)'!$C104</f>
        <v>0</v>
      </c>
      <c r="W96" s="232">
        <f>'Field Log (22)'!$C104</f>
        <v>0</v>
      </c>
      <c r="X96" s="232">
        <f>'Field Log (23)'!$C104</f>
        <v>0</v>
      </c>
      <c r="Y96" s="232" t="str">
        <f>'Field Log (24)'!$C104</f>
        <v>T288</v>
      </c>
      <c r="Z96" s="232">
        <f>'Field Log (25)'!$C104</f>
        <v>0</v>
      </c>
      <c r="AA96" s="232">
        <f>'Field Log (26)'!$C104</f>
        <v>0</v>
      </c>
      <c r="AB96" s="232">
        <f>'Field Log (27)'!$C104</f>
        <v>0</v>
      </c>
      <c r="AC96" s="232">
        <f>'Field Log (28)'!$C104</f>
        <v>0</v>
      </c>
      <c r="AD96" s="232">
        <f>'Field Log (29)'!$C104</f>
        <v>0</v>
      </c>
      <c r="AE96" s="232">
        <f>'Field Log (30)'!$C104</f>
        <v>0</v>
      </c>
      <c r="AF96" s="232">
        <f>'Field Log (31)'!$C104</f>
        <v>0</v>
      </c>
      <c r="AG96" s="232">
        <f>'Field Log (32)'!$C104</f>
        <v>0</v>
      </c>
      <c r="AH96" s="232">
        <f>'Field Log (33)'!$C104</f>
        <v>0</v>
      </c>
      <c r="AI96" s="232">
        <f>'Field Log (34)'!$C104</f>
        <v>0</v>
      </c>
      <c r="AJ96" s="232">
        <f>'Field Log (35)'!$C104</f>
        <v>0</v>
      </c>
    </row>
    <row r="97" spans="2:36">
      <c r="B97" s="232">
        <f>'Field Log (1)'!C105</f>
        <v>0</v>
      </c>
      <c r="C97" s="232">
        <f>'Field Log (2)'!C105</f>
        <v>0</v>
      </c>
      <c r="D97" s="232">
        <f>'Field Log (3)'!C105</f>
        <v>0</v>
      </c>
      <c r="E97" s="232">
        <f>'Field Log (4)'!C105</f>
        <v>0</v>
      </c>
      <c r="F97" s="232">
        <f>'Field Log (5)'!C105</f>
        <v>0</v>
      </c>
      <c r="G97" s="232">
        <f>'Field Log (6)'!C105</f>
        <v>0</v>
      </c>
      <c r="H97" s="232">
        <f>'Field Log (7)'!C105</f>
        <v>0</v>
      </c>
      <c r="I97" s="232">
        <f>'Field Log (8)'!C105</f>
        <v>0</v>
      </c>
      <c r="J97" s="232">
        <f>'Field Log (9)'!C105</f>
        <v>0</v>
      </c>
      <c r="K97" s="232" t="str">
        <f>'Field Log (10)'!C105</f>
        <v>286T</v>
      </c>
      <c r="L97" s="232">
        <f>'Field Log (11)'!C105</f>
        <v>0</v>
      </c>
      <c r="M97" s="232">
        <f>'Field Log (12)'!C105</f>
        <v>0</v>
      </c>
      <c r="N97" s="232">
        <f>'Field Log (13)'!C105</f>
        <v>0</v>
      </c>
      <c r="O97" s="232">
        <f>'Field Log (14)'!C105</f>
        <v>0</v>
      </c>
      <c r="P97" s="232">
        <f>'Field Log (15)'!$C105</f>
        <v>0</v>
      </c>
      <c r="Q97" s="232">
        <f>'Field Log (16)'!$C105</f>
        <v>0</v>
      </c>
      <c r="R97" s="232">
        <f>'Field Log (17)'!$C105</f>
        <v>0</v>
      </c>
      <c r="S97" s="232">
        <f>'Field Log (18)'!$C105</f>
        <v>0</v>
      </c>
      <c r="T97" s="232">
        <f>'Field Log (19)'!$C105</f>
        <v>0</v>
      </c>
      <c r="U97" s="232" t="str">
        <f>'Field Log (20)'!$C105</f>
        <v>OR1027</v>
      </c>
      <c r="V97" s="232">
        <f>'Field Log (21)'!$C105</f>
        <v>0</v>
      </c>
      <c r="W97" s="232">
        <f>'Field Log (22)'!$C105</f>
        <v>0</v>
      </c>
      <c r="X97" s="232">
        <f>'Field Log (23)'!$C105</f>
        <v>0</v>
      </c>
      <c r="Y97" s="232" t="str">
        <f>'Field Log (24)'!$C105</f>
        <v>T290</v>
      </c>
      <c r="Z97" s="232">
        <f>'Field Log (25)'!$C105</f>
        <v>0</v>
      </c>
      <c r="AA97" s="232">
        <f>'Field Log (26)'!$C105</f>
        <v>0</v>
      </c>
      <c r="AB97" s="232">
        <f>'Field Log (27)'!$C105</f>
        <v>0</v>
      </c>
      <c r="AC97" s="232">
        <f>'Field Log (28)'!$C105</f>
        <v>0</v>
      </c>
      <c r="AD97" s="232">
        <f>'Field Log (29)'!$C105</f>
        <v>0</v>
      </c>
      <c r="AE97" s="232">
        <f>'Field Log (30)'!$C105</f>
        <v>0</v>
      </c>
      <c r="AF97" s="232">
        <f>'Field Log (31)'!$C105</f>
        <v>0</v>
      </c>
      <c r="AG97" s="232">
        <f>'Field Log (32)'!$C105</f>
        <v>0</v>
      </c>
      <c r="AH97" s="232">
        <f>'Field Log (33)'!$C105</f>
        <v>0</v>
      </c>
      <c r="AI97" s="232">
        <f>'Field Log (34)'!$C105</f>
        <v>0</v>
      </c>
      <c r="AJ97" s="232">
        <f>'Field Log (35)'!$C105</f>
        <v>0</v>
      </c>
    </row>
    <row r="98" spans="2:36">
      <c r="B98" s="232">
        <f>'Field Log (1)'!C106</f>
        <v>0</v>
      </c>
      <c r="C98" s="232">
        <f>'Field Log (2)'!C106</f>
        <v>0</v>
      </c>
      <c r="D98" s="232">
        <f>'Field Log (3)'!C106</f>
        <v>0</v>
      </c>
      <c r="E98" s="232">
        <f>'Field Log (4)'!C106</f>
        <v>0</v>
      </c>
      <c r="F98" s="232">
        <f>'Field Log (5)'!C106</f>
        <v>0</v>
      </c>
      <c r="G98" s="232">
        <f>'Field Log (6)'!C106</f>
        <v>0</v>
      </c>
      <c r="H98" s="232">
        <f>'Field Log (7)'!C106</f>
        <v>0</v>
      </c>
      <c r="I98" s="232">
        <f>'Field Log (8)'!C106</f>
        <v>0</v>
      </c>
      <c r="J98" s="232">
        <f>'Field Log (9)'!C106</f>
        <v>0</v>
      </c>
      <c r="K98" s="232" t="str">
        <f>'Field Log (10)'!C106</f>
        <v>486T</v>
      </c>
      <c r="L98" s="232">
        <f>'Field Log (11)'!C106</f>
        <v>0</v>
      </c>
      <c r="M98" s="232">
        <f>'Field Log (12)'!C106</f>
        <v>0</v>
      </c>
      <c r="N98" s="232">
        <f>'Field Log (13)'!C106</f>
        <v>0</v>
      </c>
      <c r="O98" s="232">
        <f>'Field Log (14)'!C106</f>
        <v>0</v>
      </c>
      <c r="P98" s="232">
        <f>'Field Log (15)'!$C106</f>
        <v>0</v>
      </c>
      <c r="Q98" s="232">
        <f>'Field Log (16)'!$C106</f>
        <v>0</v>
      </c>
      <c r="R98" s="232">
        <f>'Field Log (17)'!$C106</f>
        <v>0</v>
      </c>
      <c r="S98" s="232">
        <f>'Field Log (18)'!$C106</f>
        <v>0</v>
      </c>
      <c r="T98" s="232">
        <f>'Field Log (19)'!$C106</f>
        <v>0</v>
      </c>
      <c r="U98" s="232" t="str">
        <f>'Field Log (20)'!$C106</f>
        <v>DL2608</v>
      </c>
      <c r="V98" s="232">
        <f>'Field Log (21)'!$C106</f>
        <v>0</v>
      </c>
      <c r="W98" s="232">
        <f>'Field Log (22)'!$C106</f>
        <v>0</v>
      </c>
      <c r="X98" s="232">
        <f>'Field Log (23)'!$C106</f>
        <v>0</v>
      </c>
      <c r="Y98" s="232" t="str">
        <f>'Field Log (24)'!$C106</f>
        <v>SA9-001</v>
      </c>
      <c r="Z98" s="232">
        <f>'Field Log (25)'!$C106</f>
        <v>0</v>
      </c>
      <c r="AA98" s="232">
        <f>'Field Log (26)'!$C106</f>
        <v>0</v>
      </c>
      <c r="AB98" s="232">
        <f>'Field Log (27)'!$C106</f>
        <v>0</v>
      </c>
      <c r="AC98" s="232">
        <f>'Field Log (28)'!$C106</f>
        <v>0</v>
      </c>
      <c r="AD98" s="232">
        <f>'Field Log (29)'!$C106</f>
        <v>0</v>
      </c>
      <c r="AE98" s="232">
        <f>'Field Log (30)'!$C106</f>
        <v>0</v>
      </c>
      <c r="AF98" s="232">
        <f>'Field Log (31)'!$C106</f>
        <v>0</v>
      </c>
      <c r="AG98" s="232">
        <f>'Field Log (32)'!$C106</f>
        <v>0</v>
      </c>
      <c r="AH98" s="232">
        <f>'Field Log (33)'!$C106</f>
        <v>0</v>
      </c>
      <c r="AI98" s="232">
        <f>'Field Log (34)'!$C106</f>
        <v>0</v>
      </c>
      <c r="AJ98" s="232">
        <f>'Field Log (35)'!$C106</f>
        <v>0</v>
      </c>
    </row>
    <row r="99" spans="2:36">
      <c r="B99" s="232">
        <f>'Field Log (1)'!C107</f>
        <v>0</v>
      </c>
      <c r="C99" s="232">
        <f>'Field Log (2)'!C107</f>
        <v>0</v>
      </c>
      <c r="D99" s="232">
        <f>'Field Log (3)'!C107</f>
        <v>0</v>
      </c>
      <c r="E99" s="232">
        <f>'Field Log (4)'!C107</f>
        <v>0</v>
      </c>
      <c r="F99" s="232">
        <f>'Field Log (5)'!C107</f>
        <v>0</v>
      </c>
      <c r="G99" s="232">
        <f>'Field Log (6)'!C107</f>
        <v>0</v>
      </c>
      <c r="H99" s="232">
        <f>'Field Log (7)'!C107</f>
        <v>0</v>
      </c>
      <c r="I99" s="232">
        <f>'Field Log (8)'!C107</f>
        <v>0</v>
      </c>
      <c r="J99" s="232">
        <f>'Field Log (9)'!C107</f>
        <v>0</v>
      </c>
      <c r="K99" s="232" t="str">
        <f>'Field Log (10)'!C107</f>
        <v>494T</v>
      </c>
      <c r="L99" s="232">
        <f>'Field Log (11)'!C107</f>
        <v>0</v>
      </c>
      <c r="M99" s="232">
        <f>'Field Log (12)'!C107</f>
        <v>0</v>
      </c>
      <c r="N99" s="232">
        <f>'Field Log (13)'!C107</f>
        <v>0</v>
      </c>
      <c r="O99" s="232">
        <f>'Field Log (14)'!C107</f>
        <v>0</v>
      </c>
      <c r="P99" s="232">
        <f>'Field Log (15)'!$C107</f>
        <v>0</v>
      </c>
      <c r="Q99" s="232">
        <f>'Field Log (16)'!$C107</f>
        <v>0</v>
      </c>
      <c r="R99" s="232">
        <f>'Field Log (17)'!$C107</f>
        <v>0</v>
      </c>
      <c r="S99" s="232">
        <f>'Field Log (18)'!$C107</f>
        <v>0</v>
      </c>
      <c r="T99" s="232">
        <f>'Field Log (19)'!$C107</f>
        <v>0</v>
      </c>
      <c r="U99" s="232" t="str">
        <f>'Field Log (20)'!$C107</f>
        <v>DL2610</v>
      </c>
      <c r="V99" s="232">
        <f>'Field Log (21)'!$C107</f>
        <v>0</v>
      </c>
      <c r="W99" s="232">
        <f>'Field Log (22)'!$C107</f>
        <v>0</v>
      </c>
      <c r="X99" s="232">
        <f>'Field Log (23)'!$C107</f>
        <v>0</v>
      </c>
      <c r="Y99" s="232" t="str">
        <f>'Field Log (24)'!$C107</f>
        <v>490T</v>
      </c>
      <c r="Z99" s="232">
        <f>'Field Log (25)'!$C107</f>
        <v>0</v>
      </c>
      <c r="AA99" s="232">
        <f>'Field Log (26)'!$C107</f>
        <v>0</v>
      </c>
      <c r="AB99" s="232">
        <f>'Field Log (27)'!$C107</f>
        <v>0</v>
      </c>
      <c r="AC99" s="232">
        <f>'Field Log (28)'!$C107</f>
        <v>0</v>
      </c>
      <c r="AD99" s="232">
        <f>'Field Log (29)'!$C107</f>
        <v>0</v>
      </c>
      <c r="AE99" s="232">
        <f>'Field Log (30)'!$C107</f>
        <v>0</v>
      </c>
      <c r="AF99" s="232">
        <f>'Field Log (31)'!$C107</f>
        <v>0</v>
      </c>
      <c r="AG99" s="232">
        <f>'Field Log (32)'!$C107</f>
        <v>0</v>
      </c>
      <c r="AH99" s="232">
        <f>'Field Log (33)'!$C107</f>
        <v>0</v>
      </c>
      <c r="AI99" s="232">
        <f>'Field Log (34)'!$C107</f>
        <v>0</v>
      </c>
      <c r="AJ99" s="232">
        <f>'Field Log (35)'!$C107</f>
        <v>0</v>
      </c>
    </row>
    <row r="100" spans="2:36">
      <c r="B100" s="232">
        <f>'Field Log (1)'!C108</f>
        <v>0</v>
      </c>
      <c r="C100" s="232">
        <f>'Field Log (2)'!C108</f>
        <v>0</v>
      </c>
      <c r="D100" s="232">
        <f>'Field Log (3)'!C108</f>
        <v>0</v>
      </c>
      <c r="E100" s="232">
        <f>'Field Log (4)'!C108</f>
        <v>0</v>
      </c>
      <c r="F100" s="232">
        <f>'Field Log (5)'!C108</f>
        <v>0</v>
      </c>
      <c r="G100" s="232">
        <f>'Field Log (6)'!C108</f>
        <v>0</v>
      </c>
      <c r="H100" s="232">
        <f>'Field Log (7)'!C108</f>
        <v>0</v>
      </c>
      <c r="I100" s="232">
        <f>'Field Log (8)'!C108</f>
        <v>0</v>
      </c>
      <c r="J100" s="232">
        <f>'Field Log (9)'!C108</f>
        <v>0</v>
      </c>
      <c r="K100" s="232" t="str">
        <f>'Field Log (10)'!C108</f>
        <v>OR1020</v>
      </c>
      <c r="L100" s="232">
        <f>'Field Log (11)'!C108</f>
        <v>0</v>
      </c>
      <c r="M100" s="232">
        <f>'Field Log (12)'!C108</f>
        <v>0</v>
      </c>
      <c r="N100" s="232">
        <f>'Field Log (13)'!C108</f>
        <v>0</v>
      </c>
      <c r="O100" s="232">
        <f>'Field Log (14)'!C108</f>
        <v>0</v>
      </c>
      <c r="P100" s="232">
        <f>'Field Log (15)'!$C108</f>
        <v>0</v>
      </c>
      <c r="Q100" s="232">
        <f>'Field Log (16)'!$C108</f>
        <v>0</v>
      </c>
      <c r="R100" s="232">
        <f>'Field Log (17)'!$C108</f>
        <v>0</v>
      </c>
      <c r="S100" s="232">
        <f>'Field Log (18)'!$C108</f>
        <v>0</v>
      </c>
      <c r="T100" s="232">
        <f>'Field Log (19)'!$C108</f>
        <v>0</v>
      </c>
      <c r="U100" s="232" t="str">
        <f>'Field Log (20)'!$C108</f>
        <v>DL2542</v>
      </c>
      <c r="V100" s="232">
        <f>'Field Log (21)'!$C108</f>
        <v>0</v>
      </c>
      <c r="W100" s="232">
        <f>'Field Log (22)'!$C108</f>
        <v>0</v>
      </c>
      <c r="X100" s="232">
        <f>'Field Log (23)'!$C108</f>
        <v>0</v>
      </c>
      <c r="Y100" s="232">
        <f>'Field Log (24)'!$C108</f>
        <v>0</v>
      </c>
      <c r="Z100" s="232">
        <f>'Field Log (25)'!$C108</f>
        <v>0</v>
      </c>
      <c r="AA100" s="232">
        <f>'Field Log (26)'!$C108</f>
        <v>0</v>
      </c>
      <c r="AB100" s="232">
        <f>'Field Log (27)'!$C108</f>
        <v>0</v>
      </c>
      <c r="AC100" s="232">
        <f>'Field Log (28)'!$C108</f>
        <v>0</v>
      </c>
      <c r="AD100" s="232">
        <f>'Field Log (29)'!$C108</f>
        <v>0</v>
      </c>
      <c r="AE100" s="232">
        <f>'Field Log (30)'!$C108</f>
        <v>0</v>
      </c>
      <c r="AF100" s="232">
        <f>'Field Log (31)'!$C108</f>
        <v>0</v>
      </c>
      <c r="AG100" s="232">
        <f>'Field Log (32)'!$C108</f>
        <v>0</v>
      </c>
      <c r="AH100" s="232">
        <f>'Field Log (33)'!$C108</f>
        <v>0</v>
      </c>
      <c r="AI100" s="232">
        <f>'Field Log (34)'!$C108</f>
        <v>0</v>
      </c>
      <c r="AJ100" s="232">
        <f>'Field Log (35)'!$C108</f>
        <v>0</v>
      </c>
    </row>
    <row r="101" spans="2:36">
      <c r="B101" s="232">
        <f>'Field Log (1)'!C109</f>
        <v>0</v>
      </c>
      <c r="C101" s="232">
        <f>'Field Log (2)'!C109</f>
        <v>0</v>
      </c>
      <c r="D101" s="232">
        <f>'Field Log (3)'!C109</f>
        <v>0</v>
      </c>
      <c r="E101" s="232">
        <f>'Field Log (4)'!C109</f>
        <v>0</v>
      </c>
      <c r="F101" s="232">
        <f>'Field Log (5)'!C109</f>
        <v>0</v>
      </c>
      <c r="G101" s="232">
        <f>'Field Log (6)'!C109</f>
        <v>0</v>
      </c>
      <c r="H101" s="232">
        <f>'Field Log (7)'!C109</f>
        <v>0</v>
      </c>
      <c r="I101" s="232">
        <f>'Field Log (8)'!C109</f>
        <v>0</v>
      </c>
      <c r="J101" s="232">
        <f>'Field Log (9)'!C109</f>
        <v>0</v>
      </c>
      <c r="K101" s="232" t="str">
        <f>'Field Log (10)'!C109</f>
        <v>OR1030</v>
      </c>
      <c r="L101" s="232">
        <f>'Field Log (11)'!C109</f>
        <v>0</v>
      </c>
      <c r="M101" s="232">
        <f>'Field Log (12)'!C109</f>
        <v>0</v>
      </c>
      <c r="N101" s="232">
        <f>'Field Log (13)'!C109</f>
        <v>0</v>
      </c>
      <c r="O101" s="232">
        <f>'Field Log (14)'!C109</f>
        <v>0</v>
      </c>
      <c r="P101" s="232">
        <f>'Field Log (15)'!$C109</f>
        <v>0</v>
      </c>
      <c r="Q101" s="232">
        <f>'Field Log (16)'!$C109</f>
        <v>0</v>
      </c>
      <c r="R101" s="232">
        <f>'Field Log (17)'!$C109</f>
        <v>0</v>
      </c>
      <c r="S101" s="232">
        <f>'Field Log (18)'!$C109</f>
        <v>0</v>
      </c>
      <c r="T101" s="232">
        <f>'Field Log (19)'!$C109</f>
        <v>0</v>
      </c>
      <c r="U101" s="232" t="str">
        <f>'Field Log (20)'!$C109</f>
        <v>OR1801</v>
      </c>
      <c r="V101" s="232">
        <f>'Field Log (21)'!$C109</f>
        <v>0</v>
      </c>
      <c r="W101" s="232">
        <f>'Field Log (22)'!$C109</f>
        <v>0</v>
      </c>
      <c r="X101" s="232">
        <f>'Field Log (23)'!$C109</f>
        <v>0</v>
      </c>
      <c r="Y101" s="232">
        <f>'Field Log (24)'!$C109</f>
        <v>0</v>
      </c>
      <c r="Z101" s="232">
        <f>'Field Log (25)'!$C109</f>
        <v>0</v>
      </c>
      <c r="AA101" s="232">
        <f>'Field Log (26)'!$C109</f>
        <v>0</v>
      </c>
      <c r="AB101" s="232">
        <f>'Field Log (27)'!$C109</f>
        <v>0</v>
      </c>
      <c r="AC101" s="232">
        <f>'Field Log (28)'!$C109</f>
        <v>0</v>
      </c>
      <c r="AD101" s="232">
        <f>'Field Log (29)'!$C109</f>
        <v>0</v>
      </c>
      <c r="AE101" s="232">
        <f>'Field Log (30)'!$C109</f>
        <v>0</v>
      </c>
      <c r="AF101" s="232">
        <f>'Field Log (31)'!$C109</f>
        <v>0</v>
      </c>
      <c r="AG101" s="232">
        <f>'Field Log (32)'!$C109</f>
        <v>0</v>
      </c>
      <c r="AH101" s="232">
        <f>'Field Log (33)'!$C109</f>
        <v>0</v>
      </c>
      <c r="AI101" s="232">
        <f>'Field Log (34)'!$C109</f>
        <v>0</v>
      </c>
      <c r="AJ101" s="232">
        <f>'Field Log (35)'!$C109</f>
        <v>0</v>
      </c>
    </row>
    <row r="102" spans="2:36">
      <c r="B102" s="232">
        <f>'Field Log (1)'!C110</f>
        <v>0</v>
      </c>
      <c r="C102" s="232">
        <f>'Field Log (2)'!C110</f>
        <v>0</v>
      </c>
      <c r="D102" s="232">
        <f>'Field Log (3)'!C110</f>
        <v>0</v>
      </c>
      <c r="E102" s="232">
        <f>'Field Log (4)'!C110</f>
        <v>0</v>
      </c>
      <c r="F102" s="232">
        <f>'Field Log (5)'!C110</f>
        <v>0</v>
      </c>
      <c r="G102" s="232">
        <f>'Field Log (6)'!C110</f>
        <v>0</v>
      </c>
      <c r="H102" s="232">
        <f>'Field Log (7)'!C110</f>
        <v>0</v>
      </c>
      <c r="I102" s="232">
        <f>'Field Log (8)'!C110</f>
        <v>0</v>
      </c>
      <c r="J102" s="232">
        <f>'Field Log (9)'!C110</f>
        <v>0</v>
      </c>
      <c r="K102" s="232" t="str">
        <f>'Field Log (10)'!C110</f>
        <v>OR1707</v>
      </c>
      <c r="L102" s="232">
        <f>'Field Log (11)'!C110</f>
        <v>0</v>
      </c>
      <c r="M102" s="232">
        <f>'Field Log (12)'!C110</f>
        <v>0</v>
      </c>
      <c r="N102" s="232">
        <f>'Field Log (13)'!C110</f>
        <v>0</v>
      </c>
      <c r="O102" s="232">
        <f>'Field Log (14)'!C110</f>
        <v>0</v>
      </c>
      <c r="P102" s="232">
        <f>'Field Log (15)'!$C110</f>
        <v>0</v>
      </c>
      <c r="Q102" s="232">
        <f>'Field Log (16)'!$C110</f>
        <v>0</v>
      </c>
      <c r="R102" s="232">
        <f>'Field Log (17)'!$C110</f>
        <v>0</v>
      </c>
      <c r="S102" s="232">
        <f>'Field Log (18)'!$C110</f>
        <v>0</v>
      </c>
      <c r="T102" s="232">
        <f>'Field Log (19)'!$C110</f>
        <v>0</v>
      </c>
      <c r="U102" s="232" t="str">
        <f>'Field Log (20)'!$C110</f>
        <v>OR1802</v>
      </c>
      <c r="V102" s="232">
        <f>'Field Log (21)'!$C110</f>
        <v>0</v>
      </c>
      <c r="W102" s="232">
        <f>'Field Log (22)'!$C110</f>
        <v>0</v>
      </c>
      <c r="X102" s="232">
        <f>'Field Log (23)'!$C110</f>
        <v>0</v>
      </c>
      <c r="Y102" s="232">
        <f>'Field Log (24)'!$C110</f>
        <v>0</v>
      </c>
      <c r="Z102" s="232">
        <f>'Field Log (25)'!$C110</f>
        <v>0</v>
      </c>
      <c r="AA102" s="232">
        <f>'Field Log (26)'!$C110</f>
        <v>0</v>
      </c>
      <c r="AB102" s="232">
        <f>'Field Log (27)'!$C110</f>
        <v>0</v>
      </c>
      <c r="AC102" s="232">
        <f>'Field Log (28)'!$C110</f>
        <v>0</v>
      </c>
      <c r="AD102" s="232">
        <f>'Field Log (29)'!$C110</f>
        <v>0</v>
      </c>
      <c r="AE102" s="232">
        <f>'Field Log (30)'!$C110</f>
        <v>0</v>
      </c>
      <c r="AF102" s="232">
        <f>'Field Log (31)'!$C110</f>
        <v>0</v>
      </c>
      <c r="AG102" s="232">
        <f>'Field Log (32)'!$C110</f>
        <v>0</v>
      </c>
      <c r="AH102" s="232">
        <f>'Field Log (33)'!$C110</f>
        <v>0</v>
      </c>
      <c r="AI102" s="232">
        <f>'Field Log (34)'!$C110</f>
        <v>0</v>
      </c>
      <c r="AJ102" s="232">
        <f>'Field Log (35)'!$C110</f>
        <v>0</v>
      </c>
    </row>
    <row r="103" spans="2:36">
      <c r="B103" s="232">
        <f>'Field Log (1)'!C111</f>
        <v>0</v>
      </c>
      <c r="C103" s="232">
        <f>'Field Log (2)'!C111</f>
        <v>0</v>
      </c>
      <c r="D103" s="232">
        <f>'Field Log (3)'!C111</f>
        <v>0</v>
      </c>
      <c r="E103" s="232">
        <f>'Field Log (4)'!C111</f>
        <v>0</v>
      </c>
      <c r="F103" s="232">
        <f>'Field Log (5)'!C111</f>
        <v>0</v>
      </c>
      <c r="G103" s="232">
        <f>'Field Log (6)'!C111</f>
        <v>0</v>
      </c>
      <c r="H103" s="232">
        <f>'Field Log (7)'!C111</f>
        <v>0</v>
      </c>
      <c r="I103" s="232">
        <f>'Field Log (8)'!C111</f>
        <v>0</v>
      </c>
      <c r="J103" s="232">
        <f>'Field Log (9)'!C111</f>
        <v>0</v>
      </c>
      <c r="K103" s="232" t="str">
        <f>'Field Log (10)'!C111</f>
        <v>OR1721</v>
      </c>
      <c r="L103" s="232">
        <f>'Field Log (11)'!C111</f>
        <v>0</v>
      </c>
      <c r="M103" s="232">
        <f>'Field Log (12)'!C111</f>
        <v>0</v>
      </c>
      <c r="N103" s="232">
        <f>'Field Log (13)'!C111</f>
        <v>0</v>
      </c>
      <c r="O103" s="232">
        <f>'Field Log (14)'!C111</f>
        <v>0</v>
      </c>
      <c r="P103" s="232">
        <f>'Field Log (15)'!$C111</f>
        <v>0</v>
      </c>
      <c r="Q103" s="232">
        <f>'Field Log (16)'!$C111</f>
        <v>0</v>
      </c>
      <c r="R103" s="232">
        <f>'Field Log (17)'!$C111</f>
        <v>0</v>
      </c>
      <c r="S103" s="232">
        <f>'Field Log (18)'!$C111</f>
        <v>0</v>
      </c>
      <c r="T103" s="232">
        <f>'Field Log (19)'!$C111</f>
        <v>0</v>
      </c>
      <c r="U103" s="232" t="str">
        <f>'Field Log (20)'!$C111</f>
        <v>OR1803</v>
      </c>
      <c r="V103" s="232">
        <f>'Field Log (21)'!$C111</f>
        <v>0</v>
      </c>
      <c r="W103" s="232">
        <f>'Field Log (22)'!$C111</f>
        <v>0</v>
      </c>
      <c r="X103" s="232">
        <f>'Field Log (23)'!$C111</f>
        <v>0</v>
      </c>
      <c r="Y103" s="232">
        <f>'Field Log (24)'!$C111</f>
        <v>0</v>
      </c>
      <c r="Z103" s="232">
        <f>'Field Log (25)'!$C111</f>
        <v>0</v>
      </c>
      <c r="AA103" s="232">
        <f>'Field Log (26)'!$C111</f>
        <v>0</v>
      </c>
      <c r="AB103" s="232">
        <f>'Field Log (27)'!$C111</f>
        <v>0</v>
      </c>
      <c r="AC103" s="232">
        <f>'Field Log (28)'!$C111</f>
        <v>0</v>
      </c>
      <c r="AD103" s="232">
        <f>'Field Log (29)'!$C111</f>
        <v>0</v>
      </c>
      <c r="AE103" s="232">
        <f>'Field Log (30)'!$C111</f>
        <v>0</v>
      </c>
      <c r="AF103" s="232">
        <f>'Field Log (31)'!$C111</f>
        <v>0</v>
      </c>
      <c r="AG103" s="232">
        <f>'Field Log (32)'!$C111</f>
        <v>0</v>
      </c>
      <c r="AH103" s="232">
        <f>'Field Log (33)'!$C111</f>
        <v>0</v>
      </c>
      <c r="AI103" s="232">
        <f>'Field Log (34)'!$C111</f>
        <v>0</v>
      </c>
      <c r="AJ103" s="232">
        <f>'Field Log (35)'!$C111</f>
        <v>0</v>
      </c>
    </row>
    <row r="104" spans="2:36">
      <c r="B104" s="232">
        <f>'Field Log (1)'!C112</f>
        <v>0</v>
      </c>
      <c r="C104" s="232">
        <f>'Field Log (2)'!C112</f>
        <v>0</v>
      </c>
      <c r="D104" s="232">
        <f>'Field Log (3)'!C112</f>
        <v>0</v>
      </c>
      <c r="E104" s="232">
        <f>'Field Log (4)'!C112</f>
        <v>0</v>
      </c>
      <c r="F104" s="232">
        <f>'Field Log (5)'!C112</f>
        <v>0</v>
      </c>
      <c r="G104" s="232">
        <f>'Field Log (6)'!C112</f>
        <v>0</v>
      </c>
      <c r="H104" s="232">
        <f>'Field Log (7)'!C112</f>
        <v>0</v>
      </c>
      <c r="I104" s="232">
        <f>'Field Log (8)'!C112</f>
        <v>0</v>
      </c>
      <c r="J104" s="232">
        <f>'Field Log (9)'!C112</f>
        <v>0</v>
      </c>
      <c r="K104" s="232" t="str">
        <f>'Field Log (10)'!C112</f>
        <v>DL2614</v>
      </c>
      <c r="L104" s="232">
        <f>'Field Log (11)'!C112</f>
        <v>0</v>
      </c>
      <c r="M104" s="232">
        <f>'Field Log (12)'!C112</f>
        <v>0</v>
      </c>
      <c r="N104" s="232">
        <f>'Field Log (13)'!C112</f>
        <v>0</v>
      </c>
      <c r="O104" s="232">
        <f>'Field Log (14)'!C112</f>
        <v>0</v>
      </c>
      <c r="P104" s="232">
        <f>'Field Log (15)'!$C112</f>
        <v>0</v>
      </c>
      <c r="Q104" s="232">
        <f>'Field Log (16)'!$C112</f>
        <v>0</v>
      </c>
      <c r="R104" s="232">
        <f>'Field Log (17)'!$C112</f>
        <v>0</v>
      </c>
      <c r="S104" s="232">
        <f>'Field Log (18)'!$C112</f>
        <v>0</v>
      </c>
      <c r="T104" s="232">
        <f>'Field Log (19)'!$C112</f>
        <v>0</v>
      </c>
      <c r="U104" s="232" t="str">
        <f>'Field Log (20)'!$C112</f>
        <v>OR1804</v>
      </c>
      <c r="V104" s="232">
        <f>'Field Log (21)'!$C112</f>
        <v>0</v>
      </c>
      <c r="W104" s="232">
        <f>'Field Log (22)'!$C112</f>
        <v>0</v>
      </c>
      <c r="X104" s="232">
        <f>'Field Log (23)'!$C112</f>
        <v>0</v>
      </c>
      <c r="Y104" s="232">
        <f>'Field Log (24)'!$C112</f>
        <v>0</v>
      </c>
      <c r="Z104" s="232">
        <f>'Field Log (25)'!$C112</f>
        <v>0</v>
      </c>
      <c r="AA104" s="232">
        <f>'Field Log (26)'!$C112</f>
        <v>0</v>
      </c>
      <c r="AB104" s="232">
        <f>'Field Log (27)'!$C112</f>
        <v>0</v>
      </c>
      <c r="AC104" s="232">
        <f>'Field Log (28)'!$C112</f>
        <v>0</v>
      </c>
      <c r="AD104" s="232">
        <f>'Field Log (29)'!$C112</f>
        <v>0</v>
      </c>
      <c r="AE104" s="232">
        <f>'Field Log (30)'!$C112</f>
        <v>0</v>
      </c>
      <c r="AF104" s="232">
        <f>'Field Log (31)'!$C112</f>
        <v>0</v>
      </c>
      <c r="AG104" s="232">
        <f>'Field Log (32)'!$C112</f>
        <v>0</v>
      </c>
      <c r="AH104" s="232">
        <f>'Field Log (33)'!$C112</f>
        <v>0</v>
      </c>
      <c r="AI104" s="232">
        <f>'Field Log (34)'!$C112</f>
        <v>0</v>
      </c>
      <c r="AJ104" s="232">
        <f>'Field Log (35)'!$C112</f>
        <v>0</v>
      </c>
    </row>
    <row r="105" spans="2:36">
      <c r="B105" s="232">
        <f>'Field Log (1)'!C113</f>
        <v>0</v>
      </c>
      <c r="C105" s="232">
        <f>'Field Log (2)'!C113</f>
        <v>0</v>
      </c>
      <c r="D105" s="232">
        <f>'Field Log (3)'!C113</f>
        <v>0</v>
      </c>
      <c r="E105" s="232">
        <f>'Field Log (4)'!C113</f>
        <v>0</v>
      </c>
      <c r="F105" s="232">
        <f>'Field Log (5)'!C113</f>
        <v>0</v>
      </c>
      <c r="G105" s="232">
        <f>'Field Log (6)'!C113</f>
        <v>0</v>
      </c>
      <c r="H105" s="232">
        <f>'Field Log (7)'!C113</f>
        <v>0</v>
      </c>
      <c r="I105" s="232">
        <f>'Field Log (8)'!C113</f>
        <v>0</v>
      </c>
      <c r="J105" s="232">
        <f>'Field Log (9)'!C113</f>
        <v>0</v>
      </c>
      <c r="K105" s="232" t="str">
        <f>'Field Log (10)'!C113</f>
        <v>DL2615</v>
      </c>
      <c r="L105" s="232">
        <f>'Field Log (11)'!C113</f>
        <v>0</v>
      </c>
      <c r="M105" s="232">
        <f>'Field Log (12)'!C113</f>
        <v>0</v>
      </c>
      <c r="N105" s="232">
        <f>'Field Log (13)'!C113</f>
        <v>0</v>
      </c>
      <c r="O105" s="232">
        <f>'Field Log (14)'!C113</f>
        <v>0</v>
      </c>
      <c r="P105" s="232">
        <f>'Field Log (15)'!$C113</f>
        <v>0</v>
      </c>
      <c r="Q105" s="232">
        <f>'Field Log (16)'!$C113</f>
        <v>0</v>
      </c>
      <c r="R105" s="232">
        <f>'Field Log (17)'!$C113</f>
        <v>0</v>
      </c>
      <c r="S105" s="232">
        <f>'Field Log (18)'!$C113</f>
        <v>0</v>
      </c>
      <c r="T105" s="232">
        <f>'Field Log (19)'!$C113</f>
        <v>0</v>
      </c>
      <c r="U105" s="232" t="str">
        <f>'Field Log (20)'!$C113</f>
        <v>OR1622</v>
      </c>
      <c r="V105" s="232">
        <f>'Field Log (21)'!$C113</f>
        <v>0</v>
      </c>
      <c r="W105" s="232">
        <f>'Field Log (22)'!$C113</f>
        <v>0</v>
      </c>
      <c r="X105" s="232">
        <f>'Field Log (23)'!$C113</f>
        <v>0</v>
      </c>
      <c r="Y105" s="232">
        <f>'Field Log (24)'!$C113</f>
        <v>0</v>
      </c>
      <c r="Z105" s="232">
        <f>'Field Log (25)'!$C113</f>
        <v>0</v>
      </c>
      <c r="AA105" s="232">
        <f>'Field Log (26)'!$C113</f>
        <v>0</v>
      </c>
      <c r="AB105" s="232">
        <f>'Field Log (27)'!$C113</f>
        <v>0</v>
      </c>
      <c r="AC105" s="232">
        <f>'Field Log (28)'!$C113</f>
        <v>0</v>
      </c>
      <c r="AD105" s="232">
        <f>'Field Log (29)'!$C113</f>
        <v>0</v>
      </c>
      <c r="AE105" s="232">
        <f>'Field Log (30)'!$C113</f>
        <v>0</v>
      </c>
      <c r="AF105" s="232">
        <f>'Field Log (31)'!$C113</f>
        <v>0</v>
      </c>
      <c r="AG105" s="232">
        <f>'Field Log (32)'!$C113</f>
        <v>0</v>
      </c>
      <c r="AH105" s="232">
        <f>'Field Log (33)'!$C113</f>
        <v>0</v>
      </c>
      <c r="AI105" s="232">
        <f>'Field Log (34)'!$C113</f>
        <v>0</v>
      </c>
      <c r="AJ105" s="232">
        <f>'Field Log (35)'!$C113</f>
        <v>0</v>
      </c>
    </row>
    <row r="106" spans="2:36">
      <c r="B106" s="232">
        <f>'Field Log (1)'!C114</f>
        <v>0</v>
      </c>
      <c r="C106" s="232">
        <f>'Field Log (2)'!C114</f>
        <v>0</v>
      </c>
      <c r="D106" s="232">
        <f>'Field Log (3)'!C114</f>
        <v>0</v>
      </c>
      <c r="E106" s="232">
        <f>'Field Log (4)'!C114</f>
        <v>0</v>
      </c>
      <c r="F106" s="232">
        <f>'Field Log (5)'!C114</f>
        <v>0</v>
      </c>
      <c r="G106" s="232">
        <f>'Field Log (6)'!C114</f>
        <v>0</v>
      </c>
      <c r="H106" s="232">
        <f>'Field Log (7)'!C114</f>
        <v>0</v>
      </c>
      <c r="I106" s="232">
        <f>'Field Log (8)'!C114</f>
        <v>0</v>
      </c>
      <c r="J106" s="232">
        <f>'Field Log (9)'!C114</f>
        <v>0</v>
      </c>
      <c r="K106" s="232" t="str">
        <f>'Field Log (10)'!C114</f>
        <v>OR1231</v>
      </c>
      <c r="L106" s="232">
        <f>'Field Log (11)'!C114</f>
        <v>0</v>
      </c>
      <c r="M106" s="232">
        <f>'Field Log (12)'!C114</f>
        <v>0</v>
      </c>
      <c r="N106" s="232">
        <f>'Field Log (13)'!C114</f>
        <v>0</v>
      </c>
      <c r="O106" s="232">
        <f>'Field Log (14)'!C114</f>
        <v>0</v>
      </c>
      <c r="P106" s="232">
        <f>'Field Log (15)'!$C114</f>
        <v>0</v>
      </c>
      <c r="Q106" s="232">
        <f>'Field Log (16)'!$C114</f>
        <v>0</v>
      </c>
      <c r="R106" s="232">
        <f>'Field Log (17)'!$C114</f>
        <v>0</v>
      </c>
      <c r="S106" s="232">
        <f>'Field Log (18)'!$C114</f>
        <v>0</v>
      </c>
      <c r="T106" s="232">
        <f>'Field Log (19)'!$C114</f>
        <v>0</v>
      </c>
      <c r="U106" s="232" t="str">
        <f>'Field Log (20)'!$C114</f>
        <v>SA11-036d</v>
      </c>
      <c r="V106" s="232">
        <f>'Field Log (21)'!$C114</f>
        <v>0</v>
      </c>
      <c r="W106" s="232">
        <f>'Field Log (22)'!$C114</f>
        <v>0</v>
      </c>
      <c r="X106" s="232">
        <f>'Field Log (23)'!$C114</f>
        <v>0</v>
      </c>
      <c r="Y106" s="232">
        <f>'Field Log (24)'!$C114</f>
        <v>0</v>
      </c>
      <c r="Z106" s="232">
        <f>'Field Log (25)'!$C114</f>
        <v>0</v>
      </c>
      <c r="AA106" s="232">
        <f>'Field Log (26)'!$C114</f>
        <v>0</v>
      </c>
      <c r="AB106" s="232">
        <f>'Field Log (27)'!$C114</f>
        <v>0</v>
      </c>
      <c r="AC106" s="232">
        <f>'Field Log (28)'!$C114</f>
        <v>0</v>
      </c>
      <c r="AD106" s="232">
        <f>'Field Log (29)'!$C114</f>
        <v>0</v>
      </c>
      <c r="AE106" s="232">
        <f>'Field Log (30)'!$C114</f>
        <v>0</v>
      </c>
      <c r="AF106" s="232">
        <f>'Field Log (31)'!$C114</f>
        <v>0</v>
      </c>
      <c r="AG106" s="232">
        <f>'Field Log (32)'!$C114</f>
        <v>0</v>
      </c>
      <c r="AH106" s="232">
        <f>'Field Log (33)'!$C114</f>
        <v>0</v>
      </c>
      <c r="AI106" s="232">
        <f>'Field Log (34)'!$C114</f>
        <v>0</v>
      </c>
      <c r="AJ106" s="232">
        <f>'Field Log (35)'!$C114</f>
        <v>0</v>
      </c>
    </row>
    <row r="107" spans="2:36">
      <c r="B107" s="232">
        <f>'Field Log (1)'!C115</f>
        <v>0</v>
      </c>
      <c r="C107" s="232">
        <f>'Field Log (2)'!C115</f>
        <v>0</v>
      </c>
      <c r="D107" s="232">
        <f>'Field Log (3)'!C115</f>
        <v>0</v>
      </c>
      <c r="E107" s="232">
        <f>'Field Log (4)'!C115</f>
        <v>0</v>
      </c>
      <c r="F107" s="232">
        <f>'Field Log (5)'!C115</f>
        <v>0</v>
      </c>
      <c r="G107" s="232">
        <f>'Field Log (6)'!C115</f>
        <v>0</v>
      </c>
      <c r="H107" s="232">
        <f>'Field Log (7)'!C115</f>
        <v>0</v>
      </c>
      <c r="I107" s="232">
        <f>'Field Log (8)'!C115</f>
        <v>0</v>
      </c>
      <c r="J107" s="232">
        <f>'Field Log (9)'!C115</f>
        <v>0</v>
      </c>
      <c r="K107" s="232" t="str">
        <f>'Field Log (10)'!C115</f>
        <v>OR1394</v>
      </c>
      <c r="L107" s="232">
        <f>'Field Log (11)'!C115</f>
        <v>0</v>
      </c>
      <c r="M107" s="232">
        <f>'Field Log (12)'!C115</f>
        <v>0</v>
      </c>
      <c r="N107" s="232">
        <f>'Field Log (13)'!C115</f>
        <v>0</v>
      </c>
      <c r="O107" s="232">
        <f>'Field Log (14)'!C115</f>
        <v>0</v>
      </c>
      <c r="P107" s="232">
        <f>'Field Log (15)'!$C115</f>
        <v>0</v>
      </c>
      <c r="Q107" s="232">
        <f>'Field Log (16)'!$C115</f>
        <v>0</v>
      </c>
      <c r="R107" s="232">
        <f>'Field Log (17)'!$C115</f>
        <v>0</v>
      </c>
      <c r="S107" s="232">
        <f>'Field Log (18)'!$C115</f>
        <v>0</v>
      </c>
      <c r="T107" s="232">
        <f>'Field Log (19)'!$C115</f>
        <v>0</v>
      </c>
      <c r="U107" s="232" t="str">
        <f>'Field Log (20)'!$C115</f>
        <v>SA11-043</v>
      </c>
      <c r="V107" s="232">
        <f>'Field Log (21)'!$C115</f>
        <v>0</v>
      </c>
      <c r="W107" s="232">
        <f>'Field Log (22)'!$C115</f>
        <v>0</v>
      </c>
      <c r="X107" s="232">
        <f>'Field Log (23)'!$C115</f>
        <v>0</v>
      </c>
      <c r="Y107" s="232">
        <f>'Field Log (24)'!$C115</f>
        <v>0</v>
      </c>
      <c r="Z107" s="232">
        <f>'Field Log (25)'!$C115</f>
        <v>0</v>
      </c>
      <c r="AA107" s="232">
        <f>'Field Log (26)'!$C115</f>
        <v>0</v>
      </c>
      <c r="AB107" s="232">
        <f>'Field Log (27)'!$C115</f>
        <v>0</v>
      </c>
      <c r="AC107" s="232">
        <f>'Field Log (28)'!$C115</f>
        <v>0</v>
      </c>
      <c r="AD107" s="232">
        <f>'Field Log (29)'!$C115</f>
        <v>0</v>
      </c>
      <c r="AE107" s="232">
        <f>'Field Log (30)'!$C115</f>
        <v>0</v>
      </c>
      <c r="AF107" s="232">
        <f>'Field Log (31)'!$C115</f>
        <v>0</v>
      </c>
      <c r="AG107" s="232">
        <f>'Field Log (32)'!$C115</f>
        <v>0</v>
      </c>
      <c r="AH107" s="232">
        <f>'Field Log (33)'!$C115</f>
        <v>0</v>
      </c>
      <c r="AI107" s="232">
        <f>'Field Log (34)'!$C115</f>
        <v>0</v>
      </c>
      <c r="AJ107" s="232">
        <f>'Field Log (35)'!$C115</f>
        <v>0</v>
      </c>
    </row>
    <row r="108" spans="2:36">
      <c r="B108" s="232">
        <f>'Field Log (1)'!C116</f>
        <v>0</v>
      </c>
      <c r="C108" s="232">
        <f>'Field Log (2)'!C116</f>
        <v>0</v>
      </c>
      <c r="D108" s="232">
        <f>'Field Log (3)'!C116</f>
        <v>0</v>
      </c>
      <c r="E108" s="232">
        <f>'Field Log (4)'!C116</f>
        <v>0</v>
      </c>
      <c r="F108" s="232">
        <f>'Field Log (5)'!C116</f>
        <v>0</v>
      </c>
      <c r="G108" s="232">
        <f>'Field Log (6)'!C116</f>
        <v>0</v>
      </c>
      <c r="H108" s="232">
        <f>'Field Log (7)'!C116</f>
        <v>0</v>
      </c>
      <c r="I108" s="232">
        <f>'Field Log (8)'!C116</f>
        <v>0</v>
      </c>
      <c r="J108" s="232">
        <f>'Field Log (9)'!C116</f>
        <v>0</v>
      </c>
      <c r="K108" s="232" t="str">
        <f>'Field Log (10)'!C116</f>
        <v>SA11-028</v>
      </c>
      <c r="L108" s="232">
        <f>'Field Log (11)'!C116</f>
        <v>0</v>
      </c>
      <c r="M108" s="232">
        <f>'Field Log (12)'!C116</f>
        <v>0</v>
      </c>
      <c r="N108" s="232">
        <f>'Field Log (13)'!C116</f>
        <v>0</v>
      </c>
      <c r="O108" s="232">
        <f>'Field Log (14)'!C116</f>
        <v>0</v>
      </c>
      <c r="P108" s="232">
        <f>'Field Log (15)'!$C116</f>
        <v>0</v>
      </c>
      <c r="Q108" s="232">
        <f>'Field Log (16)'!$C116</f>
        <v>0</v>
      </c>
      <c r="R108" s="232">
        <f>'Field Log (17)'!$C116</f>
        <v>0</v>
      </c>
      <c r="S108" s="232">
        <f>'Field Log (18)'!$C116</f>
        <v>0</v>
      </c>
      <c r="T108" s="232">
        <f>'Field Log (19)'!$C116</f>
        <v>0</v>
      </c>
      <c r="U108" s="232" t="str">
        <f>'Field Log (20)'!$C116</f>
        <v>SA11-044</v>
      </c>
      <c r="V108" s="232">
        <f>'Field Log (21)'!$C116</f>
        <v>0</v>
      </c>
      <c r="W108" s="232">
        <f>'Field Log (22)'!$C116</f>
        <v>0</v>
      </c>
      <c r="X108" s="232">
        <f>'Field Log (23)'!$C116</f>
        <v>0</v>
      </c>
      <c r="Y108" s="232">
        <f>'Field Log (24)'!$C116</f>
        <v>0</v>
      </c>
      <c r="Z108" s="232">
        <f>'Field Log (25)'!$C116</f>
        <v>0</v>
      </c>
      <c r="AA108" s="232">
        <f>'Field Log (26)'!$C116</f>
        <v>0</v>
      </c>
      <c r="AB108" s="232">
        <f>'Field Log (27)'!$C116</f>
        <v>0</v>
      </c>
      <c r="AC108" s="232">
        <f>'Field Log (28)'!$C116</f>
        <v>0</v>
      </c>
      <c r="AD108" s="232">
        <f>'Field Log (29)'!$C116</f>
        <v>0</v>
      </c>
      <c r="AE108" s="232">
        <f>'Field Log (30)'!$C116</f>
        <v>0</v>
      </c>
      <c r="AF108" s="232">
        <f>'Field Log (31)'!$C116</f>
        <v>0</v>
      </c>
      <c r="AG108" s="232">
        <f>'Field Log (32)'!$C116</f>
        <v>0</v>
      </c>
      <c r="AH108" s="232">
        <f>'Field Log (33)'!$C116</f>
        <v>0</v>
      </c>
      <c r="AI108" s="232">
        <f>'Field Log (34)'!$C116</f>
        <v>0</v>
      </c>
      <c r="AJ108" s="232">
        <f>'Field Log (35)'!$C116</f>
        <v>0</v>
      </c>
    </row>
    <row r="109" spans="2:36">
      <c r="B109" s="232">
        <f>'Field Log (1)'!C117</f>
        <v>0</v>
      </c>
      <c r="C109" s="232">
        <f>'Field Log (2)'!C117</f>
        <v>0</v>
      </c>
      <c r="D109" s="232">
        <f>'Field Log (3)'!C117</f>
        <v>0</v>
      </c>
      <c r="E109" s="232">
        <f>'Field Log (4)'!C117</f>
        <v>0</v>
      </c>
      <c r="F109" s="232">
        <f>'Field Log (5)'!C117</f>
        <v>0</v>
      </c>
      <c r="G109" s="232">
        <f>'Field Log (6)'!C117</f>
        <v>0</v>
      </c>
      <c r="H109" s="232">
        <f>'Field Log (7)'!C117</f>
        <v>0</v>
      </c>
      <c r="I109" s="232">
        <f>'Field Log (8)'!C117</f>
        <v>0</v>
      </c>
      <c r="J109" s="232">
        <f>'Field Log (9)'!C117</f>
        <v>0</v>
      </c>
      <c r="K109" s="232" t="str">
        <f>'Field Log (10)'!C117</f>
        <v>SA11-016</v>
      </c>
      <c r="L109" s="232">
        <f>'Field Log (11)'!C117</f>
        <v>0</v>
      </c>
      <c r="M109" s="232">
        <f>'Field Log (12)'!C117</f>
        <v>0</v>
      </c>
      <c r="N109" s="232">
        <f>'Field Log (13)'!C117</f>
        <v>0</v>
      </c>
      <c r="O109" s="232">
        <f>'Field Log (14)'!C117</f>
        <v>0</v>
      </c>
      <c r="P109" s="232">
        <f>'Field Log (15)'!$C117</f>
        <v>0</v>
      </c>
      <c r="Q109" s="232">
        <f>'Field Log (16)'!$C117</f>
        <v>0</v>
      </c>
      <c r="R109" s="232">
        <f>'Field Log (17)'!$C117</f>
        <v>0</v>
      </c>
      <c r="S109" s="232">
        <f>'Field Log (18)'!$C117</f>
        <v>0</v>
      </c>
      <c r="T109" s="232">
        <f>'Field Log (19)'!$C117</f>
        <v>0</v>
      </c>
      <c r="U109" s="232" t="str">
        <f>'Field Log (20)'!$C117</f>
        <v>SA11-045</v>
      </c>
      <c r="V109" s="232">
        <f>'Field Log (21)'!$C117</f>
        <v>0</v>
      </c>
      <c r="W109" s="232">
        <f>'Field Log (22)'!$C117</f>
        <v>0</v>
      </c>
      <c r="X109" s="232">
        <f>'Field Log (23)'!$C117</f>
        <v>0</v>
      </c>
      <c r="Y109" s="232">
        <f>'Field Log (24)'!$C117</f>
        <v>0</v>
      </c>
      <c r="Z109" s="232">
        <f>'Field Log (25)'!$C117</f>
        <v>0</v>
      </c>
      <c r="AA109" s="232">
        <f>'Field Log (26)'!$C117</f>
        <v>0</v>
      </c>
      <c r="AB109" s="232">
        <f>'Field Log (27)'!$C117</f>
        <v>0</v>
      </c>
      <c r="AC109" s="232">
        <f>'Field Log (28)'!$C117</f>
        <v>0</v>
      </c>
      <c r="AD109" s="232">
        <f>'Field Log (29)'!$C117</f>
        <v>0</v>
      </c>
      <c r="AE109" s="232">
        <f>'Field Log (30)'!$C117</f>
        <v>0</v>
      </c>
      <c r="AF109" s="232">
        <f>'Field Log (31)'!$C117</f>
        <v>0</v>
      </c>
      <c r="AG109" s="232">
        <f>'Field Log (32)'!$C117</f>
        <v>0</v>
      </c>
      <c r="AH109" s="232">
        <f>'Field Log (33)'!$C117</f>
        <v>0</v>
      </c>
      <c r="AI109" s="232">
        <f>'Field Log (34)'!$C117</f>
        <v>0</v>
      </c>
      <c r="AJ109" s="232">
        <f>'Field Log (35)'!$C117</f>
        <v>0</v>
      </c>
    </row>
    <row r="110" spans="2:36">
      <c r="B110" s="232">
        <f>'Field Log (1)'!C118</f>
        <v>0</v>
      </c>
      <c r="C110" s="232">
        <f>'Field Log (2)'!C118</f>
        <v>0</v>
      </c>
      <c r="D110" s="232">
        <f>'Field Log (3)'!C118</f>
        <v>0</v>
      </c>
      <c r="E110" s="232">
        <f>'Field Log (4)'!C118</f>
        <v>0</v>
      </c>
      <c r="F110" s="232">
        <f>'Field Log (5)'!C118</f>
        <v>0</v>
      </c>
      <c r="G110" s="232">
        <f>'Field Log (6)'!C118</f>
        <v>0</v>
      </c>
      <c r="H110" s="232">
        <f>'Field Log (7)'!C118</f>
        <v>0</v>
      </c>
      <c r="I110" s="232">
        <f>'Field Log (8)'!C118</f>
        <v>0</v>
      </c>
      <c r="J110" s="232">
        <f>'Field Log (9)'!C118</f>
        <v>0</v>
      </c>
      <c r="K110" s="232" t="str">
        <f>'Field Log (10)'!C118</f>
        <v>PFS1</v>
      </c>
      <c r="L110" s="232">
        <f>'Field Log (11)'!C118</f>
        <v>0</v>
      </c>
      <c r="M110" s="232">
        <f>'Field Log (12)'!C118</f>
        <v>0</v>
      </c>
      <c r="N110" s="232">
        <f>'Field Log (13)'!C118</f>
        <v>0</v>
      </c>
      <c r="O110" s="232">
        <f>'Field Log (14)'!C118</f>
        <v>0</v>
      </c>
      <c r="P110" s="232">
        <f>'Field Log (15)'!$C118</f>
        <v>0</v>
      </c>
      <c r="Q110" s="232">
        <f>'Field Log (16)'!$C118</f>
        <v>0</v>
      </c>
      <c r="R110" s="232">
        <f>'Field Log (17)'!$C118</f>
        <v>0</v>
      </c>
      <c r="S110" s="232">
        <f>'Field Log (18)'!$C118</f>
        <v>0</v>
      </c>
      <c r="T110" s="232">
        <f>'Field Log (19)'!$C118</f>
        <v>0</v>
      </c>
      <c r="U110" s="232" t="str">
        <f>'Field Log (20)'!$C118</f>
        <v>SA11-046</v>
      </c>
      <c r="V110" s="232">
        <f>'Field Log (21)'!$C118</f>
        <v>0</v>
      </c>
      <c r="W110" s="232">
        <f>'Field Log (22)'!$C118</f>
        <v>0</v>
      </c>
      <c r="X110" s="232">
        <f>'Field Log (23)'!$C118</f>
        <v>0</v>
      </c>
      <c r="Y110" s="232">
        <f>'Field Log (24)'!$C118</f>
        <v>0</v>
      </c>
      <c r="Z110" s="232">
        <f>'Field Log (25)'!$C118</f>
        <v>0</v>
      </c>
      <c r="AA110" s="232">
        <f>'Field Log (26)'!$C118</f>
        <v>0</v>
      </c>
      <c r="AB110" s="232">
        <f>'Field Log (27)'!$C118</f>
        <v>0</v>
      </c>
      <c r="AC110" s="232">
        <f>'Field Log (28)'!$C118</f>
        <v>0</v>
      </c>
      <c r="AD110" s="232">
        <f>'Field Log (29)'!$C118</f>
        <v>0</v>
      </c>
      <c r="AE110" s="232">
        <f>'Field Log (30)'!$C118</f>
        <v>0</v>
      </c>
      <c r="AF110" s="232">
        <f>'Field Log (31)'!$C118</f>
        <v>0</v>
      </c>
      <c r="AG110" s="232">
        <f>'Field Log (32)'!$C118</f>
        <v>0</v>
      </c>
      <c r="AH110" s="232">
        <f>'Field Log (33)'!$C118</f>
        <v>0</v>
      </c>
      <c r="AI110" s="232">
        <f>'Field Log (34)'!$C118</f>
        <v>0</v>
      </c>
      <c r="AJ110" s="232">
        <f>'Field Log (35)'!$C118</f>
        <v>0</v>
      </c>
    </row>
    <row r="111" spans="2:36">
      <c r="B111" s="232">
        <f>'Field Log (1)'!C119</f>
        <v>0</v>
      </c>
      <c r="C111" s="232">
        <f>'Field Log (2)'!C119</f>
        <v>0</v>
      </c>
      <c r="D111" s="232">
        <f>'Field Log (3)'!C119</f>
        <v>0</v>
      </c>
      <c r="E111" s="232">
        <f>'Field Log (4)'!C119</f>
        <v>0</v>
      </c>
      <c r="F111" s="232">
        <f>'Field Log (5)'!C119</f>
        <v>0</v>
      </c>
      <c r="G111" s="232">
        <f>'Field Log (6)'!C119</f>
        <v>0</v>
      </c>
      <c r="H111" s="232">
        <f>'Field Log (7)'!C119</f>
        <v>0</v>
      </c>
      <c r="I111" s="232">
        <f>'Field Log (8)'!C119</f>
        <v>0</v>
      </c>
      <c r="J111" s="232">
        <f>'Field Log (9)'!C119</f>
        <v>0</v>
      </c>
      <c r="K111" s="232" t="str">
        <f>'Field Log (10)'!C119</f>
        <v>SA12-004</v>
      </c>
      <c r="L111" s="232">
        <f>'Field Log (11)'!C119</f>
        <v>0</v>
      </c>
      <c r="M111" s="232">
        <f>'Field Log (12)'!C119</f>
        <v>0</v>
      </c>
      <c r="N111" s="232">
        <f>'Field Log (13)'!C119</f>
        <v>0</v>
      </c>
      <c r="O111" s="232">
        <f>'Field Log (14)'!C119</f>
        <v>0</v>
      </c>
      <c r="P111" s="232">
        <f>'Field Log (15)'!$C119</f>
        <v>0</v>
      </c>
      <c r="Q111" s="232">
        <f>'Field Log (16)'!$C119</f>
        <v>0</v>
      </c>
      <c r="R111" s="232">
        <f>'Field Log (17)'!$C119</f>
        <v>0</v>
      </c>
      <c r="S111" s="232">
        <f>'Field Log (18)'!$C119</f>
        <v>0</v>
      </c>
      <c r="T111" s="232">
        <f>'Field Log (19)'!$C119</f>
        <v>0</v>
      </c>
      <c r="U111" s="232" t="str">
        <f>'Field Log (20)'!$C119</f>
        <v>SA11-047</v>
      </c>
      <c r="V111" s="232">
        <f>'Field Log (21)'!$C119</f>
        <v>0</v>
      </c>
      <c r="W111" s="232">
        <f>'Field Log (22)'!$C119</f>
        <v>0</v>
      </c>
      <c r="X111" s="232">
        <f>'Field Log (23)'!$C119</f>
        <v>0</v>
      </c>
      <c r="Y111" s="232">
        <f>'Field Log (24)'!$C119</f>
        <v>0</v>
      </c>
      <c r="Z111" s="232">
        <f>'Field Log (25)'!$C119</f>
        <v>0</v>
      </c>
      <c r="AA111" s="232">
        <f>'Field Log (26)'!$C119</f>
        <v>0</v>
      </c>
      <c r="AB111" s="232">
        <f>'Field Log (27)'!$C119</f>
        <v>0</v>
      </c>
      <c r="AC111" s="232">
        <f>'Field Log (28)'!$C119</f>
        <v>0</v>
      </c>
      <c r="AD111" s="232">
        <f>'Field Log (29)'!$C119</f>
        <v>0</v>
      </c>
      <c r="AE111" s="232">
        <f>'Field Log (30)'!$C119</f>
        <v>0</v>
      </c>
      <c r="AF111" s="232">
        <f>'Field Log (31)'!$C119</f>
        <v>0</v>
      </c>
      <c r="AG111" s="232">
        <f>'Field Log (32)'!$C119</f>
        <v>0</v>
      </c>
      <c r="AH111" s="232">
        <f>'Field Log (33)'!$C119</f>
        <v>0</v>
      </c>
      <c r="AI111" s="232">
        <f>'Field Log (34)'!$C119</f>
        <v>0</v>
      </c>
      <c r="AJ111" s="232">
        <f>'Field Log (35)'!$C119</f>
        <v>0</v>
      </c>
    </row>
    <row r="112" spans="2:36">
      <c r="B112" s="232">
        <f>'Field Log (1)'!C120</f>
        <v>0</v>
      </c>
      <c r="C112" s="232">
        <f>'Field Log (2)'!C120</f>
        <v>0</v>
      </c>
      <c r="D112" s="232">
        <f>'Field Log (3)'!C120</f>
        <v>0</v>
      </c>
      <c r="E112" s="232">
        <f>'Field Log (4)'!C120</f>
        <v>0</v>
      </c>
      <c r="F112" s="232">
        <f>'Field Log (5)'!C120</f>
        <v>0</v>
      </c>
      <c r="G112" s="232">
        <f>'Field Log (6)'!C120</f>
        <v>0</v>
      </c>
      <c r="H112" s="232">
        <f>'Field Log (7)'!C120</f>
        <v>0</v>
      </c>
      <c r="I112" s="232">
        <f>'Field Log (8)'!C120</f>
        <v>0</v>
      </c>
      <c r="J112" s="232">
        <f>'Field Log (9)'!C120</f>
        <v>0</v>
      </c>
      <c r="K112" s="232" t="str">
        <f>'Field Log (10)'!C120</f>
        <v>419T</v>
      </c>
      <c r="L112" s="232">
        <f>'Field Log (11)'!C120</f>
        <v>0</v>
      </c>
      <c r="M112" s="232">
        <f>'Field Log (12)'!C120</f>
        <v>0</v>
      </c>
      <c r="N112" s="232">
        <f>'Field Log (13)'!C120</f>
        <v>0</v>
      </c>
      <c r="O112" s="232">
        <f>'Field Log (14)'!C120</f>
        <v>0</v>
      </c>
      <c r="P112" s="232">
        <f>'Field Log (15)'!$C120</f>
        <v>0</v>
      </c>
      <c r="Q112" s="232">
        <f>'Field Log (16)'!$C120</f>
        <v>0</v>
      </c>
      <c r="R112" s="232">
        <f>'Field Log (17)'!$C120</f>
        <v>0</v>
      </c>
      <c r="S112" s="232">
        <f>'Field Log (18)'!$C120</f>
        <v>0</v>
      </c>
      <c r="T112" s="232">
        <f>'Field Log (19)'!$C120</f>
        <v>0</v>
      </c>
      <c r="U112" s="232" t="str">
        <f>'Field Log (20)'!$C120</f>
        <v>SKSLP01</v>
      </c>
      <c r="V112" s="232">
        <f>'Field Log (21)'!$C120</f>
        <v>0</v>
      </c>
      <c r="W112" s="232">
        <f>'Field Log (22)'!$C120</f>
        <v>0</v>
      </c>
      <c r="X112" s="232">
        <f>'Field Log (23)'!$C120</f>
        <v>0</v>
      </c>
      <c r="Y112" s="232">
        <f>'Field Log (24)'!$C120</f>
        <v>0</v>
      </c>
      <c r="Z112" s="232">
        <f>'Field Log (25)'!$C120</f>
        <v>0</v>
      </c>
      <c r="AA112" s="232">
        <f>'Field Log (26)'!$C120</f>
        <v>0</v>
      </c>
      <c r="AB112" s="232">
        <f>'Field Log (27)'!$C120</f>
        <v>0</v>
      </c>
      <c r="AC112" s="232">
        <f>'Field Log (28)'!$C120</f>
        <v>0</v>
      </c>
      <c r="AD112" s="232">
        <f>'Field Log (29)'!$C120</f>
        <v>0</v>
      </c>
      <c r="AE112" s="232">
        <f>'Field Log (30)'!$C120</f>
        <v>0</v>
      </c>
      <c r="AF112" s="232">
        <f>'Field Log (31)'!$C120</f>
        <v>0</v>
      </c>
      <c r="AG112" s="232">
        <f>'Field Log (32)'!$C120</f>
        <v>0</v>
      </c>
      <c r="AH112" s="232">
        <f>'Field Log (33)'!$C120</f>
        <v>0</v>
      </c>
      <c r="AI112" s="232">
        <f>'Field Log (34)'!$C120</f>
        <v>0</v>
      </c>
      <c r="AJ112" s="232">
        <f>'Field Log (35)'!$C120</f>
        <v>0</v>
      </c>
    </row>
    <row r="113" spans="2:36">
      <c r="B113" s="232">
        <f>'Field Log (1)'!C121</f>
        <v>0</v>
      </c>
      <c r="C113" s="232">
        <f>'Field Log (2)'!C121</f>
        <v>0</v>
      </c>
      <c r="D113" s="232">
        <f>'Field Log (3)'!C121</f>
        <v>0</v>
      </c>
      <c r="E113" s="232">
        <f>'Field Log (4)'!C121</f>
        <v>0</v>
      </c>
      <c r="F113" s="232">
        <f>'Field Log (5)'!C121</f>
        <v>0</v>
      </c>
      <c r="G113" s="232">
        <f>'Field Log (6)'!C121</f>
        <v>0</v>
      </c>
      <c r="H113" s="232">
        <f>'Field Log (7)'!C121</f>
        <v>0</v>
      </c>
      <c r="I113" s="232">
        <f>'Field Log (8)'!C121</f>
        <v>0</v>
      </c>
      <c r="J113" s="232">
        <f>'Field Log (9)'!C121</f>
        <v>0</v>
      </c>
      <c r="K113" s="232" t="str">
        <f>'Field Log (10)'!C121</f>
        <v>CT1</v>
      </c>
      <c r="L113" s="232">
        <f>'Field Log (11)'!C121</f>
        <v>0</v>
      </c>
      <c r="M113" s="232">
        <f>'Field Log (12)'!C121</f>
        <v>0</v>
      </c>
      <c r="N113" s="232">
        <f>'Field Log (13)'!C121</f>
        <v>0</v>
      </c>
      <c r="O113" s="232">
        <f>'Field Log (14)'!C121</f>
        <v>0</v>
      </c>
      <c r="P113" s="232">
        <f>'Field Log (15)'!$C121</f>
        <v>0</v>
      </c>
      <c r="Q113" s="232">
        <f>'Field Log (16)'!$C121</f>
        <v>0</v>
      </c>
      <c r="R113" s="232">
        <f>'Field Log (17)'!$C121</f>
        <v>0</v>
      </c>
      <c r="S113" s="232">
        <f>'Field Log (18)'!$C121</f>
        <v>0</v>
      </c>
      <c r="T113" s="232">
        <f>'Field Log (19)'!$C121</f>
        <v>0</v>
      </c>
      <c r="U113" s="232" t="str">
        <f>'Field Log (20)'!$C121</f>
        <v>SKSLP02</v>
      </c>
      <c r="V113" s="232">
        <f>'Field Log (21)'!$C121</f>
        <v>0</v>
      </c>
      <c r="W113" s="232">
        <f>'Field Log (22)'!$C121</f>
        <v>0</v>
      </c>
      <c r="X113" s="232">
        <f>'Field Log (23)'!$C121</f>
        <v>0</v>
      </c>
      <c r="Y113" s="232">
        <f>'Field Log (24)'!$C121</f>
        <v>0</v>
      </c>
      <c r="Z113" s="232">
        <f>'Field Log (25)'!$C121</f>
        <v>0</v>
      </c>
      <c r="AA113" s="232">
        <f>'Field Log (26)'!$C121</f>
        <v>0</v>
      </c>
      <c r="AB113" s="232">
        <f>'Field Log (27)'!$C121</f>
        <v>0</v>
      </c>
      <c r="AC113" s="232">
        <f>'Field Log (28)'!$C121</f>
        <v>0</v>
      </c>
      <c r="AD113" s="232">
        <f>'Field Log (29)'!$C121</f>
        <v>0</v>
      </c>
      <c r="AE113" s="232">
        <f>'Field Log (30)'!$C121</f>
        <v>0</v>
      </c>
      <c r="AF113" s="232">
        <f>'Field Log (31)'!$C121</f>
        <v>0</v>
      </c>
      <c r="AG113" s="232">
        <f>'Field Log (32)'!$C121</f>
        <v>0</v>
      </c>
      <c r="AH113" s="232">
        <f>'Field Log (33)'!$C121</f>
        <v>0</v>
      </c>
      <c r="AI113" s="232">
        <f>'Field Log (34)'!$C121</f>
        <v>0</v>
      </c>
      <c r="AJ113" s="232">
        <f>'Field Log (35)'!$C121</f>
        <v>0</v>
      </c>
    </row>
    <row r="114" spans="2:36">
      <c r="B114" s="232">
        <f>'Field Log (1)'!C122</f>
        <v>0</v>
      </c>
      <c r="C114" s="232">
        <f>'Field Log (2)'!C122</f>
        <v>0</v>
      </c>
      <c r="D114" s="232">
        <f>'Field Log (3)'!C122</f>
        <v>0</v>
      </c>
      <c r="E114" s="232">
        <f>'Field Log (4)'!C122</f>
        <v>0</v>
      </c>
      <c r="F114" s="232">
        <f>'Field Log (5)'!C122</f>
        <v>0</v>
      </c>
      <c r="G114" s="232">
        <f>'Field Log (6)'!C122</f>
        <v>0</v>
      </c>
      <c r="H114" s="232">
        <f>'Field Log (7)'!C122</f>
        <v>0</v>
      </c>
      <c r="I114" s="232">
        <f>'Field Log (8)'!C122</f>
        <v>0</v>
      </c>
      <c r="J114" s="232">
        <f>'Field Log (9)'!C122</f>
        <v>0</v>
      </c>
      <c r="K114" s="232" t="str">
        <f>'Field Log (10)'!C122</f>
        <v>CT11</v>
      </c>
      <c r="L114" s="232">
        <f>'Field Log (11)'!C122</f>
        <v>0</v>
      </c>
      <c r="M114" s="232">
        <f>'Field Log (12)'!C122</f>
        <v>0</v>
      </c>
      <c r="N114" s="232">
        <f>'Field Log (13)'!C122</f>
        <v>0</v>
      </c>
      <c r="O114" s="232">
        <f>'Field Log (14)'!C122</f>
        <v>0</v>
      </c>
      <c r="P114" s="232">
        <f>'Field Log (15)'!$C122</f>
        <v>0</v>
      </c>
      <c r="Q114" s="232">
        <f>'Field Log (16)'!$C122</f>
        <v>0</v>
      </c>
      <c r="R114" s="232">
        <f>'Field Log (17)'!$C122</f>
        <v>0</v>
      </c>
      <c r="S114" s="232">
        <f>'Field Log (18)'!$C122</f>
        <v>0</v>
      </c>
      <c r="T114" s="232">
        <f>'Field Log (19)'!$C122</f>
        <v>0</v>
      </c>
      <c r="U114" s="232" t="str">
        <f>'Field Log (20)'!$C122</f>
        <v>SKSLP03</v>
      </c>
      <c r="V114" s="232">
        <f>'Field Log (21)'!$C122</f>
        <v>0</v>
      </c>
      <c r="W114" s="232">
        <f>'Field Log (22)'!$C122</f>
        <v>0</v>
      </c>
      <c r="X114" s="232">
        <f>'Field Log (23)'!$C122</f>
        <v>0</v>
      </c>
      <c r="Y114" s="232">
        <f>'Field Log (24)'!$C122</f>
        <v>0</v>
      </c>
      <c r="Z114" s="232">
        <f>'Field Log (25)'!$C122</f>
        <v>0</v>
      </c>
      <c r="AA114" s="232">
        <f>'Field Log (26)'!$C122</f>
        <v>0</v>
      </c>
      <c r="AB114" s="232">
        <f>'Field Log (27)'!$C122</f>
        <v>0</v>
      </c>
      <c r="AC114" s="232">
        <f>'Field Log (28)'!$C122</f>
        <v>0</v>
      </c>
      <c r="AD114" s="232">
        <f>'Field Log (29)'!$C122</f>
        <v>0</v>
      </c>
      <c r="AE114" s="232">
        <f>'Field Log (30)'!$C122</f>
        <v>0</v>
      </c>
      <c r="AF114" s="232">
        <f>'Field Log (31)'!$C122</f>
        <v>0</v>
      </c>
      <c r="AG114" s="232">
        <f>'Field Log (32)'!$C122</f>
        <v>0</v>
      </c>
      <c r="AH114" s="232">
        <f>'Field Log (33)'!$C122</f>
        <v>0</v>
      </c>
      <c r="AI114" s="232">
        <f>'Field Log (34)'!$C122</f>
        <v>0</v>
      </c>
      <c r="AJ114" s="232">
        <f>'Field Log (35)'!$C122</f>
        <v>0</v>
      </c>
    </row>
    <row r="115" spans="2:36">
      <c r="B115" s="232">
        <f>'Field Log (1)'!C123</f>
        <v>0</v>
      </c>
      <c r="C115" s="232">
        <f>'Field Log (2)'!C123</f>
        <v>0</v>
      </c>
      <c r="D115" s="232">
        <f>'Field Log (3)'!C123</f>
        <v>0</v>
      </c>
      <c r="E115" s="232">
        <f>'Field Log (4)'!C123</f>
        <v>0</v>
      </c>
      <c r="F115" s="232">
        <f>'Field Log (5)'!C123</f>
        <v>0</v>
      </c>
      <c r="G115" s="232">
        <f>'Field Log (6)'!C123</f>
        <v>0</v>
      </c>
      <c r="H115" s="232">
        <f>'Field Log (7)'!C123</f>
        <v>0</v>
      </c>
      <c r="I115" s="232">
        <f>'Field Log (8)'!C123</f>
        <v>0</v>
      </c>
      <c r="J115" s="232">
        <f>'Field Log (9)'!C123</f>
        <v>0</v>
      </c>
      <c r="K115" s="232" t="str">
        <f>'Field Log (10)'!C123</f>
        <v>CT12</v>
      </c>
      <c r="L115" s="232">
        <f>'Field Log (11)'!C123</f>
        <v>0</v>
      </c>
      <c r="M115" s="232">
        <f>'Field Log (12)'!C123</f>
        <v>0</v>
      </c>
      <c r="N115" s="232">
        <f>'Field Log (13)'!C123</f>
        <v>0</v>
      </c>
      <c r="O115" s="232">
        <f>'Field Log (14)'!C123</f>
        <v>0</v>
      </c>
      <c r="P115" s="232">
        <f>'Field Log (15)'!$C123</f>
        <v>0</v>
      </c>
      <c r="Q115" s="232">
        <f>'Field Log (16)'!$C123</f>
        <v>0</v>
      </c>
      <c r="R115" s="232">
        <f>'Field Log (17)'!$C123</f>
        <v>0</v>
      </c>
      <c r="S115" s="232">
        <f>'Field Log (18)'!$C123</f>
        <v>0</v>
      </c>
      <c r="T115" s="232">
        <f>'Field Log (19)'!$C123</f>
        <v>0</v>
      </c>
      <c r="U115" s="232" t="str">
        <f>'Field Log (20)'!$C123</f>
        <v>SKSLP04</v>
      </c>
      <c r="V115" s="232">
        <f>'Field Log (21)'!$C123</f>
        <v>0</v>
      </c>
      <c r="W115" s="232">
        <f>'Field Log (22)'!$C123</f>
        <v>0</v>
      </c>
      <c r="X115" s="232">
        <f>'Field Log (23)'!$C123</f>
        <v>0</v>
      </c>
      <c r="Y115" s="232">
        <f>'Field Log (24)'!$C123</f>
        <v>0</v>
      </c>
      <c r="Z115" s="232">
        <f>'Field Log (25)'!$C123</f>
        <v>0</v>
      </c>
      <c r="AA115" s="232">
        <f>'Field Log (26)'!$C123</f>
        <v>0</v>
      </c>
      <c r="AB115" s="232">
        <f>'Field Log (27)'!$C123</f>
        <v>0</v>
      </c>
      <c r="AC115" s="232">
        <f>'Field Log (28)'!$C123</f>
        <v>0</v>
      </c>
      <c r="AD115" s="232">
        <f>'Field Log (29)'!$C123</f>
        <v>0</v>
      </c>
      <c r="AE115" s="232">
        <f>'Field Log (30)'!$C123</f>
        <v>0</v>
      </c>
      <c r="AF115" s="232">
        <f>'Field Log (31)'!$C123</f>
        <v>0</v>
      </c>
      <c r="AG115" s="232">
        <f>'Field Log (32)'!$C123</f>
        <v>0</v>
      </c>
      <c r="AH115" s="232">
        <f>'Field Log (33)'!$C123</f>
        <v>0</v>
      </c>
      <c r="AI115" s="232">
        <f>'Field Log (34)'!$C123</f>
        <v>0</v>
      </c>
      <c r="AJ115" s="232">
        <f>'Field Log (35)'!$C123</f>
        <v>0</v>
      </c>
    </row>
    <row r="116" spans="2:36">
      <c r="B116" s="232">
        <f>'Field Log (1)'!C124</f>
        <v>0</v>
      </c>
      <c r="C116" s="232">
        <f>'Field Log (2)'!C124</f>
        <v>0</v>
      </c>
      <c r="D116" s="232">
        <f>'Field Log (3)'!C124</f>
        <v>0</v>
      </c>
      <c r="E116" s="232">
        <f>'Field Log (4)'!C124</f>
        <v>0</v>
      </c>
      <c r="F116" s="232">
        <f>'Field Log (5)'!C124</f>
        <v>0</v>
      </c>
      <c r="G116" s="232">
        <f>'Field Log (6)'!C124</f>
        <v>0</v>
      </c>
      <c r="H116" s="232">
        <f>'Field Log (7)'!C124</f>
        <v>0</v>
      </c>
      <c r="I116" s="232">
        <f>'Field Log (8)'!C124</f>
        <v>0</v>
      </c>
      <c r="J116" s="232">
        <f>'Field Log (9)'!C124</f>
        <v>0</v>
      </c>
      <c r="K116" s="232" t="str">
        <f>'Field Log (10)'!C124</f>
        <v>CT13</v>
      </c>
      <c r="L116" s="232">
        <f>'Field Log (11)'!C124</f>
        <v>0</v>
      </c>
      <c r="M116" s="232">
        <f>'Field Log (12)'!C124</f>
        <v>0</v>
      </c>
      <c r="N116" s="232">
        <f>'Field Log (13)'!C124</f>
        <v>0</v>
      </c>
      <c r="O116" s="232">
        <f>'Field Log (14)'!C124</f>
        <v>0</v>
      </c>
      <c r="P116" s="232">
        <f>'Field Log (15)'!$C124</f>
        <v>0</v>
      </c>
      <c r="Q116" s="232">
        <f>'Field Log (16)'!$C124</f>
        <v>0</v>
      </c>
      <c r="R116" s="232">
        <f>'Field Log (17)'!$C124</f>
        <v>0</v>
      </c>
      <c r="S116" s="232">
        <f>'Field Log (18)'!$C124</f>
        <v>0</v>
      </c>
      <c r="T116" s="232">
        <f>'Field Log (19)'!$C124</f>
        <v>0</v>
      </c>
      <c r="U116" s="232" t="str">
        <f>'Field Log (20)'!$C124</f>
        <v>SKSLP05</v>
      </c>
      <c r="V116" s="232">
        <f>'Field Log (21)'!$C124</f>
        <v>0</v>
      </c>
      <c r="W116" s="232">
        <f>'Field Log (22)'!$C124</f>
        <v>0</v>
      </c>
      <c r="X116" s="232">
        <f>'Field Log (23)'!$C124</f>
        <v>0</v>
      </c>
      <c r="Y116" s="232">
        <f>'Field Log (24)'!$C124</f>
        <v>0</v>
      </c>
      <c r="Z116" s="232">
        <f>'Field Log (25)'!$C124</f>
        <v>0</v>
      </c>
      <c r="AA116" s="232">
        <f>'Field Log (26)'!$C124</f>
        <v>0</v>
      </c>
      <c r="AB116" s="232">
        <f>'Field Log (27)'!$C124</f>
        <v>0</v>
      </c>
      <c r="AC116" s="232">
        <f>'Field Log (28)'!$C124</f>
        <v>0</v>
      </c>
      <c r="AD116" s="232">
        <f>'Field Log (29)'!$C124</f>
        <v>0</v>
      </c>
      <c r="AE116" s="232">
        <f>'Field Log (30)'!$C124</f>
        <v>0</v>
      </c>
      <c r="AF116" s="232">
        <f>'Field Log (31)'!$C124</f>
        <v>0</v>
      </c>
      <c r="AG116" s="232">
        <f>'Field Log (32)'!$C124</f>
        <v>0</v>
      </c>
      <c r="AH116" s="232">
        <f>'Field Log (33)'!$C124</f>
        <v>0</v>
      </c>
      <c r="AI116" s="232">
        <f>'Field Log (34)'!$C124</f>
        <v>0</v>
      </c>
      <c r="AJ116" s="232">
        <f>'Field Log (35)'!$C124</f>
        <v>0</v>
      </c>
    </row>
    <row r="117" spans="2:36">
      <c r="B117" s="232">
        <f>'Field Log (1)'!C125</f>
        <v>0</v>
      </c>
      <c r="C117" s="232">
        <f>'Field Log (2)'!C125</f>
        <v>0</v>
      </c>
      <c r="D117" s="232">
        <f>'Field Log (3)'!C125</f>
        <v>0</v>
      </c>
      <c r="E117" s="232">
        <f>'Field Log (4)'!C125</f>
        <v>0</v>
      </c>
      <c r="F117" s="232">
        <f>'Field Log (5)'!C125</f>
        <v>0</v>
      </c>
      <c r="G117" s="232">
        <f>'Field Log (6)'!C125</f>
        <v>0</v>
      </c>
      <c r="H117" s="232">
        <f>'Field Log (7)'!C125</f>
        <v>0</v>
      </c>
      <c r="I117" s="232">
        <f>'Field Log (8)'!C125</f>
        <v>0</v>
      </c>
      <c r="J117" s="232">
        <f>'Field Log (9)'!C125</f>
        <v>0</v>
      </c>
      <c r="K117" s="232" t="str">
        <f>'Field Log (10)'!C125</f>
        <v>CT14</v>
      </c>
      <c r="L117" s="232">
        <f>'Field Log (11)'!C125</f>
        <v>0</v>
      </c>
      <c r="M117" s="232">
        <f>'Field Log (12)'!C125</f>
        <v>0</v>
      </c>
      <c r="N117" s="232">
        <f>'Field Log (13)'!C125</f>
        <v>0</v>
      </c>
      <c r="O117" s="232">
        <f>'Field Log (14)'!C125</f>
        <v>0</v>
      </c>
      <c r="P117" s="232">
        <f>'Field Log (15)'!$C125</f>
        <v>0</v>
      </c>
      <c r="Q117" s="232">
        <f>'Field Log (16)'!$C125</f>
        <v>0</v>
      </c>
      <c r="R117" s="232">
        <f>'Field Log (17)'!$C125</f>
        <v>0</v>
      </c>
      <c r="S117" s="232">
        <f>'Field Log (18)'!$C125</f>
        <v>0</v>
      </c>
      <c r="T117" s="232">
        <f>'Field Log (19)'!$C125</f>
        <v>0</v>
      </c>
      <c r="U117" s="232" t="str">
        <f>'Field Log (20)'!$C125</f>
        <v>SKSLP06</v>
      </c>
      <c r="V117" s="232">
        <f>'Field Log (21)'!$C125</f>
        <v>0</v>
      </c>
      <c r="W117" s="232">
        <f>'Field Log (22)'!$C125</f>
        <v>0</v>
      </c>
      <c r="X117" s="232">
        <f>'Field Log (23)'!$C125</f>
        <v>0</v>
      </c>
      <c r="Y117" s="232">
        <f>'Field Log (24)'!$C125</f>
        <v>0</v>
      </c>
      <c r="Z117" s="232">
        <f>'Field Log (25)'!$C125</f>
        <v>0</v>
      </c>
      <c r="AA117" s="232">
        <f>'Field Log (26)'!$C125</f>
        <v>0</v>
      </c>
      <c r="AB117" s="232">
        <f>'Field Log (27)'!$C125</f>
        <v>0</v>
      </c>
      <c r="AC117" s="232">
        <f>'Field Log (28)'!$C125</f>
        <v>0</v>
      </c>
      <c r="AD117" s="232">
        <f>'Field Log (29)'!$C125</f>
        <v>0</v>
      </c>
      <c r="AE117" s="232">
        <f>'Field Log (30)'!$C125</f>
        <v>0</v>
      </c>
      <c r="AF117" s="232">
        <f>'Field Log (31)'!$C125</f>
        <v>0</v>
      </c>
      <c r="AG117" s="232">
        <f>'Field Log (32)'!$C125</f>
        <v>0</v>
      </c>
      <c r="AH117" s="232">
        <f>'Field Log (33)'!$C125</f>
        <v>0</v>
      </c>
      <c r="AI117" s="232">
        <f>'Field Log (34)'!$C125</f>
        <v>0</v>
      </c>
      <c r="AJ117" s="232">
        <f>'Field Log (35)'!$C125</f>
        <v>0</v>
      </c>
    </row>
    <row r="118" spans="2:36">
      <c r="B118" s="232">
        <f>'Field Log (1)'!C126</f>
        <v>0</v>
      </c>
      <c r="C118" s="232">
        <f>'Field Log (2)'!C126</f>
        <v>0</v>
      </c>
      <c r="D118" s="232">
        <f>'Field Log (3)'!C126</f>
        <v>0</v>
      </c>
      <c r="E118" s="232">
        <f>'Field Log (4)'!C126</f>
        <v>0</v>
      </c>
      <c r="F118" s="232">
        <f>'Field Log (5)'!C126</f>
        <v>0</v>
      </c>
      <c r="G118" s="232">
        <f>'Field Log (6)'!C126</f>
        <v>0</v>
      </c>
      <c r="H118" s="232">
        <f>'Field Log (7)'!C126</f>
        <v>0</v>
      </c>
      <c r="I118" s="232">
        <f>'Field Log (8)'!C126</f>
        <v>0</v>
      </c>
      <c r="J118" s="232">
        <f>'Field Log (9)'!C126</f>
        <v>0</v>
      </c>
      <c r="K118" s="232" t="str">
        <f>'Field Log (10)'!C126</f>
        <v>CT15</v>
      </c>
      <c r="L118" s="232">
        <f>'Field Log (11)'!C126</f>
        <v>0</v>
      </c>
      <c r="M118" s="232">
        <f>'Field Log (12)'!C126</f>
        <v>0</v>
      </c>
      <c r="N118" s="232">
        <f>'Field Log (13)'!C126</f>
        <v>0</v>
      </c>
      <c r="O118" s="232">
        <f>'Field Log (14)'!C126</f>
        <v>0</v>
      </c>
      <c r="P118" s="232">
        <f>'Field Log (15)'!$C126</f>
        <v>0</v>
      </c>
      <c r="Q118" s="232">
        <f>'Field Log (16)'!$C126</f>
        <v>0</v>
      </c>
      <c r="R118" s="232">
        <f>'Field Log (17)'!$C126</f>
        <v>0</v>
      </c>
      <c r="S118" s="232">
        <f>'Field Log (18)'!$C126</f>
        <v>0</v>
      </c>
      <c r="T118" s="232">
        <f>'Field Log (19)'!$C126</f>
        <v>0</v>
      </c>
      <c r="U118" s="232" t="str">
        <f>'Field Log (20)'!$C126</f>
        <v>SKSLP07</v>
      </c>
      <c r="V118" s="232">
        <f>'Field Log (21)'!$C126</f>
        <v>0</v>
      </c>
      <c r="W118" s="232">
        <f>'Field Log (22)'!$C126</f>
        <v>0</v>
      </c>
      <c r="X118" s="232">
        <f>'Field Log (23)'!$C126</f>
        <v>0</v>
      </c>
      <c r="Y118" s="232">
        <f>'Field Log (24)'!$C126</f>
        <v>0</v>
      </c>
      <c r="Z118" s="232">
        <f>'Field Log (25)'!$C126</f>
        <v>0</v>
      </c>
      <c r="AA118" s="232">
        <f>'Field Log (26)'!$C126</f>
        <v>0</v>
      </c>
      <c r="AB118" s="232">
        <f>'Field Log (27)'!$C126</f>
        <v>0</v>
      </c>
      <c r="AC118" s="232">
        <f>'Field Log (28)'!$C126</f>
        <v>0</v>
      </c>
      <c r="AD118" s="232">
        <f>'Field Log (29)'!$C126</f>
        <v>0</v>
      </c>
      <c r="AE118" s="232">
        <f>'Field Log (30)'!$C126</f>
        <v>0</v>
      </c>
      <c r="AF118" s="232">
        <f>'Field Log (31)'!$C126</f>
        <v>0</v>
      </c>
      <c r="AG118" s="232">
        <f>'Field Log (32)'!$C126</f>
        <v>0</v>
      </c>
      <c r="AH118" s="232">
        <f>'Field Log (33)'!$C126</f>
        <v>0</v>
      </c>
      <c r="AI118" s="232">
        <f>'Field Log (34)'!$C126</f>
        <v>0</v>
      </c>
      <c r="AJ118" s="232">
        <f>'Field Log (35)'!$C126</f>
        <v>0</v>
      </c>
    </row>
    <row r="119" spans="2:36">
      <c r="B119" s="232">
        <f>'Field Log (1)'!C127</f>
        <v>0</v>
      </c>
      <c r="C119" s="232">
        <f>'Field Log (2)'!C127</f>
        <v>0</v>
      </c>
      <c r="D119" s="232">
        <f>'Field Log (3)'!C127</f>
        <v>0</v>
      </c>
      <c r="E119" s="232">
        <f>'Field Log (4)'!C127</f>
        <v>0</v>
      </c>
      <c r="F119" s="232">
        <f>'Field Log (5)'!C127</f>
        <v>0</v>
      </c>
      <c r="G119" s="232">
        <f>'Field Log (6)'!C127</f>
        <v>0</v>
      </c>
      <c r="H119" s="232">
        <f>'Field Log (7)'!C127</f>
        <v>0</v>
      </c>
      <c r="I119" s="232">
        <f>'Field Log (8)'!C127</f>
        <v>0</v>
      </c>
      <c r="J119" s="232">
        <f>'Field Log (9)'!C127</f>
        <v>0</v>
      </c>
      <c r="K119" s="232" t="str">
        <f>'Field Log (10)'!C127</f>
        <v>CT16</v>
      </c>
      <c r="L119" s="232">
        <f>'Field Log (11)'!C127</f>
        <v>0</v>
      </c>
      <c r="M119" s="232">
        <f>'Field Log (12)'!C127</f>
        <v>0</v>
      </c>
      <c r="N119" s="232">
        <f>'Field Log (13)'!C127</f>
        <v>0</v>
      </c>
      <c r="O119" s="232">
        <f>'Field Log (14)'!C127</f>
        <v>0</v>
      </c>
      <c r="P119" s="232">
        <f>'Field Log (15)'!$C127</f>
        <v>0</v>
      </c>
      <c r="Q119" s="232">
        <f>'Field Log (16)'!$C127</f>
        <v>0</v>
      </c>
      <c r="R119" s="232">
        <f>'Field Log (17)'!$C127</f>
        <v>0</v>
      </c>
      <c r="S119" s="232">
        <f>'Field Log (18)'!$C127</f>
        <v>0</v>
      </c>
      <c r="T119" s="232">
        <f>'Field Log (19)'!$C127</f>
        <v>0</v>
      </c>
      <c r="U119" s="232" t="str">
        <f>'Field Log (20)'!$C127</f>
        <v>SKSLP08</v>
      </c>
      <c r="V119" s="232">
        <f>'Field Log (21)'!$C127</f>
        <v>0</v>
      </c>
      <c r="W119" s="232">
        <f>'Field Log (22)'!$C127</f>
        <v>0</v>
      </c>
      <c r="X119" s="232">
        <f>'Field Log (23)'!$C127</f>
        <v>0</v>
      </c>
      <c r="Y119" s="232">
        <f>'Field Log (24)'!$C127</f>
        <v>0</v>
      </c>
      <c r="Z119" s="232">
        <f>'Field Log (25)'!$C127</f>
        <v>0</v>
      </c>
      <c r="AA119" s="232">
        <f>'Field Log (26)'!$C127</f>
        <v>0</v>
      </c>
      <c r="AB119" s="232">
        <f>'Field Log (27)'!$C127</f>
        <v>0</v>
      </c>
      <c r="AC119" s="232">
        <f>'Field Log (28)'!$C127</f>
        <v>0</v>
      </c>
      <c r="AD119" s="232">
        <f>'Field Log (29)'!$C127</f>
        <v>0</v>
      </c>
      <c r="AE119" s="232">
        <f>'Field Log (30)'!$C127</f>
        <v>0</v>
      </c>
      <c r="AF119" s="232">
        <f>'Field Log (31)'!$C127</f>
        <v>0</v>
      </c>
      <c r="AG119" s="232">
        <f>'Field Log (32)'!$C127</f>
        <v>0</v>
      </c>
      <c r="AH119" s="232">
        <f>'Field Log (33)'!$C127</f>
        <v>0</v>
      </c>
      <c r="AI119" s="232">
        <f>'Field Log (34)'!$C127</f>
        <v>0</v>
      </c>
      <c r="AJ119" s="232">
        <f>'Field Log (35)'!$C127</f>
        <v>0</v>
      </c>
    </row>
    <row r="120" spans="2:36">
      <c r="B120" s="232">
        <f>'Field Log (1)'!C128</f>
        <v>0</v>
      </c>
      <c r="C120" s="232">
        <f>'Field Log (2)'!C128</f>
        <v>0</v>
      </c>
      <c r="D120" s="232">
        <f>'Field Log (3)'!C128</f>
        <v>0</v>
      </c>
      <c r="E120" s="232">
        <f>'Field Log (4)'!C128</f>
        <v>0</v>
      </c>
      <c r="F120" s="232">
        <f>'Field Log (5)'!C128</f>
        <v>0</v>
      </c>
      <c r="G120" s="232">
        <f>'Field Log (6)'!C128</f>
        <v>0</v>
      </c>
      <c r="H120" s="232">
        <f>'Field Log (7)'!C128</f>
        <v>0</v>
      </c>
      <c r="I120" s="232">
        <f>'Field Log (8)'!C128</f>
        <v>0</v>
      </c>
      <c r="J120" s="232">
        <f>'Field Log (9)'!C128</f>
        <v>0</v>
      </c>
      <c r="K120" s="232" t="str">
        <f>'Field Log (10)'!C128</f>
        <v>CT2</v>
      </c>
      <c r="L120" s="232">
        <f>'Field Log (11)'!C128</f>
        <v>0</v>
      </c>
      <c r="M120" s="232">
        <f>'Field Log (12)'!C128</f>
        <v>0</v>
      </c>
      <c r="N120" s="232">
        <f>'Field Log (13)'!C128</f>
        <v>0</v>
      </c>
      <c r="O120" s="232">
        <f>'Field Log (14)'!C128</f>
        <v>0</v>
      </c>
      <c r="P120" s="232">
        <f>'Field Log (15)'!$C128</f>
        <v>0</v>
      </c>
      <c r="Q120" s="232">
        <f>'Field Log (16)'!$C128</f>
        <v>0</v>
      </c>
      <c r="R120" s="232">
        <f>'Field Log (17)'!$C128</f>
        <v>0</v>
      </c>
      <c r="S120" s="232">
        <f>'Field Log (18)'!$C128</f>
        <v>0</v>
      </c>
      <c r="T120" s="232">
        <f>'Field Log (19)'!$C128</f>
        <v>0</v>
      </c>
      <c r="U120" s="232" t="str">
        <f>'Field Log (20)'!$C128</f>
        <v>SA11-053</v>
      </c>
      <c r="V120" s="232">
        <f>'Field Log (21)'!$C128</f>
        <v>0</v>
      </c>
      <c r="W120" s="232">
        <f>'Field Log (22)'!$C128</f>
        <v>0</v>
      </c>
      <c r="X120" s="232">
        <f>'Field Log (23)'!$C128</f>
        <v>0</v>
      </c>
      <c r="Y120" s="232">
        <f>'Field Log (24)'!$C128</f>
        <v>0</v>
      </c>
      <c r="Z120" s="232">
        <f>'Field Log (25)'!$C128</f>
        <v>0</v>
      </c>
      <c r="AA120" s="232">
        <f>'Field Log (26)'!$C128</f>
        <v>0</v>
      </c>
      <c r="AB120" s="232">
        <f>'Field Log (27)'!$C128</f>
        <v>0</v>
      </c>
      <c r="AC120" s="232">
        <f>'Field Log (28)'!$C128</f>
        <v>0</v>
      </c>
      <c r="AD120" s="232">
        <f>'Field Log (29)'!$C128</f>
        <v>0</v>
      </c>
      <c r="AE120" s="232">
        <f>'Field Log (30)'!$C128</f>
        <v>0</v>
      </c>
      <c r="AF120" s="232">
        <f>'Field Log (31)'!$C128</f>
        <v>0</v>
      </c>
      <c r="AG120" s="232">
        <f>'Field Log (32)'!$C128</f>
        <v>0</v>
      </c>
      <c r="AH120" s="232">
        <f>'Field Log (33)'!$C128</f>
        <v>0</v>
      </c>
      <c r="AI120" s="232">
        <f>'Field Log (34)'!$C128</f>
        <v>0</v>
      </c>
      <c r="AJ120" s="232">
        <f>'Field Log (35)'!$C128</f>
        <v>0</v>
      </c>
    </row>
    <row r="121" spans="2:36">
      <c r="B121" s="232">
        <f>'Field Log (1)'!C129</f>
        <v>0</v>
      </c>
      <c r="C121" s="232">
        <f>'Field Log (2)'!C129</f>
        <v>0</v>
      </c>
      <c r="D121" s="232">
        <f>'Field Log (3)'!C129</f>
        <v>0</v>
      </c>
      <c r="E121" s="232">
        <f>'Field Log (4)'!C129</f>
        <v>0</v>
      </c>
      <c r="F121" s="232">
        <f>'Field Log (5)'!C129</f>
        <v>0</v>
      </c>
      <c r="G121" s="232">
        <f>'Field Log (6)'!C129</f>
        <v>0</v>
      </c>
      <c r="H121" s="232">
        <f>'Field Log (7)'!C129</f>
        <v>0</v>
      </c>
      <c r="I121" s="232">
        <f>'Field Log (8)'!C129</f>
        <v>0</v>
      </c>
      <c r="J121" s="232">
        <f>'Field Log (9)'!C129</f>
        <v>0</v>
      </c>
      <c r="K121" s="232" t="str">
        <f>'Field Log (10)'!C129</f>
        <v>CT20</v>
      </c>
      <c r="L121" s="232">
        <f>'Field Log (11)'!C129</f>
        <v>0</v>
      </c>
      <c r="M121" s="232">
        <f>'Field Log (12)'!C129</f>
        <v>0</v>
      </c>
      <c r="N121" s="232">
        <f>'Field Log (13)'!C129</f>
        <v>0</v>
      </c>
      <c r="O121" s="232">
        <f>'Field Log (14)'!C129</f>
        <v>0</v>
      </c>
      <c r="P121" s="232">
        <f>'Field Log (15)'!$C129</f>
        <v>0</v>
      </c>
      <c r="Q121" s="232">
        <f>'Field Log (16)'!$C129</f>
        <v>0</v>
      </c>
      <c r="R121" s="232">
        <f>'Field Log (17)'!$C129</f>
        <v>0</v>
      </c>
      <c r="S121" s="232">
        <f>'Field Log (18)'!$C129</f>
        <v>0</v>
      </c>
      <c r="T121" s="232">
        <f>'Field Log (19)'!$C129</f>
        <v>0</v>
      </c>
      <c r="U121" s="232" t="str">
        <f>'Field Log (20)'!$C129</f>
        <v>SA11-055</v>
      </c>
      <c r="V121" s="232">
        <f>'Field Log (21)'!$C129</f>
        <v>0</v>
      </c>
      <c r="W121" s="232">
        <f>'Field Log (22)'!$C129</f>
        <v>0</v>
      </c>
      <c r="X121" s="232">
        <f>'Field Log (23)'!$C129</f>
        <v>0</v>
      </c>
      <c r="Y121" s="232">
        <f>'Field Log (24)'!$C129</f>
        <v>0</v>
      </c>
      <c r="Z121" s="232">
        <f>'Field Log (25)'!$C129</f>
        <v>0</v>
      </c>
      <c r="AA121" s="232">
        <f>'Field Log (26)'!$C129</f>
        <v>0</v>
      </c>
      <c r="AB121" s="232">
        <f>'Field Log (27)'!$C129</f>
        <v>0</v>
      </c>
      <c r="AC121" s="232">
        <f>'Field Log (28)'!$C129</f>
        <v>0</v>
      </c>
      <c r="AD121" s="232">
        <f>'Field Log (29)'!$C129</f>
        <v>0</v>
      </c>
      <c r="AE121" s="232">
        <f>'Field Log (30)'!$C129</f>
        <v>0</v>
      </c>
      <c r="AF121" s="232">
        <f>'Field Log (31)'!$C129</f>
        <v>0</v>
      </c>
      <c r="AG121" s="232">
        <f>'Field Log (32)'!$C129</f>
        <v>0</v>
      </c>
      <c r="AH121" s="232">
        <f>'Field Log (33)'!$C129</f>
        <v>0</v>
      </c>
      <c r="AI121" s="232">
        <f>'Field Log (34)'!$C129</f>
        <v>0</v>
      </c>
      <c r="AJ121" s="232">
        <f>'Field Log (35)'!$C129</f>
        <v>0</v>
      </c>
    </row>
    <row r="122" spans="2:36">
      <c r="B122" s="232">
        <f>'Field Log (1)'!C130</f>
        <v>0</v>
      </c>
      <c r="C122" s="232">
        <f>'Field Log (2)'!C130</f>
        <v>0</v>
      </c>
      <c r="D122" s="232">
        <f>'Field Log (3)'!C130</f>
        <v>0</v>
      </c>
      <c r="E122" s="232">
        <f>'Field Log (4)'!C130</f>
        <v>0</v>
      </c>
      <c r="F122" s="232">
        <f>'Field Log (5)'!C130</f>
        <v>0</v>
      </c>
      <c r="G122" s="232">
        <f>'Field Log (6)'!C130</f>
        <v>0</v>
      </c>
      <c r="H122" s="232">
        <f>'Field Log (7)'!C130</f>
        <v>0</v>
      </c>
      <c r="I122" s="232">
        <f>'Field Log (8)'!C130</f>
        <v>0</v>
      </c>
      <c r="J122" s="232">
        <f>'Field Log (9)'!C130</f>
        <v>0</v>
      </c>
      <c r="K122" s="232" t="str">
        <f>'Field Log (10)'!C130</f>
        <v>CT21</v>
      </c>
      <c r="L122" s="232">
        <f>'Field Log (11)'!C130</f>
        <v>0</v>
      </c>
      <c r="M122" s="232">
        <f>'Field Log (12)'!C130</f>
        <v>0</v>
      </c>
      <c r="N122" s="232">
        <f>'Field Log (13)'!C130</f>
        <v>0</v>
      </c>
      <c r="O122" s="232">
        <f>'Field Log (14)'!C130</f>
        <v>0</v>
      </c>
      <c r="P122" s="232">
        <f>'Field Log (15)'!$C130</f>
        <v>0</v>
      </c>
      <c r="Q122" s="232">
        <f>'Field Log (16)'!$C130</f>
        <v>0</v>
      </c>
      <c r="R122" s="232">
        <f>'Field Log (17)'!$C130</f>
        <v>0</v>
      </c>
      <c r="S122" s="232">
        <f>'Field Log (18)'!$C130</f>
        <v>0</v>
      </c>
      <c r="T122" s="232">
        <f>'Field Log (19)'!$C130</f>
        <v>0</v>
      </c>
      <c r="U122" s="232" t="str">
        <f>'Field Log (20)'!$C130</f>
        <v>SA11-056</v>
      </c>
      <c r="V122" s="232">
        <f>'Field Log (21)'!$C130</f>
        <v>0</v>
      </c>
      <c r="W122" s="232">
        <f>'Field Log (22)'!$C130</f>
        <v>0</v>
      </c>
      <c r="X122" s="232">
        <f>'Field Log (23)'!$C130</f>
        <v>0</v>
      </c>
      <c r="Y122" s="232">
        <f>'Field Log (24)'!$C130</f>
        <v>0</v>
      </c>
      <c r="Z122" s="232">
        <f>'Field Log (25)'!$C130</f>
        <v>0</v>
      </c>
      <c r="AA122" s="232">
        <f>'Field Log (26)'!$C130</f>
        <v>0</v>
      </c>
      <c r="AB122" s="232">
        <f>'Field Log (27)'!$C130</f>
        <v>0</v>
      </c>
      <c r="AC122" s="232">
        <f>'Field Log (28)'!$C130</f>
        <v>0</v>
      </c>
      <c r="AD122" s="232">
        <f>'Field Log (29)'!$C130</f>
        <v>0</v>
      </c>
      <c r="AE122" s="232">
        <f>'Field Log (30)'!$C130</f>
        <v>0</v>
      </c>
      <c r="AF122" s="232">
        <f>'Field Log (31)'!$C130</f>
        <v>0</v>
      </c>
      <c r="AG122" s="232">
        <f>'Field Log (32)'!$C130</f>
        <v>0</v>
      </c>
      <c r="AH122" s="232">
        <f>'Field Log (33)'!$C130</f>
        <v>0</v>
      </c>
      <c r="AI122" s="232">
        <f>'Field Log (34)'!$C130</f>
        <v>0</v>
      </c>
      <c r="AJ122" s="232">
        <f>'Field Log (35)'!$C130</f>
        <v>0</v>
      </c>
    </row>
    <row r="123" spans="2:36">
      <c r="B123" s="232">
        <f>'Field Log (1)'!C131</f>
        <v>0</v>
      </c>
      <c r="C123" s="232">
        <f>'Field Log (2)'!C131</f>
        <v>0</v>
      </c>
      <c r="D123" s="232">
        <f>'Field Log (3)'!C131</f>
        <v>0</v>
      </c>
      <c r="E123" s="232">
        <f>'Field Log (4)'!C131</f>
        <v>0</v>
      </c>
      <c r="F123" s="232">
        <f>'Field Log (5)'!C131</f>
        <v>0</v>
      </c>
      <c r="G123" s="232">
        <f>'Field Log (6)'!C131</f>
        <v>0</v>
      </c>
      <c r="H123" s="232">
        <f>'Field Log (7)'!C131</f>
        <v>0</v>
      </c>
      <c r="I123" s="232">
        <f>'Field Log (8)'!C131</f>
        <v>0</v>
      </c>
      <c r="J123" s="232">
        <f>'Field Log (9)'!C131</f>
        <v>0</v>
      </c>
      <c r="K123" s="232" t="str">
        <f>'Field Log (10)'!C131</f>
        <v>CT22</v>
      </c>
      <c r="L123" s="232">
        <f>'Field Log (11)'!C131</f>
        <v>0</v>
      </c>
      <c r="M123" s="232">
        <f>'Field Log (12)'!C131</f>
        <v>0</v>
      </c>
      <c r="N123" s="232">
        <f>'Field Log (13)'!C131</f>
        <v>0</v>
      </c>
      <c r="O123" s="232">
        <f>'Field Log (14)'!C131</f>
        <v>0</v>
      </c>
      <c r="P123" s="232">
        <f>'Field Log (15)'!$C131</f>
        <v>0</v>
      </c>
      <c r="Q123" s="232">
        <f>'Field Log (16)'!$C131</f>
        <v>0</v>
      </c>
      <c r="R123" s="232">
        <f>'Field Log (17)'!$C131</f>
        <v>0</v>
      </c>
      <c r="S123" s="232">
        <f>'Field Log (18)'!$C131</f>
        <v>0</v>
      </c>
      <c r="T123" s="232">
        <f>'Field Log (19)'!$C131</f>
        <v>0</v>
      </c>
      <c r="U123" s="232" t="str">
        <f>'Field Log (20)'!$C131</f>
        <v>SA11-058</v>
      </c>
      <c r="V123" s="232">
        <f>'Field Log (21)'!$C131</f>
        <v>0</v>
      </c>
      <c r="W123" s="232">
        <f>'Field Log (22)'!$C131</f>
        <v>0</v>
      </c>
      <c r="X123" s="232">
        <f>'Field Log (23)'!$C131</f>
        <v>0</v>
      </c>
      <c r="Y123" s="232">
        <f>'Field Log (24)'!$C131</f>
        <v>0</v>
      </c>
      <c r="Z123" s="232">
        <f>'Field Log (25)'!$C131</f>
        <v>0</v>
      </c>
      <c r="AA123" s="232">
        <f>'Field Log (26)'!$C131</f>
        <v>0</v>
      </c>
      <c r="AB123" s="232">
        <f>'Field Log (27)'!$C131</f>
        <v>0</v>
      </c>
      <c r="AC123" s="232">
        <f>'Field Log (28)'!$C131</f>
        <v>0</v>
      </c>
      <c r="AD123" s="232">
        <f>'Field Log (29)'!$C131</f>
        <v>0</v>
      </c>
      <c r="AE123" s="232">
        <f>'Field Log (30)'!$C131</f>
        <v>0</v>
      </c>
      <c r="AF123" s="232">
        <f>'Field Log (31)'!$C131</f>
        <v>0</v>
      </c>
      <c r="AG123" s="232">
        <f>'Field Log (32)'!$C131</f>
        <v>0</v>
      </c>
      <c r="AH123" s="232">
        <f>'Field Log (33)'!$C131</f>
        <v>0</v>
      </c>
      <c r="AI123" s="232">
        <f>'Field Log (34)'!$C131</f>
        <v>0</v>
      </c>
      <c r="AJ123" s="232">
        <f>'Field Log (35)'!$C131</f>
        <v>0</v>
      </c>
    </row>
    <row r="124" spans="2:36">
      <c r="B124" s="232">
        <f>'Field Log (1)'!C132</f>
        <v>0</v>
      </c>
      <c r="C124" s="232">
        <f>'Field Log (2)'!C132</f>
        <v>0</v>
      </c>
      <c r="D124" s="232">
        <f>'Field Log (3)'!C132</f>
        <v>0</v>
      </c>
      <c r="E124" s="232">
        <f>'Field Log (4)'!C132</f>
        <v>0</v>
      </c>
      <c r="F124" s="232">
        <f>'Field Log (5)'!C132</f>
        <v>0</v>
      </c>
      <c r="G124" s="232">
        <f>'Field Log (6)'!C132</f>
        <v>0</v>
      </c>
      <c r="H124" s="232">
        <f>'Field Log (7)'!C132</f>
        <v>0</v>
      </c>
      <c r="I124" s="232">
        <f>'Field Log (8)'!C132</f>
        <v>0</v>
      </c>
      <c r="J124" s="232">
        <f>'Field Log (9)'!C132</f>
        <v>0</v>
      </c>
      <c r="K124" s="232" t="str">
        <f>'Field Log (10)'!C132</f>
        <v>CT23</v>
      </c>
      <c r="L124" s="232">
        <f>'Field Log (11)'!C132</f>
        <v>0</v>
      </c>
      <c r="M124" s="232">
        <f>'Field Log (12)'!C132</f>
        <v>0</v>
      </c>
      <c r="N124" s="232">
        <f>'Field Log (13)'!C132</f>
        <v>0</v>
      </c>
      <c r="O124" s="232">
        <f>'Field Log (14)'!C132</f>
        <v>0</v>
      </c>
      <c r="P124" s="232">
        <f>'Field Log (15)'!$C132</f>
        <v>0</v>
      </c>
      <c r="Q124" s="232">
        <f>'Field Log (16)'!$C132</f>
        <v>0</v>
      </c>
      <c r="R124" s="232">
        <f>'Field Log (17)'!$C132</f>
        <v>0</v>
      </c>
      <c r="S124" s="232">
        <f>'Field Log (18)'!$C132</f>
        <v>0</v>
      </c>
      <c r="T124" s="232">
        <f>'Field Log (19)'!$C132</f>
        <v>0</v>
      </c>
      <c r="U124" s="232" t="str">
        <f>'Field Log (20)'!$C132</f>
        <v>SA11-059</v>
      </c>
      <c r="V124" s="232">
        <f>'Field Log (21)'!$C132</f>
        <v>0</v>
      </c>
      <c r="W124" s="232">
        <f>'Field Log (22)'!$C132</f>
        <v>0</v>
      </c>
      <c r="X124" s="232">
        <f>'Field Log (23)'!$C132</f>
        <v>0</v>
      </c>
      <c r="Y124" s="232">
        <f>'Field Log (24)'!$C132</f>
        <v>0</v>
      </c>
      <c r="Z124" s="232">
        <f>'Field Log (25)'!$C132</f>
        <v>0</v>
      </c>
      <c r="AA124" s="232">
        <f>'Field Log (26)'!$C132</f>
        <v>0</v>
      </c>
      <c r="AB124" s="232">
        <f>'Field Log (27)'!$C132</f>
        <v>0</v>
      </c>
      <c r="AC124" s="232">
        <f>'Field Log (28)'!$C132</f>
        <v>0</v>
      </c>
      <c r="AD124" s="232">
        <f>'Field Log (29)'!$C132</f>
        <v>0</v>
      </c>
      <c r="AE124" s="232">
        <f>'Field Log (30)'!$C132</f>
        <v>0</v>
      </c>
      <c r="AF124" s="232">
        <f>'Field Log (31)'!$C132</f>
        <v>0</v>
      </c>
      <c r="AG124" s="232">
        <f>'Field Log (32)'!$C132</f>
        <v>0</v>
      </c>
      <c r="AH124" s="232">
        <f>'Field Log (33)'!$C132</f>
        <v>0</v>
      </c>
      <c r="AI124" s="232">
        <f>'Field Log (34)'!$C132</f>
        <v>0</v>
      </c>
      <c r="AJ124" s="232">
        <f>'Field Log (35)'!$C132</f>
        <v>0</v>
      </c>
    </row>
    <row r="125" spans="2:36">
      <c r="B125" s="232">
        <f>'Field Log (1)'!C133</f>
        <v>0</v>
      </c>
      <c r="C125" s="232">
        <f>'Field Log (2)'!C133</f>
        <v>0</v>
      </c>
      <c r="D125" s="232">
        <f>'Field Log (3)'!C133</f>
        <v>0</v>
      </c>
      <c r="E125" s="232">
        <f>'Field Log (4)'!C133</f>
        <v>0</v>
      </c>
      <c r="F125" s="232">
        <f>'Field Log (5)'!C133</f>
        <v>0</v>
      </c>
      <c r="G125" s="232">
        <f>'Field Log (6)'!C133</f>
        <v>0</v>
      </c>
      <c r="H125" s="232">
        <f>'Field Log (7)'!C133</f>
        <v>0</v>
      </c>
      <c r="I125" s="232">
        <f>'Field Log (8)'!C133</f>
        <v>0</v>
      </c>
      <c r="J125" s="232">
        <f>'Field Log (9)'!C133</f>
        <v>0</v>
      </c>
      <c r="K125" s="232" t="str">
        <f>'Field Log (10)'!C133</f>
        <v>CT33</v>
      </c>
      <c r="L125" s="232">
        <f>'Field Log (11)'!C133</f>
        <v>0</v>
      </c>
      <c r="M125" s="232">
        <f>'Field Log (12)'!C133</f>
        <v>0</v>
      </c>
      <c r="N125" s="232">
        <f>'Field Log (13)'!C133</f>
        <v>0</v>
      </c>
      <c r="O125" s="232">
        <f>'Field Log (14)'!C133</f>
        <v>0</v>
      </c>
      <c r="P125" s="232">
        <f>'Field Log (15)'!$C133</f>
        <v>0</v>
      </c>
      <c r="Q125" s="232">
        <f>'Field Log (16)'!$C133</f>
        <v>0</v>
      </c>
      <c r="R125" s="232">
        <f>'Field Log (17)'!$C133</f>
        <v>0</v>
      </c>
      <c r="S125" s="232">
        <f>'Field Log (18)'!$C133</f>
        <v>0</v>
      </c>
      <c r="T125" s="232">
        <f>'Field Log (19)'!$C133</f>
        <v>0</v>
      </c>
      <c r="U125" s="232" t="str">
        <f>'Field Log (20)'!$C133</f>
        <v>SLD10</v>
      </c>
      <c r="V125" s="232">
        <f>'Field Log (21)'!$C133</f>
        <v>0</v>
      </c>
      <c r="W125" s="232">
        <f>'Field Log (22)'!$C133</f>
        <v>0</v>
      </c>
      <c r="X125" s="232">
        <f>'Field Log (23)'!$C133</f>
        <v>0</v>
      </c>
      <c r="Y125" s="232">
        <f>'Field Log (24)'!$C133</f>
        <v>0</v>
      </c>
      <c r="Z125" s="232">
        <f>'Field Log (25)'!$C133</f>
        <v>0</v>
      </c>
      <c r="AA125" s="232">
        <f>'Field Log (26)'!$C133</f>
        <v>0</v>
      </c>
      <c r="AB125" s="232">
        <f>'Field Log (27)'!$C133</f>
        <v>0</v>
      </c>
      <c r="AC125" s="232">
        <f>'Field Log (28)'!$C133</f>
        <v>0</v>
      </c>
      <c r="AD125" s="232">
        <f>'Field Log (29)'!$C133</f>
        <v>0</v>
      </c>
      <c r="AE125" s="232">
        <f>'Field Log (30)'!$C133</f>
        <v>0</v>
      </c>
      <c r="AF125" s="232">
        <f>'Field Log (31)'!$C133</f>
        <v>0</v>
      </c>
      <c r="AG125" s="232">
        <f>'Field Log (32)'!$C133</f>
        <v>0</v>
      </c>
      <c r="AH125" s="232">
        <f>'Field Log (33)'!$C133</f>
        <v>0</v>
      </c>
      <c r="AI125" s="232">
        <f>'Field Log (34)'!$C133</f>
        <v>0</v>
      </c>
      <c r="AJ125" s="232">
        <f>'Field Log (35)'!$C133</f>
        <v>0</v>
      </c>
    </row>
    <row r="126" spans="2:36">
      <c r="B126" s="232">
        <f>'Field Log (1)'!C134</f>
        <v>0</v>
      </c>
      <c r="C126" s="232">
        <f>'Field Log (2)'!C134</f>
        <v>0</v>
      </c>
      <c r="D126" s="232">
        <f>'Field Log (3)'!C134</f>
        <v>0</v>
      </c>
      <c r="E126" s="232">
        <f>'Field Log (4)'!C134</f>
        <v>0</v>
      </c>
      <c r="F126" s="232">
        <f>'Field Log (5)'!C134</f>
        <v>0</v>
      </c>
      <c r="G126" s="232">
        <f>'Field Log (6)'!C134</f>
        <v>0</v>
      </c>
      <c r="H126" s="232">
        <f>'Field Log (7)'!C134</f>
        <v>0</v>
      </c>
      <c r="I126" s="232">
        <f>'Field Log (8)'!C134</f>
        <v>0</v>
      </c>
      <c r="J126" s="232">
        <f>'Field Log (9)'!C134</f>
        <v>0</v>
      </c>
      <c r="K126" s="232" t="str">
        <f>'Field Log (10)'!C134</f>
        <v>CT34</v>
      </c>
      <c r="L126" s="232">
        <f>'Field Log (11)'!C134</f>
        <v>0</v>
      </c>
      <c r="M126" s="232">
        <f>'Field Log (12)'!C134</f>
        <v>0</v>
      </c>
      <c r="N126" s="232">
        <f>'Field Log (13)'!C134</f>
        <v>0</v>
      </c>
      <c r="O126" s="232">
        <f>'Field Log (14)'!C134</f>
        <v>0</v>
      </c>
      <c r="P126" s="232">
        <f>'Field Log (15)'!$C134</f>
        <v>0</v>
      </c>
      <c r="Q126" s="232">
        <f>'Field Log (16)'!$C134</f>
        <v>0</v>
      </c>
      <c r="R126" s="232">
        <f>'Field Log (17)'!$C134</f>
        <v>0</v>
      </c>
      <c r="S126" s="232">
        <f>'Field Log (18)'!$C134</f>
        <v>0</v>
      </c>
      <c r="T126" s="232">
        <f>'Field Log (19)'!$C134</f>
        <v>0</v>
      </c>
      <c r="U126" s="232" t="str">
        <f>'Field Log (20)'!$C134</f>
        <v>SLD4</v>
      </c>
      <c r="V126" s="232">
        <f>'Field Log (21)'!$C134</f>
        <v>0</v>
      </c>
      <c r="W126" s="232">
        <f>'Field Log (22)'!$C134</f>
        <v>0</v>
      </c>
      <c r="X126" s="232">
        <f>'Field Log (23)'!$C134</f>
        <v>0</v>
      </c>
      <c r="Y126" s="232">
        <f>'Field Log (24)'!$C134</f>
        <v>0</v>
      </c>
      <c r="Z126" s="232">
        <f>'Field Log (25)'!$C134</f>
        <v>0</v>
      </c>
      <c r="AA126" s="232">
        <f>'Field Log (26)'!$C134</f>
        <v>0</v>
      </c>
      <c r="AB126" s="232">
        <f>'Field Log (27)'!$C134</f>
        <v>0</v>
      </c>
      <c r="AC126" s="232">
        <f>'Field Log (28)'!$C134</f>
        <v>0</v>
      </c>
      <c r="AD126" s="232">
        <f>'Field Log (29)'!$C134</f>
        <v>0</v>
      </c>
      <c r="AE126" s="232">
        <f>'Field Log (30)'!$C134</f>
        <v>0</v>
      </c>
      <c r="AF126" s="232">
        <f>'Field Log (31)'!$C134</f>
        <v>0</v>
      </c>
      <c r="AG126" s="232">
        <f>'Field Log (32)'!$C134</f>
        <v>0</v>
      </c>
      <c r="AH126" s="232">
        <f>'Field Log (33)'!$C134</f>
        <v>0</v>
      </c>
      <c r="AI126" s="232">
        <f>'Field Log (34)'!$C134</f>
        <v>0</v>
      </c>
      <c r="AJ126" s="232">
        <f>'Field Log (35)'!$C134</f>
        <v>0</v>
      </c>
    </row>
    <row r="127" spans="2:36">
      <c r="B127" s="232">
        <f>'Field Log (1)'!C135</f>
        <v>0</v>
      </c>
      <c r="C127" s="232">
        <f>'Field Log (2)'!C135</f>
        <v>0</v>
      </c>
      <c r="D127" s="232">
        <f>'Field Log (3)'!C135</f>
        <v>0</v>
      </c>
      <c r="E127" s="232">
        <f>'Field Log (4)'!C135</f>
        <v>0</v>
      </c>
      <c r="F127" s="232">
        <f>'Field Log (5)'!C135</f>
        <v>0</v>
      </c>
      <c r="G127" s="232">
        <f>'Field Log (6)'!C135</f>
        <v>0</v>
      </c>
      <c r="H127" s="232">
        <f>'Field Log (7)'!C135</f>
        <v>0</v>
      </c>
      <c r="I127" s="232">
        <f>'Field Log (8)'!C135</f>
        <v>0</v>
      </c>
      <c r="J127" s="232">
        <f>'Field Log (9)'!C135</f>
        <v>0</v>
      </c>
      <c r="K127" s="232" t="str">
        <f>'Field Log (10)'!C135</f>
        <v>CT5</v>
      </c>
      <c r="L127" s="232">
        <f>'Field Log (11)'!C135</f>
        <v>0</v>
      </c>
      <c r="M127" s="232">
        <f>'Field Log (12)'!C135</f>
        <v>0</v>
      </c>
      <c r="N127" s="232">
        <f>'Field Log (13)'!C135</f>
        <v>0</v>
      </c>
      <c r="O127" s="232">
        <f>'Field Log (14)'!C135</f>
        <v>0</v>
      </c>
      <c r="P127" s="232">
        <f>'Field Log (15)'!$C135</f>
        <v>0</v>
      </c>
      <c r="Q127" s="232">
        <f>'Field Log (16)'!$C135</f>
        <v>0</v>
      </c>
      <c r="R127" s="232">
        <f>'Field Log (17)'!$C135</f>
        <v>0</v>
      </c>
      <c r="S127" s="232">
        <f>'Field Log (18)'!$C135</f>
        <v>0</v>
      </c>
      <c r="T127" s="232">
        <f>'Field Log (19)'!$C135</f>
        <v>0</v>
      </c>
      <c r="U127" s="232" t="str">
        <f>'Field Log (20)'!$C135</f>
        <v>SLD5</v>
      </c>
      <c r="V127" s="232">
        <f>'Field Log (21)'!$C135</f>
        <v>0</v>
      </c>
      <c r="W127" s="232">
        <f>'Field Log (22)'!$C135</f>
        <v>0</v>
      </c>
      <c r="X127" s="232">
        <f>'Field Log (23)'!$C135</f>
        <v>0</v>
      </c>
      <c r="Y127" s="232">
        <f>'Field Log (24)'!$C135</f>
        <v>0</v>
      </c>
      <c r="Z127" s="232">
        <f>'Field Log (25)'!$C135</f>
        <v>0</v>
      </c>
      <c r="AA127" s="232">
        <f>'Field Log (26)'!$C135</f>
        <v>0</v>
      </c>
      <c r="AB127" s="232">
        <f>'Field Log (27)'!$C135</f>
        <v>0</v>
      </c>
      <c r="AC127" s="232">
        <f>'Field Log (28)'!$C135</f>
        <v>0</v>
      </c>
      <c r="AD127" s="232">
        <f>'Field Log (29)'!$C135</f>
        <v>0</v>
      </c>
      <c r="AE127" s="232">
        <f>'Field Log (30)'!$C135</f>
        <v>0</v>
      </c>
      <c r="AF127" s="232">
        <f>'Field Log (31)'!$C135</f>
        <v>0</v>
      </c>
      <c r="AG127" s="232">
        <f>'Field Log (32)'!$C135</f>
        <v>0</v>
      </c>
      <c r="AH127" s="232">
        <f>'Field Log (33)'!$C135</f>
        <v>0</v>
      </c>
      <c r="AI127" s="232">
        <f>'Field Log (34)'!$C135</f>
        <v>0</v>
      </c>
      <c r="AJ127" s="232">
        <f>'Field Log (35)'!$C135</f>
        <v>0</v>
      </c>
    </row>
    <row r="128" spans="2:36">
      <c r="B128" s="232">
        <f>'Field Log (1)'!C136</f>
        <v>0</v>
      </c>
      <c r="C128" s="232">
        <f>'Field Log (2)'!C136</f>
        <v>0</v>
      </c>
      <c r="D128" s="232">
        <f>'Field Log (3)'!C136</f>
        <v>0</v>
      </c>
      <c r="E128" s="232">
        <f>'Field Log (4)'!C136</f>
        <v>0</v>
      </c>
      <c r="F128" s="232">
        <f>'Field Log (5)'!C136</f>
        <v>0</v>
      </c>
      <c r="G128" s="232">
        <f>'Field Log (6)'!C136</f>
        <v>0</v>
      </c>
      <c r="H128" s="232">
        <f>'Field Log (7)'!C136</f>
        <v>0</v>
      </c>
      <c r="I128" s="232">
        <f>'Field Log (8)'!C136</f>
        <v>0</v>
      </c>
      <c r="J128" s="232">
        <f>'Field Log (9)'!C136</f>
        <v>0</v>
      </c>
      <c r="K128" s="232" t="str">
        <f>'Field Log (10)'!C136</f>
        <v>CT6</v>
      </c>
      <c r="L128" s="232">
        <f>'Field Log (11)'!C136</f>
        <v>0</v>
      </c>
      <c r="M128" s="232">
        <f>'Field Log (12)'!C136</f>
        <v>0</v>
      </c>
      <c r="N128" s="232">
        <f>'Field Log (13)'!C136</f>
        <v>0</v>
      </c>
      <c r="O128" s="232">
        <f>'Field Log (14)'!C136</f>
        <v>0</v>
      </c>
      <c r="P128" s="232">
        <f>'Field Log (15)'!$C136</f>
        <v>0</v>
      </c>
      <c r="Q128" s="232">
        <f>'Field Log (16)'!$C136</f>
        <v>0</v>
      </c>
      <c r="R128" s="232">
        <f>'Field Log (17)'!$C136</f>
        <v>0</v>
      </c>
      <c r="S128" s="232">
        <f>'Field Log (18)'!$C136</f>
        <v>0</v>
      </c>
      <c r="T128" s="232">
        <f>'Field Log (19)'!$C136</f>
        <v>0</v>
      </c>
      <c r="U128" s="232" t="str">
        <f>'Field Log (20)'!$C136</f>
        <v>SLD6</v>
      </c>
      <c r="V128" s="232">
        <f>'Field Log (21)'!$C136</f>
        <v>0</v>
      </c>
      <c r="W128" s="232">
        <f>'Field Log (22)'!$C136</f>
        <v>0</v>
      </c>
      <c r="X128" s="232">
        <f>'Field Log (23)'!$C136</f>
        <v>0</v>
      </c>
      <c r="Y128" s="232">
        <f>'Field Log (24)'!$C136</f>
        <v>0</v>
      </c>
      <c r="Z128" s="232">
        <f>'Field Log (25)'!$C136</f>
        <v>0</v>
      </c>
      <c r="AA128" s="232">
        <f>'Field Log (26)'!$C136</f>
        <v>0</v>
      </c>
      <c r="AB128" s="232">
        <f>'Field Log (27)'!$C136</f>
        <v>0</v>
      </c>
      <c r="AC128" s="232">
        <f>'Field Log (28)'!$C136</f>
        <v>0</v>
      </c>
      <c r="AD128" s="232">
        <f>'Field Log (29)'!$C136</f>
        <v>0</v>
      </c>
      <c r="AE128" s="232">
        <f>'Field Log (30)'!$C136</f>
        <v>0</v>
      </c>
      <c r="AF128" s="232">
        <f>'Field Log (31)'!$C136</f>
        <v>0</v>
      </c>
      <c r="AG128" s="232">
        <f>'Field Log (32)'!$C136</f>
        <v>0</v>
      </c>
      <c r="AH128" s="232">
        <f>'Field Log (33)'!$C136</f>
        <v>0</v>
      </c>
      <c r="AI128" s="232">
        <f>'Field Log (34)'!$C136</f>
        <v>0</v>
      </c>
      <c r="AJ128" s="232">
        <f>'Field Log (35)'!$C136</f>
        <v>0</v>
      </c>
    </row>
    <row r="129" spans="2:36">
      <c r="B129" s="232">
        <f>'Field Log (1)'!C137</f>
        <v>0</v>
      </c>
      <c r="C129" s="232">
        <f>'Field Log (2)'!C137</f>
        <v>0</v>
      </c>
      <c r="D129" s="232">
        <f>'Field Log (3)'!C137</f>
        <v>0</v>
      </c>
      <c r="E129" s="232">
        <f>'Field Log (4)'!C137</f>
        <v>0</v>
      </c>
      <c r="F129" s="232">
        <f>'Field Log (5)'!C137</f>
        <v>0</v>
      </c>
      <c r="G129" s="232">
        <f>'Field Log (6)'!C137</f>
        <v>0</v>
      </c>
      <c r="H129" s="232">
        <f>'Field Log (7)'!C137</f>
        <v>0</v>
      </c>
      <c r="I129" s="232">
        <f>'Field Log (8)'!C137</f>
        <v>0</v>
      </c>
      <c r="J129" s="232">
        <f>'Field Log (9)'!C137</f>
        <v>0</v>
      </c>
      <c r="K129" s="232" t="str">
        <f>'Field Log (10)'!C137</f>
        <v>CT7</v>
      </c>
      <c r="L129" s="232">
        <f>'Field Log (11)'!C137</f>
        <v>0</v>
      </c>
      <c r="M129" s="232">
        <f>'Field Log (12)'!C137</f>
        <v>0</v>
      </c>
      <c r="N129" s="232">
        <f>'Field Log (13)'!C137</f>
        <v>0</v>
      </c>
      <c r="O129" s="232">
        <f>'Field Log (14)'!C137</f>
        <v>0</v>
      </c>
      <c r="P129" s="232">
        <f>'Field Log (15)'!$C137</f>
        <v>0</v>
      </c>
      <c r="Q129" s="232">
        <f>'Field Log (16)'!$C137</f>
        <v>0</v>
      </c>
      <c r="R129" s="232">
        <f>'Field Log (17)'!$C137</f>
        <v>0</v>
      </c>
      <c r="S129" s="232">
        <f>'Field Log (18)'!$C137</f>
        <v>0</v>
      </c>
      <c r="T129" s="232">
        <f>'Field Log (19)'!$C137</f>
        <v>0</v>
      </c>
      <c r="U129" s="232" t="str">
        <f>'Field Log (20)'!$C137</f>
        <v>SLD7</v>
      </c>
      <c r="V129" s="232">
        <f>'Field Log (21)'!$C137</f>
        <v>0</v>
      </c>
      <c r="W129" s="232">
        <f>'Field Log (22)'!$C137</f>
        <v>0</v>
      </c>
      <c r="X129" s="232">
        <f>'Field Log (23)'!$C137</f>
        <v>0</v>
      </c>
      <c r="Y129" s="232">
        <f>'Field Log (24)'!$C137</f>
        <v>0</v>
      </c>
      <c r="Z129" s="232">
        <f>'Field Log (25)'!$C137</f>
        <v>0</v>
      </c>
      <c r="AA129" s="232">
        <f>'Field Log (26)'!$C137</f>
        <v>0</v>
      </c>
      <c r="AB129" s="232">
        <f>'Field Log (27)'!$C137</f>
        <v>0</v>
      </c>
      <c r="AC129" s="232">
        <f>'Field Log (28)'!$C137</f>
        <v>0</v>
      </c>
      <c r="AD129" s="232">
        <f>'Field Log (29)'!$C137</f>
        <v>0</v>
      </c>
      <c r="AE129" s="232">
        <f>'Field Log (30)'!$C137</f>
        <v>0</v>
      </c>
      <c r="AF129" s="232">
        <f>'Field Log (31)'!$C137</f>
        <v>0</v>
      </c>
      <c r="AG129" s="232">
        <f>'Field Log (32)'!$C137</f>
        <v>0</v>
      </c>
      <c r="AH129" s="232">
        <f>'Field Log (33)'!$C137</f>
        <v>0</v>
      </c>
      <c r="AI129" s="232">
        <f>'Field Log (34)'!$C137</f>
        <v>0</v>
      </c>
      <c r="AJ129" s="232">
        <f>'Field Log (35)'!$C137</f>
        <v>0</v>
      </c>
    </row>
    <row r="130" spans="2:36">
      <c r="B130" s="232">
        <f>'Field Log (1)'!C138</f>
        <v>0</v>
      </c>
      <c r="C130" s="232">
        <f>'Field Log (2)'!C138</f>
        <v>0</v>
      </c>
      <c r="D130" s="232">
        <f>'Field Log (3)'!C138</f>
        <v>0</v>
      </c>
      <c r="E130" s="232">
        <f>'Field Log (4)'!C138</f>
        <v>0</v>
      </c>
      <c r="F130" s="232">
        <f>'Field Log (5)'!C138</f>
        <v>0</v>
      </c>
      <c r="G130" s="232">
        <f>'Field Log (6)'!C138</f>
        <v>0</v>
      </c>
      <c r="H130" s="232">
        <f>'Field Log (7)'!C138</f>
        <v>0</v>
      </c>
      <c r="I130" s="232">
        <f>'Field Log (8)'!C138</f>
        <v>0</v>
      </c>
      <c r="J130" s="232">
        <f>'Field Log (9)'!C138</f>
        <v>0</v>
      </c>
      <c r="K130" s="232" t="str">
        <f>'Field Log (10)'!C138</f>
        <v>CT8</v>
      </c>
      <c r="L130" s="232">
        <f>'Field Log (11)'!C138</f>
        <v>0</v>
      </c>
      <c r="M130" s="232">
        <f>'Field Log (12)'!C138</f>
        <v>0</v>
      </c>
      <c r="N130" s="232">
        <f>'Field Log (13)'!C138</f>
        <v>0</v>
      </c>
      <c r="O130" s="232">
        <f>'Field Log (14)'!C138</f>
        <v>0</v>
      </c>
      <c r="P130" s="232">
        <f>'Field Log (15)'!$C138</f>
        <v>0</v>
      </c>
      <c r="Q130" s="232">
        <f>'Field Log (16)'!$C138</f>
        <v>0</v>
      </c>
      <c r="R130" s="232">
        <f>'Field Log (17)'!$C138</f>
        <v>0</v>
      </c>
      <c r="S130" s="232">
        <f>'Field Log (18)'!$C138</f>
        <v>0</v>
      </c>
      <c r="T130" s="232">
        <f>'Field Log (19)'!$C138</f>
        <v>0</v>
      </c>
      <c r="U130" s="232" t="str">
        <f>'Field Log (20)'!$C138</f>
        <v>SLD8</v>
      </c>
      <c r="V130" s="232">
        <f>'Field Log (21)'!$C138</f>
        <v>0</v>
      </c>
      <c r="W130" s="232">
        <f>'Field Log (22)'!$C138</f>
        <v>0</v>
      </c>
      <c r="X130" s="232">
        <f>'Field Log (23)'!$C138</f>
        <v>0</v>
      </c>
      <c r="Y130" s="232">
        <f>'Field Log (24)'!$C138</f>
        <v>0</v>
      </c>
      <c r="Z130" s="232">
        <f>'Field Log (25)'!$C138</f>
        <v>0</v>
      </c>
      <c r="AA130" s="232">
        <f>'Field Log (26)'!$C138</f>
        <v>0</v>
      </c>
      <c r="AB130" s="232">
        <f>'Field Log (27)'!$C138</f>
        <v>0</v>
      </c>
      <c r="AC130" s="232">
        <f>'Field Log (28)'!$C138</f>
        <v>0</v>
      </c>
      <c r="AD130" s="232">
        <f>'Field Log (29)'!$C138</f>
        <v>0</v>
      </c>
      <c r="AE130" s="232">
        <f>'Field Log (30)'!$C138</f>
        <v>0</v>
      </c>
      <c r="AF130" s="232">
        <f>'Field Log (31)'!$C138</f>
        <v>0</v>
      </c>
      <c r="AG130" s="232">
        <f>'Field Log (32)'!$C138</f>
        <v>0</v>
      </c>
      <c r="AH130" s="232">
        <f>'Field Log (33)'!$C138</f>
        <v>0</v>
      </c>
      <c r="AI130" s="232">
        <f>'Field Log (34)'!$C138</f>
        <v>0</v>
      </c>
      <c r="AJ130" s="232">
        <f>'Field Log (35)'!$C138</f>
        <v>0</v>
      </c>
    </row>
    <row r="131" spans="2:36">
      <c r="B131" s="232">
        <f>'Field Log (1)'!C139</f>
        <v>0</v>
      </c>
      <c r="C131" s="232">
        <f>'Field Log (2)'!C139</f>
        <v>0</v>
      </c>
      <c r="D131" s="232">
        <f>'Field Log (3)'!C139</f>
        <v>0</v>
      </c>
      <c r="E131" s="232">
        <f>'Field Log (4)'!C139</f>
        <v>0</v>
      </c>
      <c r="F131" s="232">
        <f>'Field Log (5)'!C139</f>
        <v>0</v>
      </c>
      <c r="G131" s="232">
        <f>'Field Log (6)'!C139</f>
        <v>0</v>
      </c>
      <c r="H131" s="232">
        <f>'Field Log (7)'!C139</f>
        <v>0</v>
      </c>
      <c r="I131" s="232">
        <f>'Field Log (8)'!C139</f>
        <v>0</v>
      </c>
      <c r="J131" s="232">
        <f>'Field Log (9)'!C139</f>
        <v>0</v>
      </c>
      <c r="K131" s="232" t="str">
        <f>'Field Log (10)'!C139</f>
        <v>441T</v>
      </c>
      <c r="L131" s="232">
        <f>'Field Log (11)'!C139</f>
        <v>0</v>
      </c>
      <c r="M131" s="232">
        <f>'Field Log (12)'!C139</f>
        <v>0</v>
      </c>
      <c r="N131" s="232">
        <f>'Field Log (13)'!C139</f>
        <v>0</v>
      </c>
      <c r="O131" s="232">
        <f>'Field Log (14)'!C139</f>
        <v>0</v>
      </c>
      <c r="P131" s="232">
        <f>'Field Log (15)'!$C139</f>
        <v>0</v>
      </c>
      <c r="Q131" s="232">
        <f>'Field Log (16)'!$C139</f>
        <v>0</v>
      </c>
      <c r="R131" s="232">
        <f>'Field Log (17)'!$C139</f>
        <v>0</v>
      </c>
      <c r="S131" s="232">
        <f>'Field Log (18)'!$C139</f>
        <v>0</v>
      </c>
      <c r="T131" s="232">
        <f>'Field Log (19)'!$C139</f>
        <v>0</v>
      </c>
      <c r="U131" s="232" t="str">
        <f>'Field Log (20)'!$C139</f>
        <v>SLD9</v>
      </c>
      <c r="V131" s="232">
        <f>'Field Log (21)'!$C139</f>
        <v>0</v>
      </c>
      <c r="W131" s="232">
        <f>'Field Log (22)'!$C139</f>
        <v>0</v>
      </c>
      <c r="X131" s="232">
        <f>'Field Log (23)'!$C139</f>
        <v>0</v>
      </c>
      <c r="Y131" s="232">
        <f>'Field Log (24)'!$C139</f>
        <v>0</v>
      </c>
      <c r="Z131" s="232">
        <f>'Field Log (25)'!$C139</f>
        <v>0</v>
      </c>
      <c r="AA131" s="232">
        <f>'Field Log (26)'!$C139</f>
        <v>0</v>
      </c>
      <c r="AB131" s="232">
        <f>'Field Log (27)'!$C139</f>
        <v>0</v>
      </c>
      <c r="AC131" s="232">
        <f>'Field Log (28)'!$C139</f>
        <v>0</v>
      </c>
      <c r="AD131" s="232">
        <f>'Field Log (29)'!$C139</f>
        <v>0</v>
      </c>
      <c r="AE131" s="232">
        <f>'Field Log (30)'!$C139</f>
        <v>0</v>
      </c>
      <c r="AF131" s="232">
        <f>'Field Log (31)'!$C139</f>
        <v>0</v>
      </c>
      <c r="AG131" s="232">
        <f>'Field Log (32)'!$C139</f>
        <v>0</v>
      </c>
      <c r="AH131" s="232">
        <f>'Field Log (33)'!$C139</f>
        <v>0</v>
      </c>
      <c r="AI131" s="232">
        <f>'Field Log (34)'!$C139</f>
        <v>0</v>
      </c>
      <c r="AJ131" s="232">
        <f>'Field Log (35)'!$C139</f>
        <v>0</v>
      </c>
    </row>
    <row r="132" spans="2:36">
      <c r="B132" s="232">
        <f>'Field Log (1)'!C140</f>
        <v>0</v>
      </c>
      <c r="C132" s="232">
        <f>'Field Log (2)'!C140</f>
        <v>0</v>
      </c>
      <c r="D132" s="232">
        <f>'Field Log (3)'!C140</f>
        <v>0</v>
      </c>
      <c r="E132" s="232">
        <f>'Field Log (4)'!C140</f>
        <v>0</v>
      </c>
      <c r="F132" s="232">
        <f>'Field Log (5)'!C140</f>
        <v>0</v>
      </c>
      <c r="G132" s="232">
        <f>'Field Log (6)'!C140</f>
        <v>0</v>
      </c>
      <c r="H132" s="232">
        <f>'Field Log (7)'!C140</f>
        <v>0</v>
      </c>
      <c r="I132" s="232">
        <f>'Field Log (8)'!C140</f>
        <v>0</v>
      </c>
      <c r="J132" s="232">
        <f>'Field Log (9)'!C140</f>
        <v>0</v>
      </c>
      <c r="K132" s="232" t="str">
        <f>'Field Log (10)'!C140</f>
        <v>OR1324</v>
      </c>
      <c r="L132" s="232">
        <f>'Field Log (11)'!C140</f>
        <v>0</v>
      </c>
      <c r="M132" s="232">
        <f>'Field Log (12)'!C140</f>
        <v>0</v>
      </c>
      <c r="N132" s="232">
        <f>'Field Log (13)'!C140</f>
        <v>0</v>
      </c>
      <c r="O132" s="232">
        <f>'Field Log (14)'!C140</f>
        <v>0</v>
      </c>
      <c r="P132" s="232">
        <f>'Field Log (15)'!$C140</f>
        <v>0</v>
      </c>
      <c r="Q132" s="232">
        <f>'Field Log (16)'!$C140</f>
        <v>0</v>
      </c>
      <c r="R132" s="232">
        <f>'Field Log (17)'!$C140</f>
        <v>0</v>
      </c>
      <c r="S132" s="232">
        <f>'Field Log (18)'!$C140</f>
        <v>0</v>
      </c>
      <c r="T132" s="232">
        <f>'Field Log (19)'!$C140</f>
        <v>0</v>
      </c>
      <c r="U132" s="232" t="str">
        <f>'Field Log (20)'!$C140</f>
        <v>SA11-018d</v>
      </c>
      <c r="V132" s="232">
        <f>'Field Log (21)'!$C140</f>
        <v>0</v>
      </c>
      <c r="W132" s="232">
        <f>'Field Log (22)'!$C140</f>
        <v>0</v>
      </c>
      <c r="X132" s="232">
        <f>'Field Log (23)'!$C140</f>
        <v>0</v>
      </c>
      <c r="Y132" s="232">
        <f>'Field Log (24)'!$C140</f>
        <v>0</v>
      </c>
      <c r="Z132" s="232">
        <f>'Field Log (25)'!$C140</f>
        <v>0</v>
      </c>
      <c r="AA132" s="232">
        <f>'Field Log (26)'!$C140</f>
        <v>0</v>
      </c>
      <c r="AB132" s="232">
        <f>'Field Log (27)'!$C140</f>
        <v>0</v>
      </c>
      <c r="AC132" s="232">
        <f>'Field Log (28)'!$C140</f>
        <v>0</v>
      </c>
      <c r="AD132" s="232">
        <f>'Field Log (29)'!$C140</f>
        <v>0</v>
      </c>
      <c r="AE132" s="232">
        <f>'Field Log (30)'!$C140</f>
        <v>0</v>
      </c>
      <c r="AF132" s="232">
        <f>'Field Log (31)'!$C140</f>
        <v>0</v>
      </c>
      <c r="AG132" s="232">
        <f>'Field Log (32)'!$C140</f>
        <v>0</v>
      </c>
      <c r="AH132" s="232">
        <f>'Field Log (33)'!$C140</f>
        <v>0</v>
      </c>
      <c r="AI132" s="232">
        <f>'Field Log (34)'!$C140</f>
        <v>0</v>
      </c>
      <c r="AJ132" s="232">
        <f>'Field Log (35)'!$C140</f>
        <v>0</v>
      </c>
    </row>
    <row r="133" spans="2:36">
      <c r="B133" s="232">
        <f>'Field Log (1)'!C141</f>
        <v>0</v>
      </c>
      <c r="C133" s="232">
        <f>'Field Log (2)'!C141</f>
        <v>0</v>
      </c>
      <c r="D133" s="232">
        <f>'Field Log (3)'!C141</f>
        <v>0</v>
      </c>
      <c r="E133" s="232">
        <f>'Field Log (4)'!C141</f>
        <v>0</v>
      </c>
      <c r="F133" s="232">
        <f>'Field Log (5)'!C141</f>
        <v>0</v>
      </c>
      <c r="G133" s="232">
        <f>'Field Log (6)'!C141</f>
        <v>0</v>
      </c>
      <c r="H133" s="232">
        <f>'Field Log (7)'!C141</f>
        <v>0</v>
      </c>
      <c r="I133" s="232">
        <f>'Field Log (8)'!C141</f>
        <v>0</v>
      </c>
      <c r="J133" s="232">
        <f>'Field Log (9)'!C141</f>
        <v>0</v>
      </c>
      <c r="K133" s="232" t="str">
        <f>'Field Log (10)'!C141</f>
        <v>OR1110</v>
      </c>
      <c r="L133" s="232">
        <f>'Field Log (11)'!C141</f>
        <v>0</v>
      </c>
      <c r="M133" s="232">
        <f>'Field Log (12)'!C141</f>
        <v>0</v>
      </c>
      <c r="N133" s="232">
        <f>'Field Log (13)'!C141</f>
        <v>0</v>
      </c>
      <c r="O133" s="232">
        <f>'Field Log (14)'!C141</f>
        <v>0</v>
      </c>
      <c r="P133" s="232">
        <f>'Field Log (15)'!$C141</f>
        <v>0</v>
      </c>
      <c r="Q133" s="232">
        <f>'Field Log (16)'!$C141</f>
        <v>0</v>
      </c>
      <c r="R133" s="232">
        <f>'Field Log (17)'!$C141</f>
        <v>0</v>
      </c>
      <c r="S133" s="232">
        <f>'Field Log (18)'!$C141</f>
        <v>0</v>
      </c>
      <c r="T133" s="232">
        <f>'Field Log (19)'!$C141</f>
        <v>0</v>
      </c>
      <c r="U133" s="232" t="str">
        <f>'Field Log (20)'!$C141</f>
        <v>OR1846</v>
      </c>
      <c r="V133" s="232">
        <f>'Field Log (21)'!$C141</f>
        <v>0</v>
      </c>
      <c r="W133" s="232">
        <f>'Field Log (22)'!$C141</f>
        <v>0</v>
      </c>
      <c r="X133" s="232">
        <f>'Field Log (23)'!$C141</f>
        <v>0</v>
      </c>
      <c r="Y133" s="232">
        <f>'Field Log (24)'!$C141</f>
        <v>0</v>
      </c>
      <c r="Z133" s="232">
        <f>'Field Log (25)'!$C141</f>
        <v>0</v>
      </c>
      <c r="AA133" s="232">
        <f>'Field Log (26)'!$C141</f>
        <v>0</v>
      </c>
      <c r="AB133" s="232">
        <f>'Field Log (27)'!$C141</f>
        <v>0</v>
      </c>
      <c r="AC133" s="232">
        <f>'Field Log (28)'!$C141</f>
        <v>0</v>
      </c>
      <c r="AD133" s="232">
        <f>'Field Log (29)'!$C141</f>
        <v>0</v>
      </c>
      <c r="AE133" s="232">
        <f>'Field Log (30)'!$C141</f>
        <v>0</v>
      </c>
      <c r="AF133" s="232">
        <f>'Field Log (31)'!$C141</f>
        <v>0</v>
      </c>
      <c r="AG133" s="232">
        <f>'Field Log (32)'!$C141</f>
        <v>0</v>
      </c>
      <c r="AH133" s="232">
        <f>'Field Log (33)'!$C141</f>
        <v>0</v>
      </c>
      <c r="AI133" s="232">
        <f>'Field Log (34)'!$C141</f>
        <v>0</v>
      </c>
      <c r="AJ133" s="232">
        <f>'Field Log (35)'!$C141</f>
        <v>0</v>
      </c>
    </row>
    <row r="134" spans="2:36">
      <c r="B134" s="232">
        <f>'Field Log (1)'!C142</f>
        <v>0</v>
      </c>
      <c r="C134" s="232">
        <f>'Field Log (2)'!C142</f>
        <v>0</v>
      </c>
      <c r="D134" s="232">
        <f>'Field Log (3)'!C142</f>
        <v>0</v>
      </c>
      <c r="E134" s="232">
        <f>'Field Log (4)'!C142</f>
        <v>0</v>
      </c>
      <c r="F134" s="232">
        <f>'Field Log (5)'!C142</f>
        <v>0</v>
      </c>
      <c r="G134" s="232">
        <f>'Field Log (6)'!C142</f>
        <v>0</v>
      </c>
      <c r="H134" s="232">
        <f>'Field Log (7)'!C142</f>
        <v>0</v>
      </c>
      <c r="I134" s="232">
        <f>'Field Log (8)'!C142</f>
        <v>0</v>
      </c>
      <c r="J134" s="232">
        <f>'Field Log (9)'!C142</f>
        <v>0</v>
      </c>
      <c r="K134" s="232" t="str">
        <f>'Field Log (10)'!C142</f>
        <v>OR1114</v>
      </c>
      <c r="L134" s="232">
        <f>'Field Log (11)'!C142</f>
        <v>0</v>
      </c>
      <c r="M134" s="232">
        <f>'Field Log (12)'!C142</f>
        <v>0</v>
      </c>
      <c r="N134" s="232">
        <f>'Field Log (13)'!C142</f>
        <v>0</v>
      </c>
      <c r="O134" s="232">
        <f>'Field Log (14)'!C142</f>
        <v>0</v>
      </c>
      <c r="P134" s="232">
        <f>'Field Log (15)'!$C142</f>
        <v>0</v>
      </c>
      <c r="Q134" s="232">
        <f>'Field Log (16)'!$C142</f>
        <v>0</v>
      </c>
      <c r="R134" s="232">
        <f>'Field Log (17)'!$C142</f>
        <v>0</v>
      </c>
      <c r="S134" s="232">
        <f>'Field Log (18)'!$C142</f>
        <v>0</v>
      </c>
      <c r="T134" s="232">
        <f>'Field Log (19)'!$C142</f>
        <v>0</v>
      </c>
      <c r="U134" s="232" t="str">
        <f>'Field Log (20)'!$C142</f>
        <v>OR1762d</v>
      </c>
      <c r="V134" s="232">
        <f>'Field Log (21)'!$C142</f>
        <v>0</v>
      </c>
      <c r="W134" s="232">
        <f>'Field Log (22)'!$C142</f>
        <v>0</v>
      </c>
      <c r="X134" s="232">
        <f>'Field Log (23)'!$C142</f>
        <v>0</v>
      </c>
      <c r="Y134" s="232">
        <f>'Field Log (24)'!$C142</f>
        <v>0</v>
      </c>
      <c r="Z134" s="232">
        <f>'Field Log (25)'!$C142</f>
        <v>0</v>
      </c>
      <c r="AA134" s="232">
        <f>'Field Log (26)'!$C142</f>
        <v>0</v>
      </c>
      <c r="AB134" s="232">
        <f>'Field Log (27)'!$C142</f>
        <v>0</v>
      </c>
      <c r="AC134" s="232">
        <f>'Field Log (28)'!$C142</f>
        <v>0</v>
      </c>
      <c r="AD134" s="232">
        <f>'Field Log (29)'!$C142</f>
        <v>0</v>
      </c>
      <c r="AE134" s="232">
        <f>'Field Log (30)'!$C142</f>
        <v>0</v>
      </c>
      <c r="AF134" s="232">
        <f>'Field Log (31)'!$C142</f>
        <v>0</v>
      </c>
      <c r="AG134" s="232">
        <f>'Field Log (32)'!$C142</f>
        <v>0</v>
      </c>
      <c r="AH134" s="232">
        <f>'Field Log (33)'!$C142</f>
        <v>0</v>
      </c>
      <c r="AI134" s="232">
        <f>'Field Log (34)'!$C142</f>
        <v>0</v>
      </c>
      <c r="AJ134" s="232">
        <f>'Field Log (35)'!$C142</f>
        <v>0</v>
      </c>
    </row>
    <row r="135" spans="2:36">
      <c r="B135" s="232">
        <f>'Field Log (1)'!C143</f>
        <v>0</v>
      </c>
      <c r="C135" s="232">
        <f>'Field Log (2)'!C143</f>
        <v>0</v>
      </c>
      <c r="D135" s="232">
        <f>'Field Log (3)'!C143</f>
        <v>0</v>
      </c>
      <c r="E135" s="232">
        <f>'Field Log (4)'!C143</f>
        <v>0</v>
      </c>
      <c r="F135" s="232">
        <f>'Field Log (5)'!C143</f>
        <v>0</v>
      </c>
      <c r="G135" s="232">
        <f>'Field Log (6)'!C143</f>
        <v>0</v>
      </c>
      <c r="H135" s="232">
        <f>'Field Log (7)'!C143</f>
        <v>0</v>
      </c>
      <c r="I135" s="232">
        <f>'Field Log (8)'!C143</f>
        <v>0</v>
      </c>
      <c r="J135" s="232">
        <f>'Field Log (9)'!C143</f>
        <v>0</v>
      </c>
      <c r="K135" s="232" t="str">
        <f>'Field Log (10)'!C143</f>
        <v>OR1192</v>
      </c>
      <c r="L135" s="232">
        <f>'Field Log (11)'!C143</f>
        <v>0</v>
      </c>
      <c r="M135" s="232">
        <f>'Field Log (12)'!C143</f>
        <v>0</v>
      </c>
      <c r="N135" s="232">
        <f>'Field Log (13)'!C143</f>
        <v>0</v>
      </c>
      <c r="O135" s="232">
        <f>'Field Log (14)'!C143</f>
        <v>0</v>
      </c>
      <c r="P135" s="232">
        <f>'Field Log (15)'!$C143</f>
        <v>0</v>
      </c>
      <c r="Q135" s="232">
        <f>'Field Log (16)'!$C143</f>
        <v>0</v>
      </c>
      <c r="R135" s="232">
        <f>'Field Log (17)'!$C143</f>
        <v>0</v>
      </c>
      <c r="S135" s="232">
        <f>'Field Log (18)'!$C143</f>
        <v>0</v>
      </c>
      <c r="T135" s="232">
        <f>'Field Log (19)'!$C143</f>
        <v>0</v>
      </c>
      <c r="U135" s="232" t="str">
        <f>'Field Log (20)'!$C143</f>
        <v>OR1215</v>
      </c>
      <c r="V135" s="232">
        <f>'Field Log (21)'!$C143</f>
        <v>0</v>
      </c>
      <c r="W135" s="232">
        <f>'Field Log (22)'!$C143</f>
        <v>0</v>
      </c>
      <c r="X135" s="232">
        <f>'Field Log (23)'!$C143</f>
        <v>0</v>
      </c>
      <c r="Y135" s="232">
        <f>'Field Log (24)'!$C143</f>
        <v>0</v>
      </c>
      <c r="Z135" s="232">
        <f>'Field Log (25)'!$C143</f>
        <v>0</v>
      </c>
      <c r="AA135" s="232">
        <f>'Field Log (26)'!$C143</f>
        <v>0</v>
      </c>
      <c r="AB135" s="232">
        <f>'Field Log (27)'!$C143</f>
        <v>0</v>
      </c>
      <c r="AC135" s="232">
        <f>'Field Log (28)'!$C143</f>
        <v>0</v>
      </c>
      <c r="AD135" s="232">
        <f>'Field Log (29)'!$C143</f>
        <v>0</v>
      </c>
      <c r="AE135" s="232">
        <f>'Field Log (30)'!$C143</f>
        <v>0</v>
      </c>
      <c r="AF135" s="232">
        <f>'Field Log (31)'!$C143</f>
        <v>0</v>
      </c>
      <c r="AG135" s="232">
        <f>'Field Log (32)'!$C143</f>
        <v>0</v>
      </c>
      <c r="AH135" s="232">
        <f>'Field Log (33)'!$C143</f>
        <v>0</v>
      </c>
      <c r="AI135" s="232">
        <f>'Field Log (34)'!$C143</f>
        <v>0</v>
      </c>
      <c r="AJ135" s="232">
        <f>'Field Log (35)'!$C143</f>
        <v>0</v>
      </c>
    </row>
    <row r="136" spans="2:36">
      <c r="B136" s="232">
        <f>'Field Log (1)'!C144</f>
        <v>0</v>
      </c>
      <c r="C136" s="232">
        <f>'Field Log (2)'!C144</f>
        <v>0</v>
      </c>
      <c r="D136" s="232">
        <f>'Field Log (3)'!C144</f>
        <v>0</v>
      </c>
      <c r="E136" s="232">
        <f>'Field Log (4)'!C144</f>
        <v>0</v>
      </c>
      <c r="F136" s="232">
        <f>'Field Log (5)'!C144</f>
        <v>0</v>
      </c>
      <c r="G136" s="232">
        <f>'Field Log (6)'!C144</f>
        <v>0</v>
      </c>
      <c r="H136" s="232">
        <f>'Field Log (7)'!C144</f>
        <v>0</v>
      </c>
      <c r="I136" s="232">
        <f>'Field Log (8)'!C144</f>
        <v>0</v>
      </c>
      <c r="J136" s="232">
        <f>'Field Log (9)'!C144</f>
        <v>0</v>
      </c>
      <c r="K136" s="232" t="str">
        <f>'Field Log (10)'!C144</f>
        <v>OR1764</v>
      </c>
      <c r="L136" s="232">
        <f>'Field Log (11)'!C144</f>
        <v>0</v>
      </c>
      <c r="M136" s="232">
        <f>'Field Log (12)'!C144</f>
        <v>0</v>
      </c>
      <c r="N136" s="232">
        <f>'Field Log (13)'!C144</f>
        <v>0</v>
      </c>
      <c r="O136" s="232">
        <f>'Field Log (14)'!C144</f>
        <v>0</v>
      </c>
      <c r="P136" s="232">
        <f>'Field Log (15)'!$C144</f>
        <v>0</v>
      </c>
      <c r="Q136" s="232">
        <f>'Field Log (16)'!$C144</f>
        <v>0</v>
      </c>
      <c r="R136" s="232">
        <f>'Field Log (17)'!$C144</f>
        <v>0</v>
      </c>
      <c r="S136" s="232">
        <f>'Field Log (18)'!$C144</f>
        <v>0</v>
      </c>
      <c r="T136" s="232">
        <f>'Field Log (19)'!$C144</f>
        <v>0</v>
      </c>
      <c r="U136" s="232" t="str">
        <f>'Field Log (20)'!$C144</f>
        <v>OR1197</v>
      </c>
      <c r="V136" s="232">
        <f>'Field Log (21)'!$C144</f>
        <v>0</v>
      </c>
      <c r="W136" s="232">
        <f>'Field Log (22)'!$C144</f>
        <v>0</v>
      </c>
      <c r="X136" s="232">
        <f>'Field Log (23)'!$C144</f>
        <v>0</v>
      </c>
      <c r="Y136" s="232">
        <f>'Field Log (24)'!$C144</f>
        <v>0</v>
      </c>
      <c r="Z136" s="232">
        <f>'Field Log (25)'!$C144</f>
        <v>0</v>
      </c>
      <c r="AA136" s="232">
        <f>'Field Log (26)'!$C144</f>
        <v>0</v>
      </c>
      <c r="AB136" s="232">
        <f>'Field Log (27)'!$C144</f>
        <v>0</v>
      </c>
      <c r="AC136" s="232">
        <f>'Field Log (28)'!$C144</f>
        <v>0</v>
      </c>
      <c r="AD136" s="232">
        <f>'Field Log (29)'!$C144</f>
        <v>0</v>
      </c>
      <c r="AE136" s="232">
        <f>'Field Log (30)'!$C144</f>
        <v>0</v>
      </c>
      <c r="AF136" s="232">
        <f>'Field Log (31)'!$C144</f>
        <v>0</v>
      </c>
      <c r="AG136" s="232">
        <f>'Field Log (32)'!$C144</f>
        <v>0</v>
      </c>
      <c r="AH136" s="232">
        <f>'Field Log (33)'!$C144</f>
        <v>0</v>
      </c>
      <c r="AI136" s="232">
        <f>'Field Log (34)'!$C144</f>
        <v>0</v>
      </c>
      <c r="AJ136" s="232">
        <f>'Field Log (35)'!$C144</f>
        <v>0</v>
      </c>
    </row>
    <row r="137" spans="2:36">
      <c r="B137" s="232">
        <f>'Field Log (1)'!C145</f>
        <v>0</v>
      </c>
      <c r="C137" s="232">
        <f>'Field Log (2)'!C145</f>
        <v>0</v>
      </c>
      <c r="D137" s="232">
        <f>'Field Log (3)'!C145</f>
        <v>0</v>
      </c>
      <c r="E137" s="232">
        <f>'Field Log (4)'!C145</f>
        <v>0</v>
      </c>
      <c r="F137" s="232">
        <f>'Field Log (5)'!C145</f>
        <v>0</v>
      </c>
      <c r="G137" s="232">
        <f>'Field Log (6)'!C145</f>
        <v>0</v>
      </c>
      <c r="H137" s="232">
        <f>'Field Log (7)'!C145</f>
        <v>0</v>
      </c>
      <c r="I137" s="232">
        <f>'Field Log (8)'!C145</f>
        <v>0</v>
      </c>
      <c r="J137" s="232">
        <f>'Field Log (9)'!C145</f>
        <v>0</v>
      </c>
      <c r="K137" s="232" t="str">
        <f>'Field Log (10)'!C145</f>
        <v>OR1475</v>
      </c>
      <c r="L137" s="232">
        <f>'Field Log (11)'!C145</f>
        <v>0</v>
      </c>
      <c r="M137" s="232">
        <f>'Field Log (12)'!C145</f>
        <v>0</v>
      </c>
      <c r="N137" s="232">
        <f>'Field Log (13)'!C145</f>
        <v>0</v>
      </c>
      <c r="O137" s="232">
        <f>'Field Log (14)'!C145</f>
        <v>0</v>
      </c>
      <c r="P137" s="232">
        <f>'Field Log (15)'!$C145</f>
        <v>0</v>
      </c>
      <c r="Q137" s="232">
        <f>'Field Log (16)'!$C145</f>
        <v>0</v>
      </c>
      <c r="R137" s="232">
        <f>'Field Log (17)'!$C145</f>
        <v>0</v>
      </c>
      <c r="S137" s="232">
        <f>'Field Log (18)'!$C145</f>
        <v>0</v>
      </c>
      <c r="T137" s="232">
        <f>'Field Log (19)'!$C145</f>
        <v>0</v>
      </c>
      <c r="U137" s="232" t="str">
        <f>'Field Log (20)'!$C145</f>
        <v>OR1404</v>
      </c>
      <c r="V137" s="232">
        <f>'Field Log (21)'!$C145</f>
        <v>0</v>
      </c>
      <c r="W137" s="232">
        <f>'Field Log (22)'!$C145</f>
        <v>0</v>
      </c>
      <c r="X137" s="232">
        <f>'Field Log (23)'!$C145</f>
        <v>0</v>
      </c>
      <c r="Y137" s="232">
        <f>'Field Log (24)'!$C145</f>
        <v>0</v>
      </c>
      <c r="Z137" s="232">
        <f>'Field Log (25)'!$C145</f>
        <v>0</v>
      </c>
      <c r="AA137" s="232">
        <f>'Field Log (26)'!$C145</f>
        <v>0</v>
      </c>
      <c r="AB137" s="232">
        <f>'Field Log (27)'!$C145</f>
        <v>0</v>
      </c>
      <c r="AC137" s="232">
        <f>'Field Log (28)'!$C145</f>
        <v>0</v>
      </c>
      <c r="AD137" s="232">
        <f>'Field Log (29)'!$C145</f>
        <v>0</v>
      </c>
      <c r="AE137" s="232">
        <f>'Field Log (30)'!$C145</f>
        <v>0</v>
      </c>
      <c r="AF137" s="232">
        <f>'Field Log (31)'!$C145</f>
        <v>0</v>
      </c>
      <c r="AG137" s="232">
        <f>'Field Log (32)'!$C145</f>
        <v>0</v>
      </c>
      <c r="AH137" s="232">
        <f>'Field Log (33)'!$C145</f>
        <v>0</v>
      </c>
      <c r="AI137" s="232">
        <f>'Field Log (34)'!$C145</f>
        <v>0</v>
      </c>
      <c r="AJ137" s="232">
        <f>'Field Log (35)'!$C145</f>
        <v>0</v>
      </c>
    </row>
    <row r="138" spans="2:36">
      <c r="B138" s="232">
        <f>'Field Log (1)'!C146</f>
        <v>0</v>
      </c>
      <c r="C138" s="232">
        <f>'Field Log (2)'!C146</f>
        <v>0</v>
      </c>
      <c r="D138" s="232">
        <f>'Field Log (3)'!C146</f>
        <v>0</v>
      </c>
      <c r="E138" s="232">
        <f>'Field Log (4)'!C146</f>
        <v>0</v>
      </c>
      <c r="F138" s="232">
        <f>'Field Log (5)'!C146</f>
        <v>0</v>
      </c>
      <c r="G138" s="232">
        <f>'Field Log (6)'!C146</f>
        <v>0</v>
      </c>
      <c r="H138" s="232">
        <f>'Field Log (7)'!C146</f>
        <v>0</v>
      </c>
      <c r="I138" s="232">
        <f>'Field Log (8)'!C146</f>
        <v>0</v>
      </c>
      <c r="J138" s="232">
        <f>'Field Log (9)'!C146</f>
        <v>0</v>
      </c>
      <c r="K138" s="232" t="str">
        <f>'Field Log (10)'!C146</f>
        <v>SA9-020</v>
      </c>
      <c r="L138" s="232">
        <f>'Field Log (11)'!C146</f>
        <v>0</v>
      </c>
      <c r="M138" s="232">
        <f>'Field Log (12)'!C146</f>
        <v>0</v>
      </c>
      <c r="N138" s="232">
        <f>'Field Log (13)'!C146</f>
        <v>0</v>
      </c>
      <c r="O138" s="232">
        <f>'Field Log (14)'!C146</f>
        <v>0</v>
      </c>
      <c r="P138" s="232">
        <f>'Field Log (15)'!$C146</f>
        <v>0</v>
      </c>
      <c r="Q138" s="232">
        <f>'Field Log (16)'!$C146</f>
        <v>0</v>
      </c>
      <c r="R138" s="232">
        <f>'Field Log (17)'!$C146</f>
        <v>0</v>
      </c>
      <c r="S138" s="232">
        <f>'Field Log (18)'!$C146</f>
        <v>0</v>
      </c>
      <c r="T138" s="232">
        <f>'Field Log (19)'!$C146</f>
        <v>0</v>
      </c>
      <c r="U138" s="232" t="str">
        <f>'Field Log (20)'!$C146</f>
        <v>OR1405</v>
      </c>
      <c r="V138" s="232">
        <f>'Field Log (21)'!$C146</f>
        <v>0</v>
      </c>
      <c r="W138" s="232">
        <f>'Field Log (22)'!$C146</f>
        <v>0</v>
      </c>
      <c r="X138" s="232">
        <f>'Field Log (23)'!$C146</f>
        <v>0</v>
      </c>
      <c r="Y138" s="232">
        <f>'Field Log (24)'!$C146</f>
        <v>0</v>
      </c>
      <c r="Z138" s="232">
        <f>'Field Log (25)'!$C146</f>
        <v>0</v>
      </c>
      <c r="AA138" s="232">
        <f>'Field Log (26)'!$C146</f>
        <v>0</v>
      </c>
      <c r="AB138" s="232">
        <f>'Field Log (27)'!$C146</f>
        <v>0</v>
      </c>
      <c r="AC138" s="232">
        <f>'Field Log (28)'!$C146</f>
        <v>0</v>
      </c>
      <c r="AD138" s="232">
        <f>'Field Log (29)'!$C146</f>
        <v>0</v>
      </c>
      <c r="AE138" s="232">
        <f>'Field Log (30)'!$C146</f>
        <v>0</v>
      </c>
      <c r="AF138" s="232">
        <f>'Field Log (31)'!$C146</f>
        <v>0</v>
      </c>
      <c r="AG138" s="232">
        <f>'Field Log (32)'!$C146</f>
        <v>0</v>
      </c>
      <c r="AH138" s="232">
        <f>'Field Log (33)'!$C146</f>
        <v>0</v>
      </c>
      <c r="AI138" s="232">
        <f>'Field Log (34)'!$C146</f>
        <v>0</v>
      </c>
      <c r="AJ138" s="232">
        <f>'Field Log (35)'!$C146</f>
        <v>0</v>
      </c>
    </row>
    <row r="139" spans="2:36">
      <c r="B139" s="232">
        <f>'Field Log (1)'!C147</f>
        <v>0</v>
      </c>
      <c r="C139" s="232">
        <f>'Field Log (2)'!C147</f>
        <v>0</v>
      </c>
      <c r="D139" s="232">
        <f>'Field Log (3)'!C147</f>
        <v>0</v>
      </c>
      <c r="E139" s="232">
        <f>'Field Log (4)'!C147</f>
        <v>0</v>
      </c>
      <c r="F139" s="232">
        <f>'Field Log (5)'!C147</f>
        <v>0</v>
      </c>
      <c r="G139" s="232">
        <f>'Field Log (6)'!C147</f>
        <v>0</v>
      </c>
      <c r="H139" s="232">
        <f>'Field Log (7)'!C147</f>
        <v>0</v>
      </c>
      <c r="I139" s="232">
        <f>'Field Log (8)'!C147</f>
        <v>0</v>
      </c>
      <c r="J139" s="232">
        <f>'Field Log (9)'!C147</f>
        <v>0</v>
      </c>
      <c r="K139" s="232" t="str">
        <f>'Field Log (10)'!C147</f>
        <v>480T</v>
      </c>
      <c r="L139" s="232">
        <f>'Field Log (11)'!C147</f>
        <v>0</v>
      </c>
      <c r="M139" s="232">
        <f>'Field Log (12)'!C147</f>
        <v>0</v>
      </c>
      <c r="N139" s="232">
        <f>'Field Log (13)'!C147</f>
        <v>0</v>
      </c>
      <c r="O139" s="232">
        <f>'Field Log (14)'!C147</f>
        <v>0</v>
      </c>
      <c r="P139" s="232">
        <f>'Field Log (15)'!$C147</f>
        <v>0</v>
      </c>
      <c r="Q139" s="232">
        <f>'Field Log (16)'!$C147</f>
        <v>0</v>
      </c>
      <c r="R139" s="232">
        <f>'Field Log (17)'!$C147</f>
        <v>0</v>
      </c>
      <c r="S139" s="232">
        <f>'Field Log (18)'!$C147</f>
        <v>0</v>
      </c>
      <c r="T139" s="232">
        <f>'Field Log (19)'!$C147</f>
        <v>0</v>
      </c>
      <c r="U139" s="232" t="str">
        <f>'Field Log (20)'!$C147</f>
        <v>OR1406</v>
      </c>
      <c r="V139" s="232">
        <f>'Field Log (21)'!$C147</f>
        <v>0</v>
      </c>
      <c r="W139" s="232">
        <f>'Field Log (22)'!$C147</f>
        <v>0</v>
      </c>
      <c r="X139" s="232">
        <f>'Field Log (23)'!$C147</f>
        <v>0</v>
      </c>
      <c r="Y139" s="232">
        <f>'Field Log (24)'!$C147</f>
        <v>0</v>
      </c>
      <c r="Z139" s="232">
        <f>'Field Log (25)'!$C147</f>
        <v>0</v>
      </c>
      <c r="AA139" s="232">
        <f>'Field Log (26)'!$C147</f>
        <v>0</v>
      </c>
      <c r="AB139" s="232">
        <f>'Field Log (27)'!$C147</f>
        <v>0</v>
      </c>
      <c r="AC139" s="232">
        <f>'Field Log (28)'!$C147</f>
        <v>0</v>
      </c>
      <c r="AD139" s="232">
        <f>'Field Log (29)'!$C147</f>
        <v>0</v>
      </c>
      <c r="AE139" s="232">
        <f>'Field Log (30)'!$C147</f>
        <v>0</v>
      </c>
      <c r="AF139" s="232">
        <f>'Field Log (31)'!$C147</f>
        <v>0</v>
      </c>
      <c r="AG139" s="232">
        <f>'Field Log (32)'!$C147</f>
        <v>0</v>
      </c>
      <c r="AH139" s="232">
        <f>'Field Log (33)'!$C147</f>
        <v>0</v>
      </c>
      <c r="AI139" s="232">
        <f>'Field Log (34)'!$C147</f>
        <v>0</v>
      </c>
      <c r="AJ139" s="232">
        <f>'Field Log (35)'!$C147</f>
        <v>0</v>
      </c>
    </row>
    <row r="140" spans="2:36">
      <c r="B140" s="232">
        <f>'Field Log (1)'!C148</f>
        <v>0</v>
      </c>
      <c r="C140" s="232">
        <f>'Field Log (2)'!C148</f>
        <v>0</v>
      </c>
      <c r="D140" s="232">
        <f>'Field Log (3)'!C148</f>
        <v>0</v>
      </c>
      <c r="E140" s="232">
        <f>'Field Log (4)'!C148</f>
        <v>0</v>
      </c>
      <c r="F140" s="232">
        <f>'Field Log (5)'!C148</f>
        <v>0</v>
      </c>
      <c r="G140" s="232">
        <f>'Field Log (6)'!C148</f>
        <v>0</v>
      </c>
      <c r="H140" s="232">
        <f>'Field Log (7)'!C148</f>
        <v>0</v>
      </c>
      <c r="I140" s="232">
        <f>'Field Log (8)'!C148</f>
        <v>0</v>
      </c>
      <c r="J140" s="232">
        <f>'Field Log (9)'!C148</f>
        <v>0</v>
      </c>
      <c r="K140" s="232" t="str">
        <f>'Field Log (10)'!C148</f>
        <v>481T</v>
      </c>
      <c r="L140" s="232">
        <f>'Field Log (11)'!C148</f>
        <v>0</v>
      </c>
      <c r="M140" s="232">
        <f>'Field Log (12)'!C148</f>
        <v>0</v>
      </c>
      <c r="N140" s="232">
        <f>'Field Log (13)'!C148</f>
        <v>0</v>
      </c>
      <c r="O140" s="232">
        <f>'Field Log (14)'!C148</f>
        <v>0</v>
      </c>
      <c r="P140" s="232">
        <f>'Field Log (15)'!$C148</f>
        <v>0</v>
      </c>
      <c r="Q140" s="232">
        <f>'Field Log (16)'!$C148</f>
        <v>0</v>
      </c>
      <c r="R140" s="232">
        <f>'Field Log (17)'!$C148</f>
        <v>0</v>
      </c>
      <c r="S140" s="232">
        <f>'Field Log (18)'!$C148</f>
        <v>0</v>
      </c>
      <c r="T140" s="232">
        <f>'Field Log (19)'!$C148</f>
        <v>0</v>
      </c>
      <c r="U140" s="232" t="str">
        <f>'Field Log (20)'!$C148</f>
        <v>OR1407</v>
      </c>
      <c r="V140" s="232">
        <f>'Field Log (21)'!$C148</f>
        <v>0</v>
      </c>
      <c r="W140" s="232">
        <f>'Field Log (22)'!$C148</f>
        <v>0</v>
      </c>
      <c r="X140" s="232">
        <f>'Field Log (23)'!$C148</f>
        <v>0</v>
      </c>
      <c r="Y140" s="232">
        <f>'Field Log (24)'!$C148</f>
        <v>0</v>
      </c>
      <c r="Z140" s="232">
        <f>'Field Log (25)'!$C148</f>
        <v>0</v>
      </c>
      <c r="AA140" s="232">
        <f>'Field Log (26)'!$C148</f>
        <v>0</v>
      </c>
      <c r="AB140" s="232">
        <f>'Field Log (27)'!$C148</f>
        <v>0</v>
      </c>
      <c r="AC140" s="232">
        <f>'Field Log (28)'!$C148</f>
        <v>0</v>
      </c>
      <c r="AD140" s="232">
        <f>'Field Log (29)'!$C148</f>
        <v>0</v>
      </c>
      <c r="AE140" s="232">
        <f>'Field Log (30)'!$C148</f>
        <v>0</v>
      </c>
      <c r="AF140" s="232">
        <f>'Field Log (31)'!$C148</f>
        <v>0</v>
      </c>
      <c r="AG140" s="232">
        <f>'Field Log (32)'!$C148</f>
        <v>0</v>
      </c>
      <c r="AH140" s="232">
        <f>'Field Log (33)'!$C148</f>
        <v>0</v>
      </c>
      <c r="AI140" s="232">
        <f>'Field Log (34)'!$C148</f>
        <v>0</v>
      </c>
      <c r="AJ140" s="232">
        <f>'Field Log (35)'!$C148</f>
        <v>0</v>
      </c>
    </row>
    <row r="141" spans="2:36">
      <c r="B141" s="232">
        <f>'Field Log (1)'!C149</f>
        <v>0</v>
      </c>
      <c r="C141" s="232">
        <f>'Field Log (2)'!C149</f>
        <v>0</v>
      </c>
      <c r="D141" s="232">
        <f>'Field Log (3)'!C149</f>
        <v>0</v>
      </c>
      <c r="E141" s="232">
        <f>'Field Log (4)'!C149</f>
        <v>0</v>
      </c>
      <c r="F141" s="232">
        <f>'Field Log (5)'!C149</f>
        <v>0</v>
      </c>
      <c r="G141" s="232">
        <f>'Field Log (6)'!C149</f>
        <v>0</v>
      </c>
      <c r="H141" s="232">
        <f>'Field Log (7)'!C149</f>
        <v>0</v>
      </c>
      <c r="I141" s="232">
        <f>'Field Log (8)'!C149</f>
        <v>0</v>
      </c>
      <c r="J141" s="232">
        <f>'Field Log (9)'!C149</f>
        <v>0</v>
      </c>
      <c r="K141" s="232" t="str">
        <f>'Field Log (10)'!C149</f>
        <v>145T</v>
      </c>
      <c r="L141" s="232">
        <f>'Field Log (11)'!C149</f>
        <v>0</v>
      </c>
      <c r="M141" s="232">
        <f>'Field Log (12)'!C149</f>
        <v>0</v>
      </c>
      <c r="N141" s="232">
        <f>'Field Log (13)'!C149</f>
        <v>0</v>
      </c>
      <c r="O141" s="232">
        <f>'Field Log (14)'!C149</f>
        <v>0</v>
      </c>
      <c r="P141" s="232">
        <f>'Field Log (15)'!$C149</f>
        <v>0</v>
      </c>
      <c r="Q141" s="232">
        <f>'Field Log (16)'!$C149</f>
        <v>0</v>
      </c>
      <c r="R141" s="232">
        <f>'Field Log (17)'!$C149</f>
        <v>0</v>
      </c>
      <c r="S141" s="232">
        <f>'Field Log (18)'!$C149</f>
        <v>0</v>
      </c>
      <c r="T141" s="232">
        <f>'Field Log (19)'!$C149</f>
        <v>0</v>
      </c>
      <c r="U141" s="232" t="str">
        <f>'Field Log (20)'!$C149</f>
        <v>OR1410</v>
      </c>
      <c r="V141" s="232">
        <f>'Field Log (21)'!$C149</f>
        <v>0</v>
      </c>
      <c r="W141" s="232">
        <f>'Field Log (22)'!$C149</f>
        <v>0</v>
      </c>
      <c r="X141" s="232">
        <f>'Field Log (23)'!$C149</f>
        <v>0</v>
      </c>
      <c r="Y141" s="232">
        <f>'Field Log (24)'!$C149</f>
        <v>0</v>
      </c>
      <c r="Z141" s="232">
        <f>'Field Log (25)'!$C149</f>
        <v>0</v>
      </c>
      <c r="AA141" s="232">
        <f>'Field Log (26)'!$C149</f>
        <v>0</v>
      </c>
      <c r="AB141" s="232">
        <f>'Field Log (27)'!$C149</f>
        <v>0</v>
      </c>
      <c r="AC141" s="232">
        <f>'Field Log (28)'!$C149</f>
        <v>0</v>
      </c>
      <c r="AD141" s="232">
        <f>'Field Log (29)'!$C149</f>
        <v>0</v>
      </c>
      <c r="AE141" s="232">
        <f>'Field Log (30)'!$C149</f>
        <v>0</v>
      </c>
      <c r="AF141" s="232">
        <f>'Field Log (31)'!$C149</f>
        <v>0</v>
      </c>
      <c r="AG141" s="232">
        <f>'Field Log (32)'!$C149</f>
        <v>0</v>
      </c>
      <c r="AH141" s="232">
        <f>'Field Log (33)'!$C149</f>
        <v>0</v>
      </c>
      <c r="AI141" s="232">
        <f>'Field Log (34)'!$C149</f>
        <v>0</v>
      </c>
      <c r="AJ141" s="232">
        <f>'Field Log (35)'!$C149</f>
        <v>0</v>
      </c>
    </row>
    <row r="142" spans="2:36">
      <c r="B142" s="232">
        <f>'Field Log (1)'!C150</f>
        <v>0</v>
      </c>
      <c r="C142" s="232">
        <f>'Field Log (2)'!C150</f>
        <v>0</v>
      </c>
      <c r="D142" s="232">
        <f>'Field Log (3)'!C150</f>
        <v>0</v>
      </c>
      <c r="E142" s="232">
        <f>'Field Log (4)'!C150</f>
        <v>0</v>
      </c>
      <c r="F142" s="232">
        <f>'Field Log (5)'!C150</f>
        <v>0</v>
      </c>
      <c r="G142" s="232">
        <f>'Field Log (6)'!C150</f>
        <v>0</v>
      </c>
      <c r="H142" s="232">
        <f>'Field Log (7)'!C150</f>
        <v>0</v>
      </c>
      <c r="I142" s="232">
        <f>'Field Log (8)'!C150</f>
        <v>0</v>
      </c>
      <c r="J142" s="232">
        <f>'Field Log (9)'!C150</f>
        <v>0</v>
      </c>
      <c r="K142" s="232" t="str">
        <f>'Field Log (10)'!C150</f>
        <v>224T</v>
      </c>
      <c r="L142" s="232">
        <f>'Field Log (11)'!C150</f>
        <v>0</v>
      </c>
      <c r="M142" s="232">
        <f>'Field Log (12)'!C150</f>
        <v>0</v>
      </c>
      <c r="N142" s="232">
        <f>'Field Log (13)'!C150</f>
        <v>0</v>
      </c>
      <c r="O142" s="232">
        <f>'Field Log (14)'!C150</f>
        <v>0</v>
      </c>
      <c r="P142" s="232">
        <f>'Field Log (15)'!$C150</f>
        <v>0</v>
      </c>
      <c r="Q142" s="232">
        <f>'Field Log (16)'!$C150</f>
        <v>0</v>
      </c>
      <c r="R142" s="232">
        <f>'Field Log (17)'!$C150</f>
        <v>0</v>
      </c>
      <c r="S142" s="232">
        <f>'Field Log (18)'!$C150</f>
        <v>0</v>
      </c>
      <c r="T142" s="232">
        <f>'Field Log (19)'!$C150</f>
        <v>0</v>
      </c>
      <c r="U142" s="232" t="str">
        <f>'Field Log (20)'!$C150</f>
        <v>OR1201</v>
      </c>
      <c r="V142" s="232">
        <f>'Field Log (21)'!$C150</f>
        <v>0</v>
      </c>
      <c r="W142" s="232">
        <f>'Field Log (22)'!$C150</f>
        <v>0</v>
      </c>
      <c r="X142" s="232">
        <f>'Field Log (23)'!$C150</f>
        <v>0</v>
      </c>
      <c r="Y142" s="232">
        <f>'Field Log (24)'!$C150</f>
        <v>0</v>
      </c>
      <c r="Z142" s="232">
        <f>'Field Log (25)'!$C150</f>
        <v>0</v>
      </c>
      <c r="AA142" s="232">
        <f>'Field Log (26)'!$C150</f>
        <v>0</v>
      </c>
      <c r="AB142" s="232">
        <f>'Field Log (27)'!$C150</f>
        <v>0</v>
      </c>
      <c r="AC142" s="232">
        <f>'Field Log (28)'!$C150</f>
        <v>0</v>
      </c>
      <c r="AD142" s="232">
        <f>'Field Log (29)'!$C150</f>
        <v>0</v>
      </c>
      <c r="AE142" s="232">
        <f>'Field Log (30)'!$C150</f>
        <v>0</v>
      </c>
      <c r="AF142" s="232">
        <f>'Field Log (31)'!$C150</f>
        <v>0</v>
      </c>
      <c r="AG142" s="232">
        <f>'Field Log (32)'!$C150</f>
        <v>0</v>
      </c>
      <c r="AH142" s="232">
        <f>'Field Log (33)'!$C150</f>
        <v>0</v>
      </c>
      <c r="AI142" s="232">
        <f>'Field Log (34)'!$C150</f>
        <v>0</v>
      </c>
      <c r="AJ142" s="232">
        <f>'Field Log (35)'!$C150</f>
        <v>0</v>
      </c>
    </row>
    <row r="143" spans="2:36">
      <c r="B143" s="232">
        <f>'Field Log (1)'!C151</f>
        <v>0</v>
      </c>
      <c r="C143" s="232">
        <f>'Field Log (2)'!C151</f>
        <v>0</v>
      </c>
      <c r="D143" s="232">
        <f>'Field Log (3)'!C151</f>
        <v>0</v>
      </c>
      <c r="E143" s="232">
        <f>'Field Log (4)'!C151</f>
        <v>0</v>
      </c>
      <c r="F143" s="232">
        <f>'Field Log (5)'!C151</f>
        <v>0</v>
      </c>
      <c r="G143" s="232">
        <f>'Field Log (6)'!C151</f>
        <v>0</v>
      </c>
      <c r="H143" s="232">
        <f>'Field Log (7)'!C151</f>
        <v>0</v>
      </c>
      <c r="I143" s="232">
        <f>'Field Log (8)'!C151</f>
        <v>0</v>
      </c>
      <c r="J143" s="232">
        <f>'Field Log (9)'!C151</f>
        <v>0</v>
      </c>
      <c r="K143" s="232" t="str">
        <f>'Field Log (10)'!C151</f>
        <v>269T</v>
      </c>
      <c r="L143" s="232">
        <f>'Field Log (11)'!C151</f>
        <v>0</v>
      </c>
      <c r="M143" s="232">
        <f>'Field Log (12)'!C151</f>
        <v>0</v>
      </c>
      <c r="N143" s="232">
        <f>'Field Log (13)'!C151</f>
        <v>0</v>
      </c>
      <c r="O143" s="232">
        <f>'Field Log (14)'!C151</f>
        <v>0</v>
      </c>
      <c r="P143" s="232">
        <f>'Field Log (15)'!$C151</f>
        <v>0</v>
      </c>
      <c r="Q143" s="232">
        <f>'Field Log (16)'!$C151</f>
        <v>0</v>
      </c>
      <c r="R143" s="232">
        <f>'Field Log (17)'!$C151</f>
        <v>0</v>
      </c>
      <c r="S143" s="232">
        <f>'Field Log (18)'!$C151</f>
        <v>0</v>
      </c>
      <c r="T143" s="232">
        <f>'Field Log (19)'!$C151</f>
        <v>0</v>
      </c>
      <c r="U143" s="232" t="str">
        <f>'Field Log (20)'!$C151</f>
        <v>OR1202</v>
      </c>
      <c r="V143" s="232">
        <f>'Field Log (21)'!$C151</f>
        <v>0</v>
      </c>
      <c r="W143" s="232">
        <f>'Field Log (22)'!$C151</f>
        <v>0</v>
      </c>
      <c r="X143" s="232">
        <f>'Field Log (23)'!$C151</f>
        <v>0</v>
      </c>
      <c r="Y143" s="232">
        <f>'Field Log (24)'!$C151</f>
        <v>0</v>
      </c>
      <c r="Z143" s="232">
        <f>'Field Log (25)'!$C151</f>
        <v>0</v>
      </c>
      <c r="AA143" s="232">
        <f>'Field Log (26)'!$C151</f>
        <v>0</v>
      </c>
      <c r="AB143" s="232">
        <f>'Field Log (27)'!$C151</f>
        <v>0</v>
      </c>
      <c r="AC143" s="232">
        <f>'Field Log (28)'!$C151</f>
        <v>0</v>
      </c>
      <c r="AD143" s="232">
        <f>'Field Log (29)'!$C151</f>
        <v>0</v>
      </c>
      <c r="AE143" s="232">
        <f>'Field Log (30)'!$C151</f>
        <v>0</v>
      </c>
      <c r="AF143" s="232">
        <f>'Field Log (31)'!$C151</f>
        <v>0</v>
      </c>
      <c r="AG143" s="232">
        <f>'Field Log (32)'!$C151</f>
        <v>0</v>
      </c>
      <c r="AH143" s="232">
        <f>'Field Log (33)'!$C151</f>
        <v>0</v>
      </c>
      <c r="AI143" s="232">
        <f>'Field Log (34)'!$C151</f>
        <v>0</v>
      </c>
      <c r="AJ143" s="232">
        <f>'Field Log (35)'!$C151</f>
        <v>0</v>
      </c>
    </row>
    <row r="144" spans="2:36">
      <c r="B144" s="232">
        <f>'Field Log (1)'!C152</f>
        <v>0</v>
      </c>
      <c r="C144" s="232">
        <f>'Field Log (2)'!C152</f>
        <v>0</v>
      </c>
      <c r="D144" s="232">
        <f>'Field Log (3)'!C152</f>
        <v>0</v>
      </c>
      <c r="E144" s="232">
        <f>'Field Log (4)'!C152</f>
        <v>0</v>
      </c>
      <c r="F144" s="232">
        <f>'Field Log (5)'!C152</f>
        <v>0</v>
      </c>
      <c r="G144" s="232">
        <f>'Field Log (6)'!C152</f>
        <v>0</v>
      </c>
      <c r="H144" s="232">
        <f>'Field Log (7)'!C152</f>
        <v>0</v>
      </c>
      <c r="I144" s="232">
        <f>'Field Log (8)'!C152</f>
        <v>0</v>
      </c>
      <c r="J144" s="232">
        <f>'Field Log (9)'!C152</f>
        <v>0</v>
      </c>
      <c r="K144" s="232" t="str">
        <f>'Field Log (10)'!C152</f>
        <v>OR1126D</v>
      </c>
      <c r="L144" s="232">
        <f>'Field Log (11)'!C152</f>
        <v>0</v>
      </c>
      <c r="M144" s="232">
        <f>'Field Log (12)'!C152</f>
        <v>0</v>
      </c>
      <c r="N144" s="232">
        <f>'Field Log (13)'!C152</f>
        <v>0</v>
      </c>
      <c r="O144" s="232">
        <f>'Field Log (14)'!C152</f>
        <v>0</v>
      </c>
      <c r="P144" s="232">
        <f>'Field Log (15)'!$C152</f>
        <v>0</v>
      </c>
      <c r="Q144" s="232">
        <f>'Field Log (16)'!$C152</f>
        <v>0</v>
      </c>
      <c r="R144" s="232">
        <f>'Field Log (17)'!$C152</f>
        <v>0</v>
      </c>
      <c r="S144" s="232">
        <f>'Field Log (18)'!$C152</f>
        <v>0</v>
      </c>
      <c r="T144" s="232">
        <f>'Field Log (19)'!$C152</f>
        <v>0</v>
      </c>
      <c r="U144" s="232" t="str">
        <f>'Field Log (20)'!$C152</f>
        <v>OR1191</v>
      </c>
      <c r="V144" s="232">
        <f>'Field Log (21)'!$C152</f>
        <v>0</v>
      </c>
      <c r="W144" s="232">
        <f>'Field Log (22)'!$C152</f>
        <v>0</v>
      </c>
      <c r="X144" s="232">
        <f>'Field Log (23)'!$C152</f>
        <v>0</v>
      </c>
      <c r="Y144" s="232">
        <f>'Field Log (24)'!$C152</f>
        <v>0</v>
      </c>
      <c r="Z144" s="232">
        <f>'Field Log (25)'!$C152</f>
        <v>0</v>
      </c>
      <c r="AA144" s="232">
        <f>'Field Log (26)'!$C152</f>
        <v>0</v>
      </c>
      <c r="AB144" s="232">
        <f>'Field Log (27)'!$C152</f>
        <v>0</v>
      </c>
      <c r="AC144" s="232">
        <f>'Field Log (28)'!$C152</f>
        <v>0</v>
      </c>
      <c r="AD144" s="232">
        <f>'Field Log (29)'!$C152</f>
        <v>0</v>
      </c>
      <c r="AE144" s="232">
        <f>'Field Log (30)'!$C152</f>
        <v>0</v>
      </c>
      <c r="AF144" s="232">
        <f>'Field Log (31)'!$C152</f>
        <v>0</v>
      </c>
      <c r="AG144" s="232">
        <f>'Field Log (32)'!$C152</f>
        <v>0</v>
      </c>
      <c r="AH144" s="232">
        <f>'Field Log (33)'!$C152</f>
        <v>0</v>
      </c>
      <c r="AI144" s="232">
        <f>'Field Log (34)'!$C152</f>
        <v>0</v>
      </c>
      <c r="AJ144" s="232">
        <f>'Field Log (35)'!$C152</f>
        <v>0</v>
      </c>
    </row>
    <row r="145" spans="2:36">
      <c r="B145" s="232">
        <f>'Field Log (1)'!C153</f>
        <v>0</v>
      </c>
      <c r="C145" s="232">
        <f>'Field Log (2)'!C153</f>
        <v>0</v>
      </c>
      <c r="D145" s="232">
        <f>'Field Log (3)'!C153</f>
        <v>0</v>
      </c>
      <c r="E145" s="232">
        <f>'Field Log (4)'!C153</f>
        <v>0</v>
      </c>
      <c r="F145" s="232">
        <f>'Field Log (5)'!C153</f>
        <v>0</v>
      </c>
      <c r="G145" s="232">
        <f>'Field Log (6)'!C153</f>
        <v>0</v>
      </c>
      <c r="H145" s="232">
        <f>'Field Log (7)'!C153</f>
        <v>0</v>
      </c>
      <c r="I145" s="232">
        <f>'Field Log (8)'!C153</f>
        <v>0</v>
      </c>
      <c r="J145" s="232">
        <f>'Field Log (9)'!C153</f>
        <v>0</v>
      </c>
      <c r="K145" s="232" t="str">
        <f>'Field Log (10)'!C153</f>
        <v>OR1433dd</v>
      </c>
      <c r="L145" s="232">
        <f>'Field Log (11)'!C153</f>
        <v>0</v>
      </c>
      <c r="M145" s="232">
        <f>'Field Log (12)'!C153</f>
        <v>0</v>
      </c>
      <c r="N145" s="232">
        <f>'Field Log (13)'!C153</f>
        <v>0</v>
      </c>
      <c r="O145" s="232">
        <f>'Field Log (14)'!C153</f>
        <v>0</v>
      </c>
      <c r="P145" s="232">
        <f>'Field Log (15)'!$C153</f>
        <v>0</v>
      </c>
      <c r="Q145" s="232">
        <f>'Field Log (16)'!$C153</f>
        <v>0</v>
      </c>
      <c r="R145" s="232">
        <f>'Field Log (17)'!$C153</f>
        <v>0</v>
      </c>
      <c r="S145" s="232">
        <f>'Field Log (18)'!$C153</f>
        <v>0</v>
      </c>
      <c r="T145" s="232">
        <f>'Field Log (19)'!$C153</f>
        <v>0</v>
      </c>
      <c r="U145" s="232" t="str">
        <f>'Field Log (20)'!$C153</f>
        <v>OR1416</v>
      </c>
      <c r="V145" s="232">
        <f>'Field Log (21)'!$C153</f>
        <v>0</v>
      </c>
      <c r="W145" s="232">
        <f>'Field Log (22)'!$C153</f>
        <v>0</v>
      </c>
      <c r="X145" s="232">
        <f>'Field Log (23)'!$C153</f>
        <v>0</v>
      </c>
      <c r="Y145" s="232">
        <f>'Field Log (24)'!$C153</f>
        <v>0</v>
      </c>
      <c r="Z145" s="232">
        <f>'Field Log (25)'!$C153</f>
        <v>0</v>
      </c>
      <c r="AA145" s="232">
        <f>'Field Log (26)'!$C153</f>
        <v>0</v>
      </c>
      <c r="AB145" s="232">
        <f>'Field Log (27)'!$C153</f>
        <v>0</v>
      </c>
      <c r="AC145" s="232">
        <f>'Field Log (28)'!$C153</f>
        <v>0</v>
      </c>
      <c r="AD145" s="232">
        <f>'Field Log (29)'!$C153</f>
        <v>0</v>
      </c>
      <c r="AE145" s="232">
        <f>'Field Log (30)'!$C153</f>
        <v>0</v>
      </c>
      <c r="AF145" s="232">
        <f>'Field Log (31)'!$C153</f>
        <v>0</v>
      </c>
      <c r="AG145" s="232">
        <f>'Field Log (32)'!$C153</f>
        <v>0</v>
      </c>
      <c r="AH145" s="232">
        <f>'Field Log (33)'!$C153</f>
        <v>0</v>
      </c>
      <c r="AI145" s="232">
        <f>'Field Log (34)'!$C153</f>
        <v>0</v>
      </c>
      <c r="AJ145" s="232">
        <f>'Field Log (35)'!$C153</f>
        <v>0</v>
      </c>
    </row>
    <row r="146" spans="2:36">
      <c r="B146" s="232">
        <f>'Field Log (1)'!C154</f>
        <v>0</v>
      </c>
      <c r="C146" s="232">
        <f>'Field Log (2)'!C154</f>
        <v>0</v>
      </c>
      <c r="D146" s="232">
        <f>'Field Log (3)'!C154</f>
        <v>0</v>
      </c>
      <c r="E146" s="232">
        <f>'Field Log (4)'!C154</f>
        <v>0</v>
      </c>
      <c r="F146" s="232">
        <f>'Field Log (5)'!C154</f>
        <v>0</v>
      </c>
      <c r="G146" s="232">
        <f>'Field Log (6)'!C154</f>
        <v>0</v>
      </c>
      <c r="H146" s="232">
        <f>'Field Log (7)'!C154</f>
        <v>0</v>
      </c>
      <c r="I146" s="232">
        <f>'Field Log (8)'!C154</f>
        <v>0</v>
      </c>
      <c r="J146" s="232">
        <f>'Field Log (9)'!C154</f>
        <v>0</v>
      </c>
      <c r="K146" s="232">
        <f>'Field Log (10)'!C154</f>
        <v>0</v>
      </c>
      <c r="L146" s="232">
        <f>'Field Log (11)'!C154</f>
        <v>0</v>
      </c>
      <c r="M146" s="232">
        <f>'Field Log (12)'!C154</f>
        <v>0</v>
      </c>
      <c r="N146" s="232">
        <f>'Field Log (13)'!C154</f>
        <v>0</v>
      </c>
      <c r="O146" s="232">
        <f>'Field Log (14)'!C154</f>
        <v>0</v>
      </c>
      <c r="P146" s="232">
        <f>'Field Log (15)'!$C154</f>
        <v>0</v>
      </c>
      <c r="Q146" s="232">
        <f>'Field Log (16)'!$C154</f>
        <v>0</v>
      </c>
      <c r="R146" s="232">
        <f>'Field Log (17)'!$C154</f>
        <v>0</v>
      </c>
      <c r="S146" s="232">
        <f>'Field Log (18)'!$C154</f>
        <v>0</v>
      </c>
      <c r="T146" s="232">
        <f>'Field Log (19)'!$C154</f>
        <v>0</v>
      </c>
      <c r="U146" s="232" t="str">
        <f>'Field Log (20)'!$C154</f>
        <v>OR1400</v>
      </c>
      <c r="V146" s="232">
        <f>'Field Log (21)'!$C154</f>
        <v>0</v>
      </c>
      <c r="W146" s="232">
        <f>'Field Log (22)'!$C154</f>
        <v>0</v>
      </c>
      <c r="X146" s="232">
        <f>'Field Log (23)'!$C154</f>
        <v>0</v>
      </c>
      <c r="Y146" s="232">
        <f>'Field Log (24)'!$C154</f>
        <v>0</v>
      </c>
      <c r="Z146" s="232">
        <f>'Field Log (25)'!$C154</f>
        <v>0</v>
      </c>
      <c r="AA146" s="232">
        <f>'Field Log (26)'!$C154</f>
        <v>0</v>
      </c>
      <c r="AB146" s="232">
        <f>'Field Log (27)'!$C154</f>
        <v>0</v>
      </c>
      <c r="AC146" s="232">
        <f>'Field Log (28)'!$C154</f>
        <v>0</v>
      </c>
      <c r="AD146" s="232">
        <f>'Field Log (29)'!$C154</f>
        <v>0</v>
      </c>
      <c r="AE146" s="232">
        <f>'Field Log (30)'!$C154</f>
        <v>0</v>
      </c>
      <c r="AF146" s="232">
        <f>'Field Log (31)'!$C154</f>
        <v>0</v>
      </c>
      <c r="AG146" s="232">
        <f>'Field Log (32)'!$C154</f>
        <v>0</v>
      </c>
      <c r="AH146" s="232">
        <f>'Field Log (33)'!$C154</f>
        <v>0</v>
      </c>
      <c r="AI146" s="232">
        <f>'Field Log (34)'!$C154</f>
        <v>0</v>
      </c>
      <c r="AJ146" s="232">
        <f>'Field Log (35)'!$C154</f>
        <v>0</v>
      </c>
    </row>
    <row r="147" spans="2:36">
      <c r="B147" s="232">
        <f>'Field Log (1)'!C155</f>
        <v>0</v>
      </c>
      <c r="C147" s="232">
        <f>'Field Log (2)'!C155</f>
        <v>0</v>
      </c>
      <c r="D147" s="232">
        <f>'Field Log (3)'!C155</f>
        <v>0</v>
      </c>
      <c r="E147" s="232">
        <f>'Field Log (4)'!C155</f>
        <v>0</v>
      </c>
      <c r="F147" s="232">
        <f>'Field Log (5)'!C155</f>
        <v>0</v>
      </c>
      <c r="G147" s="232">
        <f>'Field Log (6)'!C155</f>
        <v>0</v>
      </c>
      <c r="H147" s="232">
        <f>'Field Log (7)'!C155</f>
        <v>0</v>
      </c>
      <c r="I147" s="232">
        <f>'Field Log (8)'!C155</f>
        <v>0</v>
      </c>
      <c r="J147" s="232">
        <f>'Field Log (9)'!C155</f>
        <v>0</v>
      </c>
      <c r="K147" s="232">
        <f>'Field Log (10)'!C155</f>
        <v>0</v>
      </c>
      <c r="L147" s="232">
        <f>'Field Log (11)'!C155</f>
        <v>0</v>
      </c>
      <c r="M147" s="232">
        <f>'Field Log (12)'!C155</f>
        <v>0</v>
      </c>
      <c r="N147" s="232">
        <f>'Field Log (13)'!C155</f>
        <v>0</v>
      </c>
      <c r="O147" s="232">
        <f>'Field Log (14)'!C155</f>
        <v>0</v>
      </c>
      <c r="P147" s="232">
        <f>'Field Log (15)'!$C155</f>
        <v>0</v>
      </c>
      <c r="Q147" s="232">
        <f>'Field Log (16)'!$C155</f>
        <v>0</v>
      </c>
      <c r="R147" s="232">
        <f>'Field Log (17)'!$C155</f>
        <v>0</v>
      </c>
      <c r="S147" s="232">
        <f>'Field Log (18)'!$C155</f>
        <v>0</v>
      </c>
      <c r="T147" s="232">
        <f>'Field Log (19)'!$C155</f>
        <v>0</v>
      </c>
      <c r="U147" s="232">
        <f>'Field Log (20)'!$C155</f>
        <v>0</v>
      </c>
      <c r="V147" s="232">
        <f>'Field Log (21)'!$C155</f>
        <v>0</v>
      </c>
      <c r="W147" s="232">
        <f>'Field Log (22)'!$C155</f>
        <v>0</v>
      </c>
      <c r="X147" s="232">
        <f>'Field Log (23)'!$C155</f>
        <v>0</v>
      </c>
      <c r="Y147" s="232">
        <f>'Field Log (24)'!$C155</f>
        <v>0</v>
      </c>
      <c r="Z147" s="232">
        <f>'Field Log (25)'!$C155</f>
        <v>0</v>
      </c>
      <c r="AA147" s="232">
        <f>'Field Log (26)'!$C155</f>
        <v>0</v>
      </c>
      <c r="AB147" s="232">
        <f>'Field Log (27)'!$C155</f>
        <v>0</v>
      </c>
      <c r="AC147" s="232">
        <f>'Field Log (28)'!$C155</f>
        <v>0</v>
      </c>
      <c r="AD147" s="232">
        <f>'Field Log (29)'!$C155</f>
        <v>0</v>
      </c>
      <c r="AE147" s="232">
        <f>'Field Log (30)'!$C155</f>
        <v>0</v>
      </c>
      <c r="AF147" s="232">
        <f>'Field Log (31)'!$C155</f>
        <v>0</v>
      </c>
      <c r="AG147" s="232">
        <f>'Field Log (32)'!$C155</f>
        <v>0</v>
      </c>
      <c r="AH147" s="232">
        <f>'Field Log (33)'!$C155</f>
        <v>0</v>
      </c>
      <c r="AI147" s="232">
        <f>'Field Log (34)'!$C155</f>
        <v>0</v>
      </c>
      <c r="AJ147" s="232">
        <f>'Field Log (35)'!$C155</f>
        <v>0</v>
      </c>
    </row>
    <row r="148" spans="2:36">
      <c r="B148" s="232">
        <f>'Field Log (1)'!C156</f>
        <v>0</v>
      </c>
      <c r="C148" s="232">
        <f>'Field Log (2)'!C156</f>
        <v>0</v>
      </c>
      <c r="D148" s="232">
        <f>'Field Log (3)'!C156</f>
        <v>0</v>
      </c>
      <c r="E148" s="232">
        <f>'Field Log (4)'!C156</f>
        <v>0</v>
      </c>
      <c r="F148" s="232">
        <f>'Field Log (5)'!C156</f>
        <v>0</v>
      </c>
      <c r="G148" s="232">
        <f>'Field Log (6)'!C156</f>
        <v>0</v>
      </c>
      <c r="H148" s="232">
        <f>'Field Log (7)'!C156</f>
        <v>0</v>
      </c>
      <c r="I148" s="232">
        <f>'Field Log (8)'!C156</f>
        <v>0</v>
      </c>
      <c r="J148" s="232">
        <f>'Field Log (9)'!C156</f>
        <v>0</v>
      </c>
      <c r="K148" s="232">
        <f>'Field Log (10)'!C156</f>
        <v>0</v>
      </c>
      <c r="L148" s="232">
        <f>'Field Log (11)'!C156</f>
        <v>0</v>
      </c>
      <c r="M148" s="232">
        <f>'Field Log (12)'!C156</f>
        <v>0</v>
      </c>
      <c r="N148" s="232">
        <f>'Field Log (13)'!C156</f>
        <v>0</v>
      </c>
      <c r="O148" s="232">
        <f>'Field Log (14)'!C156</f>
        <v>0</v>
      </c>
      <c r="P148" s="232">
        <f>'Field Log (15)'!$C156</f>
        <v>0</v>
      </c>
      <c r="Q148" s="232">
        <f>'Field Log (16)'!$C156</f>
        <v>0</v>
      </c>
      <c r="R148" s="232">
        <f>'Field Log (17)'!$C156</f>
        <v>0</v>
      </c>
      <c r="S148" s="232">
        <f>'Field Log (18)'!$C156</f>
        <v>0</v>
      </c>
      <c r="T148" s="232">
        <f>'Field Log (19)'!$C156</f>
        <v>0</v>
      </c>
      <c r="U148" s="232">
        <f>'Field Log (20)'!$C156</f>
        <v>0</v>
      </c>
      <c r="V148" s="232">
        <f>'Field Log (21)'!$C156</f>
        <v>0</v>
      </c>
      <c r="W148" s="232">
        <f>'Field Log (22)'!$C156</f>
        <v>0</v>
      </c>
      <c r="X148" s="232">
        <f>'Field Log (23)'!$C156</f>
        <v>0</v>
      </c>
      <c r="Y148" s="232">
        <f>'Field Log (24)'!$C156</f>
        <v>0</v>
      </c>
      <c r="Z148" s="232">
        <f>'Field Log (25)'!$C156</f>
        <v>0</v>
      </c>
      <c r="AA148" s="232">
        <f>'Field Log (26)'!$C156</f>
        <v>0</v>
      </c>
      <c r="AB148" s="232">
        <f>'Field Log (27)'!$C156</f>
        <v>0</v>
      </c>
      <c r="AC148" s="232">
        <f>'Field Log (28)'!$C156</f>
        <v>0</v>
      </c>
      <c r="AD148" s="232">
        <f>'Field Log (29)'!$C156</f>
        <v>0</v>
      </c>
      <c r="AE148" s="232">
        <f>'Field Log (30)'!$C156</f>
        <v>0</v>
      </c>
      <c r="AF148" s="232">
        <f>'Field Log (31)'!$C156</f>
        <v>0</v>
      </c>
      <c r="AG148" s="232">
        <f>'Field Log (32)'!$C156</f>
        <v>0</v>
      </c>
      <c r="AH148" s="232">
        <f>'Field Log (33)'!$C156</f>
        <v>0</v>
      </c>
      <c r="AI148" s="232">
        <f>'Field Log (34)'!$C156</f>
        <v>0</v>
      </c>
      <c r="AJ148" s="232">
        <f>'Field Log (35)'!$C156</f>
        <v>0</v>
      </c>
    </row>
    <row r="149" spans="2:36">
      <c r="B149" s="232">
        <f>'Field Log (1)'!C157</f>
        <v>0</v>
      </c>
      <c r="C149" s="232">
        <f>'Field Log (2)'!C157</f>
        <v>0</v>
      </c>
      <c r="D149" s="232">
        <f>'Field Log (3)'!C157</f>
        <v>0</v>
      </c>
      <c r="E149" s="232">
        <f>'Field Log (4)'!C157</f>
        <v>0</v>
      </c>
      <c r="F149" s="232">
        <f>'Field Log (5)'!C157</f>
        <v>0</v>
      </c>
      <c r="G149" s="232">
        <f>'Field Log (6)'!C157</f>
        <v>0</v>
      </c>
      <c r="H149" s="232">
        <f>'Field Log (7)'!C157</f>
        <v>0</v>
      </c>
      <c r="I149" s="232">
        <f>'Field Log (8)'!C157</f>
        <v>0</v>
      </c>
      <c r="J149" s="232">
        <f>'Field Log (9)'!C157</f>
        <v>0</v>
      </c>
      <c r="K149" s="232">
        <f>'Field Log (10)'!C157</f>
        <v>0</v>
      </c>
      <c r="L149" s="232">
        <f>'Field Log (11)'!C157</f>
        <v>0</v>
      </c>
      <c r="M149" s="232">
        <f>'Field Log (12)'!C157</f>
        <v>0</v>
      </c>
      <c r="N149" s="232">
        <f>'Field Log (13)'!C157</f>
        <v>0</v>
      </c>
      <c r="O149" s="232">
        <f>'Field Log (14)'!C157</f>
        <v>0</v>
      </c>
      <c r="P149" s="232">
        <f>'Field Log (15)'!$C157</f>
        <v>0</v>
      </c>
      <c r="Q149" s="232">
        <f>'Field Log (16)'!$C157</f>
        <v>0</v>
      </c>
      <c r="R149" s="232">
        <f>'Field Log (17)'!$C157</f>
        <v>0</v>
      </c>
      <c r="S149" s="232">
        <f>'Field Log (18)'!$C157</f>
        <v>0</v>
      </c>
      <c r="T149" s="232">
        <f>'Field Log (19)'!$C157</f>
        <v>0</v>
      </c>
      <c r="U149" s="232">
        <f>'Field Log (20)'!$C157</f>
        <v>0</v>
      </c>
      <c r="V149" s="232">
        <f>'Field Log (21)'!$C157</f>
        <v>0</v>
      </c>
      <c r="W149" s="232">
        <f>'Field Log (22)'!$C157</f>
        <v>0</v>
      </c>
      <c r="X149" s="232">
        <f>'Field Log (23)'!$C157</f>
        <v>0</v>
      </c>
      <c r="Y149" s="232">
        <f>'Field Log (24)'!$C157</f>
        <v>0</v>
      </c>
      <c r="Z149" s="232">
        <f>'Field Log (25)'!$C157</f>
        <v>0</v>
      </c>
      <c r="AA149" s="232">
        <f>'Field Log (26)'!$C157</f>
        <v>0</v>
      </c>
      <c r="AB149" s="232">
        <f>'Field Log (27)'!$C157</f>
        <v>0</v>
      </c>
      <c r="AC149" s="232">
        <f>'Field Log (28)'!$C157</f>
        <v>0</v>
      </c>
      <c r="AD149" s="232">
        <f>'Field Log (29)'!$C157</f>
        <v>0</v>
      </c>
      <c r="AE149" s="232">
        <f>'Field Log (30)'!$C157</f>
        <v>0</v>
      </c>
      <c r="AF149" s="232">
        <f>'Field Log (31)'!$C157</f>
        <v>0</v>
      </c>
      <c r="AG149" s="232">
        <f>'Field Log (32)'!$C157</f>
        <v>0</v>
      </c>
      <c r="AH149" s="232">
        <f>'Field Log (33)'!$C157</f>
        <v>0</v>
      </c>
      <c r="AI149" s="232">
        <f>'Field Log (34)'!$C157</f>
        <v>0</v>
      </c>
      <c r="AJ149" s="232">
        <f>'Field Log (35)'!$C157</f>
        <v>0</v>
      </c>
    </row>
    <row r="150" spans="2:36">
      <c r="B150" s="232">
        <f>'Field Log (1)'!C158</f>
        <v>0</v>
      </c>
      <c r="C150" s="232">
        <f>'Field Log (2)'!C158</f>
        <v>0</v>
      </c>
      <c r="D150" s="232">
        <f>'Field Log (3)'!C158</f>
        <v>0</v>
      </c>
      <c r="E150" s="232">
        <f>'Field Log (4)'!C158</f>
        <v>0</v>
      </c>
      <c r="F150" s="232">
        <f>'Field Log (5)'!C158</f>
        <v>0</v>
      </c>
      <c r="G150" s="232">
        <f>'Field Log (6)'!C158</f>
        <v>0</v>
      </c>
      <c r="H150" s="232">
        <f>'Field Log (7)'!C158</f>
        <v>0</v>
      </c>
      <c r="I150" s="232">
        <f>'Field Log (8)'!C158</f>
        <v>0</v>
      </c>
      <c r="J150" s="232">
        <f>'Field Log (9)'!C158</f>
        <v>0</v>
      </c>
      <c r="K150" s="232">
        <f>'Field Log (10)'!C158</f>
        <v>0</v>
      </c>
      <c r="L150" s="232">
        <f>'Field Log (11)'!C158</f>
        <v>0</v>
      </c>
      <c r="M150" s="232">
        <f>'Field Log (12)'!C158</f>
        <v>0</v>
      </c>
      <c r="N150" s="232">
        <f>'Field Log (13)'!C158</f>
        <v>0</v>
      </c>
      <c r="O150" s="232">
        <f>'Field Log (14)'!C158</f>
        <v>0</v>
      </c>
      <c r="P150" s="232">
        <f>'Field Log (15)'!$C158</f>
        <v>0</v>
      </c>
      <c r="Q150" s="232">
        <f>'Field Log (16)'!$C158</f>
        <v>0</v>
      </c>
      <c r="R150" s="232">
        <f>'Field Log (17)'!$C158</f>
        <v>0</v>
      </c>
      <c r="S150" s="232">
        <f>'Field Log (18)'!$C158</f>
        <v>0</v>
      </c>
      <c r="T150" s="232">
        <f>'Field Log (19)'!$C158</f>
        <v>0</v>
      </c>
      <c r="U150" s="232">
        <f>'Field Log (20)'!$C158</f>
        <v>0</v>
      </c>
      <c r="V150" s="232">
        <f>'Field Log (21)'!$C158</f>
        <v>0</v>
      </c>
      <c r="W150" s="232">
        <f>'Field Log (22)'!$C158</f>
        <v>0</v>
      </c>
      <c r="X150" s="232">
        <f>'Field Log (23)'!$C158</f>
        <v>0</v>
      </c>
      <c r="Y150" s="232">
        <f>'Field Log (24)'!$C158</f>
        <v>0</v>
      </c>
      <c r="Z150" s="232">
        <f>'Field Log (25)'!$C158</f>
        <v>0</v>
      </c>
      <c r="AA150" s="232">
        <f>'Field Log (26)'!$C158</f>
        <v>0</v>
      </c>
      <c r="AB150" s="232">
        <f>'Field Log (27)'!$C158</f>
        <v>0</v>
      </c>
      <c r="AC150" s="232">
        <f>'Field Log (28)'!$C158</f>
        <v>0</v>
      </c>
      <c r="AD150" s="232">
        <f>'Field Log (29)'!$C158</f>
        <v>0</v>
      </c>
      <c r="AE150" s="232">
        <f>'Field Log (30)'!$C158</f>
        <v>0</v>
      </c>
      <c r="AF150" s="232">
        <f>'Field Log (31)'!$C158</f>
        <v>0</v>
      </c>
      <c r="AG150" s="232">
        <f>'Field Log (32)'!$C158</f>
        <v>0</v>
      </c>
      <c r="AH150" s="232">
        <f>'Field Log (33)'!$C158</f>
        <v>0</v>
      </c>
      <c r="AI150" s="232">
        <f>'Field Log (34)'!$C158</f>
        <v>0</v>
      </c>
      <c r="AJ150" s="232">
        <f>'Field Log (35)'!$C158</f>
        <v>0</v>
      </c>
    </row>
    <row r="151" spans="2:36">
      <c r="B151" s="232">
        <f>'Field Log (1)'!C159</f>
        <v>0</v>
      </c>
      <c r="C151" s="232">
        <f>'Field Log (2)'!C159</f>
        <v>0</v>
      </c>
      <c r="D151" s="232">
        <f>'Field Log (3)'!C159</f>
        <v>0</v>
      </c>
      <c r="E151" s="232">
        <f>'Field Log (4)'!C159</f>
        <v>0</v>
      </c>
      <c r="F151" s="232">
        <f>'Field Log (5)'!C159</f>
        <v>0</v>
      </c>
      <c r="G151" s="232">
        <f>'Field Log (6)'!C159</f>
        <v>0</v>
      </c>
      <c r="H151" s="232">
        <f>'Field Log (7)'!C159</f>
        <v>0</v>
      </c>
      <c r="I151" s="232">
        <f>'Field Log (8)'!C159</f>
        <v>0</v>
      </c>
      <c r="J151" s="232">
        <f>'Field Log (9)'!C159</f>
        <v>0</v>
      </c>
      <c r="K151" s="232">
        <f>'Field Log (10)'!C159</f>
        <v>0</v>
      </c>
      <c r="L151" s="232">
        <f>'Field Log (11)'!C159</f>
        <v>0</v>
      </c>
      <c r="M151" s="232">
        <f>'Field Log (12)'!C159</f>
        <v>0</v>
      </c>
      <c r="N151" s="232">
        <f>'Field Log (13)'!C159</f>
        <v>0</v>
      </c>
      <c r="O151" s="232">
        <f>'Field Log (14)'!C159</f>
        <v>0</v>
      </c>
      <c r="P151" s="232">
        <f>'Field Log (15)'!$C159</f>
        <v>0</v>
      </c>
      <c r="Q151" s="232">
        <f>'Field Log (16)'!$C159</f>
        <v>0</v>
      </c>
      <c r="R151" s="232">
        <f>'Field Log (17)'!$C159</f>
        <v>0</v>
      </c>
      <c r="S151" s="232">
        <f>'Field Log (18)'!$C159</f>
        <v>0</v>
      </c>
      <c r="T151" s="232">
        <f>'Field Log (19)'!$C159</f>
        <v>0</v>
      </c>
      <c r="U151" s="232">
        <f>'Field Log (20)'!$C159</f>
        <v>0</v>
      </c>
      <c r="V151" s="232">
        <f>'Field Log (21)'!$C159</f>
        <v>0</v>
      </c>
      <c r="W151" s="232">
        <f>'Field Log (22)'!$C159</f>
        <v>0</v>
      </c>
      <c r="X151" s="232">
        <f>'Field Log (23)'!$C159</f>
        <v>0</v>
      </c>
      <c r="Y151" s="232">
        <f>'Field Log (24)'!$C159</f>
        <v>0</v>
      </c>
      <c r="Z151" s="232">
        <f>'Field Log (25)'!$C159</f>
        <v>0</v>
      </c>
      <c r="AA151" s="232">
        <f>'Field Log (26)'!$C159</f>
        <v>0</v>
      </c>
      <c r="AB151" s="232">
        <f>'Field Log (27)'!$C159</f>
        <v>0</v>
      </c>
      <c r="AC151" s="232">
        <f>'Field Log (28)'!$C159</f>
        <v>0</v>
      </c>
      <c r="AD151" s="232">
        <f>'Field Log (29)'!$C159</f>
        <v>0</v>
      </c>
      <c r="AE151" s="232">
        <f>'Field Log (30)'!$C159</f>
        <v>0</v>
      </c>
      <c r="AF151" s="232">
        <f>'Field Log (31)'!$C159</f>
        <v>0</v>
      </c>
      <c r="AG151" s="232">
        <f>'Field Log (32)'!$C159</f>
        <v>0</v>
      </c>
      <c r="AH151" s="232">
        <f>'Field Log (33)'!$C159</f>
        <v>0</v>
      </c>
      <c r="AI151" s="232">
        <f>'Field Log (34)'!$C159</f>
        <v>0</v>
      </c>
      <c r="AJ151" s="232">
        <f>'Field Log (35)'!$C159</f>
        <v>0</v>
      </c>
    </row>
    <row r="152" spans="2:36">
      <c r="B152" s="232">
        <f>'Field Log (1)'!C160</f>
        <v>0</v>
      </c>
      <c r="C152" s="232">
        <f>'Field Log (2)'!C160</f>
        <v>0</v>
      </c>
      <c r="D152" s="232">
        <f>'Field Log (3)'!C160</f>
        <v>0</v>
      </c>
      <c r="E152" s="232">
        <f>'Field Log (4)'!C160</f>
        <v>0</v>
      </c>
      <c r="F152" s="232">
        <f>'Field Log (5)'!C160</f>
        <v>0</v>
      </c>
      <c r="G152" s="232">
        <f>'Field Log (6)'!C160</f>
        <v>0</v>
      </c>
      <c r="H152" s="232">
        <f>'Field Log (7)'!C160</f>
        <v>0</v>
      </c>
      <c r="I152" s="232">
        <f>'Field Log (8)'!C160</f>
        <v>0</v>
      </c>
      <c r="J152" s="232">
        <f>'Field Log (9)'!C160</f>
        <v>0</v>
      </c>
      <c r="K152" s="232">
        <f>'Field Log (10)'!C160</f>
        <v>0</v>
      </c>
      <c r="L152" s="232">
        <f>'Field Log (11)'!C160</f>
        <v>0</v>
      </c>
      <c r="M152" s="232">
        <f>'Field Log (12)'!C160</f>
        <v>0</v>
      </c>
      <c r="N152" s="232">
        <f>'Field Log (13)'!C160</f>
        <v>0</v>
      </c>
      <c r="O152" s="232">
        <f>'Field Log (14)'!C160</f>
        <v>0</v>
      </c>
      <c r="P152" s="232">
        <f>'Field Log (15)'!$C160</f>
        <v>0</v>
      </c>
      <c r="Q152" s="232">
        <f>'Field Log (16)'!$C160</f>
        <v>0</v>
      </c>
      <c r="R152" s="232">
        <f>'Field Log (17)'!$C160</f>
        <v>0</v>
      </c>
      <c r="S152" s="232">
        <f>'Field Log (18)'!$C160</f>
        <v>0</v>
      </c>
      <c r="T152" s="232">
        <f>'Field Log (19)'!$C160</f>
        <v>0</v>
      </c>
      <c r="U152" s="232" t="str">
        <f>'Field Log (20)'!$C160</f>
        <v>WP3-18</v>
      </c>
      <c r="V152" s="232">
        <f>'Field Log (21)'!$C160</f>
        <v>0</v>
      </c>
      <c r="W152" s="232">
        <f>'Field Log (22)'!$C160</f>
        <v>0</v>
      </c>
      <c r="X152" s="232">
        <f>'Field Log (23)'!$C160</f>
        <v>0</v>
      </c>
      <c r="Y152" s="232">
        <f>'Field Log (24)'!$C160</f>
        <v>0</v>
      </c>
      <c r="Z152" s="232">
        <f>'Field Log (25)'!$C160</f>
        <v>0</v>
      </c>
      <c r="AA152" s="232">
        <f>'Field Log (26)'!$C160</f>
        <v>0</v>
      </c>
      <c r="AB152" s="232">
        <f>'Field Log (27)'!$C160</f>
        <v>0</v>
      </c>
      <c r="AC152" s="232">
        <f>'Field Log (28)'!$C160</f>
        <v>0</v>
      </c>
      <c r="AD152" s="232">
        <f>'Field Log (29)'!$C160</f>
        <v>0</v>
      </c>
      <c r="AE152" s="232">
        <f>'Field Log (30)'!$C160</f>
        <v>0</v>
      </c>
      <c r="AF152" s="232">
        <f>'Field Log (31)'!$C160</f>
        <v>0</v>
      </c>
      <c r="AG152" s="232">
        <f>'Field Log (32)'!$C160</f>
        <v>0</v>
      </c>
      <c r="AH152" s="232">
        <f>'Field Log (33)'!$C160</f>
        <v>0</v>
      </c>
      <c r="AI152" s="232">
        <f>'Field Log (34)'!$C160</f>
        <v>0</v>
      </c>
      <c r="AJ152" s="232">
        <f>'Field Log (35)'!$C160</f>
        <v>0</v>
      </c>
    </row>
    <row r="153" spans="2:36">
      <c r="B153" s="232">
        <f>'Field Log (1)'!C161</f>
        <v>0</v>
      </c>
      <c r="C153" s="232">
        <f>'Field Log (2)'!C161</f>
        <v>0</v>
      </c>
      <c r="D153" s="232">
        <f>'Field Log (3)'!C161</f>
        <v>0</v>
      </c>
      <c r="E153" s="232">
        <f>'Field Log (4)'!C161</f>
        <v>0</v>
      </c>
      <c r="F153" s="232">
        <f>'Field Log (5)'!C161</f>
        <v>0</v>
      </c>
      <c r="G153" s="232">
        <f>'Field Log (6)'!C161</f>
        <v>0</v>
      </c>
      <c r="H153" s="232">
        <f>'Field Log (7)'!C161</f>
        <v>0</v>
      </c>
      <c r="I153" s="232">
        <f>'Field Log (8)'!C161</f>
        <v>0</v>
      </c>
      <c r="J153" s="232">
        <f>'Field Log (9)'!C161</f>
        <v>0</v>
      </c>
      <c r="K153" s="232">
        <f>'Field Log (10)'!C161</f>
        <v>0</v>
      </c>
      <c r="L153" s="232">
        <f>'Field Log (11)'!C161</f>
        <v>0</v>
      </c>
      <c r="M153" s="232">
        <f>'Field Log (12)'!C161</f>
        <v>0</v>
      </c>
      <c r="N153" s="232">
        <f>'Field Log (13)'!C161</f>
        <v>0</v>
      </c>
      <c r="O153" s="232">
        <f>'Field Log (14)'!C161</f>
        <v>0</v>
      </c>
      <c r="P153" s="232">
        <f>'Field Log (15)'!$C161</f>
        <v>0</v>
      </c>
      <c r="Q153" s="232">
        <f>'Field Log (16)'!$C161</f>
        <v>0</v>
      </c>
      <c r="R153" s="232">
        <f>'Field Log (17)'!$C161</f>
        <v>0</v>
      </c>
      <c r="S153" s="232">
        <f>'Field Log (18)'!$C161</f>
        <v>0</v>
      </c>
      <c r="T153" s="232">
        <f>'Field Log (19)'!$C161</f>
        <v>0</v>
      </c>
      <c r="U153" s="232" t="str">
        <f>'Field Log (20)'!$C161</f>
        <v>WP3-19</v>
      </c>
      <c r="V153" s="232">
        <f>'Field Log (21)'!$C161</f>
        <v>0</v>
      </c>
      <c r="W153" s="232">
        <f>'Field Log (22)'!$C161</f>
        <v>0</v>
      </c>
      <c r="X153" s="232">
        <f>'Field Log (23)'!$C161</f>
        <v>0</v>
      </c>
      <c r="Y153" s="232">
        <f>'Field Log (24)'!$C161</f>
        <v>0</v>
      </c>
      <c r="Z153" s="232">
        <f>'Field Log (25)'!$C161</f>
        <v>0</v>
      </c>
      <c r="AA153" s="232">
        <f>'Field Log (26)'!$C161</f>
        <v>0</v>
      </c>
      <c r="AB153" s="232">
        <f>'Field Log (27)'!$C161</f>
        <v>0</v>
      </c>
      <c r="AC153" s="232">
        <f>'Field Log (28)'!$C161</f>
        <v>0</v>
      </c>
      <c r="AD153" s="232">
        <f>'Field Log (29)'!$C161</f>
        <v>0</v>
      </c>
      <c r="AE153" s="232">
        <f>'Field Log (30)'!$C161</f>
        <v>0</v>
      </c>
      <c r="AF153" s="232">
        <f>'Field Log (31)'!$C161</f>
        <v>0</v>
      </c>
      <c r="AG153" s="232">
        <f>'Field Log (32)'!$C161</f>
        <v>0</v>
      </c>
      <c r="AH153" s="232">
        <f>'Field Log (33)'!$C161</f>
        <v>0</v>
      </c>
      <c r="AI153" s="232">
        <f>'Field Log (34)'!$C161</f>
        <v>0</v>
      </c>
      <c r="AJ153" s="232">
        <f>'Field Log (35)'!$C161</f>
        <v>0</v>
      </c>
    </row>
    <row r="154" spans="2:36">
      <c r="B154" s="232">
        <f>'Field Log (1)'!C162</f>
        <v>0</v>
      </c>
      <c r="C154" s="232">
        <f>'Field Log (2)'!C162</f>
        <v>0</v>
      </c>
      <c r="D154" s="232">
        <f>'Field Log (3)'!C162</f>
        <v>0</v>
      </c>
      <c r="E154" s="232">
        <f>'Field Log (4)'!C162</f>
        <v>0</v>
      </c>
      <c r="F154" s="232">
        <f>'Field Log (5)'!C162</f>
        <v>0</v>
      </c>
      <c r="G154" s="232">
        <f>'Field Log (6)'!C162</f>
        <v>0</v>
      </c>
      <c r="H154" s="232">
        <f>'Field Log (7)'!C162</f>
        <v>0</v>
      </c>
      <c r="I154" s="232">
        <f>'Field Log (8)'!C162</f>
        <v>0</v>
      </c>
      <c r="J154" s="232">
        <f>'Field Log (9)'!C162</f>
        <v>0</v>
      </c>
      <c r="K154" s="232">
        <f>'Field Log (10)'!C162</f>
        <v>0</v>
      </c>
      <c r="L154" s="232">
        <f>'Field Log (11)'!C162</f>
        <v>0</v>
      </c>
      <c r="M154" s="232">
        <f>'Field Log (12)'!C162</f>
        <v>0</v>
      </c>
      <c r="N154" s="232">
        <f>'Field Log (13)'!C162</f>
        <v>0</v>
      </c>
      <c r="O154" s="232">
        <f>'Field Log (14)'!C162</f>
        <v>0</v>
      </c>
      <c r="P154" s="232">
        <f>'Field Log (15)'!$C162</f>
        <v>0</v>
      </c>
      <c r="Q154" s="232">
        <f>'Field Log (16)'!$C162</f>
        <v>0</v>
      </c>
      <c r="R154" s="232">
        <f>'Field Log (17)'!$C162</f>
        <v>0</v>
      </c>
      <c r="S154" s="232">
        <f>'Field Log (18)'!$C162</f>
        <v>0</v>
      </c>
      <c r="T154" s="232">
        <f>'Field Log (19)'!$C162</f>
        <v>0</v>
      </c>
      <c r="U154" s="232" t="str">
        <f>'Field Log (20)'!$C162</f>
        <v>WP3-2</v>
      </c>
      <c r="V154" s="232">
        <f>'Field Log (21)'!$C162</f>
        <v>0</v>
      </c>
      <c r="W154" s="232">
        <f>'Field Log (22)'!$C162</f>
        <v>0</v>
      </c>
      <c r="X154" s="232">
        <f>'Field Log (23)'!$C162</f>
        <v>0</v>
      </c>
      <c r="Y154" s="232">
        <f>'Field Log (24)'!$C162</f>
        <v>0</v>
      </c>
      <c r="Z154" s="232">
        <f>'Field Log (25)'!$C162</f>
        <v>0</v>
      </c>
      <c r="AA154" s="232">
        <f>'Field Log (26)'!$C162</f>
        <v>0</v>
      </c>
      <c r="AB154" s="232">
        <f>'Field Log (27)'!$C162</f>
        <v>0</v>
      </c>
      <c r="AC154" s="232">
        <f>'Field Log (28)'!$C162</f>
        <v>0</v>
      </c>
      <c r="AD154" s="232">
        <f>'Field Log (29)'!$C162</f>
        <v>0</v>
      </c>
      <c r="AE154" s="232">
        <f>'Field Log (30)'!$C162</f>
        <v>0</v>
      </c>
      <c r="AF154" s="232">
        <f>'Field Log (31)'!$C162</f>
        <v>0</v>
      </c>
      <c r="AG154" s="232">
        <f>'Field Log (32)'!$C162</f>
        <v>0</v>
      </c>
      <c r="AH154" s="232">
        <f>'Field Log (33)'!$C162</f>
        <v>0</v>
      </c>
      <c r="AI154" s="232">
        <f>'Field Log (34)'!$C162</f>
        <v>0</v>
      </c>
      <c r="AJ154" s="232">
        <f>'Field Log (35)'!$C162</f>
        <v>0</v>
      </c>
    </row>
    <row r="155" spans="2:36">
      <c r="B155" s="232">
        <f>'Field Log (1)'!C163</f>
        <v>0</v>
      </c>
      <c r="C155" s="232">
        <f>'Field Log (2)'!C163</f>
        <v>0</v>
      </c>
      <c r="D155" s="232">
        <f>'Field Log (3)'!C163</f>
        <v>0</v>
      </c>
      <c r="E155" s="232">
        <f>'Field Log (4)'!C163</f>
        <v>0</v>
      </c>
      <c r="F155" s="232">
        <f>'Field Log (5)'!C163</f>
        <v>0</v>
      </c>
      <c r="G155" s="232">
        <f>'Field Log (6)'!C163</f>
        <v>0</v>
      </c>
      <c r="H155" s="232">
        <f>'Field Log (7)'!C163</f>
        <v>0</v>
      </c>
      <c r="I155" s="232">
        <f>'Field Log (8)'!C163</f>
        <v>0</v>
      </c>
      <c r="J155" s="232">
        <f>'Field Log (9)'!C163</f>
        <v>0</v>
      </c>
      <c r="K155" s="232">
        <f>'Field Log (10)'!C163</f>
        <v>0</v>
      </c>
      <c r="L155" s="232">
        <f>'Field Log (11)'!C163</f>
        <v>0</v>
      </c>
      <c r="M155" s="232">
        <f>'Field Log (12)'!C163</f>
        <v>0</v>
      </c>
      <c r="N155" s="232">
        <f>'Field Log (13)'!C163</f>
        <v>0</v>
      </c>
      <c r="O155" s="232">
        <f>'Field Log (14)'!C163</f>
        <v>0</v>
      </c>
      <c r="P155" s="232">
        <f>'Field Log (15)'!$C163</f>
        <v>0</v>
      </c>
      <c r="Q155" s="232">
        <f>'Field Log (16)'!$C163</f>
        <v>0</v>
      </c>
      <c r="R155" s="232">
        <f>'Field Log (17)'!$C163</f>
        <v>0</v>
      </c>
      <c r="S155" s="232">
        <f>'Field Log (18)'!$C163</f>
        <v>0</v>
      </c>
      <c r="T155" s="232">
        <f>'Field Log (19)'!$C163</f>
        <v>0</v>
      </c>
      <c r="U155" s="232" t="str">
        <f>'Field Log (20)'!$C163</f>
        <v>OR1248</v>
      </c>
      <c r="V155" s="232">
        <f>'Field Log (21)'!$C163</f>
        <v>0</v>
      </c>
      <c r="W155" s="232">
        <f>'Field Log (22)'!$C163</f>
        <v>0</v>
      </c>
      <c r="X155" s="232">
        <f>'Field Log (23)'!$C163</f>
        <v>0</v>
      </c>
      <c r="Y155" s="232">
        <f>'Field Log (24)'!$C163</f>
        <v>0</v>
      </c>
      <c r="Z155" s="232">
        <f>'Field Log (25)'!$C163</f>
        <v>0</v>
      </c>
      <c r="AA155" s="232">
        <f>'Field Log (26)'!$C163</f>
        <v>0</v>
      </c>
      <c r="AB155" s="232">
        <f>'Field Log (27)'!$C163</f>
        <v>0</v>
      </c>
      <c r="AC155" s="232">
        <f>'Field Log (28)'!$C163</f>
        <v>0</v>
      </c>
      <c r="AD155" s="232">
        <f>'Field Log (29)'!$C163</f>
        <v>0</v>
      </c>
      <c r="AE155" s="232">
        <f>'Field Log (30)'!$C163</f>
        <v>0</v>
      </c>
      <c r="AF155" s="232">
        <f>'Field Log (31)'!$C163</f>
        <v>0</v>
      </c>
      <c r="AG155" s="232">
        <f>'Field Log (32)'!$C163</f>
        <v>0</v>
      </c>
      <c r="AH155" s="232">
        <f>'Field Log (33)'!$C163</f>
        <v>0</v>
      </c>
      <c r="AI155" s="232">
        <f>'Field Log (34)'!$C163</f>
        <v>0</v>
      </c>
      <c r="AJ155" s="232">
        <f>'Field Log (35)'!$C163</f>
        <v>0</v>
      </c>
    </row>
    <row r="156" spans="2:36">
      <c r="B156" s="232">
        <f>'Field Log (1)'!C164</f>
        <v>0</v>
      </c>
      <c r="C156" s="232">
        <f>'Field Log (2)'!C164</f>
        <v>0</v>
      </c>
      <c r="D156" s="232">
        <f>'Field Log (3)'!C164</f>
        <v>0</v>
      </c>
      <c r="E156" s="232">
        <f>'Field Log (4)'!C164</f>
        <v>0</v>
      </c>
      <c r="F156" s="232">
        <f>'Field Log (5)'!C164</f>
        <v>0</v>
      </c>
      <c r="G156" s="232">
        <f>'Field Log (6)'!C164</f>
        <v>0</v>
      </c>
      <c r="H156" s="232">
        <f>'Field Log (7)'!C164</f>
        <v>0</v>
      </c>
      <c r="I156" s="232">
        <f>'Field Log (8)'!C164</f>
        <v>0</v>
      </c>
      <c r="J156" s="232">
        <f>'Field Log (9)'!C164</f>
        <v>0</v>
      </c>
      <c r="K156" s="232">
        <f>'Field Log (10)'!C164</f>
        <v>0</v>
      </c>
      <c r="L156" s="232">
        <f>'Field Log (11)'!C164</f>
        <v>0</v>
      </c>
      <c r="M156" s="232">
        <f>'Field Log (12)'!C164</f>
        <v>0</v>
      </c>
      <c r="N156" s="232">
        <f>'Field Log (13)'!C164</f>
        <v>0</v>
      </c>
      <c r="O156" s="232">
        <f>'Field Log (14)'!C164</f>
        <v>0</v>
      </c>
      <c r="P156" s="232">
        <f>'Field Log (15)'!$C164</f>
        <v>0</v>
      </c>
      <c r="Q156" s="232">
        <f>'Field Log (16)'!$C164</f>
        <v>0</v>
      </c>
      <c r="R156" s="232">
        <f>'Field Log (17)'!$C164</f>
        <v>0</v>
      </c>
      <c r="S156" s="232">
        <f>'Field Log (18)'!$C164</f>
        <v>0</v>
      </c>
      <c r="T156" s="232">
        <f>'Field Log (19)'!$C164</f>
        <v>0</v>
      </c>
      <c r="U156" s="232" t="str">
        <f>'Field Log (20)'!$C164</f>
        <v>OR1249</v>
      </c>
      <c r="V156" s="232">
        <f>'Field Log (21)'!$C164</f>
        <v>0</v>
      </c>
      <c r="W156" s="232">
        <f>'Field Log (22)'!$C164</f>
        <v>0</v>
      </c>
      <c r="X156" s="232">
        <f>'Field Log (23)'!$C164</f>
        <v>0</v>
      </c>
      <c r="Y156" s="232">
        <f>'Field Log (24)'!$C164</f>
        <v>0</v>
      </c>
      <c r="Z156" s="232">
        <f>'Field Log (25)'!$C164</f>
        <v>0</v>
      </c>
      <c r="AA156" s="232">
        <f>'Field Log (26)'!$C164</f>
        <v>0</v>
      </c>
      <c r="AB156" s="232">
        <f>'Field Log (27)'!$C164</f>
        <v>0</v>
      </c>
      <c r="AC156" s="232">
        <f>'Field Log (28)'!$C164</f>
        <v>0</v>
      </c>
      <c r="AD156" s="232">
        <f>'Field Log (29)'!$C164</f>
        <v>0</v>
      </c>
      <c r="AE156" s="232">
        <f>'Field Log (30)'!$C164</f>
        <v>0</v>
      </c>
      <c r="AF156" s="232">
        <f>'Field Log (31)'!$C164</f>
        <v>0</v>
      </c>
      <c r="AG156" s="232">
        <f>'Field Log (32)'!$C164</f>
        <v>0</v>
      </c>
      <c r="AH156" s="232">
        <f>'Field Log (33)'!$C164</f>
        <v>0</v>
      </c>
      <c r="AI156" s="232">
        <f>'Field Log (34)'!$C164</f>
        <v>0</v>
      </c>
      <c r="AJ156" s="232">
        <f>'Field Log (35)'!$C164</f>
        <v>0</v>
      </c>
    </row>
    <row r="157" spans="2:36">
      <c r="B157" s="232">
        <f>'Field Log (1)'!C165</f>
        <v>0</v>
      </c>
      <c r="C157" s="232">
        <f>'Field Log (2)'!C165</f>
        <v>0</v>
      </c>
      <c r="D157" s="232">
        <f>'Field Log (3)'!C165</f>
        <v>0</v>
      </c>
      <c r="E157" s="232">
        <f>'Field Log (4)'!C165</f>
        <v>0</v>
      </c>
      <c r="F157" s="232">
        <f>'Field Log (5)'!C165</f>
        <v>0</v>
      </c>
      <c r="G157" s="232">
        <f>'Field Log (6)'!C165</f>
        <v>0</v>
      </c>
      <c r="H157" s="232">
        <f>'Field Log (7)'!C165</f>
        <v>0</v>
      </c>
      <c r="I157" s="232">
        <f>'Field Log (8)'!C165</f>
        <v>0</v>
      </c>
      <c r="J157" s="232">
        <f>'Field Log (9)'!C165</f>
        <v>0</v>
      </c>
      <c r="K157" s="232">
        <f>'Field Log (10)'!C165</f>
        <v>0</v>
      </c>
      <c r="L157" s="232">
        <f>'Field Log (11)'!C165</f>
        <v>0</v>
      </c>
      <c r="M157" s="232">
        <f>'Field Log (12)'!C165</f>
        <v>0</v>
      </c>
      <c r="N157" s="232">
        <f>'Field Log (13)'!C165</f>
        <v>0</v>
      </c>
      <c r="O157" s="232">
        <f>'Field Log (14)'!C165</f>
        <v>0</v>
      </c>
      <c r="P157" s="232">
        <f>'Field Log (15)'!$C165</f>
        <v>0</v>
      </c>
      <c r="Q157" s="232">
        <f>'Field Log (16)'!$C165</f>
        <v>0</v>
      </c>
      <c r="R157" s="232">
        <f>'Field Log (17)'!$C165</f>
        <v>0</v>
      </c>
      <c r="S157" s="232">
        <f>'Field Log (18)'!$C165</f>
        <v>0</v>
      </c>
      <c r="T157" s="232">
        <f>'Field Log (19)'!$C165</f>
        <v>0</v>
      </c>
      <c r="U157" s="232" t="str">
        <f>'Field Log (20)'!$C165</f>
        <v>OR1250</v>
      </c>
      <c r="V157" s="232">
        <f>'Field Log (21)'!$C165</f>
        <v>0</v>
      </c>
      <c r="W157" s="232">
        <f>'Field Log (22)'!$C165</f>
        <v>0</v>
      </c>
      <c r="X157" s="232">
        <f>'Field Log (23)'!$C165</f>
        <v>0</v>
      </c>
      <c r="Y157" s="232">
        <f>'Field Log (24)'!$C165</f>
        <v>0</v>
      </c>
      <c r="Z157" s="232">
        <f>'Field Log (25)'!$C165</f>
        <v>0</v>
      </c>
      <c r="AA157" s="232">
        <f>'Field Log (26)'!$C165</f>
        <v>0</v>
      </c>
      <c r="AB157" s="232">
        <f>'Field Log (27)'!$C165</f>
        <v>0</v>
      </c>
      <c r="AC157" s="232">
        <f>'Field Log (28)'!$C165</f>
        <v>0</v>
      </c>
      <c r="AD157" s="232">
        <f>'Field Log (29)'!$C165</f>
        <v>0</v>
      </c>
      <c r="AE157" s="232">
        <f>'Field Log (30)'!$C165</f>
        <v>0</v>
      </c>
      <c r="AF157" s="232">
        <f>'Field Log (31)'!$C165</f>
        <v>0</v>
      </c>
      <c r="AG157" s="232">
        <f>'Field Log (32)'!$C165</f>
        <v>0</v>
      </c>
      <c r="AH157" s="232">
        <f>'Field Log (33)'!$C165</f>
        <v>0</v>
      </c>
      <c r="AI157" s="232">
        <f>'Field Log (34)'!$C165</f>
        <v>0</v>
      </c>
      <c r="AJ157" s="232">
        <f>'Field Log (35)'!$C165</f>
        <v>0</v>
      </c>
    </row>
    <row r="158" spans="2:36">
      <c r="B158" s="232">
        <f>'Field Log (1)'!C166</f>
        <v>0</v>
      </c>
      <c r="C158" s="232">
        <f>'Field Log (2)'!C166</f>
        <v>0</v>
      </c>
      <c r="D158" s="232">
        <f>'Field Log (3)'!C166</f>
        <v>0</v>
      </c>
      <c r="E158" s="232">
        <f>'Field Log (4)'!C166</f>
        <v>0</v>
      </c>
      <c r="F158" s="232">
        <f>'Field Log (5)'!C166</f>
        <v>0</v>
      </c>
      <c r="G158" s="232">
        <f>'Field Log (6)'!C166</f>
        <v>0</v>
      </c>
      <c r="H158" s="232">
        <f>'Field Log (7)'!C166</f>
        <v>0</v>
      </c>
      <c r="I158" s="232">
        <f>'Field Log (8)'!C166</f>
        <v>0</v>
      </c>
      <c r="J158" s="232">
        <f>'Field Log (9)'!C166</f>
        <v>0</v>
      </c>
      <c r="K158" s="232">
        <f>'Field Log (10)'!C166</f>
        <v>0</v>
      </c>
      <c r="L158" s="232">
        <f>'Field Log (11)'!C166</f>
        <v>0</v>
      </c>
      <c r="M158" s="232">
        <f>'Field Log (12)'!C166</f>
        <v>0</v>
      </c>
      <c r="N158" s="232">
        <f>'Field Log (13)'!C166</f>
        <v>0</v>
      </c>
      <c r="O158" s="232">
        <f>'Field Log (14)'!C166</f>
        <v>0</v>
      </c>
      <c r="P158" s="232">
        <f>'Field Log (15)'!$C166</f>
        <v>0</v>
      </c>
      <c r="Q158" s="232">
        <f>'Field Log (16)'!$C166</f>
        <v>0</v>
      </c>
      <c r="R158" s="232">
        <f>'Field Log (17)'!$C166</f>
        <v>0</v>
      </c>
      <c r="S158" s="232">
        <f>'Field Log (18)'!$C166</f>
        <v>0</v>
      </c>
      <c r="T158" s="232">
        <f>'Field Log (19)'!$C166</f>
        <v>0</v>
      </c>
      <c r="U158" s="232" t="str">
        <f>'Field Log (20)'!$C166</f>
        <v>TC41</v>
      </c>
      <c r="V158" s="232">
        <f>'Field Log (21)'!$C166</f>
        <v>0</v>
      </c>
      <c r="W158" s="232">
        <f>'Field Log (22)'!$C166</f>
        <v>0</v>
      </c>
      <c r="X158" s="232">
        <f>'Field Log (23)'!$C166</f>
        <v>0</v>
      </c>
      <c r="Y158" s="232">
        <f>'Field Log (24)'!$C166</f>
        <v>0</v>
      </c>
      <c r="Z158" s="232">
        <f>'Field Log (25)'!$C166</f>
        <v>0</v>
      </c>
      <c r="AA158" s="232">
        <f>'Field Log (26)'!$C166</f>
        <v>0</v>
      </c>
      <c r="AB158" s="232">
        <f>'Field Log (27)'!$C166</f>
        <v>0</v>
      </c>
      <c r="AC158" s="232">
        <f>'Field Log (28)'!$C166</f>
        <v>0</v>
      </c>
      <c r="AD158" s="232">
        <f>'Field Log (29)'!$C166</f>
        <v>0</v>
      </c>
      <c r="AE158" s="232">
        <f>'Field Log (30)'!$C166</f>
        <v>0</v>
      </c>
      <c r="AF158" s="232">
        <f>'Field Log (31)'!$C166</f>
        <v>0</v>
      </c>
      <c r="AG158" s="232">
        <f>'Field Log (32)'!$C166</f>
        <v>0</v>
      </c>
      <c r="AH158" s="232">
        <f>'Field Log (33)'!$C166</f>
        <v>0</v>
      </c>
      <c r="AI158" s="232">
        <f>'Field Log (34)'!$C166</f>
        <v>0</v>
      </c>
      <c r="AJ158" s="232">
        <f>'Field Log (35)'!$C166</f>
        <v>0</v>
      </c>
    </row>
    <row r="159" spans="2:36">
      <c r="B159" s="232">
        <f>'Field Log (1)'!C167</f>
        <v>0</v>
      </c>
      <c r="C159" s="232">
        <f>'Field Log (2)'!C167</f>
        <v>0</v>
      </c>
      <c r="D159" s="232">
        <f>'Field Log (3)'!C167</f>
        <v>0</v>
      </c>
      <c r="E159" s="232">
        <f>'Field Log (4)'!C167</f>
        <v>0</v>
      </c>
      <c r="F159" s="232">
        <f>'Field Log (5)'!C167</f>
        <v>0</v>
      </c>
      <c r="G159" s="232">
        <f>'Field Log (6)'!C167</f>
        <v>0</v>
      </c>
      <c r="H159" s="232">
        <f>'Field Log (7)'!C167</f>
        <v>0</v>
      </c>
      <c r="I159" s="232">
        <f>'Field Log (8)'!C167</f>
        <v>0</v>
      </c>
      <c r="J159" s="232">
        <f>'Field Log (9)'!C167</f>
        <v>0</v>
      </c>
      <c r="K159" s="232">
        <f>'Field Log (10)'!C167</f>
        <v>0</v>
      </c>
      <c r="L159" s="232">
        <f>'Field Log (11)'!C167</f>
        <v>0</v>
      </c>
      <c r="M159" s="232">
        <f>'Field Log (12)'!C167</f>
        <v>0</v>
      </c>
      <c r="N159" s="232">
        <f>'Field Log (13)'!C167</f>
        <v>0</v>
      </c>
      <c r="O159" s="232">
        <f>'Field Log (14)'!C167</f>
        <v>0</v>
      </c>
      <c r="P159" s="232">
        <f>'Field Log (15)'!$C167</f>
        <v>0</v>
      </c>
      <c r="Q159" s="232">
        <f>'Field Log (16)'!$C167</f>
        <v>0</v>
      </c>
      <c r="R159" s="232">
        <f>'Field Log (17)'!$C167</f>
        <v>0</v>
      </c>
      <c r="S159" s="232">
        <f>'Field Log (18)'!$C167</f>
        <v>0</v>
      </c>
      <c r="T159" s="232">
        <f>'Field Log (19)'!$C167</f>
        <v>0</v>
      </c>
      <c r="U159" s="232" t="str">
        <f>'Field Log (20)'!$C167</f>
        <v>OR1242</v>
      </c>
      <c r="V159" s="232">
        <f>'Field Log (21)'!$C167</f>
        <v>0</v>
      </c>
      <c r="W159" s="232">
        <f>'Field Log (22)'!$C167</f>
        <v>0</v>
      </c>
      <c r="X159" s="232">
        <f>'Field Log (23)'!$C167</f>
        <v>0</v>
      </c>
      <c r="Y159" s="232">
        <f>'Field Log (24)'!$C167</f>
        <v>0</v>
      </c>
      <c r="Z159" s="232">
        <f>'Field Log (25)'!$C167</f>
        <v>0</v>
      </c>
      <c r="AA159" s="232">
        <f>'Field Log (26)'!$C167</f>
        <v>0</v>
      </c>
      <c r="AB159" s="232">
        <f>'Field Log (27)'!$C167</f>
        <v>0</v>
      </c>
      <c r="AC159" s="232">
        <f>'Field Log (28)'!$C167</f>
        <v>0</v>
      </c>
      <c r="AD159" s="232">
        <f>'Field Log (29)'!$C167</f>
        <v>0</v>
      </c>
      <c r="AE159" s="232">
        <f>'Field Log (30)'!$C167</f>
        <v>0</v>
      </c>
      <c r="AF159" s="232">
        <f>'Field Log (31)'!$C167</f>
        <v>0</v>
      </c>
      <c r="AG159" s="232">
        <f>'Field Log (32)'!$C167</f>
        <v>0</v>
      </c>
      <c r="AH159" s="232">
        <f>'Field Log (33)'!$C167</f>
        <v>0</v>
      </c>
      <c r="AI159" s="232">
        <f>'Field Log (34)'!$C167</f>
        <v>0</v>
      </c>
      <c r="AJ159" s="232">
        <f>'Field Log (35)'!$C167</f>
        <v>0</v>
      </c>
    </row>
    <row r="160" spans="2:36">
      <c r="B160" s="232">
        <f>'Field Log (1)'!C168</f>
        <v>0</v>
      </c>
      <c r="C160" s="232">
        <f>'Field Log (2)'!C168</f>
        <v>0</v>
      </c>
      <c r="D160" s="232">
        <f>'Field Log (3)'!C168</f>
        <v>0</v>
      </c>
      <c r="E160" s="232">
        <f>'Field Log (4)'!C168</f>
        <v>0</v>
      </c>
      <c r="F160" s="232">
        <f>'Field Log (5)'!C168</f>
        <v>0</v>
      </c>
      <c r="G160" s="232">
        <f>'Field Log (6)'!C168</f>
        <v>0</v>
      </c>
      <c r="H160" s="232">
        <f>'Field Log (7)'!C168</f>
        <v>0</v>
      </c>
      <c r="I160" s="232">
        <f>'Field Log (8)'!C168</f>
        <v>0</v>
      </c>
      <c r="J160" s="232">
        <f>'Field Log (9)'!C168</f>
        <v>0</v>
      </c>
      <c r="K160" s="232">
        <f>'Field Log (10)'!C168</f>
        <v>0</v>
      </c>
      <c r="L160" s="232">
        <f>'Field Log (11)'!C168</f>
        <v>0</v>
      </c>
      <c r="M160" s="232">
        <f>'Field Log (12)'!C168</f>
        <v>0</v>
      </c>
      <c r="N160" s="232">
        <f>'Field Log (13)'!C168</f>
        <v>0</v>
      </c>
      <c r="O160" s="232">
        <f>'Field Log (14)'!C168</f>
        <v>0</v>
      </c>
      <c r="P160" s="232">
        <f>'Field Log (15)'!$C168</f>
        <v>0</v>
      </c>
      <c r="Q160" s="232">
        <f>'Field Log (16)'!$C168</f>
        <v>0</v>
      </c>
      <c r="R160" s="232">
        <f>'Field Log (17)'!$C168</f>
        <v>0</v>
      </c>
      <c r="S160" s="232">
        <f>'Field Log (18)'!$C168</f>
        <v>0</v>
      </c>
      <c r="T160" s="232">
        <f>'Field Log (19)'!$C168</f>
        <v>0</v>
      </c>
      <c r="U160" s="232" t="str">
        <f>'Field Log (20)'!$C168</f>
        <v>OR1244</v>
      </c>
      <c r="V160" s="232">
        <f>'Field Log (21)'!$C168</f>
        <v>0</v>
      </c>
      <c r="W160" s="232">
        <f>'Field Log (22)'!$C168</f>
        <v>0</v>
      </c>
      <c r="X160" s="232">
        <f>'Field Log (23)'!$C168</f>
        <v>0</v>
      </c>
      <c r="Y160" s="232">
        <f>'Field Log (24)'!$C168</f>
        <v>0</v>
      </c>
      <c r="Z160" s="232">
        <f>'Field Log (25)'!$C168</f>
        <v>0</v>
      </c>
      <c r="AA160" s="232">
        <f>'Field Log (26)'!$C168</f>
        <v>0</v>
      </c>
      <c r="AB160" s="232">
        <f>'Field Log (27)'!$C168</f>
        <v>0</v>
      </c>
      <c r="AC160" s="232">
        <f>'Field Log (28)'!$C168</f>
        <v>0</v>
      </c>
      <c r="AD160" s="232">
        <f>'Field Log (29)'!$C168</f>
        <v>0</v>
      </c>
      <c r="AE160" s="232">
        <f>'Field Log (30)'!$C168</f>
        <v>0</v>
      </c>
      <c r="AF160" s="232">
        <f>'Field Log (31)'!$C168</f>
        <v>0</v>
      </c>
      <c r="AG160" s="232">
        <f>'Field Log (32)'!$C168</f>
        <v>0</v>
      </c>
      <c r="AH160" s="232">
        <f>'Field Log (33)'!$C168</f>
        <v>0</v>
      </c>
      <c r="AI160" s="232">
        <f>'Field Log (34)'!$C168</f>
        <v>0</v>
      </c>
      <c r="AJ160" s="232">
        <f>'Field Log (35)'!$C168</f>
        <v>0</v>
      </c>
    </row>
    <row r="161" spans="2:36">
      <c r="B161" s="232">
        <f>'Field Log (1)'!C169</f>
        <v>0</v>
      </c>
      <c r="C161" s="232">
        <f>'Field Log (2)'!C169</f>
        <v>0</v>
      </c>
      <c r="D161" s="232">
        <f>'Field Log (3)'!C169</f>
        <v>0</v>
      </c>
      <c r="E161" s="232">
        <f>'Field Log (4)'!C169</f>
        <v>0</v>
      </c>
      <c r="F161" s="232">
        <f>'Field Log (5)'!C169</f>
        <v>0</v>
      </c>
      <c r="G161" s="232">
        <f>'Field Log (6)'!C169</f>
        <v>0</v>
      </c>
      <c r="H161" s="232">
        <f>'Field Log (7)'!C169</f>
        <v>0</v>
      </c>
      <c r="I161" s="232">
        <f>'Field Log (8)'!C169</f>
        <v>0</v>
      </c>
      <c r="J161" s="232">
        <f>'Field Log (9)'!C169</f>
        <v>0</v>
      </c>
      <c r="K161" s="232">
        <f>'Field Log (10)'!C169</f>
        <v>0</v>
      </c>
      <c r="L161" s="232">
        <f>'Field Log (11)'!C169</f>
        <v>0</v>
      </c>
      <c r="M161" s="232">
        <f>'Field Log (12)'!C169</f>
        <v>0</v>
      </c>
      <c r="N161" s="232">
        <f>'Field Log (13)'!C169</f>
        <v>0</v>
      </c>
      <c r="O161" s="232">
        <f>'Field Log (14)'!C169</f>
        <v>0</v>
      </c>
      <c r="P161" s="232">
        <f>'Field Log (15)'!$C169</f>
        <v>0</v>
      </c>
      <c r="Q161" s="232">
        <f>'Field Log (16)'!$C169</f>
        <v>0</v>
      </c>
      <c r="R161" s="232">
        <f>'Field Log (17)'!$C169</f>
        <v>0</v>
      </c>
      <c r="S161" s="232">
        <f>'Field Log (18)'!$C169</f>
        <v>0</v>
      </c>
      <c r="T161" s="232">
        <f>'Field Log (19)'!$C169</f>
        <v>0</v>
      </c>
      <c r="U161" s="232" t="str">
        <f>'Field Log (20)'!$C169</f>
        <v>OR1245</v>
      </c>
      <c r="V161" s="232">
        <f>'Field Log (21)'!$C169</f>
        <v>0</v>
      </c>
      <c r="W161" s="232">
        <f>'Field Log (22)'!$C169</f>
        <v>0</v>
      </c>
      <c r="X161" s="232">
        <f>'Field Log (23)'!$C169</f>
        <v>0</v>
      </c>
      <c r="Y161" s="232">
        <f>'Field Log (24)'!$C169</f>
        <v>0</v>
      </c>
      <c r="Z161" s="232">
        <f>'Field Log (25)'!$C169</f>
        <v>0</v>
      </c>
      <c r="AA161" s="232">
        <f>'Field Log (26)'!$C169</f>
        <v>0</v>
      </c>
      <c r="AB161" s="232">
        <f>'Field Log (27)'!$C169</f>
        <v>0</v>
      </c>
      <c r="AC161" s="232">
        <f>'Field Log (28)'!$C169</f>
        <v>0</v>
      </c>
      <c r="AD161" s="232">
        <f>'Field Log (29)'!$C169</f>
        <v>0</v>
      </c>
      <c r="AE161" s="232">
        <f>'Field Log (30)'!$C169</f>
        <v>0</v>
      </c>
      <c r="AF161" s="232">
        <f>'Field Log (31)'!$C169</f>
        <v>0</v>
      </c>
      <c r="AG161" s="232">
        <f>'Field Log (32)'!$C169</f>
        <v>0</v>
      </c>
      <c r="AH161" s="232">
        <f>'Field Log (33)'!$C169</f>
        <v>0</v>
      </c>
      <c r="AI161" s="232">
        <f>'Field Log (34)'!$C169</f>
        <v>0</v>
      </c>
      <c r="AJ161" s="232">
        <f>'Field Log (35)'!$C169</f>
        <v>0</v>
      </c>
    </row>
    <row r="162" spans="2:36">
      <c r="B162" s="232">
        <f>'Field Log (1)'!C170</f>
        <v>0</v>
      </c>
      <c r="C162" s="232">
        <f>'Field Log (2)'!C170</f>
        <v>0</v>
      </c>
      <c r="D162" s="232">
        <f>'Field Log (3)'!C170</f>
        <v>0</v>
      </c>
      <c r="E162" s="232">
        <f>'Field Log (4)'!C170</f>
        <v>0</v>
      </c>
      <c r="F162" s="232">
        <f>'Field Log (5)'!C170</f>
        <v>0</v>
      </c>
      <c r="G162" s="232">
        <f>'Field Log (6)'!C170</f>
        <v>0</v>
      </c>
      <c r="H162" s="232">
        <f>'Field Log (7)'!C170</f>
        <v>0</v>
      </c>
      <c r="I162" s="232">
        <f>'Field Log (8)'!C170</f>
        <v>0</v>
      </c>
      <c r="J162" s="232">
        <f>'Field Log (9)'!C170</f>
        <v>0</v>
      </c>
      <c r="K162" s="232">
        <f>'Field Log (10)'!C170</f>
        <v>0</v>
      </c>
      <c r="L162" s="232">
        <f>'Field Log (11)'!C170</f>
        <v>0</v>
      </c>
      <c r="M162" s="232">
        <f>'Field Log (12)'!C170</f>
        <v>0</v>
      </c>
      <c r="N162" s="232">
        <f>'Field Log (13)'!C170</f>
        <v>0</v>
      </c>
      <c r="O162" s="232">
        <f>'Field Log (14)'!C170</f>
        <v>0</v>
      </c>
      <c r="P162" s="232">
        <f>'Field Log (15)'!$C170</f>
        <v>0</v>
      </c>
      <c r="Q162" s="232">
        <f>'Field Log (16)'!$C170</f>
        <v>0</v>
      </c>
      <c r="R162" s="232">
        <f>'Field Log (17)'!$C170</f>
        <v>0</v>
      </c>
      <c r="S162" s="232">
        <f>'Field Log (18)'!$C170</f>
        <v>0</v>
      </c>
      <c r="T162" s="232">
        <f>'Field Log (19)'!$C170</f>
        <v>0</v>
      </c>
      <c r="U162" s="232" t="str">
        <f>'Field Log (20)'!$C170</f>
        <v>SA6-005</v>
      </c>
      <c r="V162" s="232">
        <f>'Field Log (21)'!$C170</f>
        <v>0</v>
      </c>
      <c r="W162" s="232">
        <f>'Field Log (22)'!$C170</f>
        <v>0</v>
      </c>
      <c r="X162" s="232">
        <f>'Field Log (23)'!$C170</f>
        <v>0</v>
      </c>
      <c r="Y162" s="232">
        <f>'Field Log (24)'!$C170</f>
        <v>0</v>
      </c>
      <c r="Z162" s="232">
        <f>'Field Log (25)'!$C170</f>
        <v>0</v>
      </c>
      <c r="AA162" s="232">
        <f>'Field Log (26)'!$C170</f>
        <v>0</v>
      </c>
      <c r="AB162" s="232">
        <f>'Field Log (27)'!$C170</f>
        <v>0</v>
      </c>
      <c r="AC162" s="232">
        <f>'Field Log (28)'!$C170</f>
        <v>0</v>
      </c>
      <c r="AD162" s="232">
        <f>'Field Log (29)'!$C170</f>
        <v>0</v>
      </c>
      <c r="AE162" s="232">
        <f>'Field Log (30)'!$C170</f>
        <v>0</v>
      </c>
      <c r="AF162" s="232">
        <f>'Field Log (31)'!$C170</f>
        <v>0</v>
      </c>
      <c r="AG162" s="232">
        <f>'Field Log (32)'!$C170</f>
        <v>0</v>
      </c>
      <c r="AH162" s="232">
        <f>'Field Log (33)'!$C170</f>
        <v>0</v>
      </c>
      <c r="AI162" s="232">
        <f>'Field Log (34)'!$C170</f>
        <v>0</v>
      </c>
      <c r="AJ162" s="232">
        <f>'Field Log (35)'!$C170</f>
        <v>0</v>
      </c>
    </row>
    <row r="163" spans="2:36">
      <c r="B163" s="232">
        <f>'Field Log (1)'!C171</f>
        <v>0</v>
      </c>
      <c r="C163" s="232">
        <f>'Field Log (2)'!C171</f>
        <v>0</v>
      </c>
      <c r="D163" s="232">
        <f>'Field Log (3)'!C171</f>
        <v>0</v>
      </c>
      <c r="E163" s="232">
        <f>'Field Log (4)'!C171</f>
        <v>0</v>
      </c>
      <c r="F163" s="232">
        <f>'Field Log (5)'!C171</f>
        <v>0</v>
      </c>
      <c r="G163" s="232">
        <f>'Field Log (6)'!C171</f>
        <v>0</v>
      </c>
      <c r="H163" s="232">
        <f>'Field Log (7)'!C171</f>
        <v>0</v>
      </c>
      <c r="I163" s="232">
        <f>'Field Log (8)'!C171</f>
        <v>0</v>
      </c>
      <c r="J163" s="232">
        <f>'Field Log (9)'!C171</f>
        <v>0</v>
      </c>
      <c r="K163" s="232">
        <f>'Field Log (10)'!C171</f>
        <v>0</v>
      </c>
      <c r="L163" s="232">
        <f>'Field Log (11)'!C171</f>
        <v>0</v>
      </c>
      <c r="M163" s="232">
        <f>'Field Log (12)'!C171</f>
        <v>0</v>
      </c>
      <c r="N163" s="232">
        <f>'Field Log (13)'!C171</f>
        <v>0</v>
      </c>
      <c r="O163" s="232">
        <f>'Field Log (14)'!C171</f>
        <v>0</v>
      </c>
      <c r="P163" s="232">
        <f>'Field Log (15)'!$C171</f>
        <v>0</v>
      </c>
      <c r="Q163" s="232">
        <f>'Field Log (16)'!$C171</f>
        <v>0</v>
      </c>
      <c r="R163" s="232">
        <f>'Field Log (17)'!$C171</f>
        <v>0</v>
      </c>
      <c r="S163" s="232">
        <f>'Field Log (18)'!$C171</f>
        <v>0</v>
      </c>
      <c r="T163" s="232">
        <f>'Field Log (19)'!$C171</f>
        <v>0</v>
      </c>
      <c r="U163" s="232" t="str">
        <f>'Field Log (20)'!$C171</f>
        <v>TC122</v>
      </c>
      <c r="V163" s="232">
        <f>'Field Log (21)'!$C171</f>
        <v>0</v>
      </c>
      <c r="W163" s="232">
        <f>'Field Log (22)'!$C171</f>
        <v>0</v>
      </c>
      <c r="X163" s="232">
        <f>'Field Log (23)'!$C171</f>
        <v>0</v>
      </c>
      <c r="Y163" s="232">
        <f>'Field Log (24)'!$C171</f>
        <v>0</v>
      </c>
      <c r="Z163" s="232">
        <f>'Field Log (25)'!$C171</f>
        <v>0</v>
      </c>
      <c r="AA163" s="232">
        <f>'Field Log (26)'!$C171</f>
        <v>0</v>
      </c>
      <c r="AB163" s="232">
        <f>'Field Log (27)'!$C171</f>
        <v>0</v>
      </c>
      <c r="AC163" s="232">
        <f>'Field Log (28)'!$C171</f>
        <v>0</v>
      </c>
      <c r="AD163" s="232">
        <f>'Field Log (29)'!$C171</f>
        <v>0</v>
      </c>
      <c r="AE163" s="232">
        <f>'Field Log (30)'!$C171</f>
        <v>0</v>
      </c>
      <c r="AF163" s="232">
        <f>'Field Log (31)'!$C171</f>
        <v>0</v>
      </c>
      <c r="AG163" s="232">
        <f>'Field Log (32)'!$C171</f>
        <v>0</v>
      </c>
      <c r="AH163" s="232">
        <f>'Field Log (33)'!$C171</f>
        <v>0</v>
      </c>
      <c r="AI163" s="232">
        <f>'Field Log (34)'!$C171</f>
        <v>0</v>
      </c>
      <c r="AJ163" s="232">
        <f>'Field Log (35)'!$C171</f>
        <v>0</v>
      </c>
    </row>
    <row r="164" spans="2:36">
      <c r="B164" s="232">
        <f>'Field Log (1)'!C172</f>
        <v>0</v>
      </c>
      <c r="C164" s="232">
        <f>'Field Log (2)'!C172</f>
        <v>0</v>
      </c>
      <c r="D164" s="232">
        <f>'Field Log (3)'!C172</f>
        <v>0</v>
      </c>
      <c r="E164" s="232">
        <f>'Field Log (4)'!C172</f>
        <v>0</v>
      </c>
      <c r="F164" s="232">
        <f>'Field Log (5)'!C172</f>
        <v>0</v>
      </c>
      <c r="G164" s="232">
        <f>'Field Log (6)'!C172</f>
        <v>0</v>
      </c>
      <c r="H164" s="232">
        <f>'Field Log (7)'!C172</f>
        <v>0</v>
      </c>
      <c r="I164" s="232">
        <f>'Field Log (8)'!C172</f>
        <v>0</v>
      </c>
      <c r="J164" s="232">
        <f>'Field Log (9)'!C172</f>
        <v>0</v>
      </c>
      <c r="K164" s="232">
        <f>'Field Log (10)'!C172</f>
        <v>0</v>
      </c>
      <c r="L164" s="232">
        <f>'Field Log (11)'!C172</f>
        <v>0</v>
      </c>
      <c r="M164" s="232">
        <f>'Field Log (12)'!C172</f>
        <v>0</v>
      </c>
      <c r="N164" s="232">
        <f>'Field Log (13)'!C172</f>
        <v>0</v>
      </c>
      <c r="O164" s="232">
        <f>'Field Log (14)'!C172</f>
        <v>0</v>
      </c>
      <c r="P164" s="232">
        <f>'Field Log (15)'!$C172</f>
        <v>0</v>
      </c>
      <c r="Q164" s="232">
        <f>'Field Log (16)'!$C172</f>
        <v>0</v>
      </c>
      <c r="R164" s="232">
        <f>'Field Log (17)'!$C172</f>
        <v>0</v>
      </c>
      <c r="S164" s="232">
        <f>'Field Log (18)'!$C172</f>
        <v>0</v>
      </c>
      <c r="T164" s="232">
        <f>'Field Log (19)'!$C172</f>
        <v>0</v>
      </c>
      <c r="U164" s="232">
        <f>'Field Log (20)'!$C172</f>
        <v>0</v>
      </c>
      <c r="V164" s="232">
        <f>'Field Log (21)'!$C172</f>
        <v>0</v>
      </c>
      <c r="W164" s="232">
        <f>'Field Log (22)'!$C172</f>
        <v>0</v>
      </c>
      <c r="X164" s="232">
        <f>'Field Log (23)'!$C172</f>
        <v>0</v>
      </c>
      <c r="Y164" s="232">
        <f>'Field Log (24)'!$C172</f>
        <v>0</v>
      </c>
      <c r="Z164" s="232">
        <f>'Field Log (25)'!$C172</f>
        <v>0</v>
      </c>
      <c r="AA164" s="232">
        <f>'Field Log (26)'!$C172</f>
        <v>0</v>
      </c>
      <c r="AB164" s="232">
        <f>'Field Log (27)'!$C172</f>
        <v>0</v>
      </c>
      <c r="AC164" s="232">
        <f>'Field Log (28)'!$C172</f>
        <v>0</v>
      </c>
      <c r="AD164" s="232">
        <f>'Field Log (29)'!$C172</f>
        <v>0</v>
      </c>
      <c r="AE164" s="232">
        <f>'Field Log (30)'!$C172</f>
        <v>0</v>
      </c>
      <c r="AF164" s="232">
        <f>'Field Log (31)'!$C172</f>
        <v>0</v>
      </c>
      <c r="AG164" s="232">
        <f>'Field Log (32)'!$C172</f>
        <v>0</v>
      </c>
      <c r="AH164" s="232">
        <f>'Field Log (33)'!$C172</f>
        <v>0</v>
      </c>
      <c r="AI164" s="232">
        <f>'Field Log (34)'!$C172</f>
        <v>0</v>
      </c>
      <c r="AJ164" s="232">
        <f>'Field Log (35)'!$C172</f>
        <v>0</v>
      </c>
    </row>
    <row r="165" spans="2:36">
      <c r="B165" s="232">
        <f>'Field Log (1)'!C173</f>
        <v>0</v>
      </c>
      <c r="C165" s="232">
        <f>'Field Log (2)'!C173</f>
        <v>0</v>
      </c>
      <c r="D165" s="232">
        <f>'Field Log (3)'!C173</f>
        <v>0</v>
      </c>
      <c r="E165" s="232">
        <f>'Field Log (4)'!C173</f>
        <v>0</v>
      </c>
      <c r="F165" s="232">
        <f>'Field Log (5)'!C173</f>
        <v>0</v>
      </c>
      <c r="G165" s="232">
        <f>'Field Log (6)'!C173</f>
        <v>0</v>
      </c>
      <c r="H165" s="232">
        <f>'Field Log (7)'!C173</f>
        <v>0</v>
      </c>
      <c r="I165" s="232">
        <f>'Field Log (8)'!C173</f>
        <v>0</v>
      </c>
      <c r="J165" s="232">
        <f>'Field Log (9)'!C173</f>
        <v>0</v>
      </c>
      <c r="K165" s="232">
        <f>'Field Log (10)'!C173</f>
        <v>0</v>
      </c>
      <c r="L165" s="232">
        <f>'Field Log (11)'!C173</f>
        <v>0</v>
      </c>
      <c r="M165" s="232">
        <f>'Field Log (12)'!C173</f>
        <v>0</v>
      </c>
      <c r="N165" s="232">
        <f>'Field Log (13)'!C173</f>
        <v>0</v>
      </c>
      <c r="O165" s="232">
        <f>'Field Log (14)'!C173</f>
        <v>0</v>
      </c>
      <c r="P165" s="232">
        <f>'Field Log (15)'!$C173</f>
        <v>0</v>
      </c>
      <c r="Q165" s="232">
        <f>'Field Log (16)'!$C173</f>
        <v>0</v>
      </c>
      <c r="R165" s="232">
        <f>'Field Log (17)'!$C173</f>
        <v>0</v>
      </c>
      <c r="S165" s="232">
        <f>'Field Log (18)'!$C173</f>
        <v>0</v>
      </c>
      <c r="T165" s="232">
        <f>'Field Log (19)'!$C173</f>
        <v>0</v>
      </c>
      <c r="U165" s="232">
        <f>'Field Log (20)'!$C173</f>
        <v>0</v>
      </c>
      <c r="V165" s="232">
        <f>'Field Log (21)'!$C173</f>
        <v>0</v>
      </c>
      <c r="W165" s="232">
        <f>'Field Log (22)'!$C173</f>
        <v>0</v>
      </c>
      <c r="X165" s="232">
        <f>'Field Log (23)'!$C173</f>
        <v>0</v>
      </c>
      <c r="Y165" s="232">
        <f>'Field Log (24)'!$C173</f>
        <v>0</v>
      </c>
      <c r="Z165" s="232">
        <f>'Field Log (25)'!$C173</f>
        <v>0</v>
      </c>
      <c r="AA165" s="232">
        <f>'Field Log (26)'!$C173</f>
        <v>0</v>
      </c>
      <c r="AB165" s="232">
        <f>'Field Log (27)'!$C173</f>
        <v>0</v>
      </c>
      <c r="AC165" s="232">
        <f>'Field Log (28)'!$C173</f>
        <v>0</v>
      </c>
      <c r="AD165" s="232">
        <f>'Field Log (29)'!$C173</f>
        <v>0</v>
      </c>
      <c r="AE165" s="232">
        <f>'Field Log (30)'!$C173</f>
        <v>0</v>
      </c>
      <c r="AF165" s="232">
        <f>'Field Log (31)'!$C173</f>
        <v>0</v>
      </c>
      <c r="AG165" s="232">
        <f>'Field Log (32)'!$C173</f>
        <v>0</v>
      </c>
      <c r="AH165" s="232">
        <f>'Field Log (33)'!$C173</f>
        <v>0</v>
      </c>
      <c r="AI165" s="232">
        <f>'Field Log (34)'!$C173</f>
        <v>0</v>
      </c>
      <c r="AJ165" s="232">
        <f>'Field Log (35)'!$C173</f>
        <v>0</v>
      </c>
    </row>
    <row r="166" spans="2:36">
      <c r="B166" s="232">
        <f>'Field Log (1)'!C174</f>
        <v>0</v>
      </c>
      <c r="C166" s="232">
        <f>'Field Log (2)'!C174</f>
        <v>0</v>
      </c>
      <c r="D166" s="232">
        <f>'Field Log (3)'!C174</f>
        <v>0</v>
      </c>
      <c r="E166" s="232">
        <f>'Field Log (4)'!C174</f>
        <v>0</v>
      </c>
      <c r="F166" s="232">
        <f>'Field Log (5)'!C174</f>
        <v>0</v>
      </c>
      <c r="G166" s="232">
        <f>'Field Log (6)'!C174</f>
        <v>0</v>
      </c>
      <c r="H166" s="232">
        <f>'Field Log (7)'!C174</f>
        <v>0</v>
      </c>
      <c r="I166" s="232">
        <f>'Field Log (8)'!C174</f>
        <v>0</v>
      </c>
      <c r="J166" s="232">
        <f>'Field Log (9)'!C174</f>
        <v>0</v>
      </c>
      <c r="K166" s="232">
        <f>'Field Log (10)'!C174</f>
        <v>0</v>
      </c>
      <c r="L166" s="232">
        <f>'Field Log (11)'!C174</f>
        <v>0</v>
      </c>
      <c r="M166" s="232">
        <f>'Field Log (12)'!C174</f>
        <v>0</v>
      </c>
      <c r="N166" s="232">
        <f>'Field Log (13)'!C174</f>
        <v>0</v>
      </c>
      <c r="O166" s="232">
        <f>'Field Log (14)'!C174</f>
        <v>0</v>
      </c>
      <c r="P166" s="232">
        <f>'Field Log (15)'!$C174</f>
        <v>0</v>
      </c>
      <c r="Q166" s="232">
        <f>'Field Log (16)'!$C174</f>
        <v>0</v>
      </c>
      <c r="R166" s="232">
        <f>'Field Log (17)'!$C174</f>
        <v>0</v>
      </c>
      <c r="S166" s="232">
        <f>'Field Log (18)'!$C174</f>
        <v>0</v>
      </c>
      <c r="T166" s="232">
        <f>'Field Log (19)'!$C174</f>
        <v>0</v>
      </c>
      <c r="U166" s="232">
        <f>'Field Log (20)'!$C174</f>
        <v>0</v>
      </c>
      <c r="V166" s="232">
        <f>'Field Log (21)'!$C174</f>
        <v>0</v>
      </c>
      <c r="W166" s="232">
        <f>'Field Log (22)'!$C174</f>
        <v>0</v>
      </c>
      <c r="X166" s="232">
        <f>'Field Log (23)'!$C174</f>
        <v>0</v>
      </c>
      <c r="Y166" s="232">
        <f>'Field Log (24)'!$C174</f>
        <v>0</v>
      </c>
      <c r="Z166" s="232">
        <f>'Field Log (25)'!$C174</f>
        <v>0</v>
      </c>
      <c r="AA166" s="232">
        <f>'Field Log (26)'!$C174</f>
        <v>0</v>
      </c>
      <c r="AB166" s="232">
        <f>'Field Log (27)'!$C174</f>
        <v>0</v>
      </c>
      <c r="AC166" s="232">
        <f>'Field Log (28)'!$C174</f>
        <v>0</v>
      </c>
      <c r="AD166" s="232">
        <f>'Field Log (29)'!$C174</f>
        <v>0</v>
      </c>
      <c r="AE166" s="232">
        <f>'Field Log (30)'!$C174</f>
        <v>0</v>
      </c>
      <c r="AF166" s="232">
        <f>'Field Log (31)'!$C174</f>
        <v>0</v>
      </c>
      <c r="AG166" s="232">
        <f>'Field Log (32)'!$C174</f>
        <v>0</v>
      </c>
      <c r="AH166" s="232">
        <f>'Field Log (33)'!$C174</f>
        <v>0</v>
      </c>
      <c r="AI166" s="232">
        <f>'Field Log (34)'!$C174</f>
        <v>0</v>
      </c>
      <c r="AJ166" s="232">
        <f>'Field Log (35)'!$C174</f>
        <v>0</v>
      </c>
    </row>
    <row r="167" spans="2:36">
      <c r="B167" s="232">
        <f>'Field Log (1)'!C175</f>
        <v>0</v>
      </c>
      <c r="C167" s="232">
        <f>'Field Log (2)'!C175</f>
        <v>0</v>
      </c>
      <c r="D167" s="232">
        <f>'Field Log (3)'!C175</f>
        <v>0</v>
      </c>
      <c r="E167" s="232">
        <f>'Field Log (4)'!C175</f>
        <v>0</v>
      </c>
      <c r="F167" s="232">
        <f>'Field Log (5)'!C175</f>
        <v>0</v>
      </c>
      <c r="G167" s="232">
        <f>'Field Log (6)'!C175</f>
        <v>0</v>
      </c>
      <c r="H167" s="232">
        <f>'Field Log (7)'!C175</f>
        <v>0</v>
      </c>
      <c r="I167" s="232">
        <f>'Field Log (8)'!C175</f>
        <v>0</v>
      </c>
      <c r="J167" s="232">
        <f>'Field Log (9)'!C175</f>
        <v>0</v>
      </c>
      <c r="K167" s="232">
        <f>'Field Log (10)'!C175</f>
        <v>0</v>
      </c>
      <c r="L167" s="232">
        <f>'Field Log (11)'!C175</f>
        <v>0</v>
      </c>
      <c r="M167" s="232">
        <f>'Field Log (12)'!C175</f>
        <v>0</v>
      </c>
      <c r="N167" s="232">
        <f>'Field Log (13)'!C175</f>
        <v>0</v>
      </c>
      <c r="O167" s="232">
        <f>'Field Log (14)'!C175</f>
        <v>0</v>
      </c>
      <c r="P167" s="232">
        <f>'Field Log (15)'!$C175</f>
        <v>0</v>
      </c>
      <c r="Q167" s="232">
        <f>'Field Log (16)'!$C175</f>
        <v>0</v>
      </c>
      <c r="R167" s="232">
        <f>'Field Log (17)'!$C175</f>
        <v>0</v>
      </c>
      <c r="S167" s="232">
        <f>'Field Log (18)'!$C175</f>
        <v>0</v>
      </c>
      <c r="T167" s="232">
        <f>'Field Log (19)'!$C175</f>
        <v>0</v>
      </c>
      <c r="U167" s="232">
        <f>'Field Log (20)'!$C175</f>
        <v>0</v>
      </c>
      <c r="V167" s="232">
        <f>'Field Log (21)'!$C175</f>
        <v>0</v>
      </c>
      <c r="W167" s="232">
        <f>'Field Log (22)'!$C175</f>
        <v>0</v>
      </c>
      <c r="X167" s="232">
        <f>'Field Log (23)'!$C175</f>
        <v>0</v>
      </c>
      <c r="Y167" s="232">
        <f>'Field Log (24)'!$C175</f>
        <v>0</v>
      </c>
      <c r="Z167" s="232">
        <f>'Field Log (25)'!$C175</f>
        <v>0</v>
      </c>
      <c r="AA167" s="232">
        <f>'Field Log (26)'!$C175</f>
        <v>0</v>
      </c>
      <c r="AB167" s="232">
        <f>'Field Log (27)'!$C175</f>
        <v>0</v>
      </c>
      <c r="AC167" s="232">
        <f>'Field Log (28)'!$C175</f>
        <v>0</v>
      </c>
      <c r="AD167" s="232">
        <f>'Field Log (29)'!$C175</f>
        <v>0</v>
      </c>
      <c r="AE167" s="232">
        <f>'Field Log (30)'!$C175</f>
        <v>0</v>
      </c>
      <c r="AF167" s="232">
        <f>'Field Log (31)'!$C175</f>
        <v>0</v>
      </c>
      <c r="AG167" s="232">
        <f>'Field Log (32)'!$C175</f>
        <v>0</v>
      </c>
      <c r="AH167" s="232">
        <f>'Field Log (33)'!$C175</f>
        <v>0</v>
      </c>
      <c r="AI167" s="232">
        <f>'Field Log (34)'!$C175</f>
        <v>0</v>
      </c>
      <c r="AJ167" s="232">
        <f>'Field Log (35)'!$C175</f>
        <v>0</v>
      </c>
    </row>
    <row r="168" spans="2:36">
      <c r="B168" s="232">
        <f>'Field Log (1)'!C176</f>
        <v>0</v>
      </c>
      <c r="C168" s="232">
        <f>'Field Log (2)'!C176</f>
        <v>0</v>
      </c>
      <c r="D168" s="232">
        <f>'Field Log (3)'!C176</f>
        <v>0</v>
      </c>
      <c r="E168" s="232">
        <f>'Field Log (4)'!C176</f>
        <v>0</v>
      </c>
      <c r="F168" s="232">
        <f>'Field Log (5)'!C176</f>
        <v>0</v>
      </c>
      <c r="G168" s="232">
        <f>'Field Log (6)'!C176</f>
        <v>0</v>
      </c>
      <c r="H168" s="232">
        <f>'Field Log (7)'!C176</f>
        <v>0</v>
      </c>
      <c r="I168" s="232">
        <f>'Field Log (8)'!C176</f>
        <v>0</v>
      </c>
      <c r="J168" s="232">
        <f>'Field Log (9)'!C176</f>
        <v>0</v>
      </c>
      <c r="K168" s="232">
        <f>'Field Log (10)'!C176</f>
        <v>0</v>
      </c>
      <c r="L168" s="232">
        <f>'Field Log (11)'!C176</f>
        <v>0</v>
      </c>
      <c r="M168" s="232">
        <f>'Field Log (12)'!C176</f>
        <v>0</v>
      </c>
      <c r="N168" s="232">
        <f>'Field Log (13)'!C176</f>
        <v>0</v>
      </c>
      <c r="O168" s="232">
        <f>'Field Log (14)'!C176</f>
        <v>0</v>
      </c>
      <c r="P168" s="232">
        <f>'Field Log (15)'!$C176</f>
        <v>0</v>
      </c>
      <c r="Q168" s="232">
        <f>'Field Log (16)'!$C176</f>
        <v>0</v>
      </c>
      <c r="R168" s="232">
        <f>'Field Log (17)'!$C176</f>
        <v>0</v>
      </c>
      <c r="S168" s="232">
        <f>'Field Log (18)'!$C176</f>
        <v>0</v>
      </c>
      <c r="T168" s="232">
        <f>'Field Log (19)'!$C176</f>
        <v>0</v>
      </c>
      <c r="U168" s="232">
        <f>'Field Log (20)'!$C176</f>
        <v>0</v>
      </c>
      <c r="V168" s="232">
        <f>'Field Log (21)'!$C176</f>
        <v>0</v>
      </c>
      <c r="W168" s="232">
        <f>'Field Log (22)'!$C176</f>
        <v>0</v>
      </c>
      <c r="X168" s="232">
        <f>'Field Log (23)'!$C176</f>
        <v>0</v>
      </c>
      <c r="Y168" s="232">
        <f>'Field Log (24)'!$C176</f>
        <v>0</v>
      </c>
      <c r="Z168" s="232">
        <f>'Field Log (25)'!$C176</f>
        <v>0</v>
      </c>
      <c r="AA168" s="232">
        <f>'Field Log (26)'!$C176</f>
        <v>0</v>
      </c>
      <c r="AB168" s="232">
        <f>'Field Log (27)'!$C176</f>
        <v>0</v>
      </c>
      <c r="AC168" s="232">
        <f>'Field Log (28)'!$C176</f>
        <v>0</v>
      </c>
      <c r="AD168" s="232">
        <f>'Field Log (29)'!$C176</f>
        <v>0</v>
      </c>
      <c r="AE168" s="232">
        <f>'Field Log (30)'!$C176</f>
        <v>0</v>
      </c>
      <c r="AF168" s="232">
        <f>'Field Log (31)'!$C176</f>
        <v>0</v>
      </c>
      <c r="AG168" s="232">
        <f>'Field Log (32)'!$C176</f>
        <v>0</v>
      </c>
      <c r="AH168" s="232">
        <f>'Field Log (33)'!$C176</f>
        <v>0</v>
      </c>
      <c r="AI168" s="232">
        <f>'Field Log (34)'!$C176</f>
        <v>0</v>
      </c>
      <c r="AJ168" s="232">
        <f>'Field Log (35)'!$C176</f>
        <v>0</v>
      </c>
    </row>
    <row r="169" spans="2:36">
      <c r="B169" s="232">
        <f>'Field Log (1)'!C177</f>
        <v>0</v>
      </c>
      <c r="C169" s="232">
        <f>'Field Log (2)'!C177</f>
        <v>0</v>
      </c>
      <c r="D169" s="232">
        <f>'Field Log (3)'!C177</f>
        <v>0</v>
      </c>
      <c r="E169" s="232">
        <f>'Field Log (4)'!C177</f>
        <v>0</v>
      </c>
      <c r="F169" s="232">
        <f>'Field Log (5)'!C177</f>
        <v>0</v>
      </c>
      <c r="G169" s="232">
        <f>'Field Log (6)'!C177</f>
        <v>0</v>
      </c>
      <c r="H169" s="232">
        <f>'Field Log (7)'!C177</f>
        <v>0</v>
      </c>
      <c r="I169" s="232">
        <f>'Field Log (8)'!C177</f>
        <v>0</v>
      </c>
      <c r="J169" s="232">
        <f>'Field Log (9)'!C177</f>
        <v>0</v>
      </c>
      <c r="K169" s="232">
        <f>'Field Log (10)'!C177</f>
        <v>0</v>
      </c>
      <c r="L169" s="232">
        <f>'Field Log (11)'!C177</f>
        <v>0</v>
      </c>
      <c r="M169" s="232">
        <f>'Field Log (12)'!C177</f>
        <v>0</v>
      </c>
      <c r="N169" s="232">
        <f>'Field Log (13)'!C177</f>
        <v>0</v>
      </c>
      <c r="O169" s="232">
        <f>'Field Log (14)'!C177</f>
        <v>0</v>
      </c>
      <c r="P169" s="232">
        <f>'Field Log (15)'!$C177</f>
        <v>0</v>
      </c>
      <c r="Q169" s="232">
        <f>'Field Log (16)'!$C177</f>
        <v>0</v>
      </c>
      <c r="R169" s="232">
        <f>'Field Log (17)'!$C177</f>
        <v>0</v>
      </c>
      <c r="S169" s="232">
        <f>'Field Log (18)'!$C177</f>
        <v>0</v>
      </c>
      <c r="T169" s="232">
        <f>'Field Log (19)'!$C177</f>
        <v>0</v>
      </c>
      <c r="U169" s="232">
        <f>'Field Log (20)'!$C177</f>
        <v>0</v>
      </c>
      <c r="V169" s="232">
        <f>'Field Log (21)'!$C177</f>
        <v>0</v>
      </c>
      <c r="W169" s="232">
        <f>'Field Log (22)'!$C177</f>
        <v>0</v>
      </c>
      <c r="X169" s="232">
        <f>'Field Log (23)'!$C177</f>
        <v>0</v>
      </c>
      <c r="Y169" s="232">
        <f>'Field Log (24)'!$C177</f>
        <v>0</v>
      </c>
      <c r="Z169" s="232">
        <f>'Field Log (25)'!$C177</f>
        <v>0</v>
      </c>
      <c r="AA169" s="232">
        <f>'Field Log (26)'!$C177</f>
        <v>0</v>
      </c>
      <c r="AB169" s="232">
        <f>'Field Log (27)'!$C177</f>
        <v>0</v>
      </c>
      <c r="AC169" s="232">
        <f>'Field Log (28)'!$C177</f>
        <v>0</v>
      </c>
      <c r="AD169" s="232">
        <f>'Field Log (29)'!$C177</f>
        <v>0</v>
      </c>
      <c r="AE169" s="232">
        <f>'Field Log (30)'!$C177</f>
        <v>0</v>
      </c>
      <c r="AF169" s="232">
        <f>'Field Log (31)'!$C177</f>
        <v>0</v>
      </c>
      <c r="AG169" s="232">
        <f>'Field Log (32)'!$C177</f>
        <v>0</v>
      </c>
      <c r="AH169" s="232">
        <f>'Field Log (33)'!$C177</f>
        <v>0</v>
      </c>
      <c r="AI169" s="232">
        <f>'Field Log (34)'!$C177</f>
        <v>0</v>
      </c>
      <c r="AJ169" s="232">
        <f>'Field Log (35)'!$C177</f>
        <v>0</v>
      </c>
    </row>
    <row r="170" spans="2:36">
      <c r="B170" s="232">
        <f>'Field Log (1)'!C178</f>
        <v>0</v>
      </c>
      <c r="C170" s="232">
        <f>'Field Log (2)'!C178</f>
        <v>0</v>
      </c>
      <c r="D170" s="232">
        <f>'Field Log (3)'!C178</f>
        <v>0</v>
      </c>
      <c r="E170" s="232">
        <f>'Field Log (4)'!C178</f>
        <v>0</v>
      </c>
      <c r="F170" s="232">
        <f>'Field Log (5)'!C178</f>
        <v>0</v>
      </c>
      <c r="G170" s="232">
        <f>'Field Log (6)'!C178</f>
        <v>0</v>
      </c>
      <c r="H170" s="232">
        <f>'Field Log (7)'!C178</f>
        <v>0</v>
      </c>
      <c r="I170" s="232">
        <f>'Field Log (8)'!C178</f>
        <v>0</v>
      </c>
      <c r="J170" s="232">
        <f>'Field Log (9)'!C178</f>
        <v>0</v>
      </c>
      <c r="K170" s="232">
        <f>'Field Log (10)'!C178</f>
        <v>0</v>
      </c>
      <c r="L170" s="232">
        <f>'Field Log (11)'!C178</f>
        <v>0</v>
      </c>
      <c r="M170" s="232">
        <f>'Field Log (12)'!C178</f>
        <v>0</v>
      </c>
      <c r="N170" s="232">
        <f>'Field Log (13)'!C178</f>
        <v>0</v>
      </c>
      <c r="O170" s="232">
        <f>'Field Log (14)'!C178</f>
        <v>0</v>
      </c>
      <c r="P170" s="232">
        <f>'Field Log (15)'!$C178</f>
        <v>0</v>
      </c>
      <c r="Q170" s="232">
        <f>'Field Log (16)'!$C178</f>
        <v>0</v>
      </c>
      <c r="R170" s="232">
        <f>'Field Log (17)'!$C178</f>
        <v>0</v>
      </c>
      <c r="S170" s="232">
        <f>'Field Log (18)'!$C178</f>
        <v>0</v>
      </c>
      <c r="T170" s="232">
        <f>'Field Log (19)'!$C178</f>
        <v>0</v>
      </c>
      <c r="U170" s="232">
        <f>'Field Log (20)'!$C178</f>
        <v>0</v>
      </c>
      <c r="V170" s="232">
        <f>'Field Log (21)'!$C178</f>
        <v>0</v>
      </c>
      <c r="W170" s="232">
        <f>'Field Log (22)'!$C178</f>
        <v>0</v>
      </c>
      <c r="X170" s="232">
        <f>'Field Log (23)'!$C178</f>
        <v>0</v>
      </c>
      <c r="Y170" s="232">
        <f>'Field Log (24)'!$C178</f>
        <v>0</v>
      </c>
      <c r="Z170" s="232">
        <f>'Field Log (25)'!$C178</f>
        <v>0</v>
      </c>
      <c r="AA170" s="232">
        <f>'Field Log (26)'!$C178</f>
        <v>0</v>
      </c>
      <c r="AB170" s="232">
        <f>'Field Log (27)'!$C178</f>
        <v>0</v>
      </c>
      <c r="AC170" s="232">
        <f>'Field Log (28)'!$C178</f>
        <v>0</v>
      </c>
      <c r="AD170" s="232">
        <f>'Field Log (29)'!$C178</f>
        <v>0</v>
      </c>
      <c r="AE170" s="232">
        <f>'Field Log (30)'!$C178</f>
        <v>0</v>
      </c>
      <c r="AF170" s="232">
        <f>'Field Log (31)'!$C178</f>
        <v>0</v>
      </c>
      <c r="AG170" s="232">
        <f>'Field Log (32)'!$C178</f>
        <v>0</v>
      </c>
      <c r="AH170" s="232">
        <f>'Field Log (33)'!$C178</f>
        <v>0</v>
      </c>
      <c r="AI170" s="232">
        <f>'Field Log (34)'!$C178</f>
        <v>0</v>
      </c>
      <c r="AJ170" s="232">
        <f>'Field Log (35)'!$C178</f>
        <v>0</v>
      </c>
    </row>
    <row r="171" spans="2:36">
      <c r="B171" s="232">
        <f>'Field Log (1)'!C179</f>
        <v>0</v>
      </c>
      <c r="C171" s="232">
        <f>'Field Log (2)'!C179</f>
        <v>0</v>
      </c>
      <c r="D171" s="232">
        <f>'Field Log (3)'!C179</f>
        <v>0</v>
      </c>
      <c r="E171" s="232">
        <f>'Field Log (4)'!C179</f>
        <v>0</v>
      </c>
      <c r="F171" s="232">
        <f>'Field Log (5)'!C179</f>
        <v>0</v>
      </c>
      <c r="G171" s="232">
        <f>'Field Log (6)'!C179</f>
        <v>0</v>
      </c>
      <c r="H171" s="232">
        <f>'Field Log (7)'!C179</f>
        <v>0</v>
      </c>
      <c r="I171" s="232">
        <f>'Field Log (8)'!C179</f>
        <v>0</v>
      </c>
      <c r="J171" s="232">
        <f>'Field Log (9)'!C179</f>
        <v>0</v>
      </c>
      <c r="K171" s="232">
        <f>'Field Log (10)'!C179</f>
        <v>0</v>
      </c>
      <c r="L171" s="232">
        <f>'Field Log (11)'!C179</f>
        <v>0</v>
      </c>
      <c r="M171" s="232">
        <f>'Field Log (12)'!C179</f>
        <v>0</v>
      </c>
      <c r="N171" s="232">
        <f>'Field Log (13)'!C179</f>
        <v>0</v>
      </c>
      <c r="O171" s="232">
        <f>'Field Log (14)'!C179</f>
        <v>0</v>
      </c>
      <c r="P171" s="232">
        <f>'Field Log (15)'!$C179</f>
        <v>0</v>
      </c>
      <c r="Q171" s="232">
        <f>'Field Log (16)'!$C179</f>
        <v>0</v>
      </c>
      <c r="R171" s="232">
        <f>'Field Log (17)'!$C179</f>
        <v>0</v>
      </c>
      <c r="S171" s="232">
        <f>'Field Log (18)'!$C179</f>
        <v>0</v>
      </c>
      <c r="T171" s="232">
        <f>'Field Log (19)'!$C179</f>
        <v>0</v>
      </c>
      <c r="U171" s="232">
        <f>'Field Log (20)'!$C179</f>
        <v>0</v>
      </c>
      <c r="V171" s="232">
        <f>'Field Log (21)'!$C179</f>
        <v>0</v>
      </c>
      <c r="W171" s="232">
        <f>'Field Log (22)'!$C179</f>
        <v>0</v>
      </c>
      <c r="X171" s="232">
        <f>'Field Log (23)'!$C179</f>
        <v>0</v>
      </c>
      <c r="Y171" s="232">
        <f>'Field Log (24)'!$C179</f>
        <v>0</v>
      </c>
      <c r="Z171" s="232">
        <f>'Field Log (25)'!$C179</f>
        <v>0</v>
      </c>
      <c r="AA171" s="232">
        <f>'Field Log (26)'!$C179</f>
        <v>0</v>
      </c>
      <c r="AB171" s="232">
        <f>'Field Log (27)'!$C179</f>
        <v>0</v>
      </c>
      <c r="AC171" s="232">
        <f>'Field Log (28)'!$C179</f>
        <v>0</v>
      </c>
      <c r="AD171" s="232">
        <f>'Field Log (29)'!$C179</f>
        <v>0</v>
      </c>
      <c r="AE171" s="232">
        <f>'Field Log (30)'!$C179</f>
        <v>0</v>
      </c>
      <c r="AF171" s="232">
        <f>'Field Log (31)'!$C179</f>
        <v>0</v>
      </c>
      <c r="AG171" s="232">
        <f>'Field Log (32)'!$C179</f>
        <v>0</v>
      </c>
      <c r="AH171" s="232">
        <f>'Field Log (33)'!$C179</f>
        <v>0</v>
      </c>
      <c r="AI171" s="232">
        <f>'Field Log (34)'!$C179</f>
        <v>0</v>
      </c>
      <c r="AJ171" s="232">
        <f>'Field Log (35)'!$C179</f>
        <v>0</v>
      </c>
    </row>
    <row r="172" spans="2:36">
      <c r="B172" s="232">
        <f>'Field Log (1)'!C180</f>
        <v>0</v>
      </c>
      <c r="C172" s="232">
        <f>'Field Log (2)'!C180</f>
        <v>0</v>
      </c>
      <c r="D172" s="232">
        <f>'Field Log (3)'!C180</f>
        <v>0</v>
      </c>
      <c r="E172" s="232">
        <f>'Field Log (4)'!C180</f>
        <v>0</v>
      </c>
      <c r="F172" s="232">
        <f>'Field Log (5)'!C180</f>
        <v>0</v>
      </c>
      <c r="G172" s="232">
        <f>'Field Log (6)'!C180</f>
        <v>0</v>
      </c>
      <c r="H172" s="232">
        <f>'Field Log (7)'!C180</f>
        <v>0</v>
      </c>
      <c r="I172" s="232">
        <f>'Field Log (8)'!C180</f>
        <v>0</v>
      </c>
      <c r="J172" s="232">
        <f>'Field Log (9)'!C180</f>
        <v>0</v>
      </c>
      <c r="K172" s="232">
        <f>'Field Log (10)'!C180</f>
        <v>0</v>
      </c>
      <c r="L172" s="232">
        <f>'Field Log (11)'!C180</f>
        <v>0</v>
      </c>
      <c r="M172" s="232">
        <f>'Field Log (12)'!C180</f>
        <v>0</v>
      </c>
      <c r="N172" s="232">
        <f>'Field Log (13)'!C180</f>
        <v>0</v>
      </c>
      <c r="O172" s="232">
        <f>'Field Log (14)'!C180</f>
        <v>0</v>
      </c>
      <c r="P172" s="232">
        <f>'Field Log (15)'!$C180</f>
        <v>0</v>
      </c>
      <c r="Q172" s="232">
        <f>'Field Log (16)'!$C180</f>
        <v>0</v>
      </c>
      <c r="R172" s="232">
        <f>'Field Log (17)'!$C180</f>
        <v>0</v>
      </c>
      <c r="S172" s="232">
        <f>'Field Log (18)'!$C180</f>
        <v>0</v>
      </c>
      <c r="T172" s="232">
        <f>'Field Log (19)'!$C180</f>
        <v>0</v>
      </c>
      <c r="U172" s="232">
        <f>'Field Log (20)'!$C180</f>
        <v>0</v>
      </c>
      <c r="V172" s="232">
        <f>'Field Log (21)'!$C180</f>
        <v>0</v>
      </c>
      <c r="W172" s="232">
        <f>'Field Log (22)'!$C180</f>
        <v>0</v>
      </c>
      <c r="X172" s="232">
        <f>'Field Log (23)'!$C180</f>
        <v>0</v>
      </c>
      <c r="Y172" s="232">
        <f>'Field Log (24)'!$C180</f>
        <v>0</v>
      </c>
      <c r="Z172" s="232">
        <f>'Field Log (25)'!$C180</f>
        <v>0</v>
      </c>
      <c r="AA172" s="232">
        <f>'Field Log (26)'!$C180</f>
        <v>0</v>
      </c>
      <c r="AB172" s="232">
        <f>'Field Log (27)'!$C180</f>
        <v>0</v>
      </c>
      <c r="AC172" s="232">
        <f>'Field Log (28)'!$C180</f>
        <v>0</v>
      </c>
      <c r="AD172" s="232">
        <f>'Field Log (29)'!$C180</f>
        <v>0</v>
      </c>
      <c r="AE172" s="232">
        <f>'Field Log (30)'!$C180</f>
        <v>0</v>
      </c>
      <c r="AF172" s="232">
        <f>'Field Log (31)'!$C180</f>
        <v>0</v>
      </c>
      <c r="AG172" s="232">
        <f>'Field Log (32)'!$C180</f>
        <v>0</v>
      </c>
      <c r="AH172" s="232">
        <f>'Field Log (33)'!$C180</f>
        <v>0</v>
      </c>
      <c r="AI172" s="232">
        <f>'Field Log (34)'!$C180</f>
        <v>0</v>
      </c>
      <c r="AJ172" s="232">
        <f>'Field Log (35)'!$C180</f>
        <v>0</v>
      </c>
    </row>
    <row r="173" spans="2:36">
      <c r="B173" s="232">
        <f>'Field Log (1)'!C181</f>
        <v>0</v>
      </c>
      <c r="C173" s="232">
        <f>'Field Log (2)'!C181</f>
        <v>0</v>
      </c>
      <c r="D173" s="232">
        <f>'Field Log (3)'!C181</f>
        <v>0</v>
      </c>
      <c r="E173" s="232">
        <f>'Field Log (4)'!C181</f>
        <v>0</v>
      </c>
      <c r="F173" s="232">
        <f>'Field Log (5)'!C181</f>
        <v>0</v>
      </c>
      <c r="G173" s="232">
        <f>'Field Log (6)'!C181</f>
        <v>0</v>
      </c>
      <c r="H173" s="232">
        <f>'Field Log (7)'!C181</f>
        <v>0</v>
      </c>
      <c r="I173" s="232">
        <f>'Field Log (8)'!C181</f>
        <v>0</v>
      </c>
      <c r="J173" s="232">
        <f>'Field Log (9)'!C181</f>
        <v>0</v>
      </c>
      <c r="K173" s="232">
        <f>'Field Log (10)'!C181</f>
        <v>0</v>
      </c>
      <c r="L173" s="232">
        <f>'Field Log (11)'!C181</f>
        <v>0</v>
      </c>
      <c r="M173" s="232">
        <f>'Field Log (12)'!C181</f>
        <v>0</v>
      </c>
      <c r="N173" s="232">
        <f>'Field Log (13)'!C181</f>
        <v>0</v>
      </c>
      <c r="O173" s="232">
        <f>'Field Log (14)'!C181</f>
        <v>0</v>
      </c>
      <c r="P173" s="232">
        <f>'Field Log (15)'!$C181</f>
        <v>0</v>
      </c>
      <c r="Q173" s="232">
        <f>'Field Log (16)'!$C181</f>
        <v>0</v>
      </c>
      <c r="R173" s="232">
        <f>'Field Log (17)'!$C181</f>
        <v>0</v>
      </c>
      <c r="S173" s="232">
        <f>'Field Log (18)'!$C181</f>
        <v>0</v>
      </c>
      <c r="T173" s="232">
        <f>'Field Log (19)'!$C181</f>
        <v>0</v>
      </c>
      <c r="U173" s="232">
        <f>'Field Log (20)'!$C181</f>
        <v>0</v>
      </c>
      <c r="V173" s="232">
        <f>'Field Log (21)'!$C181</f>
        <v>0</v>
      </c>
      <c r="W173" s="232">
        <f>'Field Log (22)'!$C181</f>
        <v>0</v>
      </c>
      <c r="X173" s="232">
        <f>'Field Log (23)'!$C181</f>
        <v>0</v>
      </c>
      <c r="Y173" s="232">
        <f>'Field Log (24)'!$C181</f>
        <v>0</v>
      </c>
      <c r="Z173" s="232">
        <f>'Field Log (25)'!$C181</f>
        <v>0</v>
      </c>
      <c r="AA173" s="232">
        <f>'Field Log (26)'!$C181</f>
        <v>0</v>
      </c>
      <c r="AB173" s="232">
        <f>'Field Log (27)'!$C181</f>
        <v>0</v>
      </c>
      <c r="AC173" s="232">
        <f>'Field Log (28)'!$C181</f>
        <v>0</v>
      </c>
      <c r="AD173" s="232">
        <f>'Field Log (29)'!$C181</f>
        <v>0</v>
      </c>
      <c r="AE173" s="232">
        <f>'Field Log (30)'!$C181</f>
        <v>0</v>
      </c>
      <c r="AF173" s="232">
        <f>'Field Log (31)'!$C181</f>
        <v>0</v>
      </c>
      <c r="AG173" s="232">
        <f>'Field Log (32)'!$C181</f>
        <v>0</v>
      </c>
      <c r="AH173" s="232">
        <f>'Field Log (33)'!$C181</f>
        <v>0</v>
      </c>
      <c r="AI173" s="232">
        <f>'Field Log (34)'!$C181</f>
        <v>0</v>
      </c>
      <c r="AJ173" s="232">
        <f>'Field Log (35)'!$C181</f>
        <v>0</v>
      </c>
    </row>
    <row r="174" spans="2:36">
      <c r="B174" s="232">
        <f>'Field Log (1)'!C182</f>
        <v>0</v>
      </c>
      <c r="C174" s="232">
        <f>'Field Log (2)'!C182</f>
        <v>0</v>
      </c>
      <c r="D174" s="232">
        <f>'Field Log (3)'!C182</f>
        <v>0</v>
      </c>
      <c r="E174" s="232">
        <f>'Field Log (4)'!C182</f>
        <v>0</v>
      </c>
      <c r="F174" s="232">
        <f>'Field Log (5)'!C182</f>
        <v>0</v>
      </c>
      <c r="G174" s="232">
        <f>'Field Log (6)'!C182</f>
        <v>0</v>
      </c>
      <c r="H174" s="232">
        <f>'Field Log (7)'!C182</f>
        <v>0</v>
      </c>
      <c r="I174" s="232">
        <f>'Field Log (8)'!C182</f>
        <v>0</v>
      </c>
      <c r="J174" s="232">
        <f>'Field Log (9)'!C182</f>
        <v>0</v>
      </c>
      <c r="K174" s="232">
        <f>'Field Log (10)'!C182</f>
        <v>0</v>
      </c>
      <c r="L174" s="232">
        <f>'Field Log (11)'!C182</f>
        <v>0</v>
      </c>
      <c r="M174" s="232">
        <f>'Field Log (12)'!C182</f>
        <v>0</v>
      </c>
      <c r="N174" s="232">
        <f>'Field Log (13)'!C182</f>
        <v>0</v>
      </c>
      <c r="O174" s="232">
        <f>'Field Log (14)'!C182</f>
        <v>0</v>
      </c>
      <c r="P174" s="232">
        <f>'Field Log (15)'!$C182</f>
        <v>0</v>
      </c>
      <c r="Q174" s="232">
        <f>'Field Log (16)'!$C182</f>
        <v>0</v>
      </c>
      <c r="R174" s="232">
        <f>'Field Log (17)'!$C182</f>
        <v>0</v>
      </c>
      <c r="S174" s="232">
        <f>'Field Log (18)'!$C182</f>
        <v>0</v>
      </c>
      <c r="T174" s="232">
        <f>'Field Log (19)'!$C182</f>
        <v>0</v>
      </c>
      <c r="U174" s="232">
        <f>'Field Log (20)'!$C182</f>
        <v>0</v>
      </c>
      <c r="V174" s="232">
        <f>'Field Log (21)'!$C182</f>
        <v>0</v>
      </c>
      <c r="W174" s="232">
        <f>'Field Log (22)'!$C182</f>
        <v>0</v>
      </c>
      <c r="X174" s="232">
        <f>'Field Log (23)'!$C182</f>
        <v>0</v>
      </c>
      <c r="Y174" s="232">
        <f>'Field Log (24)'!$C182</f>
        <v>0</v>
      </c>
      <c r="Z174" s="232">
        <f>'Field Log (25)'!$C182</f>
        <v>0</v>
      </c>
      <c r="AA174" s="232">
        <f>'Field Log (26)'!$C182</f>
        <v>0</v>
      </c>
      <c r="AB174" s="232">
        <f>'Field Log (27)'!$C182</f>
        <v>0</v>
      </c>
      <c r="AC174" s="232">
        <f>'Field Log (28)'!$C182</f>
        <v>0</v>
      </c>
      <c r="AD174" s="232">
        <f>'Field Log (29)'!$C182</f>
        <v>0</v>
      </c>
      <c r="AE174" s="232">
        <f>'Field Log (30)'!$C182</f>
        <v>0</v>
      </c>
      <c r="AF174" s="232">
        <f>'Field Log (31)'!$C182</f>
        <v>0</v>
      </c>
      <c r="AG174" s="232">
        <f>'Field Log (32)'!$C182</f>
        <v>0</v>
      </c>
      <c r="AH174" s="232">
        <f>'Field Log (33)'!$C182</f>
        <v>0</v>
      </c>
      <c r="AI174" s="232">
        <f>'Field Log (34)'!$C182</f>
        <v>0</v>
      </c>
      <c r="AJ174" s="232">
        <f>'Field Log (35)'!$C182</f>
        <v>0</v>
      </c>
    </row>
    <row r="175" spans="2:36">
      <c r="B175" s="232">
        <f>'Field Log (1)'!C183</f>
        <v>0</v>
      </c>
      <c r="C175" s="232">
        <f>'Field Log (2)'!C183</f>
        <v>0</v>
      </c>
      <c r="D175" s="232">
        <f>'Field Log (3)'!C183</f>
        <v>0</v>
      </c>
      <c r="E175" s="232">
        <f>'Field Log (4)'!C183</f>
        <v>0</v>
      </c>
      <c r="F175" s="232">
        <f>'Field Log (5)'!C183</f>
        <v>0</v>
      </c>
      <c r="G175" s="232">
        <f>'Field Log (6)'!C183</f>
        <v>0</v>
      </c>
      <c r="H175" s="232">
        <f>'Field Log (7)'!C183</f>
        <v>0</v>
      </c>
      <c r="I175" s="232">
        <f>'Field Log (8)'!C183</f>
        <v>0</v>
      </c>
      <c r="J175" s="232">
        <f>'Field Log (9)'!C183</f>
        <v>0</v>
      </c>
      <c r="K175" s="232">
        <f>'Field Log (10)'!C183</f>
        <v>0</v>
      </c>
      <c r="L175" s="232">
        <f>'Field Log (11)'!C183</f>
        <v>0</v>
      </c>
      <c r="M175" s="232">
        <f>'Field Log (12)'!C183</f>
        <v>0</v>
      </c>
      <c r="N175" s="232">
        <f>'Field Log (13)'!C183</f>
        <v>0</v>
      </c>
      <c r="O175" s="232">
        <f>'Field Log (14)'!C183</f>
        <v>0</v>
      </c>
      <c r="P175" s="232">
        <f>'Field Log (15)'!$C183</f>
        <v>0</v>
      </c>
      <c r="Q175" s="232">
        <f>'Field Log (16)'!$C183</f>
        <v>0</v>
      </c>
      <c r="R175" s="232">
        <f>'Field Log (17)'!$C183</f>
        <v>0</v>
      </c>
      <c r="S175" s="232">
        <f>'Field Log (18)'!$C183</f>
        <v>0</v>
      </c>
      <c r="T175" s="232">
        <f>'Field Log (19)'!$C183</f>
        <v>0</v>
      </c>
      <c r="U175" s="232">
        <f>'Field Log (20)'!$C183</f>
        <v>0</v>
      </c>
      <c r="V175" s="232">
        <f>'Field Log (21)'!$C183</f>
        <v>0</v>
      </c>
      <c r="W175" s="232">
        <f>'Field Log (22)'!$C183</f>
        <v>0</v>
      </c>
      <c r="X175" s="232">
        <f>'Field Log (23)'!$C183</f>
        <v>0</v>
      </c>
      <c r="Y175" s="232">
        <f>'Field Log (24)'!$C183</f>
        <v>0</v>
      </c>
      <c r="Z175" s="232">
        <f>'Field Log (25)'!$C183</f>
        <v>0</v>
      </c>
      <c r="AA175" s="232">
        <f>'Field Log (26)'!$C183</f>
        <v>0</v>
      </c>
      <c r="AB175" s="232">
        <f>'Field Log (27)'!$C183</f>
        <v>0</v>
      </c>
      <c r="AC175" s="232">
        <f>'Field Log (28)'!$C183</f>
        <v>0</v>
      </c>
      <c r="AD175" s="232">
        <f>'Field Log (29)'!$C183</f>
        <v>0</v>
      </c>
      <c r="AE175" s="232">
        <f>'Field Log (30)'!$C183</f>
        <v>0</v>
      </c>
      <c r="AF175" s="232">
        <f>'Field Log (31)'!$C183</f>
        <v>0</v>
      </c>
      <c r="AG175" s="232">
        <f>'Field Log (32)'!$C183</f>
        <v>0</v>
      </c>
      <c r="AH175" s="232">
        <f>'Field Log (33)'!$C183</f>
        <v>0</v>
      </c>
      <c r="AI175" s="232">
        <f>'Field Log (34)'!$C183</f>
        <v>0</v>
      </c>
      <c r="AJ175" s="232">
        <f>'Field Log (35)'!$C183</f>
        <v>0</v>
      </c>
    </row>
    <row r="176" spans="2:36">
      <c r="B176" s="232">
        <f>'Field Log (1)'!C184</f>
        <v>0</v>
      </c>
      <c r="C176" s="232">
        <f>'Field Log (2)'!C184</f>
        <v>0</v>
      </c>
      <c r="D176" s="232">
        <f>'Field Log (3)'!C184</f>
        <v>0</v>
      </c>
      <c r="E176" s="232">
        <f>'Field Log (4)'!C184</f>
        <v>0</v>
      </c>
      <c r="F176" s="232">
        <f>'Field Log (5)'!C184</f>
        <v>0</v>
      </c>
      <c r="G176" s="232">
        <f>'Field Log (6)'!C184</f>
        <v>0</v>
      </c>
      <c r="H176" s="232">
        <f>'Field Log (7)'!C184</f>
        <v>0</v>
      </c>
      <c r="I176" s="232">
        <f>'Field Log (8)'!C184</f>
        <v>0</v>
      </c>
      <c r="J176" s="232">
        <f>'Field Log (9)'!C184</f>
        <v>0</v>
      </c>
      <c r="K176" s="232">
        <f>'Field Log (10)'!C184</f>
        <v>0</v>
      </c>
      <c r="L176" s="232">
        <f>'Field Log (11)'!C184</f>
        <v>0</v>
      </c>
      <c r="M176" s="232">
        <f>'Field Log (12)'!C184</f>
        <v>0</v>
      </c>
      <c r="N176" s="232">
        <f>'Field Log (13)'!C184</f>
        <v>0</v>
      </c>
      <c r="O176" s="232">
        <f>'Field Log (14)'!C184</f>
        <v>0</v>
      </c>
      <c r="P176" s="232">
        <f>'Field Log (15)'!$C184</f>
        <v>0</v>
      </c>
      <c r="Q176" s="232">
        <f>'Field Log (16)'!$C184</f>
        <v>0</v>
      </c>
      <c r="R176" s="232">
        <f>'Field Log (17)'!$C184</f>
        <v>0</v>
      </c>
      <c r="S176" s="232">
        <f>'Field Log (18)'!$C184</f>
        <v>0</v>
      </c>
      <c r="T176" s="232">
        <f>'Field Log (19)'!$C184</f>
        <v>0</v>
      </c>
      <c r="U176" s="232">
        <f>'Field Log (20)'!$C184</f>
        <v>0</v>
      </c>
      <c r="V176" s="232">
        <f>'Field Log (21)'!$C184</f>
        <v>0</v>
      </c>
      <c r="W176" s="232">
        <f>'Field Log (22)'!$C184</f>
        <v>0</v>
      </c>
      <c r="X176" s="232">
        <f>'Field Log (23)'!$C184</f>
        <v>0</v>
      </c>
      <c r="Y176" s="232">
        <f>'Field Log (24)'!$C184</f>
        <v>0</v>
      </c>
      <c r="Z176" s="232">
        <f>'Field Log (25)'!$C184</f>
        <v>0</v>
      </c>
      <c r="AA176" s="232">
        <f>'Field Log (26)'!$C184</f>
        <v>0</v>
      </c>
      <c r="AB176" s="232">
        <f>'Field Log (27)'!$C184</f>
        <v>0</v>
      </c>
      <c r="AC176" s="232">
        <f>'Field Log (28)'!$C184</f>
        <v>0</v>
      </c>
      <c r="AD176" s="232">
        <f>'Field Log (29)'!$C184</f>
        <v>0</v>
      </c>
      <c r="AE176" s="232">
        <f>'Field Log (30)'!$C184</f>
        <v>0</v>
      </c>
      <c r="AF176" s="232">
        <f>'Field Log (31)'!$C184</f>
        <v>0</v>
      </c>
      <c r="AG176" s="232">
        <f>'Field Log (32)'!$C184</f>
        <v>0</v>
      </c>
      <c r="AH176" s="232">
        <f>'Field Log (33)'!$C184</f>
        <v>0</v>
      </c>
      <c r="AI176" s="232">
        <f>'Field Log (34)'!$C184</f>
        <v>0</v>
      </c>
      <c r="AJ176" s="232">
        <f>'Field Log (35)'!$C184</f>
        <v>0</v>
      </c>
    </row>
    <row r="177" spans="2:36">
      <c r="B177" s="232">
        <f>'Field Log (1)'!C185</f>
        <v>0</v>
      </c>
      <c r="C177" s="232">
        <f>'Field Log (2)'!C185</f>
        <v>0</v>
      </c>
      <c r="D177" s="232">
        <f>'Field Log (3)'!C185</f>
        <v>0</v>
      </c>
      <c r="E177" s="232">
        <f>'Field Log (4)'!C185</f>
        <v>0</v>
      </c>
      <c r="F177" s="232">
        <f>'Field Log (5)'!C185</f>
        <v>0</v>
      </c>
      <c r="G177" s="232">
        <f>'Field Log (6)'!C185</f>
        <v>0</v>
      </c>
      <c r="H177" s="232">
        <f>'Field Log (7)'!C185</f>
        <v>0</v>
      </c>
      <c r="I177" s="232">
        <f>'Field Log (8)'!C185</f>
        <v>0</v>
      </c>
      <c r="J177" s="232">
        <f>'Field Log (9)'!C185</f>
        <v>0</v>
      </c>
      <c r="K177" s="232">
        <f>'Field Log (10)'!C185</f>
        <v>0</v>
      </c>
      <c r="L177" s="232">
        <f>'Field Log (11)'!C185</f>
        <v>0</v>
      </c>
      <c r="M177" s="232">
        <f>'Field Log (12)'!C185</f>
        <v>0</v>
      </c>
      <c r="N177" s="232">
        <f>'Field Log (13)'!C185</f>
        <v>0</v>
      </c>
      <c r="O177" s="232">
        <f>'Field Log (14)'!C185</f>
        <v>0</v>
      </c>
      <c r="P177" s="232">
        <f>'Field Log (15)'!$C185</f>
        <v>0</v>
      </c>
      <c r="Q177" s="232">
        <f>'Field Log (16)'!$C185</f>
        <v>0</v>
      </c>
      <c r="R177" s="232">
        <f>'Field Log (17)'!$C185</f>
        <v>0</v>
      </c>
      <c r="S177" s="232">
        <f>'Field Log (18)'!$C185</f>
        <v>0</v>
      </c>
      <c r="T177" s="232">
        <f>'Field Log (19)'!$C185</f>
        <v>0</v>
      </c>
      <c r="U177" s="232">
        <f>'Field Log (20)'!$C185</f>
        <v>0</v>
      </c>
      <c r="V177" s="232">
        <f>'Field Log (21)'!$C185</f>
        <v>0</v>
      </c>
      <c r="W177" s="232">
        <f>'Field Log (22)'!$C185</f>
        <v>0</v>
      </c>
      <c r="X177" s="232">
        <f>'Field Log (23)'!$C185</f>
        <v>0</v>
      </c>
      <c r="Y177" s="232">
        <f>'Field Log (24)'!$C185</f>
        <v>0</v>
      </c>
      <c r="Z177" s="232">
        <f>'Field Log (25)'!$C185</f>
        <v>0</v>
      </c>
      <c r="AA177" s="232">
        <f>'Field Log (26)'!$C185</f>
        <v>0</v>
      </c>
      <c r="AB177" s="232">
        <f>'Field Log (27)'!$C185</f>
        <v>0</v>
      </c>
      <c r="AC177" s="232">
        <f>'Field Log (28)'!$C185</f>
        <v>0</v>
      </c>
      <c r="AD177" s="232">
        <f>'Field Log (29)'!$C185</f>
        <v>0</v>
      </c>
      <c r="AE177" s="232">
        <f>'Field Log (30)'!$C185</f>
        <v>0</v>
      </c>
      <c r="AF177" s="232">
        <f>'Field Log (31)'!$C185</f>
        <v>0</v>
      </c>
      <c r="AG177" s="232">
        <f>'Field Log (32)'!$C185</f>
        <v>0</v>
      </c>
      <c r="AH177" s="232">
        <f>'Field Log (33)'!$C185</f>
        <v>0</v>
      </c>
      <c r="AI177" s="232">
        <f>'Field Log (34)'!$C185</f>
        <v>0</v>
      </c>
      <c r="AJ177" s="232">
        <f>'Field Log (35)'!$C185</f>
        <v>0</v>
      </c>
    </row>
    <row r="178" spans="2:36">
      <c r="B178" s="232">
        <f>'Field Log (1)'!C186</f>
        <v>0</v>
      </c>
      <c r="C178" s="232">
        <f>'Field Log (2)'!C186</f>
        <v>0</v>
      </c>
      <c r="D178" s="232">
        <f>'Field Log (3)'!C186</f>
        <v>0</v>
      </c>
      <c r="E178" s="232">
        <f>'Field Log (4)'!C186</f>
        <v>0</v>
      </c>
      <c r="F178" s="232">
        <f>'Field Log (5)'!C186</f>
        <v>0</v>
      </c>
      <c r="G178" s="232">
        <f>'Field Log (6)'!C186</f>
        <v>0</v>
      </c>
      <c r="H178" s="232">
        <f>'Field Log (7)'!C186</f>
        <v>0</v>
      </c>
      <c r="I178" s="232">
        <f>'Field Log (8)'!C186</f>
        <v>0</v>
      </c>
      <c r="J178" s="232">
        <f>'Field Log (9)'!C186</f>
        <v>0</v>
      </c>
      <c r="K178" s="232">
        <f>'Field Log (10)'!C186</f>
        <v>0</v>
      </c>
      <c r="L178" s="232">
        <f>'Field Log (11)'!C186</f>
        <v>0</v>
      </c>
      <c r="M178" s="232">
        <f>'Field Log (12)'!C186</f>
        <v>0</v>
      </c>
      <c r="N178" s="232">
        <f>'Field Log (13)'!C186</f>
        <v>0</v>
      </c>
      <c r="O178" s="232">
        <f>'Field Log (14)'!C186</f>
        <v>0</v>
      </c>
      <c r="P178" s="232">
        <f>'Field Log (15)'!$C186</f>
        <v>0</v>
      </c>
      <c r="Q178" s="232">
        <f>'Field Log (16)'!$C186</f>
        <v>0</v>
      </c>
      <c r="R178" s="232">
        <f>'Field Log (17)'!$C186</f>
        <v>0</v>
      </c>
      <c r="S178" s="232">
        <f>'Field Log (18)'!$C186</f>
        <v>0</v>
      </c>
      <c r="T178" s="232">
        <f>'Field Log (19)'!$C186</f>
        <v>0</v>
      </c>
      <c r="U178" s="232">
        <f>'Field Log (20)'!$C186</f>
        <v>0</v>
      </c>
      <c r="V178" s="232">
        <f>'Field Log (21)'!$C186</f>
        <v>0</v>
      </c>
      <c r="W178" s="232">
        <f>'Field Log (22)'!$C186</f>
        <v>0</v>
      </c>
      <c r="X178" s="232">
        <f>'Field Log (23)'!$C186</f>
        <v>0</v>
      </c>
      <c r="Y178" s="232">
        <f>'Field Log (24)'!$C186</f>
        <v>0</v>
      </c>
      <c r="Z178" s="232">
        <f>'Field Log (25)'!$C186</f>
        <v>0</v>
      </c>
      <c r="AA178" s="232">
        <f>'Field Log (26)'!$C186</f>
        <v>0</v>
      </c>
      <c r="AB178" s="232">
        <f>'Field Log (27)'!$C186</f>
        <v>0</v>
      </c>
      <c r="AC178" s="232">
        <f>'Field Log (28)'!$C186</f>
        <v>0</v>
      </c>
      <c r="AD178" s="232">
        <f>'Field Log (29)'!$C186</f>
        <v>0</v>
      </c>
      <c r="AE178" s="232">
        <f>'Field Log (30)'!$C186</f>
        <v>0</v>
      </c>
      <c r="AF178" s="232">
        <f>'Field Log (31)'!$C186</f>
        <v>0</v>
      </c>
      <c r="AG178" s="232">
        <f>'Field Log (32)'!$C186</f>
        <v>0</v>
      </c>
      <c r="AH178" s="232">
        <f>'Field Log (33)'!$C186</f>
        <v>0</v>
      </c>
      <c r="AI178" s="232">
        <f>'Field Log (34)'!$C186</f>
        <v>0</v>
      </c>
      <c r="AJ178" s="232">
        <f>'Field Log (35)'!$C186</f>
        <v>0</v>
      </c>
    </row>
    <row r="179" spans="2:36">
      <c r="B179" s="232">
        <f>'Field Log (1)'!C187</f>
        <v>0</v>
      </c>
      <c r="C179" s="232">
        <f>'Field Log (2)'!C187</f>
        <v>0</v>
      </c>
      <c r="D179" s="232">
        <f>'Field Log (3)'!C187</f>
        <v>0</v>
      </c>
      <c r="E179" s="232">
        <f>'Field Log (4)'!C187</f>
        <v>0</v>
      </c>
      <c r="F179" s="232">
        <f>'Field Log (5)'!C187</f>
        <v>0</v>
      </c>
      <c r="G179" s="232">
        <f>'Field Log (6)'!C187</f>
        <v>0</v>
      </c>
      <c r="H179" s="232">
        <f>'Field Log (7)'!C187</f>
        <v>0</v>
      </c>
      <c r="I179" s="232">
        <f>'Field Log (8)'!C187</f>
        <v>0</v>
      </c>
      <c r="J179" s="232">
        <f>'Field Log (9)'!C187</f>
        <v>0</v>
      </c>
      <c r="K179" s="232">
        <f>'Field Log (10)'!C187</f>
        <v>0</v>
      </c>
      <c r="L179" s="232">
        <f>'Field Log (11)'!C187</f>
        <v>0</v>
      </c>
      <c r="M179" s="232">
        <f>'Field Log (12)'!C187</f>
        <v>0</v>
      </c>
      <c r="N179" s="232">
        <f>'Field Log (13)'!C187</f>
        <v>0</v>
      </c>
      <c r="O179" s="232">
        <f>'Field Log (14)'!C187</f>
        <v>0</v>
      </c>
      <c r="P179" s="232">
        <f>'Field Log (15)'!$C187</f>
        <v>0</v>
      </c>
      <c r="Q179" s="232">
        <f>'Field Log (16)'!$C187</f>
        <v>0</v>
      </c>
      <c r="R179" s="232">
        <f>'Field Log (17)'!$C187</f>
        <v>0</v>
      </c>
      <c r="S179" s="232">
        <f>'Field Log (18)'!$C187</f>
        <v>0</v>
      </c>
      <c r="T179" s="232">
        <f>'Field Log (19)'!$C187</f>
        <v>0</v>
      </c>
      <c r="U179" s="232">
        <f>'Field Log (20)'!$C187</f>
        <v>0</v>
      </c>
      <c r="V179" s="232">
        <f>'Field Log (21)'!$C187</f>
        <v>0</v>
      </c>
      <c r="W179" s="232">
        <f>'Field Log (22)'!$C187</f>
        <v>0</v>
      </c>
      <c r="X179" s="232">
        <f>'Field Log (23)'!$C187</f>
        <v>0</v>
      </c>
      <c r="Y179" s="232">
        <f>'Field Log (24)'!$C187</f>
        <v>0</v>
      </c>
      <c r="Z179" s="232">
        <f>'Field Log (25)'!$C187</f>
        <v>0</v>
      </c>
      <c r="AA179" s="232">
        <f>'Field Log (26)'!$C187</f>
        <v>0</v>
      </c>
      <c r="AB179" s="232">
        <f>'Field Log (27)'!$C187</f>
        <v>0</v>
      </c>
      <c r="AC179" s="232">
        <f>'Field Log (28)'!$C187</f>
        <v>0</v>
      </c>
      <c r="AD179" s="232">
        <f>'Field Log (29)'!$C187</f>
        <v>0</v>
      </c>
      <c r="AE179" s="232">
        <f>'Field Log (30)'!$C187</f>
        <v>0</v>
      </c>
      <c r="AF179" s="232">
        <f>'Field Log (31)'!$C187</f>
        <v>0</v>
      </c>
      <c r="AG179" s="232">
        <f>'Field Log (32)'!$C187</f>
        <v>0</v>
      </c>
      <c r="AH179" s="232">
        <f>'Field Log (33)'!$C187</f>
        <v>0</v>
      </c>
      <c r="AI179" s="232">
        <f>'Field Log (34)'!$C187</f>
        <v>0</v>
      </c>
      <c r="AJ179" s="232">
        <f>'Field Log (35)'!$C187</f>
        <v>0</v>
      </c>
    </row>
    <row r="180" spans="2:36">
      <c r="B180" s="232">
        <f>'Field Log (1)'!C188</f>
        <v>0</v>
      </c>
      <c r="C180" s="232">
        <f>'Field Log (2)'!C188</f>
        <v>0</v>
      </c>
      <c r="D180" s="232">
        <f>'Field Log (3)'!C188</f>
        <v>0</v>
      </c>
      <c r="E180" s="232">
        <f>'Field Log (4)'!C188</f>
        <v>0</v>
      </c>
      <c r="F180" s="232">
        <f>'Field Log (5)'!C188</f>
        <v>0</v>
      </c>
      <c r="G180" s="232">
        <f>'Field Log (6)'!C188</f>
        <v>0</v>
      </c>
      <c r="H180" s="232">
        <f>'Field Log (7)'!C188</f>
        <v>0</v>
      </c>
      <c r="I180" s="232">
        <f>'Field Log (8)'!C188</f>
        <v>0</v>
      </c>
      <c r="J180" s="232">
        <f>'Field Log (9)'!C188</f>
        <v>0</v>
      </c>
      <c r="K180" s="232">
        <f>'Field Log (10)'!C188</f>
        <v>0</v>
      </c>
      <c r="L180" s="232">
        <f>'Field Log (11)'!C188</f>
        <v>0</v>
      </c>
      <c r="M180" s="232">
        <f>'Field Log (12)'!C188</f>
        <v>0</v>
      </c>
      <c r="N180" s="232">
        <f>'Field Log (13)'!C188</f>
        <v>0</v>
      </c>
      <c r="O180" s="232">
        <f>'Field Log (14)'!C188</f>
        <v>0</v>
      </c>
      <c r="P180" s="232">
        <f>'Field Log (15)'!$C188</f>
        <v>0</v>
      </c>
      <c r="Q180" s="232">
        <f>'Field Log (16)'!$C188</f>
        <v>0</v>
      </c>
      <c r="R180" s="232">
        <f>'Field Log (17)'!$C188</f>
        <v>0</v>
      </c>
      <c r="S180" s="232">
        <f>'Field Log (18)'!$C188</f>
        <v>0</v>
      </c>
      <c r="T180" s="232">
        <f>'Field Log (19)'!$C188</f>
        <v>0</v>
      </c>
      <c r="U180" s="232">
        <f>'Field Log (20)'!$C188</f>
        <v>0</v>
      </c>
      <c r="V180" s="232">
        <f>'Field Log (21)'!$C188</f>
        <v>0</v>
      </c>
      <c r="W180" s="232">
        <f>'Field Log (22)'!$C188</f>
        <v>0</v>
      </c>
      <c r="X180" s="232">
        <f>'Field Log (23)'!$C188</f>
        <v>0</v>
      </c>
      <c r="Y180" s="232">
        <f>'Field Log (24)'!$C188</f>
        <v>0</v>
      </c>
      <c r="Z180" s="232">
        <f>'Field Log (25)'!$C188</f>
        <v>0</v>
      </c>
      <c r="AA180" s="232">
        <f>'Field Log (26)'!$C188</f>
        <v>0</v>
      </c>
      <c r="AB180" s="232">
        <f>'Field Log (27)'!$C188</f>
        <v>0</v>
      </c>
      <c r="AC180" s="232">
        <f>'Field Log (28)'!$C188</f>
        <v>0</v>
      </c>
      <c r="AD180" s="232">
        <f>'Field Log (29)'!$C188</f>
        <v>0</v>
      </c>
      <c r="AE180" s="232">
        <f>'Field Log (30)'!$C188</f>
        <v>0</v>
      </c>
      <c r="AF180" s="232">
        <f>'Field Log (31)'!$C188</f>
        <v>0</v>
      </c>
      <c r="AG180" s="232">
        <f>'Field Log (32)'!$C188</f>
        <v>0</v>
      </c>
      <c r="AH180" s="232">
        <f>'Field Log (33)'!$C188</f>
        <v>0</v>
      </c>
      <c r="AI180" s="232">
        <f>'Field Log (34)'!$C188</f>
        <v>0</v>
      </c>
      <c r="AJ180" s="232">
        <f>'Field Log (35)'!$C188</f>
        <v>0</v>
      </c>
    </row>
    <row r="181" spans="2:36">
      <c r="B181" s="232">
        <f>'Field Log (1)'!C189</f>
        <v>0</v>
      </c>
      <c r="C181" s="232">
        <f>'Field Log (2)'!C189</f>
        <v>0</v>
      </c>
      <c r="D181" s="232">
        <f>'Field Log (3)'!C189</f>
        <v>0</v>
      </c>
      <c r="E181" s="232">
        <f>'Field Log (4)'!C189</f>
        <v>0</v>
      </c>
      <c r="F181" s="232">
        <f>'Field Log (5)'!C189</f>
        <v>0</v>
      </c>
      <c r="G181" s="232">
        <f>'Field Log (6)'!C189</f>
        <v>0</v>
      </c>
      <c r="H181" s="232">
        <f>'Field Log (7)'!C189</f>
        <v>0</v>
      </c>
      <c r="I181" s="232">
        <f>'Field Log (8)'!C189</f>
        <v>0</v>
      </c>
      <c r="J181" s="232">
        <f>'Field Log (9)'!C189</f>
        <v>0</v>
      </c>
      <c r="K181" s="232">
        <f>'Field Log (10)'!C189</f>
        <v>0</v>
      </c>
      <c r="L181" s="232">
        <f>'Field Log (11)'!C189</f>
        <v>0</v>
      </c>
      <c r="M181" s="232">
        <f>'Field Log (12)'!C189</f>
        <v>0</v>
      </c>
      <c r="N181" s="232">
        <f>'Field Log (13)'!C189</f>
        <v>0</v>
      </c>
      <c r="O181" s="232">
        <f>'Field Log (14)'!C189</f>
        <v>0</v>
      </c>
      <c r="P181" s="232">
        <f>'Field Log (15)'!$C189</f>
        <v>0</v>
      </c>
      <c r="Q181" s="232">
        <f>'Field Log (16)'!$C189</f>
        <v>0</v>
      </c>
      <c r="R181" s="232">
        <f>'Field Log (17)'!$C189</f>
        <v>0</v>
      </c>
      <c r="S181" s="232">
        <f>'Field Log (18)'!$C189</f>
        <v>0</v>
      </c>
      <c r="T181" s="232">
        <f>'Field Log (19)'!$C189</f>
        <v>0</v>
      </c>
      <c r="U181" s="232">
        <f>'Field Log (20)'!$C189</f>
        <v>0</v>
      </c>
      <c r="V181" s="232">
        <f>'Field Log (21)'!$C189</f>
        <v>0</v>
      </c>
      <c r="W181" s="232">
        <f>'Field Log (22)'!$C189</f>
        <v>0</v>
      </c>
      <c r="X181" s="232">
        <f>'Field Log (23)'!$C189</f>
        <v>0</v>
      </c>
      <c r="Y181" s="232">
        <f>'Field Log (24)'!$C189</f>
        <v>0</v>
      </c>
      <c r="Z181" s="232">
        <f>'Field Log (25)'!$C189</f>
        <v>0</v>
      </c>
      <c r="AA181" s="232">
        <f>'Field Log (26)'!$C189</f>
        <v>0</v>
      </c>
      <c r="AB181" s="232">
        <f>'Field Log (27)'!$C189</f>
        <v>0</v>
      </c>
      <c r="AC181" s="232">
        <f>'Field Log (28)'!$C189</f>
        <v>0</v>
      </c>
      <c r="AD181" s="232">
        <f>'Field Log (29)'!$C189</f>
        <v>0</v>
      </c>
      <c r="AE181" s="232">
        <f>'Field Log (30)'!$C189</f>
        <v>0</v>
      </c>
      <c r="AF181" s="232">
        <f>'Field Log (31)'!$C189</f>
        <v>0</v>
      </c>
      <c r="AG181" s="232">
        <f>'Field Log (32)'!$C189</f>
        <v>0</v>
      </c>
      <c r="AH181" s="232">
        <f>'Field Log (33)'!$C189</f>
        <v>0</v>
      </c>
      <c r="AI181" s="232">
        <f>'Field Log (34)'!$C189</f>
        <v>0</v>
      </c>
      <c r="AJ181" s="232">
        <f>'Field Log (35)'!$C189</f>
        <v>0</v>
      </c>
    </row>
    <row r="182" spans="2:36">
      <c r="B182" s="232">
        <f>'Field Log (1)'!C190</f>
        <v>0</v>
      </c>
      <c r="C182" s="232">
        <f>'Field Log (2)'!C190</f>
        <v>0</v>
      </c>
      <c r="D182" s="232">
        <f>'Field Log (3)'!C190</f>
        <v>0</v>
      </c>
      <c r="E182" s="232">
        <f>'Field Log (4)'!C190</f>
        <v>0</v>
      </c>
      <c r="F182" s="232">
        <f>'Field Log (5)'!C190</f>
        <v>0</v>
      </c>
      <c r="G182" s="232">
        <f>'Field Log (6)'!C190</f>
        <v>0</v>
      </c>
      <c r="H182" s="232">
        <f>'Field Log (7)'!C190</f>
        <v>0</v>
      </c>
      <c r="I182" s="232">
        <f>'Field Log (8)'!C190</f>
        <v>0</v>
      </c>
      <c r="J182" s="232">
        <f>'Field Log (9)'!C190</f>
        <v>0</v>
      </c>
      <c r="K182" s="232">
        <f>'Field Log (10)'!C190</f>
        <v>0</v>
      </c>
      <c r="L182" s="232">
        <f>'Field Log (11)'!C190</f>
        <v>0</v>
      </c>
      <c r="M182" s="232">
        <f>'Field Log (12)'!C190</f>
        <v>0</v>
      </c>
      <c r="N182" s="232">
        <f>'Field Log (13)'!C190</f>
        <v>0</v>
      </c>
      <c r="O182" s="232">
        <f>'Field Log (14)'!C190</f>
        <v>0</v>
      </c>
      <c r="P182" s="232">
        <f>'Field Log (15)'!$C190</f>
        <v>0</v>
      </c>
      <c r="Q182" s="232">
        <f>'Field Log (16)'!$C190</f>
        <v>0</v>
      </c>
      <c r="R182" s="232">
        <f>'Field Log (17)'!$C190</f>
        <v>0</v>
      </c>
      <c r="S182" s="232">
        <f>'Field Log (18)'!$C190</f>
        <v>0</v>
      </c>
      <c r="T182" s="232">
        <f>'Field Log (19)'!$C190</f>
        <v>0</v>
      </c>
      <c r="U182" s="232">
        <f>'Field Log (20)'!$C190</f>
        <v>0</v>
      </c>
      <c r="V182" s="232">
        <f>'Field Log (21)'!$C190</f>
        <v>0</v>
      </c>
      <c r="W182" s="232">
        <f>'Field Log (22)'!$C190</f>
        <v>0</v>
      </c>
      <c r="X182" s="232">
        <f>'Field Log (23)'!$C190</f>
        <v>0</v>
      </c>
      <c r="Y182" s="232">
        <f>'Field Log (24)'!$C190</f>
        <v>0</v>
      </c>
      <c r="Z182" s="232">
        <f>'Field Log (25)'!$C190</f>
        <v>0</v>
      </c>
      <c r="AA182" s="232">
        <f>'Field Log (26)'!$C190</f>
        <v>0</v>
      </c>
      <c r="AB182" s="232">
        <f>'Field Log (27)'!$C190</f>
        <v>0</v>
      </c>
      <c r="AC182" s="232">
        <f>'Field Log (28)'!$C190</f>
        <v>0</v>
      </c>
      <c r="AD182" s="232">
        <f>'Field Log (29)'!$C190</f>
        <v>0</v>
      </c>
      <c r="AE182" s="232">
        <f>'Field Log (30)'!$C190</f>
        <v>0</v>
      </c>
      <c r="AF182" s="232">
        <f>'Field Log (31)'!$C190</f>
        <v>0</v>
      </c>
      <c r="AG182" s="232">
        <f>'Field Log (32)'!$C190</f>
        <v>0</v>
      </c>
      <c r="AH182" s="232">
        <f>'Field Log (33)'!$C190</f>
        <v>0</v>
      </c>
      <c r="AI182" s="232">
        <f>'Field Log (34)'!$C190</f>
        <v>0</v>
      </c>
      <c r="AJ182" s="232">
        <f>'Field Log (35)'!$C190</f>
        <v>0</v>
      </c>
    </row>
    <row r="183" spans="2:36">
      <c r="B183" s="232">
        <f>'Field Log (1)'!C191</f>
        <v>0</v>
      </c>
      <c r="C183" s="232">
        <f>'Field Log (2)'!C191</f>
        <v>0</v>
      </c>
      <c r="D183" s="232">
        <f>'Field Log (3)'!C191</f>
        <v>0</v>
      </c>
      <c r="E183" s="232">
        <f>'Field Log (4)'!C191</f>
        <v>0</v>
      </c>
      <c r="F183" s="232">
        <f>'Field Log (5)'!C191</f>
        <v>0</v>
      </c>
      <c r="G183" s="232">
        <f>'Field Log (6)'!C191</f>
        <v>0</v>
      </c>
      <c r="H183" s="232">
        <f>'Field Log (7)'!C191</f>
        <v>0</v>
      </c>
      <c r="I183" s="232">
        <f>'Field Log (8)'!C191</f>
        <v>0</v>
      </c>
      <c r="J183" s="232">
        <f>'Field Log (9)'!C191</f>
        <v>0</v>
      </c>
      <c r="K183" s="232">
        <f>'Field Log (10)'!C191</f>
        <v>0</v>
      </c>
      <c r="L183" s="232">
        <f>'Field Log (11)'!C191</f>
        <v>0</v>
      </c>
      <c r="M183" s="232">
        <f>'Field Log (12)'!C191</f>
        <v>0</v>
      </c>
      <c r="N183" s="232">
        <f>'Field Log (13)'!C191</f>
        <v>0</v>
      </c>
      <c r="O183" s="232">
        <f>'Field Log (14)'!C191</f>
        <v>0</v>
      </c>
      <c r="P183" s="232">
        <f>'Field Log (15)'!$C191</f>
        <v>0</v>
      </c>
      <c r="Q183" s="232">
        <f>'Field Log (16)'!$C191</f>
        <v>0</v>
      </c>
      <c r="R183" s="232">
        <f>'Field Log (17)'!$C191</f>
        <v>0</v>
      </c>
      <c r="S183" s="232">
        <f>'Field Log (18)'!$C191</f>
        <v>0</v>
      </c>
      <c r="T183" s="232">
        <f>'Field Log (19)'!$C191</f>
        <v>0</v>
      </c>
      <c r="U183" s="232">
        <f>'Field Log (20)'!$C191</f>
        <v>0</v>
      </c>
      <c r="V183" s="232">
        <f>'Field Log (21)'!$C191</f>
        <v>0</v>
      </c>
      <c r="W183" s="232">
        <f>'Field Log (22)'!$C191</f>
        <v>0</v>
      </c>
      <c r="X183" s="232">
        <f>'Field Log (23)'!$C191</f>
        <v>0</v>
      </c>
      <c r="Y183" s="232">
        <f>'Field Log (24)'!$C191</f>
        <v>0</v>
      </c>
      <c r="Z183" s="232">
        <f>'Field Log (25)'!$C191</f>
        <v>0</v>
      </c>
      <c r="AA183" s="232">
        <f>'Field Log (26)'!$C191</f>
        <v>0</v>
      </c>
      <c r="AB183" s="232">
        <f>'Field Log (27)'!$C191</f>
        <v>0</v>
      </c>
      <c r="AC183" s="232">
        <f>'Field Log (28)'!$C191</f>
        <v>0</v>
      </c>
      <c r="AD183" s="232">
        <f>'Field Log (29)'!$C191</f>
        <v>0</v>
      </c>
      <c r="AE183" s="232">
        <f>'Field Log (30)'!$C191</f>
        <v>0</v>
      </c>
      <c r="AF183" s="232">
        <f>'Field Log (31)'!$C191</f>
        <v>0</v>
      </c>
      <c r="AG183" s="232">
        <f>'Field Log (32)'!$C191</f>
        <v>0</v>
      </c>
      <c r="AH183" s="232">
        <f>'Field Log (33)'!$C191</f>
        <v>0</v>
      </c>
      <c r="AI183" s="232">
        <f>'Field Log (34)'!$C191</f>
        <v>0</v>
      </c>
      <c r="AJ183" s="232">
        <f>'Field Log (35)'!$C191</f>
        <v>0</v>
      </c>
    </row>
    <row r="184" spans="2:36">
      <c r="B184" s="232">
        <f>'Field Log (1)'!C192</f>
        <v>0</v>
      </c>
      <c r="C184" s="232">
        <f>'Field Log (2)'!C192</f>
        <v>0</v>
      </c>
      <c r="D184" s="232">
        <f>'Field Log (3)'!C192</f>
        <v>0</v>
      </c>
      <c r="E184" s="232">
        <f>'Field Log (4)'!C192</f>
        <v>0</v>
      </c>
      <c r="F184" s="232">
        <f>'Field Log (5)'!C192</f>
        <v>0</v>
      </c>
      <c r="G184" s="232">
        <f>'Field Log (6)'!C192</f>
        <v>0</v>
      </c>
      <c r="H184" s="232">
        <f>'Field Log (7)'!C192</f>
        <v>0</v>
      </c>
      <c r="I184" s="232">
        <f>'Field Log (8)'!C192</f>
        <v>0</v>
      </c>
      <c r="J184" s="232">
        <f>'Field Log (9)'!C192</f>
        <v>0</v>
      </c>
      <c r="K184" s="232">
        <f>'Field Log (10)'!C192</f>
        <v>0</v>
      </c>
      <c r="L184" s="232">
        <f>'Field Log (11)'!C192</f>
        <v>0</v>
      </c>
      <c r="M184" s="232">
        <f>'Field Log (12)'!C192</f>
        <v>0</v>
      </c>
      <c r="N184" s="232">
        <f>'Field Log (13)'!C192</f>
        <v>0</v>
      </c>
      <c r="O184" s="232">
        <f>'Field Log (14)'!C192</f>
        <v>0</v>
      </c>
      <c r="P184" s="232">
        <f>'Field Log (15)'!$C192</f>
        <v>0</v>
      </c>
      <c r="Q184" s="232">
        <f>'Field Log (16)'!$C192</f>
        <v>0</v>
      </c>
      <c r="R184" s="232">
        <f>'Field Log (17)'!$C192</f>
        <v>0</v>
      </c>
      <c r="S184" s="232">
        <f>'Field Log (18)'!$C192</f>
        <v>0</v>
      </c>
      <c r="T184" s="232">
        <f>'Field Log (19)'!$C192</f>
        <v>0</v>
      </c>
      <c r="U184" s="232">
        <f>'Field Log (20)'!$C192</f>
        <v>0</v>
      </c>
      <c r="V184" s="232">
        <f>'Field Log (21)'!$C192</f>
        <v>0</v>
      </c>
      <c r="W184" s="232">
        <f>'Field Log (22)'!$C192</f>
        <v>0</v>
      </c>
      <c r="X184" s="232">
        <f>'Field Log (23)'!$C192</f>
        <v>0</v>
      </c>
      <c r="Y184" s="232">
        <f>'Field Log (24)'!$C192</f>
        <v>0</v>
      </c>
      <c r="Z184" s="232">
        <f>'Field Log (25)'!$C192</f>
        <v>0</v>
      </c>
      <c r="AA184" s="232">
        <f>'Field Log (26)'!$C192</f>
        <v>0</v>
      </c>
      <c r="AB184" s="232">
        <f>'Field Log (27)'!$C192</f>
        <v>0</v>
      </c>
      <c r="AC184" s="232">
        <f>'Field Log (28)'!$C192</f>
        <v>0</v>
      </c>
      <c r="AD184" s="232">
        <f>'Field Log (29)'!$C192</f>
        <v>0</v>
      </c>
      <c r="AE184" s="232">
        <f>'Field Log (30)'!$C192</f>
        <v>0</v>
      </c>
      <c r="AF184" s="232">
        <f>'Field Log (31)'!$C192</f>
        <v>0</v>
      </c>
      <c r="AG184" s="232">
        <f>'Field Log (32)'!$C192</f>
        <v>0</v>
      </c>
      <c r="AH184" s="232">
        <f>'Field Log (33)'!$C192</f>
        <v>0</v>
      </c>
      <c r="AI184" s="232">
        <f>'Field Log (34)'!$C192</f>
        <v>0</v>
      </c>
      <c r="AJ184" s="232">
        <f>'Field Log (35)'!$C192</f>
        <v>0</v>
      </c>
    </row>
    <row r="185" spans="2:36">
      <c r="B185" s="232">
        <f>'Field Log (1)'!C193</f>
        <v>0</v>
      </c>
      <c r="C185" s="232">
        <f>'Field Log (2)'!C193</f>
        <v>0</v>
      </c>
      <c r="D185" s="232">
        <f>'Field Log (3)'!C193</f>
        <v>0</v>
      </c>
      <c r="E185" s="232">
        <f>'Field Log (4)'!C193</f>
        <v>0</v>
      </c>
      <c r="F185" s="232">
        <f>'Field Log (5)'!C193</f>
        <v>0</v>
      </c>
      <c r="G185" s="232">
        <f>'Field Log (6)'!C193</f>
        <v>0</v>
      </c>
      <c r="H185" s="232">
        <f>'Field Log (7)'!C193</f>
        <v>0</v>
      </c>
      <c r="I185" s="232">
        <f>'Field Log (8)'!C193</f>
        <v>0</v>
      </c>
      <c r="J185" s="232">
        <f>'Field Log (9)'!C193</f>
        <v>0</v>
      </c>
      <c r="K185" s="232">
        <f>'Field Log (10)'!C193</f>
        <v>0</v>
      </c>
      <c r="L185" s="232">
        <f>'Field Log (11)'!C193</f>
        <v>0</v>
      </c>
      <c r="M185" s="232">
        <f>'Field Log (12)'!C193</f>
        <v>0</v>
      </c>
      <c r="N185" s="232">
        <f>'Field Log (13)'!C193</f>
        <v>0</v>
      </c>
      <c r="O185" s="232">
        <f>'Field Log (14)'!C193</f>
        <v>0</v>
      </c>
      <c r="P185" s="232">
        <f>'Field Log (15)'!$C193</f>
        <v>0</v>
      </c>
      <c r="Q185" s="232">
        <f>'Field Log (16)'!$C193</f>
        <v>0</v>
      </c>
      <c r="R185" s="232">
        <f>'Field Log (17)'!$C193</f>
        <v>0</v>
      </c>
      <c r="S185" s="232">
        <f>'Field Log (18)'!$C193</f>
        <v>0</v>
      </c>
      <c r="T185" s="232">
        <f>'Field Log (19)'!$C193</f>
        <v>0</v>
      </c>
      <c r="U185" s="232">
        <f>'Field Log (20)'!$C193</f>
        <v>0</v>
      </c>
      <c r="V185" s="232">
        <f>'Field Log (21)'!$C193</f>
        <v>0</v>
      </c>
      <c r="W185" s="232">
        <f>'Field Log (22)'!$C193</f>
        <v>0</v>
      </c>
      <c r="X185" s="232">
        <f>'Field Log (23)'!$C193</f>
        <v>0</v>
      </c>
      <c r="Y185" s="232">
        <f>'Field Log (24)'!$C193</f>
        <v>0</v>
      </c>
      <c r="Z185" s="232">
        <f>'Field Log (25)'!$C193</f>
        <v>0</v>
      </c>
      <c r="AA185" s="232">
        <f>'Field Log (26)'!$C193</f>
        <v>0</v>
      </c>
      <c r="AB185" s="232">
        <f>'Field Log (27)'!$C193</f>
        <v>0</v>
      </c>
      <c r="AC185" s="232">
        <f>'Field Log (28)'!$C193</f>
        <v>0</v>
      </c>
      <c r="AD185" s="232">
        <f>'Field Log (29)'!$C193</f>
        <v>0</v>
      </c>
      <c r="AE185" s="232">
        <f>'Field Log (30)'!$C193</f>
        <v>0</v>
      </c>
      <c r="AF185" s="232">
        <f>'Field Log (31)'!$C193</f>
        <v>0</v>
      </c>
      <c r="AG185" s="232">
        <f>'Field Log (32)'!$C193</f>
        <v>0</v>
      </c>
      <c r="AH185" s="232">
        <f>'Field Log (33)'!$C193</f>
        <v>0</v>
      </c>
      <c r="AI185" s="232">
        <f>'Field Log (34)'!$C193</f>
        <v>0</v>
      </c>
      <c r="AJ185" s="232">
        <f>'Field Log (35)'!$C193</f>
        <v>0</v>
      </c>
    </row>
    <row r="186" spans="2:36">
      <c r="B186" s="232">
        <f>'Field Log (1)'!C194</f>
        <v>0</v>
      </c>
      <c r="C186" s="232">
        <f>'Field Log (2)'!C194</f>
        <v>0</v>
      </c>
      <c r="D186" s="232">
        <f>'Field Log (3)'!C194</f>
        <v>0</v>
      </c>
      <c r="E186" s="232">
        <f>'Field Log (4)'!C194</f>
        <v>0</v>
      </c>
      <c r="F186" s="232">
        <f>'Field Log (5)'!C194</f>
        <v>0</v>
      </c>
      <c r="G186" s="232">
        <f>'Field Log (6)'!C194</f>
        <v>0</v>
      </c>
      <c r="H186" s="232">
        <f>'Field Log (7)'!C194</f>
        <v>0</v>
      </c>
      <c r="I186" s="232">
        <f>'Field Log (8)'!C194</f>
        <v>0</v>
      </c>
      <c r="J186" s="232">
        <f>'Field Log (9)'!C194</f>
        <v>0</v>
      </c>
      <c r="K186" s="232">
        <f>'Field Log (10)'!C194</f>
        <v>0</v>
      </c>
      <c r="L186" s="232">
        <f>'Field Log (11)'!C194</f>
        <v>0</v>
      </c>
      <c r="M186" s="232">
        <f>'Field Log (12)'!C194</f>
        <v>0</v>
      </c>
      <c r="N186" s="232">
        <f>'Field Log (13)'!C194</f>
        <v>0</v>
      </c>
      <c r="O186" s="232">
        <f>'Field Log (14)'!C194</f>
        <v>0</v>
      </c>
      <c r="P186" s="232">
        <f>'Field Log (15)'!$C194</f>
        <v>0</v>
      </c>
      <c r="Q186" s="232">
        <f>'Field Log (16)'!$C194</f>
        <v>0</v>
      </c>
      <c r="R186" s="232">
        <f>'Field Log (17)'!$C194</f>
        <v>0</v>
      </c>
      <c r="S186" s="232">
        <f>'Field Log (18)'!$C194</f>
        <v>0</v>
      </c>
      <c r="T186" s="232">
        <f>'Field Log (19)'!$C194</f>
        <v>0</v>
      </c>
      <c r="U186" s="232">
        <f>'Field Log (20)'!$C194</f>
        <v>0</v>
      </c>
      <c r="V186" s="232">
        <f>'Field Log (21)'!$C194</f>
        <v>0</v>
      </c>
      <c r="W186" s="232">
        <f>'Field Log (22)'!$C194</f>
        <v>0</v>
      </c>
      <c r="X186" s="232">
        <f>'Field Log (23)'!$C194</f>
        <v>0</v>
      </c>
      <c r="Y186" s="232">
        <f>'Field Log (24)'!$C194</f>
        <v>0</v>
      </c>
      <c r="Z186" s="232">
        <f>'Field Log (25)'!$C194</f>
        <v>0</v>
      </c>
      <c r="AA186" s="232">
        <f>'Field Log (26)'!$C194</f>
        <v>0</v>
      </c>
      <c r="AB186" s="232">
        <f>'Field Log (27)'!$C194</f>
        <v>0</v>
      </c>
      <c r="AC186" s="232">
        <f>'Field Log (28)'!$C194</f>
        <v>0</v>
      </c>
      <c r="AD186" s="232">
        <f>'Field Log (29)'!$C194</f>
        <v>0</v>
      </c>
      <c r="AE186" s="232">
        <f>'Field Log (30)'!$C194</f>
        <v>0</v>
      </c>
      <c r="AF186" s="232">
        <f>'Field Log (31)'!$C194</f>
        <v>0</v>
      </c>
      <c r="AG186" s="232">
        <f>'Field Log (32)'!$C194</f>
        <v>0</v>
      </c>
      <c r="AH186" s="232">
        <f>'Field Log (33)'!$C194</f>
        <v>0</v>
      </c>
      <c r="AI186" s="232">
        <f>'Field Log (34)'!$C194</f>
        <v>0</v>
      </c>
      <c r="AJ186" s="232">
        <f>'Field Log (35)'!$C194</f>
        <v>0</v>
      </c>
    </row>
    <row r="187" spans="2:36">
      <c r="B187" s="232">
        <f>'Field Log (1)'!C195</f>
        <v>0</v>
      </c>
      <c r="C187" s="232">
        <f>'Field Log (2)'!C195</f>
        <v>0</v>
      </c>
      <c r="D187" s="232">
        <f>'Field Log (3)'!C195</f>
        <v>0</v>
      </c>
      <c r="E187" s="232">
        <f>'Field Log (4)'!C195</f>
        <v>0</v>
      </c>
      <c r="F187" s="232">
        <f>'Field Log (5)'!C195</f>
        <v>0</v>
      </c>
      <c r="G187" s="232">
        <f>'Field Log (6)'!C195</f>
        <v>0</v>
      </c>
      <c r="H187" s="232">
        <f>'Field Log (7)'!C195</f>
        <v>0</v>
      </c>
      <c r="I187" s="232">
        <f>'Field Log (8)'!C195</f>
        <v>0</v>
      </c>
      <c r="J187" s="232">
        <f>'Field Log (9)'!C195</f>
        <v>0</v>
      </c>
      <c r="K187" s="232">
        <f>'Field Log (10)'!C195</f>
        <v>0</v>
      </c>
      <c r="L187" s="232">
        <f>'Field Log (11)'!C195</f>
        <v>0</v>
      </c>
      <c r="M187" s="232">
        <f>'Field Log (12)'!C195</f>
        <v>0</v>
      </c>
      <c r="N187" s="232">
        <f>'Field Log (13)'!C195</f>
        <v>0</v>
      </c>
      <c r="O187" s="232">
        <f>'Field Log (14)'!C195</f>
        <v>0</v>
      </c>
      <c r="P187" s="232">
        <f>'Field Log (15)'!$C195</f>
        <v>0</v>
      </c>
      <c r="Q187" s="232">
        <f>'Field Log (16)'!$C195</f>
        <v>0</v>
      </c>
      <c r="R187" s="232">
        <f>'Field Log (17)'!$C195</f>
        <v>0</v>
      </c>
      <c r="S187" s="232">
        <f>'Field Log (18)'!$C195</f>
        <v>0</v>
      </c>
      <c r="T187" s="232">
        <f>'Field Log (19)'!$C195</f>
        <v>0</v>
      </c>
      <c r="U187" s="232">
        <f>'Field Log (20)'!$C195</f>
        <v>0</v>
      </c>
      <c r="V187" s="232">
        <f>'Field Log (21)'!$C195</f>
        <v>0</v>
      </c>
      <c r="W187" s="232">
        <f>'Field Log (22)'!$C195</f>
        <v>0</v>
      </c>
      <c r="X187" s="232">
        <f>'Field Log (23)'!$C195</f>
        <v>0</v>
      </c>
      <c r="Y187" s="232">
        <f>'Field Log (24)'!$C195</f>
        <v>0</v>
      </c>
      <c r="Z187" s="232">
        <f>'Field Log (25)'!$C195</f>
        <v>0</v>
      </c>
      <c r="AA187" s="232">
        <f>'Field Log (26)'!$C195</f>
        <v>0</v>
      </c>
      <c r="AB187" s="232">
        <f>'Field Log (27)'!$C195</f>
        <v>0</v>
      </c>
      <c r="AC187" s="232">
        <f>'Field Log (28)'!$C195</f>
        <v>0</v>
      </c>
      <c r="AD187" s="232">
        <f>'Field Log (29)'!$C195</f>
        <v>0</v>
      </c>
      <c r="AE187" s="232">
        <f>'Field Log (30)'!$C195</f>
        <v>0</v>
      </c>
      <c r="AF187" s="232">
        <f>'Field Log (31)'!$C195</f>
        <v>0</v>
      </c>
      <c r="AG187" s="232">
        <f>'Field Log (32)'!$C195</f>
        <v>0</v>
      </c>
      <c r="AH187" s="232">
        <f>'Field Log (33)'!$C195</f>
        <v>0</v>
      </c>
      <c r="AI187" s="232">
        <f>'Field Log (34)'!$C195</f>
        <v>0</v>
      </c>
      <c r="AJ187" s="232">
        <f>'Field Log (35)'!$C195</f>
        <v>0</v>
      </c>
    </row>
    <row r="188" spans="2:36">
      <c r="B188" s="232">
        <f>'Field Log (1)'!C196</f>
        <v>0</v>
      </c>
      <c r="C188" s="232">
        <f>'Field Log (2)'!C196</f>
        <v>0</v>
      </c>
      <c r="D188" s="232">
        <f>'Field Log (3)'!C196</f>
        <v>0</v>
      </c>
      <c r="E188" s="232">
        <f>'Field Log (4)'!C196</f>
        <v>0</v>
      </c>
      <c r="F188" s="232">
        <f>'Field Log (5)'!C196</f>
        <v>0</v>
      </c>
      <c r="G188" s="232">
        <f>'Field Log (6)'!C196</f>
        <v>0</v>
      </c>
      <c r="H188" s="232">
        <f>'Field Log (7)'!C196</f>
        <v>0</v>
      </c>
      <c r="I188" s="232">
        <f>'Field Log (8)'!C196</f>
        <v>0</v>
      </c>
      <c r="J188" s="232">
        <f>'Field Log (9)'!C196</f>
        <v>0</v>
      </c>
      <c r="K188" s="232">
        <f>'Field Log (10)'!C196</f>
        <v>0</v>
      </c>
      <c r="L188" s="232">
        <f>'Field Log (11)'!C196</f>
        <v>0</v>
      </c>
      <c r="M188" s="232">
        <f>'Field Log (12)'!C196</f>
        <v>0</v>
      </c>
      <c r="N188" s="232">
        <f>'Field Log (13)'!C196</f>
        <v>0</v>
      </c>
      <c r="O188" s="232">
        <f>'Field Log (14)'!C196</f>
        <v>0</v>
      </c>
      <c r="P188" s="232">
        <f>'Field Log (15)'!$C196</f>
        <v>0</v>
      </c>
      <c r="Q188" s="232">
        <f>'Field Log (16)'!$C196</f>
        <v>0</v>
      </c>
      <c r="R188" s="232">
        <f>'Field Log (17)'!$C196</f>
        <v>0</v>
      </c>
      <c r="S188" s="232">
        <f>'Field Log (18)'!$C196</f>
        <v>0</v>
      </c>
      <c r="T188" s="232">
        <f>'Field Log (19)'!$C196</f>
        <v>0</v>
      </c>
      <c r="U188" s="232">
        <f>'Field Log (20)'!$C196</f>
        <v>0</v>
      </c>
      <c r="V188" s="232">
        <f>'Field Log (21)'!$C196</f>
        <v>0</v>
      </c>
      <c r="W188" s="232">
        <f>'Field Log (22)'!$C196</f>
        <v>0</v>
      </c>
      <c r="X188" s="232">
        <f>'Field Log (23)'!$C196</f>
        <v>0</v>
      </c>
      <c r="Y188" s="232">
        <f>'Field Log (24)'!$C196</f>
        <v>0</v>
      </c>
      <c r="Z188" s="232">
        <f>'Field Log (25)'!$C196</f>
        <v>0</v>
      </c>
      <c r="AA188" s="232">
        <f>'Field Log (26)'!$C196</f>
        <v>0</v>
      </c>
      <c r="AB188" s="232">
        <f>'Field Log (27)'!$C196</f>
        <v>0</v>
      </c>
      <c r="AC188" s="232">
        <f>'Field Log (28)'!$C196</f>
        <v>0</v>
      </c>
      <c r="AD188" s="232">
        <f>'Field Log (29)'!$C196</f>
        <v>0</v>
      </c>
      <c r="AE188" s="232">
        <f>'Field Log (30)'!$C196</f>
        <v>0</v>
      </c>
      <c r="AF188" s="232">
        <f>'Field Log (31)'!$C196</f>
        <v>0</v>
      </c>
      <c r="AG188" s="232">
        <f>'Field Log (32)'!$C196</f>
        <v>0</v>
      </c>
      <c r="AH188" s="232">
        <f>'Field Log (33)'!$C196</f>
        <v>0</v>
      </c>
      <c r="AI188" s="232">
        <f>'Field Log (34)'!$C196</f>
        <v>0</v>
      </c>
      <c r="AJ188" s="232">
        <f>'Field Log (35)'!$C196</f>
        <v>0</v>
      </c>
    </row>
    <row r="189" spans="2:36">
      <c r="B189" s="232">
        <f>'Field Log (1)'!C197</f>
        <v>0</v>
      </c>
      <c r="C189" s="232">
        <f>'Field Log (2)'!C197</f>
        <v>0</v>
      </c>
      <c r="D189" s="232">
        <f>'Field Log (3)'!C197</f>
        <v>0</v>
      </c>
      <c r="E189" s="232">
        <f>'Field Log (4)'!C197</f>
        <v>0</v>
      </c>
      <c r="F189" s="232">
        <f>'Field Log (5)'!C197</f>
        <v>0</v>
      </c>
      <c r="G189" s="232">
        <f>'Field Log (6)'!C197</f>
        <v>0</v>
      </c>
      <c r="H189" s="232">
        <f>'Field Log (7)'!C197</f>
        <v>0</v>
      </c>
      <c r="I189" s="232">
        <f>'Field Log (8)'!C197</f>
        <v>0</v>
      </c>
      <c r="J189" s="232">
        <f>'Field Log (9)'!C197</f>
        <v>0</v>
      </c>
      <c r="K189" s="232">
        <f>'Field Log (10)'!C197</f>
        <v>0</v>
      </c>
      <c r="L189" s="232">
        <f>'Field Log (11)'!C197</f>
        <v>0</v>
      </c>
      <c r="M189" s="232">
        <f>'Field Log (12)'!C197</f>
        <v>0</v>
      </c>
      <c r="N189" s="232">
        <f>'Field Log (13)'!C197</f>
        <v>0</v>
      </c>
      <c r="O189" s="232">
        <f>'Field Log (14)'!C197</f>
        <v>0</v>
      </c>
      <c r="P189" s="232">
        <f>'Field Log (15)'!$C197</f>
        <v>0</v>
      </c>
      <c r="Q189" s="232">
        <f>'Field Log (16)'!$C197</f>
        <v>0</v>
      </c>
      <c r="R189" s="232">
        <f>'Field Log (17)'!$C197</f>
        <v>0</v>
      </c>
      <c r="S189" s="232">
        <f>'Field Log (18)'!$C197</f>
        <v>0</v>
      </c>
      <c r="T189" s="232">
        <f>'Field Log (19)'!$C197</f>
        <v>0</v>
      </c>
      <c r="U189" s="232">
        <f>'Field Log (20)'!$C197</f>
        <v>0</v>
      </c>
      <c r="V189" s="232">
        <f>'Field Log (21)'!$C197</f>
        <v>0</v>
      </c>
      <c r="W189" s="232">
        <f>'Field Log (22)'!$C197</f>
        <v>0</v>
      </c>
      <c r="X189" s="232">
        <f>'Field Log (23)'!$C197</f>
        <v>0</v>
      </c>
      <c r="Y189" s="232">
        <f>'Field Log (24)'!$C197</f>
        <v>0</v>
      </c>
      <c r="Z189" s="232">
        <f>'Field Log (25)'!$C197</f>
        <v>0</v>
      </c>
      <c r="AA189" s="232">
        <f>'Field Log (26)'!$C197</f>
        <v>0</v>
      </c>
      <c r="AB189" s="232">
        <f>'Field Log (27)'!$C197</f>
        <v>0</v>
      </c>
      <c r="AC189" s="232">
        <f>'Field Log (28)'!$C197</f>
        <v>0</v>
      </c>
      <c r="AD189" s="232">
        <f>'Field Log (29)'!$C197</f>
        <v>0</v>
      </c>
      <c r="AE189" s="232">
        <f>'Field Log (30)'!$C197</f>
        <v>0</v>
      </c>
      <c r="AF189" s="232">
        <f>'Field Log (31)'!$C197</f>
        <v>0</v>
      </c>
      <c r="AG189" s="232">
        <f>'Field Log (32)'!$C197</f>
        <v>0</v>
      </c>
      <c r="AH189" s="232">
        <f>'Field Log (33)'!$C197</f>
        <v>0</v>
      </c>
      <c r="AI189" s="232">
        <f>'Field Log (34)'!$C197</f>
        <v>0</v>
      </c>
      <c r="AJ189" s="232">
        <f>'Field Log (35)'!$C197</f>
        <v>0</v>
      </c>
    </row>
    <row r="190" spans="2:36">
      <c r="B190" s="232">
        <f>'Field Log (1)'!C198</f>
        <v>0</v>
      </c>
      <c r="C190" s="232">
        <f>'Field Log (2)'!C198</f>
        <v>0</v>
      </c>
      <c r="D190" s="232">
        <f>'Field Log (3)'!C198</f>
        <v>0</v>
      </c>
      <c r="E190" s="232">
        <f>'Field Log (4)'!C198</f>
        <v>0</v>
      </c>
      <c r="F190" s="232">
        <f>'Field Log (5)'!C198</f>
        <v>0</v>
      </c>
      <c r="G190" s="232">
        <f>'Field Log (6)'!C198</f>
        <v>0</v>
      </c>
      <c r="H190" s="232">
        <f>'Field Log (7)'!C198</f>
        <v>0</v>
      </c>
      <c r="I190" s="232">
        <f>'Field Log (8)'!C198</f>
        <v>0</v>
      </c>
      <c r="J190" s="232">
        <f>'Field Log (9)'!C198</f>
        <v>0</v>
      </c>
      <c r="K190" s="232">
        <f>'Field Log (10)'!C198</f>
        <v>0</v>
      </c>
      <c r="L190" s="232">
        <f>'Field Log (11)'!C198</f>
        <v>0</v>
      </c>
      <c r="M190" s="232">
        <f>'Field Log (12)'!C198</f>
        <v>0</v>
      </c>
      <c r="N190" s="232">
        <f>'Field Log (13)'!C198</f>
        <v>0</v>
      </c>
      <c r="O190" s="232">
        <f>'Field Log (14)'!C198</f>
        <v>0</v>
      </c>
      <c r="P190" s="232">
        <f>'Field Log (15)'!$C198</f>
        <v>0</v>
      </c>
      <c r="Q190" s="232">
        <f>'Field Log (16)'!$C198</f>
        <v>0</v>
      </c>
      <c r="R190" s="232">
        <f>'Field Log (17)'!$C198</f>
        <v>0</v>
      </c>
      <c r="S190" s="232">
        <f>'Field Log (18)'!$C198</f>
        <v>0</v>
      </c>
      <c r="T190" s="232">
        <f>'Field Log (19)'!$C198</f>
        <v>0</v>
      </c>
      <c r="U190" s="232">
        <f>'Field Log (20)'!$C198</f>
        <v>0</v>
      </c>
      <c r="V190" s="232">
        <f>'Field Log (21)'!$C198</f>
        <v>0</v>
      </c>
      <c r="W190" s="232">
        <f>'Field Log (22)'!$C198</f>
        <v>0</v>
      </c>
      <c r="X190" s="232">
        <f>'Field Log (23)'!$C198</f>
        <v>0</v>
      </c>
      <c r="Y190" s="232">
        <f>'Field Log (24)'!$C198</f>
        <v>0</v>
      </c>
      <c r="Z190" s="232">
        <f>'Field Log (25)'!$C198</f>
        <v>0</v>
      </c>
      <c r="AA190" s="232">
        <f>'Field Log (26)'!$C198</f>
        <v>0</v>
      </c>
      <c r="AB190" s="232">
        <f>'Field Log (27)'!$C198</f>
        <v>0</v>
      </c>
      <c r="AC190" s="232">
        <f>'Field Log (28)'!$C198</f>
        <v>0</v>
      </c>
      <c r="AD190" s="232">
        <f>'Field Log (29)'!$C198</f>
        <v>0</v>
      </c>
      <c r="AE190" s="232">
        <f>'Field Log (30)'!$C198</f>
        <v>0</v>
      </c>
      <c r="AF190" s="232">
        <f>'Field Log (31)'!$C198</f>
        <v>0</v>
      </c>
      <c r="AG190" s="232">
        <f>'Field Log (32)'!$C198</f>
        <v>0</v>
      </c>
      <c r="AH190" s="232">
        <f>'Field Log (33)'!$C198</f>
        <v>0</v>
      </c>
      <c r="AI190" s="232">
        <f>'Field Log (34)'!$C198</f>
        <v>0</v>
      </c>
      <c r="AJ190" s="232">
        <f>'Field Log (35)'!$C198</f>
        <v>0</v>
      </c>
    </row>
    <row r="191" spans="2:36">
      <c r="B191" s="232">
        <f>'Field Log (1)'!C199</f>
        <v>0</v>
      </c>
      <c r="C191" s="232">
        <f>'Field Log (2)'!C199</f>
        <v>0</v>
      </c>
      <c r="D191" s="232">
        <f>'Field Log (3)'!C199</f>
        <v>0</v>
      </c>
      <c r="E191" s="232">
        <f>'Field Log (4)'!C199</f>
        <v>0</v>
      </c>
      <c r="F191" s="232">
        <f>'Field Log (5)'!C199</f>
        <v>0</v>
      </c>
      <c r="G191" s="232">
        <f>'Field Log (6)'!C199</f>
        <v>0</v>
      </c>
      <c r="H191" s="232">
        <f>'Field Log (7)'!C199</f>
        <v>0</v>
      </c>
      <c r="I191" s="232">
        <f>'Field Log (8)'!C199</f>
        <v>0</v>
      </c>
      <c r="J191" s="232">
        <f>'Field Log (9)'!C199</f>
        <v>0</v>
      </c>
      <c r="K191" s="232">
        <f>'Field Log (10)'!C199</f>
        <v>0</v>
      </c>
      <c r="L191" s="232">
        <f>'Field Log (11)'!C199</f>
        <v>0</v>
      </c>
      <c r="M191" s="232">
        <f>'Field Log (12)'!C199</f>
        <v>0</v>
      </c>
      <c r="N191" s="232">
        <f>'Field Log (13)'!C199</f>
        <v>0</v>
      </c>
      <c r="O191" s="232">
        <f>'Field Log (14)'!C199</f>
        <v>0</v>
      </c>
      <c r="P191" s="232">
        <f>'Field Log (15)'!$C199</f>
        <v>0</v>
      </c>
      <c r="Q191" s="232">
        <f>'Field Log (16)'!$C199</f>
        <v>0</v>
      </c>
      <c r="R191" s="232">
        <f>'Field Log (17)'!$C199</f>
        <v>0</v>
      </c>
      <c r="S191" s="232">
        <f>'Field Log (18)'!$C199</f>
        <v>0</v>
      </c>
      <c r="T191" s="232">
        <f>'Field Log (19)'!$C199</f>
        <v>0</v>
      </c>
      <c r="U191" s="232">
        <f>'Field Log (20)'!$C199</f>
        <v>0</v>
      </c>
      <c r="V191" s="232">
        <f>'Field Log (21)'!$C199</f>
        <v>0</v>
      </c>
      <c r="W191" s="232">
        <f>'Field Log (22)'!$C199</f>
        <v>0</v>
      </c>
      <c r="X191" s="232">
        <f>'Field Log (23)'!$C199</f>
        <v>0</v>
      </c>
      <c r="Y191" s="232">
        <f>'Field Log (24)'!$C199</f>
        <v>0</v>
      </c>
      <c r="Z191" s="232">
        <f>'Field Log (25)'!$C199</f>
        <v>0</v>
      </c>
      <c r="AA191" s="232">
        <f>'Field Log (26)'!$C199</f>
        <v>0</v>
      </c>
      <c r="AB191" s="232">
        <f>'Field Log (27)'!$C199</f>
        <v>0</v>
      </c>
      <c r="AC191" s="232">
        <f>'Field Log (28)'!$C199</f>
        <v>0</v>
      </c>
      <c r="AD191" s="232">
        <f>'Field Log (29)'!$C199</f>
        <v>0</v>
      </c>
      <c r="AE191" s="232">
        <f>'Field Log (30)'!$C199</f>
        <v>0</v>
      </c>
      <c r="AF191" s="232">
        <f>'Field Log (31)'!$C199</f>
        <v>0</v>
      </c>
      <c r="AG191" s="232">
        <f>'Field Log (32)'!$C199</f>
        <v>0</v>
      </c>
      <c r="AH191" s="232">
        <f>'Field Log (33)'!$C199</f>
        <v>0</v>
      </c>
      <c r="AI191" s="232">
        <f>'Field Log (34)'!$C199</f>
        <v>0</v>
      </c>
      <c r="AJ191" s="232">
        <f>'Field Log (35)'!$C199</f>
        <v>0</v>
      </c>
    </row>
    <row r="192" spans="2:36">
      <c r="B192" s="232">
        <f>'Field Log (1)'!C200</f>
        <v>0</v>
      </c>
      <c r="C192" s="232">
        <f>'Field Log (2)'!C200</f>
        <v>0</v>
      </c>
      <c r="D192" s="232">
        <f>'Field Log (3)'!C200</f>
        <v>0</v>
      </c>
      <c r="E192" s="232">
        <f>'Field Log (4)'!C200</f>
        <v>0</v>
      </c>
      <c r="F192" s="232">
        <f>'Field Log (5)'!C200</f>
        <v>0</v>
      </c>
      <c r="G192" s="232">
        <f>'Field Log (6)'!C200</f>
        <v>0</v>
      </c>
      <c r="H192" s="232">
        <f>'Field Log (7)'!C200</f>
        <v>0</v>
      </c>
      <c r="I192" s="232">
        <f>'Field Log (8)'!C200</f>
        <v>0</v>
      </c>
      <c r="J192" s="232">
        <f>'Field Log (9)'!C200</f>
        <v>0</v>
      </c>
      <c r="K192" s="232">
        <f>'Field Log (10)'!C200</f>
        <v>0</v>
      </c>
      <c r="L192" s="232">
        <f>'Field Log (11)'!C200</f>
        <v>0</v>
      </c>
      <c r="M192" s="232">
        <f>'Field Log (12)'!C200</f>
        <v>0</v>
      </c>
      <c r="N192" s="232">
        <f>'Field Log (13)'!C200</f>
        <v>0</v>
      </c>
      <c r="O192" s="232">
        <f>'Field Log (14)'!C200</f>
        <v>0</v>
      </c>
      <c r="P192" s="232">
        <f>'Field Log (15)'!$C200</f>
        <v>0</v>
      </c>
      <c r="Q192" s="232">
        <f>'Field Log (16)'!$C200</f>
        <v>0</v>
      </c>
      <c r="R192" s="232">
        <f>'Field Log (17)'!$C200</f>
        <v>0</v>
      </c>
      <c r="S192" s="232">
        <f>'Field Log (18)'!$C200</f>
        <v>0</v>
      </c>
      <c r="T192" s="232">
        <f>'Field Log (19)'!$C200</f>
        <v>0</v>
      </c>
      <c r="U192" s="232">
        <f>'Field Log (20)'!$C200</f>
        <v>0</v>
      </c>
      <c r="V192" s="232">
        <f>'Field Log (21)'!$C200</f>
        <v>0</v>
      </c>
      <c r="W192" s="232">
        <f>'Field Log (22)'!$C200</f>
        <v>0</v>
      </c>
      <c r="X192" s="232">
        <f>'Field Log (23)'!$C200</f>
        <v>0</v>
      </c>
      <c r="Y192" s="232">
        <f>'Field Log (24)'!$C200</f>
        <v>0</v>
      </c>
      <c r="Z192" s="232">
        <f>'Field Log (25)'!$C200</f>
        <v>0</v>
      </c>
      <c r="AA192" s="232">
        <f>'Field Log (26)'!$C200</f>
        <v>0</v>
      </c>
      <c r="AB192" s="232">
        <f>'Field Log (27)'!$C200</f>
        <v>0</v>
      </c>
      <c r="AC192" s="232">
        <f>'Field Log (28)'!$C200</f>
        <v>0</v>
      </c>
      <c r="AD192" s="232">
        <f>'Field Log (29)'!$C200</f>
        <v>0</v>
      </c>
      <c r="AE192" s="232">
        <f>'Field Log (30)'!$C200</f>
        <v>0</v>
      </c>
      <c r="AF192" s="232">
        <f>'Field Log (31)'!$C200</f>
        <v>0</v>
      </c>
      <c r="AG192" s="232">
        <f>'Field Log (32)'!$C200</f>
        <v>0</v>
      </c>
      <c r="AH192" s="232">
        <f>'Field Log (33)'!$C200</f>
        <v>0</v>
      </c>
      <c r="AI192" s="232">
        <f>'Field Log (34)'!$C200</f>
        <v>0</v>
      </c>
      <c r="AJ192" s="232">
        <f>'Field Log (35)'!$C200</f>
        <v>0</v>
      </c>
    </row>
    <row r="193" spans="2:36">
      <c r="B193" s="232">
        <f>'Field Log (1)'!C201</f>
        <v>0</v>
      </c>
      <c r="C193" s="232">
        <f>'Field Log (2)'!C201</f>
        <v>0</v>
      </c>
      <c r="D193" s="232">
        <f>'Field Log (3)'!C201</f>
        <v>0</v>
      </c>
      <c r="E193" s="232">
        <f>'Field Log (4)'!C201</f>
        <v>0</v>
      </c>
      <c r="F193" s="232">
        <f>'Field Log (5)'!C201</f>
        <v>0</v>
      </c>
      <c r="G193" s="232">
        <f>'Field Log (6)'!C201</f>
        <v>0</v>
      </c>
      <c r="H193" s="232">
        <f>'Field Log (7)'!C201</f>
        <v>0</v>
      </c>
      <c r="I193" s="232">
        <f>'Field Log (8)'!C201</f>
        <v>0</v>
      </c>
      <c r="J193" s="232">
        <f>'Field Log (9)'!C201</f>
        <v>0</v>
      </c>
      <c r="K193" s="232">
        <f>'Field Log (10)'!C201</f>
        <v>0</v>
      </c>
      <c r="L193" s="232">
        <f>'Field Log (11)'!C201</f>
        <v>0</v>
      </c>
      <c r="M193" s="232">
        <f>'Field Log (12)'!C201</f>
        <v>0</v>
      </c>
      <c r="N193" s="232">
        <f>'Field Log (13)'!C201</f>
        <v>0</v>
      </c>
      <c r="O193" s="232">
        <f>'Field Log (14)'!C201</f>
        <v>0</v>
      </c>
      <c r="P193" s="232">
        <f>'Field Log (15)'!$C201</f>
        <v>0</v>
      </c>
      <c r="Q193" s="232">
        <f>'Field Log (16)'!$C201</f>
        <v>0</v>
      </c>
      <c r="R193" s="232">
        <f>'Field Log (17)'!$C201</f>
        <v>0</v>
      </c>
      <c r="S193" s="232">
        <f>'Field Log (18)'!$C201</f>
        <v>0</v>
      </c>
      <c r="T193" s="232">
        <f>'Field Log (19)'!$C201</f>
        <v>0</v>
      </c>
      <c r="U193" s="232">
        <f>'Field Log (20)'!$C201</f>
        <v>0</v>
      </c>
      <c r="V193" s="232">
        <f>'Field Log (21)'!$C201</f>
        <v>0</v>
      </c>
      <c r="W193" s="232">
        <f>'Field Log (22)'!$C201</f>
        <v>0</v>
      </c>
      <c r="X193" s="232">
        <f>'Field Log (23)'!$C201</f>
        <v>0</v>
      </c>
      <c r="Y193" s="232">
        <f>'Field Log (24)'!$C201</f>
        <v>0</v>
      </c>
      <c r="Z193" s="232">
        <f>'Field Log (25)'!$C201</f>
        <v>0</v>
      </c>
      <c r="AA193" s="232">
        <f>'Field Log (26)'!$C201</f>
        <v>0</v>
      </c>
      <c r="AB193" s="232">
        <f>'Field Log (27)'!$C201</f>
        <v>0</v>
      </c>
      <c r="AC193" s="232">
        <f>'Field Log (28)'!$C201</f>
        <v>0</v>
      </c>
      <c r="AD193" s="232">
        <f>'Field Log (29)'!$C201</f>
        <v>0</v>
      </c>
      <c r="AE193" s="232">
        <f>'Field Log (30)'!$C201</f>
        <v>0</v>
      </c>
      <c r="AF193" s="232">
        <f>'Field Log (31)'!$C201</f>
        <v>0</v>
      </c>
      <c r="AG193" s="232">
        <f>'Field Log (32)'!$C201</f>
        <v>0</v>
      </c>
      <c r="AH193" s="232">
        <f>'Field Log (33)'!$C201</f>
        <v>0</v>
      </c>
      <c r="AI193" s="232">
        <f>'Field Log (34)'!$C201</f>
        <v>0</v>
      </c>
      <c r="AJ193" s="232">
        <f>'Field Log (35)'!$C201</f>
        <v>0</v>
      </c>
    </row>
    <row r="194" spans="2:36">
      <c r="B194" s="232">
        <f>'Field Log (1)'!C202</f>
        <v>0</v>
      </c>
      <c r="C194" s="232">
        <f>'Field Log (2)'!C202</f>
        <v>0</v>
      </c>
      <c r="D194" s="232">
        <f>'Field Log (3)'!C202</f>
        <v>0</v>
      </c>
      <c r="E194" s="232">
        <f>'Field Log (4)'!C202</f>
        <v>0</v>
      </c>
      <c r="F194" s="232">
        <f>'Field Log (5)'!C202</f>
        <v>0</v>
      </c>
      <c r="G194" s="232">
        <f>'Field Log (6)'!C202</f>
        <v>0</v>
      </c>
      <c r="H194" s="232">
        <f>'Field Log (7)'!C202</f>
        <v>0</v>
      </c>
      <c r="I194" s="232">
        <f>'Field Log (8)'!C202</f>
        <v>0</v>
      </c>
      <c r="J194" s="232">
        <f>'Field Log (9)'!C202</f>
        <v>0</v>
      </c>
      <c r="K194" s="232">
        <f>'Field Log (10)'!C202</f>
        <v>0</v>
      </c>
      <c r="L194" s="232">
        <f>'Field Log (11)'!C202</f>
        <v>0</v>
      </c>
      <c r="M194" s="232">
        <f>'Field Log (12)'!C202</f>
        <v>0</v>
      </c>
      <c r="N194" s="232">
        <f>'Field Log (13)'!C202</f>
        <v>0</v>
      </c>
      <c r="O194" s="232">
        <f>'Field Log (14)'!C202</f>
        <v>0</v>
      </c>
      <c r="P194" s="232">
        <f>'Field Log (15)'!$C202</f>
        <v>0</v>
      </c>
      <c r="Q194" s="232">
        <f>'Field Log (16)'!$C202</f>
        <v>0</v>
      </c>
      <c r="R194" s="232">
        <f>'Field Log (17)'!$C202</f>
        <v>0</v>
      </c>
      <c r="S194" s="232">
        <f>'Field Log (18)'!$C202</f>
        <v>0</v>
      </c>
      <c r="T194" s="232">
        <f>'Field Log (19)'!$C202</f>
        <v>0</v>
      </c>
      <c r="U194" s="232">
        <f>'Field Log (20)'!$C202</f>
        <v>0</v>
      </c>
      <c r="V194" s="232">
        <f>'Field Log (21)'!$C202</f>
        <v>0</v>
      </c>
      <c r="W194" s="232">
        <f>'Field Log (22)'!$C202</f>
        <v>0</v>
      </c>
      <c r="X194" s="232">
        <f>'Field Log (23)'!$C202</f>
        <v>0</v>
      </c>
      <c r="Y194" s="232">
        <f>'Field Log (24)'!$C202</f>
        <v>0</v>
      </c>
      <c r="Z194" s="232">
        <f>'Field Log (25)'!$C202</f>
        <v>0</v>
      </c>
      <c r="AA194" s="232">
        <f>'Field Log (26)'!$C202</f>
        <v>0</v>
      </c>
      <c r="AB194" s="232">
        <f>'Field Log (27)'!$C202</f>
        <v>0</v>
      </c>
      <c r="AC194" s="232">
        <f>'Field Log (28)'!$C202</f>
        <v>0</v>
      </c>
      <c r="AD194" s="232">
        <f>'Field Log (29)'!$C202</f>
        <v>0</v>
      </c>
      <c r="AE194" s="232">
        <f>'Field Log (30)'!$C202</f>
        <v>0</v>
      </c>
      <c r="AF194" s="232">
        <f>'Field Log (31)'!$C202</f>
        <v>0</v>
      </c>
      <c r="AG194" s="232">
        <f>'Field Log (32)'!$C202</f>
        <v>0</v>
      </c>
      <c r="AH194" s="232">
        <f>'Field Log (33)'!$C202</f>
        <v>0</v>
      </c>
      <c r="AI194" s="232">
        <f>'Field Log (34)'!$C202</f>
        <v>0</v>
      </c>
      <c r="AJ194" s="232">
        <f>'Field Log (35)'!$C202</f>
        <v>0</v>
      </c>
    </row>
    <row r="195" spans="2:36">
      <c r="B195" s="232">
        <f>'Field Log (1)'!C203</f>
        <v>0</v>
      </c>
      <c r="C195" s="232">
        <f>'Field Log (2)'!C203</f>
        <v>0</v>
      </c>
      <c r="D195" s="232">
        <f>'Field Log (3)'!C203</f>
        <v>0</v>
      </c>
      <c r="E195" s="232">
        <f>'Field Log (4)'!C203</f>
        <v>0</v>
      </c>
      <c r="F195" s="232">
        <f>'Field Log (5)'!C203</f>
        <v>0</v>
      </c>
      <c r="G195" s="232">
        <f>'Field Log (6)'!C203</f>
        <v>0</v>
      </c>
      <c r="H195" s="232">
        <f>'Field Log (7)'!C203</f>
        <v>0</v>
      </c>
      <c r="I195" s="232">
        <f>'Field Log (8)'!C203</f>
        <v>0</v>
      </c>
      <c r="J195" s="232">
        <f>'Field Log (9)'!C203</f>
        <v>0</v>
      </c>
      <c r="K195" s="232">
        <f>'Field Log (10)'!C203</f>
        <v>0</v>
      </c>
      <c r="L195" s="232">
        <f>'Field Log (11)'!C203</f>
        <v>0</v>
      </c>
      <c r="M195" s="232">
        <f>'Field Log (12)'!C203</f>
        <v>0</v>
      </c>
      <c r="N195" s="232">
        <f>'Field Log (13)'!C203</f>
        <v>0</v>
      </c>
      <c r="O195" s="232">
        <f>'Field Log (14)'!C203</f>
        <v>0</v>
      </c>
      <c r="P195" s="232">
        <f>'Field Log (15)'!$C203</f>
        <v>0</v>
      </c>
      <c r="Q195" s="232">
        <f>'Field Log (16)'!$C203</f>
        <v>0</v>
      </c>
      <c r="R195" s="232">
        <f>'Field Log (17)'!$C203</f>
        <v>0</v>
      </c>
      <c r="S195" s="232">
        <f>'Field Log (18)'!$C203</f>
        <v>0</v>
      </c>
      <c r="T195" s="232">
        <f>'Field Log (19)'!$C203</f>
        <v>0</v>
      </c>
      <c r="U195" s="232">
        <f>'Field Log (20)'!$C203</f>
        <v>0</v>
      </c>
      <c r="V195" s="232">
        <f>'Field Log (21)'!$C203</f>
        <v>0</v>
      </c>
      <c r="W195" s="232">
        <f>'Field Log (22)'!$C203</f>
        <v>0</v>
      </c>
      <c r="X195" s="232">
        <f>'Field Log (23)'!$C203</f>
        <v>0</v>
      </c>
      <c r="Y195" s="232">
        <f>'Field Log (24)'!$C203</f>
        <v>0</v>
      </c>
      <c r="Z195" s="232">
        <f>'Field Log (25)'!$C203</f>
        <v>0</v>
      </c>
      <c r="AA195" s="232">
        <f>'Field Log (26)'!$C203</f>
        <v>0</v>
      </c>
      <c r="AB195" s="232">
        <f>'Field Log (27)'!$C203</f>
        <v>0</v>
      </c>
      <c r="AC195" s="232">
        <f>'Field Log (28)'!$C203</f>
        <v>0</v>
      </c>
      <c r="AD195" s="232">
        <f>'Field Log (29)'!$C203</f>
        <v>0</v>
      </c>
      <c r="AE195" s="232">
        <f>'Field Log (30)'!$C203</f>
        <v>0</v>
      </c>
      <c r="AF195" s="232">
        <f>'Field Log (31)'!$C203</f>
        <v>0</v>
      </c>
      <c r="AG195" s="232">
        <f>'Field Log (32)'!$C203</f>
        <v>0</v>
      </c>
      <c r="AH195" s="232">
        <f>'Field Log (33)'!$C203</f>
        <v>0</v>
      </c>
      <c r="AI195" s="232">
        <f>'Field Log (34)'!$C203</f>
        <v>0</v>
      </c>
      <c r="AJ195" s="232">
        <f>'Field Log (35)'!$C203</f>
        <v>0</v>
      </c>
    </row>
    <row r="196" spans="2:36">
      <c r="B196" s="232">
        <f>'Field Log (1)'!C204</f>
        <v>0</v>
      </c>
      <c r="C196" s="232">
        <f>'Field Log (2)'!C204</f>
        <v>0</v>
      </c>
      <c r="D196" s="232">
        <f>'Field Log (3)'!C204</f>
        <v>0</v>
      </c>
      <c r="E196" s="232">
        <f>'Field Log (4)'!C204</f>
        <v>0</v>
      </c>
      <c r="F196" s="232">
        <f>'Field Log (5)'!C204</f>
        <v>0</v>
      </c>
      <c r="G196" s="232">
        <f>'Field Log (6)'!C204</f>
        <v>0</v>
      </c>
      <c r="H196" s="232">
        <f>'Field Log (7)'!C204</f>
        <v>0</v>
      </c>
      <c r="I196" s="232">
        <f>'Field Log (8)'!C204</f>
        <v>0</v>
      </c>
      <c r="J196" s="232">
        <f>'Field Log (9)'!C204</f>
        <v>0</v>
      </c>
      <c r="K196" s="232">
        <f>'Field Log (10)'!C204</f>
        <v>0</v>
      </c>
      <c r="L196" s="232">
        <f>'Field Log (11)'!C204</f>
        <v>0</v>
      </c>
      <c r="M196" s="232">
        <f>'Field Log (12)'!C204</f>
        <v>0</v>
      </c>
      <c r="N196" s="232">
        <f>'Field Log (13)'!C204</f>
        <v>0</v>
      </c>
      <c r="O196" s="232">
        <f>'Field Log (14)'!C204</f>
        <v>0</v>
      </c>
      <c r="P196" s="232">
        <f>'Field Log (15)'!$C204</f>
        <v>0</v>
      </c>
      <c r="Q196" s="232">
        <f>'Field Log (16)'!$C204</f>
        <v>0</v>
      </c>
      <c r="R196" s="232">
        <f>'Field Log (17)'!$C204</f>
        <v>0</v>
      </c>
      <c r="S196" s="232">
        <f>'Field Log (18)'!$C204</f>
        <v>0</v>
      </c>
      <c r="T196" s="232">
        <f>'Field Log (19)'!$C204</f>
        <v>0</v>
      </c>
      <c r="U196" s="232">
        <f>'Field Log (20)'!$C204</f>
        <v>0</v>
      </c>
      <c r="V196" s="232">
        <f>'Field Log (21)'!$C204</f>
        <v>0</v>
      </c>
      <c r="W196" s="232">
        <f>'Field Log (22)'!$C204</f>
        <v>0</v>
      </c>
      <c r="X196" s="232">
        <f>'Field Log (23)'!$C204</f>
        <v>0</v>
      </c>
      <c r="Y196" s="232">
        <f>'Field Log (24)'!$C204</f>
        <v>0</v>
      </c>
      <c r="Z196" s="232">
        <f>'Field Log (25)'!$C204</f>
        <v>0</v>
      </c>
      <c r="AA196" s="232">
        <f>'Field Log (26)'!$C204</f>
        <v>0</v>
      </c>
      <c r="AB196" s="232">
        <f>'Field Log (27)'!$C204</f>
        <v>0</v>
      </c>
      <c r="AC196" s="232">
        <f>'Field Log (28)'!$C204</f>
        <v>0</v>
      </c>
      <c r="AD196" s="232">
        <f>'Field Log (29)'!$C204</f>
        <v>0</v>
      </c>
      <c r="AE196" s="232">
        <f>'Field Log (30)'!$C204</f>
        <v>0</v>
      </c>
      <c r="AF196" s="232">
        <f>'Field Log (31)'!$C204</f>
        <v>0</v>
      </c>
      <c r="AG196" s="232">
        <f>'Field Log (32)'!$C204</f>
        <v>0</v>
      </c>
      <c r="AH196" s="232">
        <f>'Field Log (33)'!$C204</f>
        <v>0</v>
      </c>
      <c r="AI196" s="232">
        <f>'Field Log (34)'!$C204</f>
        <v>0</v>
      </c>
      <c r="AJ196" s="232">
        <f>'Field Log (35)'!$C204</f>
        <v>0</v>
      </c>
    </row>
    <row r="197" spans="2:36">
      <c r="B197" s="232">
        <f>'Field Log (1)'!C205</f>
        <v>0</v>
      </c>
      <c r="C197" s="232">
        <f>'Field Log (2)'!C205</f>
        <v>0</v>
      </c>
      <c r="D197" s="232">
        <f>'Field Log (3)'!C205</f>
        <v>0</v>
      </c>
      <c r="E197" s="232">
        <f>'Field Log (4)'!C205</f>
        <v>0</v>
      </c>
      <c r="F197" s="232">
        <f>'Field Log (5)'!C205</f>
        <v>0</v>
      </c>
      <c r="G197" s="232">
        <f>'Field Log (6)'!C205</f>
        <v>0</v>
      </c>
      <c r="H197" s="232">
        <f>'Field Log (7)'!C205</f>
        <v>0</v>
      </c>
      <c r="I197" s="232">
        <f>'Field Log (8)'!C205</f>
        <v>0</v>
      </c>
      <c r="J197" s="232">
        <f>'Field Log (9)'!C205</f>
        <v>0</v>
      </c>
      <c r="K197" s="232">
        <f>'Field Log (10)'!C205</f>
        <v>0</v>
      </c>
      <c r="L197" s="232">
        <f>'Field Log (11)'!C205</f>
        <v>0</v>
      </c>
      <c r="M197" s="232">
        <f>'Field Log (12)'!C205</f>
        <v>0</v>
      </c>
      <c r="N197" s="232">
        <f>'Field Log (13)'!C205</f>
        <v>0</v>
      </c>
      <c r="O197" s="232">
        <f>'Field Log (14)'!C205</f>
        <v>0</v>
      </c>
      <c r="P197" s="232">
        <f>'Field Log (15)'!$C205</f>
        <v>0</v>
      </c>
      <c r="Q197" s="232">
        <f>'Field Log (16)'!$C205</f>
        <v>0</v>
      </c>
      <c r="R197" s="232">
        <f>'Field Log (17)'!$C205</f>
        <v>0</v>
      </c>
      <c r="S197" s="232">
        <f>'Field Log (18)'!$C205</f>
        <v>0</v>
      </c>
      <c r="T197" s="232">
        <f>'Field Log (19)'!$C205</f>
        <v>0</v>
      </c>
      <c r="U197" s="232">
        <f>'Field Log (20)'!$C205</f>
        <v>0</v>
      </c>
      <c r="V197" s="232">
        <f>'Field Log (21)'!$C205</f>
        <v>0</v>
      </c>
      <c r="W197" s="232">
        <f>'Field Log (22)'!$C205</f>
        <v>0</v>
      </c>
      <c r="X197" s="232">
        <f>'Field Log (23)'!$C205</f>
        <v>0</v>
      </c>
      <c r="Y197" s="232">
        <f>'Field Log (24)'!$C205</f>
        <v>0</v>
      </c>
      <c r="Z197" s="232">
        <f>'Field Log (25)'!$C205</f>
        <v>0</v>
      </c>
      <c r="AA197" s="232">
        <f>'Field Log (26)'!$C205</f>
        <v>0</v>
      </c>
      <c r="AB197" s="232">
        <f>'Field Log (27)'!$C205</f>
        <v>0</v>
      </c>
      <c r="AC197" s="232">
        <f>'Field Log (28)'!$C205</f>
        <v>0</v>
      </c>
      <c r="AD197" s="232">
        <f>'Field Log (29)'!$C205</f>
        <v>0</v>
      </c>
      <c r="AE197" s="232">
        <f>'Field Log (30)'!$C205</f>
        <v>0</v>
      </c>
      <c r="AF197" s="232">
        <f>'Field Log (31)'!$C205</f>
        <v>0</v>
      </c>
      <c r="AG197" s="232">
        <f>'Field Log (32)'!$C205</f>
        <v>0</v>
      </c>
      <c r="AH197" s="232">
        <f>'Field Log (33)'!$C205</f>
        <v>0</v>
      </c>
      <c r="AI197" s="232">
        <f>'Field Log (34)'!$C205</f>
        <v>0</v>
      </c>
      <c r="AJ197" s="232">
        <f>'Field Log (35)'!$C205</f>
        <v>0</v>
      </c>
    </row>
    <row r="198" spans="2:36">
      <c r="B198" s="232">
        <f>'Field Log (1)'!C206</f>
        <v>0</v>
      </c>
      <c r="C198" s="232">
        <f>'Field Log (2)'!C206</f>
        <v>0</v>
      </c>
      <c r="D198" s="232">
        <f>'Field Log (3)'!C206</f>
        <v>0</v>
      </c>
      <c r="E198" s="232">
        <f>'Field Log (4)'!C206</f>
        <v>0</v>
      </c>
      <c r="F198" s="232">
        <f>'Field Log (5)'!C206</f>
        <v>0</v>
      </c>
      <c r="G198" s="232">
        <f>'Field Log (6)'!C206</f>
        <v>0</v>
      </c>
      <c r="H198" s="232">
        <f>'Field Log (7)'!C206</f>
        <v>0</v>
      </c>
      <c r="I198" s="232">
        <f>'Field Log (8)'!C206</f>
        <v>0</v>
      </c>
      <c r="J198" s="232">
        <f>'Field Log (9)'!C206</f>
        <v>0</v>
      </c>
      <c r="K198" s="232">
        <f>'Field Log (10)'!C206</f>
        <v>0</v>
      </c>
      <c r="L198" s="232">
        <f>'Field Log (11)'!C206</f>
        <v>0</v>
      </c>
      <c r="M198" s="232">
        <f>'Field Log (12)'!C206</f>
        <v>0</v>
      </c>
      <c r="N198" s="232">
        <f>'Field Log (13)'!C206</f>
        <v>0</v>
      </c>
      <c r="O198" s="232">
        <f>'Field Log (14)'!C206</f>
        <v>0</v>
      </c>
      <c r="P198" s="232">
        <f>'Field Log (15)'!$C206</f>
        <v>0</v>
      </c>
      <c r="Q198" s="232">
        <f>'Field Log (16)'!$C206</f>
        <v>0</v>
      </c>
      <c r="R198" s="232">
        <f>'Field Log (17)'!$C206</f>
        <v>0</v>
      </c>
      <c r="S198" s="232">
        <f>'Field Log (18)'!$C206</f>
        <v>0</v>
      </c>
      <c r="T198" s="232">
        <f>'Field Log (19)'!$C206</f>
        <v>0</v>
      </c>
      <c r="U198" s="232">
        <f>'Field Log (20)'!$C206</f>
        <v>0</v>
      </c>
      <c r="V198" s="232">
        <f>'Field Log (21)'!$C206</f>
        <v>0</v>
      </c>
      <c r="W198" s="232">
        <f>'Field Log (22)'!$C206</f>
        <v>0</v>
      </c>
      <c r="X198" s="232">
        <f>'Field Log (23)'!$C206</f>
        <v>0</v>
      </c>
      <c r="Y198" s="232">
        <f>'Field Log (24)'!$C206</f>
        <v>0</v>
      </c>
      <c r="Z198" s="232">
        <f>'Field Log (25)'!$C206</f>
        <v>0</v>
      </c>
      <c r="AA198" s="232">
        <f>'Field Log (26)'!$C206</f>
        <v>0</v>
      </c>
      <c r="AB198" s="232">
        <f>'Field Log (27)'!$C206</f>
        <v>0</v>
      </c>
      <c r="AC198" s="232">
        <f>'Field Log (28)'!$C206</f>
        <v>0</v>
      </c>
      <c r="AD198" s="232">
        <f>'Field Log (29)'!$C206</f>
        <v>0</v>
      </c>
      <c r="AE198" s="232">
        <f>'Field Log (30)'!$C206</f>
        <v>0</v>
      </c>
      <c r="AF198" s="232">
        <f>'Field Log (31)'!$C206</f>
        <v>0</v>
      </c>
      <c r="AG198" s="232">
        <f>'Field Log (32)'!$C206</f>
        <v>0</v>
      </c>
      <c r="AH198" s="232">
        <f>'Field Log (33)'!$C206</f>
        <v>0</v>
      </c>
      <c r="AI198" s="232">
        <f>'Field Log (34)'!$C206</f>
        <v>0</v>
      </c>
      <c r="AJ198" s="232">
        <f>'Field Log (35)'!$C206</f>
        <v>0</v>
      </c>
    </row>
    <row r="199" spans="2:36">
      <c r="B199" s="232">
        <f>'Field Log (1)'!C207</f>
        <v>0</v>
      </c>
      <c r="C199" s="232">
        <f>'Field Log (2)'!C207</f>
        <v>0</v>
      </c>
      <c r="D199" s="232">
        <f>'Field Log (3)'!C207</f>
        <v>0</v>
      </c>
      <c r="E199" s="232">
        <f>'Field Log (4)'!C207</f>
        <v>0</v>
      </c>
      <c r="F199" s="232">
        <f>'Field Log (5)'!C207</f>
        <v>0</v>
      </c>
      <c r="G199" s="232">
        <f>'Field Log (6)'!C207</f>
        <v>0</v>
      </c>
      <c r="H199" s="232">
        <f>'Field Log (7)'!C207</f>
        <v>0</v>
      </c>
      <c r="I199" s="232">
        <f>'Field Log (8)'!C207</f>
        <v>0</v>
      </c>
      <c r="J199" s="232">
        <f>'Field Log (9)'!C207</f>
        <v>0</v>
      </c>
      <c r="K199" s="232">
        <f>'Field Log (10)'!C207</f>
        <v>0</v>
      </c>
      <c r="L199" s="232">
        <f>'Field Log (11)'!C207</f>
        <v>0</v>
      </c>
      <c r="M199" s="232">
        <f>'Field Log (12)'!C207</f>
        <v>0</v>
      </c>
      <c r="N199" s="232">
        <f>'Field Log (13)'!C207</f>
        <v>0</v>
      </c>
      <c r="O199" s="232">
        <f>'Field Log (14)'!C207</f>
        <v>0</v>
      </c>
      <c r="P199" s="232">
        <f>'Field Log (15)'!$C207</f>
        <v>0</v>
      </c>
      <c r="Q199" s="232">
        <f>'Field Log (16)'!$C207</f>
        <v>0</v>
      </c>
      <c r="R199" s="232">
        <f>'Field Log (17)'!$C207</f>
        <v>0</v>
      </c>
      <c r="S199" s="232">
        <f>'Field Log (18)'!$C207</f>
        <v>0</v>
      </c>
      <c r="T199" s="232">
        <f>'Field Log (19)'!$C207</f>
        <v>0</v>
      </c>
      <c r="U199" s="232">
        <f>'Field Log (20)'!$C207</f>
        <v>0</v>
      </c>
      <c r="V199" s="232">
        <f>'Field Log (21)'!$C207</f>
        <v>0</v>
      </c>
      <c r="W199" s="232">
        <f>'Field Log (22)'!$C207</f>
        <v>0</v>
      </c>
      <c r="X199" s="232">
        <f>'Field Log (23)'!$C207</f>
        <v>0</v>
      </c>
      <c r="Y199" s="232">
        <f>'Field Log (24)'!$C207</f>
        <v>0</v>
      </c>
      <c r="Z199" s="232">
        <f>'Field Log (25)'!$C207</f>
        <v>0</v>
      </c>
      <c r="AA199" s="232">
        <f>'Field Log (26)'!$C207</f>
        <v>0</v>
      </c>
      <c r="AB199" s="232">
        <f>'Field Log (27)'!$C207</f>
        <v>0</v>
      </c>
      <c r="AC199" s="232">
        <f>'Field Log (28)'!$C207</f>
        <v>0</v>
      </c>
      <c r="AD199" s="232">
        <f>'Field Log (29)'!$C207</f>
        <v>0</v>
      </c>
      <c r="AE199" s="232">
        <f>'Field Log (30)'!$C207</f>
        <v>0</v>
      </c>
      <c r="AF199" s="232">
        <f>'Field Log (31)'!$C207</f>
        <v>0</v>
      </c>
      <c r="AG199" s="232">
        <f>'Field Log (32)'!$C207</f>
        <v>0</v>
      </c>
      <c r="AH199" s="232">
        <f>'Field Log (33)'!$C207</f>
        <v>0</v>
      </c>
      <c r="AI199" s="232">
        <f>'Field Log (34)'!$C207</f>
        <v>0</v>
      </c>
      <c r="AJ199" s="232">
        <f>'Field Log (35)'!$C207</f>
        <v>0</v>
      </c>
    </row>
    <row r="200" spans="2:36">
      <c r="B200" s="232">
        <f>'Field Log (1)'!C208</f>
        <v>0</v>
      </c>
      <c r="C200" s="232">
        <f>'Field Log (2)'!C208</f>
        <v>0</v>
      </c>
      <c r="D200" s="232">
        <f>'Field Log (3)'!C208</f>
        <v>0</v>
      </c>
      <c r="E200" s="232">
        <f>'Field Log (4)'!C208</f>
        <v>0</v>
      </c>
      <c r="F200" s="232">
        <f>'Field Log (5)'!C208</f>
        <v>0</v>
      </c>
      <c r="G200" s="232">
        <f>'Field Log (6)'!C208</f>
        <v>0</v>
      </c>
      <c r="H200" s="232">
        <f>'Field Log (7)'!C208</f>
        <v>0</v>
      </c>
      <c r="I200" s="232">
        <f>'Field Log (8)'!C208</f>
        <v>0</v>
      </c>
      <c r="J200" s="232">
        <f>'Field Log (9)'!C208</f>
        <v>0</v>
      </c>
      <c r="K200" s="232">
        <f>'Field Log (10)'!C208</f>
        <v>0</v>
      </c>
      <c r="L200" s="232">
        <f>'Field Log (11)'!C208</f>
        <v>0</v>
      </c>
      <c r="M200" s="232">
        <f>'Field Log (12)'!C208</f>
        <v>0</v>
      </c>
      <c r="N200" s="232">
        <f>'Field Log (13)'!C208</f>
        <v>0</v>
      </c>
      <c r="O200" s="232">
        <f>'Field Log (14)'!C208</f>
        <v>0</v>
      </c>
      <c r="P200" s="232">
        <f>'Field Log (15)'!$C208</f>
        <v>0</v>
      </c>
      <c r="Q200" s="232">
        <f>'Field Log (16)'!$C208</f>
        <v>0</v>
      </c>
      <c r="R200" s="232">
        <f>'Field Log (17)'!$C208</f>
        <v>0</v>
      </c>
      <c r="S200" s="232">
        <f>'Field Log (18)'!$C208</f>
        <v>0</v>
      </c>
      <c r="T200" s="232">
        <f>'Field Log (19)'!$C208</f>
        <v>0</v>
      </c>
      <c r="U200" s="232">
        <f>'Field Log (20)'!$C208</f>
        <v>0</v>
      </c>
      <c r="V200" s="232">
        <f>'Field Log (21)'!$C208</f>
        <v>0</v>
      </c>
      <c r="W200" s="232">
        <f>'Field Log (22)'!$C208</f>
        <v>0</v>
      </c>
      <c r="X200" s="232">
        <f>'Field Log (23)'!$C208</f>
        <v>0</v>
      </c>
      <c r="Y200" s="232">
        <f>'Field Log (24)'!$C208</f>
        <v>0</v>
      </c>
      <c r="Z200" s="232">
        <f>'Field Log (25)'!$C208</f>
        <v>0</v>
      </c>
      <c r="AA200" s="232">
        <f>'Field Log (26)'!$C208</f>
        <v>0</v>
      </c>
      <c r="AB200" s="232">
        <f>'Field Log (27)'!$C208</f>
        <v>0</v>
      </c>
      <c r="AC200" s="232">
        <f>'Field Log (28)'!$C208</f>
        <v>0</v>
      </c>
      <c r="AD200" s="232">
        <f>'Field Log (29)'!$C208</f>
        <v>0</v>
      </c>
      <c r="AE200" s="232">
        <f>'Field Log (30)'!$C208</f>
        <v>0</v>
      </c>
      <c r="AF200" s="232">
        <f>'Field Log (31)'!$C208</f>
        <v>0</v>
      </c>
      <c r="AG200" s="232">
        <f>'Field Log (32)'!$C208</f>
        <v>0</v>
      </c>
      <c r="AH200" s="232">
        <f>'Field Log (33)'!$C208</f>
        <v>0</v>
      </c>
      <c r="AI200" s="232">
        <f>'Field Log (34)'!$C208</f>
        <v>0</v>
      </c>
      <c r="AJ200" s="232">
        <f>'Field Log (35)'!$C208</f>
        <v>0</v>
      </c>
    </row>
    <row r="201" spans="2:36">
      <c r="B201" s="232">
        <f>'Field Log (1)'!C209</f>
        <v>0</v>
      </c>
      <c r="C201" s="232">
        <f>'Field Log (2)'!C209</f>
        <v>0</v>
      </c>
      <c r="D201" s="232">
        <f>'Field Log (3)'!C209</f>
        <v>0</v>
      </c>
      <c r="E201" s="232">
        <f>'Field Log (4)'!C209</f>
        <v>0</v>
      </c>
      <c r="F201" s="232">
        <f>'Field Log (5)'!C209</f>
        <v>0</v>
      </c>
      <c r="G201" s="232">
        <f>'Field Log (6)'!C209</f>
        <v>0</v>
      </c>
      <c r="H201" s="232">
        <f>'Field Log (7)'!C209</f>
        <v>0</v>
      </c>
      <c r="I201" s="232">
        <f>'Field Log (8)'!C209</f>
        <v>0</v>
      </c>
      <c r="J201" s="232">
        <f>'Field Log (9)'!C209</f>
        <v>0</v>
      </c>
      <c r="K201" s="232">
        <f>'Field Log (10)'!C209</f>
        <v>0</v>
      </c>
      <c r="L201" s="232">
        <f>'Field Log (11)'!C209</f>
        <v>0</v>
      </c>
      <c r="M201" s="232">
        <f>'Field Log (12)'!C209</f>
        <v>0</v>
      </c>
      <c r="N201" s="232">
        <f>'Field Log (13)'!C209</f>
        <v>0</v>
      </c>
      <c r="O201" s="232">
        <f>'Field Log (14)'!C209</f>
        <v>0</v>
      </c>
      <c r="P201" s="232">
        <f>'Field Log (15)'!$C209</f>
        <v>0</v>
      </c>
      <c r="Q201" s="232">
        <f>'Field Log (16)'!$C209</f>
        <v>0</v>
      </c>
      <c r="R201" s="232">
        <f>'Field Log (17)'!$C209</f>
        <v>0</v>
      </c>
      <c r="S201" s="232">
        <f>'Field Log (18)'!$C209</f>
        <v>0</v>
      </c>
      <c r="T201" s="232">
        <f>'Field Log (19)'!$C209</f>
        <v>0</v>
      </c>
      <c r="U201" s="232">
        <f>'Field Log (20)'!$C209</f>
        <v>0</v>
      </c>
      <c r="V201" s="232">
        <f>'Field Log (21)'!$C209</f>
        <v>0</v>
      </c>
      <c r="W201" s="232">
        <f>'Field Log (22)'!$C209</f>
        <v>0</v>
      </c>
      <c r="X201" s="232">
        <f>'Field Log (23)'!$C209</f>
        <v>0</v>
      </c>
      <c r="Y201" s="232">
        <f>'Field Log (24)'!$C209</f>
        <v>0</v>
      </c>
      <c r="Z201" s="232">
        <f>'Field Log (25)'!$C209</f>
        <v>0</v>
      </c>
      <c r="AA201" s="232">
        <f>'Field Log (26)'!$C209</f>
        <v>0</v>
      </c>
      <c r="AB201" s="232">
        <f>'Field Log (27)'!$C209</f>
        <v>0</v>
      </c>
      <c r="AC201" s="232">
        <f>'Field Log (28)'!$C209</f>
        <v>0</v>
      </c>
      <c r="AD201" s="232">
        <f>'Field Log (29)'!$C209</f>
        <v>0</v>
      </c>
      <c r="AE201" s="232">
        <f>'Field Log (30)'!$C209</f>
        <v>0</v>
      </c>
      <c r="AF201" s="232">
        <f>'Field Log (31)'!$C209</f>
        <v>0</v>
      </c>
      <c r="AG201" s="232">
        <f>'Field Log (32)'!$C209</f>
        <v>0</v>
      </c>
      <c r="AH201" s="232">
        <f>'Field Log (33)'!$C209</f>
        <v>0</v>
      </c>
      <c r="AI201" s="232">
        <f>'Field Log (34)'!$C209</f>
        <v>0</v>
      </c>
      <c r="AJ201" s="232">
        <f>'Field Log (35)'!$C209</f>
        <v>0</v>
      </c>
    </row>
    <row r="202" spans="2:36">
      <c r="B202" s="232">
        <f>'Field Log (1)'!C210</f>
        <v>0</v>
      </c>
      <c r="C202" s="232">
        <f>'Field Log (2)'!C210</f>
        <v>0</v>
      </c>
      <c r="D202" s="232">
        <f>'Field Log (3)'!C210</f>
        <v>0</v>
      </c>
      <c r="E202" s="232">
        <f>'Field Log (4)'!C210</f>
        <v>0</v>
      </c>
      <c r="F202" s="232">
        <f>'Field Log (5)'!C210</f>
        <v>0</v>
      </c>
      <c r="G202" s="232">
        <f>'Field Log (6)'!C210</f>
        <v>0</v>
      </c>
      <c r="H202" s="232">
        <f>'Field Log (7)'!C210</f>
        <v>0</v>
      </c>
      <c r="I202" s="232">
        <f>'Field Log (8)'!C210</f>
        <v>0</v>
      </c>
      <c r="J202" s="232">
        <f>'Field Log (9)'!C210</f>
        <v>0</v>
      </c>
      <c r="K202" s="232">
        <f>'Field Log (10)'!C210</f>
        <v>0</v>
      </c>
      <c r="L202" s="232">
        <f>'Field Log (11)'!C210</f>
        <v>0</v>
      </c>
      <c r="M202" s="232">
        <f>'Field Log (12)'!C210</f>
        <v>0</v>
      </c>
      <c r="N202" s="232">
        <f>'Field Log (13)'!C210</f>
        <v>0</v>
      </c>
      <c r="O202" s="232">
        <f>'Field Log (14)'!C210</f>
        <v>0</v>
      </c>
      <c r="P202" s="232">
        <f>'Field Log (15)'!$C210</f>
        <v>0</v>
      </c>
      <c r="Q202" s="232">
        <f>'Field Log (16)'!$C210</f>
        <v>0</v>
      </c>
      <c r="R202" s="232">
        <f>'Field Log (17)'!$C210</f>
        <v>0</v>
      </c>
      <c r="S202" s="232">
        <f>'Field Log (18)'!$C210</f>
        <v>0</v>
      </c>
      <c r="T202" s="232">
        <f>'Field Log (19)'!$C210</f>
        <v>0</v>
      </c>
      <c r="U202" s="232">
        <f>'Field Log (20)'!$C210</f>
        <v>0</v>
      </c>
      <c r="V202" s="232">
        <f>'Field Log (21)'!$C210</f>
        <v>0</v>
      </c>
      <c r="W202" s="232">
        <f>'Field Log (22)'!$C210</f>
        <v>0</v>
      </c>
      <c r="X202" s="232">
        <f>'Field Log (23)'!$C210</f>
        <v>0</v>
      </c>
      <c r="Y202" s="232">
        <f>'Field Log (24)'!$C210</f>
        <v>0</v>
      </c>
      <c r="Z202" s="232">
        <f>'Field Log (25)'!$C210</f>
        <v>0</v>
      </c>
      <c r="AA202" s="232">
        <f>'Field Log (26)'!$C210</f>
        <v>0</v>
      </c>
      <c r="AB202" s="232">
        <f>'Field Log (27)'!$C210</f>
        <v>0</v>
      </c>
      <c r="AC202" s="232">
        <f>'Field Log (28)'!$C210</f>
        <v>0</v>
      </c>
      <c r="AD202" s="232">
        <f>'Field Log (29)'!$C210</f>
        <v>0</v>
      </c>
      <c r="AE202" s="232">
        <f>'Field Log (30)'!$C210</f>
        <v>0</v>
      </c>
      <c r="AF202" s="232">
        <f>'Field Log (31)'!$C210</f>
        <v>0</v>
      </c>
      <c r="AG202" s="232">
        <f>'Field Log (32)'!$C210</f>
        <v>0</v>
      </c>
      <c r="AH202" s="232">
        <f>'Field Log (33)'!$C210</f>
        <v>0</v>
      </c>
      <c r="AI202" s="232">
        <f>'Field Log (34)'!$C210</f>
        <v>0</v>
      </c>
      <c r="AJ202" s="232">
        <f>'Field Log (35)'!$C210</f>
        <v>0</v>
      </c>
    </row>
    <row r="203" spans="2:36">
      <c r="B203" s="232">
        <f>'Field Log (1)'!C211</f>
        <v>0</v>
      </c>
      <c r="C203" s="232">
        <f>'Field Log (2)'!C211</f>
        <v>0</v>
      </c>
      <c r="D203" s="232">
        <f>'Field Log (3)'!C211</f>
        <v>0</v>
      </c>
      <c r="E203" s="232">
        <f>'Field Log (4)'!C211</f>
        <v>0</v>
      </c>
      <c r="F203" s="232">
        <f>'Field Log (5)'!C211</f>
        <v>0</v>
      </c>
      <c r="G203" s="232">
        <f>'Field Log (6)'!C211</f>
        <v>0</v>
      </c>
      <c r="H203" s="232">
        <f>'Field Log (7)'!C211</f>
        <v>0</v>
      </c>
      <c r="I203" s="232">
        <f>'Field Log (8)'!C211</f>
        <v>0</v>
      </c>
      <c r="J203" s="232">
        <f>'Field Log (9)'!C211</f>
        <v>0</v>
      </c>
      <c r="K203" s="232">
        <f>'Field Log (10)'!C211</f>
        <v>0</v>
      </c>
      <c r="L203" s="232">
        <f>'Field Log (11)'!C211</f>
        <v>0</v>
      </c>
      <c r="M203" s="232">
        <f>'Field Log (12)'!C211</f>
        <v>0</v>
      </c>
      <c r="N203" s="232">
        <f>'Field Log (13)'!C211</f>
        <v>0</v>
      </c>
      <c r="O203" s="232">
        <f>'Field Log (14)'!C211</f>
        <v>0</v>
      </c>
      <c r="P203" s="232">
        <f>'Field Log (15)'!$C211</f>
        <v>0</v>
      </c>
      <c r="Q203" s="232">
        <f>'Field Log (16)'!$C211</f>
        <v>0</v>
      </c>
      <c r="R203" s="232">
        <f>'Field Log (17)'!$C211</f>
        <v>0</v>
      </c>
      <c r="S203" s="232">
        <f>'Field Log (18)'!$C211</f>
        <v>0</v>
      </c>
      <c r="T203" s="232">
        <f>'Field Log (19)'!$C211</f>
        <v>0</v>
      </c>
      <c r="U203" s="232">
        <f>'Field Log (20)'!$C211</f>
        <v>0</v>
      </c>
      <c r="V203" s="232">
        <f>'Field Log (21)'!$C211</f>
        <v>0</v>
      </c>
      <c r="W203" s="232">
        <f>'Field Log (22)'!$C211</f>
        <v>0</v>
      </c>
      <c r="X203" s="232">
        <f>'Field Log (23)'!$C211</f>
        <v>0</v>
      </c>
      <c r="Y203" s="232">
        <f>'Field Log (24)'!$C211</f>
        <v>0</v>
      </c>
      <c r="Z203" s="232">
        <f>'Field Log (25)'!$C211</f>
        <v>0</v>
      </c>
      <c r="AA203" s="232">
        <f>'Field Log (26)'!$C211</f>
        <v>0</v>
      </c>
      <c r="AB203" s="232">
        <f>'Field Log (27)'!$C211</f>
        <v>0</v>
      </c>
      <c r="AC203" s="232">
        <f>'Field Log (28)'!$C211</f>
        <v>0</v>
      </c>
      <c r="AD203" s="232">
        <f>'Field Log (29)'!$C211</f>
        <v>0</v>
      </c>
      <c r="AE203" s="232">
        <f>'Field Log (30)'!$C211</f>
        <v>0</v>
      </c>
      <c r="AF203" s="232">
        <f>'Field Log (31)'!$C211</f>
        <v>0</v>
      </c>
      <c r="AG203" s="232">
        <f>'Field Log (32)'!$C211</f>
        <v>0</v>
      </c>
      <c r="AH203" s="232">
        <f>'Field Log (33)'!$C211</f>
        <v>0</v>
      </c>
      <c r="AI203" s="232">
        <f>'Field Log (34)'!$C211</f>
        <v>0</v>
      </c>
      <c r="AJ203" s="232">
        <f>'Field Log (35)'!$C211</f>
        <v>0</v>
      </c>
    </row>
    <row r="204" spans="2:36">
      <c r="B204" s="232">
        <f>'Field Log (1)'!C212</f>
        <v>0</v>
      </c>
      <c r="C204" s="232">
        <f>'Field Log (2)'!C212</f>
        <v>0</v>
      </c>
      <c r="D204" s="232">
        <f>'Field Log (3)'!C212</f>
        <v>0</v>
      </c>
      <c r="E204" s="232">
        <f>'Field Log (4)'!C212</f>
        <v>0</v>
      </c>
      <c r="F204" s="232">
        <f>'Field Log (5)'!C212</f>
        <v>0</v>
      </c>
      <c r="G204" s="232">
        <f>'Field Log (6)'!C212</f>
        <v>0</v>
      </c>
      <c r="H204" s="232">
        <f>'Field Log (7)'!C212</f>
        <v>0</v>
      </c>
      <c r="I204" s="232">
        <f>'Field Log (8)'!C212</f>
        <v>0</v>
      </c>
      <c r="J204" s="232">
        <f>'Field Log (9)'!C212</f>
        <v>0</v>
      </c>
      <c r="K204" s="232">
        <f>'Field Log (10)'!C212</f>
        <v>0</v>
      </c>
      <c r="L204" s="232">
        <f>'Field Log (11)'!C212</f>
        <v>0</v>
      </c>
      <c r="M204" s="232">
        <f>'Field Log (12)'!C212</f>
        <v>0</v>
      </c>
      <c r="N204" s="232">
        <f>'Field Log (13)'!C212</f>
        <v>0</v>
      </c>
      <c r="O204" s="232">
        <f>'Field Log (14)'!C212</f>
        <v>0</v>
      </c>
      <c r="P204" s="232">
        <f>'Field Log (15)'!$C212</f>
        <v>0</v>
      </c>
      <c r="Q204" s="232">
        <f>'Field Log (16)'!$C212</f>
        <v>0</v>
      </c>
      <c r="R204" s="232">
        <f>'Field Log (17)'!$C212</f>
        <v>0</v>
      </c>
      <c r="S204" s="232">
        <f>'Field Log (18)'!$C212</f>
        <v>0</v>
      </c>
      <c r="T204" s="232">
        <f>'Field Log (19)'!$C212</f>
        <v>0</v>
      </c>
      <c r="U204" s="232">
        <f>'Field Log (20)'!$C212</f>
        <v>0</v>
      </c>
      <c r="V204" s="232">
        <f>'Field Log (21)'!$C212</f>
        <v>0</v>
      </c>
      <c r="W204" s="232">
        <f>'Field Log (22)'!$C212</f>
        <v>0</v>
      </c>
      <c r="X204" s="232">
        <f>'Field Log (23)'!$C212</f>
        <v>0</v>
      </c>
      <c r="Y204" s="232">
        <f>'Field Log (24)'!$C212</f>
        <v>0</v>
      </c>
      <c r="Z204" s="232">
        <f>'Field Log (25)'!$C212</f>
        <v>0</v>
      </c>
      <c r="AA204" s="232">
        <f>'Field Log (26)'!$C212</f>
        <v>0</v>
      </c>
      <c r="AB204" s="232">
        <f>'Field Log (27)'!$C212</f>
        <v>0</v>
      </c>
      <c r="AC204" s="232">
        <f>'Field Log (28)'!$C212</f>
        <v>0</v>
      </c>
      <c r="AD204" s="232">
        <f>'Field Log (29)'!$C212</f>
        <v>0</v>
      </c>
      <c r="AE204" s="232">
        <f>'Field Log (30)'!$C212</f>
        <v>0</v>
      </c>
      <c r="AF204" s="232">
        <f>'Field Log (31)'!$C212</f>
        <v>0</v>
      </c>
      <c r="AG204" s="232">
        <f>'Field Log (32)'!$C212</f>
        <v>0</v>
      </c>
      <c r="AH204" s="232">
        <f>'Field Log (33)'!$C212</f>
        <v>0</v>
      </c>
      <c r="AI204" s="232">
        <f>'Field Log (34)'!$C212</f>
        <v>0</v>
      </c>
      <c r="AJ204" s="232">
        <f>'Field Log (35)'!$C212</f>
        <v>0</v>
      </c>
    </row>
    <row r="205" spans="2:36">
      <c r="B205" s="232">
        <f>'Field Log (1)'!C213</f>
        <v>0</v>
      </c>
      <c r="C205" s="232">
        <f>'Field Log (2)'!C213</f>
        <v>0</v>
      </c>
      <c r="D205" s="232">
        <f>'Field Log (3)'!C213</f>
        <v>0</v>
      </c>
      <c r="E205" s="232">
        <f>'Field Log (4)'!C213</f>
        <v>0</v>
      </c>
      <c r="F205" s="232">
        <f>'Field Log (5)'!C213</f>
        <v>0</v>
      </c>
      <c r="G205" s="232">
        <f>'Field Log (6)'!C213</f>
        <v>0</v>
      </c>
      <c r="H205" s="232">
        <f>'Field Log (7)'!C213</f>
        <v>0</v>
      </c>
      <c r="I205" s="232">
        <f>'Field Log (8)'!C213</f>
        <v>0</v>
      </c>
      <c r="J205" s="232">
        <f>'Field Log (9)'!C213</f>
        <v>0</v>
      </c>
      <c r="K205" s="232">
        <f>'Field Log (10)'!C213</f>
        <v>0</v>
      </c>
      <c r="L205" s="232">
        <f>'Field Log (11)'!C213</f>
        <v>0</v>
      </c>
      <c r="M205" s="232">
        <f>'Field Log (12)'!C213</f>
        <v>0</v>
      </c>
      <c r="N205" s="232">
        <f>'Field Log (13)'!C213</f>
        <v>0</v>
      </c>
      <c r="O205" s="232">
        <f>'Field Log (14)'!C213</f>
        <v>0</v>
      </c>
      <c r="P205" s="232">
        <f>'Field Log (15)'!$C213</f>
        <v>0</v>
      </c>
      <c r="Q205" s="232">
        <f>'Field Log (16)'!$C213</f>
        <v>0</v>
      </c>
      <c r="R205" s="232">
        <f>'Field Log (17)'!$C213</f>
        <v>0</v>
      </c>
      <c r="S205" s="232">
        <f>'Field Log (18)'!$C213</f>
        <v>0</v>
      </c>
      <c r="T205" s="232">
        <f>'Field Log (19)'!$C213</f>
        <v>0</v>
      </c>
      <c r="U205" s="232">
        <f>'Field Log (20)'!$C213</f>
        <v>0</v>
      </c>
      <c r="V205" s="232">
        <f>'Field Log (21)'!$C213</f>
        <v>0</v>
      </c>
      <c r="W205" s="232">
        <f>'Field Log (22)'!$C213</f>
        <v>0</v>
      </c>
      <c r="X205" s="232">
        <f>'Field Log (23)'!$C213</f>
        <v>0</v>
      </c>
      <c r="Y205" s="232">
        <f>'Field Log (24)'!$C213</f>
        <v>0</v>
      </c>
      <c r="Z205" s="232">
        <f>'Field Log (25)'!$C213</f>
        <v>0</v>
      </c>
      <c r="AA205" s="232">
        <f>'Field Log (26)'!$C213</f>
        <v>0</v>
      </c>
      <c r="AB205" s="232">
        <f>'Field Log (27)'!$C213</f>
        <v>0</v>
      </c>
      <c r="AC205" s="232">
        <f>'Field Log (28)'!$C213</f>
        <v>0</v>
      </c>
      <c r="AD205" s="232">
        <f>'Field Log (29)'!$C213</f>
        <v>0</v>
      </c>
      <c r="AE205" s="232">
        <f>'Field Log (30)'!$C213</f>
        <v>0</v>
      </c>
      <c r="AF205" s="232">
        <f>'Field Log (31)'!$C213</f>
        <v>0</v>
      </c>
      <c r="AG205" s="232">
        <f>'Field Log (32)'!$C213</f>
        <v>0</v>
      </c>
      <c r="AH205" s="232">
        <f>'Field Log (33)'!$C213</f>
        <v>0</v>
      </c>
      <c r="AI205" s="232">
        <f>'Field Log (34)'!$C213</f>
        <v>0</v>
      </c>
      <c r="AJ205" s="232">
        <f>'Field Log (35)'!$C213</f>
        <v>0</v>
      </c>
    </row>
    <row r="206" spans="2:36">
      <c r="B206" s="232">
        <f>'Field Log (1)'!C214</f>
        <v>0</v>
      </c>
      <c r="C206" s="232">
        <f>'Field Log (2)'!C214</f>
        <v>0</v>
      </c>
      <c r="D206" s="232">
        <f>'Field Log (3)'!C214</f>
        <v>0</v>
      </c>
      <c r="E206" s="232">
        <f>'Field Log (4)'!C214</f>
        <v>0</v>
      </c>
      <c r="F206" s="232">
        <f>'Field Log (5)'!C214</f>
        <v>0</v>
      </c>
      <c r="G206" s="232">
        <f>'Field Log (6)'!C214</f>
        <v>0</v>
      </c>
      <c r="H206" s="232">
        <f>'Field Log (7)'!C214</f>
        <v>0</v>
      </c>
      <c r="I206" s="232">
        <f>'Field Log (8)'!C214</f>
        <v>0</v>
      </c>
      <c r="J206" s="232">
        <f>'Field Log (9)'!C214</f>
        <v>0</v>
      </c>
      <c r="K206" s="232">
        <f>'Field Log (10)'!C214</f>
        <v>0</v>
      </c>
      <c r="L206" s="232">
        <f>'Field Log (11)'!C214</f>
        <v>0</v>
      </c>
      <c r="M206" s="232">
        <f>'Field Log (12)'!C214</f>
        <v>0</v>
      </c>
      <c r="N206" s="232">
        <f>'Field Log (13)'!C214</f>
        <v>0</v>
      </c>
      <c r="O206" s="232">
        <f>'Field Log (14)'!C214</f>
        <v>0</v>
      </c>
      <c r="P206" s="232">
        <f>'Field Log (15)'!$C214</f>
        <v>0</v>
      </c>
      <c r="Q206" s="232">
        <f>'Field Log (16)'!$C214</f>
        <v>0</v>
      </c>
      <c r="R206" s="232">
        <f>'Field Log (17)'!$C214</f>
        <v>0</v>
      </c>
      <c r="S206" s="232">
        <f>'Field Log (18)'!$C214</f>
        <v>0</v>
      </c>
      <c r="T206" s="232">
        <f>'Field Log (19)'!$C214</f>
        <v>0</v>
      </c>
      <c r="U206" s="232">
        <f>'Field Log (20)'!$C214</f>
        <v>0</v>
      </c>
      <c r="V206" s="232">
        <f>'Field Log (21)'!$C214</f>
        <v>0</v>
      </c>
      <c r="W206" s="232">
        <f>'Field Log (22)'!$C214</f>
        <v>0</v>
      </c>
      <c r="X206" s="232">
        <f>'Field Log (23)'!$C214</f>
        <v>0</v>
      </c>
      <c r="Y206" s="232">
        <f>'Field Log (24)'!$C214</f>
        <v>0</v>
      </c>
      <c r="Z206" s="232">
        <f>'Field Log (25)'!$C214</f>
        <v>0</v>
      </c>
      <c r="AA206" s="232">
        <f>'Field Log (26)'!$C214</f>
        <v>0</v>
      </c>
      <c r="AB206" s="232">
        <f>'Field Log (27)'!$C214</f>
        <v>0</v>
      </c>
      <c r="AC206" s="232">
        <f>'Field Log (28)'!$C214</f>
        <v>0</v>
      </c>
      <c r="AD206" s="232">
        <f>'Field Log (29)'!$C214</f>
        <v>0</v>
      </c>
      <c r="AE206" s="232">
        <f>'Field Log (30)'!$C214</f>
        <v>0</v>
      </c>
      <c r="AF206" s="232">
        <f>'Field Log (31)'!$C214</f>
        <v>0</v>
      </c>
      <c r="AG206" s="232">
        <f>'Field Log (32)'!$C214</f>
        <v>0</v>
      </c>
      <c r="AH206" s="232">
        <f>'Field Log (33)'!$C214</f>
        <v>0</v>
      </c>
      <c r="AI206" s="232">
        <f>'Field Log (34)'!$C214</f>
        <v>0</v>
      </c>
      <c r="AJ206" s="232">
        <f>'Field Log (35)'!$C214</f>
        <v>0</v>
      </c>
    </row>
    <row r="207" spans="2:36">
      <c r="B207" s="232">
        <f>'Field Log (1)'!C215</f>
        <v>0</v>
      </c>
      <c r="C207" s="232">
        <f>'Field Log (2)'!C215</f>
        <v>0</v>
      </c>
      <c r="D207" s="232">
        <f>'Field Log (3)'!C215</f>
        <v>0</v>
      </c>
      <c r="E207" s="232">
        <f>'Field Log (4)'!C215</f>
        <v>0</v>
      </c>
      <c r="F207" s="232">
        <f>'Field Log (5)'!C215</f>
        <v>0</v>
      </c>
      <c r="G207" s="232">
        <f>'Field Log (6)'!C215</f>
        <v>0</v>
      </c>
      <c r="H207" s="232">
        <f>'Field Log (7)'!C215</f>
        <v>0</v>
      </c>
      <c r="I207" s="232">
        <f>'Field Log (8)'!C215</f>
        <v>0</v>
      </c>
      <c r="J207" s="232">
        <f>'Field Log (9)'!C215</f>
        <v>0</v>
      </c>
      <c r="K207" s="232">
        <f>'Field Log (10)'!C215</f>
        <v>0</v>
      </c>
      <c r="L207" s="232">
        <f>'Field Log (11)'!C215</f>
        <v>0</v>
      </c>
      <c r="M207" s="232">
        <f>'Field Log (12)'!C215</f>
        <v>0</v>
      </c>
      <c r="N207" s="232">
        <f>'Field Log (13)'!C215</f>
        <v>0</v>
      </c>
      <c r="O207" s="232">
        <f>'Field Log (14)'!C215</f>
        <v>0</v>
      </c>
      <c r="P207" s="232">
        <f>'Field Log (15)'!$C215</f>
        <v>0</v>
      </c>
      <c r="Q207" s="232">
        <f>'Field Log (16)'!$C215</f>
        <v>0</v>
      </c>
      <c r="R207" s="232">
        <f>'Field Log (17)'!$C215</f>
        <v>0</v>
      </c>
      <c r="S207" s="232">
        <f>'Field Log (18)'!$C215</f>
        <v>0</v>
      </c>
      <c r="T207" s="232">
        <f>'Field Log (19)'!$C215</f>
        <v>0</v>
      </c>
      <c r="U207" s="232">
        <f>'Field Log (20)'!$C215</f>
        <v>0</v>
      </c>
      <c r="V207" s="232">
        <f>'Field Log (21)'!$C215</f>
        <v>0</v>
      </c>
      <c r="W207" s="232">
        <f>'Field Log (22)'!$C215</f>
        <v>0</v>
      </c>
      <c r="X207" s="232">
        <f>'Field Log (23)'!$C215</f>
        <v>0</v>
      </c>
      <c r="Y207" s="232">
        <f>'Field Log (24)'!$C215</f>
        <v>0</v>
      </c>
      <c r="Z207" s="232">
        <f>'Field Log (25)'!$C215</f>
        <v>0</v>
      </c>
      <c r="AA207" s="232">
        <f>'Field Log (26)'!$C215</f>
        <v>0</v>
      </c>
      <c r="AB207" s="232">
        <f>'Field Log (27)'!$C215</f>
        <v>0</v>
      </c>
      <c r="AC207" s="232">
        <f>'Field Log (28)'!$C215</f>
        <v>0</v>
      </c>
      <c r="AD207" s="232">
        <f>'Field Log (29)'!$C215</f>
        <v>0</v>
      </c>
      <c r="AE207" s="232">
        <f>'Field Log (30)'!$C215</f>
        <v>0</v>
      </c>
      <c r="AF207" s="232">
        <f>'Field Log (31)'!$C215</f>
        <v>0</v>
      </c>
      <c r="AG207" s="232">
        <f>'Field Log (32)'!$C215</f>
        <v>0</v>
      </c>
      <c r="AH207" s="232">
        <f>'Field Log (33)'!$C215</f>
        <v>0</v>
      </c>
      <c r="AI207" s="232">
        <f>'Field Log (34)'!$C215</f>
        <v>0</v>
      </c>
      <c r="AJ207" s="232">
        <f>'Field Log (35)'!$C215</f>
        <v>0</v>
      </c>
    </row>
    <row r="208" spans="2:36">
      <c r="B208" s="232"/>
      <c r="C208" s="232"/>
      <c r="D208" s="232"/>
      <c r="E208" s="232"/>
      <c r="F208" s="232"/>
      <c r="G208" s="232"/>
      <c r="H208" s="232"/>
      <c r="I208" s="232"/>
      <c r="J208" s="232"/>
      <c r="K208" s="232"/>
      <c r="L208" s="232"/>
      <c r="M208" s="232"/>
      <c r="N208" s="232"/>
      <c r="O208" s="232"/>
      <c r="P208" s="232"/>
      <c r="Q208" s="232"/>
      <c r="R208" s="232"/>
      <c r="S208" s="232"/>
      <c r="T208" s="232"/>
      <c r="U208" s="232"/>
      <c r="V208" s="232"/>
      <c r="W208" s="232"/>
      <c r="X208" s="232"/>
      <c r="Y208" s="232"/>
      <c r="Z208" s="232"/>
      <c r="AA208" s="232"/>
      <c r="AB208" s="232"/>
      <c r="AC208" s="232"/>
      <c r="AD208" s="232"/>
      <c r="AE208" s="232"/>
      <c r="AF208" s="232"/>
      <c r="AG208" s="232"/>
      <c r="AH208" s="232"/>
      <c r="AI208" s="232"/>
      <c r="AJ208" s="232"/>
    </row>
    <row r="209" spans="2:36">
      <c r="B209" s="232"/>
      <c r="C209" s="232"/>
      <c r="D209" s="232"/>
      <c r="E209" s="232"/>
      <c r="F209" s="232"/>
      <c r="G209" s="232"/>
      <c r="H209" s="232"/>
      <c r="I209" s="232"/>
      <c r="J209" s="232"/>
      <c r="K209" s="232"/>
      <c r="L209" s="232"/>
      <c r="M209" s="232"/>
      <c r="N209" s="232"/>
      <c r="O209" s="232"/>
      <c r="P209" s="232"/>
      <c r="Q209" s="232"/>
      <c r="R209" s="232"/>
      <c r="S209" s="232"/>
      <c r="T209" s="232"/>
      <c r="U209" s="232"/>
      <c r="V209" s="232"/>
      <c r="W209" s="232"/>
      <c r="X209" s="232"/>
      <c r="Y209" s="232"/>
      <c r="Z209" s="232"/>
      <c r="AA209" s="232"/>
      <c r="AB209" s="232"/>
      <c r="AC209" s="232"/>
      <c r="AD209" s="232"/>
      <c r="AE209" s="232"/>
      <c r="AF209" s="232"/>
      <c r="AG209" s="232"/>
      <c r="AH209" s="232"/>
      <c r="AI209" s="232"/>
      <c r="AJ209" s="232"/>
    </row>
    <row r="210" spans="2:36">
      <c r="B210" s="232"/>
      <c r="C210" s="232"/>
      <c r="D210" s="232"/>
      <c r="E210" s="232"/>
      <c r="F210" s="232"/>
      <c r="G210" s="232"/>
      <c r="H210" s="232"/>
      <c r="I210" s="232"/>
      <c r="J210" s="232"/>
      <c r="K210" s="232"/>
      <c r="L210" s="232"/>
      <c r="M210" s="232"/>
      <c r="N210" s="232"/>
      <c r="O210" s="232"/>
      <c r="P210" s="232"/>
      <c r="Q210" s="232"/>
      <c r="R210" s="232"/>
      <c r="S210" s="232"/>
      <c r="T210" s="232"/>
      <c r="U210" s="232"/>
      <c r="V210" s="232"/>
      <c r="W210" s="232"/>
      <c r="X210" s="232"/>
      <c r="Y210" s="232"/>
      <c r="Z210" s="232"/>
      <c r="AA210" s="232"/>
      <c r="AB210" s="232"/>
      <c r="AC210" s="232"/>
      <c r="AD210" s="232"/>
      <c r="AE210" s="232"/>
      <c r="AF210" s="232"/>
      <c r="AG210" s="232"/>
      <c r="AH210" s="232"/>
      <c r="AI210" s="232"/>
      <c r="AJ210" s="232"/>
    </row>
    <row r="211" spans="2:36">
      <c r="B211" s="232"/>
      <c r="C211" s="232"/>
      <c r="D211" s="232"/>
      <c r="E211" s="232"/>
      <c r="F211" s="232"/>
      <c r="G211" s="232"/>
      <c r="H211" s="232"/>
      <c r="I211" s="232"/>
      <c r="J211" s="232"/>
      <c r="K211" s="232"/>
      <c r="L211" s="232"/>
      <c r="M211" s="232"/>
      <c r="N211" s="232"/>
      <c r="O211" s="232"/>
      <c r="P211" s="232"/>
      <c r="Q211" s="232"/>
      <c r="R211" s="232"/>
      <c r="S211" s="232"/>
      <c r="T211" s="232"/>
      <c r="U211" s="232"/>
      <c r="V211" s="232"/>
      <c r="W211" s="232"/>
      <c r="X211" s="232"/>
      <c r="Y211" s="232"/>
      <c r="Z211" s="232"/>
      <c r="AA211" s="232"/>
      <c r="AB211" s="232"/>
      <c r="AC211" s="232"/>
      <c r="AD211" s="232"/>
      <c r="AE211" s="232"/>
      <c r="AF211" s="232"/>
      <c r="AG211" s="232"/>
      <c r="AH211" s="232"/>
      <c r="AI211" s="232"/>
      <c r="AJ211" s="232"/>
    </row>
    <row r="212" spans="2:36">
      <c r="B212" s="232"/>
      <c r="C212" s="232"/>
      <c r="D212" s="232"/>
      <c r="E212" s="232"/>
      <c r="F212" s="232"/>
      <c r="G212" s="232"/>
      <c r="H212" s="232"/>
      <c r="I212" s="232"/>
      <c r="J212" s="232"/>
      <c r="K212" s="232"/>
      <c r="L212" s="232"/>
      <c r="M212" s="232"/>
      <c r="N212" s="232"/>
      <c r="O212" s="232"/>
      <c r="P212" s="232"/>
      <c r="Q212" s="232"/>
      <c r="R212" s="232"/>
      <c r="S212" s="232"/>
      <c r="T212" s="232"/>
      <c r="U212" s="232"/>
      <c r="V212" s="232"/>
      <c r="W212" s="232"/>
      <c r="X212" s="232"/>
      <c r="Y212" s="232"/>
      <c r="Z212" s="232"/>
      <c r="AA212" s="232"/>
      <c r="AB212" s="232"/>
      <c r="AC212" s="232"/>
      <c r="AD212" s="232"/>
      <c r="AE212" s="232"/>
      <c r="AF212" s="232"/>
      <c r="AG212" s="232"/>
      <c r="AH212" s="232"/>
      <c r="AI212" s="232"/>
      <c r="AJ212" s="232"/>
    </row>
    <row r="213" spans="2:36">
      <c r="B213" s="232"/>
      <c r="C213" s="232"/>
      <c r="D213" s="232"/>
      <c r="E213" s="232"/>
      <c r="F213" s="232"/>
      <c r="G213" s="232"/>
      <c r="H213" s="232"/>
      <c r="I213" s="232"/>
      <c r="J213" s="232"/>
      <c r="K213" s="232"/>
      <c r="L213" s="232"/>
      <c r="M213" s="232"/>
      <c r="N213" s="232"/>
      <c r="O213" s="232"/>
      <c r="P213" s="232"/>
      <c r="Q213" s="232"/>
      <c r="R213" s="232"/>
      <c r="S213" s="232"/>
      <c r="T213" s="232"/>
      <c r="U213" s="232"/>
      <c r="V213" s="232"/>
      <c r="W213" s="232"/>
      <c r="X213" s="232"/>
      <c r="Y213" s="232"/>
      <c r="Z213" s="232"/>
      <c r="AA213" s="232"/>
      <c r="AB213" s="232"/>
      <c r="AC213" s="232"/>
      <c r="AD213" s="232"/>
      <c r="AE213" s="232"/>
      <c r="AF213" s="232"/>
      <c r="AG213" s="232"/>
      <c r="AH213" s="232"/>
      <c r="AI213" s="232"/>
      <c r="AJ213" s="232"/>
    </row>
    <row r="214" spans="2:36">
      <c r="B214" s="232"/>
      <c r="C214" s="232"/>
      <c r="D214" s="232"/>
      <c r="E214" s="232"/>
      <c r="F214" s="232"/>
      <c r="G214" s="232"/>
      <c r="H214" s="232"/>
      <c r="I214" s="232"/>
      <c r="J214" s="232"/>
      <c r="K214" s="232"/>
      <c r="L214" s="232"/>
      <c r="M214" s="232"/>
      <c r="N214" s="232"/>
      <c r="O214" s="232"/>
      <c r="P214" s="232"/>
      <c r="Q214" s="232"/>
      <c r="R214" s="232"/>
      <c r="S214" s="232"/>
      <c r="T214" s="232"/>
      <c r="U214" s="232"/>
      <c r="V214" s="232"/>
      <c r="W214" s="232"/>
      <c r="X214" s="232"/>
      <c r="Y214" s="232"/>
      <c r="Z214" s="232"/>
      <c r="AA214" s="232"/>
      <c r="AB214" s="232"/>
      <c r="AC214" s="232"/>
      <c r="AD214" s="232"/>
      <c r="AE214" s="232"/>
      <c r="AF214" s="232"/>
      <c r="AG214" s="232"/>
      <c r="AH214" s="232"/>
      <c r="AI214" s="232"/>
      <c r="AJ214" s="232"/>
    </row>
  </sheetData>
  <conditionalFormatting sqref="B3:AJ207">
    <cfRule type="duplicateValues" dxfId="13" priority="28"/>
  </conditionalFormatting>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C1232"/>
  <sheetViews>
    <sheetView workbookViewId="0">
      <selection activeCell="B1166" sqref="B1166"/>
    </sheetView>
  </sheetViews>
  <sheetFormatPr baseColWidth="10" defaultColWidth="11.5" defaultRowHeight="15"/>
  <cols>
    <col min="1" max="1" width="38.33203125" customWidth="1"/>
    <col min="2" max="2" width="70.5" style="56" customWidth="1"/>
  </cols>
  <sheetData>
    <row r="1" spans="1:2">
      <c r="A1">
        <v>0</v>
      </c>
      <c r="B1" s="56">
        <v>0</v>
      </c>
    </row>
    <row r="4" spans="1:2">
      <c r="A4" s="209">
        <v>0</v>
      </c>
      <c r="B4" s="210">
        <v>0</v>
      </c>
    </row>
    <row r="5" spans="1:2">
      <c r="A5" t="s">
        <v>1354</v>
      </c>
      <c r="B5" s="56" t="s">
        <v>142</v>
      </c>
    </row>
    <row r="6" spans="1:2">
      <c r="A6" t="s">
        <v>2671</v>
      </c>
      <c r="B6" s="56" t="s">
        <v>164</v>
      </c>
    </row>
    <row r="7" spans="1:2">
      <c r="A7" t="s">
        <v>972</v>
      </c>
      <c r="B7" s="56" t="s">
        <v>1032</v>
      </c>
    </row>
    <row r="8" spans="1:2">
      <c r="A8" t="s">
        <v>3359</v>
      </c>
      <c r="B8" s="56" t="s">
        <v>142</v>
      </c>
    </row>
    <row r="9" spans="1:2">
      <c r="A9" t="s">
        <v>1033</v>
      </c>
      <c r="B9" s="56" t="s">
        <v>164</v>
      </c>
    </row>
    <row r="10" spans="1:2">
      <c r="A10" t="s">
        <v>1355</v>
      </c>
      <c r="B10" s="56" t="s">
        <v>940</v>
      </c>
    </row>
    <row r="11" spans="1:2">
      <c r="A11" t="s">
        <v>4077</v>
      </c>
      <c r="B11" s="56" t="s">
        <v>164</v>
      </c>
    </row>
    <row r="12" spans="1:2">
      <c r="A12" t="s">
        <v>1034</v>
      </c>
      <c r="B12" s="56" t="s">
        <v>164</v>
      </c>
    </row>
    <row r="13" spans="1:2">
      <c r="A13" t="s">
        <v>3039</v>
      </c>
      <c r="B13" s="56" t="s">
        <v>164</v>
      </c>
    </row>
    <row r="14" spans="1:2">
      <c r="A14" t="s">
        <v>1356</v>
      </c>
      <c r="B14" s="56" t="s">
        <v>164</v>
      </c>
    </row>
    <row r="15" spans="1:2">
      <c r="A15" t="s">
        <v>1035</v>
      </c>
      <c r="B15" s="56" t="s">
        <v>183</v>
      </c>
    </row>
    <row r="16" spans="1:2">
      <c r="A16" t="s">
        <v>4084</v>
      </c>
      <c r="B16" s="56" t="s">
        <v>183</v>
      </c>
    </row>
    <row r="17" spans="1:2">
      <c r="A17" t="s">
        <v>2436</v>
      </c>
      <c r="B17" s="56" t="s">
        <v>164</v>
      </c>
    </row>
    <row r="18" spans="1:2">
      <c r="A18" t="s">
        <v>902</v>
      </c>
      <c r="B18" s="56" t="s">
        <v>142</v>
      </c>
    </row>
    <row r="19" spans="1:2">
      <c r="A19" t="s">
        <v>1036</v>
      </c>
      <c r="B19" s="56" t="s">
        <v>164</v>
      </c>
    </row>
    <row r="20" spans="1:2">
      <c r="A20" t="s">
        <v>709</v>
      </c>
      <c r="B20" s="56" t="s">
        <v>95</v>
      </c>
    </row>
    <row r="21" spans="1:2">
      <c r="A21" t="s">
        <v>2962</v>
      </c>
      <c r="B21" s="56" t="s">
        <v>142</v>
      </c>
    </row>
    <row r="22" spans="1:2">
      <c r="A22" t="s">
        <v>903</v>
      </c>
      <c r="B22" s="56" t="s">
        <v>164</v>
      </c>
    </row>
    <row r="23" spans="1:2">
      <c r="A23" t="s">
        <v>1037</v>
      </c>
      <c r="B23" s="56" t="s">
        <v>142</v>
      </c>
    </row>
    <row r="24" spans="1:2">
      <c r="A24" t="s">
        <v>1357</v>
      </c>
      <c r="B24" s="56" t="s">
        <v>164</v>
      </c>
    </row>
    <row r="25" spans="1:2">
      <c r="A25" t="s">
        <v>1787</v>
      </c>
      <c r="B25" s="56" t="s">
        <v>122</v>
      </c>
    </row>
    <row r="26" spans="1:2">
      <c r="A26" t="s">
        <v>1358</v>
      </c>
      <c r="B26" s="56" t="s">
        <v>148</v>
      </c>
    </row>
    <row r="27" spans="1:2">
      <c r="A27" t="s">
        <v>2195</v>
      </c>
      <c r="B27" s="56" t="s">
        <v>148</v>
      </c>
    </row>
    <row r="28" spans="1:2">
      <c r="A28" t="s">
        <v>1359</v>
      </c>
      <c r="B28" s="56" t="s">
        <v>183</v>
      </c>
    </row>
    <row r="29" spans="1:2">
      <c r="A29" t="s">
        <v>817</v>
      </c>
      <c r="B29" s="56" t="s">
        <v>164</v>
      </c>
    </row>
    <row r="30" spans="1:2">
      <c r="A30" t="s">
        <v>2783</v>
      </c>
      <c r="B30" s="56" t="s">
        <v>183</v>
      </c>
    </row>
    <row r="31" spans="1:2">
      <c r="A31" t="s">
        <v>3133</v>
      </c>
      <c r="B31" s="56" t="s">
        <v>164</v>
      </c>
    </row>
    <row r="32" spans="1:2">
      <c r="A32" t="s">
        <v>1360</v>
      </c>
      <c r="B32" s="56" t="s">
        <v>183</v>
      </c>
    </row>
    <row r="33" spans="1:2">
      <c r="A33" t="s">
        <v>1038</v>
      </c>
      <c r="B33" s="56" t="s">
        <v>4114</v>
      </c>
    </row>
    <row r="34" spans="1:2">
      <c r="A34" t="s">
        <v>2793</v>
      </c>
      <c r="B34" s="56" t="s">
        <v>183</v>
      </c>
    </row>
    <row r="35" spans="1:2">
      <c r="A35" t="s">
        <v>1768</v>
      </c>
      <c r="B35" s="56" t="s">
        <v>1032</v>
      </c>
    </row>
    <row r="36" spans="1:2">
      <c r="A36" t="s">
        <v>3626</v>
      </c>
      <c r="B36" s="64" t="s">
        <v>165</v>
      </c>
    </row>
    <row r="37" spans="1:2">
      <c r="A37" t="s">
        <v>2805</v>
      </c>
      <c r="B37" s="56" t="s">
        <v>164</v>
      </c>
    </row>
    <row r="38" spans="1:2">
      <c r="A38" t="s">
        <v>1361</v>
      </c>
      <c r="B38" s="56" t="s">
        <v>1078</v>
      </c>
    </row>
    <row r="39" spans="1:2">
      <c r="A39" t="s">
        <v>1362</v>
      </c>
      <c r="B39" s="56" t="s">
        <v>116</v>
      </c>
    </row>
    <row r="40" spans="1:2">
      <c r="A40" t="s">
        <v>770</v>
      </c>
      <c r="B40" s="56" t="s">
        <v>164</v>
      </c>
    </row>
    <row r="41" spans="1:2">
      <c r="A41" t="s">
        <v>792</v>
      </c>
      <c r="B41" s="56" t="s">
        <v>169</v>
      </c>
    </row>
    <row r="42" spans="1:2">
      <c r="A42" t="s">
        <v>3504</v>
      </c>
      <c r="B42" s="56" t="s">
        <v>164</v>
      </c>
    </row>
    <row r="43" spans="1:2">
      <c r="A43" t="s">
        <v>2693</v>
      </c>
      <c r="B43" s="56" t="s">
        <v>165</v>
      </c>
    </row>
    <row r="44" spans="1:2">
      <c r="A44" t="s">
        <v>3026</v>
      </c>
      <c r="B44" s="56" t="s">
        <v>148</v>
      </c>
    </row>
    <row r="45" spans="1:2">
      <c r="A45" t="s">
        <v>904</v>
      </c>
      <c r="B45" s="56" t="s">
        <v>113</v>
      </c>
    </row>
    <row r="46" spans="1:2">
      <c r="A46" t="s">
        <v>1363</v>
      </c>
      <c r="B46" s="56" t="s">
        <v>164</v>
      </c>
    </row>
    <row r="47" spans="1:2">
      <c r="A47" t="s">
        <v>1364</v>
      </c>
      <c r="B47" s="56" t="s">
        <v>1078</v>
      </c>
    </row>
    <row r="48" spans="1:2">
      <c r="A48" t="s">
        <v>3883</v>
      </c>
      <c r="B48" s="56" t="s">
        <v>1032</v>
      </c>
    </row>
    <row r="49" spans="1:2">
      <c r="A49" t="s">
        <v>2673</v>
      </c>
      <c r="B49" s="56" t="s">
        <v>164</v>
      </c>
    </row>
    <row r="50" spans="1:2">
      <c r="A50" t="s">
        <v>2205</v>
      </c>
      <c r="B50" s="56" t="s">
        <v>142</v>
      </c>
    </row>
    <row r="51" spans="1:2">
      <c r="A51" t="s">
        <v>1365</v>
      </c>
      <c r="B51" s="56" t="s">
        <v>153</v>
      </c>
    </row>
    <row r="52" spans="1:2">
      <c r="A52" t="s">
        <v>1366</v>
      </c>
      <c r="B52" s="56" t="s">
        <v>148</v>
      </c>
    </row>
    <row r="53" spans="1:2">
      <c r="A53" t="s">
        <v>3392</v>
      </c>
      <c r="B53" s="56" t="s">
        <v>148</v>
      </c>
    </row>
    <row r="54" spans="1:2">
      <c r="A54" t="s">
        <v>717</v>
      </c>
      <c r="B54" s="56" t="s">
        <v>107</v>
      </c>
    </row>
    <row r="55" spans="1:2">
      <c r="A55" t="s">
        <v>1367</v>
      </c>
      <c r="B55" s="56" t="s">
        <v>138</v>
      </c>
    </row>
    <row r="56" spans="1:2">
      <c r="A56" t="s">
        <v>1040</v>
      </c>
      <c r="B56" s="56" t="s">
        <v>153</v>
      </c>
    </row>
    <row r="57" spans="1:2">
      <c r="A57" t="s">
        <v>1039</v>
      </c>
      <c r="B57" s="56" t="s">
        <v>124</v>
      </c>
    </row>
    <row r="58" spans="1:2">
      <c r="A58" t="s">
        <v>2711</v>
      </c>
      <c r="B58" s="56" t="s">
        <v>142</v>
      </c>
    </row>
    <row r="59" spans="1:2">
      <c r="A59" t="s">
        <v>1041</v>
      </c>
      <c r="B59" s="56" t="s">
        <v>204</v>
      </c>
    </row>
    <row r="60" spans="1:2">
      <c r="A60" t="s">
        <v>1042</v>
      </c>
      <c r="B60" s="56" t="s">
        <v>205</v>
      </c>
    </row>
    <row r="61" spans="1:2">
      <c r="A61" t="s">
        <v>4053</v>
      </c>
      <c r="B61" s="56" t="s">
        <v>142</v>
      </c>
    </row>
    <row r="62" spans="1:2">
      <c r="A62" t="s">
        <v>901</v>
      </c>
      <c r="B62" s="56" t="s">
        <v>148</v>
      </c>
    </row>
    <row r="63" spans="1:2">
      <c r="A63" t="s">
        <v>1368</v>
      </c>
      <c r="B63" s="56" t="s">
        <v>148</v>
      </c>
    </row>
    <row r="64" spans="1:2">
      <c r="A64" t="s">
        <v>1369</v>
      </c>
      <c r="B64" s="56" t="s">
        <v>142</v>
      </c>
    </row>
    <row r="65" spans="1:2">
      <c r="A65" t="s">
        <v>1370</v>
      </c>
      <c r="B65" s="56" t="s">
        <v>1078</v>
      </c>
    </row>
    <row r="66" spans="1:2">
      <c r="A66" t="s">
        <v>638</v>
      </c>
      <c r="B66" s="56" t="s">
        <v>178</v>
      </c>
    </row>
    <row r="67" spans="1:2">
      <c r="A67" t="s">
        <v>2267</v>
      </c>
      <c r="B67" s="56" t="s">
        <v>142</v>
      </c>
    </row>
    <row r="68" spans="1:2">
      <c r="A68" t="s">
        <v>2150</v>
      </c>
      <c r="B68" s="56" t="s">
        <v>1032</v>
      </c>
    </row>
    <row r="69" spans="1:2">
      <c r="A69" t="s">
        <v>1043</v>
      </c>
      <c r="B69" s="56" t="s">
        <v>940</v>
      </c>
    </row>
    <row r="70" spans="1:2">
      <c r="A70" t="s">
        <v>1371</v>
      </c>
      <c r="B70" s="56" t="s">
        <v>164</v>
      </c>
    </row>
    <row r="71" spans="1:2">
      <c r="A71" t="s">
        <v>1372</v>
      </c>
      <c r="B71" s="56" t="s">
        <v>183</v>
      </c>
    </row>
    <row r="72" spans="1:2">
      <c r="A72" t="s">
        <v>718</v>
      </c>
      <c r="B72" s="56" t="s">
        <v>141</v>
      </c>
    </row>
    <row r="73" spans="1:2">
      <c r="A73" t="s">
        <v>1044</v>
      </c>
      <c r="B73" s="56" t="s">
        <v>183</v>
      </c>
    </row>
    <row r="74" spans="1:2">
      <c r="A74" t="s">
        <v>2959</v>
      </c>
      <c r="B74" s="56" t="s">
        <v>1032</v>
      </c>
    </row>
    <row r="75" spans="1:2">
      <c r="A75" t="s">
        <v>3498</v>
      </c>
      <c r="B75" s="56" t="s">
        <v>142</v>
      </c>
    </row>
    <row r="76" spans="1:2">
      <c r="A76" t="s">
        <v>1373</v>
      </c>
      <c r="B76" s="56" t="s">
        <v>142</v>
      </c>
    </row>
    <row r="77" spans="1:2">
      <c r="A77" t="s">
        <v>1045</v>
      </c>
      <c r="B77" s="56" t="s">
        <v>183</v>
      </c>
    </row>
    <row r="78" spans="1:2">
      <c r="A78" t="s">
        <v>2987</v>
      </c>
      <c r="B78" s="211" t="s">
        <v>205</v>
      </c>
    </row>
    <row r="79" spans="1:2">
      <c r="A79" t="s">
        <v>719</v>
      </c>
      <c r="B79" s="211" t="s">
        <v>205</v>
      </c>
    </row>
    <row r="80" spans="1:2">
      <c r="A80" t="s">
        <v>1374</v>
      </c>
      <c r="B80" s="211" t="s">
        <v>142</v>
      </c>
    </row>
    <row r="81" spans="1:2">
      <c r="A81" t="s">
        <v>3342</v>
      </c>
      <c r="B81" s="211" t="s">
        <v>164</v>
      </c>
    </row>
    <row r="82" spans="1:2">
      <c r="A82" t="s">
        <v>1046</v>
      </c>
      <c r="B82" s="211" t="s">
        <v>183</v>
      </c>
    </row>
    <row r="83" spans="1:2">
      <c r="A83" t="s">
        <v>1047</v>
      </c>
      <c r="B83" s="211" t="s">
        <v>142</v>
      </c>
    </row>
    <row r="84" spans="1:2">
      <c r="A84" t="s">
        <v>1048</v>
      </c>
      <c r="B84" s="211" t="s">
        <v>142</v>
      </c>
    </row>
    <row r="85" spans="1:2">
      <c r="A85" t="s">
        <v>3613</v>
      </c>
      <c r="B85" s="211" t="s">
        <v>142</v>
      </c>
    </row>
    <row r="86" spans="1:2">
      <c r="A86" t="s">
        <v>3024</v>
      </c>
      <c r="B86" s="211" t="s">
        <v>142</v>
      </c>
    </row>
    <row r="87" spans="1:2">
      <c r="A87" t="s">
        <v>1375</v>
      </c>
      <c r="B87" s="211" t="s">
        <v>164</v>
      </c>
    </row>
    <row r="88" spans="1:2">
      <c r="A88" t="s">
        <v>2685</v>
      </c>
      <c r="B88" s="56" t="s">
        <v>176</v>
      </c>
    </row>
    <row r="89" spans="1:2">
      <c r="A89" t="s">
        <v>2698</v>
      </c>
      <c r="B89" s="56" t="s">
        <v>178</v>
      </c>
    </row>
    <row r="90" spans="1:2">
      <c r="A90" t="s">
        <v>1376</v>
      </c>
      <c r="B90" s="211" t="s">
        <v>183</v>
      </c>
    </row>
    <row r="91" spans="1:2" ht="14" customHeight="1">
      <c r="A91" t="s">
        <v>720</v>
      </c>
      <c r="B91" s="56" t="s">
        <v>142</v>
      </c>
    </row>
    <row r="92" spans="1:2" ht="14" customHeight="1">
      <c r="A92" t="s">
        <v>1049</v>
      </c>
      <c r="B92" s="56" t="s">
        <v>142</v>
      </c>
    </row>
    <row r="93" spans="1:2" ht="14" customHeight="1">
      <c r="A93" t="s">
        <v>3236</v>
      </c>
      <c r="B93" s="211" t="s">
        <v>183</v>
      </c>
    </row>
    <row r="94" spans="1:2" ht="14" customHeight="1">
      <c r="A94" t="s">
        <v>3483</v>
      </c>
      <c r="B94" s="56" t="s">
        <v>142</v>
      </c>
    </row>
    <row r="95" spans="1:2" ht="14" customHeight="1">
      <c r="A95" t="s">
        <v>2244</v>
      </c>
      <c r="B95" s="56" t="s">
        <v>138</v>
      </c>
    </row>
    <row r="96" spans="1:2" ht="14" customHeight="1">
      <c r="A96" t="s">
        <v>1050</v>
      </c>
      <c r="B96" s="56" t="s">
        <v>164</v>
      </c>
    </row>
    <row r="97" spans="1:2" ht="14" customHeight="1">
      <c r="A97" t="s">
        <v>3341</v>
      </c>
      <c r="B97" s="56" t="s">
        <v>142</v>
      </c>
    </row>
    <row r="98" spans="1:2" ht="14" customHeight="1">
      <c r="A98" t="s">
        <v>3474</v>
      </c>
      <c r="B98" s="56" t="s">
        <v>164</v>
      </c>
    </row>
    <row r="99" spans="1:2" ht="14" customHeight="1">
      <c r="A99" t="s">
        <v>1621</v>
      </c>
      <c r="B99" s="56" t="s">
        <v>167</v>
      </c>
    </row>
    <row r="100" spans="1:2" ht="14" customHeight="1">
      <c r="A100" t="s">
        <v>3938</v>
      </c>
      <c r="B100" s="56" t="s">
        <v>146</v>
      </c>
    </row>
    <row r="101" spans="1:2" ht="14" customHeight="1">
      <c r="A101" t="s">
        <v>1051</v>
      </c>
      <c r="B101" s="56" t="s">
        <v>183</v>
      </c>
    </row>
    <row r="102" spans="1:2" ht="14" customHeight="1">
      <c r="A102" t="s">
        <v>1052</v>
      </c>
      <c r="B102" s="56" t="s">
        <v>164</v>
      </c>
    </row>
    <row r="103" spans="1:2" ht="14" customHeight="1">
      <c r="A103" t="s">
        <v>905</v>
      </c>
      <c r="B103" s="56" t="s">
        <v>205</v>
      </c>
    </row>
    <row r="104" spans="1:2" ht="14" customHeight="1">
      <c r="A104" t="s">
        <v>2942</v>
      </c>
      <c r="B104" s="56" t="s">
        <v>142</v>
      </c>
    </row>
    <row r="105" spans="1:2" ht="14" customHeight="1">
      <c r="A105" t="s">
        <v>2842</v>
      </c>
      <c r="B105" s="56" t="s">
        <v>183</v>
      </c>
    </row>
    <row r="106" spans="1:2" ht="14" customHeight="1">
      <c r="A106" t="s">
        <v>2328</v>
      </c>
      <c r="B106" s="56" t="s">
        <v>1032</v>
      </c>
    </row>
    <row r="107" spans="1:2" ht="14" customHeight="1">
      <c r="A107" t="s">
        <v>1377</v>
      </c>
      <c r="B107" s="56" t="s">
        <v>142</v>
      </c>
    </row>
    <row r="108" spans="1:2" ht="14" customHeight="1">
      <c r="A108" t="s">
        <v>818</v>
      </c>
      <c r="B108" s="56" t="s">
        <v>142</v>
      </c>
    </row>
    <row r="109" spans="1:2" ht="14" customHeight="1">
      <c r="A109" t="s">
        <v>819</v>
      </c>
      <c r="B109" s="56" t="s">
        <v>142</v>
      </c>
    </row>
    <row r="110" spans="1:2" ht="14" customHeight="1">
      <c r="A110" t="s">
        <v>3477</v>
      </c>
      <c r="B110" s="56" t="s">
        <v>142</v>
      </c>
    </row>
    <row r="111" spans="1:2" ht="14" customHeight="1">
      <c r="A111" t="s">
        <v>1053</v>
      </c>
      <c r="B111" s="56" t="s">
        <v>142</v>
      </c>
    </row>
    <row r="112" spans="1:2" ht="14" customHeight="1">
      <c r="A112" t="s">
        <v>3398</v>
      </c>
      <c r="B112" s="56" t="s">
        <v>183</v>
      </c>
    </row>
    <row r="113" spans="1:2" ht="14" customHeight="1">
      <c r="A113" t="s">
        <v>1378</v>
      </c>
      <c r="B113" s="56" t="s">
        <v>205</v>
      </c>
    </row>
    <row r="114" spans="1:2" ht="14" customHeight="1">
      <c r="A114" t="s">
        <v>2646</v>
      </c>
      <c r="B114" s="56" t="s">
        <v>142</v>
      </c>
    </row>
    <row r="115" spans="1:2" ht="14" customHeight="1">
      <c r="A115" t="s">
        <v>2207</v>
      </c>
      <c r="B115" s="56" t="s">
        <v>204</v>
      </c>
    </row>
    <row r="116" spans="1:2" ht="14" customHeight="1">
      <c r="A116" t="s">
        <v>4154</v>
      </c>
      <c r="B116" s="56" t="s">
        <v>148</v>
      </c>
    </row>
    <row r="117" spans="1:2" ht="14" customHeight="1">
      <c r="A117" t="s">
        <v>3628</v>
      </c>
      <c r="B117" s="56" t="s">
        <v>148</v>
      </c>
    </row>
    <row r="118" spans="1:2" ht="14" customHeight="1">
      <c r="A118" t="s">
        <v>2706</v>
      </c>
      <c r="B118" s="56" t="s">
        <v>205</v>
      </c>
    </row>
    <row r="119" spans="1:2" ht="14" customHeight="1">
      <c r="A119" t="s">
        <v>1054</v>
      </c>
      <c r="B119" s="56" t="s">
        <v>142</v>
      </c>
    </row>
    <row r="120" spans="1:2" ht="14" customHeight="1">
      <c r="A120" t="s">
        <v>1055</v>
      </c>
      <c r="B120" s="56" t="s">
        <v>118</v>
      </c>
    </row>
    <row r="121" spans="1:2" ht="14" customHeight="1">
      <c r="A121" t="s">
        <v>906</v>
      </c>
      <c r="B121" s="56" t="s">
        <v>104</v>
      </c>
    </row>
    <row r="122" spans="1:2" ht="14" customHeight="1">
      <c r="A122" t="s">
        <v>1379</v>
      </c>
      <c r="B122" s="56" t="s">
        <v>183</v>
      </c>
    </row>
    <row r="123" spans="1:2" ht="14" customHeight="1">
      <c r="A123" t="s">
        <v>3151</v>
      </c>
      <c r="B123" s="56" t="s">
        <v>142</v>
      </c>
    </row>
    <row r="124" spans="1:2" ht="14" customHeight="1">
      <c r="A124" t="s">
        <v>1056</v>
      </c>
      <c r="B124" s="56" t="s">
        <v>183</v>
      </c>
    </row>
    <row r="125" spans="1:2" ht="14" customHeight="1">
      <c r="A125" t="s">
        <v>1732</v>
      </c>
      <c r="B125" s="56" t="s">
        <v>134</v>
      </c>
    </row>
    <row r="126" spans="1:2" ht="14" customHeight="1">
      <c r="A126" t="s">
        <v>782</v>
      </c>
      <c r="B126" s="56" t="s">
        <v>164</v>
      </c>
    </row>
    <row r="127" spans="1:2" ht="14" customHeight="1">
      <c r="A127" t="s">
        <v>1380</v>
      </c>
      <c r="B127" s="56" t="s">
        <v>142</v>
      </c>
    </row>
    <row r="128" spans="1:2" ht="14" customHeight="1">
      <c r="A128" t="s">
        <v>2977</v>
      </c>
      <c r="B128" s="56" t="s">
        <v>142</v>
      </c>
    </row>
    <row r="129" spans="1:3" ht="14" customHeight="1">
      <c r="A129" t="s">
        <v>1381</v>
      </c>
      <c r="B129" s="56" t="s">
        <v>1078</v>
      </c>
    </row>
    <row r="130" spans="1:3" ht="14" customHeight="1">
      <c r="A130" t="s">
        <v>4075</v>
      </c>
      <c r="B130" s="56" t="s">
        <v>205</v>
      </c>
    </row>
    <row r="131" spans="1:3" ht="14" customHeight="1">
      <c r="A131" t="s">
        <v>1057</v>
      </c>
      <c r="B131" s="56" t="s">
        <v>164</v>
      </c>
    </row>
    <row r="132" spans="1:3" ht="14" customHeight="1">
      <c r="A132" t="s">
        <v>3357</v>
      </c>
      <c r="B132" s="56" t="s">
        <v>200</v>
      </c>
    </row>
    <row r="133" spans="1:3" ht="14" customHeight="1">
      <c r="A133" t="s">
        <v>1058</v>
      </c>
      <c r="B133" s="56" t="s">
        <v>205</v>
      </c>
    </row>
    <row r="134" spans="1:3" ht="14" customHeight="1">
      <c r="A134" t="s">
        <v>1382</v>
      </c>
      <c r="B134" s="56" t="s">
        <v>205</v>
      </c>
    </row>
    <row r="135" spans="1:3" ht="14" customHeight="1">
      <c r="A135" t="s">
        <v>1383</v>
      </c>
      <c r="B135" s="56" t="s">
        <v>164</v>
      </c>
    </row>
    <row r="136" spans="1:3" ht="14" customHeight="1">
      <c r="A136" t="s">
        <v>1734</v>
      </c>
      <c r="B136" s="56" t="s">
        <v>1032</v>
      </c>
    </row>
    <row r="137" spans="1:3" ht="14" customHeight="1">
      <c r="A137" t="s">
        <v>2153</v>
      </c>
      <c r="B137" s="56" t="s">
        <v>169</v>
      </c>
      <c r="C137" t="s">
        <v>3980</v>
      </c>
    </row>
    <row r="138" spans="1:3" ht="14" customHeight="1">
      <c r="A138" t="s">
        <v>1384</v>
      </c>
      <c r="B138" s="56" t="s">
        <v>164</v>
      </c>
    </row>
    <row r="139" spans="1:3" ht="14" customHeight="1">
      <c r="A139" t="s">
        <v>1385</v>
      </c>
      <c r="B139" s="56" t="s">
        <v>107</v>
      </c>
    </row>
    <row r="140" spans="1:3" ht="14" customHeight="1">
      <c r="A140" t="s">
        <v>4152</v>
      </c>
      <c r="B140" s="56" t="s">
        <v>138</v>
      </c>
    </row>
    <row r="141" spans="1:3" ht="14" customHeight="1">
      <c r="A141" t="s">
        <v>3145</v>
      </c>
      <c r="B141" s="56" t="s">
        <v>142</v>
      </c>
    </row>
    <row r="142" spans="1:3" ht="14" customHeight="1">
      <c r="A142" t="s">
        <v>2905</v>
      </c>
      <c r="B142" s="56" t="s">
        <v>200</v>
      </c>
    </row>
    <row r="143" spans="1:3" ht="14" customHeight="1">
      <c r="A143" t="s">
        <v>1266</v>
      </c>
      <c r="B143" s="56" t="s">
        <v>183</v>
      </c>
    </row>
    <row r="144" spans="1:3" ht="14" customHeight="1">
      <c r="A144" t="s">
        <v>3153</v>
      </c>
      <c r="B144" s="56" t="s">
        <v>148</v>
      </c>
    </row>
    <row r="145" spans="1:2" ht="14" customHeight="1">
      <c r="A145" t="s">
        <v>2958</v>
      </c>
      <c r="B145" s="56" t="s">
        <v>164</v>
      </c>
    </row>
    <row r="146" spans="1:2" ht="14" customHeight="1">
      <c r="A146" t="s">
        <v>1386</v>
      </c>
      <c r="B146" s="56" t="s">
        <v>183</v>
      </c>
    </row>
    <row r="147" spans="1:2" ht="14" customHeight="1">
      <c r="A147" t="s">
        <v>1387</v>
      </c>
      <c r="B147" s="56" t="s">
        <v>148</v>
      </c>
    </row>
    <row r="148" spans="1:2" ht="14" customHeight="1">
      <c r="A148" t="s">
        <v>1388</v>
      </c>
      <c r="B148" s="56" t="s">
        <v>164</v>
      </c>
    </row>
    <row r="149" spans="1:2" ht="14" customHeight="1">
      <c r="A149" t="s">
        <v>2196</v>
      </c>
      <c r="B149" s="56" t="s">
        <v>164</v>
      </c>
    </row>
    <row r="150" spans="1:2" ht="14" customHeight="1">
      <c r="A150" t="s">
        <v>2974</v>
      </c>
      <c r="B150" s="56" t="s">
        <v>183</v>
      </c>
    </row>
    <row r="151" spans="1:2" ht="14" customHeight="1">
      <c r="A151" t="s">
        <v>907</v>
      </c>
      <c r="B151" s="56" t="s">
        <v>164</v>
      </c>
    </row>
    <row r="152" spans="1:2" ht="14" customHeight="1">
      <c r="A152" t="s">
        <v>1059</v>
      </c>
      <c r="B152" s="56" t="s">
        <v>164</v>
      </c>
    </row>
    <row r="153" spans="1:2" ht="14" customHeight="1">
      <c r="A153" t="s">
        <v>1060</v>
      </c>
      <c r="B153" s="56" t="s">
        <v>183</v>
      </c>
    </row>
    <row r="154" spans="1:2">
      <c r="A154" t="s">
        <v>1061</v>
      </c>
      <c r="B154" s="56" t="s">
        <v>142</v>
      </c>
    </row>
    <row r="155" spans="1:2">
      <c r="A155" t="s">
        <v>665</v>
      </c>
      <c r="B155" s="56" t="s">
        <v>2185</v>
      </c>
    </row>
    <row r="156" spans="1:2">
      <c r="A156" t="s">
        <v>721</v>
      </c>
      <c r="B156" s="56" t="s">
        <v>164</v>
      </c>
    </row>
    <row r="157" spans="1:2">
      <c r="A157" t="s">
        <v>722</v>
      </c>
      <c r="B157" s="56" t="s">
        <v>163</v>
      </c>
    </row>
    <row r="158" spans="1:2">
      <c r="A158" t="s">
        <v>820</v>
      </c>
      <c r="B158" s="56" t="s">
        <v>107</v>
      </c>
    </row>
    <row r="159" spans="1:2">
      <c r="A159" t="s">
        <v>1062</v>
      </c>
      <c r="B159" s="56" t="s">
        <v>183</v>
      </c>
    </row>
    <row r="160" spans="1:2">
      <c r="A160" t="s">
        <v>3606</v>
      </c>
      <c r="B160" s="56" t="s">
        <v>164</v>
      </c>
    </row>
    <row r="161" spans="1:2">
      <c r="A161" t="s">
        <v>3060</v>
      </c>
      <c r="B161" s="56" t="s">
        <v>204</v>
      </c>
    </row>
    <row r="162" spans="1:2">
      <c r="A162" t="s">
        <v>1389</v>
      </c>
      <c r="B162" s="56" t="s">
        <v>164</v>
      </c>
    </row>
    <row r="163" spans="1:2">
      <c r="A163" t="s">
        <v>1390</v>
      </c>
      <c r="B163" s="56" t="s">
        <v>940</v>
      </c>
    </row>
    <row r="164" spans="1:2">
      <c r="A164" t="s">
        <v>2994</v>
      </c>
      <c r="B164" s="56" t="s">
        <v>205</v>
      </c>
    </row>
    <row r="165" spans="1:2">
      <c r="A165" t="s">
        <v>1391</v>
      </c>
      <c r="B165" s="56" t="s">
        <v>164</v>
      </c>
    </row>
    <row r="166" spans="1:2">
      <c r="A166" t="s">
        <v>3703</v>
      </c>
      <c r="B166" s="56" t="s">
        <v>148</v>
      </c>
    </row>
    <row r="167" spans="1:2">
      <c r="A167" t="s">
        <v>2545</v>
      </c>
      <c r="B167" s="56" t="s">
        <v>940</v>
      </c>
    </row>
    <row r="168" spans="1:2">
      <c r="A168" t="s">
        <v>2984</v>
      </c>
      <c r="B168" s="56" t="s">
        <v>205</v>
      </c>
    </row>
    <row r="169" spans="1:2">
      <c r="A169" t="s">
        <v>2832</v>
      </c>
      <c r="B169" s="56" t="s">
        <v>144</v>
      </c>
    </row>
    <row r="170" spans="1:2">
      <c r="A170" t="s">
        <v>2941</v>
      </c>
      <c r="B170" s="56" t="s">
        <v>148</v>
      </c>
    </row>
    <row r="171" spans="1:2">
      <c r="A171" t="s">
        <v>2980</v>
      </c>
      <c r="B171" s="56" t="s">
        <v>142</v>
      </c>
    </row>
    <row r="172" spans="1:2">
      <c r="A172" t="s">
        <v>1063</v>
      </c>
      <c r="B172" s="56" t="s">
        <v>940</v>
      </c>
    </row>
    <row r="173" spans="1:2">
      <c r="A173" t="s">
        <v>1064</v>
      </c>
      <c r="B173" s="56" t="s">
        <v>107</v>
      </c>
    </row>
    <row r="174" spans="1:2">
      <c r="A174" t="s">
        <v>2701</v>
      </c>
      <c r="B174" s="56" t="s">
        <v>178</v>
      </c>
    </row>
    <row r="175" spans="1:2">
      <c r="A175" t="s">
        <v>1065</v>
      </c>
      <c r="B175" s="56" t="s">
        <v>183</v>
      </c>
    </row>
    <row r="176" spans="1:2">
      <c r="A176" t="s">
        <v>1392</v>
      </c>
      <c r="B176" s="56" t="s">
        <v>142</v>
      </c>
    </row>
    <row r="177" spans="1:2">
      <c r="A177" t="s">
        <v>1393</v>
      </c>
      <c r="B177" s="56" t="s">
        <v>138</v>
      </c>
    </row>
    <row r="178" spans="1:2">
      <c r="A178" t="s">
        <v>2774</v>
      </c>
      <c r="B178" s="56" t="s">
        <v>164</v>
      </c>
    </row>
    <row r="179" spans="1:2">
      <c r="A179" t="s">
        <v>1066</v>
      </c>
      <c r="B179" s="56" t="s">
        <v>183</v>
      </c>
    </row>
    <row r="180" spans="1:2">
      <c r="A180" t="s">
        <v>1067</v>
      </c>
      <c r="B180" s="56" t="s">
        <v>205</v>
      </c>
    </row>
    <row r="181" spans="1:2">
      <c r="A181" t="s">
        <v>2616</v>
      </c>
      <c r="B181" t="s">
        <v>159</v>
      </c>
    </row>
    <row r="182" spans="1:2">
      <c r="A182" t="s">
        <v>3353</v>
      </c>
      <c r="B182" s="56" t="s">
        <v>164</v>
      </c>
    </row>
    <row r="183" spans="1:2">
      <c r="A183" t="s">
        <v>1068</v>
      </c>
      <c r="B183" s="56" t="s">
        <v>176</v>
      </c>
    </row>
    <row r="184" spans="1:2">
      <c r="A184" t="s">
        <v>908</v>
      </c>
      <c r="B184" s="56" t="s">
        <v>164</v>
      </c>
    </row>
    <row r="185" spans="1:2">
      <c r="A185" t="s">
        <v>1394</v>
      </c>
      <c r="B185" s="56" t="s">
        <v>183</v>
      </c>
    </row>
    <row r="186" spans="1:2">
      <c r="A186" t="s">
        <v>1395</v>
      </c>
      <c r="B186" s="56" t="s">
        <v>183</v>
      </c>
    </row>
    <row r="187" spans="1:2">
      <c r="A187" t="s">
        <v>3005</v>
      </c>
      <c r="B187" s="56" t="s">
        <v>148</v>
      </c>
    </row>
    <row r="188" spans="1:2">
      <c r="A188" t="s">
        <v>909</v>
      </c>
      <c r="B188" s="56" t="s">
        <v>153</v>
      </c>
    </row>
    <row r="189" spans="1:2">
      <c r="A189" t="s">
        <v>2303</v>
      </c>
      <c r="B189" s="56" t="s">
        <v>2185</v>
      </c>
    </row>
    <row r="190" spans="1:2">
      <c r="A190" t="s">
        <v>2407</v>
      </c>
      <c r="B190" s="56" t="s">
        <v>169</v>
      </c>
    </row>
    <row r="191" spans="1:2">
      <c r="A191" t="s">
        <v>2707</v>
      </c>
      <c r="B191" s="56" t="s">
        <v>126</v>
      </c>
    </row>
    <row r="192" spans="1:2">
      <c r="A192" t="s">
        <v>1640</v>
      </c>
      <c r="B192" s="56" t="s">
        <v>134</v>
      </c>
    </row>
    <row r="193" spans="1:2">
      <c r="A193" t="s">
        <v>1069</v>
      </c>
      <c r="B193" s="56" t="s">
        <v>176</v>
      </c>
    </row>
    <row r="194" spans="1:2">
      <c r="A194" t="s">
        <v>910</v>
      </c>
      <c r="B194" s="56" t="s">
        <v>119</v>
      </c>
    </row>
    <row r="195" spans="1:2">
      <c r="A195" t="s">
        <v>1396</v>
      </c>
      <c r="B195" s="56" t="s">
        <v>183</v>
      </c>
    </row>
    <row r="196" spans="1:2">
      <c r="A196" t="s">
        <v>1746</v>
      </c>
      <c r="B196" s="56" t="s">
        <v>134</v>
      </c>
    </row>
    <row r="197" spans="1:2">
      <c r="A197" t="s">
        <v>1397</v>
      </c>
      <c r="B197" s="56" t="s">
        <v>148</v>
      </c>
    </row>
    <row r="198" spans="1:2">
      <c r="A198" t="s">
        <v>911</v>
      </c>
      <c r="B198" s="56" t="s">
        <v>107</v>
      </c>
    </row>
    <row r="199" spans="1:2">
      <c r="A199" t="s">
        <v>3320</v>
      </c>
      <c r="B199" s="56" t="s">
        <v>142</v>
      </c>
    </row>
    <row r="200" spans="1:2">
      <c r="A200" t="s">
        <v>1398</v>
      </c>
      <c r="B200" s="56" t="s">
        <v>178</v>
      </c>
    </row>
    <row r="201" spans="1:2">
      <c r="A201" t="s">
        <v>2648</v>
      </c>
      <c r="B201" s="56" t="s">
        <v>191</v>
      </c>
    </row>
    <row r="202" spans="1:2">
      <c r="A202" t="s">
        <v>1070</v>
      </c>
      <c r="B202" s="56" t="s">
        <v>134</v>
      </c>
    </row>
    <row r="203" spans="1:2">
      <c r="A203" t="s">
        <v>1399</v>
      </c>
      <c r="B203" s="56" t="s">
        <v>115</v>
      </c>
    </row>
    <row r="204" spans="1:2">
      <c r="A204" t="s">
        <v>1400</v>
      </c>
      <c r="B204" s="56" t="s">
        <v>138</v>
      </c>
    </row>
    <row r="205" spans="1:2" ht="14" customHeight="1">
      <c r="A205" t="s">
        <v>1071</v>
      </c>
      <c r="B205" s="56" t="s">
        <v>120</v>
      </c>
    </row>
    <row r="206" spans="1:2">
      <c r="A206" t="s">
        <v>715</v>
      </c>
      <c r="B206" s="56" t="s">
        <v>128</v>
      </c>
    </row>
    <row r="207" spans="1:2">
      <c r="A207" t="s">
        <v>1698</v>
      </c>
      <c r="B207" s="56" t="s">
        <v>134</v>
      </c>
    </row>
    <row r="208" spans="1:2">
      <c r="A208" t="s">
        <v>3453</v>
      </c>
      <c r="B208" s="56" t="s">
        <v>164</v>
      </c>
    </row>
    <row r="209" spans="1:2">
      <c r="A209" t="s">
        <v>1401</v>
      </c>
      <c r="B209" s="56" t="s">
        <v>200</v>
      </c>
    </row>
    <row r="210" spans="1:2">
      <c r="A210" t="s">
        <v>723</v>
      </c>
      <c r="B210" s="56" t="s">
        <v>142</v>
      </c>
    </row>
    <row r="211" spans="1:2">
      <c r="A211" t="s">
        <v>1745</v>
      </c>
      <c r="B211" s="56" t="s">
        <v>2186</v>
      </c>
    </row>
    <row r="212" spans="1:2">
      <c r="A212" t="s">
        <v>1072</v>
      </c>
      <c r="B212" s="56" t="s">
        <v>183</v>
      </c>
    </row>
    <row r="213" spans="1:2">
      <c r="A213" t="s">
        <v>1073</v>
      </c>
      <c r="B213" s="56" t="s">
        <v>3021</v>
      </c>
    </row>
    <row r="214" spans="1:2">
      <c r="A214" t="s">
        <v>806</v>
      </c>
      <c r="B214" s="56" t="s">
        <v>183</v>
      </c>
    </row>
    <row r="215" spans="1:2">
      <c r="A215" t="s">
        <v>2647</v>
      </c>
      <c r="B215" s="56" t="s">
        <v>142</v>
      </c>
    </row>
    <row r="216" spans="1:2">
      <c r="A216" t="s">
        <v>821</v>
      </c>
      <c r="B216" s="56" t="s">
        <v>142</v>
      </c>
    </row>
    <row r="217" spans="1:2">
      <c r="A217" t="s">
        <v>1074</v>
      </c>
      <c r="B217" s="56" t="s">
        <v>183</v>
      </c>
    </row>
    <row r="218" spans="1:2">
      <c r="A218" t="s">
        <v>1075</v>
      </c>
      <c r="B218" s="56" t="s">
        <v>940</v>
      </c>
    </row>
    <row r="219" spans="1:2">
      <c r="A219" t="s">
        <v>4155</v>
      </c>
      <c r="B219" s="56" t="s">
        <v>142</v>
      </c>
    </row>
    <row r="220" spans="1:2">
      <c r="A220" t="s">
        <v>1402</v>
      </c>
      <c r="B220" s="56" t="s">
        <v>940</v>
      </c>
    </row>
    <row r="221" spans="1:2">
      <c r="A221" t="s">
        <v>1076</v>
      </c>
      <c r="B221" s="56" t="s">
        <v>183</v>
      </c>
    </row>
    <row r="222" spans="1:2">
      <c r="A222" t="s">
        <v>2993</v>
      </c>
      <c r="B222" s="56" t="s">
        <v>142</v>
      </c>
    </row>
    <row r="223" spans="1:2">
      <c r="A223" t="s">
        <v>1771</v>
      </c>
      <c r="B223" s="56" t="s">
        <v>134</v>
      </c>
    </row>
    <row r="224" spans="1:2">
      <c r="A224" t="s">
        <v>1644</v>
      </c>
      <c r="B224" s="56" t="s">
        <v>187</v>
      </c>
    </row>
    <row r="225" spans="1:2">
      <c r="A225" t="s">
        <v>2620</v>
      </c>
      <c r="B225" s="56" t="s">
        <v>142</v>
      </c>
    </row>
    <row r="226" spans="1:2">
      <c r="A226" t="s">
        <v>1403</v>
      </c>
      <c r="B226" s="56" t="s">
        <v>142</v>
      </c>
    </row>
    <row r="227" spans="1:2">
      <c r="A227" t="s">
        <v>822</v>
      </c>
      <c r="B227" s="56" t="s">
        <v>142</v>
      </c>
    </row>
    <row r="228" spans="1:2">
      <c r="A228" t="s">
        <v>3872</v>
      </c>
      <c r="B228" s="56" t="s">
        <v>146</v>
      </c>
    </row>
    <row r="229" spans="1:2">
      <c r="A229" t="s">
        <v>1077</v>
      </c>
      <c r="B229" s="56" t="s">
        <v>1078</v>
      </c>
    </row>
    <row r="230" spans="1:2">
      <c r="A230" t="s">
        <v>4165</v>
      </c>
      <c r="B230" s="56" t="s">
        <v>142</v>
      </c>
    </row>
    <row r="231" spans="1:2">
      <c r="A231" t="s">
        <v>1404</v>
      </c>
      <c r="B231" s="56" t="s">
        <v>142</v>
      </c>
    </row>
    <row r="232" spans="1:2">
      <c r="A232" t="s">
        <v>2896</v>
      </c>
      <c r="B232" s="56" t="s">
        <v>142</v>
      </c>
    </row>
    <row r="233" spans="1:2">
      <c r="A233" t="s">
        <v>1405</v>
      </c>
      <c r="B233" s="56" t="s">
        <v>142</v>
      </c>
    </row>
    <row r="234" spans="1:2">
      <c r="A234" t="s">
        <v>2432</v>
      </c>
      <c r="B234" s="56" t="s">
        <v>164</v>
      </c>
    </row>
    <row r="235" spans="1:2">
      <c r="A235" t="s">
        <v>1406</v>
      </c>
      <c r="B235" s="56" t="s">
        <v>205</v>
      </c>
    </row>
    <row r="236" spans="1:2">
      <c r="A236" t="s">
        <v>1407</v>
      </c>
      <c r="B236" s="56" t="s">
        <v>183</v>
      </c>
    </row>
    <row r="237" spans="1:2">
      <c r="A237" t="s">
        <v>3935</v>
      </c>
      <c r="B237" s="56" t="s">
        <v>146</v>
      </c>
    </row>
    <row r="238" spans="1:2">
      <c r="A238" t="s">
        <v>1079</v>
      </c>
      <c r="B238" s="56" t="s">
        <v>164</v>
      </c>
    </row>
    <row r="239" spans="1:2">
      <c r="A239" t="s">
        <v>4085</v>
      </c>
      <c r="B239" s="56" t="s">
        <v>183</v>
      </c>
    </row>
    <row r="240" spans="1:2">
      <c r="A240" t="s">
        <v>4163</v>
      </c>
      <c r="B240" s="56" t="s">
        <v>169</v>
      </c>
    </row>
    <row r="241" spans="1:2">
      <c r="A241" t="s">
        <v>2976</v>
      </c>
      <c r="B241" s="56" t="s">
        <v>142</v>
      </c>
    </row>
    <row r="242" spans="1:2">
      <c r="A242" t="s">
        <v>2846</v>
      </c>
      <c r="B242" s="56" t="s">
        <v>183</v>
      </c>
    </row>
    <row r="243" spans="1:2">
      <c r="A243" t="s">
        <v>803</v>
      </c>
      <c r="B243" s="56" t="s">
        <v>183</v>
      </c>
    </row>
    <row r="244" spans="1:2">
      <c r="A244" t="s">
        <v>804</v>
      </c>
      <c r="B244" s="56" t="s">
        <v>183</v>
      </c>
    </row>
    <row r="245" spans="1:2">
      <c r="A245" t="s">
        <v>724</v>
      </c>
      <c r="B245" s="56" t="s">
        <v>142</v>
      </c>
    </row>
    <row r="246" spans="1:2">
      <c r="A246" t="s">
        <v>1408</v>
      </c>
      <c r="B246" s="56" t="s">
        <v>164</v>
      </c>
    </row>
    <row r="247" spans="1:2">
      <c r="A247" t="s">
        <v>1733</v>
      </c>
      <c r="B247" s="56" t="s">
        <v>1032</v>
      </c>
    </row>
    <row r="248" spans="1:2">
      <c r="A248" t="s">
        <v>3247</v>
      </c>
      <c r="B248" s="56" t="s">
        <v>164</v>
      </c>
    </row>
    <row r="249" spans="1:2">
      <c r="A249" t="s">
        <v>823</v>
      </c>
      <c r="B249" s="56" t="s">
        <v>142</v>
      </c>
    </row>
    <row r="250" spans="1:2">
      <c r="A250" t="s">
        <v>2902</v>
      </c>
      <c r="B250" s="56" t="s">
        <v>170</v>
      </c>
    </row>
    <row r="251" spans="1:2">
      <c r="A251" t="s">
        <v>1409</v>
      </c>
      <c r="B251" s="56" t="s">
        <v>183</v>
      </c>
    </row>
    <row r="252" spans="1:2">
      <c r="A252" t="s">
        <v>1410</v>
      </c>
      <c r="B252" s="56" t="s">
        <v>164</v>
      </c>
    </row>
    <row r="253" spans="1:2">
      <c r="A253" t="s">
        <v>4122</v>
      </c>
      <c r="B253" s="56" t="s">
        <v>204</v>
      </c>
    </row>
    <row r="254" spans="1:2">
      <c r="A254" t="s">
        <v>2627</v>
      </c>
      <c r="B254" s="56" t="s">
        <v>125</v>
      </c>
    </row>
    <row r="255" spans="1:2">
      <c r="A255" t="s">
        <v>1080</v>
      </c>
      <c r="B255" s="56" t="s">
        <v>183</v>
      </c>
    </row>
    <row r="256" spans="1:2">
      <c r="A256" t="s">
        <v>2791</v>
      </c>
      <c r="B256" s="56" t="s">
        <v>144</v>
      </c>
    </row>
    <row r="257" spans="1:2">
      <c r="A257" t="s">
        <v>2788</v>
      </c>
      <c r="B257" s="56" t="s">
        <v>183</v>
      </c>
    </row>
    <row r="258" spans="1:2">
      <c r="A258" t="s">
        <v>4119</v>
      </c>
      <c r="B258" s="56" t="s">
        <v>142</v>
      </c>
    </row>
    <row r="259" spans="1:2">
      <c r="A259" t="s">
        <v>4133</v>
      </c>
      <c r="B259" s="56" t="s">
        <v>144</v>
      </c>
    </row>
    <row r="260" spans="1:2">
      <c r="A260" t="s">
        <v>4124</v>
      </c>
      <c r="B260" s="56" t="s">
        <v>164</v>
      </c>
    </row>
    <row r="261" spans="1:2">
      <c r="A261" t="s">
        <v>725</v>
      </c>
      <c r="B261" s="56" t="s">
        <v>107</v>
      </c>
    </row>
    <row r="262" spans="1:2">
      <c r="A262" t="s">
        <v>726</v>
      </c>
      <c r="B262" s="56" t="s">
        <v>142</v>
      </c>
    </row>
    <row r="263" spans="1:2">
      <c r="A263" t="s">
        <v>2844</v>
      </c>
      <c r="B263" s="56" t="s">
        <v>183</v>
      </c>
    </row>
    <row r="264" spans="1:2">
      <c r="A264" t="s">
        <v>1411</v>
      </c>
      <c r="B264" s="56" t="s">
        <v>164</v>
      </c>
    </row>
    <row r="265" spans="1:2">
      <c r="A265" t="s">
        <v>1412</v>
      </c>
      <c r="B265" s="56" t="s">
        <v>183</v>
      </c>
    </row>
    <row r="266" spans="1:2">
      <c r="A266" t="s">
        <v>1413</v>
      </c>
      <c r="B266" s="56" t="s">
        <v>183</v>
      </c>
    </row>
    <row r="267" spans="1:2">
      <c r="A267" t="s">
        <v>2773</v>
      </c>
      <c r="B267" s="56" t="s">
        <v>137</v>
      </c>
    </row>
    <row r="268" spans="1:2">
      <c r="A268" t="s">
        <v>1813</v>
      </c>
      <c r="B268" s="56" t="s">
        <v>169</v>
      </c>
    </row>
    <row r="269" spans="1:2">
      <c r="A269" t="s">
        <v>3871</v>
      </c>
      <c r="B269" s="56" t="s">
        <v>146</v>
      </c>
    </row>
    <row r="270" spans="1:2">
      <c r="A270" t="s">
        <v>783</v>
      </c>
      <c r="B270" s="56" t="s">
        <v>200</v>
      </c>
    </row>
    <row r="271" spans="1:2">
      <c r="A271" t="s">
        <v>1414</v>
      </c>
      <c r="B271" s="56" t="s">
        <v>107</v>
      </c>
    </row>
    <row r="272" spans="1:2">
      <c r="A272" t="s">
        <v>1081</v>
      </c>
      <c r="B272" s="56" t="s">
        <v>940</v>
      </c>
    </row>
    <row r="273" spans="1:2">
      <c r="A273" t="s">
        <v>1082</v>
      </c>
      <c r="B273" s="56" t="s">
        <v>940</v>
      </c>
    </row>
    <row r="274" spans="1:2">
      <c r="A274" t="s">
        <v>1415</v>
      </c>
      <c r="B274" s="56" t="s">
        <v>142</v>
      </c>
    </row>
    <row r="275" spans="1:2">
      <c r="A275" t="s">
        <v>2281</v>
      </c>
      <c r="B275" s="56" t="s">
        <v>142</v>
      </c>
    </row>
    <row r="276" spans="1:2">
      <c r="A276" t="s">
        <v>1083</v>
      </c>
      <c r="B276" s="56" t="s">
        <v>183</v>
      </c>
    </row>
    <row r="277" spans="1:2">
      <c r="A277" t="s">
        <v>1416</v>
      </c>
      <c r="B277" s="56" t="s">
        <v>148</v>
      </c>
    </row>
    <row r="278" spans="1:2">
      <c r="A278" t="s">
        <v>1417</v>
      </c>
      <c r="B278" s="56" t="s">
        <v>183</v>
      </c>
    </row>
    <row r="279" spans="1:2">
      <c r="A279" t="s">
        <v>4079</v>
      </c>
      <c r="B279" s="56" t="s">
        <v>205</v>
      </c>
    </row>
    <row r="280" spans="1:2">
      <c r="A280" t="s">
        <v>912</v>
      </c>
      <c r="B280" s="56" t="s">
        <v>125</v>
      </c>
    </row>
    <row r="281" spans="1:2">
      <c r="A281" t="s">
        <v>3476</v>
      </c>
      <c r="B281" s="56" t="s">
        <v>148</v>
      </c>
    </row>
    <row r="282" spans="1:2">
      <c r="A282" t="s">
        <v>2848</v>
      </c>
      <c r="B282" s="56" t="s">
        <v>183</v>
      </c>
    </row>
    <row r="283" spans="1:2">
      <c r="A283" t="s">
        <v>1084</v>
      </c>
      <c r="B283" s="56" t="s">
        <v>940</v>
      </c>
    </row>
    <row r="284" spans="1:2">
      <c r="A284" t="s">
        <v>2688</v>
      </c>
      <c r="B284" s="56" t="s">
        <v>176</v>
      </c>
    </row>
    <row r="285" spans="1:2">
      <c r="A285" t="s">
        <v>824</v>
      </c>
      <c r="B285" s="56" t="s">
        <v>100</v>
      </c>
    </row>
    <row r="286" spans="1:2">
      <c r="A286" t="s">
        <v>913</v>
      </c>
      <c r="B286" s="56" t="s">
        <v>164</v>
      </c>
    </row>
    <row r="287" spans="1:2">
      <c r="A287" t="s">
        <v>1786</v>
      </c>
      <c r="B287" s="56" t="s">
        <v>135</v>
      </c>
    </row>
    <row r="288" spans="1:2">
      <c r="A288" t="s">
        <v>914</v>
      </c>
      <c r="B288" s="56" t="s">
        <v>100</v>
      </c>
    </row>
    <row r="289" spans="1:2">
      <c r="A289" t="s">
        <v>825</v>
      </c>
      <c r="B289" s="56" t="s">
        <v>94</v>
      </c>
    </row>
    <row r="290" spans="1:2">
      <c r="A290" t="s">
        <v>1619</v>
      </c>
      <c r="B290" s="56" t="s">
        <v>165</v>
      </c>
    </row>
    <row r="291" spans="1:2">
      <c r="A291" t="s">
        <v>618</v>
      </c>
      <c r="B291" s="56" t="s">
        <v>178</v>
      </c>
    </row>
    <row r="292" spans="1:2">
      <c r="A292" t="s">
        <v>1085</v>
      </c>
      <c r="B292" s="56" t="s">
        <v>1078</v>
      </c>
    </row>
    <row r="293" spans="1:2">
      <c r="A293" t="s">
        <v>4112</v>
      </c>
      <c r="B293" s="56" t="s">
        <v>144</v>
      </c>
    </row>
    <row r="294" spans="1:2">
      <c r="A294" t="s">
        <v>1086</v>
      </c>
      <c r="B294" s="56" t="s">
        <v>142</v>
      </c>
    </row>
    <row r="295" spans="1:2">
      <c r="A295" t="s">
        <v>915</v>
      </c>
      <c r="B295" s="56" t="s">
        <v>134</v>
      </c>
    </row>
    <row r="296" spans="1:2">
      <c r="A296" t="s">
        <v>1794</v>
      </c>
      <c r="B296" s="56" t="s">
        <v>153</v>
      </c>
    </row>
    <row r="297" spans="1:2">
      <c r="A297" t="s">
        <v>1765</v>
      </c>
      <c r="B297" s="56" t="s">
        <v>1032</v>
      </c>
    </row>
    <row r="298" spans="1:2">
      <c r="A298" t="s">
        <v>1418</v>
      </c>
      <c r="B298" s="56" t="s">
        <v>183</v>
      </c>
    </row>
    <row r="299" spans="1:2">
      <c r="A299" t="s">
        <v>3040</v>
      </c>
      <c r="B299" s="56" t="s">
        <v>164</v>
      </c>
    </row>
    <row r="300" spans="1:2">
      <c r="A300" t="s">
        <v>1419</v>
      </c>
      <c r="B300" s="56" t="s">
        <v>164</v>
      </c>
    </row>
    <row r="301" spans="1:2">
      <c r="A301" t="s">
        <v>1420</v>
      </c>
      <c r="B301" s="56" t="s">
        <v>204</v>
      </c>
    </row>
    <row r="302" spans="1:2">
      <c r="A302" t="s">
        <v>1421</v>
      </c>
      <c r="B302" s="56" t="s">
        <v>183</v>
      </c>
    </row>
    <row r="303" spans="1:2">
      <c r="A303" t="s">
        <v>2249</v>
      </c>
      <c r="B303" s="56" t="s">
        <v>146</v>
      </c>
    </row>
    <row r="304" spans="1:2">
      <c r="A304" t="s">
        <v>916</v>
      </c>
      <c r="B304" s="56" t="s">
        <v>1032</v>
      </c>
    </row>
    <row r="305" spans="1:2">
      <c r="A305" t="s">
        <v>1772</v>
      </c>
      <c r="B305" s="56" t="s">
        <v>2186</v>
      </c>
    </row>
    <row r="306" spans="1:2">
      <c r="A306" t="s">
        <v>2528</v>
      </c>
      <c r="B306" s="56" t="s">
        <v>169</v>
      </c>
    </row>
    <row r="307" spans="1:2">
      <c r="A307" t="s">
        <v>4073</v>
      </c>
      <c r="B307" s="56" t="s">
        <v>204</v>
      </c>
    </row>
    <row r="308" spans="1:2">
      <c r="A308" t="s">
        <v>1087</v>
      </c>
      <c r="B308" s="56" t="s">
        <v>142</v>
      </c>
    </row>
    <row r="309" spans="1:2">
      <c r="A309" t="s">
        <v>1422</v>
      </c>
      <c r="B309" s="56" t="s">
        <v>940</v>
      </c>
    </row>
    <row r="310" spans="1:2">
      <c r="A310" t="s">
        <v>1423</v>
      </c>
      <c r="B310" s="56" t="s">
        <v>164</v>
      </c>
    </row>
    <row r="311" spans="1:2">
      <c r="A311" t="s">
        <v>1424</v>
      </c>
      <c r="B311" s="56" t="s">
        <v>186</v>
      </c>
    </row>
    <row r="312" spans="1:2">
      <c r="A312" t="s">
        <v>761</v>
      </c>
      <c r="B312" s="56" t="s">
        <v>134</v>
      </c>
    </row>
    <row r="313" spans="1:2">
      <c r="A313" t="s">
        <v>1088</v>
      </c>
      <c r="B313" s="56" t="s">
        <v>183</v>
      </c>
    </row>
    <row r="314" spans="1:2">
      <c r="A314" t="s">
        <v>1089</v>
      </c>
      <c r="B314" s="56" t="s">
        <v>940</v>
      </c>
    </row>
    <row r="315" spans="1:2">
      <c r="A315" t="s">
        <v>2937</v>
      </c>
      <c r="B315" s="56" t="s">
        <v>142</v>
      </c>
    </row>
    <row r="316" spans="1:2">
      <c r="A316" t="s">
        <v>1425</v>
      </c>
      <c r="B316" s="56" t="s">
        <v>167</v>
      </c>
    </row>
    <row r="317" spans="1:2">
      <c r="A317" t="s">
        <v>3135</v>
      </c>
      <c r="B317" s="56" t="s">
        <v>164</v>
      </c>
    </row>
    <row r="318" spans="1:2">
      <c r="A318" t="s">
        <v>1758</v>
      </c>
      <c r="B318" s="56" t="s">
        <v>134</v>
      </c>
    </row>
    <row r="319" spans="1:2">
      <c r="A319" t="s">
        <v>917</v>
      </c>
      <c r="B319" s="56" t="s">
        <v>142</v>
      </c>
    </row>
    <row r="320" spans="1:2">
      <c r="A320" t="s">
        <v>3489</v>
      </c>
      <c r="B320" s="56" t="s">
        <v>142</v>
      </c>
    </row>
    <row r="321" spans="1:2">
      <c r="A321" t="s">
        <v>2532</v>
      </c>
      <c r="B321" s="56" t="s">
        <v>142</v>
      </c>
    </row>
    <row r="322" spans="1:2">
      <c r="A322" t="s">
        <v>1426</v>
      </c>
      <c r="B322" s="56" t="s">
        <v>142</v>
      </c>
    </row>
    <row r="323" spans="1:2">
      <c r="A323" t="s">
        <v>3389</v>
      </c>
      <c r="B323" s="56" t="s">
        <v>142</v>
      </c>
    </row>
    <row r="324" spans="1:2">
      <c r="A324" t="s">
        <v>2246</v>
      </c>
      <c r="B324" s="56" t="s">
        <v>142</v>
      </c>
    </row>
    <row r="325" spans="1:2">
      <c r="A325" t="s">
        <v>1427</v>
      </c>
      <c r="B325" s="56" t="s">
        <v>183</v>
      </c>
    </row>
    <row r="326" spans="1:2">
      <c r="A326" t="s">
        <v>3478</v>
      </c>
      <c r="B326" s="56" t="s">
        <v>186</v>
      </c>
    </row>
    <row r="327" spans="1:2">
      <c r="A327" t="s">
        <v>1090</v>
      </c>
      <c r="B327" s="56" t="s">
        <v>940</v>
      </c>
    </row>
    <row r="328" spans="1:2">
      <c r="A328" t="s">
        <v>826</v>
      </c>
      <c r="B328" s="56" t="s">
        <v>1032</v>
      </c>
    </row>
    <row r="329" spans="1:2">
      <c r="A329" t="s">
        <v>626</v>
      </c>
      <c r="B329" s="56" t="s">
        <v>106</v>
      </c>
    </row>
    <row r="330" spans="1:2">
      <c r="A330" t="s">
        <v>1428</v>
      </c>
      <c r="B330" s="56" t="s">
        <v>142</v>
      </c>
    </row>
    <row r="331" spans="1:2">
      <c r="A331" t="s">
        <v>1429</v>
      </c>
      <c r="B331" s="56" t="s">
        <v>142</v>
      </c>
    </row>
    <row r="332" spans="1:2">
      <c r="A332" t="s">
        <v>1091</v>
      </c>
      <c r="B332" s="56" t="s">
        <v>183</v>
      </c>
    </row>
    <row r="333" spans="1:2">
      <c r="A333" t="s">
        <v>1092</v>
      </c>
      <c r="B333" s="56" t="s">
        <v>940</v>
      </c>
    </row>
    <row r="334" spans="1:2">
      <c r="A334" t="s">
        <v>2916</v>
      </c>
      <c r="B334" s="56" t="s">
        <v>178</v>
      </c>
    </row>
    <row r="335" spans="1:2">
      <c r="A335" t="s">
        <v>4158</v>
      </c>
      <c r="B335" s="56" t="s">
        <v>178</v>
      </c>
    </row>
    <row r="336" spans="1:2">
      <c r="A336" t="s">
        <v>1430</v>
      </c>
      <c r="B336" s="56" t="s">
        <v>116</v>
      </c>
    </row>
    <row r="337" spans="1:2">
      <c r="A337" t="s">
        <v>1431</v>
      </c>
      <c r="B337" s="56" t="s">
        <v>138</v>
      </c>
    </row>
    <row r="338" spans="1:2">
      <c r="A338" t="s">
        <v>3138</v>
      </c>
      <c r="B338" s="56" t="s">
        <v>142</v>
      </c>
    </row>
    <row r="339" spans="1:2">
      <c r="A339" t="s">
        <v>2678</v>
      </c>
      <c r="B339" s="56" t="s">
        <v>206</v>
      </c>
    </row>
    <row r="340" spans="1:2">
      <c r="A340" t="s">
        <v>1432</v>
      </c>
      <c r="B340" s="56" t="s">
        <v>200</v>
      </c>
    </row>
    <row r="341" spans="1:2">
      <c r="A341" t="s">
        <v>1433</v>
      </c>
      <c r="B341" s="56" t="s">
        <v>183</v>
      </c>
    </row>
    <row r="342" spans="1:2">
      <c r="A342" t="s">
        <v>1434</v>
      </c>
      <c r="B342" s="56" t="s">
        <v>142</v>
      </c>
    </row>
    <row r="343" spans="1:2">
      <c r="A343" t="s">
        <v>2909</v>
      </c>
      <c r="B343" s="56" t="s">
        <v>142</v>
      </c>
    </row>
    <row r="344" spans="1:2">
      <c r="A344" t="s">
        <v>1093</v>
      </c>
      <c r="B344" s="56" t="s">
        <v>142</v>
      </c>
    </row>
    <row r="345" spans="1:2">
      <c r="A345" t="s">
        <v>918</v>
      </c>
      <c r="B345" s="64" t="s">
        <v>162</v>
      </c>
    </row>
    <row r="346" spans="1:2">
      <c r="A346" t="s">
        <v>1094</v>
      </c>
      <c r="B346" s="56" t="s">
        <v>205</v>
      </c>
    </row>
    <row r="347" spans="1:2">
      <c r="A347" t="s">
        <v>919</v>
      </c>
      <c r="B347" s="56" t="s">
        <v>134</v>
      </c>
    </row>
    <row r="348" spans="1:2">
      <c r="A348" t="s">
        <v>4216</v>
      </c>
      <c r="B348" s="56" t="s">
        <v>183</v>
      </c>
    </row>
    <row r="349" spans="1:2">
      <c r="A349" t="s">
        <v>3636</v>
      </c>
      <c r="B349" s="56" t="s">
        <v>164</v>
      </c>
    </row>
    <row r="350" spans="1:2">
      <c r="A350" t="s">
        <v>666</v>
      </c>
      <c r="B350" s="56" t="s">
        <v>123</v>
      </c>
    </row>
    <row r="351" spans="1:2">
      <c r="A351" t="s">
        <v>3152</v>
      </c>
      <c r="B351" s="56" t="s">
        <v>142</v>
      </c>
    </row>
    <row r="352" spans="1:2">
      <c r="A352" t="s">
        <v>1095</v>
      </c>
      <c r="B352" s="56" t="s">
        <v>1078</v>
      </c>
    </row>
    <row r="353" spans="1:3">
      <c r="A353" t="s">
        <v>1435</v>
      </c>
      <c r="B353" s="56" t="s">
        <v>164</v>
      </c>
    </row>
    <row r="354" spans="1:3">
      <c r="A354" t="s">
        <v>1436</v>
      </c>
      <c r="B354" s="56" t="s">
        <v>142</v>
      </c>
    </row>
    <row r="355" spans="1:3">
      <c r="A355" t="s">
        <v>3381</v>
      </c>
      <c r="B355" s="56" t="s">
        <v>1032</v>
      </c>
    </row>
    <row r="356" spans="1:3">
      <c r="A356" t="s">
        <v>1437</v>
      </c>
      <c r="B356" s="56" t="s">
        <v>183</v>
      </c>
    </row>
    <row r="357" spans="1:3">
      <c r="A357" t="s">
        <v>2998</v>
      </c>
      <c r="B357" s="56" t="s">
        <v>169</v>
      </c>
      <c r="C357" t="s">
        <v>4159</v>
      </c>
    </row>
    <row r="358" spans="1:3">
      <c r="A358" t="s">
        <v>1096</v>
      </c>
      <c r="B358" s="56" t="s">
        <v>142</v>
      </c>
    </row>
    <row r="359" spans="1:3">
      <c r="A359" t="s">
        <v>1438</v>
      </c>
      <c r="B359" s="56" t="s">
        <v>164</v>
      </c>
    </row>
    <row r="360" spans="1:3">
      <c r="A360" t="s">
        <v>2702</v>
      </c>
      <c r="B360" s="56" t="s">
        <v>187</v>
      </c>
    </row>
    <row r="361" spans="1:3">
      <c r="A361" t="s">
        <v>2938</v>
      </c>
      <c r="B361" s="56" t="s">
        <v>165</v>
      </c>
    </row>
    <row r="362" spans="1:3">
      <c r="A362" t="s">
        <v>2700</v>
      </c>
      <c r="B362" s="56" t="s">
        <v>183</v>
      </c>
    </row>
    <row r="363" spans="1:3">
      <c r="A363" t="s">
        <v>670</v>
      </c>
      <c r="B363" s="56" t="s">
        <v>169</v>
      </c>
    </row>
    <row r="364" spans="1:3">
      <c r="A364" t="s">
        <v>2165</v>
      </c>
      <c r="B364" s="56" t="s">
        <v>134</v>
      </c>
    </row>
    <row r="365" spans="1:3">
      <c r="A365" t="s">
        <v>1439</v>
      </c>
      <c r="B365" s="56" t="s">
        <v>155</v>
      </c>
    </row>
    <row r="366" spans="1:3">
      <c r="A366" t="s">
        <v>1097</v>
      </c>
      <c r="B366" s="56" t="s">
        <v>1032</v>
      </c>
    </row>
    <row r="367" spans="1:3">
      <c r="A367" t="s">
        <v>2326</v>
      </c>
      <c r="B367" s="56" t="s">
        <v>148</v>
      </c>
    </row>
    <row r="368" spans="1:3">
      <c r="A368" t="s">
        <v>1440</v>
      </c>
      <c r="B368" s="56" t="s">
        <v>137</v>
      </c>
    </row>
    <row r="369" spans="1:3">
      <c r="A369" t="s">
        <v>1098</v>
      </c>
      <c r="B369" s="56" t="s">
        <v>940</v>
      </c>
    </row>
    <row r="370" spans="1:3">
      <c r="A370" t="s">
        <v>1099</v>
      </c>
      <c r="B370" s="56" t="s">
        <v>183</v>
      </c>
    </row>
    <row r="371" spans="1:3">
      <c r="A371" t="s">
        <v>656</v>
      </c>
      <c r="B371" s="56" t="s">
        <v>162</v>
      </c>
    </row>
    <row r="372" spans="1:3">
      <c r="A372" t="s">
        <v>2087</v>
      </c>
      <c r="B372" s="56" t="s">
        <v>169</v>
      </c>
    </row>
    <row r="373" spans="1:3">
      <c r="A373" t="s">
        <v>797</v>
      </c>
      <c r="B373" s="56" t="s">
        <v>134</v>
      </c>
    </row>
    <row r="374" spans="1:3">
      <c r="A374" t="s">
        <v>3131</v>
      </c>
      <c r="B374" s="56" t="s">
        <v>165</v>
      </c>
    </row>
    <row r="375" spans="1:3">
      <c r="A375" t="s">
        <v>1441</v>
      </c>
      <c r="B375" s="56" t="s">
        <v>148</v>
      </c>
    </row>
    <row r="376" spans="1:3">
      <c r="A376" t="s">
        <v>1442</v>
      </c>
      <c r="B376" s="56" t="s">
        <v>164</v>
      </c>
    </row>
    <row r="377" spans="1:3">
      <c r="A377" t="s">
        <v>2624</v>
      </c>
      <c r="B377" s="56" t="s">
        <v>3021</v>
      </c>
    </row>
    <row r="378" spans="1:3">
      <c r="A378" t="s">
        <v>2626</v>
      </c>
      <c r="B378" s="56" t="s">
        <v>3021</v>
      </c>
    </row>
    <row r="379" spans="1:3">
      <c r="A379" t="s">
        <v>727</v>
      </c>
      <c r="B379" s="56" t="s">
        <v>142</v>
      </c>
    </row>
    <row r="380" spans="1:3">
      <c r="A380" t="s">
        <v>3338</v>
      </c>
      <c r="B380" s="56" t="s">
        <v>164</v>
      </c>
    </row>
    <row r="381" spans="1:3">
      <c r="A381" t="s">
        <v>4201</v>
      </c>
      <c r="B381" s="56" t="s">
        <v>164</v>
      </c>
    </row>
    <row r="382" spans="1:3">
      <c r="A382" t="s">
        <v>827</v>
      </c>
      <c r="B382" s="56" t="s">
        <v>142</v>
      </c>
    </row>
    <row r="383" spans="1:3">
      <c r="A383" t="s">
        <v>920</v>
      </c>
      <c r="B383" s="56" t="s">
        <v>205</v>
      </c>
      <c r="C383" t="s">
        <v>3980</v>
      </c>
    </row>
    <row r="384" spans="1:3">
      <c r="A384" t="s">
        <v>2526</v>
      </c>
      <c r="B384" s="56" t="s">
        <v>164</v>
      </c>
    </row>
    <row r="385" spans="1:2">
      <c r="A385" t="s">
        <v>1100</v>
      </c>
      <c r="B385" s="56" t="s">
        <v>169</v>
      </c>
    </row>
    <row r="386" spans="1:2">
      <c r="A386" t="s">
        <v>1628</v>
      </c>
      <c r="B386" s="56" t="s">
        <v>187</v>
      </c>
    </row>
    <row r="387" spans="1:2">
      <c r="A387" t="s">
        <v>1101</v>
      </c>
      <c r="B387" s="56" t="s">
        <v>940</v>
      </c>
    </row>
    <row r="388" spans="1:2">
      <c r="A388" t="s">
        <v>4130</v>
      </c>
      <c r="B388" s="56" t="s">
        <v>165</v>
      </c>
    </row>
    <row r="389" spans="1:2">
      <c r="A389" t="s">
        <v>2560</v>
      </c>
      <c r="B389" s="56" t="s">
        <v>142</v>
      </c>
    </row>
    <row r="390" spans="1:2">
      <c r="A390" t="s">
        <v>2406</v>
      </c>
      <c r="B390" s="56" t="s">
        <v>186</v>
      </c>
    </row>
    <row r="391" spans="1:2">
      <c r="A391" t="s">
        <v>674</v>
      </c>
      <c r="B391" s="56" t="s">
        <v>142</v>
      </c>
    </row>
    <row r="392" spans="1:2">
      <c r="A392" t="s">
        <v>675</v>
      </c>
      <c r="B392" s="56" t="s">
        <v>164</v>
      </c>
    </row>
    <row r="393" spans="1:2">
      <c r="A393" t="s">
        <v>828</v>
      </c>
      <c r="B393" s="56" t="s">
        <v>142</v>
      </c>
    </row>
    <row r="394" spans="1:2">
      <c r="A394" t="s">
        <v>829</v>
      </c>
      <c r="B394" s="56" t="s">
        <v>142</v>
      </c>
    </row>
    <row r="395" spans="1:2">
      <c r="A395" t="s">
        <v>1443</v>
      </c>
      <c r="B395" s="56" t="s">
        <v>205</v>
      </c>
    </row>
    <row r="396" spans="1:2">
      <c r="A396" t="s">
        <v>1102</v>
      </c>
      <c r="B396" s="56" t="s">
        <v>183</v>
      </c>
    </row>
    <row r="397" spans="1:2">
      <c r="A397" t="s">
        <v>2537</v>
      </c>
      <c r="B397" s="56" t="s">
        <v>165</v>
      </c>
    </row>
    <row r="398" spans="1:2">
      <c r="A398" t="s">
        <v>728</v>
      </c>
      <c r="B398" s="56" t="s">
        <v>142</v>
      </c>
    </row>
    <row r="399" spans="1:2">
      <c r="A399" t="s">
        <v>1103</v>
      </c>
      <c r="B399" s="56" t="s">
        <v>95</v>
      </c>
    </row>
    <row r="400" spans="1:2">
      <c r="A400" t="s">
        <v>1739</v>
      </c>
      <c r="B400" s="56" t="s">
        <v>2186</v>
      </c>
    </row>
    <row r="401" spans="1:2">
      <c r="A401" t="s">
        <v>830</v>
      </c>
      <c r="B401" s="56" t="s">
        <v>120</v>
      </c>
    </row>
    <row r="402" spans="1:2">
      <c r="A402" t="s">
        <v>1444</v>
      </c>
      <c r="B402" s="56" t="s">
        <v>164</v>
      </c>
    </row>
    <row r="403" spans="1:2">
      <c r="A403" t="s">
        <v>4097</v>
      </c>
      <c r="B403" s="56" t="s">
        <v>204</v>
      </c>
    </row>
    <row r="404" spans="1:2">
      <c r="A404" t="s">
        <v>3355</v>
      </c>
      <c r="B404" s="56" t="s">
        <v>148</v>
      </c>
    </row>
    <row r="405" spans="1:2">
      <c r="A405" t="s">
        <v>1104</v>
      </c>
      <c r="B405" s="56" t="s">
        <v>164</v>
      </c>
    </row>
    <row r="406" spans="1:2">
      <c r="A406" t="s">
        <v>1445</v>
      </c>
      <c r="B406" s="56" t="s">
        <v>142</v>
      </c>
    </row>
    <row r="407" spans="1:2">
      <c r="A407" t="s">
        <v>3937</v>
      </c>
      <c r="B407" s="56" t="s">
        <v>134</v>
      </c>
    </row>
    <row r="408" spans="1:2">
      <c r="A408" t="s">
        <v>1446</v>
      </c>
      <c r="B408" s="56" t="s">
        <v>164</v>
      </c>
    </row>
    <row r="409" spans="1:2">
      <c r="A409" t="s">
        <v>1447</v>
      </c>
      <c r="B409" s="56" t="s">
        <v>205</v>
      </c>
    </row>
    <row r="410" spans="1:2">
      <c r="A410" t="s">
        <v>3058</v>
      </c>
      <c r="B410" s="56" t="s">
        <v>164</v>
      </c>
    </row>
    <row r="411" spans="1:2">
      <c r="A411" t="s">
        <v>1448</v>
      </c>
      <c r="B411" s="56" t="s">
        <v>164</v>
      </c>
    </row>
    <row r="412" spans="1:2">
      <c r="A412" t="s">
        <v>1105</v>
      </c>
      <c r="B412" s="56" t="s">
        <v>183</v>
      </c>
    </row>
    <row r="413" spans="1:2">
      <c r="A413" t="s">
        <v>1106</v>
      </c>
      <c r="B413" s="56" t="s">
        <v>164</v>
      </c>
    </row>
    <row r="414" spans="1:2">
      <c r="A414" t="s">
        <v>921</v>
      </c>
      <c r="B414" s="56" t="s">
        <v>142</v>
      </c>
    </row>
    <row r="415" spans="1:2">
      <c r="A415" t="s">
        <v>1107</v>
      </c>
      <c r="B415" s="56" t="s">
        <v>164</v>
      </c>
    </row>
    <row r="416" spans="1:2">
      <c r="A416" t="s">
        <v>2297</v>
      </c>
      <c r="B416" s="56" t="s">
        <v>142</v>
      </c>
    </row>
    <row r="417" spans="1:3">
      <c r="A417" t="s">
        <v>831</v>
      </c>
      <c r="B417" s="56" t="s">
        <v>107</v>
      </c>
    </row>
    <row r="418" spans="1:3">
      <c r="A418" t="s">
        <v>4049</v>
      </c>
      <c r="B418" s="56" t="s">
        <v>142</v>
      </c>
    </row>
    <row r="419" spans="1:3">
      <c r="A419" t="s">
        <v>1108</v>
      </c>
      <c r="B419" s="56" t="s">
        <v>142</v>
      </c>
    </row>
    <row r="420" spans="1:3">
      <c r="A420" t="s">
        <v>2710</v>
      </c>
      <c r="B420" s="56" t="s">
        <v>164</v>
      </c>
    </row>
    <row r="421" spans="1:3">
      <c r="A421" t="s">
        <v>1449</v>
      </c>
      <c r="B421" s="56" t="s">
        <v>142</v>
      </c>
    </row>
    <row r="422" spans="1:3">
      <c r="A422" t="s">
        <v>2834</v>
      </c>
      <c r="B422" s="56" t="s">
        <v>144</v>
      </c>
    </row>
    <row r="423" spans="1:3">
      <c r="A423" t="s">
        <v>1450</v>
      </c>
      <c r="B423" s="56" t="s">
        <v>1078</v>
      </c>
    </row>
    <row r="424" spans="1:3">
      <c r="A424" t="s">
        <v>1451</v>
      </c>
      <c r="B424" s="56" t="s">
        <v>183</v>
      </c>
    </row>
    <row r="425" spans="1:3">
      <c r="A425" t="s">
        <v>2252</v>
      </c>
      <c r="B425" s="56" t="s">
        <v>186</v>
      </c>
    </row>
    <row r="426" spans="1:3">
      <c r="A426" t="s">
        <v>1452</v>
      </c>
      <c r="B426" s="56" t="s">
        <v>1032</v>
      </c>
    </row>
    <row r="427" spans="1:3">
      <c r="A427" t="s">
        <v>1109</v>
      </c>
      <c r="B427" s="56" t="s">
        <v>142</v>
      </c>
    </row>
    <row r="428" spans="1:3">
      <c r="A428" t="s">
        <v>1110</v>
      </c>
      <c r="B428" s="56" t="s">
        <v>134</v>
      </c>
    </row>
    <row r="429" spans="1:3">
      <c r="A429" t="s">
        <v>2301</v>
      </c>
      <c r="B429" s="299" t="s">
        <v>207</v>
      </c>
      <c r="C429" t="s">
        <v>3990</v>
      </c>
    </row>
    <row r="430" spans="1:3">
      <c r="A430" t="s">
        <v>1111</v>
      </c>
      <c r="B430" s="56" t="s">
        <v>183</v>
      </c>
    </row>
    <row r="431" spans="1:3">
      <c r="A431" t="s">
        <v>1453</v>
      </c>
      <c r="B431" s="56" t="s">
        <v>164</v>
      </c>
    </row>
    <row r="432" spans="1:3">
      <c r="A432" t="s">
        <v>1454</v>
      </c>
      <c r="B432" s="56" t="s">
        <v>164</v>
      </c>
    </row>
    <row r="433" spans="1:2">
      <c r="A433" t="s">
        <v>729</v>
      </c>
      <c r="B433" s="56" t="s">
        <v>142</v>
      </c>
    </row>
    <row r="434" spans="1:2">
      <c r="A434" t="s">
        <v>1455</v>
      </c>
      <c r="B434" s="56" t="s">
        <v>940</v>
      </c>
    </row>
    <row r="435" spans="1:2">
      <c r="A435" t="s">
        <v>2690</v>
      </c>
      <c r="B435" s="56" t="s">
        <v>164</v>
      </c>
    </row>
    <row r="436" spans="1:2">
      <c r="A436" t="s">
        <v>2349</v>
      </c>
      <c r="B436" s="56" t="s">
        <v>1032</v>
      </c>
    </row>
    <row r="437" spans="1:2">
      <c r="A437" t="s">
        <v>1112</v>
      </c>
      <c r="B437" s="56" t="s">
        <v>4114</v>
      </c>
    </row>
    <row r="438" spans="1:2">
      <c r="A438" t="s">
        <v>1113</v>
      </c>
      <c r="B438" s="56" t="s">
        <v>183</v>
      </c>
    </row>
    <row r="439" spans="1:2">
      <c r="A439" t="s">
        <v>2523</v>
      </c>
      <c r="B439" s="56" t="s">
        <v>170</v>
      </c>
    </row>
    <row r="440" spans="1:2">
      <c r="A440" t="s">
        <v>1456</v>
      </c>
      <c r="B440" s="56" t="s">
        <v>164</v>
      </c>
    </row>
    <row r="441" spans="1:2">
      <c r="A441" t="s">
        <v>1114</v>
      </c>
      <c r="B441" s="56" t="s">
        <v>183</v>
      </c>
    </row>
    <row r="442" spans="1:2">
      <c r="A442" t="s">
        <v>3255</v>
      </c>
      <c r="B442" s="56" t="s">
        <v>183</v>
      </c>
    </row>
    <row r="443" spans="1:2">
      <c r="A443" t="s">
        <v>2940</v>
      </c>
      <c r="B443" s="56" t="s">
        <v>142</v>
      </c>
    </row>
    <row r="444" spans="1:2">
      <c r="A444" t="s">
        <v>1115</v>
      </c>
      <c r="B444" s="56" t="s">
        <v>1078</v>
      </c>
    </row>
    <row r="445" spans="1:2">
      <c r="A445" t="s">
        <v>2520</v>
      </c>
      <c r="B445" s="56" t="s">
        <v>186</v>
      </c>
    </row>
    <row r="446" spans="1:2">
      <c r="A446" t="s">
        <v>922</v>
      </c>
      <c r="B446" s="56" t="s">
        <v>142</v>
      </c>
    </row>
    <row r="447" spans="1:2">
      <c r="A447" t="s">
        <v>2552</v>
      </c>
      <c r="B447" s="56" t="s">
        <v>148</v>
      </c>
    </row>
    <row r="448" spans="1:2">
      <c r="A448" t="s">
        <v>4052</v>
      </c>
      <c r="B448" s="56" t="s">
        <v>142</v>
      </c>
    </row>
    <row r="449" spans="1:2">
      <c r="A449" t="s">
        <v>1457</v>
      </c>
      <c r="B449" s="56" t="s">
        <v>153</v>
      </c>
    </row>
    <row r="450" spans="1:2">
      <c r="A450" t="s">
        <v>1116</v>
      </c>
      <c r="B450" s="56" t="s">
        <v>142</v>
      </c>
    </row>
    <row r="451" spans="1:2">
      <c r="A451" t="s">
        <v>3395</v>
      </c>
      <c r="B451" s="56" t="s">
        <v>164</v>
      </c>
    </row>
    <row r="452" spans="1:2">
      <c r="A452" t="s">
        <v>1458</v>
      </c>
      <c r="B452" s="56" t="s">
        <v>164</v>
      </c>
    </row>
    <row r="453" spans="1:2">
      <c r="A453" t="s">
        <v>1117</v>
      </c>
      <c r="B453" s="56" t="s">
        <v>940</v>
      </c>
    </row>
    <row r="454" spans="1:2">
      <c r="A454" t="s">
        <v>2248</v>
      </c>
      <c r="B454" s="56" t="s">
        <v>142</v>
      </c>
    </row>
    <row r="455" spans="1:2">
      <c r="A455" t="s">
        <v>1459</v>
      </c>
      <c r="B455" s="56" t="s">
        <v>1032</v>
      </c>
    </row>
    <row r="456" spans="1:2">
      <c r="A456" t="s">
        <v>832</v>
      </c>
      <c r="B456" s="56" t="s">
        <v>123</v>
      </c>
    </row>
    <row r="457" spans="1:2">
      <c r="A457" t="s">
        <v>923</v>
      </c>
      <c r="B457" s="56" t="s">
        <v>164</v>
      </c>
    </row>
    <row r="458" spans="1:2">
      <c r="A458" t="s">
        <v>1118</v>
      </c>
      <c r="B458" s="56" t="s">
        <v>183</v>
      </c>
    </row>
    <row r="459" spans="1:2">
      <c r="A459" t="s">
        <v>1460</v>
      </c>
      <c r="B459" s="56" t="s">
        <v>142</v>
      </c>
    </row>
    <row r="460" spans="1:2">
      <c r="A460" t="s">
        <v>1119</v>
      </c>
      <c r="B460" s="56" t="s">
        <v>142</v>
      </c>
    </row>
    <row r="461" spans="1:2">
      <c r="A461" t="s">
        <v>928</v>
      </c>
      <c r="B461" s="56" t="s">
        <v>177</v>
      </c>
    </row>
    <row r="462" spans="1:2">
      <c r="A462" t="s">
        <v>3393</v>
      </c>
      <c r="B462" s="56" t="s">
        <v>164</v>
      </c>
    </row>
    <row r="463" spans="1:2">
      <c r="A463" t="s">
        <v>4021</v>
      </c>
      <c r="B463" s="299" t="s">
        <v>197</v>
      </c>
    </row>
    <row r="464" spans="1:2">
      <c r="A464" t="s">
        <v>927</v>
      </c>
      <c r="B464" s="56" t="s">
        <v>142</v>
      </c>
    </row>
    <row r="465" spans="1:2">
      <c r="A465" t="s">
        <v>1461</v>
      </c>
      <c r="B465" s="56" t="s">
        <v>178</v>
      </c>
    </row>
    <row r="466" spans="1:2">
      <c r="A466" t="s">
        <v>1120</v>
      </c>
      <c r="B466" s="56" t="s">
        <v>178</v>
      </c>
    </row>
    <row r="467" spans="1:2">
      <c r="A467" t="s">
        <v>3627</v>
      </c>
      <c r="B467" s="56" t="s">
        <v>142</v>
      </c>
    </row>
    <row r="468" spans="1:2">
      <c r="A468" t="s">
        <v>1462</v>
      </c>
      <c r="B468" s="56" t="s">
        <v>183</v>
      </c>
    </row>
    <row r="469" spans="1:2">
      <c r="A469" t="s">
        <v>1121</v>
      </c>
      <c r="B469" s="56" t="s">
        <v>178</v>
      </c>
    </row>
    <row r="470" spans="1:2">
      <c r="A470" t="s">
        <v>2769</v>
      </c>
      <c r="B470" s="56" t="s">
        <v>183</v>
      </c>
    </row>
    <row r="471" spans="1:2">
      <c r="A471" t="s">
        <v>1463</v>
      </c>
      <c r="B471" s="56" t="s">
        <v>169</v>
      </c>
    </row>
    <row r="472" spans="1:2">
      <c r="A472" t="s">
        <v>1464</v>
      </c>
      <c r="B472" s="56" t="s">
        <v>148</v>
      </c>
    </row>
    <row r="473" spans="1:2">
      <c r="A473" t="s">
        <v>1617</v>
      </c>
      <c r="B473" s="56" t="s">
        <v>183</v>
      </c>
    </row>
    <row r="474" spans="1:2">
      <c r="A474" t="s">
        <v>926</v>
      </c>
      <c r="B474" s="56" t="s">
        <v>177</v>
      </c>
    </row>
    <row r="475" spans="1:2">
      <c r="A475" t="s">
        <v>3368</v>
      </c>
      <c r="B475" s="56" t="s">
        <v>183</v>
      </c>
    </row>
    <row r="476" spans="1:2">
      <c r="A476" t="s">
        <v>1122</v>
      </c>
      <c r="B476" s="56" t="s">
        <v>178</v>
      </c>
    </row>
    <row r="477" spans="1:2">
      <c r="A477" t="s">
        <v>925</v>
      </c>
      <c r="B477" s="56" t="s">
        <v>152</v>
      </c>
    </row>
    <row r="478" spans="1:2">
      <c r="A478" t="s">
        <v>1123</v>
      </c>
      <c r="B478" s="56" t="s">
        <v>187</v>
      </c>
    </row>
    <row r="479" spans="1:2">
      <c r="A479" t="s">
        <v>1465</v>
      </c>
      <c r="B479" s="56" t="s">
        <v>142</v>
      </c>
    </row>
    <row r="480" spans="1:2">
      <c r="A480" t="s">
        <v>2893</v>
      </c>
      <c r="B480" s="56" t="s">
        <v>142</v>
      </c>
    </row>
    <row r="481" spans="1:3">
      <c r="A481" t="s">
        <v>924</v>
      </c>
      <c r="B481" s="56" t="s">
        <v>164</v>
      </c>
    </row>
    <row r="482" spans="1:3">
      <c r="A482" t="s">
        <v>730</v>
      </c>
      <c r="B482" s="56" t="s">
        <v>142</v>
      </c>
    </row>
    <row r="483" spans="1:3">
      <c r="A483" t="s">
        <v>1466</v>
      </c>
      <c r="B483" s="56" t="s">
        <v>164</v>
      </c>
    </row>
    <row r="484" spans="1:3">
      <c r="A484" t="s">
        <v>4168</v>
      </c>
      <c r="B484" s="56" t="s">
        <v>142</v>
      </c>
    </row>
    <row r="485" spans="1:3">
      <c r="A485" t="s">
        <v>1124</v>
      </c>
      <c r="B485" s="56" t="s">
        <v>1078</v>
      </c>
      <c r="C485" s="56"/>
    </row>
    <row r="486" spans="1:3">
      <c r="A486" t="s">
        <v>620</v>
      </c>
      <c r="B486" s="56" t="s">
        <v>186</v>
      </c>
      <c r="C486" s="56"/>
    </row>
    <row r="487" spans="1:3">
      <c r="A487" t="s">
        <v>1467</v>
      </c>
      <c r="B487" s="56" t="s">
        <v>200</v>
      </c>
      <c r="C487" s="56"/>
    </row>
    <row r="488" spans="1:3">
      <c r="A488" t="s">
        <v>1125</v>
      </c>
      <c r="B488" s="56" t="s">
        <v>142</v>
      </c>
      <c r="C488" s="56"/>
    </row>
    <row r="489" spans="1:3">
      <c r="A489" t="s">
        <v>1468</v>
      </c>
      <c r="B489" s="56" t="s">
        <v>183</v>
      </c>
      <c r="C489" s="56"/>
    </row>
    <row r="490" spans="1:3">
      <c r="A490" t="s">
        <v>1469</v>
      </c>
      <c r="B490" s="56" t="s">
        <v>164</v>
      </c>
      <c r="C490" s="56"/>
    </row>
    <row r="491" spans="1:3">
      <c r="A491" t="s">
        <v>1470</v>
      </c>
      <c r="B491" s="56" t="s">
        <v>204</v>
      </c>
      <c r="C491" s="56"/>
    </row>
    <row r="492" spans="1:3">
      <c r="A492" t="s">
        <v>2894</v>
      </c>
      <c r="B492" s="56" t="s">
        <v>164</v>
      </c>
      <c r="C492" s="56"/>
    </row>
    <row r="493" spans="1:3">
      <c r="A493" t="s">
        <v>929</v>
      </c>
      <c r="B493" s="56" t="s">
        <v>100</v>
      </c>
      <c r="C493" s="56"/>
    </row>
    <row r="494" spans="1:3">
      <c r="A494" t="s">
        <v>930</v>
      </c>
      <c r="B494" s="56" t="s">
        <v>164</v>
      </c>
      <c r="C494" s="56"/>
    </row>
    <row r="495" spans="1:3">
      <c r="A495" t="s">
        <v>1471</v>
      </c>
      <c r="B495" s="56" t="s">
        <v>144</v>
      </c>
      <c r="C495" s="56"/>
    </row>
    <row r="496" spans="1:3">
      <c r="A496" t="s">
        <v>1126</v>
      </c>
      <c r="B496" s="56" t="s">
        <v>142</v>
      </c>
      <c r="C496" s="56"/>
    </row>
    <row r="497" spans="1:3">
      <c r="A497" t="s">
        <v>1127</v>
      </c>
      <c r="B497" s="56" t="s">
        <v>183</v>
      </c>
      <c r="C497" s="56"/>
    </row>
    <row r="498" spans="1:3">
      <c r="A498" t="s">
        <v>3371</v>
      </c>
      <c r="B498" s="56" t="s">
        <v>164</v>
      </c>
      <c r="C498" s="56"/>
    </row>
    <row r="499" spans="1:3">
      <c r="A499" t="s">
        <v>1809</v>
      </c>
      <c r="B499" s="56" t="s">
        <v>102</v>
      </c>
      <c r="C499" s="56"/>
    </row>
    <row r="500" spans="1:3">
      <c r="A500" t="s">
        <v>621</v>
      </c>
      <c r="B500" s="56" t="s">
        <v>186</v>
      </c>
      <c r="C500" s="56"/>
    </row>
    <row r="501" spans="1:3">
      <c r="A501" t="s">
        <v>771</v>
      </c>
      <c r="B501" s="56" t="s">
        <v>191</v>
      </c>
      <c r="C501" s="56" t="s">
        <v>3990</v>
      </c>
    </row>
    <row r="502" spans="1:3">
      <c r="A502" t="s">
        <v>1472</v>
      </c>
      <c r="B502" s="56" t="s">
        <v>204</v>
      </c>
      <c r="C502" s="56"/>
    </row>
    <row r="503" spans="1:3">
      <c r="A503" t="s">
        <v>931</v>
      </c>
      <c r="B503" s="56" t="s">
        <v>164</v>
      </c>
    </row>
    <row r="504" spans="1:3">
      <c r="A504" t="s">
        <v>2682</v>
      </c>
      <c r="B504" s="56" t="s">
        <v>3021</v>
      </c>
    </row>
    <row r="505" spans="1:3">
      <c r="A505" t="s">
        <v>1128</v>
      </c>
      <c r="B505" s="56" t="s">
        <v>1032</v>
      </c>
    </row>
    <row r="506" spans="1:3">
      <c r="A506" t="s">
        <v>2266</v>
      </c>
      <c r="B506" s="56" t="s">
        <v>148</v>
      </c>
    </row>
    <row r="507" spans="1:3">
      <c r="A507" t="s">
        <v>1129</v>
      </c>
      <c r="B507" s="56" t="s">
        <v>940</v>
      </c>
    </row>
    <row r="508" spans="1:3">
      <c r="A508" t="s">
        <v>4093</v>
      </c>
      <c r="B508" s="56" t="s">
        <v>142</v>
      </c>
    </row>
    <row r="509" spans="1:3">
      <c r="A509" t="s">
        <v>4166</v>
      </c>
      <c r="B509" s="56" t="s">
        <v>126</v>
      </c>
    </row>
    <row r="510" spans="1:3">
      <c r="A510" t="s">
        <v>1130</v>
      </c>
      <c r="B510" s="56" t="s">
        <v>1032</v>
      </c>
    </row>
    <row r="511" spans="1:3">
      <c r="A511" t="s">
        <v>4106</v>
      </c>
      <c r="B511" s="56" t="s">
        <v>142</v>
      </c>
    </row>
    <row r="512" spans="1:3">
      <c r="A512" t="s">
        <v>1473</v>
      </c>
      <c r="B512" s="56" t="s">
        <v>142</v>
      </c>
    </row>
    <row r="513" spans="1:3">
      <c r="A513" t="s">
        <v>1474</v>
      </c>
      <c r="B513" s="56" t="s">
        <v>142</v>
      </c>
    </row>
    <row r="514" spans="1:3">
      <c r="A514" t="s">
        <v>1804</v>
      </c>
      <c r="B514" s="56" t="s">
        <v>134</v>
      </c>
    </row>
    <row r="515" spans="1:3">
      <c r="A515" t="s">
        <v>1131</v>
      </c>
      <c r="B515" s="56" t="s">
        <v>142</v>
      </c>
    </row>
    <row r="516" spans="1:3">
      <c r="A516" t="s">
        <v>3136</v>
      </c>
      <c r="B516" s="56" t="s">
        <v>183</v>
      </c>
    </row>
    <row r="517" spans="1:3">
      <c r="A517" t="s">
        <v>3611</v>
      </c>
      <c r="B517" s="56" t="s">
        <v>146</v>
      </c>
    </row>
    <row r="518" spans="1:3">
      <c r="A518" t="s">
        <v>3128</v>
      </c>
      <c r="B518" s="56" t="s">
        <v>148</v>
      </c>
    </row>
    <row r="519" spans="1:3">
      <c r="A519" t="s">
        <v>3011</v>
      </c>
      <c r="B519" s="299" t="s">
        <v>159</v>
      </c>
      <c r="C519" t="s">
        <v>4041</v>
      </c>
    </row>
    <row r="520" spans="1:3">
      <c r="A520" t="s">
        <v>1475</v>
      </c>
      <c r="B520" s="56" t="s">
        <v>148</v>
      </c>
    </row>
    <row r="521" spans="1:3">
      <c r="A521" t="s">
        <v>1476</v>
      </c>
      <c r="B521" s="56" t="s">
        <v>148</v>
      </c>
    </row>
    <row r="522" spans="1:3">
      <c r="A522" t="s">
        <v>1750</v>
      </c>
      <c r="B522" s="56" t="s">
        <v>95</v>
      </c>
    </row>
    <row r="523" spans="1:3">
      <c r="A523" t="s">
        <v>3340</v>
      </c>
      <c r="B523" s="56" t="s">
        <v>142</v>
      </c>
    </row>
    <row r="524" spans="1:3">
      <c r="A524" t="s">
        <v>731</v>
      </c>
      <c r="B524" s="56" t="s">
        <v>164</v>
      </c>
    </row>
    <row r="525" spans="1:3">
      <c r="A525" t="s">
        <v>1477</v>
      </c>
      <c r="B525" s="56" t="s">
        <v>169</v>
      </c>
    </row>
    <row r="526" spans="1:3">
      <c r="A526" t="s">
        <v>1478</v>
      </c>
      <c r="B526" s="56" t="s">
        <v>164</v>
      </c>
    </row>
    <row r="527" spans="1:3">
      <c r="A527" t="s">
        <v>932</v>
      </c>
      <c r="B527" s="56" t="s">
        <v>164</v>
      </c>
    </row>
    <row r="528" spans="1:3">
      <c r="A528" t="s">
        <v>933</v>
      </c>
      <c r="B528" s="56" t="s">
        <v>164</v>
      </c>
    </row>
    <row r="529" spans="1:2">
      <c r="A529" t="s">
        <v>2677</v>
      </c>
      <c r="B529" s="56" t="s">
        <v>164</v>
      </c>
    </row>
    <row r="530" spans="1:2">
      <c r="A530" t="s">
        <v>2947</v>
      </c>
      <c r="B530" s="56" t="s">
        <v>164</v>
      </c>
    </row>
    <row r="531" spans="1:2">
      <c r="A531" t="s">
        <v>1479</v>
      </c>
      <c r="B531" s="56" t="s">
        <v>142</v>
      </c>
    </row>
    <row r="532" spans="1:2">
      <c r="A532" t="s">
        <v>1480</v>
      </c>
      <c r="B532" s="56" t="s">
        <v>142</v>
      </c>
    </row>
    <row r="533" spans="1:2">
      <c r="A533" t="s">
        <v>1132</v>
      </c>
      <c r="B533" s="56" t="s">
        <v>183</v>
      </c>
    </row>
    <row r="534" spans="1:2">
      <c r="A534" t="s">
        <v>619</v>
      </c>
      <c r="B534" s="56" t="s">
        <v>171</v>
      </c>
    </row>
    <row r="535" spans="1:2">
      <c r="A535" t="s">
        <v>1481</v>
      </c>
      <c r="B535" s="56" t="s">
        <v>183</v>
      </c>
    </row>
    <row r="536" spans="1:2">
      <c r="A536" t="s">
        <v>1482</v>
      </c>
      <c r="B536" s="56" t="s">
        <v>183</v>
      </c>
    </row>
    <row r="537" spans="1:2">
      <c r="A537" t="s">
        <v>1133</v>
      </c>
      <c r="B537" s="56" t="s">
        <v>169</v>
      </c>
    </row>
    <row r="538" spans="1:2">
      <c r="A538" t="s">
        <v>2843</v>
      </c>
      <c r="B538" s="56" t="s">
        <v>183</v>
      </c>
    </row>
    <row r="539" spans="1:2">
      <c r="A539" t="s">
        <v>2963</v>
      </c>
      <c r="B539" s="56" t="s">
        <v>205</v>
      </c>
    </row>
    <row r="540" spans="1:2">
      <c r="A540" t="s">
        <v>1483</v>
      </c>
      <c r="B540" s="56" t="s">
        <v>164</v>
      </c>
    </row>
    <row r="541" spans="1:2">
      <c r="A541" t="s">
        <v>1484</v>
      </c>
      <c r="B541" s="56" t="s">
        <v>164</v>
      </c>
    </row>
    <row r="542" spans="1:2">
      <c r="A542" t="s">
        <v>1643</v>
      </c>
      <c r="B542" s="56" t="s">
        <v>187</v>
      </c>
    </row>
    <row r="543" spans="1:2">
      <c r="A543" t="s">
        <v>3383</v>
      </c>
      <c r="B543" s="56" t="s">
        <v>200</v>
      </c>
    </row>
    <row r="544" spans="1:2">
      <c r="A544" t="s">
        <v>2152</v>
      </c>
      <c r="B544" s="56" t="s">
        <v>101</v>
      </c>
    </row>
    <row r="545" spans="1:3">
      <c r="A545" t="s">
        <v>833</v>
      </c>
      <c r="B545" s="56" t="s">
        <v>148</v>
      </c>
    </row>
    <row r="546" spans="1:3">
      <c r="A546" t="s">
        <v>1134</v>
      </c>
      <c r="B546" s="56" t="s">
        <v>183</v>
      </c>
    </row>
    <row r="547" spans="1:3">
      <c r="A547" t="s">
        <v>3001</v>
      </c>
      <c r="B547" s="56" t="s">
        <v>142</v>
      </c>
    </row>
    <row r="548" spans="1:3">
      <c r="A548" t="s">
        <v>3148</v>
      </c>
      <c r="B548" s="56" t="s">
        <v>142</v>
      </c>
    </row>
    <row r="549" spans="1:3">
      <c r="A549" t="s">
        <v>2529</v>
      </c>
      <c r="B549" s="56" t="s">
        <v>107</v>
      </c>
    </row>
    <row r="550" spans="1:3">
      <c r="A550" t="s">
        <v>1485</v>
      </c>
      <c r="B550" s="56" t="s">
        <v>142</v>
      </c>
    </row>
    <row r="551" spans="1:3">
      <c r="A551" t="s">
        <v>1486</v>
      </c>
      <c r="B551" s="56" t="s">
        <v>186</v>
      </c>
    </row>
    <row r="552" spans="1:3">
      <c r="A552" t="s">
        <v>4113</v>
      </c>
      <c r="B552" s="56" t="s">
        <v>183</v>
      </c>
    </row>
    <row r="553" spans="1:3">
      <c r="A553" t="s">
        <v>1135</v>
      </c>
      <c r="B553" s="56" t="s">
        <v>940</v>
      </c>
    </row>
    <row r="554" spans="1:3">
      <c r="A554" t="s">
        <v>934</v>
      </c>
      <c r="B554" s="56" t="s">
        <v>2337</v>
      </c>
      <c r="C554" t="s">
        <v>4041</v>
      </c>
    </row>
    <row r="555" spans="1:3">
      <c r="A555" t="s">
        <v>2770</v>
      </c>
      <c r="B555" s="56" t="s">
        <v>183</v>
      </c>
    </row>
    <row r="556" spans="1:3">
      <c r="A556" t="s">
        <v>1487</v>
      </c>
      <c r="B556" s="56" t="s">
        <v>137</v>
      </c>
    </row>
    <row r="557" spans="1:3">
      <c r="A557" t="s">
        <v>3394</v>
      </c>
      <c r="B557" s="56" t="s">
        <v>164</v>
      </c>
    </row>
    <row r="558" spans="1:3">
      <c r="A558" t="s">
        <v>2798</v>
      </c>
      <c r="B558" s="56" t="s">
        <v>183</v>
      </c>
    </row>
    <row r="559" spans="1:3">
      <c r="A559" t="s">
        <v>935</v>
      </c>
      <c r="B559" s="56" t="s">
        <v>164</v>
      </c>
    </row>
    <row r="560" spans="1:3">
      <c r="A560" t="s">
        <v>2090</v>
      </c>
      <c r="B560" s="56" t="s">
        <v>107</v>
      </c>
    </row>
    <row r="561" spans="1:2">
      <c r="A561" t="s">
        <v>1136</v>
      </c>
      <c r="B561" s="56" t="s">
        <v>1078</v>
      </c>
    </row>
    <row r="562" spans="1:2">
      <c r="A562" t="s">
        <v>2623</v>
      </c>
      <c r="B562" s="56" t="s">
        <v>176</v>
      </c>
    </row>
    <row r="563" spans="1:2">
      <c r="A563" t="s">
        <v>2621</v>
      </c>
      <c r="B563" s="56" t="s">
        <v>178</v>
      </c>
    </row>
    <row r="564" spans="1:2">
      <c r="A564" t="s">
        <v>1137</v>
      </c>
      <c r="B564" s="56" t="s">
        <v>940</v>
      </c>
    </row>
    <row r="565" spans="1:2">
      <c r="A565" t="s">
        <v>4096</v>
      </c>
      <c r="B565" s="56" t="s">
        <v>142</v>
      </c>
    </row>
    <row r="566" spans="1:2">
      <c r="A566" t="s">
        <v>1488</v>
      </c>
      <c r="B566" s="56" t="s">
        <v>183</v>
      </c>
    </row>
    <row r="567" spans="1:2">
      <c r="A567" t="s">
        <v>2997</v>
      </c>
      <c r="B567" s="56" t="s">
        <v>142</v>
      </c>
    </row>
    <row r="568" spans="1:2">
      <c r="A568" t="s">
        <v>936</v>
      </c>
      <c r="B568" s="56" t="s">
        <v>142</v>
      </c>
    </row>
    <row r="569" spans="1:2">
      <c r="A569" t="s">
        <v>1489</v>
      </c>
      <c r="B569" s="56" t="s">
        <v>115</v>
      </c>
    </row>
    <row r="570" spans="1:2">
      <c r="A570" t="s">
        <v>1490</v>
      </c>
      <c r="B570" s="56" t="s">
        <v>142</v>
      </c>
    </row>
    <row r="571" spans="1:2">
      <c r="A571" t="s">
        <v>834</v>
      </c>
      <c r="B571" s="56" t="s">
        <v>107</v>
      </c>
    </row>
    <row r="572" spans="1:2">
      <c r="A572" t="s">
        <v>1491</v>
      </c>
      <c r="B572" s="56" t="s">
        <v>146</v>
      </c>
    </row>
    <row r="573" spans="1:2">
      <c r="A573" t="s">
        <v>835</v>
      </c>
      <c r="B573" s="56" t="s">
        <v>190</v>
      </c>
    </row>
    <row r="574" spans="1:2">
      <c r="A574" t="s">
        <v>703</v>
      </c>
      <c r="B574" s="56" t="s">
        <v>105</v>
      </c>
    </row>
    <row r="575" spans="1:2">
      <c r="A575" t="s">
        <v>2628</v>
      </c>
      <c r="B575" s="56" t="s">
        <v>142</v>
      </c>
    </row>
    <row r="576" spans="1:2">
      <c r="A576" t="s">
        <v>2697</v>
      </c>
      <c r="B576" s="56" t="s">
        <v>142</v>
      </c>
    </row>
    <row r="577" spans="1:3">
      <c r="A577" t="s">
        <v>2548</v>
      </c>
      <c r="B577" s="56" t="s">
        <v>164</v>
      </c>
    </row>
    <row r="578" spans="1:3">
      <c r="A578" t="s">
        <v>1492</v>
      </c>
      <c r="B578" s="56" t="s">
        <v>164</v>
      </c>
    </row>
    <row r="579" spans="1:3">
      <c r="A579" t="s">
        <v>2353</v>
      </c>
      <c r="B579" s="56" t="s">
        <v>142</v>
      </c>
    </row>
    <row r="580" spans="1:3">
      <c r="A580" t="s">
        <v>801</v>
      </c>
      <c r="B580" s="56" t="s">
        <v>175</v>
      </c>
    </row>
    <row r="581" spans="1:3">
      <c r="A581" t="s">
        <v>1493</v>
      </c>
      <c r="B581" s="56" t="s">
        <v>142</v>
      </c>
    </row>
    <row r="582" spans="1:3">
      <c r="A582" t="s">
        <v>2561</v>
      </c>
      <c r="B582" s="56" t="s">
        <v>169</v>
      </c>
      <c r="C582" t="s">
        <v>3980</v>
      </c>
    </row>
    <row r="583" spans="1:3">
      <c r="A583" t="s">
        <v>1494</v>
      </c>
      <c r="B583" s="56" t="s">
        <v>940</v>
      </c>
    </row>
    <row r="584" spans="1:3">
      <c r="A584" t="s">
        <v>2164</v>
      </c>
      <c r="B584" s="56" t="s">
        <v>124</v>
      </c>
    </row>
    <row r="585" spans="1:3">
      <c r="A585" t="s">
        <v>786</v>
      </c>
      <c r="B585" s="56" t="s">
        <v>186</v>
      </c>
    </row>
    <row r="586" spans="1:3">
      <c r="A586" t="s">
        <v>1496</v>
      </c>
      <c r="B586" s="56" t="s">
        <v>107</v>
      </c>
    </row>
    <row r="587" spans="1:3">
      <c r="A587" t="s">
        <v>1495</v>
      </c>
      <c r="B587" s="56" t="s">
        <v>138</v>
      </c>
    </row>
    <row r="588" spans="1:3">
      <c r="A588" t="s">
        <v>3158</v>
      </c>
      <c r="B588" s="56" t="s">
        <v>200</v>
      </c>
    </row>
    <row r="589" spans="1:3">
      <c r="A589" t="s">
        <v>2206</v>
      </c>
      <c r="B589" s="56" t="s">
        <v>142</v>
      </c>
    </row>
    <row r="590" spans="1:3">
      <c r="A590" t="s">
        <v>1497</v>
      </c>
      <c r="B590" s="56" t="s">
        <v>142</v>
      </c>
    </row>
    <row r="591" spans="1:3">
      <c r="A591" t="s">
        <v>1498</v>
      </c>
      <c r="B591" s="56" t="s">
        <v>148</v>
      </c>
    </row>
    <row r="592" spans="1:3">
      <c r="A592" t="s">
        <v>2553</v>
      </c>
      <c r="B592" s="56" t="s">
        <v>142</v>
      </c>
    </row>
    <row r="593" spans="1:2">
      <c r="A593" t="s">
        <v>2088</v>
      </c>
      <c r="B593" s="56" t="s">
        <v>169</v>
      </c>
    </row>
    <row r="594" spans="1:2">
      <c r="A594" t="s">
        <v>2675</v>
      </c>
      <c r="B594" s="56" t="s">
        <v>142</v>
      </c>
    </row>
    <row r="595" spans="1:2">
      <c r="A595" t="s">
        <v>668</v>
      </c>
      <c r="B595" s="56" t="s">
        <v>107</v>
      </c>
    </row>
    <row r="596" spans="1:2">
      <c r="A596" t="s">
        <v>2772</v>
      </c>
      <c r="B596" s="56" t="s">
        <v>142</v>
      </c>
    </row>
    <row r="597" spans="1:2">
      <c r="A597" t="s">
        <v>1138</v>
      </c>
      <c r="B597" s="56" t="s">
        <v>164</v>
      </c>
    </row>
    <row r="598" spans="1:2">
      <c r="A598" t="s">
        <v>836</v>
      </c>
      <c r="B598" s="56" t="s">
        <v>164</v>
      </c>
    </row>
    <row r="599" spans="1:2">
      <c r="A599" t="s">
        <v>3491</v>
      </c>
      <c r="B599" s="56" t="s">
        <v>142</v>
      </c>
    </row>
    <row r="600" spans="1:2">
      <c r="A600" t="s">
        <v>2209</v>
      </c>
      <c r="B600" s="56" t="s">
        <v>204</v>
      </c>
    </row>
    <row r="601" spans="1:2">
      <c r="A601" t="s">
        <v>1864</v>
      </c>
      <c r="B601" s="56" t="s">
        <v>164</v>
      </c>
    </row>
    <row r="602" spans="1:2">
      <c r="A602" t="s">
        <v>1139</v>
      </c>
      <c r="B602" s="56" t="s">
        <v>183</v>
      </c>
    </row>
    <row r="603" spans="1:2">
      <c r="A603" t="s">
        <v>2708</v>
      </c>
      <c r="B603" s="56" t="s">
        <v>183</v>
      </c>
    </row>
    <row r="604" spans="1:2">
      <c r="A604" t="s">
        <v>4044</v>
      </c>
      <c r="B604" s="56" t="s">
        <v>183</v>
      </c>
    </row>
    <row r="605" spans="1:2">
      <c r="A605" t="s">
        <v>3162</v>
      </c>
      <c r="B605" s="56" t="s">
        <v>175</v>
      </c>
    </row>
    <row r="606" spans="1:2">
      <c r="A606" t="s">
        <v>1140</v>
      </c>
      <c r="B606" s="56" t="s">
        <v>183</v>
      </c>
    </row>
    <row r="607" spans="1:2">
      <c r="A607" t="s">
        <v>1141</v>
      </c>
      <c r="B607" s="56" t="s">
        <v>175</v>
      </c>
    </row>
    <row r="608" spans="1:2">
      <c r="A608" t="s">
        <v>1803</v>
      </c>
      <c r="B608" s="56" t="s">
        <v>119</v>
      </c>
    </row>
    <row r="609" spans="1:3">
      <c r="A609" t="s">
        <v>3372</v>
      </c>
      <c r="B609" s="56" t="s">
        <v>166</v>
      </c>
    </row>
    <row r="610" spans="1:3">
      <c r="A610" t="s">
        <v>937</v>
      </c>
      <c r="B610" s="211" t="s">
        <v>205</v>
      </c>
    </row>
    <row r="611" spans="1:3">
      <c r="A611" t="s">
        <v>3369</v>
      </c>
      <c r="B611" s="211" t="s">
        <v>205</v>
      </c>
    </row>
    <row r="612" spans="1:3">
      <c r="A612" t="s">
        <v>1142</v>
      </c>
      <c r="B612" s="211" t="s">
        <v>1078</v>
      </c>
    </row>
    <row r="613" spans="1:3">
      <c r="A613" t="s">
        <v>3610</v>
      </c>
      <c r="B613" s="56" t="s">
        <v>142</v>
      </c>
    </row>
    <row r="614" spans="1:3">
      <c r="A614" t="s">
        <v>3488</v>
      </c>
      <c r="B614" s="56" t="s">
        <v>165</v>
      </c>
    </row>
    <row r="615" spans="1:3">
      <c r="A615" t="s">
        <v>2771</v>
      </c>
      <c r="B615" s="211" t="s">
        <v>164</v>
      </c>
    </row>
    <row r="616" spans="1:3">
      <c r="A616" t="s">
        <v>3885</v>
      </c>
      <c r="B616" s="64" t="s">
        <v>209</v>
      </c>
    </row>
    <row r="617" spans="1:3">
      <c r="A617" t="s">
        <v>2154</v>
      </c>
      <c r="B617" s="211" t="s">
        <v>107</v>
      </c>
    </row>
    <row r="618" spans="1:3">
      <c r="A618" t="s">
        <v>2906</v>
      </c>
      <c r="B618" s="56" t="s">
        <v>200</v>
      </c>
    </row>
    <row r="619" spans="1:3">
      <c r="A619" t="s">
        <v>767</v>
      </c>
      <c r="B619" s="56" t="s">
        <v>107</v>
      </c>
      <c r="C619" t="s">
        <v>3990</v>
      </c>
    </row>
    <row r="620" spans="1:3">
      <c r="A620" t="s">
        <v>768</v>
      </c>
      <c r="B620" s="56" t="s">
        <v>107</v>
      </c>
    </row>
    <row r="621" spans="1:3">
      <c r="A621" t="s">
        <v>3029</v>
      </c>
      <c r="B621" s="56" t="s">
        <v>183</v>
      </c>
    </row>
    <row r="622" spans="1:3">
      <c r="A622" t="s">
        <v>2797</v>
      </c>
      <c r="B622" s="56" t="s">
        <v>176</v>
      </c>
    </row>
    <row r="623" spans="1:3">
      <c r="A623" t="s">
        <v>1499</v>
      </c>
      <c r="B623" s="56" t="s">
        <v>142</v>
      </c>
    </row>
    <row r="624" spans="1:3">
      <c r="A624" t="s">
        <v>3130</v>
      </c>
      <c r="B624" s="56" t="s">
        <v>138</v>
      </c>
    </row>
    <row r="625" spans="1:2">
      <c r="A625" t="s">
        <v>2329</v>
      </c>
      <c r="B625" s="56" t="s">
        <v>138</v>
      </c>
    </row>
    <row r="626" spans="1:2">
      <c r="A626" t="s">
        <v>1500</v>
      </c>
      <c r="B626" s="56" t="s">
        <v>142</v>
      </c>
    </row>
    <row r="627" spans="1:2">
      <c r="A627" t="s">
        <v>1501</v>
      </c>
      <c r="B627" s="56" t="s">
        <v>142</v>
      </c>
    </row>
    <row r="628" spans="1:2">
      <c r="A628" t="s">
        <v>732</v>
      </c>
      <c r="B628" s="56" t="s">
        <v>164</v>
      </c>
    </row>
    <row r="629" spans="1:2">
      <c r="A629" t="s">
        <v>733</v>
      </c>
      <c r="B629" s="56" t="s">
        <v>142</v>
      </c>
    </row>
    <row r="630" spans="1:2">
      <c r="A630" t="s">
        <v>1502</v>
      </c>
      <c r="B630" s="56" t="s">
        <v>142</v>
      </c>
    </row>
    <row r="631" spans="1:2">
      <c r="A631" t="s">
        <v>2897</v>
      </c>
      <c r="B631" s="56" t="s">
        <v>164</v>
      </c>
    </row>
    <row r="632" spans="1:2">
      <c r="A632" t="s">
        <v>3030</v>
      </c>
      <c r="B632" s="56" t="s">
        <v>176</v>
      </c>
    </row>
    <row r="633" spans="1:2">
      <c r="A633" t="s">
        <v>2934</v>
      </c>
      <c r="B633" s="56" t="s">
        <v>164</v>
      </c>
    </row>
    <row r="634" spans="1:2">
      <c r="A634" t="s">
        <v>2761</v>
      </c>
      <c r="B634" s="56" t="s">
        <v>164</v>
      </c>
    </row>
    <row r="635" spans="1:2">
      <c r="A635" t="s">
        <v>2686</v>
      </c>
      <c r="B635" s="56" t="s">
        <v>176</v>
      </c>
    </row>
    <row r="636" spans="1:2">
      <c r="A636" t="s">
        <v>3163</v>
      </c>
      <c r="B636" s="56" t="s">
        <v>175</v>
      </c>
    </row>
    <row r="637" spans="1:2">
      <c r="A637" t="s">
        <v>1143</v>
      </c>
      <c r="B637" s="56" t="s">
        <v>940</v>
      </c>
    </row>
    <row r="638" spans="1:2">
      <c r="A638" t="s">
        <v>2910</v>
      </c>
      <c r="B638" s="56" t="s">
        <v>200</v>
      </c>
    </row>
    <row r="639" spans="1:2">
      <c r="A639" t="s">
        <v>1503</v>
      </c>
      <c r="B639" s="56" t="s">
        <v>183</v>
      </c>
    </row>
    <row r="640" spans="1:2">
      <c r="A640" t="s">
        <v>1504</v>
      </c>
      <c r="B640" s="56" t="s">
        <v>205</v>
      </c>
    </row>
    <row r="641" spans="1:2">
      <c r="A641" t="s">
        <v>2899</v>
      </c>
      <c r="B641" s="56" t="s">
        <v>142</v>
      </c>
    </row>
    <row r="642" spans="1:2">
      <c r="A642" t="s">
        <v>3319</v>
      </c>
      <c r="B642" s="56" t="s">
        <v>148</v>
      </c>
    </row>
    <row r="643" spans="1:2">
      <c r="A643" t="s">
        <v>1505</v>
      </c>
      <c r="B643" s="56" t="s">
        <v>126</v>
      </c>
    </row>
    <row r="644" spans="1:2">
      <c r="A644" t="s">
        <v>938</v>
      </c>
      <c r="B644" s="56" t="s">
        <v>153</v>
      </c>
    </row>
    <row r="645" spans="1:2">
      <c r="A645" t="s">
        <v>1506</v>
      </c>
      <c r="B645" s="56" t="s">
        <v>142</v>
      </c>
    </row>
    <row r="646" spans="1:2">
      <c r="A646" t="s">
        <v>1144</v>
      </c>
      <c r="B646" s="56" t="s">
        <v>142</v>
      </c>
    </row>
    <row r="647" spans="1:2">
      <c r="A647" t="s">
        <v>3467</v>
      </c>
      <c r="B647" s="56" t="s">
        <v>142</v>
      </c>
    </row>
    <row r="648" spans="1:2">
      <c r="A648" t="s">
        <v>837</v>
      </c>
      <c r="B648" s="56" t="s">
        <v>123</v>
      </c>
    </row>
    <row r="649" spans="1:2">
      <c r="A649" t="s">
        <v>1639</v>
      </c>
      <c r="B649" s="56" t="s">
        <v>105</v>
      </c>
    </row>
    <row r="650" spans="1:2">
      <c r="A650" t="s">
        <v>1145</v>
      </c>
      <c r="B650" s="56" t="s">
        <v>183</v>
      </c>
    </row>
    <row r="651" spans="1:2">
      <c r="A651" t="s">
        <v>2351</v>
      </c>
      <c r="B651" s="56" t="s">
        <v>164</v>
      </c>
    </row>
    <row r="652" spans="1:2">
      <c r="A652" t="s">
        <v>1146</v>
      </c>
      <c r="B652" s="56" t="s">
        <v>164</v>
      </c>
    </row>
    <row r="653" spans="1:2">
      <c r="A653" t="s">
        <v>2784</v>
      </c>
      <c r="B653" s="56" t="s">
        <v>178</v>
      </c>
    </row>
    <row r="654" spans="1:2">
      <c r="A654" t="s">
        <v>3146</v>
      </c>
      <c r="B654" s="56" t="s">
        <v>142</v>
      </c>
    </row>
    <row r="655" spans="1:2">
      <c r="A655" t="s">
        <v>1147</v>
      </c>
      <c r="B655" s="56" t="s">
        <v>940</v>
      </c>
    </row>
    <row r="656" spans="1:2">
      <c r="A656" t="s">
        <v>3704</v>
      </c>
      <c r="B656" s="56" t="s">
        <v>148</v>
      </c>
    </row>
    <row r="657" spans="1:2">
      <c r="A657" t="s">
        <v>793</v>
      </c>
      <c r="B657" s="56" t="s">
        <v>142</v>
      </c>
    </row>
    <row r="658" spans="1:2">
      <c r="A658" t="s">
        <v>2919</v>
      </c>
      <c r="B658" s="56" t="s">
        <v>205</v>
      </c>
    </row>
    <row r="659" spans="1:2">
      <c r="A659" t="s">
        <v>1507</v>
      </c>
      <c r="B659" s="56" t="s">
        <v>164</v>
      </c>
    </row>
    <row r="660" spans="1:2">
      <c r="A660" t="s">
        <v>1508</v>
      </c>
      <c r="B660" s="56" t="s">
        <v>164</v>
      </c>
    </row>
    <row r="661" spans="1:2">
      <c r="A661" t="s">
        <v>1509</v>
      </c>
      <c r="B661" s="56" t="s">
        <v>142</v>
      </c>
    </row>
    <row r="662" spans="1:2">
      <c r="A662" t="s">
        <v>2847</v>
      </c>
      <c r="B662" s="56" t="s">
        <v>183</v>
      </c>
    </row>
    <row r="663" spans="1:2">
      <c r="A663" t="s">
        <v>1795</v>
      </c>
      <c r="B663" s="56" t="s">
        <v>205</v>
      </c>
    </row>
    <row r="664" spans="1:2">
      <c r="A664" t="s">
        <v>772</v>
      </c>
      <c r="B664" s="56" t="s">
        <v>142</v>
      </c>
    </row>
    <row r="665" spans="1:2">
      <c r="A665" t="s">
        <v>1148</v>
      </c>
      <c r="B665" s="56" t="s">
        <v>142</v>
      </c>
    </row>
    <row r="666" spans="1:2">
      <c r="A666" t="s">
        <v>838</v>
      </c>
      <c r="B666" s="56" t="s">
        <v>164</v>
      </c>
    </row>
    <row r="667" spans="1:2">
      <c r="A667" t="s">
        <v>2999</v>
      </c>
      <c r="B667" s="56" t="s">
        <v>164</v>
      </c>
    </row>
    <row r="668" spans="1:2">
      <c r="A668" t="s">
        <v>4083</v>
      </c>
      <c r="B668" s="56" t="s">
        <v>183</v>
      </c>
    </row>
    <row r="669" spans="1:2">
      <c r="A669" t="s">
        <v>4192</v>
      </c>
      <c r="B669" s="56" t="s">
        <v>142</v>
      </c>
    </row>
    <row r="670" spans="1:2">
      <c r="A670" t="s">
        <v>3466</v>
      </c>
      <c r="B670" s="56" t="s">
        <v>142</v>
      </c>
    </row>
    <row r="671" spans="1:2">
      <c r="A671" t="s">
        <v>734</v>
      </c>
      <c r="B671" s="56" t="s">
        <v>95</v>
      </c>
    </row>
    <row r="672" spans="1:2">
      <c r="A672" t="s">
        <v>3454</v>
      </c>
      <c r="B672" s="56" t="s">
        <v>183</v>
      </c>
    </row>
    <row r="673" spans="1:3">
      <c r="A673" t="s">
        <v>1149</v>
      </c>
      <c r="B673" s="56" t="s">
        <v>164</v>
      </c>
    </row>
    <row r="674" spans="1:3">
      <c r="A674" t="s">
        <v>1150</v>
      </c>
      <c r="B674" s="56" t="s">
        <v>116</v>
      </c>
      <c r="C674" t="s">
        <v>4142</v>
      </c>
    </row>
    <row r="675" spans="1:3">
      <c r="A675" t="s">
        <v>839</v>
      </c>
      <c r="B675" s="56" t="s">
        <v>186</v>
      </c>
    </row>
    <row r="676" spans="1:3">
      <c r="A676" t="s">
        <v>1151</v>
      </c>
      <c r="B676" s="56" t="s">
        <v>183</v>
      </c>
    </row>
    <row r="677" spans="1:3">
      <c r="A677" t="s">
        <v>1510</v>
      </c>
      <c r="B677" s="56" t="s">
        <v>164</v>
      </c>
    </row>
    <row r="678" spans="1:3">
      <c r="A678" t="s">
        <v>2807</v>
      </c>
      <c r="B678" s="56" t="s">
        <v>164</v>
      </c>
    </row>
    <row r="679" spans="1:3">
      <c r="A679" t="s">
        <v>1511</v>
      </c>
      <c r="B679" s="56" t="s">
        <v>142</v>
      </c>
    </row>
    <row r="680" spans="1:3">
      <c r="A680" t="s">
        <v>1512</v>
      </c>
      <c r="B680" s="56" t="s">
        <v>164</v>
      </c>
    </row>
    <row r="681" spans="1:3">
      <c r="A681" t="s">
        <v>4111</v>
      </c>
      <c r="B681" s="56" t="s">
        <v>164</v>
      </c>
    </row>
    <row r="682" spans="1:3">
      <c r="A682" t="s">
        <v>4110</v>
      </c>
      <c r="B682" s="56" t="s">
        <v>164</v>
      </c>
    </row>
    <row r="683" spans="1:3">
      <c r="A683" t="s">
        <v>3734</v>
      </c>
      <c r="B683" s="56" t="s">
        <v>164</v>
      </c>
    </row>
    <row r="684" spans="1:3">
      <c r="A684" t="s">
        <v>3509</v>
      </c>
      <c r="B684" s="56" t="s">
        <v>165</v>
      </c>
    </row>
    <row r="685" spans="1:3">
      <c r="A685" t="s">
        <v>735</v>
      </c>
      <c r="B685" s="56" t="s">
        <v>164</v>
      </c>
    </row>
    <row r="686" spans="1:3">
      <c r="A686" t="s">
        <v>1513</v>
      </c>
      <c r="B686" s="56" t="s">
        <v>186</v>
      </c>
    </row>
    <row r="687" spans="1:3">
      <c r="A687" t="s">
        <v>1152</v>
      </c>
      <c r="B687" s="56" t="s">
        <v>164</v>
      </c>
    </row>
    <row r="688" spans="1:3">
      <c r="A688" t="s">
        <v>939</v>
      </c>
      <c r="B688" s="56" t="s">
        <v>107</v>
      </c>
    </row>
    <row r="689" spans="1:2">
      <c r="A689" t="s">
        <v>1153</v>
      </c>
      <c r="B689" s="56" t="s">
        <v>2337</v>
      </c>
    </row>
    <row r="690" spans="1:2">
      <c r="A690" t="s">
        <v>2683</v>
      </c>
      <c r="B690" s="56" t="s">
        <v>176</v>
      </c>
    </row>
    <row r="691" spans="1:2">
      <c r="A691" t="s">
        <v>676</v>
      </c>
      <c r="B691" s="56" t="s">
        <v>134</v>
      </c>
    </row>
    <row r="692" spans="1:2">
      <c r="A692" t="s">
        <v>3252</v>
      </c>
      <c r="B692" s="56" t="s">
        <v>164</v>
      </c>
    </row>
    <row r="693" spans="1:2">
      <c r="A693" t="s">
        <v>3042</v>
      </c>
      <c r="B693" s="56" t="s">
        <v>142</v>
      </c>
    </row>
    <row r="694" spans="1:2">
      <c r="A694" t="s">
        <v>3468</v>
      </c>
      <c r="B694" s="56" t="s">
        <v>142</v>
      </c>
    </row>
    <row r="695" spans="1:2">
      <c r="A695" t="s">
        <v>3028</v>
      </c>
      <c r="B695" s="56" t="s">
        <v>183</v>
      </c>
    </row>
    <row r="696" spans="1:2">
      <c r="A696" t="s">
        <v>2247</v>
      </c>
      <c r="B696" s="56" t="s">
        <v>142</v>
      </c>
    </row>
    <row r="697" spans="1:2">
      <c r="A697" t="s">
        <v>4136</v>
      </c>
      <c r="B697" s="56" t="s">
        <v>142</v>
      </c>
    </row>
    <row r="698" spans="1:2">
      <c r="A698" t="s">
        <v>3156</v>
      </c>
      <c r="B698" s="56" t="s">
        <v>148</v>
      </c>
    </row>
    <row r="699" spans="1:2">
      <c r="A699" t="s">
        <v>1623</v>
      </c>
      <c r="B699" s="56" t="s">
        <v>144</v>
      </c>
    </row>
    <row r="700" spans="1:2">
      <c r="A700" t="s">
        <v>2990</v>
      </c>
      <c r="B700" s="56" t="s">
        <v>142</v>
      </c>
    </row>
    <row r="701" spans="1:2">
      <c r="A701" t="s">
        <v>1154</v>
      </c>
      <c r="B701" s="56" t="s">
        <v>169</v>
      </c>
    </row>
    <row r="702" spans="1:2">
      <c r="A702" t="s">
        <v>941</v>
      </c>
      <c r="B702" s="56" t="s">
        <v>162</v>
      </c>
    </row>
    <row r="703" spans="1:2">
      <c r="A703" t="s">
        <v>1514</v>
      </c>
      <c r="B703" s="56" t="s">
        <v>164</v>
      </c>
    </row>
    <row r="704" spans="1:2">
      <c r="A704" t="s">
        <v>2806</v>
      </c>
      <c r="B704" s="56" t="s">
        <v>183</v>
      </c>
    </row>
    <row r="705" spans="1:2">
      <c r="A705" t="s">
        <v>3161</v>
      </c>
      <c r="B705" s="56" t="s">
        <v>183</v>
      </c>
    </row>
    <row r="706" spans="1:2">
      <c r="A706" t="s">
        <v>1515</v>
      </c>
      <c r="B706" s="56" t="s">
        <v>142</v>
      </c>
    </row>
    <row r="707" spans="1:2">
      <c r="A707" t="s">
        <v>1516</v>
      </c>
      <c r="B707" s="56" t="s">
        <v>142</v>
      </c>
    </row>
    <row r="708" spans="1:2">
      <c r="A708" t="s">
        <v>1155</v>
      </c>
      <c r="B708" s="56" t="s">
        <v>940</v>
      </c>
    </row>
    <row r="709" spans="1:2">
      <c r="A709" t="s">
        <v>1517</v>
      </c>
      <c r="B709" s="56" t="s">
        <v>205</v>
      </c>
    </row>
    <row r="710" spans="1:2">
      <c r="A710" t="s">
        <v>1518</v>
      </c>
      <c r="B710" s="56" t="s">
        <v>142</v>
      </c>
    </row>
    <row r="711" spans="1:2">
      <c r="A711" t="s">
        <v>1519</v>
      </c>
      <c r="B711" s="56" t="s">
        <v>183</v>
      </c>
    </row>
    <row r="712" spans="1:2">
      <c r="A712" t="s">
        <v>1156</v>
      </c>
      <c r="B712" s="56" t="s">
        <v>112</v>
      </c>
    </row>
    <row r="713" spans="1:2">
      <c r="A713" t="s">
        <v>3132</v>
      </c>
      <c r="B713" s="56" t="s">
        <v>164</v>
      </c>
    </row>
    <row r="714" spans="1:2">
      <c r="A714" t="s">
        <v>1157</v>
      </c>
      <c r="B714" s="56" t="s">
        <v>134</v>
      </c>
    </row>
    <row r="715" spans="1:2">
      <c r="A715" t="s">
        <v>2302</v>
      </c>
      <c r="B715" s="56" t="s">
        <v>4045</v>
      </c>
    </row>
    <row r="716" spans="1:2">
      <c r="A716" t="s">
        <v>800</v>
      </c>
      <c r="B716" s="56" t="s">
        <v>940</v>
      </c>
    </row>
    <row r="717" spans="1:2">
      <c r="A717" t="s">
        <v>1520</v>
      </c>
      <c r="B717" s="56" t="s">
        <v>940</v>
      </c>
    </row>
    <row r="718" spans="1:2">
      <c r="A718" t="s">
        <v>1521</v>
      </c>
      <c r="B718" s="56" t="s">
        <v>137</v>
      </c>
    </row>
    <row r="719" spans="1:2">
      <c r="A719" t="s">
        <v>773</v>
      </c>
      <c r="B719" s="56" t="s">
        <v>153</v>
      </c>
    </row>
    <row r="720" spans="1:2">
      <c r="A720" t="s">
        <v>1158</v>
      </c>
      <c r="B720" s="56" t="s">
        <v>3021</v>
      </c>
    </row>
    <row r="721" spans="1:2">
      <c r="A721" t="s">
        <v>942</v>
      </c>
      <c r="B721" s="56" t="s">
        <v>164</v>
      </c>
    </row>
    <row r="722" spans="1:2">
      <c r="A722" t="s">
        <v>1159</v>
      </c>
      <c r="B722" s="56" t="s">
        <v>205</v>
      </c>
    </row>
    <row r="723" spans="1:2">
      <c r="A723" t="s">
        <v>943</v>
      </c>
      <c r="B723" s="56" t="s">
        <v>164</v>
      </c>
    </row>
    <row r="724" spans="1:2">
      <c r="A724" t="s">
        <v>2279</v>
      </c>
      <c r="B724" s="56" t="s">
        <v>142</v>
      </c>
    </row>
    <row r="725" spans="1:2">
      <c r="A725" t="s">
        <v>2282</v>
      </c>
      <c r="B725" s="56" t="s">
        <v>142</v>
      </c>
    </row>
    <row r="726" spans="1:2">
      <c r="A726" t="s">
        <v>3008</v>
      </c>
      <c r="B726" s="56" t="s">
        <v>148</v>
      </c>
    </row>
    <row r="727" spans="1:2">
      <c r="A727" t="s">
        <v>2622</v>
      </c>
      <c r="B727" s="56" t="s">
        <v>142</v>
      </c>
    </row>
    <row r="728" spans="1:2">
      <c r="A728" t="s">
        <v>2197</v>
      </c>
      <c r="B728" s="56" t="s">
        <v>183</v>
      </c>
    </row>
    <row r="729" spans="1:2">
      <c r="A729" t="s">
        <v>1718</v>
      </c>
      <c r="B729" s="56" t="s">
        <v>137</v>
      </c>
    </row>
    <row r="730" spans="1:2">
      <c r="A730" t="s">
        <v>1522</v>
      </c>
      <c r="B730" s="56" t="s">
        <v>205</v>
      </c>
    </row>
    <row r="731" spans="1:2">
      <c r="A731" t="s">
        <v>1523</v>
      </c>
      <c r="B731" s="56" t="s">
        <v>178</v>
      </c>
    </row>
    <row r="732" spans="1:2">
      <c r="A732" t="s">
        <v>2898</v>
      </c>
      <c r="B732" s="299" t="s">
        <v>144</v>
      </c>
    </row>
    <row r="733" spans="1:2">
      <c r="A733" t="s">
        <v>1160</v>
      </c>
      <c r="B733" s="56" t="s">
        <v>4114</v>
      </c>
    </row>
    <row r="734" spans="1:2">
      <c r="A734" t="s">
        <v>2904</v>
      </c>
      <c r="B734" s="56" t="s">
        <v>116</v>
      </c>
    </row>
    <row r="735" spans="1:2">
      <c r="A735" t="s">
        <v>1161</v>
      </c>
      <c r="B735" s="56" t="s">
        <v>164</v>
      </c>
    </row>
    <row r="736" spans="1:2">
      <c r="A736" t="s">
        <v>2776</v>
      </c>
      <c r="B736" s="56" t="s">
        <v>142</v>
      </c>
    </row>
    <row r="737" spans="1:3">
      <c r="A737" t="s">
        <v>2684</v>
      </c>
      <c r="B737" s="56" t="s">
        <v>176</v>
      </c>
    </row>
    <row r="738" spans="1:3">
      <c r="A738" t="s">
        <v>1162</v>
      </c>
      <c r="B738" s="56" t="s">
        <v>183</v>
      </c>
    </row>
    <row r="739" spans="1:3">
      <c r="A739" t="s">
        <v>1163</v>
      </c>
      <c r="B739" s="56" t="s">
        <v>940</v>
      </c>
    </row>
    <row r="740" spans="1:3">
      <c r="A740" t="s">
        <v>3041</v>
      </c>
      <c r="B740" s="56" t="s">
        <v>142</v>
      </c>
    </row>
    <row r="741" spans="1:3">
      <c r="A741" t="s">
        <v>3346</v>
      </c>
      <c r="B741" s="56" t="s">
        <v>142</v>
      </c>
    </row>
    <row r="742" spans="1:3">
      <c r="A742" t="s">
        <v>3349</v>
      </c>
      <c r="B742" s="56" t="s">
        <v>148</v>
      </c>
    </row>
    <row r="743" spans="1:3">
      <c r="A743" t="s">
        <v>3022</v>
      </c>
      <c r="B743" s="56" t="s">
        <v>142</v>
      </c>
    </row>
    <row r="744" spans="1:3">
      <c r="A744" t="s">
        <v>3002</v>
      </c>
      <c r="B744" s="56" t="s">
        <v>142</v>
      </c>
    </row>
    <row r="745" spans="1:3">
      <c r="A745" t="s">
        <v>4176</v>
      </c>
      <c r="B745" s="56" t="s">
        <v>148</v>
      </c>
    </row>
    <row r="746" spans="1:3">
      <c r="A746" t="s">
        <v>2930</v>
      </c>
      <c r="B746" s="56" t="s">
        <v>164</v>
      </c>
    </row>
    <row r="747" spans="1:3">
      <c r="A747" t="s">
        <v>1164</v>
      </c>
      <c r="B747" s="56" t="s">
        <v>183</v>
      </c>
    </row>
    <row r="748" spans="1:3">
      <c r="A748" t="s">
        <v>1743</v>
      </c>
      <c r="B748" s="56" t="s">
        <v>96</v>
      </c>
    </row>
    <row r="749" spans="1:3">
      <c r="A749" t="s">
        <v>1524</v>
      </c>
      <c r="B749" s="56" t="s">
        <v>142</v>
      </c>
    </row>
    <row r="750" spans="1:3">
      <c r="A750" t="s">
        <v>1165</v>
      </c>
      <c r="B750" s="299" t="s">
        <v>3966</v>
      </c>
      <c r="C750" t="s">
        <v>4142</v>
      </c>
    </row>
    <row r="751" spans="1:3">
      <c r="A751" t="s">
        <v>1525</v>
      </c>
      <c r="B751" s="56" t="s">
        <v>164</v>
      </c>
    </row>
    <row r="752" spans="1:3">
      <c r="A752" t="s">
        <v>1526</v>
      </c>
      <c r="B752" s="56" t="s">
        <v>164</v>
      </c>
    </row>
    <row r="753" spans="1:2">
      <c r="A753" t="s">
        <v>655</v>
      </c>
      <c r="B753" s="56" t="s">
        <v>134</v>
      </c>
    </row>
    <row r="754" spans="1:2">
      <c r="A754" t="s">
        <v>673</v>
      </c>
      <c r="B754" s="56" t="s">
        <v>137</v>
      </c>
    </row>
    <row r="755" spans="1:2">
      <c r="A755" t="s">
        <v>1166</v>
      </c>
      <c r="B755" s="56" t="s">
        <v>940</v>
      </c>
    </row>
    <row r="756" spans="1:2">
      <c r="A756" t="s">
        <v>1167</v>
      </c>
      <c r="B756" s="56" t="s">
        <v>175</v>
      </c>
    </row>
    <row r="757" spans="1:2">
      <c r="A757" t="s">
        <v>944</v>
      </c>
      <c r="B757" s="56" t="s">
        <v>1032</v>
      </c>
    </row>
    <row r="758" spans="1:2">
      <c r="A758" t="s">
        <v>3998</v>
      </c>
      <c r="B758" s="56" t="s">
        <v>142</v>
      </c>
    </row>
    <row r="759" spans="1:2">
      <c r="A759" t="s">
        <v>2903</v>
      </c>
      <c r="B759" s="56" t="s">
        <v>164</v>
      </c>
    </row>
    <row r="760" spans="1:2">
      <c r="A760" t="s">
        <v>2198</v>
      </c>
      <c r="B760" s="56" t="s">
        <v>142</v>
      </c>
    </row>
    <row r="761" spans="1:2">
      <c r="A761" t="s">
        <v>2625</v>
      </c>
      <c r="B761" s="56" t="s">
        <v>3021</v>
      </c>
    </row>
    <row r="762" spans="1:2">
      <c r="A762" t="s">
        <v>1168</v>
      </c>
      <c r="B762" s="56" t="s">
        <v>178</v>
      </c>
    </row>
    <row r="763" spans="1:2">
      <c r="A763" t="s">
        <v>714</v>
      </c>
      <c r="B763" s="56" t="s">
        <v>187</v>
      </c>
    </row>
    <row r="764" spans="1:2">
      <c r="A764" t="s">
        <v>1169</v>
      </c>
      <c r="B764" s="56" t="s">
        <v>940</v>
      </c>
    </row>
    <row r="765" spans="1:2">
      <c r="A765" t="s">
        <v>3013</v>
      </c>
      <c r="B765" s="56" t="s">
        <v>142</v>
      </c>
    </row>
    <row r="766" spans="1:2">
      <c r="A766" t="s">
        <v>3492</v>
      </c>
      <c r="B766" s="56" t="s">
        <v>164</v>
      </c>
    </row>
    <row r="767" spans="1:2">
      <c r="A767" t="s">
        <v>4076</v>
      </c>
      <c r="B767" s="56" t="s">
        <v>178</v>
      </c>
    </row>
    <row r="768" spans="1:2">
      <c r="A768" t="s">
        <v>4078</v>
      </c>
      <c r="B768" s="56" t="s">
        <v>142</v>
      </c>
    </row>
    <row r="769" spans="1:2">
      <c r="A769" t="s">
        <v>1170</v>
      </c>
      <c r="B769" s="56" t="s">
        <v>940</v>
      </c>
    </row>
    <row r="770" spans="1:2">
      <c r="A770" t="s">
        <v>736</v>
      </c>
      <c r="B770" s="56" t="s">
        <v>142</v>
      </c>
    </row>
    <row r="771" spans="1:2">
      <c r="A771" t="s">
        <v>802</v>
      </c>
      <c r="B771" s="56" t="s">
        <v>940</v>
      </c>
    </row>
    <row r="772" spans="1:2">
      <c r="A772" t="s">
        <v>1527</v>
      </c>
      <c r="B772" s="56" t="s">
        <v>142</v>
      </c>
    </row>
    <row r="773" spans="1:2">
      <c r="A773" t="s">
        <v>3025</v>
      </c>
      <c r="B773" s="56" t="s">
        <v>148</v>
      </c>
    </row>
    <row r="774" spans="1:2">
      <c r="A774" t="s">
        <v>737</v>
      </c>
      <c r="B774" s="56" t="s">
        <v>164</v>
      </c>
    </row>
    <row r="775" spans="1:2">
      <c r="A775" t="s">
        <v>1528</v>
      </c>
      <c r="B775" s="56" t="s">
        <v>940</v>
      </c>
    </row>
    <row r="776" spans="1:2">
      <c r="A776" t="s">
        <v>2787</v>
      </c>
      <c r="B776" s="56" t="s">
        <v>144</v>
      </c>
    </row>
    <row r="777" spans="1:2">
      <c r="A777" t="s">
        <v>3508</v>
      </c>
      <c r="B777" s="56" t="s">
        <v>165</v>
      </c>
    </row>
    <row r="778" spans="1:2">
      <c r="A778" t="s">
        <v>1171</v>
      </c>
      <c r="B778" s="56" t="s">
        <v>183</v>
      </c>
    </row>
    <row r="779" spans="1:2">
      <c r="A779" t="s">
        <v>3494</v>
      </c>
      <c r="B779" s="56" t="s">
        <v>183</v>
      </c>
    </row>
    <row r="780" spans="1:2">
      <c r="A780" t="s">
        <v>4174</v>
      </c>
      <c r="B780" s="56" t="s">
        <v>164</v>
      </c>
    </row>
    <row r="781" spans="1:2">
      <c r="A781" t="s">
        <v>2280</v>
      </c>
      <c r="B781" s="56" t="s">
        <v>142</v>
      </c>
    </row>
    <row r="782" spans="1:2">
      <c r="A782" t="s">
        <v>3608</v>
      </c>
      <c r="B782" s="56" t="s">
        <v>142</v>
      </c>
    </row>
    <row r="783" spans="1:2">
      <c r="A783" t="s">
        <v>2964</v>
      </c>
      <c r="B783" s="56" t="s">
        <v>142</v>
      </c>
    </row>
    <row r="784" spans="1:2">
      <c r="A784" t="s">
        <v>2789</v>
      </c>
      <c r="B784" s="56" t="s">
        <v>144</v>
      </c>
    </row>
    <row r="785" spans="1:2">
      <c r="A785" t="s">
        <v>1529</v>
      </c>
      <c r="B785" s="56" t="s">
        <v>148</v>
      </c>
    </row>
    <row r="786" spans="1:2">
      <c r="A786" t="s">
        <v>1530</v>
      </c>
      <c r="B786" s="56" t="s">
        <v>142</v>
      </c>
    </row>
    <row r="787" spans="1:2">
      <c r="A787" t="s">
        <v>3254</v>
      </c>
      <c r="B787" s="56" t="s">
        <v>164</v>
      </c>
    </row>
    <row r="788" spans="1:2">
      <c r="A788" t="s">
        <v>1172</v>
      </c>
      <c r="B788" s="56" t="s">
        <v>940</v>
      </c>
    </row>
    <row r="789" spans="1:2">
      <c r="A789" t="s">
        <v>1173</v>
      </c>
      <c r="B789" s="56" t="s">
        <v>107</v>
      </c>
    </row>
    <row r="790" spans="1:2">
      <c r="A790" t="s">
        <v>2901</v>
      </c>
      <c r="B790" s="56" t="s">
        <v>142</v>
      </c>
    </row>
    <row r="791" spans="1:2">
      <c r="A791" t="s">
        <v>2696</v>
      </c>
      <c r="B791" s="56" t="s">
        <v>142</v>
      </c>
    </row>
    <row r="792" spans="1:2">
      <c r="A792" t="s">
        <v>1174</v>
      </c>
      <c r="B792" s="56" t="s">
        <v>167</v>
      </c>
    </row>
    <row r="793" spans="1:2">
      <c r="A793" t="s">
        <v>2430</v>
      </c>
      <c r="B793" s="56" t="s">
        <v>164</v>
      </c>
    </row>
    <row r="794" spans="1:2">
      <c r="A794" t="s">
        <v>1531</v>
      </c>
      <c r="B794" s="56" t="s">
        <v>183</v>
      </c>
    </row>
    <row r="795" spans="1:2">
      <c r="A795" t="s">
        <v>1532</v>
      </c>
      <c r="B795" s="56" t="s">
        <v>142</v>
      </c>
    </row>
    <row r="796" spans="1:2">
      <c r="A796" t="s">
        <v>1533</v>
      </c>
      <c r="B796" s="56" t="s">
        <v>164</v>
      </c>
    </row>
    <row r="797" spans="1:2">
      <c r="A797" t="s">
        <v>765</v>
      </c>
      <c r="B797" s="56" t="s">
        <v>107</v>
      </c>
    </row>
    <row r="798" spans="1:2">
      <c r="A798" t="s">
        <v>701</v>
      </c>
      <c r="B798" s="56" t="s">
        <v>1032</v>
      </c>
    </row>
    <row r="799" spans="1:2">
      <c r="A799" t="s">
        <v>1175</v>
      </c>
      <c r="B799" s="56" t="s">
        <v>183</v>
      </c>
    </row>
    <row r="800" spans="1:2">
      <c r="A800" t="s">
        <v>1534</v>
      </c>
      <c r="B800" s="56" t="s">
        <v>164</v>
      </c>
    </row>
    <row r="801" spans="1:2">
      <c r="A801" t="s">
        <v>945</v>
      </c>
      <c r="B801" s="56" t="s">
        <v>164</v>
      </c>
    </row>
    <row r="802" spans="1:2">
      <c r="A802" t="s">
        <v>1176</v>
      </c>
      <c r="B802" s="56" t="s">
        <v>169</v>
      </c>
    </row>
    <row r="803" spans="1:2">
      <c r="A803" t="s">
        <v>1535</v>
      </c>
      <c r="B803" s="56" t="s">
        <v>183</v>
      </c>
    </row>
    <row r="804" spans="1:2">
      <c r="A804" t="s">
        <v>2689</v>
      </c>
      <c r="B804" s="56" t="s">
        <v>164</v>
      </c>
    </row>
    <row r="805" spans="1:2">
      <c r="A805" t="s">
        <v>1536</v>
      </c>
      <c r="B805" s="56" t="s">
        <v>205</v>
      </c>
    </row>
    <row r="806" spans="1:2">
      <c r="A806" t="s">
        <v>1835</v>
      </c>
      <c r="B806" s="56" t="s">
        <v>186</v>
      </c>
    </row>
    <row r="807" spans="1:2">
      <c r="A807" t="s">
        <v>2203</v>
      </c>
      <c r="B807" s="56" t="s">
        <v>164</v>
      </c>
    </row>
    <row r="808" spans="1:2">
      <c r="A808" t="s">
        <v>1537</v>
      </c>
      <c r="B808" s="56" t="s">
        <v>142</v>
      </c>
    </row>
    <row r="809" spans="1:2">
      <c r="A809" t="s">
        <v>1177</v>
      </c>
      <c r="B809" s="56" t="s">
        <v>124</v>
      </c>
    </row>
    <row r="810" spans="1:2">
      <c r="A810" t="s">
        <v>2617</v>
      </c>
      <c r="B810" s="56" t="s">
        <v>142</v>
      </c>
    </row>
    <row r="811" spans="1:2">
      <c r="A811" t="s">
        <v>790</v>
      </c>
      <c r="B811" s="56" t="s">
        <v>186</v>
      </c>
    </row>
    <row r="812" spans="1:2">
      <c r="A812" t="s">
        <v>1764</v>
      </c>
      <c r="B812" s="56" t="s">
        <v>155</v>
      </c>
    </row>
    <row r="813" spans="1:2">
      <c r="A813" t="s">
        <v>2426</v>
      </c>
      <c r="B813" s="56" t="s">
        <v>164</v>
      </c>
    </row>
    <row r="814" spans="1:2">
      <c r="A814" t="s">
        <v>1178</v>
      </c>
      <c r="B814" s="56" t="s">
        <v>940</v>
      </c>
    </row>
    <row r="815" spans="1:2">
      <c r="A815" t="s">
        <v>2914</v>
      </c>
      <c r="B815" s="56" t="s">
        <v>164</v>
      </c>
    </row>
    <row r="816" spans="1:2">
      <c r="A816" t="s">
        <v>2699</v>
      </c>
      <c r="B816" s="64" t="s">
        <v>200</v>
      </c>
    </row>
    <row r="817" spans="1:2">
      <c r="A817" t="s">
        <v>738</v>
      </c>
      <c r="B817" s="56" t="s">
        <v>107</v>
      </c>
    </row>
    <row r="818" spans="1:2">
      <c r="A818" t="s">
        <v>1179</v>
      </c>
      <c r="B818" s="56" t="s">
        <v>183</v>
      </c>
    </row>
    <row r="819" spans="1:2">
      <c r="A819" t="s">
        <v>4190</v>
      </c>
      <c r="B819" s="56" t="s">
        <v>148</v>
      </c>
    </row>
    <row r="820" spans="1:2">
      <c r="A820" t="s">
        <v>1775</v>
      </c>
      <c r="B820" s="56" t="s">
        <v>98</v>
      </c>
    </row>
    <row r="821" spans="1:2">
      <c r="A821" t="s">
        <v>2957</v>
      </c>
      <c r="B821" s="56" t="s">
        <v>205</v>
      </c>
    </row>
    <row r="822" spans="1:2">
      <c r="A822" t="s">
        <v>1180</v>
      </c>
      <c r="B822" s="56" t="s">
        <v>183</v>
      </c>
    </row>
    <row r="823" spans="1:2">
      <c r="A823" t="s">
        <v>4050</v>
      </c>
      <c r="B823" s="56" t="s">
        <v>169</v>
      </c>
    </row>
    <row r="824" spans="1:2">
      <c r="A824" t="s">
        <v>2895</v>
      </c>
      <c r="B824" s="56" t="s">
        <v>164</v>
      </c>
    </row>
    <row r="825" spans="1:2">
      <c r="A825" t="s">
        <v>2780</v>
      </c>
      <c r="B825" s="56" t="s">
        <v>153</v>
      </c>
    </row>
    <row r="826" spans="1:2">
      <c r="A826" t="s">
        <v>1181</v>
      </c>
      <c r="B826" s="56" t="s">
        <v>142</v>
      </c>
    </row>
    <row r="827" spans="1:2">
      <c r="A827" t="s">
        <v>1182</v>
      </c>
      <c r="B827" s="56" t="s">
        <v>940</v>
      </c>
    </row>
    <row r="828" spans="1:2">
      <c r="A828" t="s">
        <v>946</v>
      </c>
      <c r="B828" s="56" t="s">
        <v>107</v>
      </c>
    </row>
    <row r="829" spans="1:2">
      <c r="A829" t="s">
        <v>1183</v>
      </c>
      <c r="B829" s="56" t="s">
        <v>142</v>
      </c>
    </row>
    <row r="830" spans="1:2">
      <c r="A830" t="s">
        <v>1538</v>
      </c>
      <c r="B830" s="56" t="s">
        <v>4114</v>
      </c>
    </row>
    <row r="831" spans="1:2">
      <c r="A831" t="s">
        <v>2785</v>
      </c>
      <c r="B831" s="56" t="s">
        <v>135</v>
      </c>
    </row>
    <row r="832" spans="1:2">
      <c r="A832" t="s">
        <v>840</v>
      </c>
      <c r="B832" s="56" t="s">
        <v>142</v>
      </c>
    </row>
    <row r="833" spans="1:2">
      <c r="A833" t="s">
        <v>1539</v>
      </c>
      <c r="B833" s="56" t="s">
        <v>183</v>
      </c>
    </row>
    <row r="834" spans="1:2">
      <c r="A834" t="s">
        <v>1540</v>
      </c>
      <c r="B834" s="56" t="s">
        <v>183</v>
      </c>
    </row>
    <row r="835" spans="1:2">
      <c r="A835" t="s">
        <v>2808</v>
      </c>
      <c r="B835" s="56" t="s">
        <v>164</v>
      </c>
    </row>
    <row r="836" spans="1:2">
      <c r="A836" t="s">
        <v>2779</v>
      </c>
      <c r="B836" s="56" t="s">
        <v>183</v>
      </c>
    </row>
    <row r="837" spans="1:2">
      <c r="A837" t="s">
        <v>685</v>
      </c>
      <c r="B837" s="56" t="s">
        <v>94</v>
      </c>
    </row>
    <row r="838" spans="1:2">
      <c r="A838" t="s">
        <v>947</v>
      </c>
      <c r="B838" s="56" t="s">
        <v>116</v>
      </c>
    </row>
    <row r="839" spans="1:2">
      <c r="A839" t="s">
        <v>841</v>
      </c>
      <c r="B839" s="56" t="s">
        <v>142</v>
      </c>
    </row>
    <row r="840" spans="1:2">
      <c r="A840" t="s">
        <v>642</v>
      </c>
      <c r="B840" s="56" t="s">
        <v>105</v>
      </c>
    </row>
    <row r="841" spans="1:2">
      <c r="A841" t="s">
        <v>716</v>
      </c>
      <c r="B841" s="56" t="s">
        <v>135</v>
      </c>
    </row>
    <row r="842" spans="1:2">
      <c r="A842" t="s">
        <v>1541</v>
      </c>
      <c r="B842" s="56" t="s">
        <v>142</v>
      </c>
    </row>
    <row r="843" spans="1:2">
      <c r="A843" t="s">
        <v>3399</v>
      </c>
      <c r="B843" s="56" t="s">
        <v>183</v>
      </c>
    </row>
    <row r="844" spans="1:2">
      <c r="A844" t="s">
        <v>1184</v>
      </c>
      <c r="B844" s="56" t="s">
        <v>1078</v>
      </c>
    </row>
    <row r="845" spans="1:2">
      <c r="A845" t="s">
        <v>1624</v>
      </c>
      <c r="B845" s="56" t="s">
        <v>164</v>
      </c>
    </row>
    <row r="846" spans="1:2">
      <c r="A846" t="s">
        <v>780</v>
      </c>
      <c r="B846" s="56" t="s">
        <v>125</v>
      </c>
    </row>
    <row r="847" spans="1:2">
      <c r="A847" t="s">
        <v>3150</v>
      </c>
      <c r="B847" s="56" t="s">
        <v>142</v>
      </c>
    </row>
    <row r="848" spans="1:2">
      <c r="A848" t="s">
        <v>3155</v>
      </c>
      <c r="B848" s="56" t="s">
        <v>142</v>
      </c>
    </row>
    <row r="849" spans="1:2">
      <c r="A849" t="s">
        <v>3007</v>
      </c>
      <c r="B849" s="56" t="s">
        <v>148</v>
      </c>
    </row>
    <row r="850" spans="1:2">
      <c r="A850" t="s">
        <v>2804</v>
      </c>
      <c r="B850" s="56" t="s">
        <v>204</v>
      </c>
    </row>
    <row r="851" spans="1:2">
      <c r="A851" t="s">
        <v>1542</v>
      </c>
      <c r="B851" s="56" t="s">
        <v>142</v>
      </c>
    </row>
    <row r="852" spans="1:2">
      <c r="A852" t="s">
        <v>1185</v>
      </c>
      <c r="B852" s="56" t="s">
        <v>940</v>
      </c>
    </row>
    <row r="853" spans="1:2">
      <c r="A853" t="s">
        <v>1543</v>
      </c>
      <c r="B853" s="56" t="s">
        <v>148</v>
      </c>
    </row>
    <row r="854" spans="1:2">
      <c r="A854" t="s">
        <v>2978</v>
      </c>
      <c r="B854" s="56" t="s">
        <v>148</v>
      </c>
    </row>
    <row r="855" spans="1:2">
      <c r="A855" t="s">
        <v>1186</v>
      </c>
      <c r="B855" s="56" t="s">
        <v>186</v>
      </c>
    </row>
    <row r="856" spans="1:2">
      <c r="A856" t="s">
        <v>3874</v>
      </c>
      <c r="B856" s="56" t="s">
        <v>164</v>
      </c>
    </row>
    <row r="857" spans="1:2">
      <c r="A857" t="s">
        <v>1544</v>
      </c>
      <c r="B857" s="56" t="s">
        <v>204</v>
      </c>
    </row>
    <row r="858" spans="1:2">
      <c r="A858" t="s">
        <v>1545</v>
      </c>
      <c r="B858" s="56" t="s">
        <v>164</v>
      </c>
    </row>
    <row r="859" spans="1:2">
      <c r="A859" t="s">
        <v>739</v>
      </c>
      <c r="B859" s="56" t="s">
        <v>138</v>
      </c>
    </row>
    <row r="860" spans="1:2">
      <c r="A860" t="s">
        <v>3253</v>
      </c>
      <c r="B860" s="56" t="s">
        <v>148</v>
      </c>
    </row>
    <row r="861" spans="1:2">
      <c r="A861" t="s">
        <v>948</v>
      </c>
      <c r="B861" s="56" t="s">
        <v>164</v>
      </c>
    </row>
    <row r="862" spans="1:2">
      <c r="A862" t="s">
        <v>1546</v>
      </c>
      <c r="B862" s="56" t="s">
        <v>142</v>
      </c>
    </row>
    <row r="863" spans="1:2">
      <c r="A863" t="s">
        <v>1187</v>
      </c>
      <c r="B863" s="56" t="s">
        <v>183</v>
      </c>
    </row>
    <row r="864" spans="1:2">
      <c r="A864" t="s">
        <v>3356</v>
      </c>
      <c r="B864" s="56" t="s">
        <v>205</v>
      </c>
    </row>
    <row r="865" spans="1:2">
      <c r="A865" t="s">
        <v>1265</v>
      </c>
      <c r="B865" s="56" t="s">
        <v>183</v>
      </c>
    </row>
    <row r="866" spans="1:2">
      <c r="A866" t="s">
        <v>758</v>
      </c>
      <c r="B866" s="56" t="s">
        <v>134</v>
      </c>
    </row>
    <row r="867" spans="1:2">
      <c r="A867" t="s">
        <v>1264</v>
      </c>
      <c r="B867" s="56" t="s">
        <v>183</v>
      </c>
    </row>
    <row r="868" spans="1:2">
      <c r="A868" t="s">
        <v>1547</v>
      </c>
      <c r="B868" s="56" t="s">
        <v>164</v>
      </c>
    </row>
    <row r="869" spans="1:2">
      <c r="A869" t="s">
        <v>949</v>
      </c>
      <c r="B869" s="56" t="s">
        <v>164</v>
      </c>
    </row>
    <row r="870" spans="1:2">
      <c r="A870" t="s">
        <v>3339</v>
      </c>
      <c r="B870" s="56" t="s">
        <v>142</v>
      </c>
    </row>
    <row r="871" spans="1:2">
      <c r="A871" t="s">
        <v>1548</v>
      </c>
      <c r="B871" s="56" t="s">
        <v>940</v>
      </c>
    </row>
    <row r="872" spans="1:2">
      <c r="A872" t="s">
        <v>1188</v>
      </c>
      <c r="B872" s="56" t="s">
        <v>204</v>
      </c>
    </row>
    <row r="873" spans="1:2">
      <c r="A873" t="s">
        <v>2427</v>
      </c>
      <c r="B873" s="56" t="s">
        <v>142</v>
      </c>
    </row>
    <row r="874" spans="1:2">
      <c r="A874" t="s">
        <v>950</v>
      </c>
      <c r="B874" s="56" t="s">
        <v>142</v>
      </c>
    </row>
    <row r="875" spans="1:2">
      <c r="A875" t="s">
        <v>3337</v>
      </c>
      <c r="B875" s="56" t="s">
        <v>164</v>
      </c>
    </row>
    <row r="876" spans="1:2">
      <c r="A876" t="s">
        <v>1549</v>
      </c>
      <c r="B876" s="56" t="s">
        <v>183</v>
      </c>
    </row>
    <row r="877" spans="1:2">
      <c r="A877" t="s">
        <v>2687</v>
      </c>
      <c r="B877" s="56" t="s">
        <v>176</v>
      </c>
    </row>
    <row r="878" spans="1:2">
      <c r="A878" t="s">
        <v>2695</v>
      </c>
      <c r="B878" s="56" t="s">
        <v>183</v>
      </c>
    </row>
    <row r="879" spans="1:2">
      <c r="A879" t="s">
        <v>799</v>
      </c>
      <c r="B879" s="56" t="s">
        <v>4114</v>
      </c>
    </row>
    <row r="880" spans="1:2">
      <c r="A880" t="s">
        <v>1550</v>
      </c>
      <c r="B880" s="56" t="s">
        <v>116</v>
      </c>
    </row>
    <row r="881" spans="1:2">
      <c r="A881" t="s">
        <v>4164</v>
      </c>
      <c r="B881" s="56" t="s">
        <v>164</v>
      </c>
    </row>
    <row r="882" spans="1:2">
      <c r="A882" t="s">
        <v>3487</v>
      </c>
      <c r="B882" s="56" t="s">
        <v>204</v>
      </c>
    </row>
    <row r="883" spans="1:2">
      <c r="A883" t="s">
        <v>2705</v>
      </c>
      <c r="B883" s="56" t="s">
        <v>204</v>
      </c>
    </row>
    <row r="884" spans="1:2">
      <c r="A884" t="s">
        <v>4177</v>
      </c>
      <c r="B884" s="56" t="s">
        <v>148</v>
      </c>
    </row>
    <row r="885" spans="1:2">
      <c r="A885" t="s">
        <v>3867</v>
      </c>
      <c r="B885" s="56" t="s">
        <v>146</v>
      </c>
    </row>
    <row r="886" spans="1:2">
      <c r="A886" t="s">
        <v>1189</v>
      </c>
      <c r="B886" s="56" t="s">
        <v>1078</v>
      </c>
    </row>
    <row r="887" spans="1:2">
      <c r="A887" t="s">
        <v>1551</v>
      </c>
      <c r="B887" s="56" t="s">
        <v>940</v>
      </c>
    </row>
    <row r="888" spans="1:2">
      <c r="A888" t="s">
        <v>2324</v>
      </c>
      <c r="B888" s="56" t="s">
        <v>148</v>
      </c>
    </row>
    <row r="889" spans="1:2">
      <c r="A889" t="s">
        <v>3144</v>
      </c>
      <c r="B889" s="56" t="s">
        <v>164</v>
      </c>
    </row>
    <row r="890" spans="1:2">
      <c r="A890" t="s">
        <v>2891</v>
      </c>
      <c r="B890" s="56" t="s">
        <v>1032</v>
      </c>
    </row>
    <row r="891" spans="1:2">
      <c r="A891" t="s">
        <v>4030</v>
      </c>
      <c r="B891" s="56" t="s">
        <v>1032</v>
      </c>
    </row>
    <row r="892" spans="1:2">
      <c r="A892" t="s">
        <v>1190</v>
      </c>
      <c r="B892" s="56" t="s">
        <v>1032</v>
      </c>
    </row>
    <row r="893" spans="1:2">
      <c r="A893" t="s">
        <v>1191</v>
      </c>
      <c r="B893" s="56" t="s">
        <v>205</v>
      </c>
    </row>
    <row r="894" spans="1:2">
      <c r="A894" t="s">
        <v>795</v>
      </c>
      <c r="B894" s="56" t="s">
        <v>89</v>
      </c>
    </row>
    <row r="895" spans="1:2">
      <c r="A895" t="s">
        <v>842</v>
      </c>
      <c r="B895" s="56" t="s">
        <v>138</v>
      </c>
    </row>
    <row r="896" spans="1:2">
      <c r="A896" t="s">
        <v>1552</v>
      </c>
      <c r="B896" s="56" t="s">
        <v>1032</v>
      </c>
    </row>
    <row r="897" spans="1:2">
      <c r="A897" t="s">
        <v>951</v>
      </c>
      <c r="B897" s="56" t="s">
        <v>165</v>
      </c>
    </row>
    <row r="898" spans="1:2">
      <c r="A898" t="s">
        <v>1553</v>
      </c>
      <c r="B898" s="56" t="s">
        <v>142</v>
      </c>
    </row>
    <row r="899" spans="1:2">
      <c r="A899" t="s">
        <v>1554</v>
      </c>
      <c r="B899" s="56" t="s">
        <v>169</v>
      </c>
    </row>
    <row r="900" spans="1:2">
      <c r="A900" t="s">
        <v>3876</v>
      </c>
      <c r="B900" s="56" t="s">
        <v>164</v>
      </c>
    </row>
    <row r="901" spans="1:2">
      <c r="A901" t="s">
        <v>1192</v>
      </c>
      <c r="B901" s="56" t="s">
        <v>164</v>
      </c>
    </row>
    <row r="902" spans="1:2">
      <c r="A902" t="s">
        <v>677</v>
      </c>
      <c r="B902" s="56" t="s">
        <v>134</v>
      </c>
    </row>
    <row r="903" spans="1:2">
      <c r="A903" t="s">
        <v>1555</v>
      </c>
      <c r="B903" s="56" t="s">
        <v>142</v>
      </c>
    </row>
    <row r="904" spans="1:2">
      <c r="A904" t="s">
        <v>3043</v>
      </c>
      <c r="B904" s="56" t="s">
        <v>205</v>
      </c>
    </row>
    <row r="905" spans="1:2">
      <c r="A905" t="s">
        <v>740</v>
      </c>
      <c r="B905" s="56" t="s">
        <v>142</v>
      </c>
    </row>
    <row r="906" spans="1:2">
      <c r="A906" t="s">
        <v>3129</v>
      </c>
      <c r="B906" s="56" t="s">
        <v>148</v>
      </c>
    </row>
    <row r="907" spans="1:2">
      <c r="A907" t="s">
        <v>784</v>
      </c>
      <c r="B907" s="56" t="s">
        <v>123</v>
      </c>
    </row>
    <row r="908" spans="1:2">
      <c r="A908" t="s">
        <v>3387</v>
      </c>
      <c r="B908" s="56" t="s">
        <v>142</v>
      </c>
    </row>
    <row r="909" spans="1:2">
      <c r="A909" t="s">
        <v>3149</v>
      </c>
      <c r="B909" s="56" t="s">
        <v>148</v>
      </c>
    </row>
    <row r="910" spans="1:2">
      <c r="A910" t="s">
        <v>1556</v>
      </c>
      <c r="B910" s="56" t="s">
        <v>183</v>
      </c>
    </row>
    <row r="911" spans="1:2">
      <c r="A911" t="s">
        <v>843</v>
      </c>
      <c r="B911" s="56" t="s">
        <v>107</v>
      </c>
    </row>
    <row r="912" spans="1:2">
      <c r="A912" t="s">
        <v>1773</v>
      </c>
      <c r="B912" s="56" t="s">
        <v>134</v>
      </c>
    </row>
    <row r="913" spans="1:2">
      <c r="A913" t="s">
        <v>1557</v>
      </c>
      <c r="B913" s="56" t="s">
        <v>164</v>
      </c>
    </row>
    <row r="914" spans="1:2">
      <c r="A914" t="s">
        <v>3142</v>
      </c>
      <c r="B914" s="56" t="s">
        <v>142</v>
      </c>
    </row>
    <row r="915" spans="1:2">
      <c r="A915" t="s">
        <v>2975</v>
      </c>
      <c r="B915" s="56" t="s">
        <v>142</v>
      </c>
    </row>
    <row r="916" spans="1:2">
      <c r="A916" t="s">
        <v>1558</v>
      </c>
      <c r="B916" s="56" t="s">
        <v>183</v>
      </c>
    </row>
    <row r="917" spans="1:2">
      <c r="A917" t="s">
        <v>1749</v>
      </c>
      <c r="B917" s="56" t="s">
        <v>95</v>
      </c>
    </row>
    <row r="918" spans="1:2">
      <c r="A918" t="s">
        <v>1559</v>
      </c>
      <c r="B918" s="56" t="s">
        <v>142</v>
      </c>
    </row>
    <row r="919" spans="1:2">
      <c r="A919" t="s">
        <v>952</v>
      </c>
      <c r="B919" s="56" t="s">
        <v>142</v>
      </c>
    </row>
    <row r="920" spans="1:2">
      <c r="A920" t="s">
        <v>1193</v>
      </c>
      <c r="B920" s="56" t="s">
        <v>142</v>
      </c>
    </row>
    <row r="921" spans="1:2">
      <c r="A921" t="s">
        <v>1560</v>
      </c>
      <c r="B921" s="56" t="s">
        <v>142</v>
      </c>
    </row>
    <row r="922" spans="1:2">
      <c r="A922" t="s">
        <v>1194</v>
      </c>
      <c r="B922" s="56" t="s">
        <v>204</v>
      </c>
    </row>
    <row r="923" spans="1:2">
      <c r="A923" t="s">
        <v>2786</v>
      </c>
      <c r="B923" s="56" t="s">
        <v>164</v>
      </c>
    </row>
    <row r="924" spans="1:2">
      <c r="A924" t="s">
        <v>1561</v>
      </c>
      <c r="B924" s="56" t="s">
        <v>148</v>
      </c>
    </row>
    <row r="925" spans="1:2">
      <c r="A925" t="s">
        <v>1562</v>
      </c>
      <c r="B925" s="56" t="s">
        <v>178</v>
      </c>
    </row>
    <row r="926" spans="1:2">
      <c r="A926" t="s">
        <v>687</v>
      </c>
      <c r="B926" s="56" t="s">
        <v>97</v>
      </c>
    </row>
    <row r="927" spans="1:2">
      <c r="A927" t="s">
        <v>614</v>
      </c>
      <c r="B927" s="56" t="s">
        <v>142</v>
      </c>
    </row>
    <row r="928" spans="1:2">
      <c r="A928" t="s">
        <v>4210</v>
      </c>
      <c r="B928" s="299" t="s">
        <v>205</v>
      </c>
    </row>
    <row r="929" spans="1:2">
      <c r="A929" t="s">
        <v>681</v>
      </c>
      <c r="B929" s="56" t="s">
        <v>186</v>
      </c>
    </row>
    <row r="930" spans="1:2">
      <c r="A930" t="s">
        <v>1195</v>
      </c>
      <c r="B930" s="56" t="s">
        <v>183</v>
      </c>
    </row>
    <row r="931" spans="1:2">
      <c r="A931" t="s">
        <v>2781</v>
      </c>
      <c r="B931" s="56" t="s">
        <v>164</v>
      </c>
    </row>
    <row r="932" spans="1:2">
      <c r="A932" t="s">
        <v>2778</v>
      </c>
      <c r="B932" s="56" t="s">
        <v>164</v>
      </c>
    </row>
    <row r="933" spans="1:2">
      <c r="A933" t="s">
        <v>1563</v>
      </c>
      <c r="B933" s="56" t="s">
        <v>1032</v>
      </c>
    </row>
    <row r="934" spans="1:2">
      <c r="A934" t="s">
        <v>2840</v>
      </c>
      <c r="B934" s="56" t="s">
        <v>183</v>
      </c>
    </row>
    <row r="935" spans="1:2">
      <c r="A935" t="s">
        <v>953</v>
      </c>
      <c r="B935" s="56" t="s">
        <v>142</v>
      </c>
    </row>
    <row r="936" spans="1:2">
      <c r="A936" t="s">
        <v>2691</v>
      </c>
      <c r="B936" s="56" t="s">
        <v>164</v>
      </c>
    </row>
    <row r="937" spans="1:2">
      <c r="A937" t="s">
        <v>4051</v>
      </c>
      <c r="B937" s="299" t="s">
        <v>197</v>
      </c>
    </row>
    <row r="938" spans="1:2">
      <c r="A938" t="s">
        <v>2703</v>
      </c>
      <c r="B938" s="56" t="s">
        <v>138</v>
      </c>
    </row>
    <row r="939" spans="1:2">
      <c r="A939" t="s">
        <v>2354</v>
      </c>
      <c r="B939" s="56" t="s">
        <v>142</v>
      </c>
    </row>
    <row r="940" spans="1:2">
      <c r="A940" t="s">
        <v>3612</v>
      </c>
      <c r="B940" s="56" t="s">
        <v>142</v>
      </c>
    </row>
    <row r="941" spans="1:2">
      <c r="A941" t="s">
        <v>1564</v>
      </c>
      <c r="B941" s="56" t="s">
        <v>142</v>
      </c>
    </row>
    <row r="942" spans="1:2">
      <c r="A942" t="s">
        <v>2995</v>
      </c>
      <c r="B942" s="56" t="s">
        <v>164</v>
      </c>
    </row>
    <row r="943" spans="1:2">
      <c r="A943" t="s">
        <v>3154</v>
      </c>
      <c r="B943" s="56" t="s">
        <v>142</v>
      </c>
    </row>
    <row r="944" spans="1:2">
      <c r="A944" t="s">
        <v>1565</v>
      </c>
      <c r="B944" s="56" t="s">
        <v>164</v>
      </c>
    </row>
    <row r="945" spans="1:2">
      <c r="A945" t="s">
        <v>1196</v>
      </c>
      <c r="B945" s="56" t="s">
        <v>183</v>
      </c>
    </row>
    <row r="946" spans="1:2">
      <c r="A946" t="s">
        <v>1197</v>
      </c>
      <c r="B946" s="56" t="s">
        <v>940</v>
      </c>
    </row>
    <row r="947" spans="1:2">
      <c r="A947" t="s">
        <v>1198</v>
      </c>
      <c r="B947" s="56" t="s">
        <v>940</v>
      </c>
    </row>
    <row r="948" spans="1:2">
      <c r="A948" t="s">
        <v>1566</v>
      </c>
      <c r="B948" s="299" t="s">
        <v>159</v>
      </c>
    </row>
    <row r="949" spans="1:2">
      <c r="A949" t="s">
        <v>1199</v>
      </c>
      <c r="B949" s="56" t="s">
        <v>116</v>
      </c>
    </row>
    <row r="950" spans="1:2">
      <c r="A950" t="s">
        <v>954</v>
      </c>
      <c r="B950" s="56" t="s">
        <v>164</v>
      </c>
    </row>
    <row r="951" spans="1:2">
      <c r="A951" t="s">
        <v>2250</v>
      </c>
      <c r="B951" s="56" t="s">
        <v>164</v>
      </c>
    </row>
    <row r="952" spans="1:2">
      <c r="A952" t="s">
        <v>3869</v>
      </c>
      <c r="B952" s="64" t="s">
        <v>137</v>
      </c>
    </row>
    <row r="953" spans="1:2">
      <c r="A953" t="s">
        <v>3147</v>
      </c>
      <c r="B953" s="56" t="s">
        <v>142</v>
      </c>
    </row>
    <row r="954" spans="1:2">
      <c r="A954" t="s">
        <v>955</v>
      </c>
      <c r="B954" s="56" t="s">
        <v>178</v>
      </c>
    </row>
    <row r="955" spans="1:2">
      <c r="A955" t="s">
        <v>3475</v>
      </c>
      <c r="B955" s="56" t="s">
        <v>142</v>
      </c>
    </row>
    <row r="956" spans="1:2">
      <c r="A956" t="s">
        <v>1567</v>
      </c>
      <c r="B956" s="56" t="s">
        <v>164</v>
      </c>
    </row>
    <row r="957" spans="1:2">
      <c r="A957" t="s">
        <v>1568</v>
      </c>
      <c r="B957" s="56" t="s">
        <v>164</v>
      </c>
    </row>
    <row r="958" spans="1:2">
      <c r="A958" t="s">
        <v>700</v>
      </c>
      <c r="B958" s="56" t="s">
        <v>104</v>
      </c>
    </row>
    <row r="959" spans="1:2">
      <c r="A959" t="s">
        <v>844</v>
      </c>
      <c r="B959" s="56" t="s">
        <v>190</v>
      </c>
    </row>
    <row r="960" spans="1:2">
      <c r="A960" t="s">
        <v>1200</v>
      </c>
      <c r="B960" s="56" t="s">
        <v>164</v>
      </c>
    </row>
    <row r="961" spans="1:2">
      <c r="A961" t="s">
        <v>2332</v>
      </c>
      <c r="B961" s="211" t="s">
        <v>2337</v>
      </c>
    </row>
    <row r="962" spans="1:2">
      <c r="A962" t="s">
        <v>2924</v>
      </c>
      <c r="B962" s="56" t="s">
        <v>164</v>
      </c>
    </row>
    <row r="963" spans="1:2">
      <c r="A963" t="s">
        <v>3139</v>
      </c>
      <c r="B963" s="56" t="s">
        <v>142</v>
      </c>
    </row>
    <row r="964" spans="1:2">
      <c r="A964" t="s">
        <v>1569</v>
      </c>
      <c r="B964" s="56" t="s">
        <v>142</v>
      </c>
    </row>
    <row r="965" spans="1:2">
      <c r="A965" t="s">
        <v>3870</v>
      </c>
      <c r="B965" s="56" t="s">
        <v>169</v>
      </c>
    </row>
    <row r="966" spans="1:2">
      <c r="A966" t="s">
        <v>2270</v>
      </c>
      <c r="B966" s="56" t="s">
        <v>142</v>
      </c>
    </row>
    <row r="967" spans="1:2">
      <c r="A967" t="s">
        <v>956</v>
      </c>
      <c r="B967" s="56" t="s">
        <v>206</v>
      </c>
    </row>
    <row r="968" spans="1:2">
      <c r="A968" t="s">
        <v>1570</v>
      </c>
      <c r="B968" s="56" t="s">
        <v>137</v>
      </c>
    </row>
    <row r="969" spans="1:2">
      <c r="A969" t="s">
        <v>1201</v>
      </c>
      <c r="B969" s="56" t="s">
        <v>183</v>
      </c>
    </row>
    <row r="970" spans="1:2">
      <c r="A970" t="s">
        <v>3134</v>
      </c>
      <c r="B970" s="56" t="s">
        <v>142</v>
      </c>
    </row>
    <row r="971" spans="1:2">
      <c r="A971" t="s">
        <v>4132</v>
      </c>
      <c r="B971" s="56" t="s">
        <v>183</v>
      </c>
    </row>
    <row r="972" spans="1:2">
      <c r="A972" t="s">
        <v>1202</v>
      </c>
      <c r="B972" s="56" t="s">
        <v>164</v>
      </c>
    </row>
    <row r="973" spans="1:2">
      <c r="A973" t="s">
        <v>2674</v>
      </c>
      <c r="B973" s="56" t="s">
        <v>164</v>
      </c>
    </row>
    <row r="974" spans="1:2">
      <c r="A974" t="s">
        <v>2681</v>
      </c>
      <c r="B974" s="56" t="s">
        <v>178</v>
      </c>
    </row>
    <row r="975" spans="1:2">
      <c r="A975" t="s">
        <v>3607</v>
      </c>
      <c r="B975" s="56" t="s">
        <v>164</v>
      </c>
    </row>
    <row r="976" spans="1:2">
      <c r="A976" t="s">
        <v>3452</v>
      </c>
      <c r="B976" s="56" t="s">
        <v>164</v>
      </c>
    </row>
    <row r="977" spans="1:2">
      <c r="A977" t="s">
        <v>3463</v>
      </c>
      <c r="B977" s="56" t="s">
        <v>164</v>
      </c>
    </row>
    <row r="978" spans="1:2">
      <c r="A978" t="s">
        <v>1571</v>
      </c>
      <c r="B978" s="56" t="s">
        <v>164</v>
      </c>
    </row>
    <row r="979" spans="1:2">
      <c r="A979" t="s">
        <v>845</v>
      </c>
      <c r="B979" s="56" t="s">
        <v>142</v>
      </c>
    </row>
    <row r="980" spans="1:2">
      <c r="A980" t="s">
        <v>1620</v>
      </c>
      <c r="B980" s="56" t="s">
        <v>146</v>
      </c>
    </row>
    <row r="981" spans="1:2">
      <c r="A981" t="s">
        <v>2298</v>
      </c>
      <c r="B981" s="56" t="s">
        <v>142</v>
      </c>
    </row>
    <row r="982" spans="1:2">
      <c r="A982" t="s">
        <v>846</v>
      </c>
      <c r="B982" s="56" t="s">
        <v>163</v>
      </c>
    </row>
    <row r="983" spans="1:2">
      <c r="A983" t="s">
        <v>2900</v>
      </c>
      <c r="B983" s="56" t="s">
        <v>142</v>
      </c>
    </row>
    <row r="984" spans="1:2">
      <c r="A984" t="s">
        <v>3237</v>
      </c>
      <c r="B984" s="56" t="s">
        <v>164</v>
      </c>
    </row>
    <row r="985" spans="1:2">
      <c r="A985" t="s">
        <v>1572</v>
      </c>
      <c r="B985" s="56" t="s">
        <v>164</v>
      </c>
    </row>
    <row r="986" spans="1:2">
      <c r="A986" t="s">
        <v>3344</v>
      </c>
      <c r="B986" s="56" t="s">
        <v>169</v>
      </c>
    </row>
    <row r="987" spans="1:2">
      <c r="A987" t="s">
        <v>3258</v>
      </c>
      <c r="B987" s="56" t="s">
        <v>137</v>
      </c>
    </row>
    <row r="988" spans="1:2">
      <c r="A988" t="s">
        <v>3023</v>
      </c>
      <c r="B988" s="56" t="s">
        <v>148</v>
      </c>
    </row>
    <row r="989" spans="1:2">
      <c r="A989" t="s">
        <v>1203</v>
      </c>
      <c r="B989" s="56" t="s">
        <v>183</v>
      </c>
    </row>
    <row r="990" spans="1:2">
      <c r="A990" t="s">
        <v>4072</v>
      </c>
      <c r="B990" s="56" t="s">
        <v>164</v>
      </c>
    </row>
    <row r="991" spans="1:2">
      <c r="A991" t="s">
        <v>2680</v>
      </c>
      <c r="B991" s="56" t="s">
        <v>99</v>
      </c>
    </row>
    <row r="992" spans="1:2">
      <c r="A992" t="s">
        <v>2944</v>
      </c>
      <c r="B992" s="56" t="s">
        <v>164</v>
      </c>
    </row>
    <row r="993" spans="1:2">
      <c r="A993" t="s">
        <v>3348</v>
      </c>
      <c r="B993" s="56" t="s">
        <v>148</v>
      </c>
    </row>
    <row r="994" spans="1:2">
      <c r="A994" t="s">
        <v>1573</v>
      </c>
      <c r="B994" s="56" t="s">
        <v>148</v>
      </c>
    </row>
    <row r="995" spans="1:2">
      <c r="A995" t="s">
        <v>1574</v>
      </c>
      <c r="B995" s="56" t="s">
        <v>142</v>
      </c>
    </row>
    <row r="996" spans="1:2">
      <c r="A996" t="s">
        <v>1204</v>
      </c>
      <c r="B996" s="56" t="s">
        <v>142</v>
      </c>
    </row>
    <row r="997" spans="1:2">
      <c r="A997" t="s">
        <v>847</v>
      </c>
      <c r="B997" s="56" t="s">
        <v>186</v>
      </c>
    </row>
    <row r="998" spans="1:2">
      <c r="A998" t="s">
        <v>1205</v>
      </c>
      <c r="B998" s="56" t="s">
        <v>164</v>
      </c>
    </row>
    <row r="999" spans="1:2">
      <c r="A999" t="s">
        <v>1206</v>
      </c>
      <c r="B999" s="56" t="s">
        <v>183</v>
      </c>
    </row>
    <row r="1000" spans="1:2">
      <c r="A1000" t="s">
        <v>3012</v>
      </c>
      <c r="B1000" s="56" t="s">
        <v>142</v>
      </c>
    </row>
    <row r="1001" spans="1:2">
      <c r="A1001" t="s">
        <v>3172</v>
      </c>
      <c r="B1001" s="56" t="s">
        <v>142</v>
      </c>
    </row>
    <row r="1002" spans="1:2">
      <c r="A1002" t="s">
        <v>2966</v>
      </c>
      <c r="B1002" s="56" t="s">
        <v>142</v>
      </c>
    </row>
    <row r="1003" spans="1:2">
      <c r="A1003" t="s">
        <v>2795</v>
      </c>
      <c r="B1003" s="56" t="s">
        <v>183</v>
      </c>
    </row>
    <row r="1004" spans="1:2">
      <c r="A1004" t="s">
        <v>3256</v>
      </c>
      <c r="B1004" s="56" t="s">
        <v>148</v>
      </c>
    </row>
    <row r="1005" spans="1:2">
      <c r="A1005" t="s">
        <v>2428</v>
      </c>
      <c r="B1005" s="333" t="s">
        <v>152</v>
      </c>
    </row>
    <row r="1006" spans="1:2">
      <c r="A1006" t="s">
        <v>2704</v>
      </c>
      <c r="B1006" s="56" t="s">
        <v>164</v>
      </c>
    </row>
    <row r="1007" spans="1:2">
      <c r="A1007" t="s">
        <v>848</v>
      </c>
      <c r="B1007" s="56" t="s">
        <v>134</v>
      </c>
    </row>
    <row r="1008" spans="1:2">
      <c r="A1008" t="s">
        <v>2619</v>
      </c>
      <c r="B1008" s="56" t="s">
        <v>165</v>
      </c>
    </row>
    <row r="1009" spans="1:2">
      <c r="A1009" t="s">
        <v>1207</v>
      </c>
      <c r="B1009" s="56" t="s">
        <v>183</v>
      </c>
    </row>
    <row r="1010" spans="1:2">
      <c r="A1010" t="s">
        <v>957</v>
      </c>
      <c r="B1010" s="56" t="s">
        <v>107</v>
      </c>
    </row>
    <row r="1011" spans="1:2">
      <c r="A1011" t="s">
        <v>1575</v>
      </c>
      <c r="B1011" s="56" t="s">
        <v>142</v>
      </c>
    </row>
    <row r="1012" spans="1:2">
      <c r="A1012" t="s">
        <v>2986</v>
      </c>
      <c r="B1012" s="56" t="s">
        <v>138</v>
      </c>
    </row>
    <row r="1013" spans="1:2">
      <c r="A1013" t="s">
        <v>1576</v>
      </c>
      <c r="B1013" s="56" t="s">
        <v>142</v>
      </c>
    </row>
    <row r="1014" spans="1:2">
      <c r="A1014" t="s">
        <v>741</v>
      </c>
      <c r="B1014" s="56" t="s">
        <v>164</v>
      </c>
    </row>
    <row r="1015" spans="1:2">
      <c r="A1015" t="s">
        <v>1577</v>
      </c>
      <c r="B1015" s="56" t="s">
        <v>164</v>
      </c>
    </row>
    <row r="1016" spans="1:2">
      <c r="A1016" t="s">
        <v>2089</v>
      </c>
      <c r="B1016" s="56" t="s">
        <v>153</v>
      </c>
    </row>
    <row r="1017" spans="1:2">
      <c r="A1017" t="s">
        <v>4156</v>
      </c>
      <c r="B1017" s="56" t="s">
        <v>164</v>
      </c>
    </row>
    <row r="1018" spans="1:2">
      <c r="A1018" t="s">
        <v>2694</v>
      </c>
      <c r="B1018" s="56" t="s">
        <v>183</v>
      </c>
    </row>
    <row r="1019" spans="1:2">
      <c r="A1019" t="s">
        <v>805</v>
      </c>
      <c r="B1019" s="56" t="s">
        <v>183</v>
      </c>
    </row>
    <row r="1020" spans="1:2">
      <c r="A1020" t="s">
        <v>3934</v>
      </c>
      <c r="B1020" s="56" t="s">
        <v>146</v>
      </c>
    </row>
    <row r="1021" spans="1:2">
      <c r="A1021" t="s">
        <v>1208</v>
      </c>
      <c r="B1021" s="56" t="s">
        <v>169</v>
      </c>
    </row>
    <row r="1022" spans="1:2">
      <c r="A1022" t="s">
        <v>958</v>
      </c>
      <c r="B1022" s="56" t="s">
        <v>164</v>
      </c>
    </row>
    <row r="1023" spans="1:2">
      <c r="A1023" t="s">
        <v>3143</v>
      </c>
      <c r="B1023" s="56" t="s">
        <v>164</v>
      </c>
    </row>
    <row r="1024" spans="1:2">
      <c r="A1024" t="s">
        <v>742</v>
      </c>
      <c r="B1024" s="56" t="s">
        <v>164</v>
      </c>
    </row>
    <row r="1025" spans="1:2">
      <c r="A1025" t="s">
        <v>1744</v>
      </c>
      <c r="B1025" s="56" t="s">
        <v>135</v>
      </c>
    </row>
    <row r="1026" spans="1:2">
      <c r="A1026" t="s">
        <v>4197</v>
      </c>
      <c r="B1026" s="56" t="s">
        <v>142</v>
      </c>
    </row>
    <row r="1027" spans="1:2">
      <c r="A1027" t="s">
        <v>3004</v>
      </c>
      <c r="B1027" s="56" t="s">
        <v>164</v>
      </c>
    </row>
    <row r="1028" spans="1:2">
      <c r="A1028" t="s">
        <v>2996</v>
      </c>
      <c r="B1028" s="56" t="s">
        <v>142</v>
      </c>
    </row>
    <row r="1029" spans="1:2">
      <c r="A1029" t="s">
        <v>4082</v>
      </c>
      <c r="B1029" s="56" t="s">
        <v>183</v>
      </c>
    </row>
    <row r="1030" spans="1:2">
      <c r="A1030" t="s">
        <v>1578</v>
      </c>
      <c r="B1030" s="56" t="s">
        <v>142</v>
      </c>
    </row>
    <row r="1031" spans="1:2">
      <c r="A1031" t="s">
        <v>4153</v>
      </c>
      <c r="B1031" s="56" t="s">
        <v>148</v>
      </c>
    </row>
    <row r="1032" spans="1:2">
      <c r="A1032" t="s">
        <v>3863</v>
      </c>
      <c r="B1032" s="56" t="s">
        <v>142</v>
      </c>
    </row>
    <row r="1033" spans="1:2">
      <c r="A1033" t="s">
        <v>3014</v>
      </c>
      <c r="B1033" s="56" t="s">
        <v>142</v>
      </c>
    </row>
    <row r="1034" spans="1:2">
      <c r="A1034" t="s">
        <v>1209</v>
      </c>
      <c r="B1034" s="56" t="s">
        <v>183</v>
      </c>
    </row>
    <row r="1035" spans="1:2">
      <c r="A1035" t="s">
        <v>1210</v>
      </c>
      <c r="B1035" s="56" t="s">
        <v>940</v>
      </c>
    </row>
    <row r="1036" spans="1:2">
      <c r="A1036" t="s">
        <v>1579</v>
      </c>
      <c r="B1036" s="56" t="s">
        <v>4114</v>
      </c>
    </row>
    <row r="1037" spans="1:2">
      <c r="A1037" t="s">
        <v>3451</v>
      </c>
      <c r="B1037" s="56" t="s">
        <v>164</v>
      </c>
    </row>
    <row r="1038" spans="1:2">
      <c r="A1038" t="s">
        <v>2525</v>
      </c>
      <c r="B1038" s="299" t="s">
        <v>3966</v>
      </c>
    </row>
    <row r="1039" spans="1:2">
      <c r="A1039" t="s">
        <v>2992</v>
      </c>
      <c r="B1039" s="56" t="s">
        <v>142</v>
      </c>
    </row>
    <row r="1040" spans="1:2">
      <c r="A1040" t="s">
        <v>2991</v>
      </c>
      <c r="B1040" s="56" t="s">
        <v>148</v>
      </c>
    </row>
    <row r="1041" spans="1:2">
      <c r="A1041" t="s">
        <v>1211</v>
      </c>
      <c r="B1041" s="56" t="s">
        <v>118</v>
      </c>
    </row>
    <row r="1042" spans="1:2">
      <c r="A1042" t="s">
        <v>743</v>
      </c>
      <c r="B1042" s="56" t="s">
        <v>142</v>
      </c>
    </row>
    <row r="1043" spans="1:2">
      <c r="A1043" t="s">
        <v>959</v>
      </c>
      <c r="B1043" s="56" t="s">
        <v>148</v>
      </c>
    </row>
    <row r="1044" spans="1:2">
      <c r="A1044" t="s">
        <v>4194</v>
      </c>
      <c r="B1044" s="56" t="s">
        <v>164</v>
      </c>
    </row>
    <row r="1045" spans="1:2">
      <c r="A1045" t="s">
        <v>1580</v>
      </c>
      <c r="B1045" s="56" t="s">
        <v>183</v>
      </c>
    </row>
    <row r="1046" spans="1:2">
      <c r="A1046" t="s">
        <v>1757</v>
      </c>
      <c r="B1046" s="56" t="s">
        <v>187</v>
      </c>
    </row>
    <row r="1047" spans="1:2">
      <c r="A1047" t="s">
        <v>1836</v>
      </c>
      <c r="B1047" s="56" t="s">
        <v>186</v>
      </c>
    </row>
    <row r="1048" spans="1:2">
      <c r="A1048" t="s">
        <v>1581</v>
      </c>
      <c r="B1048" s="56" t="s">
        <v>134</v>
      </c>
    </row>
    <row r="1049" spans="1:2">
      <c r="A1049" t="s">
        <v>766</v>
      </c>
      <c r="B1049" s="56" t="s">
        <v>138</v>
      </c>
    </row>
    <row r="1050" spans="1:2">
      <c r="A1050" t="s">
        <v>3471</v>
      </c>
      <c r="B1050" s="56" t="s">
        <v>142</v>
      </c>
    </row>
    <row r="1051" spans="1:2">
      <c r="A1051" t="s">
        <v>1212</v>
      </c>
      <c r="B1051" s="56" t="s">
        <v>940</v>
      </c>
    </row>
    <row r="1052" spans="1:2">
      <c r="A1052" t="s">
        <v>1582</v>
      </c>
      <c r="B1052" s="56" t="s">
        <v>142</v>
      </c>
    </row>
    <row r="1053" spans="1:2">
      <c r="A1053" t="s">
        <v>2839</v>
      </c>
      <c r="B1053" s="56" t="s">
        <v>183</v>
      </c>
    </row>
    <row r="1054" spans="1:2">
      <c r="A1054" t="s">
        <v>1213</v>
      </c>
      <c r="B1054" s="56" t="s">
        <v>940</v>
      </c>
    </row>
    <row r="1055" spans="1:2">
      <c r="A1055" t="s">
        <v>1583</v>
      </c>
      <c r="B1055" s="56" t="s">
        <v>164</v>
      </c>
    </row>
    <row r="1056" spans="1:2">
      <c r="A1056" t="s">
        <v>2796</v>
      </c>
      <c r="B1056" s="56" t="s">
        <v>183</v>
      </c>
    </row>
    <row r="1057" spans="1:2">
      <c r="A1057" t="s">
        <v>2299</v>
      </c>
      <c r="B1057" s="56" t="s">
        <v>142</v>
      </c>
    </row>
    <row r="1058" spans="1:2">
      <c r="A1058" t="s">
        <v>2790</v>
      </c>
      <c r="B1058" s="56" t="s">
        <v>164</v>
      </c>
    </row>
    <row r="1059" spans="1:2">
      <c r="A1059" t="s">
        <v>1584</v>
      </c>
      <c r="B1059" s="56" t="s">
        <v>142</v>
      </c>
    </row>
    <row r="1060" spans="1:2">
      <c r="A1060" t="s">
        <v>2679</v>
      </c>
      <c r="B1060" s="56" t="s">
        <v>209</v>
      </c>
    </row>
    <row r="1061" spans="1:2">
      <c r="A1061" t="s">
        <v>854</v>
      </c>
      <c r="B1061" s="56" t="s">
        <v>186</v>
      </c>
    </row>
    <row r="1062" spans="1:2">
      <c r="A1062" t="s">
        <v>855</v>
      </c>
      <c r="B1062" s="56" t="s">
        <v>200</v>
      </c>
    </row>
    <row r="1063" spans="1:2">
      <c r="A1063" t="s">
        <v>1214</v>
      </c>
      <c r="B1063" s="56" t="s">
        <v>1032</v>
      </c>
    </row>
    <row r="1064" spans="1:2">
      <c r="A1064" t="s">
        <v>1215</v>
      </c>
      <c r="B1064" s="56" t="s">
        <v>940</v>
      </c>
    </row>
    <row r="1065" spans="1:2">
      <c r="A1065" t="s">
        <v>4167</v>
      </c>
      <c r="B1065" s="56" t="s">
        <v>142</v>
      </c>
    </row>
    <row r="1066" spans="1:2">
      <c r="A1066" t="s">
        <v>744</v>
      </c>
      <c r="B1066" s="56" t="s">
        <v>164</v>
      </c>
    </row>
    <row r="1067" spans="1:2">
      <c r="A1067" t="s">
        <v>1216</v>
      </c>
      <c r="B1067" s="56" t="s">
        <v>104</v>
      </c>
    </row>
    <row r="1068" spans="1:2">
      <c r="A1068" t="s">
        <v>4071</v>
      </c>
      <c r="B1068" s="56" t="s">
        <v>183</v>
      </c>
    </row>
    <row r="1069" spans="1:2">
      <c r="A1069" t="s">
        <v>960</v>
      </c>
      <c r="B1069" s="56" t="s">
        <v>164</v>
      </c>
    </row>
    <row r="1070" spans="1:2">
      <c r="A1070" t="s">
        <v>1585</v>
      </c>
      <c r="B1070" s="56" t="s">
        <v>164</v>
      </c>
    </row>
    <row r="1071" spans="1:2">
      <c r="A1071" t="s">
        <v>3351</v>
      </c>
      <c r="B1071" s="56" t="s">
        <v>164</v>
      </c>
    </row>
    <row r="1072" spans="1:2">
      <c r="A1072" t="s">
        <v>2268</v>
      </c>
      <c r="B1072" s="56" t="s">
        <v>166</v>
      </c>
    </row>
    <row r="1073" spans="1:2">
      <c r="A1073" t="s">
        <v>1217</v>
      </c>
      <c r="B1073" s="56" t="s">
        <v>164</v>
      </c>
    </row>
    <row r="1074" spans="1:2">
      <c r="A1074" t="s">
        <v>1586</v>
      </c>
      <c r="B1074" s="56" t="s">
        <v>164</v>
      </c>
    </row>
    <row r="1075" spans="1:2">
      <c r="A1075" t="s">
        <v>3886</v>
      </c>
      <c r="B1075" s="56" t="s">
        <v>146</v>
      </c>
    </row>
    <row r="1076" spans="1:2">
      <c r="A1076" t="s">
        <v>1587</v>
      </c>
      <c r="B1076" s="56" t="s">
        <v>142</v>
      </c>
    </row>
    <row r="1077" spans="1:2">
      <c r="A1077" t="s">
        <v>2981</v>
      </c>
      <c r="B1077" s="56" t="s">
        <v>142</v>
      </c>
    </row>
    <row r="1078" spans="1:2">
      <c r="A1078" t="s">
        <v>1814</v>
      </c>
      <c r="B1078" s="56" t="s">
        <v>187</v>
      </c>
    </row>
    <row r="1079" spans="1:2">
      <c r="A1079" t="s">
        <v>3336</v>
      </c>
      <c r="B1079" s="56" t="s">
        <v>187</v>
      </c>
    </row>
    <row r="1080" spans="1:2">
      <c r="A1080" t="s">
        <v>2933</v>
      </c>
      <c r="B1080" s="56" t="s">
        <v>142</v>
      </c>
    </row>
    <row r="1081" spans="1:2">
      <c r="A1081" t="s">
        <v>2676</v>
      </c>
      <c r="B1081" s="56" t="s">
        <v>142</v>
      </c>
    </row>
    <row r="1082" spans="1:2">
      <c r="A1082" t="s">
        <v>849</v>
      </c>
      <c r="B1082" s="56" t="s">
        <v>138</v>
      </c>
    </row>
    <row r="1083" spans="1:2">
      <c r="A1083" t="s">
        <v>1218</v>
      </c>
      <c r="B1083" s="56" t="s">
        <v>1078</v>
      </c>
    </row>
    <row r="1084" spans="1:2">
      <c r="A1084" t="s">
        <v>1219</v>
      </c>
      <c r="B1084" s="56" t="s">
        <v>183</v>
      </c>
    </row>
    <row r="1085" spans="1:2">
      <c r="A1085" t="s">
        <v>1220</v>
      </c>
      <c r="B1085" s="56" t="s">
        <v>187</v>
      </c>
    </row>
    <row r="1086" spans="1:2">
      <c r="A1086" t="s">
        <v>1588</v>
      </c>
      <c r="B1086" s="56" t="s">
        <v>107</v>
      </c>
    </row>
    <row r="1087" spans="1:2">
      <c r="A1087" t="s">
        <v>2803</v>
      </c>
      <c r="B1087" s="56" t="s">
        <v>164</v>
      </c>
    </row>
    <row r="1088" spans="1:2">
      <c r="A1088" t="s">
        <v>961</v>
      </c>
      <c r="B1088" s="56" t="s">
        <v>142</v>
      </c>
    </row>
    <row r="1089" spans="1:2">
      <c r="A1089" t="s">
        <v>1221</v>
      </c>
      <c r="B1089" s="56" t="s">
        <v>142</v>
      </c>
    </row>
    <row r="1090" spans="1:2">
      <c r="A1090" t="s">
        <v>3141</v>
      </c>
      <c r="B1090" s="56" t="s">
        <v>142</v>
      </c>
    </row>
    <row r="1091" spans="1:2">
      <c r="A1091" t="s">
        <v>2676</v>
      </c>
      <c r="B1091" s="56" t="s">
        <v>142</v>
      </c>
    </row>
    <row r="1092" spans="1:2">
      <c r="A1092" t="s">
        <v>2533</v>
      </c>
      <c r="B1092" s="56" t="s">
        <v>164</v>
      </c>
    </row>
    <row r="1093" spans="1:2">
      <c r="A1093" t="s">
        <v>1222</v>
      </c>
      <c r="B1093" s="56" t="s">
        <v>164</v>
      </c>
    </row>
    <row r="1094" spans="1:2">
      <c r="A1094" t="s">
        <v>1589</v>
      </c>
      <c r="B1094" s="56" t="s">
        <v>183</v>
      </c>
    </row>
    <row r="1095" spans="1:2">
      <c r="A1095" t="s">
        <v>3396</v>
      </c>
      <c r="B1095" s="56" t="s">
        <v>166</v>
      </c>
    </row>
    <row r="1096" spans="1:2">
      <c r="A1096" t="s">
        <v>1590</v>
      </c>
      <c r="B1096" s="56" t="s">
        <v>164</v>
      </c>
    </row>
    <row r="1097" spans="1:2">
      <c r="A1097" t="s">
        <v>3503</v>
      </c>
      <c r="B1097" s="56" t="s">
        <v>137</v>
      </c>
    </row>
    <row r="1098" spans="1:2">
      <c r="A1098" t="s">
        <v>1223</v>
      </c>
      <c r="B1098" s="56" t="s">
        <v>183</v>
      </c>
    </row>
    <row r="1099" spans="1:2">
      <c r="A1099" t="s">
        <v>850</v>
      </c>
      <c r="B1099" s="56" t="s">
        <v>138</v>
      </c>
    </row>
    <row r="1100" spans="1:2">
      <c r="A1100" t="s">
        <v>1591</v>
      </c>
      <c r="B1100" s="56" t="s">
        <v>205</v>
      </c>
    </row>
    <row r="1101" spans="1:2">
      <c r="A1101" t="s">
        <v>851</v>
      </c>
      <c r="B1101" s="56" t="s">
        <v>164</v>
      </c>
    </row>
    <row r="1102" spans="1:2">
      <c r="A1102" t="s">
        <v>778</v>
      </c>
      <c r="B1102" s="56" t="s">
        <v>99</v>
      </c>
    </row>
    <row r="1103" spans="1:2">
      <c r="A1103" s="272" t="s">
        <v>774</v>
      </c>
      <c r="B1103" s="56" t="s">
        <v>137</v>
      </c>
    </row>
    <row r="1104" spans="1:2">
      <c r="A1104" s="272" t="s">
        <v>1645</v>
      </c>
      <c r="B1104" s="56" t="s">
        <v>107</v>
      </c>
    </row>
    <row r="1105" spans="1:3">
      <c r="A1105" s="272" t="s">
        <v>3573</v>
      </c>
      <c r="B1105" s="56" t="s">
        <v>148</v>
      </c>
    </row>
    <row r="1106" spans="1:3">
      <c r="A1106" s="272" t="s">
        <v>3979</v>
      </c>
      <c r="B1106" s="56" t="s">
        <v>128</v>
      </c>
    </row>
    <row r="1107" spans="1:3">
      <c r="A1107" s="272" t="s">
        <v>4170</v>
      </c>
      <c r="B1107" s="213" t="s">
        <v>142</v>
      </c>
    </row>
    <row r="1108" spans="1:3">
      <c r="A1108" s="272" t="s">
        <v>962</v>
      </c>
      <c r="B1108" s="299" t="s">
        <v>159</v>
      </c>
      <c r="C1108" t="s">
        <v>4041</v>
      </c>
    </row>
    <row r="1109" spans="1:3">
      <c r="A1109" s="272" t="s">
        <v>2841</v>
      </c>
      <c r="B1109" s="56" t="s">
        <v>183</v>
      </c>
    </row>
    <row r="1110" spans="1:3">
      <c r="A1110" s="272" t="s">
        <v>1592</v>
      </c>
      <c r="B1110" s="56" t="s">
        <v>940</v>
      </c>
    </row>
    <row r="1111" spans="1:3">
      <c r="A1111" s="272" t="s">
        <v>1811</v>
      </c>
      <c r="B1111" s="56" t="s">
        <v>191</v>
      </c>
    </row>
    <row r="1112" spans="1:3">
      <c r="A1112" s="272" t="s">
        <v>1812</v>
      </c>
      <c r="B1112" s="56" t="s">
        <v>186</v>
      </c>
    </row>
    <row r="1113" spans="1:3">
      <c r="A1113" t="s">
        <v>860</v>
      </c>
      <c r="B1113" s="213" t="s">
        <v>142</v>
      </c>
    </row>
    <row r="1114" spans="1:3">
      <c r="A1114" s="272" t="s">
        <v>3878</v>
      </c>
      <c r="B1114" s="213" t="s">
        <v>164</v>
      </c>
    </row>
    <row r="1115" spans="1:3">
      <c r="A1115" s="272" t="s">
        <v>1593</v>
      </c>
      <c r="B1115" s="213" t="s">
        <v>1032</v>
      </c>
    </row>
    <row r="1116" spans="1:3">
      <c r="A1116" s="272" t="s">
        <v>2777</v>
      </c>
      <c r="B1116" s="56" t="s">
        <v>2186</v>
      </c>
    </row>
    <row r="1117" spans="1:3">
      <c r="A1117" s="272" t="s">
        <v>2208</v>
      </c>
      <c r="B1117" s="213" t="s">
        <v>148</v>
      </c>
    </row>
    <row r="1118" spans="1:3">
      <c r="A1118" s="272" t="s">
        <v>3710</v>
      </c>
      <c r="B1118" s="213" t="s">
        <v>1032</v>
      </c>
    </row>
    <row r="1119" spans="1:3">
      <c r="A1119" s="272" t="s">
        <v>2241</v>
      </c>
      <c r="B1119" s="213" t="s">
        <v>138</v>
      </c>
    </row>
    <row r="1120" spans="1:3">
      <c r="A1120" s="272" t="s">
        <v>3059</v>
      </c>
      <c r="B1120" s="213" t="s">
        <v>169</v>
      </c>
    </row>
    <row r="1121" spans="1:2">
      <c r="A1121" s="272" t="s">
        <v>2833</v>
      </c>
      <c r="B1121" s="56" t="s">
        <v>144</v>
      </c>
    </row>
    <row r="1122" spans="1:2">
      <c r="A1122" s="272" t="s">
        <v>2522</v>
      </c>
      <c r="B1122" s="213" t="s">
        <v>186</v>
      </c>
    </row>
    <row r="1123" spans="1:2">
      <c r="A1123" s="272" t="s">
        <v>2762</v>
      </c>
      <c r="B1123" s="56" t="s">
        <v>164</v>
      </c>
    </row>
    <row r="1124" spans="1:2">
      <c r="A1124" s="272" t="s">
        <v>3741</v>
      </c>
      <c r="B1124" s="213" t="s">
        <v>142</v>
      </c>
    </row>
    <row r="1125" spans="1:2">
      <c r="A1125" s="272" t="s">
        <v>3397</v>
      </c>
      <c r="B1125" s="213" t="s">
        <v>186</v>
      </c>
    </row>
    <row r="1126" spans="1:2">
      <c r="A1126" t="s">
        <v>1224</v>
      </c>
      <c r="B1126" s="213" t="s">
        <v>183</v>
      </c>
    </row>
    <row r="1127" spans="1:2">
      <c r="A1127" t="s">
        <v>963</v>
      </c>
      <c r="B1127" s="213" t="s">
        <v>1032</v>
      </c>
    </row>
    <row r="1128" spans="1:2">
      <c r="A1128" t="s">
        <v>1225</v>
      </c>
      <c r="B1128" s="213" t="s">
        <v>142</v>
      </c>
    </row>
    <row r="1129" spans="1:2">
      <c r="A1129" t="s">
        <v>686</v>
      </c>
      <c r="B1129" s="56" t="s">
        <v>96</v>
      </c>
    </row>
    <row r="1130" spans="1:2">
      <c r="A1130" t="s">
        <v>1594</v>
      </c>
      <c r="B1130" s="56" t="s">
        <v>143</v>
      </c>
    </row>
    <row r="1131" spans="1:2">
      <c r="A1131" t="s">
        <v>745</v>
      </c>
      <c r="B1131" s="56" t="s">
        <v>142</v>
      </c>
    </row>
    <row r="1132" spans="1:2">
      <c r="A1132" t="s">
        <v>2913</v>
      </c>
      <c r="B1132" s="56" t="s">
        <v>164</v>
      </c>
    </row>
    <row r="1133" spans="1:2">
      <c r="A1133" t="s">
        <v>4006</v>
      </c>
      <c r="B1133" s="56" t="s">
        <v>135</v>
      </c>
    </row>
    <row r="1134" spans="1:2">
      <c r="A1134" t="s">
        <v>1756</v>
      </c>
      <c r="B1134" s="56" t="s">
        <v>206</v>
      </c>
    </row>
    <row r="1135" spans="1:2">
      <c r="A1135" t="s">
        <v>1595</v>
      </c>
      <c r="B1135" s="56" t="s">
        <v>183</v>
      </c>
    </row>
    <row r="1136" spans="1:2">
      <c r="A1136" t="s">
        <v>4151</v>
      </c>
      <c r="B1136" s="56" t="s">
        <v>142</v>
      </c>
    </row>
    <row r="1137" spans="1:2">
      <c r="A1137" t="s">
        <v>2091</v>
      </c>
      <c r="B1137" s="56" t="s">
        <v>165</v>
      </c>
    </row>
    <row r="1138" spans="1:2">
      <c r="A1138" t="s">
        <v>852</v>
      </c>
      <c r="B1138" s="56" t="s">
        <v>142</v>
      </c>
    </row>
    <row r="1139" spans="1:2">
      <c r="A1139" t="s">
        <v>3352</v>
      </c>
      <c r="B1139" s="56" t="s">
        <v>142</v>
      </c>
    </row>
    <row r="1140" spans="1:2">
      <c r="A1140" t="s">
        <v>3609</v>
      </c>
      <c r="B1140" s="56" t="s">
        <v>142</v>
      </c>
    </row>
    <row r="1141" spans="1:2">
      <c r="A1141" t="s">
        <v>4217</v>
      </c>
      <c r="B1141" s="56" t="s">
        <v>183</v>
      </c>
    </row>
    <row r="1142" spans="1:2">
      <c r="A1142" t="s">
        <v>2912</v>
      </c>
      <c r="B1142" s="56" t="s">
        <v>205</v>
      </c>
    </row>
    <row r="1143" spans="1:2">
      <c r="A1143" t="s">
        <v>2824</v>
      </c>
      <c r="B1143" s="56" t="s">
        <v>164</v>
      </c>
    </row>
    <row r="1144" spans="1:2">
      <c r="A1144" t="s">
        <v>3465</v>
      </c>
      <c r="B1144" s="56" t="s">
        <v>204</v>
      </c>
    </row>
    <row r="1145" spans="1:2">
      <c r="A1145" t="s">
        <v>1596</v>
      </c>
      <c r="B1145" s="56" t="s">
        <v>183</v>
      </c>
    </row>
    <row r="1146" spans="1:2">
      <c r="A1146" t="s">
        <v>2300</v>
      </c>
      <c r="B1146" s="56" t="s">
        <v>148</v>
      </c>
    </row>
    <row r="1147" spans="1:2">
      <c r="A1147" t="s">
        <v>1226</v>
      </c>
      <c r="B1147" s="56" t="s">
        <v>183</v>
      </c>
    </row>
    <row r="1148" spans="1:2">
      <c r="A1148" t="s">
        <v>2823</v>
      </c>
      <c r="B1148" s="56" t="s">
        <v>183</v>
      </c>
    </row>
    <row r="1149" spans="1:2">
      <c r="A1149" t="s">
        <v>1227</v>
      </c>
      <c r="B1149" s="56" t="s">
        <v>164</v>
      </c>
    </row>
    <row r="1150" spans="1:2">
      <c r="A1150" t="s">
        <v>3347</v>
      </c>
      <c r="B1150" s="56" t="s">
        <v>164</v>
      </c>
    </row>
    <row r="1151" spans="1:2">
      <c r="A1151" t="s">
        <v>964</v>
      </c>
      <c r="B1151" s="56" t="s">
        <v>171</v>
      </c>
    </row>
    <row r="1152" spans="1:2">
      <c r="A1152" t="s">
        <v>965</v>
      </c>
      <c r="B1152" s="56" t="s">
        <v>116</v>
      </c>
    </row>
    <row r="1153" spans="1:2">
      <c r="A1153" t="s">
        <v>966</v>
      </c>
      <c r="B1153" s="56" t="s">
        <v>142</v>
      </c>
    </row>
    <row r="1154" spans="1:2">
      <c r="A1154" t="s">
        <v>3170</v>
      </c>
      <c r="B1154" s="56" t="s">
        <v>164</v>
      </c>
    </row>
    <row r="1155" spans="1:2">
      <c r="A1155" t="s">
        <v>4074</v>
      </c>
      <c r="B1155" s="56" t="s">
        <v>164</v>
      </c>
    </row>
    <row r="1156" spans="1:2">
      <c r="A1156" t="s">
        <v>1597</v>
      </c>
      <c r="B1156" s="56" t="s">
        <v>204</v>
      </c>
    </row>
    <row r="1157" spans="1:2">
      <c r="A1157" t="s">
        <v>3881</v>
      </c>
      <c r="B1157" s="299" t="s">
        <v>144</v>
      </c>
    </row>
    <row r="1158" spans="1:2">
      <c r="A1158" t="s">
        <v>1228</v>
      </c>
      <c r="B1158" s="56" t="s">
        <v>940</v>
      </c>
    </row>
    <row r="1159" spans="1:2">
      <c r="A1159" t="s">
        <v>2086</v>
      </c>
      <c r="B1159" s="56" t="s">
        <v>142</v>
      </c>
    </row>
    <row r="1160" spans="1:2">
      <c r="A1160" t="s">
        <v>1598</v>
      </c>
      <c r="B1160" s="56" t="s">
        <v>164</v>
      </c>
    </row>
    <row r="1161" spans="1:2">
      <c r="A1161" t="s">
        <v>1600</v>
      </c>
      <c r="B1161" s="56" t="s">
        <v>2184</v>
      </c>
    </row>
    <row r="1162" spans="1:2">
      <c r="A1162" t="s">
        <v>658</v>
      </c>
      <c r="B1162" s="56" t="s">
        <v>190</v>
      </c>
    </row>
    <row r="1163" spans="1:2">
      <c r="A1163" t="s">
        <v>1625</v>
      </c>
      <c r="B1163" s="56" t="s">
        <v>142</v>
      </c>
    </row>
    <row r="1164" spans="1:2">
      <c r="A1164" t="s">
        <v>1599</v>
      </c>
      <c r="B1164" s="56" t="s">
        <v>164</v>
      </c>
    </row>
    <row r="1165" spans="1:2">
      <c r="A1165" t="s">
        <v>4086</v>
      </c>
      <c r="B1165" s="56" t="s">
        <v>183</v>
      </c>
    </row>
    <row r="1166" spans="1:2">
      <c r="A1166" t="s">
        <v>4200</v>
      </c>
      <c r="B1166" s="359" t="s">
        <v>164</v>
      </c>
    </row>
    <row r="1167" spans="1:2">
      <c r="A1167" t="s">
        <v>3574</v>
      </c>
      <c r="B1167" s="56" t="s">
        <v>164</v>
      </c>
    </row>
    <row r="1168" spans="1:2">
      <c r="A1168" t="s">
        <v>967</v>
      </c>
      <c r="B1168" s="56" t="s">
        <v>164</v>
      </c>
    </row>
    <row r="1169" spans="1:2">
      <c r="A1169" t="s">
        <v>4188</v>
      </c>
      <c r="B1169" s="56" t="s">
        <v>183</v>
      </c>
    </row>
    <row r="1170" spans="1:2">
      <c r="A1170" t="s">
        <v>3495</v>
      </c>
      <c r="B1170" s="56" t="s">
        <v>142</v>
      </c>
    </row>
    <row r="1171" spans="1:2">
      <c r="A1171" t="s">
        <v>1601</v>
      </c>
      <c r="B1171" s="56" t="s">
        <v>183</v>
      </c>
    </row>
    <row r="1172" spans="1:2">
      <c r="A1172" t="s">
        <v>617</v>
      </c>
      <c r="B1172" s="56" t="s">
        <v>940</v>
      </c>
    </row>
    <row r="1173" spans="1:2">
      <c r="A1173" t="s">
        <v>1602</v>
      </c>
      <c r="B1173" s="56" t="s">
        <v>183</v>
      </c>
    </row>
    <row r="1174" spans="1:2">
      <c r="A1174" t="s">
        <v>4150</v>
      </c>
      <c r="B1174" s="56" t="s">
        <v>164</v>
      </c>
    </row>
    <row r="1175" spans="1:2">
      <c r="A1175" t="s">
        <v>3137</v>
      </c>
      <c r="B1175" s="56" t="s">
        <v>183</v>
      </c>
    </row>
    <row r="1176" spans="1:2">
      <c r="A1176" t="s">
        <v>1603</v>
      </c>
      <c r="B1176" s="56" t="s">
        <v>164</v>
      </c>
    </row>
    <row r="1177" spans="1:2">
      <c r="A1177" t="s">
        <v>2794</v>
      </c>
      <c r="B1177" s="56" t="s">
        <v>183</v>
      </c>
    </row>
    <row r="1178" spans="1:2">
      <c r="A1178" t="s">
        <v>1618</v>
      </c>
      <c r="B1178" s="56" t="s">
        <v>142</v>
      </c>
    </row>
    <row r="1179" spans="1:2">
      <c r="A1179" t="s">
        <v>968</v>
      </c>
      <c r="B1179" s="56" t="s">
        <v>142</v>
      </c>
    </row>
    <row r="1180" spans="1:2">
      <c r="A1180" t="s">
        <v>1229</v>
      </c>
      <c r="B1180" s="56" t="s">
        <v>164</v>
      </c>
    </row>
    <row r="1181" spans="1:2">
      <c r="A1181" t="s">
        <v>969</v>
      </c>
      <c r="B1181" s="56" t="s">
        <v>169</v>
      </c>
    </row>
    <row r="1182" spans="1:2">
      <c r="A1182" t="s">
        <v>970</v>
      </c>
      <c r="B1182" s="56" t="s">
        <v>164</v>
      </c>
    </row>
    <row r="1183" spans="1:2">
      <c r="A1183" t="s">
        <v>1604</v>
      </c>
      <c r="B1183" s="56" t="s">
        <v>164</v>
      </c>
    </row>
    <row r="1184" spans="1:2">
      <c r="A1184" t="s">
        <v>971</v>
      </c>
      <c r="B1184" s="56" t="s">
        <v>164</v>
      </c>
    </row>
    <row r="1185" spans="1:2">
      <c r="A1185" t="s">
        <v>1605</v>
      </c>
      <c r="B1185" s="56" t="s">
        <v>148</v>
      </c>
    </row>
    <row r="1186" spans="1:2">
      <c r="A1186" t="s">
        <v>853</v>
      </c>
      <c r="B1186" s="56" t="s">
        <v>142</v>
      </c>
    </row>
    <row r="1187" spans="1:2">
      <c r="A1187" t="s">
        <v>2794</v>
      </c>
      <c r="B1187" s="56" t="s">
        <v>183</v>
      </c>
    </row>
    <row r="1188" spans="1:2">
      <c r="A1188" t="s">
        <v>2979</v>
      </c>
      <c r="B1188" s="56" t="s">
        <v>164</v>
      </c>
    </row>
    <row r="1189" spans="1:2">
      <c r="A1189" t="s">
        <v>2618</v>
      </c>
      <c r="B1189" s="56" t="s">
        <v>142</v>
      </c>
    </row>
    <row r="1190" spans="1:2">
      <c r="A1190" t="s">
        <v>2151</v>
      </c>
      <c r="B1190" s="56" t="s">
        <v>200</v>
      </c>
    </row>
    <row r="1191" spans="1:2">
      <c r="A1191" t="s">
        <v>2269</v>
      </c>
      <c r="B1191" s="56" t="s">
        <v>142</v>
      </c>
    </row>
    <row r="1192" spans="1:2">
      <c r="A1192" t="s">
        <v>1606</v>
      </c>
      <c r="B1192" s="56" t="s">
        <v>164</v>
      </c>
    </row>
    <row r="1193" spans="1:2">
      <c r="A1193" t="s">
        <v>3000</v>
      </c>
      <c r="B1193" s="56" t="s">
        <v>142</v>
      </c>
    </row>
    <row r="1194" spans="1:2">
      <c r="A1194" t="s">
        <v>760</v>
      </c>
      <c r="B1194" s="56" t="s">
        <v>102</v>
      </c>
    </row>
    <row r="1195" spans="1:2">
      <c r="A1195" t="s">
        <v>1607</v>
      </c>
      <c r="B1195" s="56" t="s">
        <v>183</v>
      </c>
    </row>
    <row r="1196" spans="1:2">
      <c r="A1196" t="s">
        <v>2330</v>
      </c>
      <c r="B1196" s="56" t="s">
        <v>148</v>
      </c>
    </row>
    <row r="1197" spans="1:2">
      <c r="A1197" t="s">
        <v>1230</v>
      </c>
      <c r="B1197" s="56" t="s">
        <v>142</v>
      </c>
    </row>
    <row r="1198" spans="1:2">
      <c r="A1198" t="s">
        <v>775</v>
      </c>
      <c r="B1198" s="56" t="s">
        <v>1032</v>
      </c>
    </row>
    <row r="1199" spans="1:2">
      <c r="A1199" t="s">
        <v>688</v>
      </c>
      <c r="B1199" s="56" t="s">
        <v>97</v>
      </c>
    </row>
    <row r="1200" spans="1:2">
      <c r="A1200" t="s">
        <v>759</v>
      </c>
      <c r="B1200" s="56" t="s">
        <v>164</v>
      </c>
    </row>
    <row r="1201" spans="1:3">
      <c r="A1201" t="s">
        <v>2945</v>
      </c>
      <c r="B1201" s="56" t="s">
        <v>164</v>
      </c>
    </row>
    <row r="1202" spans="1:3">
      <c r="A1202" t="s">
        <v>3936</v>
      </c>
      <c r="B1202" s="56" t="s">
        <v>146</v>
      </c>
    </row>
    <row r="1203" spans="1:3">
      <c r="A1203" t="s">
        <v>3493</v>
      </c>
      <c r="B1203" s="56" t="s">
        <v>164</v>
      </c>
    </row>
    <row r="1204" spans="1:3">
      <c r="A1204" t="s">
        <v>2946</v>
      </c>
      <c r="B1204" s="56" t="s">
        <v>164</v>
      </c>
    </row>
    <row r="1205" spans="1:3">
      <c r="A1205" t="s">
        <v>616</v>
      </c>
      <c r="B1205" s="56" t="s">
        <v>940</v>
      </c>
    </row>
    <row r="1206" spans="1:3">
      <c r="A1206" t="s">
        <v>637</v>
      </c>
      <c r="B1206" s="56" t="s">
        <v>113</v>
      </c>
      <c r="C1206" t="s">
        <v>3990</v>
      </c>
    </row>
    <row r="1207" spans="1:3">
      <c r="A1207" t="s">
        <v>1231</v>
      </c>
      <c r="B1207" s="56" t="s">
        <v>178</v>
      </c>
    </row>
    <row r="1208" spans="1:3">
      <c r="A1208" t="s">
        <v>615</v>
      </c>
      <c r="B1208" s="56" t="s">
        <v>113</v>
      </c>
    </row>
    <row r="1209" spans="1:3">
      <c r="A1209" t="s">
        <v>3345</v>
      </c>
      <c r="B1209" s="56" t="s">
        <v>142</v>
      </c>
    </row>
    <row r="1210" spans="1:3">
      <c r="A1210" t="s">
        <v>3249</v>
      </c>
      <c r="B1210" s="56" t="s">
        <v>164</v>
      </c>
    </row>
    <row r="1211" spans="1:3">
      <c r="A1211" t="s">
        <v>3343</v>
      </c>
      <c r="B1211" s="56" t="s">
        <v>204</v>
      </c>
    </row>
    <row r="1212" spans="1:3">
      <c r="A1212" t="s">
        <v>2763</v>
      </c>
      <c r="B1212" s="56" t="s">
        <v>164</v>
      </c>
    </row>
    <row r="1213" spans="1:3">
      <c r="A1213" t="s">
        <v>1608</v>
      </c>
      <c r="B1213" s="56" t="s">
        <v>144</v>
      </c>
    </row>
    <row r="1214" spans="1:3">
      <c r="A1214" t="s">
        <v>1232</v>
      </c>
      <c r="B1214" s="56" t="s">
        <v>164</v>
      </c>
    </row>
    <row r="1215" spans="1:3">
      <c r="A1215" t="s">
        <v>2240</v>
      </c>
      <c r="B1215" s="211" t="s">
        <v>142</v>
      </c>
    </row>
    <row r="1216" spans="1:3">
      <c r="A1216" t="s">
        <v>1622</v>
      </c>
      <c r="B1216" s="56" t="s">
        <v>164</v>
      </c>
    </row>
    <row r="1217" spans="1:2">
      <c r="A1217" t="s">
        <v>4134</v>
      </c>
      <c r="B1217" s="56" t="s">
        <v>183</v>
      </c>
    </row>
    <row r="1218" spans="1:2">
      <c r="A1218" t="s">
        <v>711</v>
      </c>
      <c r="B1218" s="56" t="s">
        <v>185</v>
      </c>
    </row>
    <row r="1219" spans="1:2">
      <c r="A1219" t="s">
        <v>4007</v>
      </c>
      <c r="B1219" s="56" t="s">
        <v>205</v>
      </c>
    </row>
    <row r="1220" spans="1:2">
      <c r="A1220" t="s">
        <v>1233</v>
      </c>
      <c r="B1220" s="211" t="s">
        <v>940</v>
      </c>
    </row>
    <row r="1221" spans="1:2">
      <c r="A1221" t="s">
        <v>1788</v>
      </c>
      <c r="B1221" s="211" t="s">
        <v>1032</v>
      </c>
    </row>
    <row r="1222" spans="1:2">
      <c r="A1222" t="s">
        <v>2672</v>
      </c>
      <c r="B1222" s="56" t="s">
        <v>164</v>
      </c>
    </row>
    <row r="1223" spans="1:2">
      <c r="A1223" t="s">
        <v>1234</v>
      </c>
      <c r="B1223" s="211" t="s">
        <v>183</v>
      </c>
    </row>
    <row r="1224" spans="1:2">
      <c r="A1224" t="s">
        <v>2782</v>
      </c>
      <c r="B1224" s="211" t="s">
        <v>183</v>
      </c>
    </row>
    <row r="1225" spans="1:2">
      <c r="A1225" t="s">
        <v>2845</v>
      </c>
      <c r="B1225" s="211" t="s">
        <v>183</v>
      </c>
    </row>
    <row r="1226" spans="1:2">
      <c r="A1226" t="s">
        <v>1235</v>
      </c>
      <c r="B1226" s="211" t="s">
        <v>183</v>
      </c>
    </row>
    <row r="1227" spans="1:2">
      <c r="A1227" t="s">
        <v>1236</v>
      </c>
      <c r="B1227" s="211" t="s">
        <v>142</v>
      </c>
    </row>
    <row r="1228" spans="1:2">
      <c r="A1228" t="s">
        <v>1609</v>
      </c>
      <c r="B1228" s="211" t="s">
        <v>183</v>
      </c>
    </row>
    <row r="1229" spans="1:2">
      <c r="A1229" t="s">
        <v>1610</v>
      </c>
      <c r="B1229" s="211" t="s">
        <v>148</v>
      </c>
    </row>
    <row r="1230" spans="1:2">
      <c r="A1230" t="s">
        <v>1237</v>
      </c>
      <c r="B1230" s="211" t="s">
        <v>142</v>
      </c>
    </row>
    <row r="1231" spans="1:2" ht="16" thickBot="1">
      <c r="A1231" s="216"/>
      <c r="B1231" s="80"/>
    </row>
    <row r="1232" spans="1:2">
      <c r="B1232" s="212"/>
    </row>
  </sheetData>
  <sortState xmlns:xlrd2="http://schemas.microsoft.com/office/spreadsheetml/2017/richdata2" ref="A5:B434">
    <sortCondition ref="A5"/>
  </sortState>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L2322"/>
  <sheetViews>
    <sheetView topLeftCell="A56" workbookViewId="0">
      <selection activeCell="A997" sqref="A997"/>
    </sheetView>
  </sheetViews>
  <sheetFormatPr baseColWidth="10" defaultColWidth="11.5" defaultRowHeight="15"/>
  <cols>
    <col min="1" max="1" width="18" customWidth="1"/>
    <col min="2" max="2" width="43.83203125" style="56" customWidth="1"/>
  </cols>
  <sheetData>
    <row r="1" spans="1:5" ht="16">
      <c r="B1" s="174"/>
    </row>
    <row r="3" spans="1:5" ht="16">
      <c r="B3" s="141"/>
    </row>
    <row r="4" spans="1:5">
      <c r="A4" s="258" t="s">
        <v>613</v>
      </c>
      <c r="B4" s="237" t="s">
        <v>250</v>
      </c>
    </row>
    <row r="5" spans="1:5">
      <c r="A5" s="256">
        <v>0</v>
      </c>
      <c r="B5" s="237"/>
    </row>
    <row r="6" spans="1:5">
      <c r="A6">
        <v>0</v>
      </c>
      <c r="B6" s="237">
        <v>0</v>
      </c>
      <c r="C6" t="s">
        <v>0</v>
      </c>
      <c r="D6" s="239">
        <v>41645</v>
      </c>
    </row>
    <row r="7" spans="1:5">
      <c r="A7" t="s">
        <v>1713</v>
      </c>
      <c r="B7" s="198" t="s">
        <v>257</v>
      </c>
      <c r="D7" s="239"/>
      <c r="E7" s="198"/>
    </row>
    <row r="8" spans="1:5">
      <c r="A8" t="s">
        <v>1714</v>
      </c>
      <c r="B8" s="198" t="s">
        <v>257</v>
      </c>
      <c r="E8" s="198"/>
    </row>
    <row r="9" spans="1:5">
      <c r="A9" t="s">
        <v>689</v>
      </c>
      <c r="B9" s="198" t="s">
        <v>257</v>
      </c>
      <c r="E9" s="198"/>
    </row>
    <row r="10" spans="1:5">
      <c r="A10" t="s">
        <v>690</v>
      </c>
      <c r="B10" s="198" t="s">
        <v>257</v>
      </c>
      <c r="E10" s="198"/>
    </row>
    <row r="11" spans="1:5">
      <c r="A11" t="s">
        <v>692</v>
      </c>
      <c r="B11" s="198" t="s">
        <v>257</v>
      </c>
      <c r="E11" s="198"/>
    </row>
    <row r="12" spans="1:5">
      <c r="A12" t="s">
        <v>3506</v>
      </c>
      <c r="B12" s="198" t="s">
        <v>257</v>
      </c>
      <c r="E12" s="198"/>
    </row>
    <row r="13" spans="1:5">
      <c r="A13" t="s">
        <v>693</v>
      </c>
      <c r="B13" s="198" t="s">
        <v>257</v>
      </c>
      <c r="E13" s="198"/>
    </row>
    <row r="14" spans="1:5">
      <c r="A14" t="s">
        <v>2141</v>
      </c>
      <c r="B14" s="198" t="s">
        <v>257</v>
      </c>
      <c r="E14" s="198"/>
    </row>
    <row r="15" spans="1:5">
      <c r="A15" t="s">
        <v>2331</v>
      </c>
      <c r="B15" s="198" t="s">
        <v>257</v>
      </c>
      <c r="E15" s="198"/>
    </row>
    <row r="16" spans="1:5">
      <c r="A16" t="s">
        <v>3742</v>
      </c>
      <c r="B16" s="198" t="s">
        <v>257</v>
      </c>
      <c r="E16" s="198"/>
    </row>
    <row r="17" spans="1:5">
      <c r="B17" s="198" t="s">
        <v>257</v>
      </c>
      <c r="E17" s="198"/>
    </row>
    <row r="18" spans="1:5">
      <c r="A18" t="s">
        <v>2167</v>
      </c>
      <c r="B18" s="198" t="s">
        <v>257</v>
      </c>
      <c r="E18" s="198"/>
    </row>
    <row r="19" spans="1:5">
      <c r="A19" t="s">
        <v>3891</v>
      </c>
      <c r="B19" s="198" t="s">
        <v>257</v>
      </c>
      <c r="E19" s="198"/>
    </row>
    <row r="20" spans="1:5">
      <c r="A20" t="s">
        <v>3892</v>
      </c>
      <c r="B20" s="198" t="s">
        <v>257</v>
      </c>
      <c r="E20" s="198"/>
    </row>
    <row r="21" spans="1:5">
      <c r="B21" s="198" t="s">
        <v>257</v>
      </c>
      <c r="E21" s="198"/>
    </row>
    <row r="22" spans="1:5">
      <c r="A22" t="s">
        <v>2093</v>
      </c>
      <c r="B22" s="198" t="s">
        <v>257</v>
      </c>
      <c r="E22" s="198"/>
    </row>
    <row r="23" spans="1:5">
      <c r="A23" t="s">
        <v>2629</v>
      </c>
      <c r="B23" s="198" t="s">
        <v>257</v>
      </c>
      <c r="E23" s="198"/>
    </row>
    <row r="24" spans="1:5">
      <c r="B24" s="198" t="s">
        <v>257</v>
      </c>
      <c r="E24" s="198"/>
    </row>
    <row r="25" spans="1:5">
      <c r="B25" s="198"/>
      <c r="E25" s="198"/>
    </row>
    <row r="26" spans="1:5">
      <c r="A26" t="s">
        <v>691</v>
      </c>
      <c r="B26" s="198" t="s">
        <v>2423</v>
      </c>
      <c r="E26" s="198"/>
    </row>
    <row r="27" spans="1:5">
      <c r="A27" t="s">
        <v>2336</v>
      </c>
      <c r="B27" s="198" t="s">
        <v>2423</v>
      </c>
      <c r="E27" s="198"/>
    </row>
    <row r="28" spans="1:5">
      <c r="A28" t="s">
        <v>2562</v>
      </c>
      <c r="B28" s="198" t="s">
        <v>2423</v>
      </c>
      <c r="E28" s="198"/>
    </row>
    <row r="29" spans="1:5">
      <c r="A29" t="s">
        <v>1869</v>
      </c>
      <c r="B29" s="198" t="s">
        <v>2423</v>
      </c>
      <c r="E29" s="198"/>
    </row>
    <row r="30" spans="1:5">
      <c r="A30" t="s">
        <v>2210</v>
      </c>
      <c r="B30" s="198" t="s">
        <v>2423</v>
      </c>
      <c r="E30" s="198"/>
    </row>
    <row r="31" spans="1:5">
      <c r="A31" t="s">
        <v>3751</v>
      </c>
      <c r="B31" s="198" t="s">
        <v>2423</v>
      </c>
      <c r="E31" s="198"/>
    </row>
    <row r="32" spans="1:5">
      <c r="A32" t="s">
        <v>3750</v>
      </c>
      <c r="B32" s="198" t="s">
        <v>2423</v>
      </c>
      <c r="E32" s="198"/>
    </row>
    <row r="33" spans="1:5">
      <c r="A33" t="s">
        <v>3856</v>
      </c>
      <c r="B33" s="198" t="s">
        <v>2423</v>
      </c>
      <c r="E33" s="198"/>
    </row>
    <row r="34" spans="1:5">
      <c r="A34" t="s">
        <v>2092</v>
      </c>
      <c r="B34" s="198" t="s">
        <v>2423</v>
      </c>
      <c r="E34" s="198"/>
    </row>
    <row r="35" spans="1:5">
      <c r="A35" t="s">
        <v>2440</v>
      </c>
      <c r="B35" s="198" t="s">
        <v>2423</v>
      </c>
      <c r="E35" s="198"/>
    </row>
    <row r="36" spans="1:5">
      <c r="A36" t="s">
        <v>2441</v>
      </c>
      <c r="B36" s="198" t="s">
        <v>2423</v>
      </c>
      <c r="E36" s="198"/>
    </row>
    <row r="37" spans="1:5">
      <c r="A37" t="s">
        <v>2304</v>
      </c>
      <c r="B37" s="198" t="s">
        <v>2423</v>
      </c>
      <c r="E37" s="198"/>
    </row>
    <row r="38" spans="1:5">
      <c r="A38" t="s">
        <v>2713</v>
      </c>
      <c r="B38" s="198" t="s">
        <v>2423</v>
      </c>
      <c r="E38" s="198"/>
    </row>
    <row r="39" spans="1:5">
      <c r="A39" t="s">
        <v>2714</v>
      </c>
      <c r="B39" s="198" t="s">
        <v>2423</v>
      </c>
      <c r="E39" s="198"/>
    </row>
    <row r="40" spans="1:5">
      <c r="A40" t="s">
        <v>1791</v>
      </c>
      <c r="B40" s="198" t="s">
        <v>2423</v>
      </c>
      <c r="E40" s="198"/>
    </row>
    <row r="41" spans="1:5">
      <c r="A41" t="s">
        <v>2630</v>
      </c>
      <c r="B41" s="198" t="s">
        <v>2423</v>
      </c>
      <c r="E41" s="198"/>
    </row>
    <row r="42" spans="1:5">
      <c r="A42" t="s">
        <v>2852</v>
      </c>
      <c r="B42" s="198" t="s">
        <v>2423</v>
      </c>
      <c r="E42" s="198"/>
    </row>
    <row r="43" spans="1:5">
      <c r="A43" t="s">
        <v>2853</v>
      </c>
      <c r="B43" s="198" t="s">
        <v>2423</v>
      </c>
      <c r="E43" s="198"/>
    </row>
    <row r="44" spans="1:5">
      <c r="A44" t="s">
        <v>3264</v>
      </c>
      <c r="B44" s="198" t="s">
        <v>2423</v>
      </c>
      <c r="E44" s="198"/>
    </row>
    <row r="45" spans="1:5">
      <c r="A45" t="s">
        <v>4080</v>
      </c>
      <c r="B45" s="198" t="s">
        <v>2423</v>
      </c>
      <c r="E45" s="198"/>
    </row>
    <row r="46" spans="1:5">
      <c r="A46" t="s">
        <v>4081</v>
      </c>
      <c r="B46" s="198" t="s">
        <v>2423</v>
      </c>
      <c r="E46" s="198"/>
    </row>
    <row r="47" spans="1:5">
      <c r="A47" t="s">
        <v>2649</v>
      </c>
      <c r="B47" s="198" t="s">
        <v>2423</v>
      </c>
      <c r="E47" s="198"/>
    </row>
    <row r="48" spans="1:5">
      <c r="A48" t="s">
        <v>3736</v>
      </c>
      <c r="B48" s="198" t="s">
        <v>2423</v>
      </c>
      <c r="E48" s="198"/>
    </row>
    <row r="49" spans="1:5">
      <c r="A49" t="s">
        <v>3737</v>
      </c>
      <c r="B49" s="198" t="s">
        <v>2423</v>
      </c>
      <c r="E49" s="198"/>
    </row>
    <row r="50" spans="1:5">
      <c r="A50" t="s">
        <v>3757</v>
      </c>
      <c r="B50" s="198" t="s">
        <v>2423</v>
      </c>
      <c r="E50" s="198"/>
    </row>
    <row r="51" spans="1:5">
      <c r="A51" t="s">
        <v>3893</v>
      </c>
      <c r="B51" s="198" t="s">
        <v>2423</v>
      </c>
      <c r="E51" s="198"/>
    </row>
    <row r="52" spans="1:5">
      <c r="A52" t="s">
        <v>3894</v>
      </c>
      <c r="B52" s="198" t="s">
        <v>2423</v>
      </c>
      <c r="E52" s="198"/>
    </row>
    <row r="53" spans="1:5">
      <c r="A53" t="s">
        <v>3895</v>
      </c>
      <c r="B53" s="198" t="s">
        <v>2423</v>
      </c>
      <c r="E53" s="198"/>
    </row>
    <row r="54" spans="1:5">
      <c r="B54" s="198"/>
      <c r="E54" s="198"/>
    </row>
    <row r="55" spans="1:5">
      <c r="A55" t="s">
        <v>3942</v>
      </c>
      <c r="B55" s="198" t="s">
        <v>3987</v>
      </c>
      <c r="E55" s="198"/>
    </row>
    <row r="56" spans="1:5">
      <c r="A56" t="s">
        <v>3943</v>
      </c>
      <c r="B56" s="198" t="s">
        <v>3987</v>
      </c>
      <c r="E56" s="198"/>
    </row>
    <row r="57" spans="1:5">
      <c r="A57" t="s">
        <v>3944</v>
      </c>
      <c r="B57" s="198" t="s">
        <v>3987</v>
      </c>
      <c r="E57" s="198"/>
    </row>
    <row r="58" spans="1:5">
      <c r="A58" t="s">
        <v>3945</v>
      </c>
      <c r="B58" s="198" t="s">
        <v>3987</v>
      </c>
      <c r="E58" s="198"/>
    </row>
    <row r="59" spans="1:5">
      <c r="A59" t="s">
        <v>4018</v>
      </c>
      <c r="B59" s="198" t="s">
        <v>3987</v>
      </c>
      <c r="E59" s="198"/>
    </row>
    <row r="60" spans="1:5">
      <c r="A60" t="s">
        <v>1652</v>
      </c>
      <c r="B60" s="198" t="s">
        <v>258</v>
      </c>
      <c r="E60" s="198"/>
    </row>
    <row r="61" spans="1:5">
      <c r="A61" t="s">
        <v>1653</v>
      </c>
      <c r="B61" s="198" t="s">
        <v>258</v>
      </c>
      <c r="E61" s="198"/>
    </row>
    <row r="62" spans="1:5">
      <c r="A62" t="s">
        <v>1654</v>
      </c>
      <c r="B62" s="198" t="s">
        <v>258</v>
      </c>
      <c r="E62" s="198"/>
    </row>
    <row r="63" spans="1:5">
      <c r="A63" t="s">
        <v>1655</v>
      </c>
      <c r="B63" s="198" t="s">
        <v>258</v>
      </c>
      <c r="E63" s="198"/>
    </row>
    <row r="64" spans="1:5">
      <c r="B64" s="198"/>
      <c r="E64" s="198"/>
    </row>
    <row r="65" spans="1:5">
      <c r="A65" t="s">
        <v>2338</v>
      </c>
      <c r="B65" s="198" t="s">
        <v>259</v>
      </c>
      <c r="E65" s="198"/>
    </row>
    <row r="66" spans="1:5">
      <c r="A66" t="s">
        <v>2339</v>
      </c>
      <c r="B66" s="198" t="s">
        <v>259</v>
      </c>
      <c r="E66" s="198"/>
    </row>
    <row r="67" spans="1:5">
      <c r="A67" t="s">
        <v>3350</v>
      </c>
      <c r="B67" s="198" t="s">
        <v>259</v>
      </c>
      <c r="E67" s="198"/>
    </row>
    <row r="68" spans="1:5">
      <c r="A68" t="s">
        <v>3401</v>
      </c>
      <c r="B68" s="198" t="s">
        <v>3321</v>
      </c>
      <c r="E68" s="198"/>
    </row>
    <row r="69" spans="1:5">
      <c r="B69" s="198"/>
      <c r="E69" s="198"/>
    </row>
    <row r="70" spans="1:5">
      <c r="A70" t="s">
        <v>3061</v>
      </c>
      <c r="B70" s="198" t="s">
        <v>260</v>
      </c>
      <c r="E70" s="198"/>
    </row>
    <row r="71" spans="1:5">
      <c r="A71" t="s">
        <v>4145</v>
      </c>
      <c r="B71" s="198" t="s">
        <v>260</v>
      </c>
      <c r="E71" s="198"/>
    </row>
    <row r="72" spans="1:5">
      <c r="A72" t="s">
        <v>2854</v>
      </c>
      <c r="B72" s="198" t="s">
        <v>260</v>
      </c>
      <c r="E72" s="198"/>
    </row>
    <row r="73" spans="1:5">
      <c r="A73" t="s">
        <v>2305</v>
      </c>
      <c r="B73" s="198" t="s">
        <v>261</v>
      </c>
      <c r="E73" s="198"/>
    </row>
    <row r="74" spans="1:5">
      <c r="A74" t="s">
        <v>2715</v>
      </c>
      <c r="B74" s="198" t="s">
        <v>261</v>
      </c>
      <c r="E74" s="198"/>
    </row>
    <row r="75" spans="1:5">
      <c r="A75" t="s">
        <v>2546</v>
      </c>
      <c r="B75" s="198" t="s">
        <v>261</v>
      </c>
      <c r="E75" s="198"/>
    </row>
    <row r="76" spans="1:5">
      <c r="A76" t="s">
        <v>2792</v>
      </c>
      <c r="B76" s="198" t="s">
        <v>261</v>
      </c>
      <c r="E76" s="198"/>
    </row>
    <row r="77" spans="1:5">
      <c r="A77" t="s">
        <v>2931</v>
      </c>
      <c r="B77" s="198" t="s">
        <v>261</v>
      </c>
      <c r="E77" s="198"/>
    </row>
    <row r="78" spans="1:5">
      <c r="A78" t="s">
        <v>4135</v>
      </c>
      <c r="B78" s="198" t="s">
        <v>261</v>
      </c>
      <c r="E78" s="198"/>
    </row>
    <row r="79" spans="1:5">
      <c r="A79" t="s">
        <v>3946</v>
      </c>
      <c r="B79" s="198" t="s">
        <v>261</v>
      </c>
      <c r="E79" s="198"/>
    </row>
    <row r="80" spans="1:5">
      <c r="A80" t="s">
        <v>2327</v>
      </c>
      <c r="B80" s="198" t="s">
        <v>262</v>
      </c>
      <c r="E80" s="198"/>
    </row>
    <row r="81" spans="1:5">
      <c r="A81" t="s">
        <v>2631</v>
      </c>
      <c r="B81" s="198" t="s">
        <v>263</v>
      </c>
      <c r="E81" s="198"/>
    </row>
    <row r="82" spans="1:5">
      <c r="A82" t="s">
        <v>2650</v>
      </c>
      <c r="B82" s="198" t="s">
        <v>263</v>
      </c>
      <c r="E82" s="198"/>
    </row>
    <row r="83" spans="1:5">
      <c r="A83" t="s">
        <v>3896</v>
      </c>
      <c r="B83" s="198" t="s">
        <v>263</v>
      </c>
      <c r="E83" s="198"/>
    </row>
    <row r="84" spans="1:5">
      <c r="A84" t="s">
        <v>3857</v>
      </c>
      <c r="B84" s="198" t="s">
        <v>263</v>
      </c>
      <c r="E84" s="198"/>
    </row>
    <row r="85" spans="1:5">
      <c r="A85" t="s">
        <v>4048</v>
      </c>
      <c r="B85" s="198" t="s">
        <v>263</v>
      </c>
      <c r="E85" s="198"/>
    </row>
    <row r="86" spans="1:5">
      <c r="B86" s="198" t="s">
        <v>264</v>
      </c>
      <c r="E86" s="198"/>
    </row>
    <row r="87" spans="1:5">
      <c r="B87" s="198" t="s">
        <v>265</v>
      </c>
      <c r="E87" s="198"/>
    </row>
    <row r="88" spans="1:5">
      <c r="B88" s="198" t="s">
        <v>266</v>
      </c>
      <c r="E88" s="198"/>
    </row>
    <row r="89" spans="1:5">
      <c r="B89" s="198" t="s">
        <v>267</v>
      </c>
      <c r="E89" s="198"/>
    </row>
    <row r="90" spans="1:5">
      <c r="A90" t="s">
        <v>1291</v>
      </c>
      <c r="B90" s="198" t="s">
        <v>268</v>
      </c>
      <c r="E90" s="198"/>
    </row>
    <row r="91" spans="1:5">
      <c r="A91" t="s">
        <v>3062</v>
      </c>
      <c r="B91" s="198" t="s">
        <v>268</v>
      </c>
      <c r="E91" s="198"/>
    </row>
    <row r="92" spans="1:5">
      <c r="A92" t="s">
        <v>4157</v>
      </c>
      <c r="B92" s="198" t="s">
        <v>268</v>
      </c>
      <c r="E92" s="198"/>
    </row>
    <row r="93" spans="1:5">
      <c r="B93" s="198"/>
      <c r="E93" s="198"/>
    </row>
    <row r="94" spans="1:5">
      <c r="A94" t="s">
        <v>1656</v>
      </c>
      <c r="B94" s="198" t="s">
        <v>269</v>
      </c>
      <c r="E94" s="198"/>
    </row>
    <row r="95" spans="1:5">
      <c r="A95" t="s">
        <v>1657</v>
      </c>
      <c r="B95" s="198" t="s">
        <v>269</v>
      </c>
      <c r="E95" s="198"/>
    </row>
    <row r="96" spans="1:5">
      <c r="A96" t="s">
        <v>2159</v>
      </c>
      <c r="B96" s="198" t="s">
        <v>269</v>
      </c>
      <c r="E96" s="198"/>
    </row>
    <row r="97" spans="1:5">
      <c r="A97" t="s">
        <v>2094</v>
      </c>
      <c r="B97" s="198" t="s">
        <v>269</v>
      </c>
      <c r="E97" s="198"/>
    </row>
    <row r="98" spans="1:5">
      <c r="A98" t="s">
        <v>2168</v>
      </c>
      <c r="B98" s="198" t="s">
        <v>269</v>
      </c>
      <c r="E98" s="198"/>
    </row>
    <row r="99" spans="1:5">
      <c r="A99" t="s">
        <v>2212</v>
      </c>
      <c r="B99" s="198" t="s">
        <v>269</v>
      </c>
      <c r="E99" s="198"/>
    </row>
    <row r="100" spans="1:5">
      <c r="A100" t="s">
        <v>2095</v>
      </c>
      <c r="B100" s="198" t="s">
        <v>269</v>
      </c>
      <c r="E100" s="198"/>
    </row>
    <row r="101" spans="1:5">
      <c r="A101" t="s">
        <v>2096</v>
      </c>
      <c r="B101" s="198" t="s">
        <v>269</v>
      </c>
      <c r="E101" s="198"/>
    </row>
    <row r="102" spans="1:5">
      <c r="A102" t="s">
        <v>2213</v>
      </c>
      <c r="B102" s="198" t="s">
        <v>269</v>
      </c>
      <c r="E102" s="198"/>
    </row>
    <row r="103" spans="1:5">
      <c r="A103" t="s">
        <v>3758</v>
      </c>
      <c r="B103" s="198" t="s">
        <v>269</v>
      </c>
      <c r="E103" s="198"/>
    </row>
    <row r="104" spans="1:5">
      <c r="A104" t="s">
        <v>3759</v>
      </c>
      <c r="B104" s="198" t="s">
        <v>269</v>
      </c>
      <c r="E104" s="198"/>
    </row>
    <row r="105" spans="1:5">
      <c r="A105" t="s">
        <v>1292</v>
      </c>
      <c r="B105" s="198" t="s">
        <v>269</v>
      </c>
      <c r="E105" s="198"/>
    </row>
    <row r="106" spans="1:5">
      <c r="A106" t="s">
        <v>1293</v>
      </c>
      <c r="B106" s="198" t="s">
        <v>269</v>
      </c>
      <c r="E106" s="198"/>
    </row>
    <row r="107" spans="1:5">
      <c r="A107" t="s">
        <v>1005</v>
      </c>
      <c r="B107" s="198" t="s">
        <v>269</v>
      </c>
      <c r="E107" s="198"/>
    </row>
    <row r="108" spans="1:5">
      <c r="A108" t="s">
        <v>1294</v>
      </c>
      <c r="B108" s="198" t="s">
        <v>269</v>
      </c>
      <c r="E108" s="198"/>
    </row>
    <row r="109" spans="1:5">
      <c r="A109" t="s">
        <v>1007</v>
      </c>
      <c r="B109" s="198" t="s">
        <v>269</v>
      </c>
      <c r="E109" s="198"/>
    </row>
    <row r="110" spans="1:5">
      <c r="A110" t="s">
        <v>1006</v>
      </c>
      <c r="B110" s="198" t="s">
        <v>269</v>
      </c>
      <c r="E110" s="198"/>
    </row>
    <row r="111" spans="1:5">
      <c r="A111" t="s">
        <v>1008</v>
      </c>
      <c r="B111" s="198" t="s">
        <v>269</v>
      </c>
      <c r="E111" s="198"/>
    </row>
    <row r="112" spans="1:5">
      <c r="A112" t="s">
        <v>1295</v>
      </c>
      <c r="B112" s="198" t="s">
        <v>269</v>
      </c>
      <c r="E112" s="198"/>
    </row>
    <row r="113" spans="1:5">
      <c r="A113" t="s">
        <v>2214</v>
      </c>
      <c r="B113" s="198" t="s">
        <v>269</v>
      </c>
      <c r="E113" s="198"/>
    </row>
    <row r="114" spans="1:5">
      <c r="A114" t="s">
        <v>2215</v>
      </c>
      <c r="B114" s="198" t="s">
        <v>269</v>
      </c>
      <c r="E114" s="198"/>
    </row>
    <row r="115" spans="1:5">
      <c r="B115" s="198"/>
      <c r="E115" s="198"/>
    </row>
    <row r="116" spans="1:5">
      <c r="A116" t="s">
        <v>3484</v>
      </c>
      <c r="B116" s="198" t="s">
        <v>272</v>
      </c>
      <c r="E116" s="198"/>
    </row>
    <row r="117" spans="1:5">
      <c r="A117" t="s">
        <v>2982</v>
      </c>
      <c r="B117" s="198" t="s">
        <v>272</v>
      </c>
      <c r="E117" s="198"/>
    </row>
    <row r="118" spans="1:5">
      <c r="A118" t="s">
        <v>1304</v>
      </c>
      <c r="B118" s="198" t="s">
        <v>272</v>
      </c>
      <c r="E118" s="198"/>
    </row>
    <row r="119" spans="1:5">
      <c r="A119" t="s">
        <v>1296</v>
      </c>
      <c r="B119" s="198" t="s">
        <v>272</v>
      </c>
      <c r="E119" s="198"/>
    </row>
    <row r="120" spans="1:5">
      <c r="A120" t="s">
        <v>1297</v>
      </c>
      <c r="B120" s="198" t="s">
        <v>272</v>
      </c>
      <c r="E120" s="198"/>
    </row>
    <row r="121" spans="1:5">
      <c r="A121" t="s">
        <v>3760</v>
      </c>
      <c r="B121" s="198" t="s">
        <v>272</v>
      </c>
      <c r="E121" s="198"/>
    </row>
    <row r="122" spans="1:5">
      <c r="A122" t="s">
        <v>3402</v>
      </c>
      <c r="B122" s="198" t="s">
        <v>272</v>
      </c>
      <c r="E122" s="198"/>
    </row>
    <row r="123" spans="1:5">
      <c r="A123" t="s">
        <v>1660</v>
      </c>
      <c r="B123" s="198" t="s">
        <v>272</v>
      </c>
      <c r="E123" s="198"/>
    </row>
    <row r="124" spans="1:5">
      <c r="B124" s="198"/>
      <c r="E124" s="198"/>
    </row>
    <row r="125" spans="1:5">
      <c r="B125" s="198" t="s">
        <v>270</v>
      </c>
      <c r="E125" s="198"/>
    </row>
    <row r="126" spans="1:5">
      <c r="A126" t="s">
        <v>1658</v>
      </c>
      <c r="B126" s="198" t="s">
        <v>270</v>
      </c>
      <c r="E126" s="198"/>
    </row>
    <row r="127" spans="1:5">
      <c r="A127" t="s">
        <v>1298</v>
      </c>
      <c r="B127" s="198" t="s">
        <v>270</v>
      </c>
      <c r="E127" s="198"/>
    </row>
    <row r="128" spans="1:5">
      <c r="A128" t="s">
        <v>3403</v>
      </c>
      <c r="B128" s="198" t="s">
        <v>270</v>
      </c>
      <c r="E128" s="198"/>
    </row>
    <row r="129" spans="1:5">
      <c r="A129" t="s">
        <v>1299</v>
      </c>
      <c r="B129" s="198" t="s">
        <v>270</v>
      </c>
      <c r="E129" s="198"/>
    </row>
    <row r="130" spans="1:5">
      <c r="A130" t="s">
        <v>1300</v>
      </c>
      <c r="B130" s="198" t="s">
        <v>270</v>
      </c>
      <c r="E130" s="198"/>
    </row>
    <row r="131" spans="1:5">
      <c r="A131" t="s">
        <v>1301</v>
      </c>
      <c r="B131" s="198" t="s">
        <v>270</v>
      </c>
      <c r="E131" s="198"/>
    </row>
    <row r="132" spans="1:5">
      <c r="A132" t="s">
        <v>3516</v>
      </c>
      <c r="B132" s="198" t="s">
        <v>270</v>
      </c>
      <c r="E132" s="198"/>
    </row>
    <row r="133" spans="1:5">
      <c r="A133" t="s">
        <v>1659</v>
      </c>
      <c r="B133" s="198" t="s">
        <v>270</v>
      </c>
      <c r="E133" s="198"/>
    </row>
    <row r="134" spans="1:5">
      <c r="A134" t="s">
        <v>1302</v>
      </c>
      <c r="B134" s="198" t="s">
        <v>270</v>
      </c>
      <c r="E134" s="198"/>
    </row>
    <row r="135" spans="1:5">
      <c r="A135" t="s">
        <v>1303</v>
      </c>
      <c r="B135" s="198" t="s">
        <v>270</v>
      </c>
      <c r="E135" s="198"/>
    </row>
    <row r="136" spans="1:5">
      <c r="A136" t="s">
        <v>1305</v>
      </c>
      <c r="B136" s="198" t="s">
        <v>270</v>
      </c>
      <c r="E136" s="198"/>
    </row>
    <row r="137" spans="1:5">
      <c r="A137" t="s">
        <v>1306</v>
      </c>
      <c r="B137" s="198" t="s">
        <v>270</v>
      </c>
      <c r="E137" s="198"/>
    </row>
    <row r="138" spans="1:5">
      <c r="A138" t="s">
        <v>1307</v>
      </c>
      <c r="B138" s="198" t="s">
        <v>270</v>
      </c>
      <c r="E138" s="198"/>
    </row>
    <row r="139" spans="1:5">
      <c r="A139" t="s">
        <v>1665</v>
      </c>
      <c r="B139" s="198" t="s">
        <v>270</v>
      </c>
      <c r="E139" s="198"/>
    </row>
    <row r="140" spans="1:5">
      <c r="A140" t="s">
        <v>1308</v>
      </c>
      <c r="B140" s="198" t="s">
        <v>270</v>
      </c>
      <c r="E140" s="198"/>
    </row>
    <row r="141" spans="1:5">
      <c r="A141" t="s">
        <v>2283</v>
      </c>
      <c r="B141" s="198" t="s">
        <v>270</v>
      </c>
      <c r="E141" s="198"/>
    </row>
    <row r="142" spans="1:5">
      <c r="A142" t="s">
        <v>2271</v>
      </c>
      <c r="B142" s="198" t="s">
        <v>270</v>
      </c>
      <c r="E142" s="198"/>
    </row>
    <row r="143" spans="1:5">
      <c r="A143" t="s">
        <v>2340</v>
      </c>
      <c r="B143" s="198" t="s">
        <v>270</v>
      </c>
      <c r="E143" s="198"/>
    </row>
    <row r="144" spans="1:5">
      <c r="A144" t="s">
        <v>2325</v>
      </c>
      <c r="B144" s="198" t="s">
        <v>270</v>
      </c>
      <c r="E144" s="198"/>
    </row>
    <row r="145" spans="1:5">
      <c r="A145" t="s">
        <v>2272</v>
      </c>
      <c r="B145" s="198" t="s">
        <v>270</v>
      </c>
      <c r="E145" s="198"/>
    </row>
    <row r="146" spans="1:5">
      <c r="A146" t="s">
        <v>3003</v>
      </c>
      <c r="B146" s="198" t="s">
        <v>270</v>
      </c>
      <c r="E146" s="198"/>
    </row>
    <row r="147" spans="1:5">
      <c r="A147" t="s">
        <v>2943</v>
      </c>
      <c r="B147" s="198" t="s">
        <v>270</v>
      </c>
      <c r="E147" s="198"/>
    </row>
    <row r="148" spans="1:5">
      <c r="A148" t="s">
        <v>2273</v>
      </c>
      <c r="B148" s="198" t="s">
        <v>270</v>
      </c>
      <c r="E148" s="198"/>
    </row>
    <row r="149" spans="1:5">
      <c r="A149" t="s">
        <v>3027</v>
      </c>
      <c r="B149" s="198" t="s">
        <v>270</v>
      </c>
      <c r="E149" s="198"/>
    </row>
    <row r="150" spans="1:5">
      <c r="A150" t="s">
        <v>2799</v>
      </c>
      <c r="B150" s="198" t="s">
        <v>270</v>
      </c>
      <c r="E150" s="198"/>
    </row>
    <row r="151" spans="1:5">
      <c r="A151" t="s">
        <v>3006</v>
      </c>
      <c r="B151" s="198" t="s">
        <v>270</v>
      </c>
      <c r="E151" s="198"/>
    </row>
    <row r="152" spans="1:5">
      <c r="A152" t="s">
        <v>2989</v>
      </c>
      <c r="B152" s="198" t="s">
        <v>270</v>
      </c>
      <c r="E152" s="198"/>
    </row>
    <row r="153" spans="1:5">
      <c r="A153" t="s">
        <v>2935</v>
      </c>
      <c r="B153" s="198" t="s">
        <v>270</v>
      </c>
      <c r="E153" s="198"/>
    </row>
    <row r="154" spans="1:5">
      <c r="A154" t="s">
        <v>2563</v>
      </c>
      <c r="B154" s="198" t="s">
        <v>270</v>
      </c>
      <c r="E154" s="198"/>
    </row>
    <row r="155" spans="1:5">
      <c r="A155" t="s">
        <v>2923</v>
      </c>
      <c r="B155" s="198" t="s">
        <v>270</v>
      </c>
      <c r="E155" s="198"/>
    </row>
    <row r="156" spans="1:5">
      <c r="A156" t="s">
        <v>2936</v>
      </c>
      <c r="B156" s="198" t="s">
        <v>270</v>
      </c>
      <c r="E156" s="198"/>
    </row>
    <row r="157" spans="1:5">
      <c r="A157" t="s">
        <v>3173</v>
      </c>
      <c r="B157" s="198" t="s">
        <v>270</v>
      </c>
      <c r="E157" s="198"/>
    </row>
    <row r="158" spans="1:5">
      <c r="A158" t="s">
        <v>3174</v>
      </c>
      <c r="B158" s="198" t="s">
        <v>270</v>
      </c>
      <c r="E158" s="198"/>
    </row>
    <row r="159" spans="1:5">
      <c r="A159" t="s">
        <v>2169</v>
      </c>
      <c r="B159" s="198" t="s">
        <v>270</v>
      </c>
      <c r="E159" s="198"/>
    </row>
    <row r="160" spans="1:5">
      <c r="A160" t="s">
        <v>2160</v>
      </c>
      <c r="B160" s="198" t="s">
        <v>270</v>
      </c>
      <c r="E160" s="198"/>
    </row>
    <row r="161" spans="1:5">
      <c r="A161" t="s">
        <v>3390</v>
      </c>
      <c r="B161" s="198" t="s">
        <v>270</v>
      </c>
      <c r="E161" s="198"/>
    </row>
    <row r="162" spans="1:5">
      <c r="A162" t="s">
        <v>3512</v>
      </c>
      <c r="B162" s="198" t="s">
        <v>270</v>
      </c>
      <c r="E162" s="198"/>
    </row>
    <row r="163" spans="1:5">
      <c r="A163" t="s">
        <v>3513</v>
      </c>
      <c r="B163" s="198" t="s">
        <v>270</v>
      </c>
      <c r="E163" s="198"/>
    </row>
    <row r="164" spans="1:5">
      <c r="A164" t="s">
        <v>3514</v>
      </c>
      <c r="B164" s="198" t="s">
        <v>270</v>
      </c>
      <c r="E164" s="198"/>
    </row>
    <row r="165" spans="1:5">
      <c r="A165" t="s">
        <v>3470</v>
      </c>
      <c r="B165" s="198" t="s">
        <v>270</v>
      </c>
      <c r="E165" s="198"/>
    </row>
    <row r="166" spans="1:5">
      <c r="A166" t="s">
        <v>3469</v>
      </c>
      <c r="B166" s="198" t="s">
        <v>270</v>
      </c>
      <c r="E166" s="198"/>
    </row>
    <row r="167" spans="1:5">
      <c r="A167" t="s">
        <v>3599</v>
      </c>
      <c r="B167" s="198" t="s">
        <v>270</v>
      </c>
      <c r="E167" s="198"/>
    </row>
    <row r="168" spans="1:5">
      <c r="A168" t="s">
        <v>3600</v>
      </c>
      <c r="B168" s="198" t="s">
        <v>270</v>
      </c>
      <c r="E168" s="198"/>
    </row>
    <row r="169" spans="1:5">
      <c r="A169" t="s">
        <v>2287</v>
      </c>
      <c r="B169" s="198" t="s">
        <v>270</v>
      </c>
      <c r="E169" s="198"/>
    </row>
    <row r="170" spans="1:5">
      <c r="A170" t="s">
        <v>3761</v>
      </c>
      <c r="B170" s="198" t="s">
        <v>270</v>
      </c>
      <c r="E170" s="198"/>
    </row>
    <row r="171" spans="1:5">
      <c r="A171" t="s">
        <v>3762</v>
      </c>
      <c r="B171" s="198" t="s">
        <v>270</v>
      </c>
      <c r="E171" s="198"/>
    </row>
    <row r="172" spans="1:5">
      <c r="A172" t="s">
        <v>2378</v>
      </c>
      <c r="B172" s="198" t="s">
        <v>270</v>
      </c>
      <c r="E172" s="198"/>
    </row>
    <row r="173" spans="1:5">
      <c r="A173" t="s">
        <v>2379</v>
      </c>
      <c r="B173" s="198" t="s">
        <v>270</v>
      </c>
      <c r="E173" s="198"/>
    </row>
    <row r="174" spans="1:5">
      <c r="A174" t="s">
        <v>3177</v>
      </c>
      <c r="B174" s="198" t="s">
        <v>270</v>
      </c>
      <c r="E174" s="198"/>
    </row>
    <row r="175" spans="1:5">
      <c r="A175" t="s">
        <v>3265</v>
      </c>
      <c r="B175" s="198" t="s">
        <v>270</v>
      </c>
      <c r="E175" s="198"/>
    </row>
    <row r="176" spans="1:5">
      <c r="A176" t="s">
        <v>2411</v>
      </c>
      <c r="B176" s="198" t="s">
        <v>270</v>
      </c>
      <c r="E176" s="198"/>
    </row>
    <row r="177" spans="1:5">
      <c r="A177" t="s">
        <v>2716</v>
      </c>
      <c r="B177" s="198" t="s">
        <v>270</v>
      </c>
      <c r="E177" s="198"/>
    </row>
    <row r="178" spans="1:5">
      <c r="A178" t="s">
        <v>2855</v>
      </c>
      <c r="B178" s="198" t="s">
        <v>270</v>
      </c>
      <c r="E178" s="198"/>
    </row>
    <row r="179" spans="1:5">
      <c r="A179" t="s">
        <v>3063</v>
      </c>
      <c r="B179" s="198" t="s">
        <v>270</v>
      </c>
      <c r="E179" s="198"/>
    </row>
    <row r="180" spans="1:5">
      <c r="A180" t="s">
        <v>3404</v>
      </c>
      <c r="B180" s="198" t="s">
        <v>270</v>
      </c>
      <c r="E180" s="198"/>
    </row>
    <row r="181" spans="1:5">
      <c r="A181" t="s">
        <v>2442</v>
      </c>
      <c r="B181" s="198" t="s">
        <v>270</v>
      </c>
      <c r="E181" s="198"/>
    </row>
    <row r="182" spans="1:5">
      <c r="A182" t="s">
        <v>3405</v>
      </c>
      <c r="B182" s="198" t="s">
        <v>270</v>
      </c>
      <c r="E182" s="198"/>
    </row>
    <row r="183" spans="1:5">
      <c r="A183" t="s">
        <v>3575</v>
      </c>
      <c r="B183" s="198" t="s">
        <v>270</v>
      </c>
      <c r="E183" s="198"/>
    </row>
    <row r="184" spans="1:5">
      <c r="A184" t="s">
        <v>3576</v>
      </c>
      <c r="B184" s="198" t="s">
        <v>270</v>
      </c>
      <c r="E184" s="198"/>
    </row>
    <row r="185" spans="1:5">
      <c r="A185" t="s">
        <v>3577</v>
      </c>
      <c r="B185" s="198" t="s">
        <v>270</v>
      </c>
      <c r="E185" s="198"/>
    </row>
    <row r="186" spans="1:5">
      <c r="A186" t="s">
        <v>3601</v>
      </c>
      <c r="B186" s="198" t="s">
        <v>270</v>
      </c>
      <c r="E186" s="198"/>
    </row>
    <row r="187" spans="1:5">
      <c r="A187" t="s">
        <v>3578</v>
      </c>
      <c r="B187" s="198" t="s">
        <v>270</v>
      </c>
      <c r="E187" s="198"/>
    </row>
    <row r="188" spans="1:5">
      <c r="A188" t="s">
        <v>3763</v>
      </c>
      <c r="B188" s="198" t="s">
        <v>270</v>
      </c>
      <c r="E188" s="198"/>
    </row>
    <row r="189" spans="1:5">
      <c r="A189" t="s">
        <v>3764</v>
      </c>
      <c r="B189" s="198" t="s">
        <v>270</v>
      </c>
      <c r="E189" s="198"/>
    </row>
    <row r="190" spans="1:5">
      <c r="B190" s="198" t="s">
        <v>271</v>
      </c>
      <c r="E190" s="198"/>
    </row>
    <row r="191" spans="1:5">
      <c r="A191" t="s">
        <v>1870</v>
      </c>
      <c r="B191" s="198" t="s">
        <v>273</v>
      </c>
      <c r="E191" s="198"/>
    </row>
    <row r="192" spans="1:5">
      <c r="A192" t="s">
        <v>3614</v>
      </c>
      <c r="B192" s="198" t="s">
        <v>273</v>
      </c>
      <c r="E192" s="198"/>
    </row>
    <row r="193" spans="1:5">
      <c r="A193" t="s">
        <v>3406</v>
      </c>
      <c r="B193" s="198" t="s">
        <v>273</v>
      </c>
      <c r="E193" s="198"/>
    </row>
    <row r="194" spans="1:5">
      <c r="A194" t="s">
        <v>2856</v>
      </c>
      <c r="B194" s="198" t="s">
        <v>273</v>
      </c>
      <c r="E194" s="198"/>
    </row>
    <row r="195" spans="1:5">
      <c r="A195" t="s">
        <v>4196</v>
      </c>
      <c r="B195" s="198" t="s">
        <v>273</v>
      </c>
      <c r="E195" s="198"/>
    </row>
    <row r="196" spans="1:5">
      <c r="A196" t="s">
        <v>2564</v>
      </c>
      <c r="B196" s="198" t="s">
        <v>274</v>
      </c>
      <c r="E196" s="198"/>
    </row>
    <row r="197" spans="1:5">
      <c r="A197" t="s">
        <v>3650</v>
      </c>
      <c r="B197" s="198" t="s">
        <v>274</v>
      </c>
      <c r="E197" s="198"/>
    </row>
    <row r="198" spans="1:5">
      <c r="B198" s="198"/>
      <c r="E198" s="198"/>
    </row>
    <row r="199" spans="1:5">
      <c r="A199" t="s">
        <v>3064</v>
      </c>
      <c r="B199" s="266" t="s">
        <v>3065</v>
      </c>
      <c r="E199" s="198"/>
    </row>
    <row r="200" spans="1:5">
      <c r="B200" s="198"/>
      <c r="E200" s="198"/>
    </row>
    <row r="201" spans="1:5">
      <c r="A201" t="s">
        <v>1638</v>
      </c>
      <c r="B201" s="198" t="s">
        <v>275</v>
      </c>
      <c r="E201" s="198"/>
    </row>
    <row r="202" spans="1:5">
      <c r="A202" t="s">
        <v>2549</v>
      </c>
      <c r="B202" s="198" t="s">
        <v>275</v>
      </c>
      <c r="E202" s="198"/>
    </row>
    <row r="203" spans="1:5">
      <c r="A203" t="s">
        <v>3749</v>
      </c>
      <c r="B203" s="198" t="s">
        <v>275</v>
      </c>
      <c r="E203" s="198"/>
    </row>
    <row r="204" spans="1:5">
      <c r="B204" s="198" t="s">
        <v>275</v>
      </c>
      <c r="E204" s="198"/>
    </row>
    <row r="205" spans="1:5">
      <c r="B205" s="198"/>
      <c r="E205" s="198"/>
    </row>
    <row r="206" spans="1:5">
      <c r="A206" t="s">
        <v>3407</v>
      </c>
      <c r="B206" s="198" t="s">
        <v>3408</v>
      </c>
      <c r="E206" s="198"/>
    </row>
    <row r="207" spans="1:5">
      <c r="B207" s="198"/>
      <c r="E207" s="198"/>
    </row>
    <row r="208" spans="1:5">
      <c r="B208" s="198" t="s">
        <v>276</v>
      </c>
      <c r="E208" s="198"/>
    </row>
    <row r="209" spans="1:5">
      <c r="B209" s="198" t="s">
        <v>277</v>
      </c>
      <c r="E209" s="198"/>
    </row>
    <row r="210" spans="1:5">
      <c r="A210" t="s">
        <v>3765</v>
      </c>
      <c r="B210" s="198" t="s">
        <v>278</v>
      </c>
      <c r="E210" s="198"/>
    </row>
    <row r="211" spans="1:5">
      <c r="A211" t="s">
        <v>1991</v>
      </c>
      <c r="B211" s="198" t="s">
        <v>279</v>
      </c>
      <c r="E211" s="198"/>
    </row>
    <row r="212" spans="1:5">
      <c r="A212" t="s">
        <v>3370</v>
      </c>
      <c r="B212" s="198" t="s">
        <v>279</v>
      </c>
      <c r="E212" s="198"/>
    </row>
    <row r="213" spans="1:5">
      <c r="A213" t="s">
        <v>3517</v>
      </c>
      <c r="B213" s="198" t="s">
        <v>279</v>
      </c>
      <c r="E213" s="198"/>
    </row>
    <row r="214" spans="1:5">
      <c r="A214" t="s">
        <v>3518</v>
      </c>
      <c r="B214" s="198" t="s">
        <v>279</v>
      </c>
      <c r="E214" s="198"/>
    </row>
    <row r="215" spans="1:5">
      <c r="A215" t="s">
        <v>3665</v>
      </c>
      <c r="B215" s="198" t="s">
        <v>279</v>
      </c>
      <c r="E215" s="198"/>
    </row>
    <row r="216" spans="1:5">
      <c r="A216" t="s">
        <v>3666</v>
      </c>
      <c r="B216" s="198" t="s">
        <v>279</v>
      </c>
      <c r="E216" s="198"/>
    </row>
    <row r="217" spans="1:5">
      <c r="A217" t="s">
        <v>3766</v>
      </c>
      <c r="B217" s="198" t="s">
        <v>279</v>
      </c>
      <c r="E217" s="198"/>
    </row>
    <row r="218" spans="1:5">
      <c r="A218" t="s">
        <v>3897</v>
      </c>
      <c r="B218" s="198" t="s">
        <v>279</v>
      </c>
      <c r="E218" s="198"/>
    </row>
    <row r="219" spans="1:5">
      <c r="A219" t="s">
        <v>3231</v>
      </c>
      <c r="B219" s="198" t="s">
        <v>280</v>
      </c>
      <c r="E219" s="198"/>
    </row>
    <row r="220" spans="1:5">
      <c r="B220" s="198" t="s">
        <v>281</v>
      </c>
      <c r="E220" s="198"/>
    </row>
    <row r="221" spans="1:5">
      <c r="B221" s="198" t="s">
        <v>282</v>
      </c>
      <c r="E221" s="198"/>
    </row>
    <row r="222" spans="1:5">
      <c r="A222" t="s">
        <v>1897</v>
      </c>
      <c r="B222" s="198" t="s">
        <v>283</v>
      </c>
      <c r="E222" s="198"/>
    </row>
    <row r="223" spans="1:5">
      <c r="A223" t="s">
        <v>1898</v>
      </c>
      <c r="B223" s="198" t="s">
        <v>283</v>
      </c>
      <c r="E223" s="198"/>
    </row>
    <row r="224" spans="1:5">
      <c r="A224" t="s">
        <v>1694</v>
      </c>
      <c r="B224" s="198" t="s">
        <v>283</v>
      </c>
      <c r="E224" s="198"/>
    </row>
    <row r="225" spans="1:5">
      <c r="A225" t="s">
        <v>2800</v>
      </c>
      <c r="B225" s="198" t="s">
        <v>283</v>
      </c>
      <c r="E225" s="198"/>
    </row>
    <row r="226" spans="1:5">
      <c r="A226" t="s">
        <v>2097</v>
      </c>
      <c r="B226" s="198" t="s">
        <v>283</v>
      </c>
      <c r="E226" s="198"/>
    </row>
    <row r="227" spans="1:5">
      <c r="A227" t="s">
        <v>2412</v>
      </c>
      <c r="B227" s="198" t="s">
        <v>283</v>
      </c>
      <c r="E227" s="198"/>
    </row>
    <row r="228" spans="1:5">
      <c r="A228" t="s">
        <v>3767</v>
      </c>
      <c r="B228" s="198" t="s">
        <v>283</v>
      </c>
      <c r="E228" s="198"/>
    </row>
    <row r="229" spans="1:5">
      <c r="A229" t="s">
        <v>756</v>
      </c>
      <c r="B229" s="198" t="s">
        <v>284</v>
      </c>
      <c r="E229" s="198"/>
    </row>
    <row r="230" spans="1:5">
      <c r="B230" s="198" t="s">
        <v>284</v>
      </c>
      <c r="E230" s="198"/>
    </row>
    <row r="231" spans="1:5">
      <c r="B231" s="198" t="s">
        <v>285</v>
      </c>
      <c r="E231" s="198"/>
    </row>
    <row r="232" spans="1:5">
      <c r="B232" s="198"/>
      <c r="E232" s="198"/>
    </row>
    <row r="233" spans="1:5">
      <c r="A233" t="s">
        <v>3178</v>
      </c>
      <c r="B233" s="198" t="s">
        <v>2567</v>
      </c>
      <c r="E233" s="198"/>
    </row>
    <row r="234" spans="1:5">
      <c r="A234" t="s">
        <v>3179</v>
      </c>
      <c r="B234" s="198" t="s">
        <v>2567</v>
      </c>
      <c r="E234" s="198"/>
    </row>
    <row r="235" spans="1:5">
      <c r="A235" t="s">
        <v>2566</v>
      </c>
      <c r="B235" s="198" t="s">
        <v>2567</v>
      </c>
      <c r="E235" s="198"/>
    </row>
    <row r="236" spans="1:5">
      <c r="A236" t="s">
        <v>2568</v>
      </c>
      <c r="B236" s="198" t="s">
        <v>2567</v>
      </c>
      <c r="E236" s="198"/>
    </row>
    <row r="237" spans="1:5">
      <c r="A237" t="s">
        <v>3409</v>
      </c>
      <c r="B237" s="198" t="s">
        <v>2567</v>
      </c>
      <c r="E237" s="198"/>
    </row>
    <row r="238" spans="1:5">
      <c r="A238" t="s">
        <v>3667</v>
      </c>
      <c r="B238" s="198" t="s">
        <v>2567</v>
      </c>
      <c r="E238" s="198"/>
    </row>
    <row r="239" spans="1:5">
      <c r="B239" s="198"/>
      <c r="E239" s="198"/>
    </row>
    <row r="240" spans="1:5">
      <c r="B240" s="198" t="s">
        <v>286</v>
      </c>
      <c r="E240" s="198"/>
    </row>
    <row r="241" spans="1:5">
      <c r="B241" s="198" t="s">
        <v>286</v>
      </c>
      <c r="E241" s="198"/>
    </row>
    <row r="242" spans="1:5">
      <c r="B242" s="198" t="s">
        <v>286</v>
      </c>
      <c r="E242" s="198"/>
    </row>
    <row r="243" spans="1:5">
      <c r="A243" t="s">
        <v>3579</v>
      </c>
      <c r="B243" s="198" t="s">
        <v>287</v>
      </c>
      <c r="E243" s="198"/>
    </row>
    <row r="244" spans="1:5">
      <c r="A244" t="s">
        <v>3755</v>
      </c>
      <c r="B244" s="198" t="s">
        <v>287</v>
      </c>
      <c r="E244" s="198"/>
    </row>
    <row r="245" spans="1:5">
      <c r="A245" t="s">
        <v>3858</v>
      </c>
      <c r="B245" s="198" t="s">
        <v>287</v>
      </c>
      <c r="E245" s="198"/>
    </row>
    <row r="246" spans="1:5">
      <c r="B246" s="198" t="s">
        <v>288</v>
      </c>
      <c r="E246" s="198"/>
    </row>
    <row r="247" spans="1:5">
      <c r="B247" s="198" t="s">
        <v>289</v>
      </c>
      <c r="E247" s="198"/>
    </row>
    <row r="248" spans="1:5">
      <c r="B248" s="198" t="s">
        <v>290</v>
      </c>
      <c r="E248" s="198"/>
    </row>
    <row r="249" spans="1:5">
      <c r="B249" s="198" t="s">
        <v>291</v>
      </c>
      <c r="E249" s="198"/>
    </row>
    <row r="250" spans="1:5">
      <c r="A250" t="s">
        <v>2098</v>
      </c>
      <c r="B250" s="198" t="s">
        <v>292</v>
      </c>
      <c r="E250" s="198"/>
    </row>
    <row r="251" spans="1:5">
      <c r="A251" t="s">
        <v>2110</v>
      </c>
      <c r="B251" s="198" t="s">
        <v>292</v>
      </c>
      <c r="E251" s="198"/>
    </row>
    <row r="252" spans="1:5">
      <c r="B252" s="198"/>
      <c r="E252" s="198"/>
    </row>
    <row r="253" spans="1:5">
      <c r="A253" t="s">
        <v>1238</v>
      </c>
      <c r="B253" s="198" t="s">
        <v>293</v>
      </c>
      <c r="E253" s="198"/>
    </row>
    <row r="254" spans="1:5">
      <c r="A254" t="s">
        <v>747</v>
      </c>
      <c r="B254" s="198" t="s">
        <v>293</v>
      </c>
      <c r="E254" s="198"/>
    </row>
    <row r="255" spans="1:5">
      <c r="B255" s="198"/>
      <c r="E255" s="198"/>
    </row>
    <row r="256" spans="1:5">
      <c r="B256" s="198" t="s">
        <v>294</v>
      </c>
      <c r="E256" s="198"/>
    </row>
    <row r="257" spans="1:5">
      <c r="B257" s="198" t="s">
        <v>294</v>
      </c>
      <c r="E257" s="198"/>
    </row>
    <row r="258" spans="1:5">
      <c r="B258" s="198"/>
      <c r="E258" s="198"/>
    </row>
    <row r="259" spans="1:5">
      <c r="A259" t="s">
        <v>2099</v>
      </c>
      <c r="B259" s="198" t="s">
        <v>296</v>
      </c>
      <c r="E259" s="198"/>
    </row>
    <row r="260" spans="1:5">
      <c r="A260" t="s">
        <v>2100</v>
      </c>
      <c r="B260" s="198" t="s">
        <v>296</v>
      </c>
      <c r="E260" s="198"/>
    </row>
    <row r="261" spans="1:5">
      <c r="A261" t="s">
        <v>2101</v>
      </c>
      <c r="B261" s="198" t="s">
        <v>296</v>
      </c>
      <c r="E261" s="198"/>
    </row>
    <row r="262" spans="1:5">
      <c r="A262" t="s">
        <v>2102</v>
      </c>
      <c r="B262" s="198" t="s">
        <v>296</v>
      </c>
      <c r="E262" s="198"/>
    </row>
    <row r="263" spans="1:5">
      <c r="A263" t="s">
        <v>2103</v>
      </c>
      <c r="B263" s="198" t="s">
        <v>296</v>
      </c>
      <c r="E263" s="198"/>
    </row>
    <row r="264" spans="1:5">
      <c r="A264" t="s">
        <v>2717</v>
      </c>
      <c r="B264" s="198" t="s">
        <v>296</v>
      </c>
      <c r="E264" s="198"/>
    </row>
    <row r="265" spans="1:5">
      <c r="A265" t="s">
        <v>2111</v>
      </c>
      <c r="B265" s="198" t="s">
        <v>296</v>
      </c>
      <c r="E265" s="198"/>
    </row>
    <row r="266" spans="1:5">
      <c r="A266" t="s">
        <v>2413</v>
      </c>
      <c r="B266" s="198" t="s">
        <v>296</v>
      </c>
      <c r="E266" s="198"/>
    </row>
    <row r="267" spans="1:5">
      <c r="A267" t="s">
        <v>2104</v>
      </c>
      <c r="B267" s="198" t="s">
        <v>296</v>
      </c>
      <c r="E267" s="198"/>
    </row>
    <row r="268" spans="1:5">
      <c r="A268" t="s">
        <v>2112</v>
      </c>
      <c r="B268" s="198" t="s">
        <v>296</v>
      </c>
      <c r="E268" s="198"/>
    </row>
    <row r="269" spans="1:5">
      <c r="A269" t="s">
        <v>3180</v>
      </c>
      <c r="B269" s="198" t="s">
        <v>296</v>
      </c>
      <c r="E269" s="198"/>
    </row>
    <row r="270" spans="1:5">
      <c r="A270" t="s">
        <v>2105</v>
      </c>
      <c r="B270" s="198" t="s">
        <v>296</v>
      </c>
      <c r="E270" s="198"/>
    </row>
    <row r="271" spans="1:5">
      <c r="A271" t="s">
        <v>2106</v>
      </c>
      <c r="B271" s="198" t="s">
        <v>296</v>
      </c>
      <c r="E271" s="198"/>
    </row>
    <row r="272" spans="1:5">
      <c r="A272" t="s">
        <v>2107</v>
      </c>
      <c r="B272" s="198" t="s">
        <v>296</v>
      </c>
      <c r="E272" s="198"/>
    </row>
    <row r="273" spans="1:5">
      <c r="A273" t="s">
        <v>3067</v>
      </c>
      <c r="B273" s="198" t="s">
        <v>296</v>
      </c>
      <c r="E273" s="198"/>
    </row>
    <row r="274" spans="1:5">
      <c r="A274" t="s">
        <v>1934</v>
      </c>
      <c r="B274" s="198" t="s">
        <v>296</v>
      </c>
      <c r="E274" s="198"/>
    </row>
    <row r="275" spans="1:5">
      <c r="A275" t="s">
        <v>2108</v>
      </c>
      <c r="B275" s="198" t="s">
        <v>296</v>
      </c>
      <c r="E275" s="198"/>
    </row>
    <row r="276" spans="1:5">
      <c r="A276" t="s">
        <v>1935</v>
      </c>
      <c r="B276" s="198" t="s">
        <v>296</v>
      </c>
      <c r="E276" s="198"/>
    </row>
    <row r="277" spans="1:5">
      <c r="A277" t="s">
        <v>1936</v>
      </c>
      <c r="B277" s="198" t="s">
        <v>296</v>
      </c>
      <c r="E277" s="198"/>
    </row>
    <row r="278" spans="1:5">
      <c r="A278" t="s">
        <v>1938</v>
      </c>
      <c r="B278" s="198" t="s">
        <v>296</v>
      </c>
      <c r="E278" s="198"/>
    </row>
    <row r="279" spans="1:5">
      <c r="A279" t="s">
        <v>2109</v>
      </c>
      <c r="B279" s="198" t="s">
        <v>296</v>
      </c>
      <c r="E279" s="198"/>
    </row>
    <row r="280" spans="1:5">
      <c r="A280" t="s">
        <v>3898</v>
      </c>
      <c r="B280" s="198" t="s">
        <v>296</v>
      </c>
      <c r="E280" s="198"/>
    </row>
    <row r="281" spans="1:5">
      <c r="A281" t="s">
        <v>3947</v>
      </c>
      <c r="B281" s="198" t="s">
        <v>296</v>
      </c>
      <c r="E281" s="198"/>
    </row>
    <row r="282" spans="1:5">
      <c r="A282" t="s">
        <v>1661</v>
      </c>
      <c r="B282" s="198" t="s">
        <v>296</v>
      </c>
      <c r="E282" s="198"/>
    </row>
    <row r="283" spans="1:5">
      <c r="A283" t="s">
        <v>1314</v>
      </c>
      <c r="B283" s="198" t="s">
        <v>296</v>
      </c>
      <c r="E283" s="198"/>
    </row>
    <row r="284" spans="1:5">
      <c r="A284" t="s">
        <v>1637</v>
      </c>
      <c r="B284" s="198" t="s">
        <v>296</v>
      </c>
      <c r="E284" s="198"/>
    </row>
    <row r="285" spans="1:5">
      <c r="A285" t="s">
        <v>1662</v>
      </c>
      <c r="B285" s="198" t="s">
        <v>296</v>
      </c>
      <c r="E285" s="198"/>
    </row>
    <row r="286" spans="1:5">
      <c r="B286" s="198"/>
      <c r="E286" s="198"/>
    </row>
    <row r="287" spans="1:5">
      <c r="A287" t="s">
        <v>746</v>
      </c>
      <c r="B287" s="198" t="s">
        <v>295</v>
      </c>
      <c r="E287" s="198"/>
    </row>
    <row r="288" spans="1:5">
      <c r="A288" t="s">
        <v>1933</v>
      </c>
      <c r="B288" s="198" t="s">
        <v>296</v>
      </c>
      <c r="E288" s="198"/>
    </row>
    <row r="289" spans="1:5">
      <c r="A289" t="s">
        <v>3713</v>
      </c>
      <c r="B289" s="198" t="s">
        <v>295</v>
      </c>
      <c r="E289" s="198"/>
    </row>
    <row r="290" spans="1:5">
      <c r="A290" t="s">
        <v>3899</v>
      </c>
      <c r="B290" s="198" t="s">
        <v>295</v>
      </c>
      <c r="E290" s="198"/>
    </row>
    <row r="291" spans="1:5">
      <c r="B291" s="198" t="s">
        <v>295</v>
      </c>
      <c r="E291" s="198"/>
    </row>
    <row r="292" spans="1:5">
      <c r="B292" s="198" t="s">
        <v>295</v>
      </c>
      <c r="E292" s="198"/>
    </row>
    <row r="293" spans="1:5">
      <c r="B293" s="198" t="s">
        <v>297</v>
      </c>
      <c r="E293" s="198"/>
    </row>
    <row r="294" spans="1:5">
      <c r="B294" s="198" t="s">
        <v>297</v>
      </c>
      <c r="E294" s="198"/>
    </row>
    <row r="295" spans="1:5">
      <c r="B295" s="198" t="s">
        <v>298</v>
      </c>
      <c r="E295" s="198"/>
    </row>
    <row r="296" spans="1:5">
      <c r="A296" t="s">
        <v>3519</v>
      </c>
      <c r="B296" t="s">
        <v>299</v>
      </c>
      <c r="E296" s="198"/>
    </row>
    <row r="297" spans="1:5">
      <c r="A297" t="s">
        <v>1939</v>
      </c>
      <c r="B297" s="198" t="s">
        <v>296</v>
      </c>
      <c r="E297" s="198"/>
    </row>
    <row r="298" spans="1:5">
      <c r="B298" s="198"/>
      <c r="E298" s="198"/>
    </row>
    <row r="299" spans="1:5">
      <c r="A299" t="s">
        <v>1011</v>
      </c>
      <c r="B299" s="198" t="s">
        <v>300</v>
      </c>
      <c r="E299" s="198"/>
    </row>
    <row r="300" spans="1:5">
      <c r="A300" t="s">
        <v>1013</v>
      </c>
      <c r="B300" s="198" t="s">
        <v>300</v>
      </c>
      <c r="E300" s="198"/>
    </row>
    <row r="301" spans="1:5">
      <c r="A301" t="s">
        <v>1012</v>
      </c>
      <c r="B301" s="198" t="s">
        <v>300</v>
      </c>
      <c r="E301" s="198"/>
    </row>
    <row r="302" spans="1:5">
      <c r="A302" t="s">
        <v>1315</v>
      </c>
      <c r="B302" s="198" t="s">
        <v>300</v>
      </c>
      <c r="E302" s="198"/>
    </row>
    <row r="303" spans="1:5">
      <c r="A303" t="s">
        <v>1014</v>
      </c>
      <c r="B303" s="198" t="s">
        <v>300</v>
      </c>
      <c r="E303" s="198"/>
    </row>
    <row r="304" spans="1:5">
      <c r="A304" t="s">
        <v>1019</v>
      </c>
      <c r="B304" s="198" t="s">
        <v>300</v>
      </c>
      <c r="E304" s="198"/>
    </row>
    <row r="305" spans="1:5">
      <c r="A305" t="s">
        <v>1015</v>
      </c>
      <c r="B305" s="198" t="s">
        <v>300</v>
      </c>
      <c r="E305" s="198"/>
    </row>
    <row r="306" spans="1:5">
      <c r="A306" t="s">
        <v>1016</v>
      </c>
      <c r="B306" s="198" t="s">
        <v>300</v>
      </c>
      <c r="E306" s="198"/>
    </row>
    <row r="307" spans="1:5">
      <c r="A307" t="s">
        <v>1017</v>
      </c>
      <c r="B307" s="198" t="s">
        <v>300</v>
      </c>
      <c r="E307" s="198"/>
    </row>
    <row r="308" spans="1:5">
      <c r="A308" t="s">
        <v>1018</v>
      </c>
      <c r="B308" s="198" t="s">
        <v>300</v>
      </c>
      <c r="E308" s="198"/>
    </row>
    <row r="309" spans="1:5">
      <c r="A309" t="s">
        <v>1940</v>
      </c>
      <c r="B309" s="198" t="s">
        <v>300</v>
      </c>
      <c r="E309" s="198"/>
    </row>
    <row r="310" spans="1:5">
      <c r="A310" t="s">
        <v>1941</v>
      </c>
      <c r="B310" s="198" t="s">
        <v>300</v>
      </c>
      <c r="E310" s="198"/>
    </row>
    <row r="311" spans="1:5">
      <c r="A311" t="s">
        <v>1942</v>
      </c>
      <c r="B311" s="198" t="s">
        <v>300</v>
      </c>
      <c r="E311" s="198"/>
    </row>
    <row r="312" spans="1:5">
      <c r="A312" t="s">
        <v>1943</v>
      </c>
      <c r="B312" s="198" t="s">
        <v>300</v>
      </c>
      <c r="E312" s="198"/>
    </row>
    <row r="313" spans="1:5">
      <c r="A313" t="s">
        <v>2216</v>
      </c>
      <c r="B313" s="198" t="s">
        <v>300</v>
      </c>
      <c r="E313" s="198"/>
    </row>
    <row r="314" spans="1:5">
      <c r="A314" t="s">
        <v>2285</v>
      </c>
      <c r="B314" s="198" t="s">
        <v>300</v>
      </c>
      <c r="E314" s="198"/>
    </row>
    <row r="315" spans="1:5">
      <c r="A315" t="s">
        <v>2194</v>
      </c>
      <c r="B315" s="198" t="s">
        <v>300</v>
      </c>
      <c r="E315" s="198"/>
    </row>
    <row r="316" spans="1:5">
      <c r="A316" t="s">
        <v>2142</v>
      </c>
      <c r="B316" s="198" t="s">
        <v>300</v>
      </c>
      <c r="E316" s="198"/>
    </row>
    <row r="317" spans="1:5">
      <c r="B317" s="198" t="s">
        <v>300</v>
      </c>
      <c r="E317" s="198"/>
    </row>
    <row r="318" spans="1:5">
      <c r="A318" t="s">
        <v>2217</v>
      </c>
      <c r="B318" s="198" t="s">
        <v>300</v>
      </c>
      <c r="E318" s="198"/>
    </row>
    <row r="319" spans="1:5">
      <c r="A319" t="s">
        <v>2251</v>
      </c>
      <c r="B319" s="198" t="s">
        <v>300</v>
      </c>
      <c r="E319" s="198"/>
    </row>
    <row r="320" spans="1:5">
      <c r="A320" t="s">
        <v>2218</v>
      </c>
      <c r="B320" s="198" t="s">
        <v>300</v>
      </c>
      <c r="E320" s="198"/>
    </row>
    <row r="321" spans="1:5">
      <c r="A321" t="s">
        <v>2219</v>
      </c>
      <c r="B321" s="198" t="s">
        <v>300</v>
      </c>
      <c r="E321" s="198"/>
    </row>
    <row r="322" spans="1:5">
      <c r="A322" t="s">
        <v>2220</v>
      </c>
      <c r="B322" s="198" t="s">
        <v>300</v>
      </c>
      <c r="E322" s="198"/>
    </row>
    <row r="323" spans="1:5">
      <c r="A323" t="s">
        <v>2554</v>
      </c>
      <c r="B323" s="198" t="s">
        <v>300</v>
      </c>
      <c r="E323" s="198"/>
    </row>
    <row r="324" spans="1:5">
      <c r="A324" t="s">
        <v>2632</v>
      </c>
      <c r="B324" s="198" t="s">
        <v>300</v>
      </c>
      <c r="E324" s="198"/>
    </row>
    <row r="325" spans="1:5">
      <c r="A325" t="s">
        <v>2253</v>
      </c>
      <c r="B325" s="198" t="s">
        <v>300</v>
      </c>
      <c r="E325" s="198"/>
    </row>
    <row r="326" spans="1:5">
      <c r="A326" t="s">
        <v>2965</v>
      </c>
      <c r="B326" s="198" t="s">
        <v>300</v>
      </c>
      <c r="E326" s="198"/>
    </row>
    <row r="327" spans="1:5">
      <c r="A327" t="s">
        <v>2274</v>
      </c>
      <c r="B327" s="198" t="s">
        <v>300</v>
      </c>
      <c r="E327" s="198"/>
    </row>
    <row r="328" spans="1:5">
      <c r="A328" t="s">
        <v>3486</v>
      </c>
      <c r="B328" s="198" t="s">
        <v>300</v>
      </c>
      <c r="E328" s="198"/>
    </row>
    <row r="329" spans="1:5">
      <c r="A329" t="s">
        <v>2983</v>
      </c>
      <c r="B329" s="198" t="s">
        <v>300</v>
      </c>
      <c r="E329" s="198"/>
    </row>
    <row r="330" spans="1:5">
      <c r="A330" t="s">
        <v>3068</v>
      </c>
      <c r="B330" s="198" t="s">
        <v>300</v>
      </c>
      <c r="E330" s="198"/>
    </row>
    <row r="331" spans="1:5">
      <c r="A331" t="s">
        <v>3257</v>
      </c>
      <c r="B331" s="198" t="s">
        <v>300</v>
      </c>
      <c r="E331" s="198"/>
    </row>
    <row r="332" spans="1:5">
      <c r="A332" t="s">
        <v>3266</v>
      </c>
      <c r="B332" s="198" t="s">
        <v>300</v>
      </c>
      <c r="E332" s="198"/>
    </row>
    <row r="333" spans="1:5">
      <c r="A333" t="s">
        <v>3267</v>
      </c>
      <c r="B333" s="198" t="s">
        <v>300</v>
      </c>
      <c r="E333" s="198"/>
    </row>
    <row r="334" spans="1:5">
      <c r="A334" t="s">
        <v>3367</v>
      </c>
      <c r="B334" s="198" t="s">
        <v>300</v>
      </c>
      <c r="E334" s="198"/>
    </row>
    <row r="335" spans="1:5">
      <c r="A335" t="s">
        <v>3410</v>
      </c>
      <c r="B335" s="198" t="s">
        <v>300</v>
      </c>
      <c r="E335" s="198"/>
    </row>
    <row r="336" spans="1:5">
      <c r="A336" t="s">
        <v>1953</v>
      </c>
      <c r="B336" s="198" t="s">
        <v>300</v>
      </c>
      <c r="E336" s="198"/>
    </row>
    <row r="337" spans="1:5">
      <c r="A337" t="s">
        <v>2380</v>
      </c>
      <c r="B337" s="198" t="s">
        <v>300</v>
      </c>
      <c r="E337" s="198"/>
    </row>
    <row r="338" spans="1:5">
      <c r="A338" t="s">
        <v>2306</v>
      </c>
      <c r="B338" s="198" t="s">
        <v>300</v>
      </c>
      <c r="E338" s="198"/>
    </row>
    <row r="339" spans="1:5">
      <c r="A339" t="s">
        <v>2307</v>
      </c>
      <c r="B339" s="198" t="s">
        <v>300</v>
      </c>
      <c r="E339" s="198"/>
    </row>
    <row r="340" spans="1:5">
      <c r="A340" t="s">
        <v>2381</v>
      </c>
      <c r="B340" s="198" t="s">
        <v>300</v>
      </c>
      <c r="E340" s="198"/>
    </row>
    <row r="341" spans="1:5">
      <c r="A341" t="s">
        <v>2308</v>
      </c>
      <c r="B341" s="198" t="s">
        <v>300</v>
      </c>
      <c r="E341" s="198"/>
    </row>
    <row r="342" spans="1:5">
      <c r="A342" t="s">
        <v>2309</v>
      </c>
      <c r="B342" s="198" t="s">
        <v>300</v>
      </c>
      <c r="E342" s="198"/>
    </row>
    <row r="343" spans="1:5">
      <c r="A343" t="s">
        <v>2310</v>
      </c>
      <c r="B343" s="198" t="s">
        <v>300</v>
      </c>
      <c r="E343" s="198"/>
    </row>
    <row r="344" spans="1:5">
      <c r="A344" t="s">
        <v>2651</v>
      </c>
      <c r="B344" s="198" t="s">
        <v>300</v>
      </c>
      <c r="E344" s="198"/>
    </row>
    <row r="345" spans="1:5">
      <c r="A345" t="s">
        <v>3069</v>
      </c>
      <c r="B345" s="198" t="s">
        <v>300</v>
      </c>
      <c r="E345" s="198"/>
    </row>
    <row r="346" spans="1:5">
      <c r="A346" t="s">
        <v>979</v>
      </c>
      <c r="B346" s="198" t="s">
        <v>300</v>
      </c>
      <c r="E346" s="198"/>
    </row>
    <row r="347" spans="1:5">
      <c r="A347" t="s">
        <v>1663</v>
      </c>
      <c r="B347" s="198" t="s">
        <v>300</v>
      </c>
      <c r="E347" s="198"/>
    </row>
    <row r="348" spans="1:5">
      <c r="A348" t="s">
        <v>978</v>
      </c>
      <c r="B348" s="198" t="s">
        <v>300</v>
      </c>
      <c r="E348" s="198"/>
    </row>
    <row r="349" spans="1:5">
      <c r="A349" t="s">
        <v>898</v>
      </c>
      <c r="B349" s="198" t="s">
        <v>300</v>
      </c>
      <c r="E349" s="198"/>
    </row>
    <row r="350" spans="1:5">
      <c r="A350" t="s">
        <v>1664</v>
      </c>
      <c r="B350" s="198" t="s">
        <v>300</v>
      </c>
      <c r="E350" s="198"/>
    </row>
    <row r="351" spans="1:5">
      <c r="B351" s="198" t="s">
        <v>300</v>
      </c>
      <c r="E351" s="198"/>
    </row>
    <row r="352" spans="1:5">
      <c r="A352" t="s">
        <v>2199</v>
      </c>
      <c r="B352" s="198" t="s">
        <v>301</v>
      </c>
      <c r="E352" s="198"/>
    </row>
    <row r="353" spans="1:5">
      <c r="A353" t="s">
        <v>2200</v>
      </c>
      <c r="B353" s="198" t="s">
        <v>301</v>
      </c>
      <c r="E353" s="198"/>
    </row>
    <row r="354" spans="1:5">
      <c r="A354" t="s">
        <v>2555</v>
      </c>
      <c r="B354" s="198" t="s">
        <v>301</v>
      </c>
      <c r="E354" s="198"/>
    </row>
    <row r="355" spans="1:5">
      <c r="A355" t="s">
        <v>4022</v>
      </c>
      <c r="B355" s="198" t="s">
        <v>301</v>
      </c>
      <c r="E355" s="198"/>
    </row>
    <row r="356" spans="1:5">
      <c r="A356" t="s">
        <v>2443</v>
      </c>
      <c r="B356" s="198" t="s">
        <v>301</v>
      </c>
      <c r="E356" s="198"/>
    </row>
    <row r="357" spans="1:5">
      <c r="A357" t="s">
        <v>2444</v>
      </c>
      <c r="B357" s="198" t="s">
        <v>301</v>
      </c>
      <c r="E357" s="198"/>
    </row>
    <row r="358" spans="1:5">
      <c r="A358" t="s">
        <v>1937</v>
      </c>
      <c r="B358" s="198" t="s">
        <v>301</v>
      </c>
      <c r="E358" s="198"/>
    </row>
    <row r="359" spans="1:5">
      <c r="B359" s="198" t="s">
        <v>302</v>
      </c>
      <c r="E359" s="198"/>
    </row>
    <row r="360" spans="1:5">
      <c r="A360" t="s">
        <v>3480</v>
      </c>
      <c r="B360" s="198" t="s">
        <v>2518</v>
      </c>
      <c r="E360" s="198"/>
    </row>
    <row r="361" spans="1:5">
      <c r="B361" s="198"/>
      <c r="E361" s="198"/>
    </row>
    <row r="362" spans="1:5">
      <c r="A362" t="s">
        <v>3268</v>
      </c>
      <c r="B362" t="s">
        <v>3240</v>
      </c>
      <c r="E362" s="198"/>
    </row>
    <row r="363" spans="1:5">
      <c r="A363" t="s">
        <v>3241</v>
      </c>
      <c r="B363" t="s">
        <v>3240</v>
      </c>
      <c r="E363" s="198"/>
    </row>
    <row r="364" spans="1:5">
      <c r="B364" s="198"/>
      <c r="E364" s="198"/>
    </row>
    <row r="365" spans="1:5">
      <c r="B365" s="198" t="s">
        <v>303</v>
      </c>
      <c r="E365" s="198"/>
    </row>
    <row r="366" spans="1:5">
      <c r="B366" s="198" t="s">
        <v>304</v>
      </c>
      <c r="E366" s="198"/>
    </row>
    <row r="367" spans="1:5">
      <c r="A367" t="s">
        <v>4008</v>
      </c>
      <c r="B367" s="198" t="s">
        <v>305</v>
      </c>
      <c r="E367" s="198"/>
    </row>
    <row r="368" spans="1:5">
      <c r="B368" s="198" t="s">
        <v>306</v>
      </c>
      <c r="E368" s="198"/>
    </row>
    <row r="369" spans="1:5">
      <c r="A369" t="s">
        <v>2143</v>
      </c>
      <c r="B369" s="198" t="s">
        <v>307</v>
      </c>
      <c r="E369" s="198"/>
    </row>
    <row r="370" spans="1:5">
      <c r="A370" t="s">
        <v>3400</v>
      </c>
      <c r="B370" s="198" t="s">
        <v>307</v>
      </c>
      <c r="E370" s="198"/>
    </row>
    <row r="371" spans="1:5">
      <c r="A371" t="s">
        <v>2311</v>
      </c>
      <c r="B371" s="198" t="s">
        <v>307</v>
      </c>
      <c r="E371" s="198"/>
    </row>
    <row r="372" spans="1:5">
      <c r="A372" t="s">
        <v>2857</v>
      </c>
      <c r="B372" s="198" t="s">
        <v>307</v>
      </c>
      <c r="E372" s="198"/>
    </row>
    <row r="373" spans="1:5">
      <c r="A373" t="s">
        <v>3768</v>
      </c>
      <c r="B373" s="198" t="s">
        <v>307</v>
      </c>
      <c r="E373" s="198"/>
    </row>
    <row r="374" spans="1:5">
      <c r="A374" t="s">
        <v>2445</v>
      </c>
      <c r="B374" s="198" t="s">
        <v>307</v>
      </c>
      <c r="E374" s="198"/>
    </row>
    <row r="375" spans="1:5">
      <c r="A375" t="s">
        <v>2221</v>
      </c>
      <c r="B375" s="198" t="s">
        <v>308</v>
      </c>
      <c r="E375" s="198"/>
    </row>
    <row r="376" spans="1:5">
      <c r="A376" t="s">
        <v>2211</v>
      </c>
      <c r="B376" s="198" t="s">
        <v>308</v>
      </c>
      <c r="E376" s="198"/>
    </row>
    <row r="377" spans="1:5">
      <c r="A377" t="s">
        <v>2113</v>
      </c>
      <c r="B377" s="198" t="s">
        <v>308</v>
      </c>
      <c r="E377" s="198"/>
    </row>
    <row r="378" spans="1:5">
      <c r="A378" t="s">
        <v>2550</v>
      </c>
      <c r="B378" s="198" t="s">
        <v>308</v>
      </c>
      <c r="E378" s="198"/>
    </row>
    <row r="379" spans="1:5">
      <c r="A379" t="s">
        <v>2551</v>
      </c>
      <c r="B379" s="198" t="s">
        <v>308</v>
      </c>
      <c r="E379" s="198"/>
    </row>
    <row r="380" spans="1:5">
      <c r="A380" t="s">
        <v>4171</v>
      </c>
      <c r="B380" s="198" t="s">
        <v>308</v>
      </c>
      <c r="E380" s="198"/>
    </row>
    <row r="381" spans="1:5">
      <c r="A381" t="s">
        <v>2161</v>
      </c>
      <c r="B381" s="198" t="s">
        <v>308</v>
      </c>
      <c r="E381" s="198"/>
    </row>
    <row r="382" spans="1:5">
      <c r="A382" t="s">
        <v>1989</v>
      </c>
      <c r="B382" s="198" t="s">
        <v>308</v>
      </c>
      <c r="E382" s="198"/>
    </row>
    <row r="383" spans="1:5">
      <c r="A383" t="s">
        <v>2382</v>
      </c>
      <c r="B383" s="198" t="s">
        <v>308</v>
      </c>
      <c r="E383" s="198"/>
    </row>
    <row r="384" spans="1:5">
      <c r="A384" t="s">
        <v>2312</v>
      </c>
      <c r="B384" s="198" t="s">
        <v>308</v>
      </c>
      <c r="E384" s="198"/>
    </row>
    <row r="385" spans="1:5">
      <c r="A385" t="s">
        <v>1819</v>
      </c>
      <c r="B385" s="198" t="s">
        <v>309</v>
      </c>
      <c r="E385" s="198"/>
    </row>
    <row r="386" spans="1:5">
      <c r="A386" t="s">
        <v>1994</v>
      </c>
      <c r="B386" s="198" t="s">
        <v>309</v>
      </c>
      <c r="E386" s="198"/>
    </row>
    <row r="387" spans="1:5">
      <c r="A387" t="s">
        <v>1753</v>
      </c>
      <c r="B387" s="198" t="s">
        <v>309</v>
      </c>
      <c r="E387" s="198"/>
    </row>
    <row r="388" spans="1:5">
      <c r="A388" t="s">
        <v>1701</v>
      </c>
      <c r="B388" s="198" t="s">
        <v>309</v>
      </c>
      <c r="E388" s="198"/>
    </row>
    <row r="389" spans="1:5">
      <c r="A389" t="s">
        <v>2313</v>
      </c>
      <c r="B389" s="198" t="s">
        <v>309</v>
      </c>
      <c r="E389" s="198"/>
    </row>
    <row r="390" spans="1:5">
      <c r="A390" t="s">
        <v>657</v>
      </c>
      <c r="B390" s="198" t="s">
        <v>309</v>
      </c>
      <c r="E390" s="198"/>
    </row>
    <row r="391" spans="1:5">
      <c r="A391" t="s">
        <v>629</v>
      </c>
      <c r="B391" s="198" t="s">
        <v>309</v>
      </c>
      <c r="E391" s="198"/>
    </row>
    <row r="392" spans="1:5">
      <c r="A392" t="s">
        <v>3769</v>
      </c>
      <c r="B392" s="198" t="s">
        <v>309</v>
      </c>
      <c r="E392" s="198"/>
    </row>
    <row r="393" spans="1:5">
      <c r="A393" t="s">
        <v>1712</v>
      </c>
      <c r="B393" s="198" t="s">
        <v>309</v>
      </c>
      <c r="E393" s="198"/>
    </row>
    <row r="394" spans="1:5">
      <c r="B394" s="198" t="s">
        <v>310</v>
      </c>
      <c r="E394" s="198"/>
    </row>
    <row r="395" spans="1:5">
      <c r="B395" s="198" t="s">
        <v>311</v>
      </c>
      <c r="E395" s="198"/>
    </row>
    <row r="396" spans="1:5">
      <c r="B396" s="198" t="s">
        <v>312</v>
      </c>
      <c r="E396" s="198"/>
    </row>
    <row r="397" spans="1:5">
      <c r="B397" s="198" t="s">
        <v>313</v>
      </c>
      <c r="E397" s="198"/>
    </row>
    <row r="398" spans="1:5">
      <c r="B398" s="198" t="s">
        <v>314</v>
      </c>
      <c r="E398" s="198"/>
    </row>
    <row r="399" spans="1:5">
      <c r="B399" s="198" t="s">
        <v>315</v>
      </c>
      <c r="E399" s="198"/>
    </row>
    <row r="400" spans="1:5">
      <c r="B400" s="198" t="s">
        <v>316</v>
      </c>
      <c r="E400" s="198"/>
    </row>
    <row r="401" spans="1:5">
      <c r="A401" t="s">
        <v>1932</v>
      </c>
      <c r="B401" s="198" t="s">
        <v>317</v>
      </c>
      <c r="E401" s="198"/>
    </row>
    <row r="402" spans="1:5">
      <c r="A402" t="s">
        <v>1931</v>
      </c>
      <c r="B402" s="198" t="s">
        <v>318</v>
      </c>
      <c r="E402" s="198"/>
    </row>
    <row r="403" spans="1:5">
      <c r="B403" s="198" t="s">
        <v>319</v>
      </c>
      <c r="E403" s="198"/>
    </row>
    <row r="404" spans="1:5">
      <c r="A404" t="s">
        <v>3411</v>
      </c>
      <c r="B404" s="198" t="s">
        <v>320</v>
      </c>
      <c r="E404" s="198"/>
    </row>
    <row r="405" spans="1:5">
      <c r="B405" s="198" t="s">
        <v>321</v>
      </c>
      <c r="E405" s="198"/>
    </row>
    <row r="406" spans="1:5">
      <c r="A406" t="s">
        <v>3520</v>
      </c>
      <c r="B406" s="198" t="s">
        <v>3456</v>
      </c>
      <c r="E406" s="198"/>
    </row>
    <row r="407" spans="1:5">
      <c r="B407" s="198"/>
      <c r="E407" s="198"/>
    </row>
    <row r="408" spans="1:5">
      <c r="A408" t="s">
        <v>2275</v>
      </c>
      <c r="B408" s="198" t="s">
        <v>322</v>
      </c>
      <c r="E408" s="198"/>
    </row>
    <row r="409" spans="1:5">
      <c r="A409" t="s">
        <v>3900</v>
      </c>
      <c r="B409" s="198" t="s">
        <v>322</v>
      </c>
      <c r="E409" s="198"/>
    </row>
    <row r="410" spans="1:5">
      <c r="A410" t="s">
        <v>1818</v>
      </c>
      <c r="B410" s="198" t="s">
        <v>322</v>
      </c>
      <c r="E410" s="198"/>
    </row>
    <row r="411" spans="1:5">
      <c r="A411" t="s">
        <v>2158</v>
      </c>
      <c r="B411" s="198" t="s">
        <v>322</v>
      </c>
      <c r="E411" s="198"/>
    </row>
    <row r="412" spans="1:5">
      <c r="A412" t="s">
        <v>2114</v>
      </c>
      <c r="B412" s="198" t="s">
        <v>322</v>
      </c>
      <c r="E412" s="198"/>
    </row>
    <row r="413" spans="1:5">
      <c r="A413" t="s">
        <v>2652</v>
      </c>
      <c r="B413" s="198" t="s">
        <v>322</v>
      </c>
      <c r="E413" s="198"/>
    </row>
    <row r="414" spans="1:5">
      <c r="A414" t="s">
        <v>3770</v>
      </c>
      <c r="B414" s="198" t="s">
        <v>322</v>
      </c>
      <c r="E414" s="198"/>
    </row>
    <row r="415" spans="1:5">
      <c r="A415" t="s">
        <v>3771</v>
      </c>
      <c r="B415" s="198" t="s">
        <v>322</v>
      </c>
      <c r="E415" s="198"/>
    </row>
    <row r="416" spans="1:5">
      <c r="A416" t="s">
        <v>3070</v>
      </c>
      <c r="B416" s="198" t="s">
        <v>323</v>
      </c>
      <c r="E416" s="198"/>
    </row>
    <row r="417" spans="1:5">
      <c r="A417" t="s">
        <v>3521</v>
      </c>
      <c r="B417" s="198" t="s">
        <v>323</v>
      </c>
      <c r="E417" s="198"/>
    </row>
    <row r="418" spans="1:5">
      <c r="A418" t="s">
        <v>3941</v>
      </c>
      <c r="B418" s="198" t="s">
        <v>323</v>
      </c>
      <c r="E418" s="198"/>
    </row>
    <row r="419" spans="1:5">
      <c r="B419" s="198" t="s">
        <v>2222</v>
      </c>
      <c r="E419" s="198"/>
    </row>
    <row r="420" spans="1:5">
      <c r="A420" t="s">
        <v>1949</v>
      </c>
      <c r="B420" s="198" t="s">
        <v>324</v>
      </c>
      <c r="E420" s="198"/>
    </row>
    <row r="421" spans="1:5">
      <c r="A421" t="s">
        <v>1950</v>
      </c>
      <c r="B421" s="198" t="s">
        <v>324</v>
      </c>
      <c r="E421" s="198"/>
    </row>
    <row r="422" spans="1:5">
      <c r="A422" t="s">
        <v>3010</v>
      </c>
      <c r="B422" s="198" t="s">
        <v>324</v>
      </c>
      <c r="E422" s="198"/>
    </row>
    <row r="423" spans="1:5">
      <c r="A423" t="s">
        <v>1951</v>
      </c>
      <c r="B423" s="198" t="s">
        <v>324</v>
      </c>
      <c r="E423" s="198"/>
    </row>
    <row r="424" spans="1:5">
      <c r="A424" t="s">
        <v>1952</v>
      </c>
      <c r="B424" s="198" t="s">
        <v>324</v>
      </c>
      <c r="E424" s="198"/>
    </row>
    <row r="425" spans="1:5">
      <c r="A425" t="s">
        <v>1954</v>
      </c>
      <c r="B425" s="198" t="s">
        <v>324</v>
      </c>
      <c r="E425" s="198"/>
    </row>
    <row r="426" spans="1:5">
      <c r="A426" t="s">
        <v>3743</v>
      </c>
      <c r="B426" s="198" t="s">
        <v>325</v>
      </c>
      <c r="E426" s="198"/>
    </row>
    <row r="427" spans="1:5">
      <c r="A427" t="s">
        <v>3772</v>
      </c>
      <c r="B427" s="198" t="s">
        <v>325</v>
      </c>
      <c r="E427" s="198"/>
    </row>
    <row r="428" spans="1:5">
      <c r="A428" t="s">
        <v>2204</v>
      </c>
      <c r="B428" s="198" t="s">
        <v>325</v>
      </c>
      <c r="E428" s="198"/>
    </row>
    <row r="429" spans="1:5">
      <c r="A429" t="s">
        <v>3580</v>
      </c>
      <c r="B429" s="198" t="s">
        <v>325</v>
      </c>
      <c r="E429" s="198"/>
    </row>
    <row r="430" spans="1:5">
      <c r="A430" t="s">
        <v>2334</v>
      </c>
      <c r="B430" s="198" t="s">
        <v>325</v>
      </c>
      <c r="E430" s="198"/>
    </row>
    <row r="431" spans="1:5">
      <c r="A431" t="s">
        <v>2424</v>
      </c>
      <c r="B431" s="198" t="s">
        <v>325</v>
      </c>
      <c r="E431" s="198"/>
    </row>
    <row r="432" spans="1:5">
      <c r="A432" t="s">
        <v>3565</v>
      </c>
      <c r="B432" s="198" t="s">
        <v>325</v>
      </c>
      <c r="E432" s="198"/>
    </row>
    <row r="433" spans="1:5">
      <c r="A433" t="s">
        <v>3566</v>
      </c>
      <c r="B433" s="198" t="s">
        <v>325</v>
      </c>
      <c r="E433" s="198"/>
    </row>
    <row r="434" spans="1:5">
      <c r="A434" t="s">
        <v>3567</v>
      </c>
      <c r="B434" s="198" t="s">
        <v>325</v>
      </c>
      <c r="E434" s="198"/>
    </row>
    <row r="435" spans="1:5">
      <c r="A435" t="s">
        <v>3581</v>
      </c>
      <c r="B435" s="198" t="s">
        <v>325</v>
      </c>
      <c r="E435" s="198"/>
    </row>
    <row r="436" spans="1:5">
      <c r="A436" t="s">
        <v>3615</v>
      </c>
      <c r="B436" s="198" t="s">
        <v>325</v>
      </c>
      <c r="E436" s="198"/>
    </row>
    <row r="437" spans="1:5">
      <c r="A437" t="s">
        <v>3864</v>
      </c>
      <c r="B437" s="198" t="s">
        <v>325</v>
      </c>
      <c r="E437" s="198"/>
    </row>
    <row r="438" spans="1:5">
      <c r="A438" t="s">
        <v>3873</v>
      </c>
      <c r="B438" s="198" t="s">
        <v>325</v>
      </c>
      <c r="E438" s="198"/>
    </row>
    <row r="439" spans="1:5">
      <c r="A439" t="s">
        <v>3868</v>
      </c>
      <c r="B439" s="198" t="s">
        <v>325</v>
      </c>
      <c r="E439" s="198"/>
    </row>
    <row r="440" spans="1:5">
      <c r="A440" t="s">
        <v>4121</v>
      </c>
      <c r="B440" s="198" t="s">
        <v>325</v>
      </c>
      <c r="E440" s="198"/>
    </row>
    <row r="441" spans="1:5">
      <c r="A441" t="s">
        <v>4014</v>
      </c>
      <c r="B441" s="198" t="s">
        <v>325</v>
      </c>
      <c r="E441" s="198"/>
    </row>
    <row r="442" spans="1:5">
      <c r="A442" t="s">
        <v>4015</v>
      </c>
      <c r="B442" s="198" t="s">
        <v>325</v>
      </c>
      <c r="E442" s="198"/>
    </row>
    <row r="443" spans="1:5">
      <c r="A443" t="s">
        <v>3582</v>
      </c>
      <c r="B443" s="198" t="s">
        <v>893</v>
      </c>
      <c r="E443" s="198"/>
    </row>
    <row r="444" spans="1:5">
      <c r="A444" t="s">
        <v>3773</v>
      </c>
      <c r="B444" s="198" t="s">
        <v>893</v>
      </c>
      <c r="E444" s="198"/>
    </row>
    <row r="445" spans="1:5">
      <c r="A445" t="s">
        <v>2383</v>
      </c>
      <c r="B445" s="198" t="s">
        <v>893</v>
      </c>
      <c r="E445" s="198"/>
    </row>
    <row r="446" spans="1:5">
      <c r="A446" t="s">
        <v>3522</v>
      </c>
      <c r="B446" s="198" t="s">
        <v>893</v>
      </c>
      <c r="E446" s="198"/>
    </row>
    <row r="447" spans="1:5">
      <c r="A447" t="s">
        <v>3583</v>
      </c>
      <c r="B447" s="198" t="s">
        <v>893</v>
      </c>
      <c r="E447" s="198"/>
    </row>
    <row r="448" spans="1:5">
      <c r="A448" t="s">
        <v>3584</v>
      </c>
      <c r="B448" s="198" t="s">
        <v>893</v>
      </c>
      <c r="E448" s="198"/>
    </row>
    <row r="449" spans="1:5">
      <c r="A449" t="s">
        <v>3605</v>
      </c>
      <c r="B449" s="198" t="s">
        <v>893</v>
      </c>
      <c r="E449" s="198"/>
    </row>
    <row r="450" spans="1:5">
      <c r="A450" t="s">
        <v>3616</v>
      </c>
      <c r="B450" s="198" t="s">
        <v>893</v>
      </c>
      <c r="E450" s="198"/>
    </row>
    <row r="451" spans="1:5">
      <c r="A451" t="s">
        <v>3668</v>
      </c>
      <c r="B451" s="198" t="s">
        <v>893</v>
      </c>
      <c r="E451" s="198"/>
    </row>
    <row r="452" spans="1:5">
      <c r="A452" t="s">
        <v>2384</v>
      </c>
      <c r="B452" s="198" t="s">
        <v>326</v>
      </c>
      <c r="E452" s="198"/>
    </row>
    <row r="453" spans="1:5">
      <c r="A453" t="s">
        <v>3181</v>
      </c>
      <c r="B453" s="198" t="s">
        <v>326</v>
      </c>
      <c r="E453" s="198"/>
    </row>
    <row r="454" spans="1:5">
      <c r="A454" t="s">
        <v>3669</v>
      </c>
      <c r="B454" s="198" t="s">
        <v>326</v>
      </c>
      <c r="E454" s="198"/>
    </row>
    <row r="455" spans="1:5">
      <c r="A455" t="s">
        <v>1946</v>
      </c>
      <c r="B455" s="198" t="s">
        <v>326</v>
      </c>
      <c r="E455" s="198"/>
    </row>
    <row r="456" spans="1:5">
      <c r="A456" t="s">
        <v>1947</v>
      </c>
      <c r="B456" s="198" t="s">
        <v>326</v>
      </c>
      <c r="E456" s="198"/>
    </row>
    <row r="457" spans="1:5">
      <c r="A457" t="s">
        <v>3617</v>
      </c>
      <c r="B457" s="198" t="s">
        <v>326</v>
      </c>
      <c r="E457" s="198"/>
    </row>
    <row r="458" spans="1:5">
      <c r="A458" t="s">
        <v>1945</v>
      </c>
      <c r="B458" s="198" t="s">
        <v>327</v>
      </c>
      <c r="E458" s="198"/>
    </row>
    <row r="459" spans="1:5">
      <c r="A459" t="s">
        <v>3523</v>
      </c>
      <c r="B459" s="198" t="s">
        <v>328</v>
      </c>
      <c r="E459" s="198"/>
    </row>
    <row r="460" spans="1:5">
      <c r="A460" t="s">
        <v>3585</v>
      </c>
      <c r="B460" s="198" t="s">
        <v>328</v>
      </c>
      <c r="E460" s="198"/>
    </row>
    <row r="461" spans="1:5">
      <c r="A461" t="s">
        <v>3586</v>
      </c>
      <c r="B461" s="198" t="s">
        <v>328</v>
      </c>
      <c r="E461" s="198"/>
    </row>
    <row r="462" spans="1:5">
      <c r="A462" t="s">
        <v>3618</v>
      </c>
      <c r="B462" s="198" t="s">
        <v>328</v>
      </c>
      <c r="E462" s="198"/>
    </row>
    <row r="463" spans="1:5">
      <c r="A463" t="s">
        <v>3629</v>
      </c>
      <c r="B463" s="198" t="s">
        <v>328</v>
      </c>
      <c r="E463" s="198"/>
    </row>
    <row r="464" spans="1:5">
      <c r="A464" t="s">
        <v>2223</v>
      </c>
      <c r="B464" s="198" t="s">
        <v>329</v>
      </c>
      <c r="E464" s="198"/>
    </row>
    <row r="465" spans="1:5">
      <c r="A465" t="s">
        <v>2446</v>
      </c>
      <c r="B465" s="198" t="s">
        <v>329</v>
      </c>
      <c r="E465" s="198"/>
    </row>
    <row r="466" spans="1:5">
      <c r="A466" t="s">
        <v>2447</v>
      </c>
      <c r="B466" s="198" t="s">
        <v>329</v>
      </c>
      <c r="E466" s="198"/>
    </row>
    <row r="467" spans="1:5">
      <c r="A467" t="s">
        <v>3587</v>
      </c>
      <c r="B467" s="198" t="s">
        <v>329</v>
      </c>
      <c r="E467" s="198"/>
    </row>
    <row r="468" spans="1:5">
      <c r="A468" t="s">
        <v>3588</v>
      </c>
      <c r="B468" s="198" t="s">
        <v>329</v>
      </c>
      <c r="E468" s="198"/>
    </row>
    <row r="469" spans="1:5">
      <c r="A469" t="s">
        <v>3619</v>
      </c>
      <c r="B469" s="198" t="s">
        <v>329</v>
      </c>
      <c r="E469" s="198"/>
    </row>
    <row r="470" spans="1:5">
      <c r="A470" t="s">
        <v>1944</v>
      </c>
      <c r="B470" s="198" t="s">
        <v>330</v>
      </c>
      <c r="E470" s="198"/>
    </row>
    <row r="471" spans="1:5">
      <c r="A471" t="s">
        <v>2288</v>
      </c>
      <c r="B471" s="198" t="s">
        <v>330</v>
      </c>
      <c r="E471" s="198"/>
    </row>
    <row r="472" spans="1:5">
      <c r="A472" t="s">
        <v>2333</v>
      </c>
      <c r="B472" s="198" t="s">
        <v>330</v>
      </c>
      <c r="E472" s="198"/>
    </row>
    <row r="473" spans="1:5">
      <c r="A473" t="s">
        <v>3269</v>
      </c>
      <c r="B473" s="198" t="s">
        <v>331</v>
      </c>
      <c r="E473" s="198"/>
    </row>
    <row r="474" spans="1:5">
      <c r="A474" t="s">
        <v>858</v>
      </c>
      <c r="B474" s="198" t="s">
        <v>332</v>
      </c>
      <c r="E474" s="198"/>
    </row>
    <row r="475" spans="1:5">
      <c r="A475" t="s">
        <v>3515</v>
      </c>
      <c r="B475" s="198" t="s">
        <v>332</v>
      </c>
      <c r="E475" s="198"/>
    </row>
    <row r="476" spans="1:5">
      <c r="A476" t="s">
        <v>3524</v>
      </c>
      <c r="B476" s="198" t="s">
        <v>332</v>
      </c>
      <c r="E476" s="198"/>
    </row>
    <row r="477" spans="1:5">
      <c r="A477" t="s">
        <v>3525</v>
      </c>
      <c r="B477" s="198" t="s">
        <v>332</v>
      </c>
      <c r="E477" s="198"/>
    </row>
    <row r="478" spans="1:5">
      <c r="A478" t="s">
        <v>3526</v>
      </c>
      <c r="B478" s="198" t="s">
        <v>332</v>
      </c>
      <c r="E478" s="198"/>
    </row>
    <row r="479" spans="1:5">
      <c r="A479" t="s">
        <v>3589</v>
      </c>
      <c r="B479" s="198" t="s">
        <v>332</v>
      </c>
      <c r="E479" s="198"/>
    </row>
    <row r="480" spans="1:5">
      <c r="A480" t="s">
        <v>3590</v>
      </c>
      <c r="B480" s="198" t="s">
        <v>332</v>
      </c>
      <c r="E480" s="198"/>
    </row>
    <row r="481" spans="1:5">
      <c r="A481" t="s">
        <v>3630</v>
      </c>
      <c r="B481" s="198" t="s">
        <v>332</v>
      </c>
      <c r="E481" s="198"/>
    </row>
    <row r="482" spans="1:5">
      <c r="A482" t="s">
        <v>3651</v>
      </c>
      <c r="B482" s="198" t="s">
        <v>333</v>
      </c>
      <c r="E482" s="198"/>
    </row>
    <row r="483" spans="1:5">
      <c r="A483" t="s">
        <v>3527</v>
      </c>
      <c r="B483" s="198" t="s">
        <v>333</v>
      </c>
      <c r="E483" s="198"/>
    </row>
    <row r="484" spans="1:5">
      <c r="A484" t="s">
        <v>3528</v>
      </c>
      <c r="B484" s="198" t="s">
        <v>333</v>
      </c>
      <c r="E484" s="198"/>
    </row>
    <row r="485" spans="1:5">
      <c r="A485" t="s">
        <v>3529</v>
      </c>
      <c r="B485" s="198" t="s">
        <v>333</v>
      </c>
      <c r="E485" s="198"/>
    </row>
    <row r="486" spans="1:5">
      <c r="A486" t="s">
        <v>3530</v>
      </c>
      <c r="B486" s="198" t="s">
        <v>333</v>
      </c>
      <c r="E486" s="198"/>
    </row>
    <row r="487" spans="1:5">
      <c r="A487" t="s">
        <v>3620</v>
      </c>
      <c r="B487" s="198" t="s">
        <v>333</v>
      </c>
      <c r="E487" s="198"/>
    </row>
    <row r="488" spans="1:5">
      <c r="A488" t="s">
        <v>3591</v>
      </c>
      <c r="B488" s="198" t="s">
        <v>333</v>
      </c>
      <c r="E488" s="198"/>
    </row>
    <row r="489" spans="1:5">
      <c r="A489" t="s">
        <v>3592</v>
      </c>
      <c r="B489" s="198" t="s">
        <v>333</v>
      </c>
      <c r="E489" s="198"/>
    </row>
    <row r="490" spans="1:5">
      <c r="A490" t="s">
        <v>3593</v>
      </c>
      <c r="B490" s="198" t="s">
        <v>333</v>
      </c>
      <c r="E490" s="198"/>
    </row>
    <row r="491" spans="1:5">
      <c r="A491" t="s">
        <v>3631</v>
      </c>
      <c r="B491" s="198" t="s">
        <v>333</v>
      </c>
      <c r="E491" s="198"/>
    </row>
    <row r="492" spans="1:5">
      <c r="A492" t="s">
        <v>1948</v>
      </c>
      <c r="B492" s="198" t="s">
        <v>334</v>
      </c>
      <c r="E492" s="198"/>
    </row>
    <row r="493" spans="1:5">
      <c r="A493" t="s">
        <v>2115</v>
      </c>
      <c r="B493" s="198" t="s">
        <v>334</v>
      </c>
      <c r="E493" s="198"/>
    </row>
    <row r="494" spans="1:5">
      <c r="A494" t="s">
        <v>3182</v>
      </c>
      <c r="B494" s="198" t="s">
        <v>334</v>
      </c>
      <c r="E494" s="198"/>
    </row>
    <row r="495" spans="1:5">
      <c r="A495" t="s">
        <v>2289</v>
      </c>
      <c r="B495" s="198" t="s">
        <v>334</v>
      </c>
      <c r="E495" s="198"/>
    </row>
    <row r="496" spans="1:5">
      <c r="A496" t="s">
        <v>2434</v>
      </c>
      <c r="B496" s="198" t="s">
        <v>334</v>
      </c>
      <c r="E496" s="198"/>
    </row>
    <row r="497" spans="1:5">
      <c r="A497" t="s">
        <v>3270</v>
      </c>
      <c r="B497" s="198" t="s">
        <v>335</v>
      </c>
      <c r="E497" s="198"/>
    </row>
    <row r="498" spans="1:5">
      <c r="A498" t="s">
        <v>2290</v>
      </c>
      <c r="B498" s="198" t="s">
        <v>335</v>
      </c>
      <c r="E498" s="198"/>
    </row>
    <row r="499" spans="1:5">
      <c r="A499" t="s">
        <v>3412</v>
      </c>
      <c r="B499" s="198" t="s">
        <v>335</v>
      </c>
      <c r="E499" s="198"/>
    </row>
    <row r="500" spans="1:5">
      <c r="A500" t="s">
        <v>3413</v>
      </c>
      <c r="B500" s="198" t="s">
        <v>335</v>
      </c>
      <c r="E500" s="198"/>
    </row>
    <row r="501" spans="1:5">
      <c r="A501" t="s">
        <v>3414</v>
      </c>
      <c r="B501" s="198" t="s">
        <v>335</v>
      </c>
      <c r="E501" s="198"/>
    </row>
    <row r="502" spans="1:5">
      <c r="A502" t="s">
        <v>3507</v>
      </c>
      <c r="B502" s="198" t="s">
        <v>335</v>
      </c>
      <c r="E502" s="198"/>
    </row>
    <row r="503" spans="1:5">
      <c r="A503" t="s">
        <v>3754</v>
      </c>
      <c r="B503" s="198" t="s">
        <v>335</v>
      </c>
      <c r="E503" s="198"/>
    </row>
    <row r="504" spans="1:5">
      <c r="A504" t="s">
        <v>3531</v>
      </c>
      <c r="B504" s="198" t="s">
        <v>335</v>
      </c>
      <c r="E504" s="198"/>
    </row>
    <row r="505" spans="1:5">
      <c r="A505" t="s">
        <v>3532</v>
      </c>
      <c r="B505" s="198" t="s">
        <v>335</v>
      </c>
      <c r="E505" s="198"/>
    </row>
    <row r="506" spans="1:5">
      <c r="A506" t="s">
        <v>3568</v>
      </c>
      <c r="B506" s="198" t="s">
        <v>335</v>
      </c>
      <c r="E506" s="198"/>
    </row>
    <row r="507" spans="1:5">
      <c r="A507" t="s">
        <v>3569</v>
      </c>
      <c r="B507" s="198" t="s">
        <v>335</v>
      </c>
      <c r="E507" s="198"/>
    </row>
    <row r="508" spans="1:5">
      <c r="A508" t="s">
        <v>3649</v>
      </c>
      <c r="B508" s="198" t="s">
        <v>335</v>
      </c>
      <c r="E508" s="198"/>
    </row>
    <row r="509" spans="1:5">
      <c r="A509" t="s">
        <v>4034</v>
      </c>
      <c r="B509" s="198" t="s">
        <v>335</v>
      </c>
      <c r="E509" s="198"/>
    </row>
    <row r="510" spans="1:5">
      <c r="A510" t="s">
        <v>4035</v>
      </c>
      <c r="B510" s="198" t="s">
        <v>335</v>
      </c>
      <c r="E510" s="198"/>
    </row>
    <row r="511" spans="1:5">
      <c r="A511" t="s">
        <v>4105</v>
      </c>
      <c r="B511" s="198" t="s">
        <v>335</v>
      </c>
      <c r="E511" s="198"/>
    </row>
    <row r="512" spans="1:5">
      <c r="A512" t="s">
        <v>4036</v>
      </c>
      <c r="B512" s="198" t="s">
        <v>335</v>
      </c>
      <c r="E512" s="198"/>
    </row>
    <row r="513" spans="1:5">
      <c r="A513" t="s">
        <v>3859</v>
      </c>
      <c r="B513" s="198" t="s">
        <v>335</v>
      </c>
      <c r="E513" s="198"/>
    </row>
    <row r="514" spans="1:5">
      <c r="A514" t="s">
        <v>3877</v>
      </c>
      <c r="B514" s="198" t="s">
        <v>335</v>
      </c>
      <c r="E514" s="198"/>
    </row>
    <row r="515" spans="1:5">
      <c r="A515" t="s">
        <v>3865</v>
      </c>
      <c r="B515" s="198" t="s">
        <v>335</v>
      </c>
      <c r="E515" s="198"/>
    </row>
    <row r="516" spans="1:5">
      <c r="A516" t="s">
        <v>4065</v>
      </c>
      <c r="B516" s="198" t="s">
        <v>335</v>
      </c>
      <c r="E516" s="198"/>
    </row>
    <row r="517" spans="1:5">
      <c r="A517" t="s">
        <v>3939</v>
      </c>
      <c r="B517" s="198" t="s">
        <v>335</v>
      </c>
      <c r="E517" s="198"/>
    </row>
    <row r="518" spans="1:5">
      <c r="A518" t="s">
        <v>4054</v>
      </c>
      <c r="B518" s="198" t="s">
        <v>335</v>
      </c>
      <c r="E518" s="198"/>
    </row>
    <row r="519" spans="1:5">
      <c r="A519" t="s">
        <v>4056</v>
      </c>
      <c r="B519" s="198" t="s">
        <v>335</v>
      </c>
      <c r="E519" s="198"/>
    </row>
    <row r="520" spans="1:5">
      <c r="A520" t="s">
        <v>4057</v>
      </c>
      <c r="B520" s="198" t="s">
        <v>335</v>
      </c>
      <c r="E520" s="198"/>
    </row>
    <row r="521" spans="1:5">
      <c r="A521" t="s">
        <v>4055</v>
      </c>
      <c r="B521" s="198" t="s">
        <v>335</v>
      </c>
      <c r="E521" s="198"/>
    </row>
    <row r="522" spans="1:5">
      <c r="A522" t="s">
        <v>4087</v>
      </c>
      <c r="B522" s="198" t="s">
        <v>335</v>
      </c>
      <c r="E522" s="198"/>
    </row>
    <row r="523" spans="1:5">
      <c r="A523" t="s">
        <v>4066</v>
      </c>
      <c r="B523" s="198" t="s">
        <v>335</v>
      </c>
      <c r="E523" s="198"/>
    </row>
    <row r="524" spans="1:5">
      <c r="A524" t="s">
        <v>4058</v>
      </c>
      <c r="B524" s="198" t="s">
        <v>335</v>
      </c>
      <c r="E524" s="198"/>
    </row>
    <row r="525" spans="1:5">
      <c r="A525" t="s">
        <v>4067</v>
      </c>
      <c r="B525" s="198" t="s">
        <v>335</v>
      </c>
      <c r="E525" s="198"/>
    </row>
    <row r="526" spans="1:5">
      <c r="A526" t="s">
        <v>4068</v>
      </c>
      <c r="B526" s="198" t="s">
        <v>335</v>
      </c>
      <c r="E526" s="198"/>
    </row>
    <row r="527" spans="1:5">
      <c r="A527" t="s">
        <v>4069</v>
      </c>
      <c r="B527" s="198" t="s">
        <v>335</v>
      </c>
      <c r="E527" s="198"/>
    </row>
    <row r="528" spans="1:5">
      <c r="A528" t="s">
        <v>4059</v>
      </c>
      <c r="B528" s="198" t="s">
        <v>335</v>
      </c>
      <c r="E528" s="198"/>
    </row>
    <row r="529" spans="1:5">
      <c r="A529" t="s">
        <v>3940</v>
      </c>
      <c r="B529" s="198" t="s">
        <v>335</v>
      </c>
      <c r="E529" s="198"/>
    </row>
    <row r="530" spans="1:5">
      <c r="A530" t="s">
        <v>2448</v>
      </c>
      <c r="B530" s="198" t="s">
        <v>335</v>
      </c>
      <c r="E530" s="198"/>
    </row>
    <row r="531" spans="1:5">
      <c r="A531" t="s">
        <v>2449</v>
      </c>
      <c r="B531" s="198" t="s">
        <v>335</v>
      </c>
      <c r="E531" s="198"/>
    </row>
    <row r="532" spans="1:5">
      <c r="A532" t="s">
        <v>3183</v>
      </c>
      <c r="B532" s="198" t="s">
        <v>335</v>
      </c>
      <c r="E532" s="198"/>
    </row>
    <row r="533" spans="1:5">
      <c r="A533" t="s">
        <v>3415</v>
      </c>
      <c r="B533" s="198" t="s">
        <v>335</v>
      </c>
      <c r="E533" s="198"/>
    </row>
    <row r="534" spans="1:5">
      <c r="A534" t="s">
        <v>2858</v>
      </c>
      <c r="B534" s="198" t="s">
        <v>335</v>
      </c>
      <c r="E534" s="198"/>
    </row>
    <row r="535" spans="1:5">
      <c r="A535" t="s">
        <v>2859</v>
      </c>
      <c r="B535" s="198" t="s">
        <v>335</v>
      </c>
      <c r="E535" s="198"/>
    </row>
    <row r="536" spans="1:5">
      <c r="A536" t="s">
        <v>3379</v>
      </c>
      <c r="B536" s="198" t="s">
        <v>335</v>
      </c>
      <c r="E536" s="198"/>
    </row>
    <row r="537" spans="1:5">
      <c r="A537" t="s">
        <v>3380</v>
      </c>
      <c r="B537" s="198" t="s">
        <v>335</v>
      </c>
      <c r="E537" s="198"/>
    </row>
    <row r="538" spans="1:5">
      <c r="A538" t="s">
        <v>3450</v>
      </c>
      <c r="B538" s="198" t="s">
        <v>335</v>
      </c>
      <c r="E538" s="198"/>
    </row>
    <row r="539" spans="1:5">
      <c r="A539" t="s">
        <v>3479</v>
      </c>
      <c r="B539" s="198" t="s">
        <v>335</v>
      </c>
      <c r="E539" s="198"/>
    </row>
    <row r="540" spans="1:5">
      <c r="A540" t="s">
        <v>3670</v>
      </c>
      <c r="B540" s="198" t="s">
        <v>335</v>
      </c>
      <c r="E540" s="198"/>
    </row>
    <row r="541" spans="1:5">
      <c r="A541" t="s">
        <v>3747</v>
      </c>
      <c r="B541" s="198" t="s">
        <v>335</v>
      </c>
      <c r="E541" s="198"/>
    </row>
    <row r="542" spans="1:5">
      <c r="A542" t="s">
        <v>3774</v>
      </c>
      <c r="B542" s="198" t="s">
        <v>335</v>
      </c>
      <c r="E542" s="198"/>
    </row>
    <row r="543" spans="1:5">
      <c r="A543" t="s">
        <v>4010</v>
      </c>
      <c r="B543" s="198" t="s">
        <v>335</v>
      </c>
      <c r="E543" s="198"/>
    </row>
    <row r="544" spans="1:5">
      <c r="A544" t="s">
        <v>4011</v>
      </c>
      <c r="B544" s="198" t="s">
        <v>335</v>
      </c>
      <c r="E544" s="198"/>
    </row>
    <row r="545" spans="1:5">
      <c r="A545" t="s">
        <v>3756</v>
      </c>
      <c r="B545" s="198" t="s">
        <v>335</v>
      </c>
      <c r="E545" s="198"/>
    </row>
    <row r="546" spans="1:5">
      <c r="A546" t="s">
        <v>4024</v>
      </c>
      <c r="B546" s="198" t="s">
        <v>335</v>
      </c>
      <c r="E546" s="198"/>
    </row>
    <row r="547" spans="1:5">
      <c r="A547" t="s">
        <v>3416</v>
      </c>
      <c r="B547" s="198" t="s">
        <v>335</v>
      </c>
      <c r="E547" s="198"/>
    </row>
    <row r="548" spans="1:5">
      <c r="A548" t="s">
        <v>3458</v>
      </c>
      <c r="B548" s="198" t="s">
        <v>335</v>
      </c>
      <c r="E548" s="198"/>
    </row>
    <row r="549" spans="1:5">
      <c r="A549" t="s">
        <v>3459</v>
      </c>
      <c r="B549" s="198" t="s">
        <v>335</v>
      </c>
      <c r="E549" s="198"/>
    </row>
    <row r="550" spans="1:5">
      <c r="A550" t="s">
        <v>3570</v>
      </c>
      <c r="B550" s="198" t="s">
        <v>335</v>
      </c>
      <c r="E550" s="198"/>
    </row>
    <row r="551" spans="1:5">
      <c r="A551" t="s">
        <v>3671</v>
      </c>
      <c r="B551" s="198" t="s">
        <v>335</v>
      </c>
      <c r="E551" s="198"/>
    </row>
    <row r="552" spans="1:5">
      <c r="A552" t="s">
        <v>3632</v>
      </c>
      <c r="B552" s="198" t="s">
        <v>335</v>
      </c>
      <c r="E552" s="198"/>
    </row>
    <row r="553" spans="1:5">
      <c r="A553" t="s">
        <v>3633</v>
      </c>
      <c r="B553" s="198" t="s">
        <v>335</v>
      </c>
      <c r="E553" s="198"/>
    </row>
    <row r="554" spans="1:5">
      <c r="A554" t="s">
        <v>3901</v>
      </c>
      <c r="B554" s="198" t="s">
        <v>335</v>
      </c>
      <c r="E554" s="198"/>
    </row>
    <row r="555" spans="1:5">
      <c r="A555" t="s">
        <v>3902</v>
      </c>
      <c r="B555" s="198" t="s">
        <v>335</v>
      </c>
      <c r="E555" s="198"/>
    </row>
    <row r="556" spans="1:5">
      <c r="A556" t="s">
        <v>3903</v>
      </c>
      <c r="B556" s="198" t="s">
        <v>335</v>
      </c>
      <c r="E556" s="198"/>
    </row>
    <row r="557" spans="1:5">
      <c r="A557" t="s">
        <v>3904</v>
      </c>
      <c r="B557" s="198" t="s">
        <v>335</v>
      </c>
      <c r="E557" s="198"/>
    </row>
    <row r="558" spans="1:5">
      <c r="A558" t="s">
        <v>3634</v>
      </c>
      <c r="B558" s="198" t="s">
        <v>335</v>
      </c>
      <c r="E558" s="198"/>
    </row>
    <row r="559" spans="1:5">
      <c r="A559" t="s">
        <v>3635</v>
      </c>
      <c r="B559" s="198" t="s">
        <v>335</v>
      </c>
      <c r="E559" s="198"/>
    </row>
    <row r="560" spans="1:5">
      <c r="A560" t="s">
        <v>3775</v>
      </c>
      <c r="B560" s="198" t="s">
        <v>335</v>
      </c>
      <c r="E560" s="198"/>
    </row>
    <row r="561" spans="1:5">
      <c r="A561" t="s">
        <v>3776</v>
      </c>
      <c r="B561" s="198" t="s">
        <v>335</v>
      </c>
      <c r="E561" s="198"/>
    </row>
    <row r="562" spans="1:5">
      <c r="A562" t="s">
        <v>1822</v>
      </c>
      <c r="B562" s="198" t="s">
        <v>336</v>
      </c>
      <c r="E562" s="198"/>
    </row>
    <row r="563" spans="1:5">
      <c r="A563" t="s">
        <v>1702</v>
      </c>
      <c r="B563" s="198" t="s">
        <v>336</v>
      </c>
      <c r="E563" s="198"/>
    </row>
    <row r="564" spans="1:5">
      <c r="A564" t="s">
        <v>1703</v>
      </c>
      <c r="B564" s="198" t="s">
        <v>336</v>
      </c>
      <c r="E564" s="198"/>
    </row>
    <row r="565" spans="1:5">
      <c r="A565" t="s">
        <v>2341</v>
      </c>
      <c r="B565" s="198" t="s">
        <v>336</v>
      </c>
      <c r="E565" s="198"/>
    </row>
    <row r="566" spans="1:5">
      <c r="A566" t="s">
        <v>2414</v>
      </c>
      <c r="B566" s="198" t="s">
        <v>336</v>
      </c>
      <c r="E566" s="198"/>
    </row>
    <row r="567" spans="1:5">
      <c r="A567" t="s">
        <v>3242</v>
      </c>
      <c r="B567" s="198" t="s">
        <v>336</v>
      </c>
      <c r="E567" s="198"/>
    </row>
    <row r="568" spans="1:5">
      <c r="A568" t="s">
        <v>2569</v>
      </c>
      <c r="B568" s="198" t="s">
        <v>336</v>
      </c>
      <c r="E568" s="198"/>
    </row>
    <row r="569" spans="1:5">
      <c r="A569" t="s">
        <v>2570</v>
      </c>
      <c r="B569" s="198" t="s">
        <v>336</v>
      </c>
      <c r="E569" s="198"/>
    </row>
    <row r="570" spans="1:5">
      <c r="A570" t="s">
        <v>3175</v>
      </c>
      <c r="B570" s="198" t="s">
        <v>336</v>
      </c>
      <c r="E570" s="198"/>
    </row>
    <row r="571" spans="1:5">
      <c r="A571" t="s">
        <v>3176</v>
      </c>
      <c r="B571" s="198" t="s">
        <v>336</v>
      </c>
      <c r="E571" s="198"/>
    </row>
    <row r="572" spans="1:5">
      <c r="A572" t="s">
        <v>4009</v>
      </c>
      <c r="B572" s="198" t="s">
        <v>336</v>
      </c>
      <c r="E572" s="198"/>
    </row>
    <row r="573" spans="1:5">
      <c r="A573" t="s">
        <v>3460</v>
      </c>
      <c r="B573" s="198" t="s">
        <v>336</v>
      </c>
      <c r="E573" s="198"/>
    </row>
    <row r="574" spans="1:5">
      <c r="A574" t="s">
        <v>3461</v>
      </c>
      <c r="B574" s="198" t="s">
        <v>336</v>
      </c>
      <c r="E574" s="198"/>
    </row>
    <row r="575" spans="1:5">
      <c r="A575" t="s">
        <v>3621</v>
      </c>
      <c r="B575" s="198" t="s">
        <v>336</v>
      </c>
      <c r="E575" s="198"/>
    </row>
    <row r="576" spans="1:5">
      <c r="A576" t="s">
        <v>3647</v>
      </c>
      <c r="B576" s="198" t="s">
        <v>336</v>
      </c>
      <c r="E576" s="198"/>
    </row>
    <row r="577" spans="1:5">
      <c r="A577" t="s">
        <v>3648</v>
      </c>
      <c r="B577" s="198" t="s">
        <v>336</v>
      </c>
      <c r="E577" s="198"/>
    </row>
    <row r="578" spans="1:5">
      <c r="A578" t="s">
        <v>3652</v>
      </c>
      <c r="B578" s="198" t="s">
        <v>336</v>
      </c>
      <c r="E578" s="198"/>
    </row>
    <row r="579" spans="1:5">
      <c r="A579" t="s">
        <v>3653</v>
      </c>
      <c r="B579" s="198" t="s">
        <v>336</v>
      </c>
      <c r="E579" s="198"/>
    </row>
    <row r="580" spans="1:5">
      <c r="A580" t="s">
        <v>3654</v>
      </c>
      <c r="B580" s="198" t="s">
        <v>336</v>
      </c>
      <c r="E580" s="198"/>
    </row>
    <row r="581" spans="1:5">
      <c r="A581" t="s">
        <v>3655</v>
      </c>
      <c r="B581" s="198" t="s">
        <v>336</v>
      </c>
      <c r="E581" s="198"/>
    </row>
    <row r="582" spans="1:5">
      <c r="A582" t="s">
        <v>3714</v>
      </c>
      <c r="B582" s="198" t="s">
        <v>336</v>
      </c>
      <c r="E582" s="198"/>
    </row>
    <row r="583" spans="1:5">
      <c r="A583" t="s">
        <v>3715</v>
      </c>
      <c r="B583" s="198" t="s">
        <v>336</v>
      </c>
      <c r="E583" s="198"/>
    </row>
    <row r="584" spans="1:5">
      <c r="A584" t="s">
        <v>3716</v>
      </c>
      <c r="B584" s="198" t="s">
        <v>336</v>
      </c>
      <c r="E584" s="198"/>
    </row>
    <row r="585" spans="1:5">
      <c r="A585" t="s">
        <v>3717</v>
      </c>
      <c r="B585" s="198" t="s">
        <v>336</v>
      </c>
      <c r="E585" s="198"/>
    </row>
    <row r="586" spans="1:5">
      <c r="A586" t="s">
        <v>3718</v>
      </c>
      <c r="B586" s="198" t="s">
        <v>336</v>
      </c>
      <c r="E586" s="198"/>
    </row>
    <row r="587" spans="1:5">
      <c r="A587" t="s">
        <v>3719</v>
      </c>
      <c r="B587" s="198" t="s">
        <v>336</v>
      </c>
      <c r="E587" s="198"/>
    </row>
    <row r="588" spans="1:5">
      <c r="A588" t="s">
        <v>3777</v>
      </c>
      <c r="B588" s="198" t="s">
        <v>336</v>
      </c>
      <c r="E588" s="198"/>
    </row>
    <row r="589" spans="1:5">
      <c r="A589" t="s">
        <v>3746</v>
      </c>
      <c r="B589" s="198" t="s">
        <v>336</v>
      </c>
      <c r="E589" s="198"/>
    </row>
    <row r="590" spans="1:5">
      <c r="A590" t="s">
        <v>3778</v>
      </c>
      <c r="B590" s="198" t="s">
        <v>336</v>
      </c>
      <c r="E590" s="198"/>
    </row>
    <row r="591" spans="1:5">
      <c r="A591" t="s">
        <v>3779</v>
      </c>
      <c r="B591" s="198" t="s">
        <v>336</v>
      </c>
      <c r="E591" s="198"/>
    </row>
    <row r="592" spans="1:5">
      <c r="B592" s="198" t="s">
        <v>336</v>
      </c>
      <c r="E592" s="198"/>
    </row>
    <row r="593" spans="1:5">
      <c r="B593" s="198" t="s">
        <v>336</v>
      </c>
      <c r="E593" s="198"/>
    </row>
    <row r="594" spans="1:5">
      <c r="B594" s="198" t="s">
        <v>336</v>
      </c>
      <c r="E594" s="198"/>
    </row>
    <row r="595" spans="1:5">
      <c r="B595" s="198" t="s">
        <v>337</v>
      </c>
      <c r="E595" s="198"/>
    </row>
    <row r="596" spans="1:5">
      <c r="A596" t="s">
        <v>2948</v>
      </c>
      <c r="B596" s="198" t="s">
        <v>338</v>
      </c>
      <c r="E596" s="198"/>
    </row>
    <row r="597" spans="1:5">
      <c r="B597" s="198" t="s">
        <v>339</v>
      </c>
      <c r="E597" s="198"/>
    </row>
    <row r="598" spans="1:5">
      <c r="B598" s="198" t="s">
        <v>339</v>
      </c>
      <c r="E598" s="198"/>
    </row>
    <row r="599" spans="1:5">
      <c r="B599" s="198" t="s">
        <v>339</v>
      </c>
      <c r="E599" s="198"/>
    </row>
    <row r="600" spans="1:5">
      <c r="B600" s="198" t="s">
        <v>340</v>
      </c>
      <c r="E600" s="198"/>
    </row>
    <row r="601" spans="1:5">
      <c r="B601" s="198" t="s">
        <v>341</v>
      </c>
      <c r="E601" s="198"/>
    </row>
    <row r="602" spans="1:5">
      <c r="A602" t="s">
        <v>2764</v>
      </c>
      <c r="B602" s="198" t="s">
        <v>2405</v>
      </c>
      <c r="E602" s="198"/>
    </row>
    <row r="603" spans="1:5">
      <c r="A603" t="s">
        <v>2765</v>
      </c>
      <c r="B603" s="198" t="s">
        <v>2405</v>
      </c>
      <c r="E603" s="198"/>
    </row>
    <row r="604" spans="1:5">
      <c r="A604" t="s">
        <v>2356</v>
      </c>
      <c r="B604" s="198" t="s">
        <v>2405</v>
      </c>
      <c r="E604" s="198"/>
    </row>
    <row r="605" spans="1:5">
      <c r="A605" t="s">
        <v>2357</v>
      </c>
      <c r="B605" s="198" t="s">
        <v>2405</v>
      </c>
      <c r="E605" s="198"/>
    </row>
    <row r="606" spans="1:5">
      <c r="A606" t="s">
        <v>2358</v>
      </c>
      <c r="B606" s="198" t="s">
        <v>2405</v>
      </c>
      <c r="E606" s="198"/>
    </row>
    <row r="607" spans="1:5">
      <c r="A607" t="s">
        <v>2359</v>
      </c>
      <c r="B607" s="198" t="s">
        <v>2405</v>
      </c>
      <c r="E607" s="198"/>
    </row>
    <row r="608" spans="1:5">
      <c r="A608" t="s">
        <v>2653</v>
      </c>
      <c r="B608" s="198" t="s">
        <v>2405</v>
      </c>
      <c r="E608" s="198"/>
    </row>
    <row r="609" spans="1:5">
      <c r="A609" t="s">
        <v>2654</v>
      </c>
      <c r="B609" s="198" t="s">
        <v>2405</v>
      </c>
      <c r="E609" s="198"/>
    </row>
    <row r="610" spans="1:5">
      <c r="A610" t="s">
        <v>2655</v>
      </c>
      <c r="B610" s="198" t="s">
        <v>2405</v>
      </c>
      <c r="E610" s="198"/>
    </row>
    <row r="611" spans="1:5">
      <c r="A611" t="s">
        <v>2952</v>
      </c>
      <c r="B611" s="198" t="s">
        <v>2405</v>
      </c>
      <c r="E611" s="198"/>
    </row>
    <row r="612" spans="1:5">
      <c r="A612" t="s">
        <v>2953</v>
      </c>
      <c r="B612" s="198" t="s">
        <v>2405</v>
      </c>
      <c r="E612" s="198"/>
    </row>
    <row r="613" spans="1:5">
      <c r="B613" s="198" t="s">
        <v>2405</v>
      </c>
      <c r="E613" s="198"/>
    </row>
    <row r="614" spans="1:5">
      <c r="A614" t="s">
        <v>2949</v>
      </c>
      <c r="B614" s="198" t="s">
        <v>2405</v>
      </c>
      <c r="E614" s="198"/>
    </row>
    <row r="615" spans="1:5">
      <c r="A615" t="s">
        <v>2950</v>
      </c>
      <c r="B615" s="198" t="s">
        <v>2405</v>
      </c>
      <c r="E615" s="198"/>
    </row>
    <row r="616" spans="1:5">
      <c r="A616" t="s">
        <v>2951</v>
      </c>
      <c r="B616" s="198" t="s">
        <v>2405</v>
      </c>
      <c r="E616" s="198"/>
    </row>
    <row r="617" spans="1:5">
      <c r="A617" t="s">
        <v>3271</v>
      </c>
      <c r="B617" s="198" t="s">
        <v>2405</v>
      </c>
      <c r="E617" s="198"/>
    </row>
    <row r="618" spans="1:5">
      <c r="A618" t="s">
        <v>3272</v>
      </c>
      <c r="B618" s="198" t="s">
        <v>2405</v>
      </c>
      <c r="E618" s="198"/>
    </row>
    <row r="619" spans="1:5">
      <c r="A619" t="s">
        <v>3273</v>
      </c>
      <c r="B619" s="198" t="s">
        <v>2405</v>
      </c>
      <c r="E619" s="198"/>
    </row>
    <row r="620" spans="1:5">
      <c r="B620" s="198"/>
      <c r="E620" s="198"/>
    </row>
    <row r="621" spans="1:5">
      <c r="A621" t="s">
        <v>2988</v>
      </c>
      <c r="B621" s="198" t="s">
        <v>342</v>
      </c>
      <c r="E621" s="198"/>
    </row>
    <row r="622" spans="1:5">
      <c r="A622" t="s">
        <v>3045</v>
      </c>
      <c r="B622" s="198" t="s">
        <v>342</v>
      </c>
      <c r="E622" s="198"/>
    </row>
    <row r="623" spans="1:5">
      <c r="A623" t="s">
        <v>3184</v>
      </c>
      <c r="B623" s="198" t="s">
        <v>343</v>
      </c>
      <c r="E623" s="198"/>
    </row>
    <row r="624" spans="1:5">
      <c r="A624" t="s">
        <v>3185</v>
      </c>
      <c r="B624" s="198" t="s">
        <v>343</v>
      </c>
      <c r="E624" s="198"/>
    </row>
    <row r="625" spans="1:5">
      <c r="A625" t="s">
        <v>678</v>
      </c>
      <c r="B625" s="198" t="s">
        <v>344</v>
      </c>
      <c r="E625" s="198"/>
    </row>
    <row r="626" spans="1:5">
      <c r="A626" t="s">
        <v>985</v>
      </c>
      <c r="B626" s="198" t="s">
        <v>344</v>
      </c>
      <c r="E626" s="198"/>
    </row>
    <row r="627" spans="1:5">
      <c r="A627" t="s">
        <v>1239</v>
      </c>
      <c r="B627" s="198" t="s">
        <v>344</v>
      </c>
      <c r="E627" s="198"/>
    </row>
    <row r="628" spans="1:5">
      <c r="A628" t="s">
        <v>3071</v>
      </c>
      <c r="B628" s="198" t="s">
        <v>344</v>
      </c>
      <c r="E628" s="198"/>
    </row>
    <row r="629" spans="1:5">
      <c r="A629" t="s">
        <v>3905</v>
      </c>
      <c r="B629" s="198" t="s">
        <v>344</v>
      </c>
      <c r="E629" s="198"/>
    </row>
    <row r="630" spans="1:5">
      <c r="A630" t="s">
        <v>3906</v>
      </c>
      <c r="B630" s="198" t="s">
        <v>344</v>
      </c>
      <c r="E630" s="198"/>
    </row>
    <row r="631" spans="1:5">
      <c r="A631" t="s">
        <v>3720</v>
      </c>
      <c r="B631" s="198" t="s">
        <v>345</v>
      </c>
      <c r="E631" s="198"/>
    </row>
    <row r="632" spans="1:5">
      <c r="A632" t="s">
        <v>706</v>
      </c>
      <c r="B632" s="198" t="s">
        <v>345</v>
      </c>
      <c r="E632" s="198"/>
    </row>
    <row r="633" spans="1:5">
      <c r="A633" t="s">
        <v>1983</v>
      </c>
      <c r="B633" s="198" t="s">
        <v>345</v>
      </c>
      <c r="E633" s="198"/>
    </row>
    <row r="634" spans="1:5">
      <c r="A634" t="s">
        <v>1984</v>
      </c>
      <c r="B634" s="198" t="s">
        <v>345</v>
      </c>
      <c r="E634" s="198"/>
    </row>
    <row r="635" spans="1:5">
      <c r="A635" t="s">
        <v>1985</v>
      </c>
      <c r="B635" s="198" t="s">
        <v>345</v>
      </c>
      <c r="E635" s="198"/>
    </row>
    <row r="636" spans="1:5">
      <c r="A636" t="s">
        <v>1986</v>
      </c>
      <c r="B636" s="198" t="s">
        <v>345</v>
      </c>
      <c r="E636" s="198"/>
    </row>
    <row r="637" spans="1:5">
      <c r="A637" t="s">
        <v>807</v>
      </c>
      <c r="B637" s="198" t="s">
        <v>345</v>
      </c>
      <c r="E637" s="198"/>
    </row>
    <row r="638" spans="1:5">
      <c r="A638" t="s">
        <v>1987</v>
      </c>
      <c r="B638" s="198" t="s">
        <v>345</v>
      </c>
      <c r="E638" s="198"/>
    </row>
    <row r="639" spans="1:5">
      <c r="A639" t="s">
        <v>1988</v>
      </c>
      <c r="B639" s="198" t="s">
        <v>345</v>
      </c>
      <c r="E639" s="198"/>
    </row>
    <row r="640" spans="1:5">
      <c r="A640" t="s">
        <v>1982</v>
      </c>
      <c r="B640" s="198" t="s">
        <v>346</v>
      </c>
      <c r="E640" s="198"/>
    </row>
    <row r="641" spans="1:5">
      <c r="A641" t="s">
        <v>3274</v>
      </c>
      <c r="B641" s="198" t="s">
        <v>346</v>
      </c>
      <c r="E641" s="198"/>
    </row>
    <row r="642" spans="1:5">
      <c r="A642" t="s">
        <v>2450</v>
      </c>
      <c r="B642" s="198" t="s">
        <v>346</v>
      </c>
      <c r="E642" s="198"/>
    </row>
    <row r="643" spans="1:5">
      <c r="A643" t="s">
        <v>3721</v>
      </c>
      <c r="B643" s="198" t="s">
        <v>346</v>
      </c>
      <c r="E643" s="198"/>
    </row>
    <row r="644" spans="1:5">
      <c r="B644" s="198" t="s">
        <v>346</v>
      </c>
      <c r="E644" s="198"/>
    </row>
    <row r="645" spans="1:5">
      <c r="B645" s="198"/>
      <c r="E645" s="198"/>
    </row>
    <row r="646" spans="1:5">
      <c r="A646" t="s">
        <v>3275</v>
      </c>
      <c r="B646" s="198" t="s">
        <v>3260</v>
      </c>
      <c r="E646" s="198"/>
    </row>
    <row r="647" spans="1:5">
      <c r="A647" t="s">
        <v>3662</v>
      </c>
      <c r="B647" s="198" t="s">
        <v>3260</v>
      </c>
      <c r="E647" s="198"/>
    </row>
    <row r="648" spans="1:5">
      <c r="A648" t="s">
        <v>3663</v>
      </c>
      <c r="B648" s="198" t="s">
        <v>3260</v>
      </c>
      <c r="E648" s="198"/>
    </row>
    <row r="649" spans="1:5">
      <c r="A649" t="s">
        <v>3276</v>
      </c>
      <c r="B649" s="198" t="s">
        <v>3261</v>
      </c>
      <c r="E649" s="198"/>
    </row>
    <row r="650" spans="1:5">
      <c r="A650" t="s">
        <v>3277</v>
      </c>
      <c r="B650" s="198" t="s">
        <v>3261</v>
      </c>
      <c r="E650" s="198"/>
    </row>
    <row r="651" spans="1:5">
      <c r="B651" s="198"/>
      <c r="E651" s="198"/>
    </row>
    <row r="652" spans="1:5">
      <c r="A652" t="s">
        <v>3278</v>
      </c>
      <c r="B652" s="198" t="s">
        <v>3262</v>
      </c>
      <c r="E652" s="198"/>
    </row>
    <row r="653" spans="1:5">
      <c r="A653" t="s">
        <v>3279</v>
      </c>
      <c r="B653" s="198" t="s">
        <v>3262</v>
      </c>
      <c r="E653" s="198"/>
    </row>
    <row r="654" spans="1:5">
      <c r="A654" t="s">
        <v>3417</v>
      </c>
      <c r="B654" s="198" t="s">
        <v>3262</v>
      </c>
      <c r="E654" s="198"/>
    </row>
    <row r="655" spans="1:5">
      <c r="A655" t="s">
        <v>3643</v>
      </c>
      <c r="B655" s="198" t="s">
        <v>3262</v>
      </c>
      <c r="E655" s="198"/>
    </row>
    <row r="656" spans="1:5">
      <c r="A656" t="s">
        <v>3644</v>
      </c>
      <c r="B656" s="198" t="s">
        <v>3262</v>
      </c>
      <c r="E656" s="198"/>
    </row>
    <row r="657" spans="1:5">
      <c r="A657" t="s">
        <v>4144</v>
      </c>
      <c r="B657" s="198" t="s">
        <v>3262</v>
      </c>
      <c r="E657" s="198"/>
    </row>
    <row r="658" spans="1:5">
      <c r="A658" t="s">
        <v>4161</v>
      </c>
      <c r="B658" s="198" t="s">
        <v>3262</v>
      </c>
      <c r="E658" s="198"/>
    </row>
    <row r="659" spans="1:5">
      <c r="A659" t="s">
        <v>4094</v>
      </c>
      <c r="B659" s="198" t="s">
        <v>3262</v>
      </c>
      <c r="E659" s="198"/>
    </row>
    <row r="660" spans="1:5">
      <c r="A660" t="s">
        <v>4095</v>
      </c>
      <c r="B660" s="198" t="s">
        <v>3262</v>
      </c>
      <c r="E660" s="198"/>
    </row>
    <row r="661" spans="1:5">
      <c r="A661" t="s">
        <v>4173</v>
      </c>
      <c r="B661" s="198" t="s">
        <v>3263</v>
      </c>
      <c r="E661" s="198"/>
    </row>
    <row r="662" spans="1:5">
      <c r="A662" t="s">
        <v>4181</v>
      </c>
      <c r="B662" s="198" t="s">
        <v>3263</v>
      </c>
      <c r="E662" s="198"/>
    </row>
    <row r="663" spans="1:5">
      <c r="A663" t="s">
        <v>4182</v>
      </c>
      <c r="B663" s="198" t="s">
        <v>3263</v>
      </c>
      <c r="E663" s="198"/>
    </row>
    <row r="664" spans="1:5">
      <c r="A664" t="s">
        <v>3280</v>
      </c>
      <c r="B664" s="198" t="s">
        <v>3263</v>
      </c>
      <c r="E664" s="198"/>
    </row>
    <row r="665" spans="1:5">
      <c r="A665" t="s">
        <v>3281</v>
      </c>
      <c r="B665" s="198" t="s">
        <v>3263</v>
      </c>
      <c r="E665" s="198"/>
    </row>
    <row r="666" spans="1:5">
      <c r="A666" t="s">
        <v>3375</v>
      </c>
      <c r="B666" s="198" t="s">
        <v>3263</v>
      </c>
      <c r="E666" s="198"/>
    </row>
    <row r="667" spans="1:5">
      <c r="A667" t="s">
        <v>3376</v>
      </c>
      <c r="B667" s="198" t="s">
        <v>3263</v>
      </c>
      <c r="E667" s="198"/>
    </row>
    <row r="668" spans="1:5">
      <c r="A668" t="s">
        <v>4215</v>
      </c>
      <c r="B668" s="198" t="s">
        <v>3263</v>
      </c>
      <c r="E668" s="198"/>
    </row>
    <row r="669" spans="1:5">
      <c r="B669" s="198" t="s">
        <v>347</v>
      </c>
      <c r="E669" s="198"/>
    </row>
    <row r="670" spans="1:5">
      <c r="B670" s="198" t="s">
        <v>348</v>
      </c>
      <c r="E670" s="198"/>
    </row>
    <row r="671" spans="1:5">
      <c r="B671" s="198" t="s">
        <v>349</v>
      </c>
      <c r="E671" s="198"/>
    </row>
    <row r="672" spans="1:5">
      <c r="B672" s="198" t="s">
        <v>350</v>
      </c>
      <c r="E672" s="198"/>
    </row>
    <row r="673" spans="1:5">
      <c r="A673" t="s">
        <v>1240</v>
      </c>
      <c r="B673" s="198" t="s">
        <v>351</v>
      </c>
      <c r="E673" s="198"/>
    </row>
    <row r="674" spans="1:5">
      <c r="A674" t="s">
        <v>1666</v>
      </c>
      <c r="B674" s="198" t="s">
        <v>351</v>
      </c>
      <c r="E674" s="198"/>
    </row>
    <row r="675" spans="1:5">
      <c r="A675" t="s">
        <v>2656</v>
      </c>
      <c r="B675" s="198" t="s">
        <v>351</v>
      </c>
      <c r="E675" s="198"/>
    </row>
    <row r="676" spans="1:5">
      <c r="B676" s="198" t="s">
        <v>351</v>
      </c>
      <c r="E676" s="198"/>
    </row>
    <row r="677" spans="1:5">
      <c r="B677" s="198"/>
      <c r="E677" s="198"/>
    </row>
    <row r="678" spans="1:5">
      <c r="A678" t="s">
        <v>1022</v>
      </c>
      <c r="B678" s="198" t="s">
        <v>352</v>
      </c>
      <c r="E678" s="198"/>
    </row>
    <row r="679" spans="1:5">
      <c r="A679" t="s">
        <v>2021</v>
      </c>
      <c r="B679" s="198" t="s">
        <v>352</v>
      </c>
      <c r="E679" s="198"/>
    </row>
    <row r="680" spans="1:5">
      <c r="A680" t="s">
        <v>1023</v>
      </c>
      <c r="B680" s="198" t="s">
        <v>352</v>
      </c>
      <c r="E680" s="198"/>
    </row>
    <row r="681" spans="1:5">
      <c r="A681" t="s">
        <v>1241</v>
      </c>
      <c r="B681" s="198" t="s">
        <v>352</v>
      </c>
      <c r="E681" s="198"/>
    </row>
    <row r="682" spans="1:5">
      <c r="A682" t="s">
        <v>4116</v>
      </c>
      <c r="B682" s="198" t="s">
        <v>352</v>
      </c>
      <c r="E682" s="198"/>
    </row>
    <row r="683" spans="1:5">
      <c r="A683" t="s">
        <v>4117</v>
      </c>
      <c r="B683" s="198" t="s">
        <v>352</v>
      </c>
      <c r="E683" s="198"/>
    </row>
    <row r="684" spans="1:5">
      <c r="A684" t="s">
        <v>1343</v>
      </c>
      <c r="B684" s="198" t="s">
        <v>352</v>
      </c>
      <c r="E684" s="198"/>
    </row>
    <row r="685" spans="1:5">
      <c r="B685" s="198" t="s">
        <v>352</v>
      </c>
      <c r="E685" s="198"/>
    </row>
    <row r="686" spans="1:5">
      <c r="B686" s="198" t="s">
        <v>352</v>
      </c>
      <c r="E686" s="198"/>
    </row>
    <row r="687" spans="1:5">
      <c r="B687" s="198" t="s">
        <v>352</v>
      </c>
      <c r="E687" s="198"/>
    </row>
    <row r="688" spans="1:5">
      <c r="A688" t="s">
        <v>1242</v>
      </c>
      <c r="B688" s="198" t="s">
        <v>353</v>
      </c>
      <c r="E688" s="198"/>
    </row>
    <row r="689" spans="1:5">
      <c r="A689" t="s">
        <v>989</v>
      </c>
      <c r="B689" s="198" t="s">
        <v>353</v>
      </c>
      <c r="E689" s="198"/>
    </row>
    <row r="690" spans="1:5">
      <c r="A690" t="s">
        <v>2314</v>
      </c>
      <c r="B690" s="198" t="s">
        <v>353</v>
      </c>
      <c r="E690" s="198"/>
    </row>
    <row r="691" spans="1:5">
      <c r="B691" s="198" t="s">
        <v>353</v>
      </c>
      <c r="E691" s="198"/>
    </row>
    <row r="692" spans="1:5">
      <c r="B692" s="198" t="s">
        <v>353</v>
      </c>
      <c r="E692" s="198"/>
    </row>
    <row r="693" spans="1:5">
      <c r="A693" t="s">
        <v>1344</v>
      </c>
      <c r="B693" s="198" t="s">
        <v>354</v>
      </c>
      <c r="E693" s="198"/>
    </row>
    <row r="694" spans="1:5">
      <c r="A694" t="s">
        <v>1667</v>
      </c>
      <c r="B694" s="198" t="s">
        <v>354</v>
      </c>
      <c r="E694" s="198"/>
    </row>
    <row r="695" spans="1:5">
      <c r="A695" t="s">
        <v>1243</v>
      </c>
      <c r="B695" s="198" t="s">
        <v>354</v>
      </c>
      <c r="E695" s="198"/>
    </row>
    <row r="696" spans="1:5">
      <c r="A696" t="s">
        <v>1345</v>
      </c>
      <c r="B696" s="198" t="s">
        <v>354</v>
      </c>
      <c r="E696" s="198"/>
    </row>
    <row r="697" spans="1:5">
      <c r="A697" t="s">
        <v>1346</v>
      </c>
      <c r="B697" s="198" t="s">
        <v>354</v>
      </c>
      <c r="E697" s="198"/>
    </row>
    <row r="698" spans="1:5">
      <c r="A698" t="s">
        <v>1244</v>
      </c>
      <c r="B698" s="198" t="s">
        <v>354</v>
      </c>
      <c r="E698" s="198"/>
    </row>
    <row r="699" spans="1:5">
      <c r="A699" t="s">
        <v>1245</v>
      </c>
      <c r="B699" s="198" t="s">
        <v>354</v>
      </c>
      <c r="E699" s="198"/>
    </row>
    <row r="700" spans="1:5">
      <c r="A700" t="s">
        <v>1024</v>
      </c>
      <c r="B700" s="198" t="s">
        <v>354</v>
      </c>
      <c r="E700" s="198"/>
    </row>
    <row r="701" spans="1:5">
      <c r="A701" t="s">
        <v>1347</v>
      </c>
      <c r="B701" s="198" t="s">
        <v>354</v>
      </c>
      <c r="E701" s="198"/>
    </row>
    <row r="702" spans="1:5">
      <c r="A702" t="s">
        <v>2860</v>
      </c>
      <c r="B702" s="198" t="s">
        <v>354</v>
      </c>
      <c r="E702" s="198"/>
    </row>
    <row r="703" spans="1:5">
      <c r="A703" t="s">
        <v>3282</v>
      </c>
      <c r="B703" s="198" t="s">
        <v>354</v>
      </c>
      <c r="E703" s="198"/>
    </row>
    <row r="704" spans="1:5">
      <c r="B704" s="198"/>
      <c r="E704" s="198"/>
    </row>
    <row r="705" spans="1:5">
      <c r="A705" t="s">
        <v>1267</v>
      </c>
      <c r="B705" s="198" t="s">
        <v>355</v>
      </c>
      <c r="E705" s="198"/>
    </row>
    <row r="706" spans="1:5">
      <c r="A706" t="s">
        <v>1268</v>
      </c>
      <c r="B706" s="198" t="s">
        <v>355</v>
      </c>
      <c r="E706" s="198"/>
    </row>
    <row r="707" spans="1:5">
      <c r="A707" t="s">
        <v>1336</v>
      </c>
      <c r="B707" s="198" t="s">
        <v>355</v>
      </c>
      <c r="E707" s="198"/>
    </row>
    <row r="708" spans="1:5">
      <c r="A708" t="s">
        <v>1269</v>
      </c>
      <c r="B708" s="198" t="s">
        <v>355</v>
      </c>
      <c r="E708" s="198"/>
    </row>
    <row r="709" spans="1:5">
      <c r="A709" t="s">
        <v>1270</v>
      </c>
      <c r="B709" s="198" t="s">
        <v>355</v>
      </c>
      <c r="E709" s="198"/>
    </row>
    <row r="710" spans="1:5">
      <c r="A710" t="s">
        <v>1271</v>
      </c>
      <c r="B710" s="198" t="s">
        <v>355</v>
      </c>
      <c r="E710" s="198"/>
    </row>
    <row r="711" spans="1:5">
      <c r="A711" t="s">
        <v>1272</v>
      </c>
      <c r="B711" s="198" t="s">
        <v>355</v>
      </c>
      <c r="E711" s="198"/>
    </row>
    <row r="712" spans="1:5">
      <c r="A712" t="s">
        <v>1337</v>
      </c>
      <c r="B712" s="198" t="s">
        <v>355</v>
      </c>
      <c r="E712" s="198"/>
    </row>
    <row r="713" spans="1:5">
      <c r="A713" t="s">
        <v>3072</v>
      </c>
      <c r="B713" s="198" t="s">
        <v>355</v>
      </c>
      <c r="E713" s="198"/>
    </row>
    <row r="714" spans="1:5">
      <c r="A714" t="s">
        <v>1338</v>
      </c>
      <c r="B714" s="198" t="s">
        <v>355</v>
      </c>
      <c r="E714" s="198"/>
    </row>
    <row r="715" spans="1:5">
      <c r="A715" t="s">
        <v>1339</v>
      </c>
      <c r="B715" s="198" t="s">
        <v>355</v>
      </c>
      <c r="E715" s="198"/>
    </row>
    <row r="716" spans="1:5">
      <c r="A716" t="s">
        <v>1273</v>
      </c>
      <c r="B716" s="198" t="s">
        <v>355</v>
      </c>
      <c r="E716" s="198"/>
    </row>
    <row r="717" spans="1:5">
      <c r="A717" t="s">
        <v>3073</v>
      </c>
      <c r="B717" s="198" t="s">
        <v>355</v>
      </c>
      <c r="E717" s="198"/>
    </row>
    <row r="718" spans="1:5">
      <c r="A718" t="s">
        <v>1340</v>
      </c>
      <c r="B718" s="198" t="s">
        <v>355</v>
      </c>
      <c r="E718" s="198"/>
    </row>
    <row r="719" spans="1:5">
      <c r="A719" t="s">
        <v>3074</v>
      </c>
      <c r="B719" s="198" t="s">
        <v>355</v>
      </c>
      <c r="E719" s="198"/>
    </row>
    <row r="720" spans="1:5">
      <c r="A720" t="s">
        <v>1341</v>
      </c>
      <c r="B720" s="198" t="s">
        <v>355</v>
      </c>
      <c r="E720" s="198"/>
    </row>
    <row r="721" spans="1:5">
      <c r="A721" t="s">
        <v>1348</v>
      </c>
      <c r="B721" s="198" t="s">
        <v>355</v>
      </c>
      <c r="E721" s="198"/>
    </row>
    <row r="722" spans="1:5">
      <c r="A722" t="s">
        <v>1670</v>
      </c>
      <c r="B722" s="198" t="s">
        <v>355</v>
      </c>
      <c r="E722" s="198"/>
    </row>
    <row r="723" spans="1:5">
      <c r="A723" t="s">
        <v>3075</v>
      </c>
      <c r="B723" s="198" t="s">
        <v>355</v>
      </c>
      <c r="E723" s="198"/>
    </row>
    <row r="724" spans="1:5">
      <c r="A724" t="s">
        <v>1672</v>
      </c>
      <c r="B724" s="198" t="s">
        <v>355</v>
      </c>
      <c r="E724" s="198"/>
    </row>
    <row r="725" spans="1:5">
      <c r="A725" t="s">
        <v>1274</v>
      </c>
      <c r="B725" s="198" t="s">
        <v>355</v>
      </c>
      <c r="E725" s="198"/>
    </row>
    <row r="726" spans="1:5">
      <c r="A726" t="s">
        <v>2022</v>
      </c>
      <c r="B726" s="198" t="s">
        <v>355</v>
      </c>
      <c r="E726" s="198"/>
    </row>
    <row r="727" spans="1:5">
      <c r="A727" t="s">
        <v>859</v>
      </c>
      <c r="B727" s="198" t="s">
        <v>355</v>
      </c>
      <c r="E727" s="198"/>
    </row>
    <row r="728" spans="1:5">
      <c r="A728" t="s">
        <v>1673</v>
      </c>
      <c r="B728" s="198" t="s">
        <v>355</v>
      </c>
      <c r="E728" s="198"/>
    </row>
    <row r="729" spans="1:5">
      <c r="A729" t="s">
        <v>2023</v>
      </c>
      <c r="B729" s="198" t="s">
        <v>356</v>
      </c>
      <c r="E729" s="198"/>
    </row>
    <row r="730" spans="1:5">
      <c r="A730" t="s">
        <v>4195</v>
      </c>
      <c r="B730" s="198" t="s">
        <v>356</v>
      </c>
      <c r="E730" s="198"/>
    </row>
    <row r="731" spans="1:5">
      <c r="A731" t="s">
        <v>2571</v>
      </c>
      <c r="B731" s="198" t="s">
        <v>356</v>
      </c>
      <c r="E731" s="198"/>
    </row>
    <row r="732" spans="1:5">
      <c r="A732" t="s">
        <v>3186</v>
      </c>
      <c r="B732" s="198" t="s">
        <v>356</v>
      </c>
      <c r="E732" s="198"/>
    </row>
    <row r="733" spans="1:5">
      <c r="A733" t="s">
        <v>3187</v>
      </c>
      <c r="B733" s="198" t="s">
        <v>356</v>
      </c>
      <c r="E733" s="198"/>
    </row>
    <row r="734" spans="1:5">
      <c r="A734" t="s">
        <v>2024</v>
      </c>
      <c r="B734" s="198" t="s">
        <v>356</v>
      </c>
      <c r="E734" s="198"/>
    </row>
    <row r="735" spans="1:5">
      <c r="A735" t="s">
        <v>1671</v>
      </c>
      <c r="B735" s="198" t="s">
        <v>356</v>
      </c>
      <c r="E735" s="198"/>
    </row>
    <row r="736" spans="1:5">
      <c r="A736" t="s">
        <v>1669</v>
      </c>
      <c r="B736" s="198" t="s">
        <v>356</v>
      </c>
      <c r="E736" s="198"/>
    </row>
    <row r="737" spans="1:5">
      <c r="A737" t="s">
        <v>2025</v>
      </c>
      <c r="B737" s="198" t="s">
        <v>356</v>
      </c>
      <c r="E737" s="198"/>
    </row>
    <row r="738" spans="1:5">
      <c r="A738" t="s">
        <v>3283</v>
      </c>
      <c r="B738" s="198" t="s">
        <v>356</v>
      </c>
      <c r="E738" s="198"/>
    </row>
    <row r="739" spans="1:5">
      <c r="A739" t="s">
        <v>3188</v>
      </c>
      <c r="B739" s="198" t="s">
        <v>356</v>
      </c>
      <c r="E739" s="198"/>
    </row>
    <row r="740" spans="1:5">
      <c r="A740" t="s">
        <v>1674</v>
      </c>
      <c r="B740" s="198" t="s">
        <v>356</v>
      </c>
      <c r="E740" s="198"/>
    </row>
    <row r="741" spans="1:5">
      <c r="A741" t="s">
        <v>3189</v>
      </c>
      <c r="B741" s="198" t="s">
        <v>356</v>
      </c>
      <c r="E741" s="198"/>
    </row>
    <row r="742" spans="1:5">
      <c r="A742" t="s">
        <v>2572</v>
      </c>
      <c r="B742" s="198" t="s">
        <v>356</v>
      </c>
      <c r="E742" s="198"/>
    </row>
    <row r="743" spans="1:5">
      <c r="A743" t="s">
        <v>1349</v>
      </c>
      <c r="B743" s="198" t="s">
        <v>356</v>
      </c>
      <c r="E743" s="198"/>
    </row>
    <row r="744" spans="1:5">
      <c r="A744" t="s">
        <v>2573</v>
      </c>
      <c r="B744" s="198" t="s">
        <v>356</v>
      </c>
      <c r="E744" s="198"/>
    </row>
    <row r="745" spans="1:5">
      <c r="A745" t="s">
        <v>1668</v>
      </c>
      <c r="B745" s="198" t="s">
        <v>356</v>
      </c>
      <c r="E745" s="198"/>
    </row>
    <row r="746" spans="1:5">
      <c r="A746" t="s">
        <v>2026</v>
      </c>
      <c r="B746" s="198" t="s">
        <v>356</v>
      </c>
      <c r="E746" s="198"/>
    </row>
    <row r="747" spans="1:5">
      <c r="A747" t="s">
        <v>2027</v>
      </c>
      <c r="B747" s="198" t="s">
        <v>356</v>
      </c>
      <c r="E747" s="198"/>
    </row>
    <row r="748" spans="1:5">
      <c r="A748" t="s">
        <v>2922</v>
      </c>
      <c r="B748" s="198" t="s">
        <v>356</v>
      </c>
      <c r="E748" s="198"/>
    </row>
    <row r="749" spans="1:5">
      <c r="A749" t="s">
        <v>2775</v>
      </c>
      <c r="B749" s="198" t="s">
        <v>356</v>
      </c>
      <c r="E749" s="198"/>
    </row>
    <row r="750" spans="1:5">
      <c r="A750" t="s">
        <v>2908</v>
      </c>
      <c r="B750" s="198" t="s">
        <v>356</v>
      </c>
      <c r="E750" s="198"/>
    </row>
    <row r="751" spans="1:5">
      <c r="A751" t="s">
        <v>2911</v>
      </c>
      <c r="B751" s="198" t="s">
        <v>356</v>
      </c>
      <c r="E751" s="198"/>
    </row>
    <row r="752" spans="1:5">
      <c r="A752" t="s">
        <v>2861</v>
      </c>
      <c r="B752" s="198" t="s">
        <v>356</v>
      </c>
      <c r="E752" s="198"/>
    </row>
    <row r="753" spans="1:5">
      <c r="A753" t="s">
        <v>2574</v>
      </c>
      <c r="B753" s="198" t="s">
        <v>356</v>
      </c>
      <c r="E753" s="198"/>
    </row>
    <row r="754" spans="1:5">
      <c r="A754" t="s">
        <v>2575</v>
      </c>
      <c r="B754" s="198" t="s">
        <v>356</v>
      </c>
      <c r="E754" s="198"/>
    </row>
    <row r="755" spans="1:5">
      <c r="A755" t="s">
        <v>2576</v>
      </c>
      <c r="B755" s="198" t="s">
        <v>356</v>
      </c>
      <c r="E755" s="198"/>
    </row>
    <row r="756" spans="1:5">
      <c r="A756" t="s">
        <v>2577</v>
      </c>
      <c r="B756" s="198" t="s">
        <v>356</v>
      </c>
      <c r="E756" s="198"/>
    </row>
    <row r="757" spans="1:5">
      <c r="A757" t="s">
        <v>2578</v>
      </c>
      <c r="B757" s="198" t="s">
        <v>356</v>
      </c>
      <c r="E757" s="198"/>
    </row>
    <row r="758" spans="1:5">
      <c r="A758" t="s">
        <v>3076</v>
      </c>
      <c r="B758" s="198" t="s">
        <v>356</v>
      </c>
      <c r="E758" s="198"/>
    </row>
    <row r="759" spans="1:5">
      <c r="A759" t="s">
        <v>3117</v>
      </c>
      <c r="B759" s="198" t="s">
        <v>356</v>
      </c>
      <c r="E759" s="198"/>
    </row>
    <row r="760" spans="1:5">
      <c r="A760" t="s">
        <v>3118</v>
      </c>
      <c r="B760" s="198" t="s">
        <v>356</v>
      </c>
      <c r="E760" s="198"/>
    </row>
    <row r="761" spans="1:5">
      <c r="A761" t="s">
        <v>3190</v>
      </c>
      <c r="B761" s="198" t="s">
        <v>356</v>
      </c>
      <c r="E761" s="198"/>
    </row>
    <row r="762" spans="1:5">
      <c r="A762" t="s">
        <v>3191</v>
      </c>
      <c r="B762" s="198" t="s">
        <v>356</v>
      </c>
      <c r="E762" s="198"/>
    </row>
    <row r="763" spans="1:5">
      <c r="A763" t="s">
        <v>3284</v>
      </c>
      <c r="B763" s="198" t="s">
        <v>356</v>
      </c>
      <c r="E763" s="198"/>
    </row>
    <row r="764" spans="1:5">
      <c r="A764" t="s">
        <v>3505</v>
      </c>
      <c r="B764" s="198" t="s">
        <v>356</v>
      </c>
      <c r="E764" s="198"/>
    </row>
    <row r="765" spans="1:5">
      <c r="A765" t="s">
        <v>3594</v>
      </c>
      <c r="B765" s="198" t="s">
        <v>356</v>
      </c>
      <c r="E765" s="198"/>
    </row>
    <row r="766" spans="1:5">
      <c r="A766" t="s">
        <v>3595</v>
      </c>
      <c r="B766" s="198" t="s">
        <v>356</v>
      </c>
      <c r="E766" s="198"/>
    </row>
    <row r="767" spans="1:5">
      <c r="A767" t="s">
        <v>3602</v>
      </c>
      <c r="B767" s="198" t="s">
        <v>356</v>
      </c>
      <c r="E767" s="198"/>
    </row>
    <row r="768" spans="1:5">
      <c r="A768" t="s">
        <v>3285</v>
      </c>
      <c r="B768" s="198" t="s">
        <v>356</v>
      </c>
      <c r="E768" s="198"/>
    </row>
    <row r="769" spans="1:5">
      <c r="A769" t="s">
        <v>3322</v>
      </c>
      <c r="B769" s="198" t="s">
        <v>356</v>
      </c>
      <c r="E769" s="198"/>
    </row>
    <row r="770" spans="1:5">
      <c r="A770" t="s">
        <v>3323</v>
      </c>
      <c r="B770" s="198" t="s">
        <v>356</v>
      </c>
      <c r="E770" s="198"/>
    </row>
    <row r="771" spans="1:5">
      <c r="A771" t="s">
        <v>3418</v>
      </c>
      <c r="B771" s="198" t="s">
        <v>356</v>
      </c>
      <c r="E771" s="198"/>
    </row>
    <row r="772" spans="1:5">
      <c r="A772" t="s">
        <v>3419</v>
      </c>
      <c r="B772" s="198" t="s">
        <v>356</v>
      </c>
      <c r="E772" s="198"/>
    </row>
    <row r="773" spans="1:5">
      <c r="A773" t="s">
        <v>3420</v>
      </c>
      <c r="B773" s="198" t="s">
        <v>356</v>
      </c>
      <c r="E773" s="198"/>
    </row>
    <row r="774" spans="1:5">
      <c r="A774" t="s">
        <v>3286</v>
      </c>
      <c r="B774" s="198" t="s">
        <v>357</v>
      </c>
      <c r="E774" s="198"/>
    </row>
    <row r="775" spans="1:5">
      <c r="A775" t="s">
        <v>2315</v>
      </c>
      <c r="B775" s="198" t="s">
        <v>357</v>
      </c>
      <c r="E775" s="198"/>
    </row>
    <row r="776" spans="1:5">
      <c r="A776" t="s">
        <v>3287</v>
      </c>
      <c r="B776" s="198" t="s">
        <v>357</v>
      </c>
      <c r="E776" s="198"/>
    </row>
    <row r="777" spans="1:5">
      <c r="A777" t="s">
        <v>3243</v>
      </c>
      <c r="B777" s="198" t="s">
        <v>357</v>
      </c>
      <c r="E777" s="198"/>
    </row>
    <row r="778" spans="1:5">
      <c r="A778" t="s">
        <v>3244</v>
      </c>
      <c r="B778" s="198" t="s">
        <v>357</v>
      </c>
      <c r="E778" s="198"/>
    </row>
    <row r="779" spans="1:5">
      <c r="A779" t="s">
        <v>3421</v>
      </c>
      <c r="B779" s="198" t="s">
        <v>357</v>
      </c>
      <c r="E779" s="198"/>
    </row>
    <row r="780" spans="1:5">
      <c r="A780" t="s">
        <v>2851</v>
      </c>
      <c r="B780" s="198" t="s">
        <v>357</v>
      </c>
      <c r="E780" s="198"/>
    </row>
    <row r="781" spans="1:5">
      <c r="A781" t="s">
        <v>2932</v>
      </c>
      <c r="B781" s="198" t="s">
        <v>357</v>
      </c>
      <c r="E781" s="198"/>
    </row>
    <row r="782" spans="1:5">
      <c r="A782" t="s">
        <v>2921</v>
      </c>
      <c r="B782" s="198" t="s">
        <v>357</v>
      </c>
      <c r="E782" s="198"/>
    </row>
    <row r="783" spans="1:5">
      <c r="A783" t="s">
        <v>3140</v>
      </c>
      <c r="B783" s="198" t="s">
        <v>357</v>
      </c>
      <c r="E783" s="198"/>
    </row>
    <row r="784" spans="1:5">
      <c r="A784" t="s">
        <v>4146</v>
      </c>
      <c r="B784" s="198" t="s">
        <v>357</v>
      </c>
      <c r="E784" s="198"/>
    </row>
    <row r="785" spans="1:5">
      <c r="A785" t="s">
        <v>4147</v>
      </c>
      <c r="B785" s="198" t="s">
        <v>357</v>
      </c>
      <c r="E785" s="198"/>
    </row>
    <row r="786" spans="1:5">
      <c r="A786" t="s">
        <v>4148</v>
      </c>
      <c r="B786" s="198" t="s">
        <v>357</v>
      </c>
      <c r="E786" s="198"/>
    </row>
    <row r="787" spans="1:5">
      <c r="A787" t="s">
        <v>4149</v>
      </c>
      <c r="B787" s="198" t="s">
        <v>357</v>
      </c>
      <c r="E787" s="198"/>
    </row>
    <row r="788" spans="1:5">
      <c r="A788" t="s">
        <v>2862</v>
      </c>
      <c r="B788" s="198" t="s">
        <v>357</v>
      </c>
      <c r="E788" s="198"/>
    </row>
    <row r="789" spans="1:5">
      <c r="A789" t="s">
        <v>3288</v>
      </c>
      <c r="B789" s="198" t="s">
        <v>357</v>
      </c>
      <c r="E789" s="198"/>
    </row>
    <row r="790" spans="1:5">
      <c r="A790" t="s">
        <v>2863</v>
      </c>
      <c r="B790" s="198" t="s">
        <v>357</v>
      </c>
      <c r="E790" s="198"/>
    </row>
    <row r="791" spans="1:5">
      <c r="A791" t="s">
        <v>2864</v>
      </c>
      <c r="B791" s="198" t="s">
        <v>357</v>
      </c>
      <c r="E791" s="198"/>
    </row>
    <row r="792" spans="1:5">
      <c r="A792" t="s">
        <v>3571</v>
      </c>
      <c r="B792" s="198" t="s">
        <v>357</v>
      </c>
      <c r="E792" s="198"/>
    </row>
    <row r="793" spans="1:5">
      <c r="A793" t="s">
        <v>3596</v>
      </c>
      <c r="B793" s="198" t="s">
        <v>357</v>
      </c>
      <c r="E793" s="198"/>
    </row>
    <row r="794" spans="1:5">
      <c r="A794" t="s">
        <v>3672</v>
      </c>
      <c r="B794" s="198" t="s">
        <v>357</v>
      </c>
      <c r="E794" s="198"/>
    </row>
    <row r="795" spans="1:5">
      <c r="A795" t="s">
        <v>3597</v>
      </c>
      <c r="B795" s="198" t="s">
        <v>357</v>
      </c>
      <c r="E795" s="198"/>
    </row>
    <row r="796" spans="1:5">
      <c r="A796" t="s">
        <v>3533</v>
      </c>
      <c r="B796" s="198" t="s">
        <v>3457</v>
      </c>
      <c r="E796" s="198"/>
    </row>
    <row r="797" spans="1:5">
      <c r="B797" s="198"/>
      <c r="E797" s="198"/>
    </row>
    <row r="798" spans="1:5">
      <c r="A798" t="s">
        <v>2069</v>
      </c>
      <c r="B798" s="198" t="s">
        <v>358</v>
      </c>
      <c r="E798" s="198"/>
    </row>
    <row r="799" spans="1:5">
      <c r="A799" t="s">
        <v>1630</v>
      </c>
      <c r="B799" s="198" t="s">
        <v>358</v>
      </c>
      <c r="E799" s="198"/>
    </row>
    <row r="800" spans="1:5">
      <c r="A800" t="s">
        <v>2070</v>
      </c>
      <c r="B800" s="198" t="s">
        <v>358</v>
      </c>
      <c r="E800" s="198"/>
    </row>
    <row r="801" spans="1:5">
      <c r="A801" t="s">
        <v>3780</v>
      </c>
      <c r="B801" s="198" t="s">
        <v>358</v>
      </c>
      <c r="E801" s="198"/>
    </row>
    <row r="802" spans="1:5">
      <c r="A802" t="s">
        <v>3781</v>
      </c>
      <c r="B802" s="198" t="s">
        <v>358</v>
      </c>
      <c r="E802" s="198"/>
    </row>
    <row r="803" spans="1:5">
      <c r="A803" t="s">
        <v>2579</v>
      </c>
      <c r="B803" s="198" t="s">
        <v>359</v>
      </c>
      <c r="E803" s="198"/>
    </row>
    <row r="804" spans="1:5">
      <c r="A804" t="s">
        <v>2718</v>
      </c>
      <c r="B804" s="198" t="s">
        <v>360</v>
      </c>
      <c r="E804" s="198"/>
    </row>
    <row r="805" spans="1:5">
      <c r="A805" t="s">
        <v>2719</v>
      </c>
      <c r="B805" s="198" t="s">
        <v>360</v>
      </c>
      <c r="E805" s="198"/>
    </row>
    <row r="806" spans="1:5">
      <c r="B806" s="198" t="s">
        <v>361</v>
      </c>
      <c r="E806" s="198"/>
    </row>
    <row r="807" spans="1:5">
      <c r="B807" s="198" t="s">
        <v>362</v>
      </c>
      <c r="E807" s="198"/>
    </row>
    <row r="808" spans="1:5">
      <c r="A808" t="s">
        <v>2064</v>
      </c>
      <c r="B808" s="198" t="s">
        <v>363</v>
      </c>
      <c r="E808" s="198"/>
    </row>
    <row r="809" spans="1:5">
      <c r="A809" t="s">
        <v>2065</v>
      </c>
      <c r="B809" s="198" t="s">
        <v>363</v>
      </c>
      <c r="E809" s="198"/>
    </row>
    <row r="810" spans="1:5">
      <c r="A810" t="s">
        <v>1631</v>
      </c>
      <c r="B810" s="198" t="s">
        <v>363</v>
      </c>
      <c r="E810" s="198"/>
    </row>
    <row r="811" spans="1:5">
      <c r="A811" t="s">
        <v>2066</v>
      </c>
      <c r="B811" s="198" t="s">
        <v>363</v>
      </c>
      <c r="E811" s="198"/>
    </row>
    <row r="812" spans="1:5">
      <c r="A812" t="s">
        <v>2067</v>
      </c>
      <c r="B812" s="198" t="s">
        <v>363</v>
      </c>
      <c r="E812" s="198"/>
    </row>
    <row r="813" spans="1:5">
      <c r="A813" t="s">
        <v>2068</v>
      </c>
      <c r="B813" s="198" t="s">
        <v>363</v>
      </c>
      <c r="E813" s="198"/>
    </row>
    <row r="814" spans="1:5">
      <c r="A814" t="s">
        <v>1633</v>
      </c>
      <c r="B814" s="198" t="s">
        <v>364</v>
      </c>
      <c r="E814" s="198"/>
    </row>
    <row r="815" spans="1:5">
      <c r="A815" t="s">
        <v>3782</v>
      </c>
      <c r="B815" s="198" t="s">
        <v>364</v>
      </c>
      <c r="E815" s="198"/>
    </row>
    <row r="816" spans="1:5">
      <c r="A816" t="s">
        <v>3233</v>
      </c>
      <c r="B816" s="198" t="s">
        <v>365</v>
      </c>
      <c r="E816" s="198"/>
    </row>
    <row r="817" spans="1:7">
      <c r="A817" t="s">
        <v>2071</v>
      </c>
      <c r="B817" s="198" t="s">
        <v>365</v>
      </c>
      <c r="E817" s="198"/>
      <c r="G817" s="198"/>
    </row>
    <row r="818" spans="1:7">
      <c r="A818" t="s">
        <v>3534</v>
      </c>
      <c r="B818" s="198" t="s">
        <v>365</v>
      </c>
      <c r="E818" s="198"/>
      <c r="G818" s="198"/>
    </row>
    <row r="819" spans="1:7">
      <c r="A819" t="s">
        <v>3192</v>
      </c>
      <c r="B819" s="198" t="s">
        <v>366</v>
      </c>
      <c r="E819" s="198"/>
      <c r="G819" s="198"/>
    </row>
    <row r="820" spans="1:7">
      <c r="A820" t="s">
        <v>2170</v>
      </c>
      <c r="B820" s="198" t="s">
        <v>366</v>
      </c>
      <c r="E820" s="198"/>
      <c r="G820" s="198"/>
    </row>
    <row r="821" spans="1:7">
      <c r="A821" t="s">
        <v>3490</v>
      </c>
      <c r="B821" s="198" t="s">
        <v>366</v>
      </c>
      <c r="E821" s="198"/>
      <c r="G821" s="198"/>
    </row>
    <row r="822" spans="1:7">
      <c r="A822" t="s">
        <v>3603</v>
      </c>
      <c r="B822" s="198" t="s">
        <v>366</v>
      </c>
      <c r="E822" s="198"/>
      <c r="G822" s="198"/>
    </row>
    <row r="823" spans="1:7">
      <c r="A823" t="s">
        <v>3783</v>
      </c>
      <c r="B823" s="198" t="s">
        <v>366</v>
      </c>
      <c r="E823" s="198"/>
      <c r="G823" s="198"/>
    </row>
    <row r="824" spans="1:7">
      <c r="A824" t="s">
        <v>3422</v>
      </c>
      <c r="B824" s="198" t="s">
        <v>366</v>
      </c>
      <c r="E824" s="198"/>
      <c r="G824" s="198"/>
    </row>
    <row r="825" spans="1:7">
      <c r="A825" t="s">
        <v>3324</v>
      </c>
      <c r="B825" s="198" t="s">
        <v>366</v>
      </c>
      <c r="E825" s="198"/>
      <c r="G825" s="198"/>
    </row>
    <row r="826" spans="1:7">
      <c r="A826" t="s">
        <v>2316</v>
      </c>
      <c r="B826" s="198" t="s">
        <v>366</v>
      </c>
      <c r="E826" s="198"/>
      <c r="G826" s="198"/>
    </row>
    <row r="827" spans="1:7">
      <c r="A827" t="s">
        <v>2291</v>
      </c>
      <c r="B827" s="198" t="s">
        <v>366</v>
      </c>
      <c r="E827" s="198"/>
      <c r="G827" s="198"/>
    </row>
    <row r="828" spans="1:7">
      <c r="A828" t="s">
        <v>3784</v>
      </c>
      <c r="B828" s="198" t="s">
        <v>366</v>
      </c>
      <c r="E828" s="198"/>
      <c r="G828" s="198"/>
    </row>
    <row r="829" spans="1:7">
      <c r="A829" t="s">
        <v>3785</v>
      </c>
      <c r="B829" s="198" t="s">
        <v>366</v>
      </c>
      <c r="E829" s="198"/>
      <c r="G829" s="198"/>
    </row>
    <row r="830" spans="1:7">
      <c r="A830" t="s">
        <v>3535</v>
      </c>
      <c r="B830" s="198" t="s">
        <v>366</v>
      </c>
      <c r="E830" s="198"/>
      <c r="G830" s="198"/>
    </row>
    <row r="831" spans="1:7">
      <c r="A831" t="s">
        <v>3536</v>
      </c>
      <c r="B831" s="198" t="s">
        <v>366</v>
      </c>
      <c r="E831" s="198"/>
      <c r="G831" s="198"/>
    </row>
    <row r="832" spans="1:7">
      <c r="A832" t="s">
        <v>3722</v>
      </c>
      <c r="B832" s="198" t="s">
        <v>367</v>
      </c>
      <c r="E832" s="198"/>
      <c r="G832" s="198"/>
    </row>
    <row r="833" spans="1:7">
      <c r="A833" t="s">
        <v>3646</v>
      </c>
      <c r="B833" s="198" t="s">
        <v>368</v>
      </c>
      <c r="E833" s="198"/>
      <c r="G833" s="198"/>
    </row>
    <row r="834" spans="1:7">
      <c r="A834" t="s">
        <v>3723</v>
      </c>
      <c r="B834" s="198" t="s">
        <v>368</v>
      </c>
      <c r="E834" s="198"/>
      <c r="G834" s="198"/>
    </row>
    <row r="835" spans="1:7">
      <c r="A835" t="s">
        <v>2116</v>
      </c>
      <c r="B835" s="198" t="s">
        <v>369</v>
      </c>
      <c r="E835" s="198"/>
      <c r="G835" s="198"/>
    </row>
    <row r="836" spans="1:7">
      <c r="A836" t="s">
        <v>2144</v>
      </c>
      <c r="B836" s="198" t="s">
        <v>369</v>
      </c>
      <c r="E836" s="198"/>
    </row>
    <row r="837" spans="1:7">
      <c r="A837" t="s">
        <v>2019</v>
      </c>
      <c r="B837" s="198" t="s">
        <v>369</v>
      </c>
      <c r="E837" s="198"/>
    </row>
    <row r="838" spans="1:7">
      <c r="A838" t="s">
        <v>2580</v>
      </c>
      <c r="B838" s="198" t="s">
        <v>369</v>
      </c>
      <c r="E838" s="198"/>
      <c r="G838" s="198"/>
    </row>
    <row r="839" spans="1:7">
      <c r="A839" t="s">
        <v>3423</v>
      </c>
      <c r="B839" s="198" t="s">
        <v>369</v>
      </c>
      <c r="E839" s="198"/>
      <c r="G839" s="198"/>
    </row>
    <row r="840" spans="1:7">
      <c r="A840" t="s">
        <v>1843</v>
      </c>
      <c r="B840" s="198" t="s">
        <v>369</v>
      </c>
      <c r="E840" s="198"/>
    </row>
    <row r="841" spans="1:7">
      <c r="A841" t="s">
        <v>2720</v>
      </c>
      <c r="B841" s="198" t="s">
        <v>369</v>
      </c>
      <c r="E841" s="198"/>
    </row>
    <row r="842" spans="1:7">
      <c r="A842" t="s">
        <v>2292</v>
      </c>
      <c r="B842" s="198" t="s">
        <v>369</v>
      </c>
      <c r="E842" s="198"/>
    </row>
    <row r="843" spans="1:7">
      <c r="A843" t="s">
        <v>2254</v>
      </c>
      <c r="B843" s="198" t="s">
        <v>369</v>
      </c>
      <c r="E843" s="198"/>
    </row>
    <row r="844" spans="1:7">
      <c r="A844" t="s">
        <v>2348</v>
      </c>
      <c r="B844" s="198" t="s">
        <v>369</v>
      </c>
      <c r="E844" s="198"/>
    </row>
    <row r="845" spans="1:7">
      <c r="A845" t="s">
        <v>3537</v>
      </c>
      <c r="B845" s="198" t="s">
        <v>369</v>
      </c>
      <c r="E845" s="198"/>
    </row>
    <row r="846" spans="1:7">
      <c r="A846" t="s">
        <v>3786</v>
      </c>
      <c r="B846" s="198" t="s">
        <v>369</v>
      </c>
      <c r="E846" s="198"/>
    </row>
    <row r="847" spans="1:7">
      <c r="A847" t="s">
        <v>609</v>
      </c>
      <c r="B847" s="198" t="s">
        <v>369</v>
      </c>
      <c r="E847" s="198"/>
    </row>
    <row r="848" spans="1:7">
      <c r="A848" t="s">
        <v>623</v>
      </c>
      <c r="B848" s="198" t="s">
        <v>369</v>
      </c>
      <c r="E848" s="198"/>
    </row>
    <row r="849" spans="1:7">
      <c r="A849" t="s">
        <v>3497</v>
      </c>
      <c r="B849" s="198" t="s">
        <v>369</v>
      </c>
      <c r="E849" s="198"/>
    </row>
    <row r="850" spans="1:7">
      <c r="A850" t="s">
        <v>791</v>
      </c>
      <c r="B850" s="198" t="s">
        <v>369</v>
      </c>
      <c r="E850" s="198"/>
    </row>
    <row r="851" spans="1:7">
      <c r="A851" t="s">
        <v>682</v>
      </c>
      <c r="B851" s="198" t="s">
        <v>369</v>
      </c>
      <c r="E851" s="198"/>
    </row>
    <row r="852" spans="1:7">
      <c r="A852" t="s">
        <v>3787</v>
      </c>
      <c r="B852" s="198" t="s">
        <v>369</v>
      </c>
      <c r="E852" s="198"/>
    </row>
    <row r="853" spans="1:7">
      <c r="B853" s="198" t="s">
        <v>370</v>
      </c>
      <c r="E853" s="198"/>
    </row>
    <row r="854" spans="1:7">
      <c r="B854" s="198" t="s">
        <v>370</v>
      </c>
      <c r="E854" s="198"/>
    </row>
    <row r="855" spans="1:7">
      <c r="B855" s="198" t="s">
        <v>371</v>
      </c>
      <c r="E855" s="198"/>
      <c r="G855" s="198"/>
    </row>
    <row r="856" spans="1:7">
      <c r="A856" t="s">
        <v>1872</v>
      </c>
      <c r="B856" s="198" t="s">
        <v>372</v>
      </c>
      <c r="E856" s="198"/>
      <c r="G856" s="198"/>
    </row>
    <row r="857" spans="1:7">
      <c r="A857" t="s">
        <v>1873</v>
      </c>
      <c r="B857" s="198" t="s">
        <v>372</v>
      </c>
      <c r="E857" s="198"/>
      <c r="G857" s="198"/>
    </row>
    <row r="858" spans="1:7">
      <c r="A858" t="s">
        <v>2225</v>
      </c>
      <c r="B858" s="198" t="s">
        <v>372</v>
      </c>
      <c r="E858" s="198"/>
      <c r="G858" s="198"/>
    </row>
    <row r="859" spans="1:7">
      <c r="A859" t="s">
        <v>856</v>
      </c>
      <c r="B859" s="198" t="s">
        <v>372</v>
      </c>
      <c r="E859" s="198"/>
      <c r="G859" s="198"/>
    </row>
    <row r="860" spans="1:7">
      <c r="A860" t="s">
        <v>1874</v>
      </c>
      <c r="B860" s="198" t="s">
        <v>372</v>
      </c>
      <c r="E860" s="198"/>
      <c r="G860" s="198"/>
    </row>
    <row r="861" spans="1:7">
      <c r="A861" t="s">
        <v>1856</v>
      </c>
      <c r="B861" s="198" t="s">
        <v>372</v>
      </c>
      <c r="E861" s="198"/>
      <c r="G861" s="198"/>
    </row>
    <row r="862" spans="1:7">
      <c r="A862" t="s">
        <v>1875</v>
      </c>
      <c r="B862" s="198" t="s">
        <v>372</v>
      </c>
      <c r="E862" s="198"/>
      <c r="G862" s="198"/>
    </row>
    <row r="863" spans="1:7">
      <c r="A863" t="s">
        <v>1837</v>
      </c>
      <c r="B863" s="198" t="s">
        <v>372</v>
      </c>
      <c r="E863" s="198"/>
      <c r="G863" s="198"/>
    </row>
    <row r="864" spans="1:7">
      <c r="A864" t="s">
        <v>1838</v>
      </c>
      <c r="B864" s="198" t="s">
        <v>372</v>
      </c>
      <c r="E864" s="198"/>
      <c r="G864" s="198"/>
    </row>
    <row r="865" spans="1:7">
      <c r="A865" t="s">
        <v>2084</v>
      </c>
      <c r="B865" s="198" t="s">
        <v>372</v>
      </c>
      <c r="E865" s="198"/>
      <c r="G865" s="198"/>
    </row>
    <row r="866" spans="1:7">
      <c r="A866" t="s">
        <v>871</v>
      </c>
      <c r="B866" s="198" t="s">
        <v>372</v>
      </c>
      <c r="E866" s="198"/>
      <c r="G866" s="198"/>
    </row>
    <row r="867" spans="1:7">
      <c r="A867" t="s">
        <v>1675</v>
      </c>
      <c r="B867" s="198" t="s">
        <v>372</v>
      </c>
      <c r="E867" s="198"/>
      <c r="G867" s="198"/>
    </row>
    <row r="868" spans="1:7">
      <c r="A868" t="s">
        <v>1647</v>
      </c>
      <c r="B868" s="198" t="s">
        <v>372</v>
      </c>
      <c r="E868" s="198"/>
      <c r="G868" s="198"/>
    </row>
    <row r="869" spans="1:7">
      <c r="A869" t="s">
        <v>1676</v>
      </c>
      <c r="B869" s="198" t="s">
        <v>372</v>
      </c>
      <c r="E869" s="198"/>
      <c r="G869" s="198"/>
    </row>
    <row r="870" spans="1:7">
      <c r="A870" t="s">
        <v>1742</v>
      </c>
      <c r="B870" s="198" t="s">
        <v>372</v>
      </c>
      <c r="E870" s="198"/>
      <c r="G870" s="198"/>
    </row>
    <row r="871" spans="1:7">
      <c r="A871" t="s">
        <v>1697</v>
      </c>
      <c r="B871" s="198" t="s">
        <v>372</v>
      </c>
      <c r="E871" s="198"/>
      <c r="G871" s="198"/>
    </row>
    <row r="872" spans="1:7">
      <c r="A872" t="s">
        <v>2255</v>
      </c>
      <c r="B872" s="198" t="s">
        <v>372</v>
      </c>
      <c r="E872" s="198"/>
    </row>
    <row r="873" spans="1:7">
      <c r="A873" t="s">
        <v>2540</v>
      </c>
      <c r="B873" s="198" t="s">
        <v>372</v>
      </c>
      <c r="E873" s="198"/>
    </row>
    <row r="874" spans="1:7">
      <c r="B874" s="198" t="s">
        <v>373</v>
      </c>
      <c r="E874" s="198"/>
    </row>
    <row r="875" spans="1:7">
      <c r="A875" t="s">
        <v>1992</v>
      </c>
      <c r="B875" s="198" t="s">
        <v>373</v>
      </c>
      <c r="E875" s="198"/>
    </row>
    <row r="876" spans="1:7">
      <c r="A876" t="s">
        <v>2385</v>
      </c>
      <c r="B876" s="198" t="s">
        <v>373</v>
      </c>
      <c r="E876" s="198"/>
    </row>
    <row r="877" spans="1:7">
      <c r="A877" t="s">
        <v>1993</v>
      </c>
      <c r="B877" s="198" t="s">
        <v>373</v>
      </c>
      <c r="E877" s="198"/>
    </row>
    <row r="878" spans="1:7">
      <c r="A878" t="s">
        <v>2117</v>
      </c>
      <c r="B878" s="198" t="s">
        <v>373</v>
      </c>
      <c r="E878" s="198"/>
    </row>
    <row r="879" spans="1:7">
      <c r="A879" t="s">
        <v>1841</v>
      </c>
      <c r="B879" s="198" t="s">
        <v>373</v>
      </c>
      <c r="E879" s="198"/>
    </row>
    <row r="880" spans="1:7">
      <c r="A880" t="s">
        <v>1842</v>
      </c>
      <c r="B880" s="198" t="s">
        <v>373</v>
      </c>
      <c r="E880" s="198"/>
    </row>
    <row r="881" spans="1:8">
      <c r="A881" t="s">
        <v>872</v>
      </c>
      <c r="B881" s="198" t="s">
        <v>373</v>
      </c>
      <c r="E881" s="198"/>
    </row>
    <row r="882" spans="1:8">
      <c r="A882" t="s">
        <v>1677</v>
      </c>
      <c r="B882" s="198" t="s">
        <v>373</v>
      </c>
      <c r="E882" s="198"/>
    </row>
    <row r="883" spans="1:8">
      <c r="A883" t="s">
        <v>1648</v>
      </c>
      <c r="B883" s="198" t="s">
        <v>373</v>
      </c>
      <c r="E883" s="198"/>
    </row>
    <row r="884" spans="1:8">
      <c r="A884" t="s">
        <v>1678</v>
      </c>
      <c r="B884" s="198" t="s">
        <v>373</v>
      </c>
      <c r="E884" s="198"/>
    </row>
    <row r="885" spans="1:8">
      <c r="A885" t="s">
        <v>1741</v>
      </c>
      <c r="B885" s="198" t="s">
        <v>373</v>
      </c>
      <c r="E885" s="198"/>
    </row>
    <row r="886" spans="1:8">
      <c r="A886" t="s">
        <v>1699</v>
      </c>
      <c r="B886" s="198" t="s">
        <v>373</v>
      </c>
      <c r="E886" s="198"/>
    </row>
    <row r="887" spans="1:8">
      <c r="A887" t="s">
        <v>2256</v>
      </c>
      <c r="B887" s="198" t="s">
        <v>373</v>
      </c>
      <c r="E887" s="198"/>
    </row>
    <row r="888" spans="1:8">
      <c r="A888" t="s">
        <v>2538</v>
      </c>
      <c r="B888" s="198" t="s">
        <v>373</v>
      </c>
      <c r="E888" s="198"/>
    </row>
    <row r="889" spans="1:8">
      <c r="A889" t="s">
        <v>1854</v>
      </c>
      <c r="B889" s="198" t="s">
        <v>373</v>
      </c>
      <c r="E889" s="198"/>
    </row>
    <row r="890" spans="1:8">
      <c r="B890" s="198" t="s">
        <v>373</v>
      </c>
      <c r="E890" s="198"/>
    </row>
    <row r="891" spans="1:8">
      <c r="B891" s="198" t="s">
        <v>373</v>
      </c>
      <c r="E891" s="198"/>
    </row>
    <row r="892" spans="1:8">
      <c r="B892" s="198"/>
      <c r="E892" s="198"/>
    </row>
    <row r="893" spans="1:8">
      <c r="B893" s="198" t="s">
        <v>374</v>
      </c>
      <c r="E893" s="198"/>
    </row>
    <row r="894" spans="1:8">
      <c r="A894" t="s">
        <v>2118</v>
      </c>
      <c r="B894" s="198" t="s">
        <v>375</v>
      </c>
      <c r="E894" s="198"/>
    </row>
    <row r="895" spans="1:8">
      <c r="A895" t="s">
        <v>2224</v>
      </c>
      <c r="B895" s="198" t="s">
        <v>375</v>
      </c>
      <c r="E895" s="198"/>
    </row>
    <row r="896" spans="1:8">
      <c r="A896" t="s">
        <v>1328</v>
      </c>
      <c r="B896" s="198" t="s">
        <v>376</v>
      </c>
      <c r="E896" s="198"/>
      <c r="H896" s="198"/>
    </row>
    <row r="897" spans="1:5">
      <c r="A897" t="s">
        <v>1246</v>
      </c>
      <c r="B897" s="198" t="s">
        <v>376</v>
      </c>
      <c r="E897" s="198"/>
    </row>
    <row r="898" spans="1:5">
      <c r="A898" t="s">
        <v>4125</v>
      </c>
      <c r="B898" s="198" t="s">
        <v>376</v>
      </c>
      <c r="E898" s="198"/>
    </row>
    <row r="899" spans="1:5">
      <c r="B899" s="198" t="s">
        <v>377</v>
      </c>
      <c r="E899" s="198"/>
    </row>
    <row r="900" spans="1:5">
      <c r="B900" s="198" t="s">
        <v>378</v>
      </c>
      <c r="E900" s="198"/>
    </row>
    <row r="901" spans="1:5">
      <c r="B901" s="198" t="s">
        <v>379</v>
      </c>
      <c r="E901" s="198"/>
    </row>
    <row r="902" spans="1:5">
      <c r="A902" t="s">
        <v>2439</v>
      </c>
      <c r="B902" s="198" t="s">
        <v>380</v>
      </c>
      <c r="E902" s="198"/>
    </row>
    <row r="903" spans="1:5">
      <c r="B903" s="198" t="s">
        <v>380</v>
      </c>
      <c r="E903" s="198"/>
    </row>
    <row r="904" spans="1:5">
      <c r="A904" t="s">
        <v>2865</v>
      </c>
      <c r="B904" s="198" t="s">
        <v>381</v>
      </c>
      <c r="E904" s="198"/>
    </row>
    <row r="905" spans="1:5">
      <c r="A905" t="s">
        <v>3325</v>
      </c>
      <c r="B905" s="198" t="s">
        <v>381</v>
      </c>
      <c r="E905" s="198"/>
    </row>
    <row r="906" spans="1:5">
      <c r="A906" t="s">
        <v>3622</v>
      </c>
      <c r="B906" s="198" t="s">
        <v>381</v>
      </c>
      <c r="E906" s="198"/>
    </row>
    <row r="907" spans="1:5">
      <c r="A907" t="s">
        <v>1650</v>
      </c>
      <c r="B907" s="198" t="s">
        <v>382</v>
      </c>
      <c r="E907" s="198"/>
    </row>
    <row r="908" spans="1:5">
      <c r="A908" t="s">
        <v>1846</v>
      </c>
      <c r="B908" s="198" t="s">
        <v>382</v>
      </c>
      <c r="E908" s="198"/>
    </row>
    <row r="909" spans="1:5">
      <c r="A909" t="s">
        <v>1247</v>
      </c>
      <c r="B909" s="198" t="s">
        <v>382</v>
      </c>
      <c r="E909" s="198"/>
    </row>
    <row r="910" spans="1:5">
      <c r="A910" t="s">
        <v>3788</v>
      </c>
      <c r="B910" s="198" t="s">
        <v>382</v>
      </c>
      <c r="E910" s="198"/>
    </row>
    <row r="911" spans="1:5">
      <c r="B911" s="198" t="s">
        <v>382</v>
      </c>
      <c r="E911" s="198"/>
    </row>
    <row r="912" spans="1:5">
      <c r="B912" s="198" t="s">
        <v>382</v>
      </c>
      <c r="E912" s="198"/>
    </row>
    <row r="913" spans="1:7">
      <c r="A913" t="s">
        <v>2386</v>
      </c>
      <c r="B913" s="198" t="s">
        <v>383</v>
      </c>
      <c r="E913" s="198"/>
    </row>
    <row r="914" spans="1:7">
      <c r="A914" t="s">
        <v>1997</v>
      </c>
      <c r="B914" s="198" t="s">
        <v>383</v>
      </c>
      <c r="E914" s="198"/>
    </row>
    <row r="915" spans="1:7">
      <c r="A915" t="s">
        <v>1855</v>
      </c>
      <c r="B915" s="198" t="s">
        <v>383</v>
      </c>
      <c r="E915" s="198"/>
    </row>
    <row r="916" spans="1:7">
      <c r="A916" t="s">
        <v>2119</v>
      </c>
      <c r="B916" s="198" t="s">
        <v>383</v>
      </c>
      <c r="E916" s="198"/>
    </row>
    <row r="917" spans="1:7">
      <c r="A917" t="s">
        <v>1839</v>
      </c>
      <c r="B917" s="198" t="s">
        <v>383</v>
      </c>
      <c r="E917" s="198"/>
    </row>
    <row r="918" spans="1:7">
      <c r="A918" t="s">
        <v>1840</v>
      </c>
      <c r="B918" s="198" t="s">
        <v>383</v>
      </c>
      <c r="E918" s="198"/>
    </row>
    <row r="919" spans="1:7">
      <c r="A919" t="s">
        <v>3193</v>
      </c>
      <c r="B919" s="198" t="s">
        <v>383</v>
      </c>
      <c r="E919" s="198"/>
    </row>
    <row r="920" spans="1:7">
      <c r="A920" t="s">
        <v>873</v>
      </c>
      <c r="B920" s="198" t="s">
        <v>383</v>
      </c>
      <c r="E920" s="198"/>
    </row>
    <row r="921" spans="1:7">
      <c r="A921" t="s">
        <v>3485</v>
      </c>
      <c r="B921" s="198" t="s">
        <v>383</v>
      </c>
      <c r="E921" s="198"/>
    </row>
    <row r="922" spans="1:7">
      <c r="B922" s="198" t="s">
        <v>383</v>
      </c>
      <c r="E922" s="198"/>
    </row>
    <row r="923" spans="1:7">
      <c r="B923" s="198" t="s">
        <v>383</v>
      </c>
      <c r="E923" s="198"/>
    </row>
    <row r="924" spans="1:7">
      <c r="B924" s="198" t="s">
        <v>383</v>
      </c>
      <c r="E924" s="198"/>
      <c r="G924" s="198"/>
    </row>
    <row r="925" spans="1:7">
      <c r="A925" t="s">
        <v>2257</v>
      </c>
      <c r="B925" s="198" t="s">
        <v>383</v>
      </c>
      <c r="E925" s="198"/>
      <c r="G925" s="198"/>
    </row>
    <row r="926" spans="1:7">
      <c r="A926" t="s">
        <v>2539</v>
      </c>
      <c r="B926" s="198" t="s">
        <v>383</v>
      </c>
      <c r="E926" s="198"/>
      <c r="G926" s="198"/>
    </row>
    <row r="927" spans="1:7">
      <c r="B927" s="198" t="s">
        <v>383</v>
      </c>
      <c r="E927" s="198"/>
      <c r="G927" s="198"/>
    </row>
    <row r="928" spans="1:7">
      <c r="A928" t="s">
        <v>1681</v>
      </c>
      <c r="B928" s="198" t="s">
        <v>2366</v>
      </c>
      <c r="E928" s="198"/>
    </row>
    <row r="929" spans="1:5">
      <c r="A929" t="s">
        <v>1740</v>
      </c>
      <c r="B929" s="198" t="s">
        <v>2366</v>
      </c>
      <c r="E929" s="198"/>
    </row>
    <row r="930" spans="1:5">
      <c r="A930" t="s">
        <v>1696</v>
      </c>
      <c r="B930" s="198" t="s">
        <v>2366</v>
      </c>
      <c r="E930" s="198"/>
    </row>
    <row r="931" spans="1:5">
      <c r="A931" t="s">
        <v>1680</v>
      </c>
      <c r="B931" s="198" t="s">
        <v>2366</v>
      </c>
      <c r="E931" s="198"/>
    </row>
    <row r="932" spans="1:5">
      <c r="A932" t="s">
        <v>1679</v>
      </c>
      <c r="B932" s="198" t="s">
        <v>2367</v>
      </c>
      <c r="E932" s="198"/>
    </row>
    <row r="933" spans="1:5">
      <c r="B933" s="198"/>
      <c r="E933" s="198"/>
    </row>
    <row r="934" spans="1:5">
      <c r="A934" t="s">
        <v>610</v>
      </c>
      <c r="B934" s="198" t="s">
        <v>384</v>
      </c>
      <c r="E934" s="198"/>
    </row>
    <row r="935" spans="1:5">
      <c r="A935" t="s">
        <v>624</v>
      </c>
      <c r="B935" s="198" t="s">
        <v>384</v>
      </c>
      <c r="E935" s="198"/>
    </row>
    <row r="936" spans="1:5">
      <c r="A936" t="s">
        <v>672</v>
      </c>
      <c r="B936" s="198" t="s">
        <v>384</v>
      </c>
      <c r="E936" s="198"/>
    </row>
    <row r="937" spans="1:5">
      <c r="A937" t="s">
        <v>2201</v>
      </c>
      <c r="B937" s="198" t="s">
        <v>384</v>
      </c>
      <c r="E937" s="198"/>
    </row>
    <row r="938" spans="1:5">
      <c r="B938" s="198"/>
      <c r="E938" s="198"/>
    </row>
    <row r="939" spans="1:5">
      <c r="A939" t="s">
        <v>633</v>
      </c>
      <c r="B939" s="198" t="s">
        <v>385</v>
      </c>
      <c r="E939" s="198"/>
    </row>
    <row r="940" spans="1:5">
      <c r="A940" t="s">
        <v>625</v>
      </c>
      <c r="B940" s="198" t="s">
        <v>385</v>
      </c>
      <c r="E940" s="198"/>
    </row>
    <row r="941" spans="1:5">
      <c r="A941" t="s">
        <v>611</v>
      </c>
      <c r="B941" s="198" t="s">
        <v>385</v>
      </c>
      <c r="E941" s="198"/>
    </row>
    <row r="942" spans="1:5">
      <c r="A942" t="s">
        <v>1324</v>
      </c>
      <c r="B942" s="198" t="s">
        <v>385</v>
      </c>
      <c r="E942" s="198"/>
    </row>
    <row r="943" spans="1:5">
      <c r="A943" t="s">
        <v>699</v>
      </c>
      <c r="B943" s="198" t="s">
        <v>385</v>
      </c>
      <c r="E943" s="198"/>
    </row>
    <row r="944" spans="1:5">
      <c r="A944" t="s">
        <v>1761</v>
      </c>
      <c r="B944" s="198" t="s">
        <v>385</v>
      </c>
      <c r="E944" s="198"/>
    </row>
    <row r="945" spans="1:5">
      <c r="A945" t="s">
        <v>1325</v>
      </c>
      <c r="B945" s="198" t="s">
        <v>385</v>
      </c>
      <c r="E945" s="198"/>
    </row>
    <row r="946" spans="1:5">
      <c r="A946" t="s">
        <v>2226</v>
      </c>
      <c r="B946" s="198" t="s">
        <v>385</v>
      </c>
      <c r="E946" s="198"/>
    </row>
    <row r="947" spans="1:5">
      <c r="A947" t="s">
        <v>2437</v>
      </c>
      <c r="B947" s="198" t="s">
        <v>385</v>
      </c>
      <c r="E947" s="198"/>
    </row>
    <row r="948" spans="1:5">
      <c r="A948" t="s">
        <v>1248</v>
      </c>
      <c r="B948" s="198" t="s">
        <v>385</v>
      </c>
      <c r="E948" s="198"/>
    </row>
    <row r="949" spans="1:5">
      <c r="A949" t="s">
        <v>1249</v>
      </c>
      <c r="B949" s="198" t="s">
        <v>385</v>
      </c>
      <c r="E949" s="198"/>
    </row>
    <row r="950" spans="1:5">
      <c r="A950" t="s">
        <v>2581</v>
      </c>
      <c r="B950" s="198" t="s">
        <v>385</v>
      </c>
      <c r="E950" s="198"/>
    </row>
    <row r="951" spans="1:5">
      <c r="A951" t="s">
        <v>2080</v>
      </c>
      <c r="B951" s="198" t="s">
        <v>385</v>
      </c>
      <c r="E951" s="198"/>
    </row>
    <row r="952" spans="1:5">
      <c r="A952" t="s">
        <v>2120</v>
      </c>
      <c r="B952" s="198" t="s">
        <v>385</v>
      </c>
      <c r="E952" s="198"/>
    </row>
    <row r="953" spans="1:5">
      <c r="A953" t="s">
        <v>1990</v>
      </c>
      <c r="B953" s="198" t="s">
        <v>385</v>
      </c>
      <c r="E953" s="198"/>
    </row>
    <row r="954" spans="1:5">
      <c r="A954" t="s">
        <v>1857</v>
      </c>
      <c r="B954" s="198" t="s">
        <v>386</v>
      </c>
      <c r="E954" s="198"/>
    </row>
    <row r="955" spans="1:5">
      <c r="A955" t="s">
        <v>2052</v>
      </c>
      <c r="B955" s="198" t="s">
        <v>386</v>
      </c>
      <c r="E955" s="198"/>
    </row>
    <row r="956" spans="1:5">
      <c r="A956" t="s">
        <v>636</v>
      </c>
      <c r="B956" s="198" t="s">
        <v>386</v>
      </c>
      <c r="E956" s="198"/>
    </row>
    <row r="957" spans="1:5">
      <c r="A957" t="s">
        <v>639</v>
      </c>
      <c r="B957" s="198" t="s">
        <v>386</v>
      </c>
      <c r="E957" s="198"/>
    </row>
    <row r="958" spans="1:5">
      <c r="A958" t="s">
        <v>1863</v>
      </c>
      <c r="B958" s="198" t="s">
        <v>386</v>
      </c>
      <c r="E958" s="198"/>
    </row>
    <row r="959" spans="1:5">
      <c r="A959" t="s">
        <v>1862</v>
      </c>
      <c r="B959" s="198" t="s">
        <v>386</v>
      </c>
      <c r="E959" s="198"/>
    </row>
    <row r="960" spans="1:5">
      <c r="A960" t="s">
        <v>2721</v>
      </c>
      <c r="B960" s="198" t="s">
        <v>386</v>
      </c>
      <c r="E960" s="198"/>
    </row>
    <row r="961" spans="1:7">
      <c r="A961" t="s">
        <v>3044</v>
      </c>
      <c r="B961" s="198" t="s">
        <v>386</v>
      </c>
      <c r="E961" s="198"/>
      <c r="G961" s="198"/>
    </row>
    <row r="962" spans="1:7">
      <c r="A962" t="s">
        <v>3462</v>
      </c>
      <c r="B962" s="198" t="s">
        <v>386</v>
      </c>
      <c r="E962" s="198"/>
      <c r="G962" s="198"/>
    </row>
    <row r="963" spans="1:7">
      <c r="A963" t="s">
        <v>3119</v>
      </c>
      <c r="B963" s="198" t="s">
        <v>386</v>
      </c>
      <c r="E963" s="198"/>
      <c r="G963" s="198"/>
    </row>
    <row r="964" spans="1:7">
      <c r="A964" t="s">
        <v>3510</v>
      </c>
      <c r="B964" s="198" t="s">
        <v>386</v>
      </c>
      <c r="E964" s="198"/>
      <c r="G964" s="198"/>
    </row>
    <row r="965" spans="1:7">
      <c r="A965" t="s">
        <v>3789</v>
      </c>
      <c r="B965" s="198" t="s">
        <v>386</v>
      </c>
      <c r="E965" s="198"/>
      <c r="G965" s="198"/>
    </row>
    <row r="966" spans="1:7">
      <c r="A966" t="s">
        <v>3790</v>
      </c>
      <c r="B966" s="198" t="s">
        <v>386</v>
      </c>
      <c r="E966" s="198"/>
      <c r="G966" s="198"/>
    </row>
    <row r="967" spans="1:7">
      <c r="A967" t="s">
        <v>3791</v>
      </c>
      <c r="B967" s="198" t="s">
        <v>386</v>
      </c>
      <c r="E967" s="198"/>
      <c r="G967" s="198"/>
    </row>
    <row r="968" spans="1:7">
      <c r="A968" t="s">
        <v>1762</v>
      </c>
      <c r="B968" s="198" t="s">
        <v>386</v>
      </c>
      <c r="E968" s="198"/>
    </row>
    <row r="969" spans="1:7">
      <c r="A969" t="s">
        <v>2053</v>
      </c>
      <c r="B969" s="198" t="s">
        <v>386</v>
      </c>
      <c r="E969" s="198"/>
    </row>
    <row r="970" spans="1:7">
      <c r="A970" t="s">
        <v>2054</v>
      </c>
      <c r="B970" s="198" t="s">
        <v>386</v>
      </c>
      <c r="E970" s="198"/>
    </row>
    <row r="971" spans="1:7">
      <c r="A971" t="s">
        <v>3724</v>
      </c>
      <c r="B971" s="198" t="s">
        <v>386</v>
      </c>
      <c r="E971" s="198"/>
    </row>
    <row r="972" spans="1:7">
      <c r="A972" t="s">
        <v>3725</v>
      </c>
      <c r="B972" s="198" t="s">
        <v>386</v>
      </c>
      <c r="E972" s="198"/>
    </row>
    <row r="973" spans="1:7">
      <c r="A973" t="s">
        <v>3792</v>
      </c>
      <c r="B973" s="198" t="s">
        <v>386</v>
      </c>
      <c r="E973" s="198"/>
    </row>
    <row r="974" spans="1:7">
      <c r="A974" t="s">
        <v>864</v>
      </c>
      <c r="B974" s="198" t="s">
        <v>386</v>
      </c>
      <c r="E974" s="198"/>
    </row>
    <row r="975" spans="1:7">
      <c r="A975" t="s">
        <v>865</v>
      </c>
      <c r="B975" s="198" t="s">
        <v>386</v>
      </c>
      <c r="E975" s="198"/>
    </row>
    <row r="976" spans="1:7">
      <c r="A976" t="s">
        <v>866</v>
      </c>
      <c r="B976" s="198" t="s">
        <v>386</v>
      </c>
      <c r="E976" s="198"/>
    </row>
    <row r="977" spans="1:5">
      <c r="A977" t="s">
        <v>867</v>
      </c>
      <c r="B977" s="198" t="s">
        <v>386</v>
      </c>
      <c r="E977" s="198"/>
    </row>
    <row r="978" spans="1:5">
      <c r="A978" t="s">
        <v>868</v>
      </c>
      <c r="B978" s="198" t="s">
        <v>386</v>
      </c>
      <c r="E978" s="198"/>
    </row>
    <row r="979" spans="1:5">
      <c r="A979" t="s">
        <v>869</v>
      </c>
      <c r="B979" s="198" t="s">
        <v>386</v>
      </c>
      <c r="E979" s="198"/>
    </row>
    <row r="980" spans="1:5">
      <c r="A980" t="s">
        <v>870</v>
      </c>
      <c r="B980" s="198" t="s">
        <v>386</v>
      </c>
      <c r="E980" s="198"/>
    </row>
    <row r="981" spans="1:5">
      <c r="A981" t="s">
        <v>1250</v>
      </c>
      <c r="B981" s="198" t="s">
        <v>386</v>
      </c>
      <c r="E981" s="198"/>
    </row>
    <row r="982" spans="1:5">
      <c r="A982" t="s">
        <v>2055</v>
      </c>
      <c r="B982" s="198" t="s">
        <v>386</v>
      </c>
      <c r="E982" s="198"/>
    </row>
    <row r="983" spans="1:5">
      <c r="A983" t="s">
        <v>2121</v>
      </c>
      <c r="B983" s="198" t="s">
        <v>386</v>
      </c>
      <c r="E983" s="198"/>
    </row>
    <row r="984" spans="1:5">
      <c r="A984" t="s">
        <v>2293</v>
      </c>
      <c r="B984" s="198" t="s">
        <v>386</v>
      </c>
      <c r="E984" s="198"/>
    </row>
    <row r="985" spans="1:5">
      <c r="A985" t="s">
        <v>644</v>
      </c>
      <c r="B985" s="198" t="s">
        <v>387</v>
      </c>
      <c r="E985" s="198"/>
    </row>
    <row r="986" spans="1:5">
      <c r="A986" t="s">
        <v>1350</v>
      </c>
      <c r="B986" s="198" t="s">
        <v>387</v>
      </c>
      <c r="E986" s="198"/>
    </row>
    <row r="987" spans="1:5">
      <c r="A987" t="s">
        <v>2016</v>
      </c>
      <c r="B987" s="198" t="s">
        <v>388</v>
      </c>
      <c r="E987" s="198"/>
    </row>
    <row r="988" spans="1:5">
      <c r="A988" t="s">
        <v>2017</v>
      </c>
      <c r="B988" s="198" t="s">
        <v>388</v>
      </c>
      <c r="E988" s="198"/>
    </row>
    <row r="989" spans="1:5">
      <c r="A989" t="s">
        <v>2122</v>
      </c>
      <c r="B989" s="198" t="s">
        <v>389</v>
      </c>
      <c r="E989" s="198"/>
    </row>
    <row r="990" spans="1:5">
      <c r="A990" t="s">
        <v>2145</v>
      </c>
      <c r="B990" s="198" t="s">
        <v>2370</v>
      </c>
      <c r="E990" s="198"/>
    </row>
    <row r="991" spans="1:5">
      <c r="A991" t="s">
        <v>2277</v>
      </c>
      <c r="B991" s="198" t="s">
        <v>2369</v>
      </c>
      <c r="E991" s="198"/>
    </row>
    <row r="992" spans="1:5">
      <c r="B992" s="198" t="s">
        <v>390</v>
      </c>
      <c r="E992" s="198"/>
    </row>
    <row r="993" spans="1:5">
      <c r="A993" t="s">
        <v>2062</v>
      </c>
      <c r="B993" s="198" t="s">
        <v>390</v>
      </c>
      <c r="E993" s="198"/>
    </row>
    <row r="994" spans="1:5">
      <c r="A994" t="s">
        <v>2276</v>
      </c>
      <c r="B994" s="198" t="s">
        <v>390</v>
      </c>
      <c r="E994" s="198"/>
    </row>
    <row r="995" spans="1:5">
      <c r="A995" t="s">
        <v>2063</v>
      </c>
      <c r="B995" s="198" t="s">
        <v>390</v>
      </c>
      <c r="E995" s="198"/>
    </row>
    <row r="996" spans="1:5">
      <c r="A996" t="s">
        <v>1731</v>
      </c>
      <c r="B996" s="198" t="s">
        <v>390</v>
      </c>
      <c r="E996" s="198"/>
    </row>
    <row r="997" spans="1:5">
      <c r="A997" t="s">
        <v>4208</v>
      </c>
      <c r="B997" s="198" t="s">
        <v>391</v>
      </c>
      <c r="E997" s="198"/>
    </row>
    <row r="998" spans="1:5">
      <c r="A998" t="s">
        <v>3793</v>
      </c>
      <c r="B998" s="198" t="s">
        <v>391</v>
      </c>
      <c r="E998" s="198"/>
    </row>
    <row r="999" spans="1:5">
      <c r="A999" t="s">
        <v>1719</v>
      </c>
      <c r="B999" s="198" t="s">
        <v>391</v>
      </c>
      <c r="E999" s="198"/>
    </row>
    <row r="1000" spans="1:5">
      <c r="A1000" t="s">
        <v>1861</v>
      </c>
      <c r="B1000" s="198" t="s">
        <v>391</v>
      </c>
      <c r="E1000" s="198"/>
    </row>
    <row r="1001" spans="1:5">
      <c r="A1001" t="s">
        <v>694</v>
      </c>
      <c r="B1001" s="198" t="s">
        <v>391</v>
      </c>
      <c r="E1001" s="198"/>
    </row>
    <row r="1002" spans="1:5">
      <c r="A1002" t="s">
        <v>2060</v>
      </c>
      <c r="B1002" s="198" t="s">
        <v>391</v>
      </c>
      <c r="E1002" s="198"/>
    </row>
    <row r="1003" spans="1:5">
      <c r="A1003" t="s">
        <v>2582</v>
      </c>
      <c r="B1003" s="198" t="s">
        <v>391</v>
      </c>
      <c r="E1003" s="198"/>
    </row>
    <row r="1004" spans="1:5">
      <c r="A1004" t="s">
        <v>2294</v>
      </c>
      <c r="B1004" s="198" t="s">
        <v>391</v>
      </c>
      <c r="E1004" s="198"/>
    </row>
    <row r="1005" spans="1:5">
      <c r="A1005" t="s">
        <v>2453</v>
      </c>
      <c r="B1005" s="198" t="s">
        <v>391</v>
      </c>
      <c r="E1005" s="198"/>
    </row>
    <row r="1006" spans="1:5">
      <c r="A1006" t="s">
        <v>2531</v>
      </c>
      <c r="B1006" s="198" t="s">
        <v>391</v>
      </c>
      <c r="E1006" s="198"/>
    </row>
    <row r="1007" spans="1:5">
      <c r="A1007" t="s">
        <v>2583</v>
      </c>
      <c r="B1007" s="198" t="s">
        <v>391</v>
      </c>
      <c r="E1007" s="198"/>
    </row>
    <row r="1008" spans="1:5">
      <c r="A1008" t="s">
        <v>3157</v>
      </c>
      <c r="B1008" s="198" t="s">
        <v>391</v>
      </c>
      <c r="E1008" s="198"/>
    </row>
    <row r="1009" spans="1:9">
      <c r="A1009" t="s">
        <v>3232</v>
      </c>
      <c r="B1009" s="198" t="s">
        <v>391</v>
      </c>
      <c r="E1009" s="198"/>
    </row>
    <row r="1010" spans="1:9">
      <c r="A1010" t="s">
        <v>3388</v>
      </c>
      <c r="B1010" s="198" t="s">
        <v>391</v>
      </c>
      <c r="E1010" s="198"/>
    </row>
    <row r="1011" spans="1:9">
      <c r="A1011" t="s">
        <v>697</v>
      </c>
      <c r="B1011" s="198" t="s">
        <v>392</v>
      </c>
      <c r="E1011" s="198"/>
    </row>
    <row r="1012" spans="1:9">
      <c r="A1012" t="s">
        <v>2061</v>
      </c>
      <c r="B1012" s="198" t="s">
        <v>392</v>
      </c>
      <c r="E1012" s="198"/>
    </row>
    <row r="1013" spans="1:9">
      <c r="A1013" t="s">
        <v>2335</v>
      </c>
      <c r="B1013" s="198" t="s">
        <v>392</v>
      </c>
      <c r="E1013" s="198"/>
    </row>
    <row r="1014" spans="1:9">
      <c r="A1014" t="s">
        <v>2584</v>
      </c>
      <c r="B1014" s="198" t="s">
        <v>392</v>
      </c>
      <c r="E1014" s="198"/>
    </row>
    <row r="1015" spans="1:9">
      <c r="A1015" t="s">
        <v>2242</v>
      </c>
      <c r="B1015" s="198" t="s">
        <v>392</v>
      </c>
      <c r="E1015" s="198"/>
    </row>
    <row r="1016" spans="1:9">
      <c r="A1016" t="s">
        <v>3234</v>
      </c>
      <c r="B1016" s="198" t="s">
        <v>392</v>
      </c>
      <c r="E1016" s="198"/>
    </row>
    <row r="1017" spans="1:9">
      <c r="A1017" t="s">
        <v>1792</v>
      </c>
      <c r="B1017" s="198" t="s">
        <v>392</v>
      </c>
      <c r="E1017" s="198"/>
      <c r="I1017" s="198"/>
    </row>
    <row r="1018" spans="1:9">
      <c r="A1018" t="s">
        <v>2123</v>
      </c>
      <c r="B1018" s="198" t="s">
        <v>392</v>
      </c>
      <c r="E1018" s="198"/>
    </row>
    <row r="1019" spans="1:9">
      <c r="A1019" t="s">
        <v>2317</v>
      </c>
      <c r="B1019" s="198" t="s">
        <v>392</v>
      </c>
      <c r="E1019" s="234"/>
      <c r="F1019" s="234"/>
    </row>
    <row r="1020" spans="1:9">
      <c r="A1020" t="s">
        <v>3326</v>
      </c>
      <c r="B1020" s="198" t="s">
        <v>392</v>
      </c>
      <c r="E1020" s="234"/>
      <c r="F1020" s="234"/>
    </row>
    <row r="1021" spans="1:9">
      <c r="A1021" t="s">
        <v>3907</v>
      </c>
      <c r="B1021" s="198" t="s">
        <v>392</v>
      </c>
      <c r="E1021" s="234"/>
      <c r="F1021" s="234"/>
    </row>
    <row r="1022" spans="1:9">
      <c r="A1022" t="s">
        <v>3908</v>
      </c>
      <c r="B1022" s="198" t="s">
        <v>392</v>
      </c>
      <c r="E1022" s="234"/>
      <c r="F1022" s="234"/>
    </row>
    <row r="1023" spans="1:9">
      <c r="A1023" t="s">
        <v>3948</v>
      </c>
      <c r="B1023" s="198" t="s">
        <v>392</v>
      </c>
      <c r="E1023" s="234"/>
      <c r="F1023" s="234"/>
    </row>
    <row r="1024" spans="1:9">
      <c r="A1024" t="s">
        <v>2435</v>
      </c>
      <c r="B1024" s="198" t="s">
        <v>392</v>
      </c>
      <c r="E1024" s="198"/>
    </row>
    <row r="1025" spans="1:5">
      <c r="A1025" t="s">
        <v>2633</v>
      </c>
      <c r="B1025" s="198" t="s">
        <v>392</v>
      </c>
      <c r="E1025" s="234"/>
    </row>
    <row r="1026" spans="1:5">
      <c r="A1026" t="s">
        <v>2954</v>
      </c>
      <c r="B1026" s="198" t="s">
        <v>392</v>
      </c>
      <c r="E1026" s="198"/>
    </row>
    <row r="1027" spans="1:5">
      <c r="A1027" t="s">
        <v>2955</v>
      </c>
      <c r="B1027" s="198" t="s">
        <v>392</v>
      </c>
      <c r="E1027" s="198"/>
    </row>
    <row r="1028" spans="1:5">
      <c r="A1028" t="s">
        <v>2866</v>
      </c>
      <c r="B1028" s="198" t="s">
        <v>392</v>
      </c>
      <c r="E1028" s="198"/>
    </row>
    <row r="1029" spans="1:5">
      <c r="A1029" t="s">
        <v>2867</v>
      </c>
      <c r="B1029" s="198" t="s">
        <v>392</v>
      </c>
      <c r="E1029" s="198"/>
    </row>
    <row r="1030" spans="1:5">
      <c r="A1030" t="s">
        <v>2868</v>
      </c>
      <c r="B1030" s="198" t="s">
        <v>392</v>
      </c>
      <c r="E1030" s="198"/>
    </row>
    <row r="1031" spans="1:5">
      <c r="A1031" t="s">
        <v>3744</v>
      </c>
      <c r="B1031" s="198" t="s">
        <v>392</v>
      </c>
      <c r="E1031" s="198"/>
    </row>
    <row r="1032" spans="1:5">
      <c r="A1032" t="s">
        <v>3860</v>
      </c>
      <c r="B1032" s="198" t="s">
        <v>392</v>
      </c>
      <c r="E1032" s="198"/>
    </row>
    <row r="1033" spans="1:5">
      <c r="A1033" t="s">
        <v>3949</v>
      </c>
      <c r="B1033" s="198" t="s">
        <v>392</v>
      </c>
      <c r="E1033" s="198"/>
    </row>
    <row r="1034" spans="1:5">
      <c r="A1034" t="s">
        <v>3950</v>
      </c>
      <c r="B1034" s="198" t="s">
        <v>392</v>
      </c>
      <c r="E1034" s="198"/>
    </row>
    <row r="1035" spans="1:5">
      <c r="A1035" t="s">
        <v>3738</v>
      </c>
      <c r="B1035" s="198" t="s">
        <v>392</v>
      </c>
      <c r="E1035" s="198"/>
    </row>
    <row r="1036" spans="1:5">
      <c r="A1036" t="s">
        <v>3794</v>
      </c>
      <c r="B1036" s="198" t="s">
        <v>392</v>
      </c>
      <c r="E1036" s="198"/>
    </row>
    <row r="1037" spans="1:5">
      <c r="A1037" t="s">
        <v>4207</v>
      </c>
      <c r="B1037" s="198" t="s">
        <v>392</v>
      </c>
      <c r="E1037" s="198"/>
    </row>
    <row r="1038" spans="1:5">
      <c r="B1038" s="198" t="s">
        <v>392</v>
      </c>
      <c r="E1038" s="198"/>
    </row>
    <row r="1039" spans="1:5">
      <c r="B1039" s="198"/>
      <c r="E1039" s="198"/>
    </row>
    <row r="1040" spans="1:5">
      <c r="B1040" s="198"/>
      <c r="E1040" s="198"/>
    </row>
    <row r="1041" spans="1:5">
      <c r="A1041" t="s">
        <v>3538</v>
      </c>
      <c r="B1041" s="198" t="s">
        <v>3539</v>
      </c>
      <c r="E1041" s="198"/>
    </row>
    <row r="1042" spans="1:5">
      <c r="B1042" s="198"/>
      <c r="E1042" s="198"/>
    </row>
    <row r="1043" spans="1:5">
      <c r="B1043" s="198" t="s">
        <v>393</v>
      </c>
      <c r="E1043" s="198"/>
    </row>
    <row r="1044" spans="1:5">
      <c r="A1044" t="s">
        <v>1717</v>
      </c>
      <c r="B1044" s="234" t="s">
        <v>2371</v>
      </c>
      <c r="C1044" s="234"/>
      <c r="E1044" s="198"/>
    </row>
    <row r="1045" spans="1:5">
      <c r="A1045" t="s">
        <v>2585</v>
      </c>
      <c r="B1045" s="198" t="s">
        <v>394</v>
      </c>
      <c r="E1045" s="198"/>
    </row>
    <row r="1046" spans="1:5">
      <c r="A1046" t="s">
        <v>3235</v>
      </c>
      <c r="B1046" s="234" t="s">
        <v>2371</v>
      </c>
      <c r="E1046" s="198"/>
    </row>
    <row r="1047" spans="1:5">
      <c r="A1047" t="s">
        <v>3169</v>
      </c>
      <c r="B1047" s="234" t="s">
        <v>2371</v>
      </c>
      <c r="E1047" s="198"/>
    </row>
    <row r="1048" spans="1:5">
      <c r="A1048" t="s">
        <v>2342</v>
      </c>
      <c r="B1048" s="198" t="s">
        <v>394</v>
      </c>
      <c r="E1048" s="198"/>
    </row>
    <row r="1049" spans="1:5">
      <c r="A1049" t="s">
        <v>2831</v>
      </c>
      <c r="B1049" s="198" t="s">
        <v>394</v>
      </c>
      <c r="E1049" s="198"/>
    </row>
    <row r="1050" spans="1:5">
      <c r="A1050" t="s">
        <v>2124</v>
      </c>
      <c r="B1050" s="198" t="s">
        <v>394</v>
      </c>
      <c r="E1050" s="198"/>
    </row>
    <row r="1051" spans="1:5">
      <c r="B1051" s="198" t="s">
        <v>394</v>
      </c>
      <c r="E1051" s="198"/>
    </row>
    <row r="1052" spans="1:5">
      <c r="B1052" s="198" t="s">
        <v>394</v>
      </c>
      <c r="E1052" s="198"/>
    </row>
    <row r="1053" spans="1:5">
      <c r="B1053" s="198" t="s">
        <v>394</v>
      </c>
      <c r="E1053" s="198"/>
    </row>
    <row r="1054" spans="1:5">
      <c r="B1054" s="198"/>
      <c r="E1054" s="198"/>
    </row>
    <row r="1055" spans="1:5">
      <c r="A1055" t="s">
        <v>3194</v>
      </c>
      <c r="B1055" s="198" t="s">
        <v>3195</v>
      </c>
      <c r="E1055" s="198"/>
    </row>
    <row r="1056" spans="1:5">
      <c r="B1056" s="198"/>
      <c r="E1056" s="198"/>
    </row>
    <row r="1057" spans="1:8">
      <c r="A1057" t="s">
        <v>3673</v>
      </c>
      <c r="B1057" s="198" t="s">
        <v>395</v>
      </c>
      <c r="E1057" s="198"/>
    </row>
    <row r="1058" spans="1:8">
      <c r="A1058" t="s">
        <v>1802</v>
      </c>
      <c r="B1058" s="198" t="s">
        <v>395</v>
      </c>
      <c r="E1058" s="198"/>
    </row>
    <row r="1059" spans="1:8">
      <c r="A1059" t="s">
        <v>1716</v>
      </c>
      <c r="B1059" s="198" t="s">
        <v>395</v>
      </c>
      <c r="E1059" s="198"/>
    </row>
    <row r="1060" spans="1:8">
      <c r="A1060" t="s">
        <v>990</v>
      </c>
      <c r="B1060" s="198" t="s">
        <v>395</v>
      </c>
      <c r="E1060" s="198"/>
    </row>
    <row r="1061" spans="1:8">
      <c r="A1061" t="s">
        <v>3382</v>
      </c>
      <c r="B1061" s="198" t="s">
        <v>395</v>
      </c>
      <c r="E1061" s="198"/>
    </row>
    <row r="1062" spans="1:8">
      <c r="A1062" t="s">
        <v>2869</v>
      </c>
      <c r="B1062" s="198" t="s">
        <v>395</v>
      </c>
      <c r="E1062" s="198"/>
    </row>
    <row r="1063" spans="1:8">
      <c r="A1063" t="s">
        <v>984</v>
      </c>
      <c r="B1063" s="198" t="s">
        <v>396</v>
      </c>
      <c r="E1063" s="198"/>
    </row>
    <row r="1064" spans="1:8">
      <c r="A1064" t="s">
        <v>1682</v>
      </c>
      <c r="B1064" s="198" t="s">
        <v>397</v>
      </c>
      <c r="E1064" s="198"/>
    </row>
    <row r="1065" spans="1:8">
      <c r="A1065" t="s">
        <v>3171</v>
      </c>
      <c r="B1065" s="198" t="s">
        <v>397</v>
      </c>
      <c r="E1065" s="198"/>
    </row>
    <row r="1066" spans="1:8">
      <c r="A1066" t="s">
        <v>3354</v>
      </c>
      <c r="B1066" s="198" t="s">
        <v>397</v>
      </c>
      <c r="E1066" s="198"/>
    </row>
    <row r="1067" spans="1:8">
      <c r="A1067" t="s">
        <v>1979</v>
      </c>
      <c r="B1067" s="198" t="s">
        <v>397</v>
      </c>
      <c r="E1067" s="198"/>
    </row>
    <row r="1068" spans="1:8">
      <c r="A1068" t="s">
        <v>1980</v>
      </c>
      <c r="B1068" s="198" t="s">
        <v>397</v>
      </c>
      <c r="E1068" s="198"/>
    </row>
    <row r="1069" spans="1:8">
      <c r="A1069" t="s">
        <v>1981</v>
      </c>
      <c r="B1069" s="198" t="s">
        <v>397</v>
      </c>
      <c r="E1069" s="198"/>
    </row>
    <row r="1070" spans="1:8">
      <c r="A1070" t="s">
        <v>3795</v>
      </c>
      <c r="B1070" s="198" t="s">
        <v>397</v>
      </c>
      <c r="E1070" s="198"/>
    </row>
    <row r="1071" spans="1:8">
      <c r="A1071" t="s">
        <v>3909</v>
      </c>
      <c r="B1071" s="198" t="s">
        <v>397</v>
      </c>
      <c r="E1071" s="198"/>
    </row>
    <row r="1072" spans="1:8">
      <c r="A1072" t="s">
        <v>1683</v>
      </c>
      <c r="B1072" s="198" t="s">
        <v>397</v>
      </c>
      <c r="E1072" s="198"/>
      <c r="H1072" s="198"/>
    </row>
    <row r="1073" spans="1:5">
      <c r="A1073" t="s">
        <v>2907</v>
      </c>
      <c r="B1073" s="198" t="s">
        <v>397</v>
      </c>
      <c r="E1073" s="198"/>
    </row>
    <row r="1074" spans="1:5">
      <c r="A1074" t="s">
        <v>776</v>
      </c>
      <c r="B1074" s="198" t="s">
        <v>397</v>
      </c>
      <c r="E1074" s="198"/>
    </row>
    <row r="1075" spans="1:5">
      <c r="B1075" s="198" t="s">
        <v>397</v>
      </c>
      <c r="E1075" s="198"/>
    </row>
    <row r="1076" spans="1:5">
      <c r="A1076" t="s">
        <v>1752</v>
      </c>
      <c r="B1076" s="198" t="s">
        <v>2372</v>
      </c>
      <c r="C1076" t="s">
        <v>1978</v>
      </c>
      <c r="E1076" s="198"/>
    </row>
    <row r="1077" spans="1:5">
      <c r="A1077" t="s">
        <v>2454</v>
      </c>
      <c r="B1077" s="198" t="s">
        <v>398</v>
      </c>
      <c r="E1077" s="198"/>
    </row>
    <row r="1078" spans="1:5">
      <c r="A1078" t="s">
        <v>3424</v>
      </c>
      <c r="B1078" s="198" t="s">
        <v>398</v>
      </c>
      <c r="E1078" s="198"/>
    </row>
    <row r="1079" spans="1:5" ht="16.5" customHeight="1">
      <c r="A1079" t="s">
        <v>1850</v>
      </c>
      <c r="B1079" s="198" t="s">
        <v>2372</v>
      </c>
      <c r="E1079" s="198"/>
    </row>
    <row r="1080" spans="1:5">
      <c r="B1080" s="198" t="s">
        <v>399</v>
      </c>
      <c r="E1080" s="198"/>
    </row>
    <row r="1081" spans="1:5">
      <c r="B1081" s="198" t="s">
        <v>407</v>
      </c>
      <c r="E1081" s="198"/>
    </row>
    <row r="1082" spans="1:5">
      <c r="A1082" t="s">
        <v>1867</v>
      </c>
      <c r="B1082" s="198" t="s">
        <v>408</v>
      </c>
      <c r="E1082" s="198"/>
    </row>
    <row r="1083" spans="1:5">
      <c r="A1083" t="s">
        <v>3540</v>
      </c>
      <c r="B1083" s="198" t="s">
        <v>408</v>
      </c>
      <c r="E1083" s="198"/>
    </row>
    <row r="1084" spans="1:5">
      <c r="A1084" t="s">
        <v>1290</v>
      </c>
      <c r="B1084" s="198" t="s">
        <v>408</v>
      </c>
      <c r="E1084" s="198"/>
    </row>
    <row r="1085" spans="1:5">
      <c r="A1085" t="s">
        <v>973</v>
      </c>
      <c r="B1085" s="198" t="s">
        <v>408</v>
      </c>
      <c r="E1085" s="198"/>
    </row>
    <row r="1086" spans="1:5">
      <c r="A1086" t="s">
        <v>3159</v>
      </c>
      <c r="B1086" s="198" t="s">
        <v>408</v>
      </c>
      <c r="E1086" s="198"/>
    </row>
    <row r="1087" spans="1:5">
      <c r="A1087" t="s">
        <v>3160</v>
      </c>
      <c r="B1087" s="198" t="s">
        <v>408</v>
      </c>
      <c r="E1087" s="198"/>
    </row>
    <row r="1088" spans="1:5">
      <c r="A1088" t="s">
        <v>3541</v>
      </c>
      <c r="B1088" s="198" t="s">
        <v>408</v>
      </c>
      <c r="E1088" s="198"/>
    </row>
    <row r="1089" spans="1:5">
      <c r="B1089" s="198" t="s">
        <v>409</v>
      </c>
      <c r="E1089" s="198"/>
    </row>
    <row r="1090" spans="1:5">
      <c r="B1090" s="198" t="s">
        <v>409</v>
      </c>
      <c r="E1090" s="198"/>
    </row>
    <row r="1091" spans="1:5" ht="28">
      <c r="A1091" t="s">
        <v>1251</v>
      </c>
      <c r="B1091" s="198" t="s">
        <v>410</v>
      </c>
      <c r="E1091" s="198"/>
    </row>
    <row r="1092" spans="1:5" ht="28">
      <c r="A1092" t="s">
        <v>3425</v>
      </c>
      <c r="B1092" s="198" t="s">
        <v>410</v>
      </c>
      <c r="E1092" s="198"/>
    </row>
    <row r="1093" spans="1:5" ht="28">
      <c r="A1093" t="s">
        <v>974</v>
      </c>
      <c r="B1093" s="198" t="s">
        <v>410</v>
      </c>
      <c r="E1093" s="198"/>
    </row>
    <row r="1094" spans="1:5" ht="28">
      <c r="A1094" t="s">
        <v>3426</v>
      </c>
      <c r="B1094" s="198" t="s">
        <v>410</v>
      </c>
      <c r="E1094" s="198"/>
    </row>
    <row r="1095" spans="1:5">
      <c r="B1095" s="198" t="s">
        <v>411</v>
      </c>
      <c r="E1095" s="198"/>
    </row>
    <row r="1096" spans="1:5">
      <c r="A1096" t="s">
        <v>1616</v>
      </c>
      <c r="B1096" s="198" t="s">
        <v>412</v>
      </c>
      <c r="E1096" s="198"/>
    </row>
    <row r="1097" spans="1:5">
      <c r="B1097" s="198" t="s">
        <v>413</v>
      </c>
      <c r="E1097" s="198"/>
    </row>
    <row r="1098" spans="1:5">
      <c r="B1098" s="198" t="s">
        <v>414</v>
      </c>
      <c r="E1098" s="198"/>
    </row>
    <row r="1099" spans="1:5">
      <c r="B1099" s="198" t="s">
        <v>415</v>
      </c>
      <c r="E1099" s="198"/>
    </row>
    <row r="1100" spans="1:5">
      <c r="B1100" s="198"/>
      <c r="E1100" s="198"/>
    </row>
    <row r="1101" spans="1:5">
      <c r="A1101" t="s">
        <v>3250</v>
      </c>
      <c r="B1101" s="198" t="s">
        <v>3238</v>
      </c>
      <c r="E1101" s="198"/>
    </row>
    <row r="1102" spans="1:5">
      <c r="A1102" t="s">
        <v>4137</v>
      </c>
      <c r="B1102" s="198" t="s">
        <v>3238</v>
      </c>
      <c r="E1102" s="198"/>
    </row>
    <row r="1103" spans="1:5">
      <c r="A1103" t="s">
        <v>4138</v>
      </c>
      <c r="B1103" s="198" t="s">
        <v>3238</v>
      </c>
      <c r="E1103" s="198"/>
    </row>
    <row r="1104" spans="1:5">
      <c r="A1104" t="s">
        <v>4202</v>
      </c>
      <c r="B1104" s="198" t="s">
        <v>3238</v>
      </c>
      <c r="E1104" s="198"/>
    </row>
    <row r="1105" spans="1:5">
      <c r="A1105" t="s">
        <v>3327</v>
      </c>
      <c r="B1105" s="198" t="s">
        <v>3238</v>
      </c>
      <c r="E1105" s="198"/>
    </row>
    <row r="1106" spans="1:5">
      <c r="A1106" t="s">
        <v>3328</v>
      </c>
      <c r="B1106" s="198" t="s">
        <v>3238</v>
      </c>
      <c r="E1106" s="198"/>
    </row>
    <row r="1107" spans="1:5">
      <c r="B1107" s="198"/>
      <c r="E1107" s="198"/>
    </row>
    <row r="1108" spans="1:5">
      <c r="A1108" t="s">
        <v>2284</v>
      </c>
      <c r="B1108" s="198" t="s">
        <v>416</v>
      </c>
      <c r="E1108" s="198"/>
    </row>
    <row r="1109" spans="1:5">
      <c r="A1109" t="s">
        <v>2657</v>
      </c>
      <c r="B1109" s="198" t="s">
        <v>416</v>
      </c>
      <c r="E1109" s="198"/>
    </row>
    <row r="1110" spans="1:5">
      <c r="A1110" t="s">
        <v>2825</v>
      </c>
      <c r="B1110" s="198" t="s">
        <v>416</v>
      </c>
      <c r="E1110" s="198"/>
    </row>
    <row r="1111" spans="1:5">
      <c r="A1111" t="s">
        <v>1876</v>
      </c>
      <c r="B1111" s="198" t="s">
        <v>416</v>
      </c>
      <c r="E1111" s="198"/>
    </row>
    <row r="1112" spans="1:5">
      <c r="A1112" t="s">
        <v>1877</v>
      </c>
      <c r="B1112" s="198" t="s">
        <v>416</v>
      </c>
      <c r="E1112" s="198"/>
    </row>
    <row r="1113" spans="1:5">
      <c r="A1113" t="s">
        <v>2915</v>
      </c>
      <c r="B1113" s="198" t="s">
        <v>416</v>
      </c>
      <c r="E1113" s="198"/>
    </row>
    <row r="1114" spans="1:5">
      <c r="A1114" t="s">
        <v>3009</v>
      </c>
      <c r="B1114" s="198" t="s">
        <v>416</v>
      </c>
      <c r="E1114" s="198"/>
    </row>
    <row r="1115" spans="1:5">
      <c r="A1115" t="s">
        <v>1878</v>
      </c>
      <c r="B1115" s="198" t="s">
        <v>416</v>
      </c>
      <c r="E1115" s="198"/>
    </row>
    <row r="1116" spans="1:5">
      <c r="A1116" t="s">
        <v>1879</v>
      </c>
      <c r="B1116" s="198" t="s">
        <v>416</v>
      </c>
      <c r="E1116" s="198"/>
    </row>
    <row r="1117" spans="1:5">
      <c r="A1117" t="s">
        <v>1880</v>
      </c>
      <c r="B1117" s="198" t="s">
        <v>416</v>
      </c>
      <c r="E1117" s="198"/>
    </row>
    <row r="1118" spans="1:5">
      <c r="A1118" t="s">
        <v>1881</v>
      </c>
      <c r="B1118" s="198" t="s">
        <v>416</v>
      </c>
      <c r="E1118" s="198"/>
    </row>
    <row r="1119" spans="1:5">
      <c r="A1119" t="s">
        <v>1882</v>
      </c>
      <c r="B1119" s="198" t="s">
        <v>416</v>
      </c>
      <c r="E1119" s="198"/>
    </row>
    <row r="1120" spans="1:5">
      <c r="A1120" t="s">
        <v>2870</v>
      </c>
      <c r="B1120" s="198" t="s">
        <v>416</v>
      </c>
      <c r="E1120" s="198"/>
    </row>
    <row r="1121" spans="1:5">
      <c r="A1121" t="s">
        <v>3196</v>
      </c>
      <c r="B1121" s="198" t="s">
        <v>416</v>
      </c>
      <c r="E1121" s="198"/>
    </row>
    <row r="1122" spans="1:5">
      <c r="A1122" t="s">
        <v>3197</v>
      </c>
      <c r="B1122" s="198" t="s">
        <v>416</v>
      </c>
      <c r="E1122" s="198"/>
    </row>
    <row r="1123" spans="1:5">
      <c r="A1123" t="s">
        <v>3910</v>
      </c>
      <c r="B1123" s="198" t="s">
        <v>416</v>
      </c>
      <c r="E1123" s="198"/>
    </row>
    <row r="1124" spans="1:5">
      <c r="A1124" t="s">
        <v>4172</v>
      </c>
      <c r="B1124" s="198" t="s">
        <v>416</v>
      </c>
      <c r="E1124" s="198"/>
    </row>
    <row r="1125" spans="1:5">
      <c r="A1125" t="s">
        <v>4100</v>
      </c>
      <c r="B1125" s="198" t="s">
        <v>416</v>
      </c>
      <c r="E1125" s="198"/>
    </row>
    <row r="1126" spans="1:5">
      <c r="A1126" t="s">
        <v>4193</v>
      </c>
      <c r="B1126" s="198" t="s">
        <v>416</v>
      </c>
      <c r="E1126" s="198"/>
    </row>
    <row r="1127" spans="1:5">
      <c r="A1127" t="s">
        <v>1883</v>
      </c>
      <c r="B1127" s="198" t="s">
        <v>416</v>
      </c>
      <c r="E1127" s="198"/>
    </row>
    <row r="1128" spans="1:5">
      <c r="A1128" t="s">
        <v>1884</v>
      </c>
      <c r="B1128" s="198" t="s">
        <v>416</v>
      </c>
      <c r="E1128" s="198"/>
    </row>
    <row r="1129" spans="1:5">
      <c r="A1129" t="s">
        <v>1885</v>
      </c>
      <c r="B1129" s="198" t="s">
        <v>416</v>
      </c>
      <c r="E1129" s="198"/>
    </row>
    <row r="1130" spans="1:5">
      <c r="A1130" t="s">
        <v>1886</v>
      </c>
      <c r="B1130" s="198" t="s">
        <v>416</v>
      </c>
      <c r="E1130" s="198"/>
    </row>
    <row r="1131" spans="1:5">
      <c r="A1131" t="s">
        <v>1887</v>
      </c>
      <c r="B1131" s="198" t="s">
        <v>416</v>
      </c>
      <c r="E1131" s="198"/>
    </row>
    <row r="1132" spans="1:5">
      <c r="A1132" t="s">
        <v>1888</v>
      </c>
      <c r="B1132" s="198" t="s">
        <v>416</v>
      </c>
      <c r="E1132" s="198"/>
    </row>
    <row r="1133" spans="1:5">
      <c r="A1133" t="s">
        <v>1889</v>
      </c>
      <c r="B1133" s="198" t="s">
        <v>416</v>
      </c>
      <c r="E1133" s="198"/>
    </row>
    <row r="1134" spans="1:5">
      <c r="A1134" t="s">
        <v>1890</v>
      </c>
      <c r="B1134" s="198" t="s">
        <v>416</v>
      </c>
      <c r="E1134" s="198"/>
    </row>
    <row r="1135" spans="1:5">
      <c r="A1135" t="s">
        <v>1891</v>
      </c>
      <c r="B1135" s="198" t="s">
        <v>416</v>
      </c>
      <c r="E1135" s="198"/>
    </row>
    <row r="1136" spans="1:5">
      <c r="A1136" t="s">
        <v>1892</v>
      </c>
      <c r="B1136" s="198" t="s">
        <v>416</v>
      </c>
      <c r="E1136" s="198"/>
    </row>
    <row r="1137" spans="1:5">
      <c r="A1137" t="s">
        <v>1893</v>
      </c>
      <c r="B1137" s="198" t="s">
        <v>416</v>
      </c>
      <c r="E1137" s="198"/>
    </row>
    <row r="1138" spans="1:5">
      <c r="A1138" t="s">
        <v>1894</v>
      </c>
      <c r="B1138" s="198" t="s">
        <v>416</v>
      </c>
      <c r="E1138" s="198"/>
    </row>
    <row r="1139" spans="1:5">
      <c r="A1139" t="s">
        <v>1895</v>
      </c>
      <c r="B1139" s="198" t="s">
        <v>416</v>
      </c>
      <c r="E1139" s="198"/>
    </row>
    <row r="1140" spans="1:5">
      <c r="A1140" t="s">
        <v>1896</v>
      </c>
      <c r="B1140" s="198" t="s">
        <v>416</v>
      </c>
      <c r="E1140" s="198"/>
    </row>
    <row r="1141" spans="1:5">
      <c r="A1141" t="s">
        <v>2658</v>
      </c>
      <c r="B1141" s="198" t="s">
        <v>416</v>
      </c>
      <c r="E1141" s="198"/>
    </row>
    <row r="1142" spans="1:5">
      <c r="A1142" t="s">
        <v>2659</v>
      </c>
      <c r="B1142" s="198" t="s">
        <v>416</v>
      </c>
      <c r="E1142" s="198"/>
    </row>
    <row r="1143" spans="1:5">
      <c r="A1143" t="s">
        <v>2871</v>
      </c>
      <c r="B1143" s="198" t="s">
        <v>416</v>
      </c>
      <c r="E1143" s="198"/>
    </row>
    <row r="1144" spans="1:5">
      <c r="A1144" t="s">
        <v>2872</v>
      </c>
      <c r="B1144" s="198" t="s">
        <v>416</v>
      </c>
      <c r="E1144" s="198"/>
    </row>
    <row r="1145" spans="1:5">
      <c r="A1145" t="s">
        <v>3289</v>
      </c>
      <c r="B1145" s="198" t="s">
        <v>416</v>
      </c>
      <c r="E1145" s="198"/>
    </row>
    <row r="1146" spans="1:5">
      <c r="A1146" t="s">
        <v>3198</v>
      </c>
      <c r="B1146" s="198" t="s">
        <v>416</v>
      </c>
      <c r="E1146" s="198"/>
    </row>
    <row r="1147" spans="1:5">
      <c r="A1147" t="s">
        <v>3542</v>
      </c>
      <c r="B1147" s="198" t="s">
        <v>416</v>
      </c>
      <c r="E1147" s="198"/>
    </row>
    <row r="1148" spans="1:5">
      <c r="B1148" s="198"/>
      <c r="E1148" s="198"/>
    </row>
    <row r="1149" spans="1:5">
      <c r="A1149" t="s">
        <v>1627</v>
      </c>
      <c r="B1149" s="198" t="s">
        <v>419</v>
      </c>
      <c r="E1149" s="198"/>
    </row>
    <row r="1150" spans="1:5">
      <c r="A1150" t="s">
        <v>1252</v>
      </c>
      <c r="B1150" s="198" t="s">
        <v>419</v>
      </c>
      <c r="E1150" s="198"/>
    </row>
    <row r="1151" spans="1:5">
      <c r="A1151" t="s">
        <v>3796</v>
      </c>
      <c r="B1151" s="198" t="s">
        <v>419</v>
      </c>
      <c r="E1151" s="198"/>
    </row>
    <row r="1152" spans="1:5">
      <c r="A1152" t="s">
        <v>1810</v>
      </c>
      <c r="B1152" s="198" t="s">
        <v>419</v>
      </c>
      <c r="E1152" s="198"/>
    </row>
    <row r="1153" spans="1:5">
      <c r="A1153" t="s">
        <v>1816</v>
      </c>
      <c r="B1153" s="198" t="s">
        <v>419</v>
      </c>
      <c r="E1153" s="198"/>
    </row>
    <row r="1154" spans="1:5">
      <c r="A1154" t="s">
        <v>1815</v>
      </c>
      <c r="B1154" s="198" t="s">
        <v>419</v>
      </c>
      <c r="E1154" s="198"/>
    </row>
    <row r="1155" spans="1:5">
      <c r="A1155" t="s">
        <v>1847</v>
      </c>
      <c r="B1155" s="198" t="s">
        <v>419</v>
      </c>
      <c r="E1155" s="198"/>
    </row>
    <row r="1156" spans="1:5">
      <c r="A1156" t="s">
        <v>1807</v>
      </c>
      <c r="B1156" s="198" t="s">
        <v>419</v>
      </c>
      <c r="E1156" s="198"/>
    </row>
    <row r="1157" spans="1:5">
      <c r="A1157" t="s">
        <v>1808</v>
      </c>
      <c r="B1157" s="198" t="s">
        <v>419</v>
      </c>
      <c r="E1157" s="198"/>
    </row>
    <row r="1158" spans="1:5">
      <c r="A1158" t="s">
        <v>2011</v>
      </c>
      <c r="B1158" s="198" t="s">
        <v>419</v>
      </c>
      <c r="E1158" s="198"/>
    </row>
    <row r="1159" spans="1:5">
      <c r="A1159" t="s">
        <v>2171</v>
      </c>
      <c r="B1159" s="198" t="s">
        <v>419</v>
      </c>
      <c r="E1159" s="198"/>
    </row>
    <row r="1160" spans="1:5">
      <c r="A1160" t="s">
        <v>2227</v>
      </c>
      <c r="B1160" s="198" t="s">
        <v>419</v>
      </c>
      <c r="E1160" s="198"/>
    </row>
    <row r="1161" spans="1:5">
      <c r="A1161" t="s">
        <v>2228</v>
      </c>
      <c r="B1161" s="198" t="s">
        <v>419</v>
      </c>
      <c r="E1161" s="198"/>
    </row>
    <row r="1162" spans="1:5">
      <c r="A1162" t="s">
        <v>2429</v>
      </c>
      <c r="B1162" s="198" t="s">
        <v>419</v>
      </c>
      <c r="E1162" s="198"/>
    </row>
    <row r="1163" spans="1:5">
      <c r="A1163" t="s">
        <v>2586</v>
      </c>
      <c r="B1163" s="198" t="s">
        <v>419</v>
      </c>
      <c r="E1163" s="198"/>
    </row>
    <row r="1164" spans="1:5">
      <c r="A1164" t="s">
        <v>2661</v>
      </c>
      <c r="B1164" s="198" t="s">
        <v>419</v>
      </c>
      <c r="E1164" s="198"/>
    </row>
    <row r="1165" spans="1:5">
      <c r="A1165" t="s">
        <v>2662</v>
      </c>
      <c r="B1165" s="198" t="s">
        <v>419</v>
      </c>
      <c r="E1165" s="198"/>
    </row>
    <row r="1166" spans="1:5">
      <c r="A1166" t="s">
        <v>2663</v>
      </c>
      <c r="B1166" s="198" t="s">
        <v>419</v>
      </c>
      <c r="E1166" s="198"/>
    </row>
    <row r="1167" spans="1:5">
      <c r="A1167" t="s">
        <v>2692</v>
      </c>
      <c r="B1167" s="198" t="s">
        <v>419</v>
      </c>
      <c r="E1167" s="198"/>
    </row>
    <row r="1168" spans="1:5">
      <c r="A1168" t="s">
        <v>4120</v>
      </c>
      <c r="B1168" s="198" t="s">
        <v>419</v>
      </c>
      <c r="E1168" s="198"/>
    </row>
    <row r="1169" spans="1:5">
      <c r="A1169" t="s">
        <v>2838</v>
      </c>
      <c r="B1169" s="198" t="s">
        <v>419</v>
      </c>
      <c r="E1169" s="198"/>
    </row>
    <row r="1170" spans="1:5">
      <c r="A1170" t="s">
        <v>2722</v>
      </c>
      <c r="B1170" s="198" t="s">
        <v>419</v>
      </c>
      <c r="E1170" s="198"/>
    </row>
    <row r="1171" spans="1:5">
      <c r="A1171" t="s">
        <v>2929</v>
      </c>
      <c r="B1171" s="198" t="s">
        <v>419</v>
      </c>
      <c r="E1171" s="198"/>
    </row>
    <row r="1172" spans="1:5">
      <c r="A1172" t="s">
        <v>2723</v>
      </c>
      <c r="B1172" s="198" t="s">
        <v>419</v>
      </c>
      <c r="E1172" s="198"/>
    </row>
    <row r="1173" spans="1:5">
      <c r="A1173" t="s">
        <v>2724</v>
      </c>
      <c r="B1173" s="198" t="s">
        <v>419</v>
      </c>
      <c r="E1173" s="198"/>
    </row>
    <row r="1174" spans="1:5">
      <c r="A1174" t="s">
        <v>2725</v>
      </c>
      <c r="B1174" s="198" t="s">
        <v>419</v>
      </c>
      <c r="E1174" s="198"/>
    </row>
    <row r="1175" spans="1:5">
      <c r="A1175" t="s">
        <v>2726</v>
      </c>
      <c r="B1175" s="198" t="s">
        <v>419</v>
      </c>
      <c r="E1175" s="198"/>
    </row>
    <row r="1176" spans="1:5">
      <c r="A1176" t="s">
        <v>3290</v>
      </c>
      <c r="B1176" s="198" t="s">
        <v>419</v>
      </c>
      <c r="E1176" s="198"/>
    </row>
    <row r="1177" spans="1:5">
      <c r="A1177" t="s">
        <v>4206</v>
      </c>
      <c r="B1177" s="198" t="s">
        <v>419</v>
      </c>
      <c r="E1177" s="198"/>
    </row>
    <row r="1178" spans="1:5">
      <c r="A1178" t="s">
        <v>4107</v>
      </c>
      <c r="B1178" s="198" t="s">
        <v>419</v>
      </c>
      <c r="E1178" s="198"/>
    </row>
    <row r="1179" spans="1:5">
      <c r="A1179" t="s">
        <v>4037</v>
      </c>
      <c r="B1179" s="198" t="s">
        <v>419</v>
      </c>
      <c r="E1179" s="198"/>
    </row>
    <row r="1180" spans="1:5">
      <c r="A1180" t="s">
        <v>4019</v>
      </c>
      <c r="B1180" s="198" t="s">
        <v>419</v>
      </c>
      <c r="E1180" s="198"/>
    </row>
    <row r="1181" spans="1:5">
      <c r="A1181" t="s">
        <v>4047</v>
      </c>
      <c r="B1181" s="198" t="s">
        <v>419</v>
      </c>
      <c r="E1181" s="198"/>
    </row>
    <row r="1182" spans="1:5">
      <c r="A1182" t="s">
        <v>4046</v>
      </c>
      <c r="B1182" s="198" t="s">
        <v>419</v>
      </c>
      <c r="E1182" s="198"/>
    </row>
    <row r="1183" spans="1:5">
      <c r="A1183" t="s">
        <v>3543</v>
      </c>
      <c r="B1183" s="198" t="s">
        <v>419</v>
      </c>
      <c r="E1183" s="198"/>
    </row>
    <row r="1184" spans="1:5" ht="16.5" customHeight="1">
      <c r="A1184" t="s">
        <v>1774</v>
      </c>
      <c r="B1184" s="198" t="s">
        <v>419</v>
      </c>
      <c r="E1184" s="198"/>
    </row>
    <row r="1185" spans="1:5" ht="16.5" customHeight="1">
      <c r="A1185" t="s">
        <v>3077</v>
      </c>
      <c r="B1185" s="198" t="s">
        <v>419</v>
      </c>
      <c r="E1185" s="198"/>
    </row>
    <row r="1186" spans="1:5">
      <c r="B1186" s="198"/>
      <c r="E1186" s="198"/>
    </row>
    <row r="1187" spans="1:5">
      <c r="A1187" t="s">
        <v>1688</v>
      </c>
      <c r="B1187" s="198" t="s">
        <v>420</v>
      </c>
      <c r="E1187" s="198"/>
    </row>
    <row r="1188" spans="1:5">
      <c r="A1188" t="s">
        <v>3797</v>
      </c>
      <c r="B1188" s="198" t="s">
        <v>420</v>
      </c>
      <c r="E1188" s="198"/>
    </row>
    <row r="1189" spans="1:5">
      <c r="A1189" t="s">
        <v>1689</v>
      </c>
      <c r="B1189" s="198" t="s">
        <v>420</v>
      </c>
      <c r="E1189" s="198"/>
    </row>
    <row r="1190" spans="1:5">
      <c r="A1190" t="s">
        <v>3798</v>
      </c>
      <c r="B1190" s="198" t="s">
        <v>420</v>
      </c>
      <c r="E1190" s="198"/>
    </row>
    <row r="1191" spans="1:5">
      <c r="A1191" t="s">
        <v>1817</v>
      </c>
      <c r="B1191" s="198" t="s">
        <v>420</v>
      </c>
      <c r="E1191" s="198"/>
    </row>
    <row r="1192" spans="1:5">
      <c r="A1192" t="s">
        <v>1010</v>
      </c>
      <c r="B1192" s="198" t="s">
        <v>420</v>
      </c>
      <c r="E1192" s="198"/>
    </row>
    <row r="1193" spans="1:5">
      <c r="A1193" t="s">
        <v>3799</v>
      </c>
      <c r="B1193" s="198" t="s">
        <v>420</v>
      </c>
      <c r="E1193" s="198"/>
    </row>
    <row r="1194" spans="1:5">
      <c r="A1194" t="s">
        <v>1641</v>
      </c>
      <c r="B1194" s="198" t="s">
        <v>420</v>
      </c>
      <c r="E1194" s="198"/>
    </row>
    <row r="1195" spans="1:5">
      <c r="A1195" t="s">
        <v>1642</v>
      </c>
      <c r="B1195" s="198" t="s">
        <v>420</v>
      </c>
      <c r="E1195" s="198"/>
    </row>
    <row r="1196" spans="1:5">
      <c r="A1196" t="s">
        <v>1329</v>
      </c>
      <c r="B1196" s="198" t="s">
        <v>420</v>
      </c>
      <c r="E1196" s="198"/>
    </row>
    <row r="1197" spans="1:5">
      <c r="A1197" t="s">
        <v>986</v>
      </c>
      <c r="B1197" s="198" t="s">
        <v>420</v>
      </c>
      <c r="E1197" s="198"/>
    </row>
    <row r="1198" spans="1:5">
      <c r="A1198" t="s">
        <v>1700</v>
      </c>
      <c r="B1198" s="198" t="s">
        <v>420</v>
      </c>
      <c r="E1198" s="198"/>
    </row>
    <row r="1199" spans="1:5">
      <c r="A1199" t="s">
        <v>1021</v>
      </c>
      <c r="B1199" s="198" t="s">
        <v>420</v>
      </c>
      <c r="E1199" s="198"/>
    </row>
    <row r="1200" spans="1:5">
      <c r="A1200" t="s">
        <v>2012</v>
      </c>
      <c r="B1200" s="198" t="s">
        <v>420</v>
      </c>
      <c r="E1200" s="198"/>
    </row>
    <row r="1201" spans="1:5">
      <c r="A1201" t="s">
        <v>3726</v>
      </c>
      <c r="B1201" s="198" t="s">
        <v>420</v>
      </c>
      <c r="E1201" s="198"/>
    </row>
    <row r="1202" spans="1:5">
      <c r="A1202" t="s">
        <v>1685</v>
      </c>
      <c r="B1202" s="198" t="s">
        <v>420</v>
      </c>
      <c r="E1202" s="198"/>
    </row>
    <row r="1203" spans="1:5">
      <c r="A1203" t="s">
        <v>1649</v>
      </c>
      <c r="B1203" s="198" t="s">
        <v>420</v>
      </c>
      <c r="E1203" s="198"/>
    </row>
    <row r="1204" spans="1:5">
      <c r="A1204" t="s">
        <v>1686</v>
      </c>
      <c r="B1204" s="198" t="s">
        <v>420</v>
      </c>
      <c r="E1204" s="198"/>
    </row>
    <row r="1205" spans="1:5">
      <c r="A1205" t="s">
        <v>3427</v>
      </c>
      <c r="B1205" s="198" t="s">
        <v>420</v>
      </c>
      <c r="E1205" s="198"/>
    </row>
    <row r="1206" spans="1:5">
      <c r="A1206" t="s">
        <v>1258</v>
      </c>
      <c r="B1206" s="198" t="s">
        <v>420</v>
      </c>
      <c r="E1206" s="198"/>
    </row>
    <row r="1207" spans="1:5">
      <c r="A1207" t="s">
        <v>883</v>
      </c>
      <c r="B1207" s="198" t="s">
        <v>420</v>
      </c>
      <c r="E1207" s="198"/>
    </row>
    <row r="1208" spans="1:5">
      <c r="A1208" t="s">
        <v>705</v>
      </c>
      <c r="B1208" s="198" t="s">
        <v>420</v>
      </c>
      <c r="E1208" s="198"/>
    </row>
    <row r="1209" spans="1:5">
      <c r="A1209" t="s">
        <v>1646</v>
      </c>
      <c r="B1209" s="198" t="s">
        <v>420</v>
      </c>
      <c r="E1209" s="198"/>
    </row>
    <row r="1210" spans="1:5">
      <c r="A1210" t="s">
        <v>1687</v>
      </c>
      <c r="B1210" s="198" t="s">
        <v>420</v>
      </c>
      <c r="E1210" s="198"/>
    </row>
    <row r="1211" spans="1:5">
      <c r="A1211" t="s">
        <v>779</v>
      </c>
      <c r="B1211" s="198" t="s">
        <v>420</v>
      </c>
      <c r="E1211" s="198"/>
    </row>
    <row r="1212" spans="1:5">
      <c r="A1212" t="s">
        <v>1257</v>
      </c>
      <c r="B1212" s="198" t="s">
        <v>420</v>
      </c>
      <c r="E1212" s="198"/>
    </row>
    <row r="1213" spans="1:5">
      <c r="A1213" t="s">
        <v>632</v>
      </c>
      <c r="B1213" s="198" t="s">
        <v>420</v>
      </c>
      <c r="E1213" s="198"/>
    </row>
    <row r="1214" spans="1:5">
      <c r="A1214" t="s">
        <v>641</v>
      </c>
      <c r="B1214" s="198" t="s">
        <v>420</v>
      </c>
      <c r="E1214" s="198"/>
    </row>
    <row r="1215" spans="1:5">
      <c r="A1215" t="s">
        <v>750</v>
      </c>
      <c r="B1215" s="198" t="s">
        <v>420</v>
      </c>
      <c r="E1215" s="198"/>
    </row>
    <row r="1216" spans="1:5">
      <c r="A1216" t="s">
        <v>887</v>
      </c>
      <c r="B1216" s="198" t="s">
        <v>420</v>
      </c>
      <c r="E1216" s="198"/>
    </row>
    <row r="1217" spans="1:5">
      <c r="A1217" t="s">
        <v>781</v>
      </c>
      <c r="B1217" s="198" t="s">
        <v>420</v>
      </c>
      <c r="E1217" s="198"/>
    </row>
    <row r="1218" spans="1:5">
      <c r="A1218" t="s">
        <v>634</v>
      </c>
      <c r="B1218" s="198" t="s">
        <v>420</v>
      </c>
      <c r="E1218" s="198"/>
    </row>
    <row r="1219" spans="1:5">
      <c r="A1219" t="s">
        <v>659</v>
      </c>
      <c r="B1219" s="198" t="s">
        <v>420</v>
      </c>
      <c r="E1219" s="198"/>
    </row>
    <row r="1220" spans="1:5">
      <c r="A1220" t="s">
        <v>663</v>
      </c>
      <c r="B1220" s="198" t="s">
        <v>420</v>
      </c>
      <c r="E1220" s="198"/>
    </row>
    <row r="1221" spans="1:5">
      <c r="A1221" t="s">
        <v>751</v>
      </c>
      <c r="B1221" s="198" t="s">
        <v>420</v>
      </c>
      <c r="E1221" s="198"/>
    </row>
    <row r="1222" spans="1:5">
      <c r="A1222" t="s">
        <v>698</v>
      </c>
      <c r="B1222" s="198" t="s">
        <v>420</v>
      </c>
      <c r="E1222" s="198"/>
    </row>
    <row r="1223" spans="1:5">
      <c r="A1223" t="s">
        <v>1636</v>
      </c>
      <c r="B1223" s="198" t="s">
        <v>420</v>
      </c>
      <c r="E1223" s="198"/>
    </row>
    <row r="1224" spans="1:5">
      <c r="A1224" t="s">
        <v>664</v>
      </c>
      <c r="B1224" s="198" t="s">
        <v>420</v>
      </c>
      <c r="E1224" s="198"/>
    </row>
    <row r="1225" spans="1:5">
      <c r="A1225" t="s">
        <v>667</v>
      </c>
      <c r="B1225" s="198" t="s">
        <v>420</v>
      </c>
      <c r="E1225" s="198"/>
    </row>
    <row r="1226" spans="1:5">
      <c r="A1226" t="s">
        <v>752</v>
      </c>
      <c r="B1226" s="198" t="s">
        <v>420</v>
      </c>
      <c r="E1226" s="198"/>
    </row>
    <row r="1227" spans="1:5">
      <c r="A1227" t="s">
        <v>753</v>
      </c>
      <c r="B1227" s="198" t="s">
        <v>420</v>
      </c>
      <c r="E1227" s="198"/>
    </row>
    <row r="1228" spans="1:5">
      <c r="A1228" t="s">
        <v>754</v>
      </c>
      <c r="B1228" s="198" t="s">
        <v>420</v>
      </c>
      <c r="E1228" s="198"/>
    </row>
    <row r="1229" spans="1:5">
      <c r="A1229" t="s">
        <v>888</v>
      </c>
      <c r="B1229" s="198" t="s">
        <v>420</v>
      </c>
      <c r="E1229" s="198"/>
    </row>
    <row r="1230" spans="1:5">
      <c r="A1230" t="s">
        <v>889</v>
      </c>
      <c r="B1230" s="198" t="s">
        <v>420</v>
      </c>
      <c r="E1230" s="198"/>
    </row>
    <row r="1231" spans="1:5">
      <c r="A1231" t="s">
        <v>890</v>
      </c>
      <c r="B1231" s="198" t="s">
        <v>420</v>
      </c>
      <c r="E1231" s="198"/>
    </row>
    <row r="1232" spans="1:5">
      <c r="A1232" t="s">
        <v>891</v>
      </c>
      <c r="B1232" s="198" t="s">
        <v>420</v>
      </c>
      <c r="E1232" s="198"/>
    </row>
    <row r="1233" spans="1:5">
      <c r="A1233" t="s">
        <v>892</v>
      </c>
      <c r="B1233" s="198" t="s">
        <v>420</v>
      </c>
      <c r="E1233" s="198"/>
    </row>
    <row r="1234" spans="1:5">
      <c r="A1234" t="s">
        <v>987</v>
      </c>
      <c r="B1234" s="198" t="s">
        <v>420</v>
      </c>
      <c r="E1234" s="198"/>
    </row>
    <row r="1235" spans="1:5">
      <c r="A1235" t="s">
        <v>2126</v>
      </c>
      <c r="B1235" s="198" t="s">
        <v>420</v>
      </c>
      <c r="E1235" s="198"/>
    </row>
    <row r="1236" spans="1:5">
      <c r="A1236" t="s">
        <v>2013</v>
      </c>
      <c r="B1236" s="198" t="s">
        <v>420</v>
      </c>
      <c r="E1236" s="198"/>
    </row>
    <row r="1237" spans="1:5">
      <c r="A1237" t="s">
        <v>2415</v>
      </c>
      <c r="B1237" s="198" t="s">
        <v>420</v>
      </c>
      <c r="D1237" s="234"/>
      <c r="E1237" s="198"/>
    </row>
    <row r="1238" spans="1:5">
      <c r="B1238" s="198" t="s">
        <v>420</v>
      </c>
      <c r="D1238" s="234"/>
      <c r="E1238" s="198"/>
    </row>
    <row r="1239" spans="1:5">
      <c r="B1239" s="198"/>
      <c r="E1239" s="198"/>
    </row>
    <row r="1240" spans="1:5">
      <c r="A1240" t="s">
        <v>3882</v>
      </c>
      <c r="B1240" s="198" t="s">
        <v>417</v>
      </c>
      <c r="E1240" s="198"/>
    </row>
    <row r="1241" spans="1:5">
      <c r="A1241" t="s">
        <v>1751</v>
      </c>
      <c r="B1241" s="198" t="s">
        <v>417</v>
      </c>
      <c r="E1241" s="198"/>
    </row>
    <row r="1242" spans="1:5">
      <c r="A1242" t="s">
        <v>1313</v>
      </c>
      <c r="B1242" s="198" t="s">
        <v>417</v>
      </c>
      <c r="E1242" s="198"/>
    </row>
    <row r="1243" spans="1:5">
      <c r="A1243" t="s">
        <v>696</v>
      </c>
      <c r="B1243" s="198" t="s">
        <v>417</v>
      </c>
      <c r="E1243" s="198"/>
    </row>
    <row r="1244" spans="1:5">
      <c r="A1244" t="s">
        <v>628</v>
      </c>
      <c r="B1244" s="198" t="s">
        <v>417</v>
      </c>
      <c r="E1244" s="198"/>
    </row>
    <row r="1245" spans="1:5">
      <c r="A1245" t="s">
        <v>785</v>
      </c>
      <c r="B1245" s="198" t="s">
        <v>417</v>
      </c>
      <c r="E1245" s="198"/>
    </row>
    <row r="1246" spans="1:5">
      <c r="A1246" t="s">
        <v>882</v>
      </c>
      <c r="B1246" s="198" t="s">
        <v>417</v>
      </c>
      <c r="E1246" s="198"/>
    </row>
    <row r="1247" spans="1:5">
      <c r="A1247" t="s">
        <v>3800</v>
      </c>
      <c r="B1247" s="198" t="s">
        <v>417</v>
      </c>
      <c r="E1247" s="198"/>
    </row>
    <row r="1248" spans="1:5">
      <c r="A1248" s="234" t="s">
        <v>702</v>
      </c>
      <c r="B1248" s="198" t="s">
        <v>417</v>
      </c>
      <c r="E1248" s="198"/>
    </row>
    <row r="1249" spans="1:5">
      <c r="A1249" s="234" t="s">
        <v>755</v>
      </c>
      <c r="B1249" s="198" t="s">
        <v>417</v>
      </c>
      <c r="E1249" s="198"/>
    </row>
    <row r="1250" spans="1:5">
      <c r="A1250" t="s">
        <v>1255</v>
      </c>
      <c r="B1250" s="198" t="s">
        <v>417</v>
      </c>
      <c r="E1250" s="198"/>
    </row>
    <row r="1251" spans="1:5">
      <c r="A1251" t="s">
        <v>1635</v>
      </c>
      <c r="B1251" s="198" t="s">
        <v>417</v>
      </c>
      <c r="E1251" s="198"/>
    </row>
    <row r="1252" spans="1:5">
      <c r="A1252" t="s">
        <v>2587</v>
      </c>
      <c r="B1252" s="198" t="s">
        <v>417</v>
      </c>
      <c r="E1252" s="198"/>
    </row>
    <row r="1253" spans="1:5">
      <c r="A1253" t="s">
        <v>2127</v>
      </c>
      <c r="B1253" s="198" t="s">
        <v>417</v>
      </c>
      <c r="E1253" s="198"/>
    </row>
    <row r="1254" spans="1:5">
      <c r="A1254" t="s">
        <v>2455</v>
      </c>
      <c r="B1254" s="198" t="s">
        <v>417</v>
      </c>
      <c r="E1254" s="198"/>
    </row>
    <row r="1255" spans="1:5">
      <c r="A1255" t="s">
        <v>1922</v>
      </c>
      <c r="B1255" s="198" t="s">
        <v>417</v>
      </c>
      <c r="E1255" s="198"/>
    </row>
    <row r="1256" spans="1:5">
      <c r="A1256" t="s">
        <v>1923</v>
      </c>
      <c r="B1256" s="198" t="s">
        <v>417</v>
      </c>
      <c r="E1256" s="198"/>
    </row>
    <row r="1257" spans="1:5">
      <c r="A1257" t="s">
        <v>1924</v>
      </c>
      <c r="B1257" s="198" t="s">
        <v>417</v>
      </c>
      <c r="E1257" s="198"/>
    </row>
    <row r="1258" spans="1:5">
      <c r="A1258" t="s">
        <v>1925</v>
      </c>
      <c r="B1258" s="198" t="s">
        <v>417</v>
      </c>
      <c r="E1258" s="198"/>
    </row>
    <row r="1259" spans="1:5">
      <c r="A1259" t="s">
        <v>1826</v>
      </c>
      <c r="B1259" s="198" t="s">
        <v>417</v>
      </c>
      <c r="E1259" s="198"/>
    </row>
    <row r="1260" spans="1:5">
      <c r="A1260" t="s">
        <v>1899</v>
      </c>
      <c r="B1260" s="198" t="s">
        <v>417</v>
      </c>
      <c r="E1260" s="198"/>
    </row>
    <row r="1261" spans="1:5">
      <c r="A1261" t="s">
        <v>1901</v>
      </c>
      <c r="B1261" s="198" t="s">
        <v>417</v>
      </c>
      <c r="E1261" s="198"/>
    </row>
    <row r="1262" spans="1:5">
      <c r="A1262" t="s">
        <v>1927</v>
      </c>
      <c r="B1262" s="198" t="s">
        <v>417</v>
      </c>
      <c r="E1262" s="198"/>
    </row>
    <row r="1263" spans="1:5">
      <c r="A1263" t="s">
        <v>1928</v>
      </c>
      <c r="B1263" s="198" t="s">
        <v>417</v>
      </c>
      <c r="E1263" s="198"/>
    </row>
    <row r="1264" spans="1:5">
      <c r="A1264" t="s">
        <v>1929</v>
      </c>
      <c r="B1264" s="198" t="s">
        <v>417</v>
      </c>
      <c r="E1264" s="198"/>
    </row>
    <row r="1265" spans="1:5">
      <c r="A1265" t="s">
        <v>1904</v>
      </c>
      <c r="B1265" s="198" t="s">
        <v>417</v>
      </c>
      <c r="E1265" s="198"/>
    </row>
    <row r="1266" spans="1:5" ht="13.5" customHeight="1">
      <c r="A1266" t="s">
        <v>1930</v>
      </c>
      <c r="B1266" s="198" t="s">
        <v>417</v>
      </c>
      <c r="E1266" s="198"/>
    </row>
    <row r="1267" spans="1:5">
      <c r="A1267" t="s">
        <v>1805</v>
      </c>
      <c r="B1267" s="198" t="s">
        <v>417</v>
      </c>
      <c r="E1267" s="198"/>
    </row>
    <row r="1268" spans="1:5">
      <c r="A1268" t="s">
        <v>2128</v>
      </c>
      <c r="B1268" s="198" t="s">
        <v>417</v>
      </c>
      <c r="E1268" s="198"/>
    </row>
    <row r="1269" spans="1:5">
      <c r="A1269" t="s">
        <v>2125</v>
      </c>
      <c r="B1269" s="198" t="s">
        <v>417</v>
      </c>
      <c r="E1269" s="198"/>
    </row>
    <row r="1270" spans="1:5">
      <c r="A1270" t="s">
        <v>2433</v>
      </c>
      <c r="B1270" s="198" t="s">
        <v>417</v>
      </c>
      <c r="E1270" s="198"/>
    </row>
    <row r="1271" spans="1:5">
      <c r="A1271" t="s">
        <v>2229</v>
      </c>
      <c r="B1271" s="198" t="s">
        <v>417</v>
      </c>
      <c r="E1271" s="198"/>
    </row>
    <row r="1272" spans="1:5">
      <c r="A1272" t="s">
        <v>2541</v>
      </c>
      <c r="B1272" s="198" t="s">
        <v>417</v>
      </c>
      <c r="E1272" s="198"/>
    </row>
    <row r="1273" spans="1:5">
      <c r="A1273" t="s">
        <v>2542</v>
      </c>
      <c r="B1273" s="198" t="s">
        <v>417</v>
      </c>
      <c r="E1273" s="198"/>
    </row>
    <row r="1274" spans="1:5">
      <c r="A1274" t="s">
        <v>2543</v>
      </c>
      <c r="B1274" s="198" t="s">
        <v>417</v>
      </c>
      <c r="E1274" s="198"/>
    </row>
    <row r="1275" spans="1:5">
      <c r="A1275" t="s">
        <v>2544</v>
      </c>
      <c r="B1275" s="198" t="s">
        <v>417</v>
      </c>
      <c r="E1275" s="198"/>
    </row>
    <row r="1276" spans="1:5">
      <c r="A1276" t="s">
        <v>2727</v>
      </c>
      <c r="B1276" s="198" t="s">
        <v>417</v>
      </c>
      <c r="E1276" s="198"/>
    </row>
    <row r="1277" spans="1:5">
      <c r="A1277" t="s">
        <v>2728</v>
      </c>
      <c r="B1277" s="198" t="s">
        <v>417</v>
      </c>
      <c r="E1277" s="198"/>
    </row>
    <row r="1278" spans="1:5">
      <c r="A1278" t="s">
        <v>2826</v>
      </c>
      <c r="B1278" s="198" t="s">
        <v>417</v>
      </c>
      <c r="E1278" s="198"/>
    </row>
    <row r="1279" spans="1:5">
      <c r="A1279" t="s">
        <v>2827</v>
      </c>
      <c r="B1279" s="198" t="s">
        <v>417</v>
      </c>
      <c r="E1279" s="198"/>
    </row>
    <row r="1280" spans="1:5">
      <c r="A1280" t="s">
        <v>2828</v>
      </c>
      <c r="B1280" s="198" t="s">
        <v>417</v>
      </c>
      <c r="E1280" s="198"/>
    </row>
    <row r="1281" spans="1:5">
      <c r="A1281" t="s">
        <v>2829</v>
      </c>
      <c r="B1281" s="198" t="s">
        <v>417</v>
      </c>
      <c r="E1281" s="198"/>
    </row>
    <row r="1282" spans="1:5">
      <c r="A1282" t="s">
        <v>2836</v>
      </c>
      <c r="B1282" s="198" t="s">
        <v>417</v>
      </c>
      <c r="E1282" s="198"/>
    </row>
    <row r="1283" spans="1:5">
      <c r="A1283" t="s">
        <v>2830</v>
      </c>
      <c r="B1283" s="198" t="s">
        <v>417</v>
      </c>
      <c r="E1283" s="198"/>
    </row>
    <row r="1284" spans="1:5">
      <c r="A1284" t="s">
        <v>3120</v>
      </c>
      <c r="B1284" s="198" t="s">
        <v>417</v>
      </c>
      <c r="E1284" s="198"/>
    </row>
    <row r="1285" spans="1:5">
      <c r="A1285" t="s">
        <v>3121</v>
      </c>
      <c r="B1285" s="198" t="s">
        <v>417</v>
      </c>
      <c r="E1285" s="198"/>
    </row>
    <row r="1286" spans="1:5">
      <c r="A1286" t="s">
        <v>3122</v>
      </c>
      <c r="B1286" s="198" t="s">
        <v>417</v>
      </c>
      <c r="E1286" s="198"/>
    </row>
    <row r="1287" spans="1:5">
      <c r="A1287" t="s">
        <v>3123</v>
      </c>
      <c r="B1287" s="198" t="s">
        <v>417</v>
      </c>
      <c r="E1287" s="198"/>
    </row>
    <row r="1288" spans="1:5">
      <c r="A1288" t="s">
        <v>3124</v>
      </c>
      <c r="B1288" s="198" t="s">
        <v>417</v>
      </c>
      <c r="E1288" s="198"/>
    </row>
    <row r="1289" spans="1:5">
      <c r="A1289" t="s">
        <v>3125</v>
      </c>
      <c r="B1289" s="198" t="s">
        <v>417</v>
      </c>
      <c r="E1289" s="198"/>
    </row>
    <row r="1290" spans="1:5">
      <c r="A1290" t="s">
        <v>3358</v>
      </c>
      <c r="B1290" s="198" t="s">
        <v>417</v>
      </c>
      <c r="E1290" s="198"/>
    </row>
    <row r="1291" spans="1:5">
      <c r="A1291" t="s">
        <v>3360</v>
      </c>
      <c r="B1291" s="198" t="s">
        <v>417</v>
      </c>
      <c r="E1291" s="198"/>
    </row>
    <row r="1292" spans="1:5">
      <c r="A1292" t="s">
        <v>4092</v>
      </c>
      <c r="B1292" s="198" t="s">
        <v>417</v>
      </c>
      <c r="E1292" s="198"/>
    </row>
    <row r="1293" spans="1:5">
      <c r="A1293" t="s">
        <v>4204</v>
      </c>
      <c r="B1293" s="198" t="s">
        <v>417</v>
      </c>
      <c r="E1293" s="198"/>
    </row>
    <row r="1294" spans="1:5">
      <c r="A1294" t="s">
        <v>4098</v>
      </c>
      <c r="B1294" s="198" t="s">
        <v>417</v>
      </c>
      <c r="E1294" s="198"/>
    </row>
    <row r="1295" spans="1:5">
      <c r="A1295" t="s">
        <v>4205</v>
      </c>
      <c r="B1295" s="198" t="s">
        <v>417</v>
      </c>
      <c r="E1295" s="198"/>
    </row>
    <row r="1296" spans="1:5">
      <c r="A1296" t="s">
        <v>4020</v>
      </c>
      <c r="B1296" s="198" t="s">
        <v>417</v>
      </c>
      <c r="E1296" s="198"/>
    </row>
    <row r="1297" spans="1:7">
      <c r="A1297" t="s">
        <v>3951</v>
      </c>
      <c r="B1297" s="198" t="s">
        <v>417</v>
      </c>
      <c r="E1297" s="198"/>
    </row>
    <row r="1298" spans="1:7">
      <c r="A1298" t="s">
        <v>2148</v>
      </c>
      <c r="B1298" s="198" t="s">
        <v>417</v>
      </c>
      <c r="E1298" s="198"/>
    </row>
    <row r="1299" spans="1:7">
      <c r="A1299" t="s">
        <v>2149</v>
      </c>
      <c r="B1299" s="198" t="s">
        <v>417</v>
      </c>
      <c r="E1299" s="198"/>
      <c r="G1299" s="198"/>
    </row>
    <row r="1300" spans="1:7">
      <c r="A1300" t="s">
        <v>2318</v>
      </c>
      <c r="B1300" s="198" t="s">
        <v>417</v>
      </c>
      <c r="E1300" s="198"/>
      <c r="G1300" s="198"/>
    </row>
    <row r="1301" spans="1:7">
      <c r="A1301" t="s">
        <v>2456</v>
      </c>
      <c r="B1301" s="198" t="s">
        <v>417</v>
      </c>
      <c r="E1301" s="198"/>
      <c r="G1301" s="198"/>
    </row>
    <row r="1302" spans="1:7">
      <c r="A1302" t="s">
        <v>3291</v>
      </c>
      <c r="B1302" s="198" t="s">
        <v>417</v>
      </c>
      <c r="E1302" s="198"/>
      <c r="G1302" s="198"/>
    </row>
    <row r="1303" spans="1:7">
      <c r="A1303" t="s">
        <v>3911</v>
      </c>
      <c r="B1303" s="198" t="s">
        <v>417</v>
      </c>
      <c r="E1303" s="198"/>
      <c r="G1303" s="198"/>
    </row>
    <row r="1304" spans="1:7">
      <c r="A1304" t="s">
        <v>3952</v>
      </c>
      <c r="B1304" s="198" t="s">
        <v>417</v>
      </c>
      <c r="E1304" s="198"/>
      <c r="G1304" s="198"/>
    </row>
    <row r="1305" spans="1:7">
      <c r="A1305" t="s">
        <v>3953</v>
      </c>
      <c r="B1305" s="198" t="s">
        <v>417</v>
      </c>
      <c r="E1305" s="198"/>
      <c r="G1305" s="198"/>
    </row>
    <row r="1306" spans="1:7">
      <c r="A1306" t="s">
        <v>3954</v>
      </c>
      <c r="B1306" s="198" t="s">
        <v>417</v>
      </c>
      <c r="E1306" s="198"/>
      <c r="G1306" s="198"/>
    </row>
    <row r="1307" spans="1:7">
      <c r="A1307" t="s">
        <v>3955</v>
      </c>
      <c r="B1307" s="198" t="s">
        <v>417</v>
      </c>
      <c r="E1307" s="198"/>
      <c r="G1307" s="198"/>
    </row>
    <row r="1308" spans="1:7">
      <c r="A1308" t="s">
        <v>3956</v>
      </c>
      <c r="B1308" s="198" t="s">
        <v>417</v>
      </c>
      <c r="E1308" s="198"/>
      <c r="G1308" s="198"/>
    </row>
    <row r="1309" spans="1:7">
      <c r="A1309" t="s">
        <v>3957</v>
      </c>
      <c r="B1309" s="198" t="s">
        <v>417</v>
      </c>
      <c r="E1309" s="198"/>
      <c r="G1309" s="198"/>
    </row>
    <row r="1310" spans="1:7">
      <c r="B1310" s="198"/>
      <c r="E1310" s="198"/>
      <c r="G1310" s="198"/>
    </row>
    <row r="1311" spans="1:7">
      <c r="A1311" t="s">
        <v>713</v>
      </c>
      <c r="B1311" s="198" t="s">
        <v>418</v>
      </c>
      <c r="E1311" s="198"/>
      <c r="G1311" s="198"/>
    </row>
    <row r="1312" spans="1:7">
      <c r="A1312" t="s">
        <v>643</v>
      </c>
      <c r="B1312" s="198" t="s">
        <v>418</v>
      </c>
      <c r="E1312" s="198"/>
      <c r="G1312" s="198"/>
    </row>
    <row r="1313" spans="1:5">
      <c r="A1313" t="s">
        <v>695</v>
      </c>
      <c r="B1313" s="198" t="s">
        <v>418</v>
      </c>
      <c r="E1313" s="198"/>
    </row>
    <row r="1314" spans="1:5">
      <c r="A1314" t="s">
        <v>1692</v>
      </c>
      <c r="B1314" s="198" t="s">
        <v>418</v>
      </c>
      <c r="E1314" s="198"/>
    </row>
    <row r="1315" spans="1:5">
      <c r="A1315" t="s">
        <v>1690</v>
      </c>
      <c r="B1315" s="198" t="s">
        <v>418</v>
      </c>
      <c r="E1315" s="198"/>
    </row>
    <row r="1316" spans="1:5">
      <c r="A1316" t="s">
        <v>1691</v>
      </c>
      <c r="B1316" s="198" t="s">
        <v>418</v>
      </c>
      <c r="E1316" s="198"/>
    </row>
    <row r="1317" spans="1:5">
      <c r="A1317" t="s">
        <v>1955</v>
      </c>
      <c r="B1317" s="198" t="s">
        <v>418</v>
      </c>
      <c r="E1317" s="198"/>
    </row>
    <row r="1318" spans="1:5">
      <c r="A1318" t="s">
        <v>3801</v>
      </c>
      <c r="B1318" s="198" t="s">
        <v>418</v>
      </c>
      <c r="E1318" s="198"/>
    </row>
    <row r="1319" spans="1:5">
      <c r="A1319" t="s">
        <v>1956</v>
      </c>
      <c r="B1319" s="198" t="s">
        <v>418</v>
      </c>
      <c r="E1319" s="198"/>
    </row>
    <row r="1320" spans="1:5">
      <c r="A1320" t="s">
        <v>3674</v>
      </c>
      <c r="B1320" s="198" t="s">
        <v>418</v>
      </c>
      <c r="E1320" s="198"/>
    </row>
    <row r="1321" spans="1:5">
      <c r="A1321" t="s">
        <v>3329</v>
      </c>
      <c r="B1321" s="198" t="s">
        <v>418</v>
      </c>
      <c r="E1321" s="198"/>
    </row>
    <row r="1322" spans="1:5">
      <c r="A1322" t="s">
        <v>3802</v>
      </c>
      <c r="B1322" s="198" t="s">
        <v>418</v>
      </c>
      <c r="E1322" s="198"/>
    </row>
    <row r="1323" spans="1:5">
      <c r="A1323" t="s">
        <v>1254</v>
      </c>
      <c r="B1323" s="198" t="s">
        <v>418</v>
      </c>
      <c r="E1323" s="198"/>
    </row>
    <row r="1324" spans="1:5">
      <c r="A1324" t="s">
        <v>1009</v>
      </c>
      <c r="B1324" s="198" t="s">
        <v>418</v>
      </c>
      <c r="E1324" s="198"/>
    </row>
    <row r="1325" spans="1:5">
      <c r="A1325" t="s">
        <v>1311</v>
      </c>
      <c r="B1325" s="198" t="s">
        <v>418</v>
      </c>
      <c r="E1325" s="198"/>
    </row>
    <row r="1326" spans="1:5">
      <c r="A1326" t="s">
        <v>704</v>
      </c>
      <c r="B1326" s="198" t="s">
        <v>418</v>
      </c>
      <c r="E1326" s="198"/>
    </row>
    <row r="1327" spans="1:5">
      <c r="A1327" t="s">
        <v>976</v>
      </c>
      <c r="B1327" s="198" t="s">
        <v>418</v>
      </c>
      <c r="E1327" s="198"/>
    </row>
    <row r="1328" spans="1:5">
      <c r="A1328" t="s">
        <v>1020</v>
      </c>
      <c r="B1328" s="198" t="s">
        <v>418</v>
      </c>
      <c r="E1328" s="198"/>
    </row>
    <row r="1329" spans="1:5">
      <c r="A1329" t="s">
        <v>977</v>
      </c>
      <c r="B1329" s="198" t="s">
        <v>418</v>
      </c>
      <c r="E1329" s="198"/>
    </row>
    <row r="1330" spans="1:5">
      <c r="A1330" t="s">
        <v>1312</v>
      </c>
      <c r="B1330" s="198" t="s">
        <v>418</v>
      </c>
      <c r="E1330" s="198"/>
    </row>
    <row r="1331" spans="1:5">
      <c r="A1331" t="s">
        <v>2155</v>
      </c>
      <c r="B1331" s="198" t="s">
        <v>418</v>
      </c>
      <c r="E1331" s="198"/>
    </row>
    <row r="1332" spans="1:5">
      <c r="A1332" t="s">
        <v>1796</v>
      </c>
      <c r="B1332" s="198" t="s">
        <v>418</v>
      </c>
      <c r="E1332" s="198"/>
    </row>
    <row r="1333" spans="1:5">
      <c r="A1333" t="s">
        <v>1900</v>
      </c>
      <c r="B1333" s="198" t="s">
        <v>418</v>
      </c>
      <c r="E1333" s="198"/>
    </row>
    <row r="1334" spans="1:5">
      <c r="A1334" t="s">
        <v>2416</v>
      </c>
      <c r="B1334" s="198" t="s">
        <v>418</v>
      </c>
      <c r="E1334" s="198"/>
    </row>
    <row r="1335" spans="1:5">
      <c r="A1335" t="s">
        <v>1902</v>
      </c>
      <c r="B1335" s="198" t="s">
        <v>418</v>
      </c>
      <c r="E1335" s="198"/>
    </row>
    <row r="1336" spans="1:5">
      <c r="A1336" t="s">
        <v>1903</v>
      </c>
      <c r="B1336" s="198" t="s">
        <v>418</v>
      </c>
      <c r="E1336" s="198"/>
    </row>
    <row r="1337" spans="1:5">
      <c r="A1337" t="s">
        <v>2146</v>
      </c>
      <c r="B1337" s="198" t="s">
        <v>418</v>
      </c>
      <c r="E1337" s="198"/>
    </row>
    <row r="1338" spans="1:5">
      <c r="A1338" t="s">
        <v>2129</v>
      </c>
      <c r="B1338" s="198" t="s">
        <v>418</v>
      </c>
      <c r="E1338" s="198"/>
    </row>
    <row r="1339" spans="1:5">
      <c r="A1339" t="s">
        <v>2664</v>
      </c>
      <c r="B1339" s="198" t="s">
        <v>418</v>
      </c>
      <c r="E1339" s="198"/>
    </row>
    <row r="1340" spans="1:5">
      <c r="A1340" t="s">
        <v>2665</v>
      </c>
      <c r="B1340" s="198" t="s">
        <v>418</v>
      </c>
      <c r="E1340" s="198"/>
    </row>
    <row r="1341" spans="1:5">
      <c r="A1341" t="s">
        <v>1851</v>
      </c>
      <c r="B1341" s="198" t="s">
        <v>418</v>
      </c>
      <c r="E1341" s="198"/>
    </row>
    <row r="1342" spans="1:5">
      <c r="A1342" t="s">
        <v>1957</v>
      </c>
      <c r="B1342" s="198" t="s">
        <v>418</v>
      </c>
      <c r="E1342" s="198"/>
    </row>
    <row r="1343" spans="1:5">
      <c r="A1343" t="s">
        <v>1958</v>
      </c>
      <c r="B1343" s="198" t="s">
        <v>418</v>
      </c>
      <c r="E1343" s="198"/>
    </row>
    <row r="1344" spans="1:5">
      <c r="A1344" t="s">
        <v>1959</v>
      </c>
      <c r="B1344" s="198" t="s">
        <v>418</v>
      </c>
      <c r="E1344" s="198"/>
    </row>
    <row r="1345" spans="1:5">
      <c r="A1345" t="s">
        <v>1961</v>
      </c>
      <c r="B1345" s="198" t="s">
        <v>418</v>
      </c>
      <c r="E1345" s="198"/>
    </row>
    <row r="1346" spans="1:5">
      <c r="A1346" t="s">
        <v>4099</v>
      </c>
      <c r="B1346" s="198" t="s">
        <v>418</v>
      </c>
      <c r="E1346" s="198"/>
    </row>
    <row r="1347" spans="1:5">
      <c r="A1347" t="s">
        <v>1963</v>
      </c>
      <c r="B1347" s="198" t="s">
        <v>418</v>
      </c>
      <c r="E1347" s="198"/>
    </row>
    <row r="1348" spans="1:5">
      <c r="A1348" t="s">
        <v>1905</v>
      </c>
      <c r="B1348" s="198" t="s">
        <v>418</v>
      </c>
      <c r="E1348" s="198"/>
    </row>
    <row r="1349" spans="1:5">
      <c r="A1349" t="s">
        <v>1906</v>
      </c>
      <c r="B1349" s="198" t="s">
        <v>418</v>
      </c>
      <c r="E1349" s="198"/>
    </row>
    <row r="1350" spans="1:5">
      <c r="A1350" t="s">
        <v>1907</v>
      </c>
      <c r="B1350" s="198" t="s">
        <v>418</v>
      </c>
      <c r="E1350" s="198"/>
    </row>
    <row r="1351" spans="1:5">
      <c r="A1351" t="s">
        <v>2835</v>
      </c>
      <c r="B1351" s="198" t="s">
        <v>418</v>
      </c>
      <c r="E1351" s="198"/>
    </row>
    <row r="1352" spans="1:5">
      <c r="A1352" t="s">
        <v>2926</v>
      </c>
      <c r="B1352" s="198" t="s">
        <v>418</v>
      </c>
      <c r="E1352" s="198"/>
    </row>
    <row r="1353" spans="1:5">
      <c r="A1353" t="s">
        <v>2927</v>
      </c>
      <c r="B1353" s="198" t="s">
        <v>418</v>
      </c>
      <c r="E1353" s="198"/>
    </row>
    <row r="1354" spans="1:5">
      <c r="A1354" t="s">
        <v>2928</v>
      </c>
      <c r="B1354" s="198" t="s">
        <v>418</v>
      </c>
      <c r="E1354" s="198"/>
    </row>
    <row r="1355" spans="1:5">
      <c r="A1355" t="s">
        <v>2729</v>
      </c>
      <c r="B1355" s="198" t="s">
        <v>418</v>
      </c>
      <c r="E1355" s="198"/>
    </row>
    <row r="1356" spans="1:5">
      <c r="A1356" t="s">
        <v>2730</v>
      </c>
      <c r="B1356" s="198" t="s">
        <v>418</v>
      </c>
      <c r="E1356" s="198"/>
    </row>
    <row r="1357" spans="1:5">
      <c r="A1357" t="s">
        <v>2731</v>
      </c>
      <c r="B1357" s="198" t="s">
        <v>418</v>
      </c>
      <c r="E1357" s="198"/>
    </row>
    <row r="1358" spans="1:5">
      <c r="A1358" t="s">
        <v>2732</v>
      </c>
      <c r="B1358" s="198" t="s">
        <v>418</v>
      </c>
      <c r="E1358" s="198"/>
    </row>
    <row r="1359" spans="1:5">
      <c r="A1359" t="s">
        <v>2733</v>
      </c>
      <c r="B1359" s="198" t="s">
        <v>418</v>
      </c>
      <c r="E1359" s="198"/>
    </row>
    <row r="1360" spans="1:5">
      <c r="A1360" t="s">
        <v>2734</v>
      </c>
      <c r="B1360" s="198" t="s">
        <v>418</v>
      </c>
      <c r="E1360" s="198"/>
    </row>
    <row r="1361" spans="1:5">
      <c r="A1361" t="s">
        <v>2925</v>
      </c>
      <c r="B1361" s="198" t="s">
        <v>418</v>
      </c>
      <c r="E1361" s="198"/>
    </row>
    <row r="1362" spans="1:5">
      <c r="A1362" t="s">
        <v>2917</v>
      </c>
      <c r="B1362" s="198" t="s">
        <v>418</v>
      </c>
      <c r="E1362" s="198"/>
    </row>
    <row r="1363" spans="1:5">
      <c r="A1363" t="s">
        <v>3386</v>
      </c>
      <c r="B1363" s="198" t="s">
        <v>418</v>
      </c>
      <c r="E1363" s="198"/>
    </row>
    <row r="1364" spans="1:5">
      <c r="A1364" t="s">
        <v>4211</v>
      </c>
      <c r="B1364" s="198" t="s">
        <v>418</v>
      </c>
      <c r="E1364" s="198"/>
    </row>
    <row r="1365" spans="1:5">
      <c r="A1365" t="s">
        <v>4108</v>
      </c>
      <c r="B1365" s="198" t="s">
        <v>418</v>
      </c>
      <c r="E1365" s="198"/>
    </row>
    <row r="1366" spans="1:5">
      <c r="A1366" t="s">
        <v>4005</v>
      </c>
      <c r="B1366" s="198" t="s">
        <v>418</v>
      </c>
      <c r="E1366" s="198"/>
    </row>
    <row r="1367" spans="1:5">
      <c r="A1367" t="s">
        <v>4060</v>
      </c>
      <c r="B1367" s="198" t="s">
        <v>418</v>
      </c>
      <c r="E1367" s="198"/>
    </row>
    <row r="1368" spans="1:5">
      <c r="A1368" t="s">
        <v>4061</v>
      </c>
      <c r="B1368" s="198" t="s">
        <v>418</v>
      </c>
      <c r="E1368" s="198"/>
    </row>
    <row r="1369" spans="1:5">
      <c r="A1369" t="s">
        <v>4062</v>
      </c>
      <c r="B1369" s="198" t="s">
        <v>418</v>
      </c>
      <c r="E1369" s="198"/>
    </row>
    <row r="1370" spans="1:5">
      <c r="A1370" t="s">
        <v>4063</v>
      </c>
      <c r="B1370" s="198" t="s">
        <v>418</v>
      </c>
      <c r="E1370" s="198"/>
    </row>
    <row r="1371" spans="1:5">
      <c r="A1371" t="s">
        <v>4064</v>
      </c>
      <c r="B1371" s="198" t="s">
        <v>418</v>
      </c>
      <c r="E1371" s="198"/>
    </row>
    <row r="1372" spans="1:5">
      <c r="A1372" t="s">
        <v>4129</v>
      </c>
      <c r="B1372" s="198" t="s">
        <v>418</v>
      </c>
      <c r="E1372" s="198"/>
    </row>
    <row r="1373" spans="1:5">
      <c r="A1373" t="s">
        <v>3292</v>
      </c>
      <c r="B1373" s="198" t="s">
        <v>418</v>
      </c>
      <c r="E1373" s="198"/>
    </row>
    <row r="1374" spans="1:5">
      <c r="A1374" t="s">
        <v>3293</v>
      </c>
      <c r="B1374" s="198" t="s">
        <v>418</v>
      </c>
      <c r="E1374" s="198"/>
    </row>
    <row r="1375" spans="1:5">
      <c r="A1375" t="s">
        <v>3748</v>
      </c>
      <c r="B1375" s="198" t="s">
        <v>418</v>
      </c>
      <c r="E1375" s="198"/>
    </row>
    <row r="1376" spans="1:5">
      <c r="A1376" t="s">
        <v>4178</v>
      </c>
      <c r="B1376" s="198" t="s">
        <v>418</v>
      </c>
      <c r="E1376" s="198"/>
    </row>
    <row r="1377" spans="1:5">
      <c r="A1377" t="s">
        <v>4187</v>
      </c>
      <c r="B1377" s="198" t="s">
        <v>418</v>
      </c>
      <c r="E1377" s="198"/>
    </row>
    <row r="1378" spans="1:5">
      <c r="A1378" t="s">
        <v>4128</v>
      </c>
      <c r="B1378" s="198" t="s">
        <v>418</v>
      </c>
      <c r="E1378" s="198"/>
    </row>
    <row r="1379" spans="1:5">
      <c r="A1379" t="s">
        <v>4179</v>
      </c>
      <c r="B1379" s="198" t="s">
        <v>418</v>
      </c>
      <c r="E1379" s="198"/>
    </row>
    <row r="1380" spans="1:5">
      <c r="A1380" t="s">
        <v>1908</v>
      </c>
      <c r="B1380" s="198" t="s">
        <v>418</v>
      </c>
      <c r="E1380" s="198"/>
    </row>
    <row r="1381" spans="1:5">
      <c r="A1381" t="s">
        <v>1909</v>
      </c>
      <c r="B1381" s="198" t="s">
        <v>418</v>
      </c>
      <c r="E1381" s="198"/>
    </row>
    <row r="1382" spans="1:5">
      <c r="A1382" t="s">
        <v>1910</v>
      </c>
      <c r="B1382" s="198" t="s">
        <v>418</v>
      </c>
      <c r="E1382" s="198"/>
    </row>
    <row r="1383" spans="1:5">
      <c r="A1383" t="s">
        <v>1911</v>
      </c>
      <c r="B1383" s="198" t="s">
        <v>418</v>
      </c>
      <c r="E1383" s="198"/>
    </row>
    <row r="1384" spans="1:5">
      <c r="A1384" t="s">
        <v>1912</v>
      </c>
      <c r="B1384" s="198" t="s">
        <v>418</v>
      </c>
      <c r="E1384" s="198"/>
    </row>
    <row r="1385" spans="1:5">
      <c r="A1385" t="s">
        <v>1913</v>
      </c>
      <c r="B1385" s="198" t="s">
        <v>418</v>
      </c>
      <c r="E1385" s="198"/>
    </row>
    <row r="1386" spans="1:5">
      <c r="A1386" t="s">
        <v>1914</v>
      </c>
      <c r="B1386" s="198" t="s">
        <v>418</v>
      </c>
      <c r="E1386" s="198"/>
    </row>
    <row r="1387" spans="1:5">
      <c r="A1387" t="s">
        <v>1915</v>
      </c>
      <c r="B1387" s="198" t="s">
        <v>418</v>
      </c>
      <c r="E1387" s="198"/>
    </row>
    <row r="1388" spans="1:5">
      <c r="A1388" t="s">
        <v>1916</v>
      </c>
      <c r="B1388" s="198" t="s">
        <v>418</v>
      </c>
      <c r="E1388" s="198"/>
    </row>
    <row r="1389" spans="1:5">
      <c r="A1389" t="s">
        <v>1917</v>
      </c>
      <c r="B1389" s="198" t="s">
        <v>418</v>
      </c>
      <c r="E1389" s="198"/>
    </row>
    <row r="1390" spans="1:5">
      <c r="A1390" t="s">
        <v>1918</v>
      </c>
      <c r="B1390" s="198" t="s">
        <v>418</v>
      </c>
      <c r="E1390" s="198"/>
    </row>
    <row r="1391" spans="1:5">
      <c r="A1391" t="s">
        <v>1919</v>
      </c>
      <c r="B1391" s="198" t="s">
        <v>418</v>
      </c>
      <c r="E1391" s="198"/>
    </row>
    <row r="1392" spans="1:5">
      <c r="A1392" t="s">
        <v>1920</v>
      </c>
      <c r="B1392" s="198" t="s">
        <v>418</v>
      </c>
      <c r="E1392" s="198"/>
    </row>
    <row r="1393" spans="1:5">
      <c r="A1393" t="s">
        <v>1921</v>
      </c>
      <c r="B1393" s="198" t="s">
        <v>418</v>
      </c>
      <c r="E1393" s="198"/>
    </row>
    <row r="1394" spans="1:5">
      <c r="A1394" t="s">
        <v>1967</v>
      </c>
      <c r="B1394" s="198" t="s">
        <v>418</v>
      </c>
      <c r="E1394" s="198"/>
    </row>
    <row r="1395" spans="1:5">
      <c r="A1395" t="s">
        <v>3199</v>
      </c>
      <c r="B1395" s="198" t="s">
        <v>418</v>
      </c>
      <c r="E1395" s="198"/>
    </row>
    <row r="1396" spans="1:5">
      <c r="A1396" t="s">
        <v>3200</v>
      </c>
      <c r="B1396" s="198" t="s">
        <v>418</v>
      </c>
      <c r="E1396" s="198"/>
    </row>
    <row r="1397" spans="1:5">
      <c r="A1397" t="s">
        <v>3201</v>
      </c>
      <c r="B1397" s="198" t="s">
        <v>418</v>
      </c>
      <c r="E1397" s="198"/>
    </row>
    <row r="1398" spans="1:5">
      <c r="A1398" t="s">
        <v>3202</v>
      </c>
      <c r="B1398" s="198" t="s">
        <v>418</v>
      </c>
      <c r="E1398" s="198"/>
    </row>
    <row r="1399" spans="1:5">
      <c r="A1399" t="s">
        <v>3203</v>
      </c>
      <c r="B1399" s="198" t="s">
        <v>418</v>
      </c>
      <c r="E1399" s="198"/>
    </row>
    <row r="1400" spans="1:5">
      <c r="A1400" t="s">
        <v>3428</v>
      </c>
      <c r="B1400" s="198" t="s">
        <v>418</v>
      </c>
      <c r="E1400" s="198"/>
    </row>
    <row r="1401" spans="1:5">
      <c r="A1401" t="s">
        <v>3544</v>
      </c>
      <c r="B1401" s="198" t="s">
        <v>418</v>
      </c>
      <c r="E1401" s="198"/>
    </row>
    <row r="1402" spans="1:5">
      <c r="A1402" t="s">
        <v>2319</v>
      </c>
      <c r="B1402" s="198" t="s">
        <v>418</v>
      </c>
      <c r="E1402" s="198"/>
    </row>
    <row r="1403" spans="1:5">
      <c r="A1403" t="s">
        <v>2457</v>
      </c>
      <c r="B1403" s="198" t="s">
        <v>418</v>
      </c>
      <c r="E1403" s="198"/>
    </row>
    <row r="1404" spans="1:5">
      <c r="A1404" t="s">
        <v>2458</v>
      </c>
      <c r="B1404" s="198" t="s">
        <v>418</v>
      </c>
      <c r="E1404" s="198"/>
    </row>
    <row r="1405" spans="1:5">
      <c r="A1405" t="s">
        <v>2459</v>
      </c>
      <c r="B1405" s="198" t="s">
        <v>418</v>
      </c>
      <c r="E1405" s="198"/>
    </row>
    <row r="1406" spans="1:5">
      <c r="A1406" t="s">
        <v>2460</v>
      </c>
      <c r="B1406" s="198" t="s">
        <v>418</v>
      </c>
      <c r="E1406" s="198"/>
    </row>
    <row r="1407" spans="1:5">
      <c r="A1407" t="s">
        <v>2461</v>
      </c>
      <c r="B1407" s="198" t="s">
        <v>418</v>
      </c>
      <c r="E1407" s="198"/>
    </row>
    <row r="1408" spans="1:5">
      <c r="A1408" t="s">
        <v>2462</v>
      </c>
      <c r="B1408" s="198" t="s">
        <v>418</v>
      </c>
      <c r="E1408" s="198"/>
    </row>
    <row r="1409" spans="1:5">
      <c r="A1409" t="s">
        <v>2463</v>
      </c>
      <c r="B1409" s="198" t="s">
        <v>418</v>
      </c>
      <c r="E1409" s="198"/>
    </row>
    <row r="1410" spans="1:5">
      <c r="A1410" t="s">
        <v>2588</v>
      </c>
      <c r="B1410" s="198" t="s">
        <v>418</v>
      </c>
      <c r="E1410" s="198"/>
    </row>
    <row r="1411" spans="1:5">
      <c r="A1411" t="s">
        <v>2873</v>
      </c>
      <c r="B1411" s="198" t="s">
        <v>418</v>
      </c>
      <c r="E1411" s="198"/>
    </row>
    <row r="1412" spans="1:5">
      <c r="A1412" t="s">
        <v>3294</v>
      </c>
      <c r="B1412" s="198" t="s">
        <v>418</v>
      </c>
      <c r="E1412" s="198"/>
    </row>
    <row r="1413" spans="1:5">
      <c r="A1413" t="s">
        <v>3429</v>
      </c>
      <c r="B1413" s="198" t="s">
        <v>418</v>
      </c>
      <c r="E1413" s="198"/>
    </row>
    <row r="1414" spans="1:5">
      <c r="A1414" t="s">
        <v>3430</v>
      </c>
      <c r="B1414" s="198" t="s">
        <v>418</v>
      </c>
      <c r="E1414" s="198"/>
    </row>
    <row r="1415" spans="1:5">
      <c r="A1415" t="s">
        <v>3675</v>
      </c>
      <c r="B1415" s="198" t="s">
        <v>418</v>
      </c>
      <c r="E1415" s="198"/>
    </row>
    <row r="1416" spans="1:5">
      <c r="A1416" t="s">
        <v>3958</v>
      </c>
      <c r="B1416" s="198" t="s">
        <v>418</v>
      </c>
      <c r="E1416" s="198"/>
    </row>
    <row r="1417" spans="1:5">
      <c r="B1417" s="198"/>
      <c r="E1417" s="198"/>
    </row>
    <row r="1418" spans="1:5">
      <c r="B1418" s="198" t="s">
        <v>400</v>
      </c>
      <c r="E1418" s="198"/>
    </row>
    <row r="1419" spans="1:5">
      <c r="A1419" t="s">
        <v>671</v>
      </c>
      <c r="B1419" s="198" t="s">
        <v>400</v>
      </c>
      <c r="E1419" s="198"/>
    </row>
    <row r="1420" spans="1:5">
      <c r="A1420" t="s">
        <v>980</v>
      </c>
      <c r="B1420" s="198" t="s">
        <v>400</v>
      </c>
      <c r="E1420" s="198"/>
    </row>
    <row r="1421" spans="1:5">
      <c r="A1421" t="s">
        <v>1926</v>
      </c>
      <c r="B1421" s="198" t="s">
        <v>400</v>
      </c>
      <c r="C1421" t="s">
        <v>2130</v>
      </c>
      <c r="E1421" s="198"/>
    </row>
    <row r="1422" spans="1:5">
      <c r="A1422" t="s">
        <v>1962</v>
      </c>
      <c r="B1422" s="198" t="s">
        <v>400</v>
      </c>
      <c r="E1422" s="198"/>
    </row>
    <row r="1423" spans="1:5">
      <c r="A1423" t="s">
        <v>1966</v>
      </c>
      <c r="B1423" s="198" t="s">
        <v>400</v>
      </c>
      <c r="E1423" s="198"/>
    </row>
    <row r="1424" spans="1:5">
      <c r="A1424" t="s">
        <v>2874</v>
      </c>
      <c r="B1424" s="198" t="s">
        <v>400</v>
      </c>
      <c r="E1424" s="198"/>
    </row>
    <row r="1425" spans="1:5">
      <c r="A1425" t="s">
        <v>2837</v>
      </c>
      <c r="B1425" s="198" t="s">
        <v>400</v>
      </c>
      <c r="E1425" s="198"/>
    </row>
    <row r="1426" spans="1:5">
      <c r="A1426" t="s">
        <v>3248</v>
      </c>
      <c r="B1426" s="198" t="s">
        <v>400</v>
      </c>
      <c r="E1426" s="198"/>
    </row>
    <row r="1427" spans="1:5">
      <c r="A1427" t="s">
        <v>3803</v>
      </c>
      <c r="B1427" s="198" t="s">
        <v>400</v>
      </c>
      <c r="E1427" s="198"/>
    </row>
    <row r="1428" spans="1:5">
      <c r="A1428" t="s">
        <v>3804</v>
      </c>
      <c r="B1428" s="198" t="s">
        <v>400</v>
      </c>
      <c r="E1428" s="198"/>
    </row>
    <row r="1429" spans="1:5">
      <c r="A1429" t="s">
        <v>3545</v>
      </c>
      <c r="B1429" s="198" t="s">
        <v>400</v>
      </c>
      <c r="E1429" s="198"/>
    </row>
    <row r="1430" spans="1:5">
      <c r="A1430" t="s">
        <v>2172</v>
      </c>
      <c r="B1430" s="198" t="s">
        <v>400</v>
      </c>
      <c r="E1430" s="198"/>
    </row>
    <row r="1431" spans="1:5">
      <c r="A1431" t="s">
        <v>1968</v>
      </c>
      <c r="B1431" s="198" t="s">
        <v>400</v>
      </c>
      <c r="C1431" t="s">
        <v>2130</v>
      </c>
      <c r="E1431" s="198"/>
    </row>
    <row r="1432" spans="1:5">
      <c r="A1432" t="s">
        <v>1790</v>
      </c>
      <c r="B1432" s="198" t="s">
        <v>400</v>
      </c>
      <c r="C1432" t="s">
        <v>981</v>
      </c>
      <c r="E1432" s="198"/>
    </row>
    <row r="1433" spans="1:5">
      <c r="A1433" t="s">
        <v>857</v>
      </c>
      <c r="B1433" s="198" t="s">
        <v>400</v>
      </c>
      <c r="C1433" t="s">
        <v>981</v>
      </c>
      <c r="E1433" s="198"/>
    </row>
    <row r="1434" spans="1:5">
      <c r="A1434" t="s">
        <v>798</v>
      </c>
      <c r="B1434" s="198" t="s">
        <v>400</v>
      </c>
      <c r="C1434" t="s">
        <v>981</v>
      </c>
      <c r="E1434" s="198"/>
    </row>
    <row r="1435" spans="1:5">
      <c r="B1435" s="198"/>
      <c r="E1435" s="198"/>
    </row>
    <row r="1436" spans="1:5">
      <c r="B1436" s="198" t="s">
        <v>405</v>
      </c>
      <c r="E1436" s="198"/>
    </row>
    <row r="1437" spans="1:5">
      <c r="B1437" s="198"/>
      <c r="E1437" s="198"/>
    </row>
    <row r="1438" spans="1:5">
      <c r="A1438" t="s">
        <v>622</v>
      </c>
      <c r="B1438" s="198" t="s">
        <v>401</v>
      </c>
      <c r="E1438" s="198"/>
    </row>
    <row r="1439" spans="1:5">
      <c r="A1439" t="s">
        <v>3912</v>
      </c>
      <c r="B1439" s="198" t="s">
        <v>401</v>
      </c>
      <c r="E1439" s="198"/>
    </row>
    <row r="1440" spans="1:5">
      <c r="A1440" t="s">
        <v>1969</v>
      </c>
      <c r="B1440" s="198" t="s">
        <v>401</v>
      </c>
      <c r="E1440" s="198"/>
    </row>
    <row r="1441" spans="1:5">
      <c r="A1441" t="s">
        <v>1970</v>
      </c>
      <c r="B1441" s="198" t="s">
        <v>401</v>
      </c>
      <c r="E1441" s="198"/>
    </row>
    <row r="1442" spans="1:5">
      <c r="A1442" t="s">
        <v>1027</v>
      </c>
      <c r="B1442" s="198" t="s">
        <v>401</v>
      </c>
      <c r="E1442" s="198"/>
    </row>
    <row r="1443" spans="1:5">
      <c r="A1443" t="s">
        <v>3727</v>
      </c>
      <c r="B1443" s="198" t="s">
        <v>401</v>
      </c>
      <c r="E1443" s="198"/>
    </row>
    <row r="1444" spans="1:5">
      <c r="A1444" t="s">
        <v>3330</v>
      </c>
      <c r="B1444" s="198" t="s">
        <v>401</v>
      </c>
      <c r="E1444" s="198"/>
    </row>
    <row r="1445" spans="1:5">
      <c r="A1445" t="s">
        <v>1316</v>
      </c>
      <c r="B1445" s="198" t="s">
        <v>401</v>
      </c>
      <c r="E1445" s="198"/>
    </row>
    <row r="1446" spans="1:5">
      <c r="A1446" t="s">
        <v>3805</v>
      </c>
      <c r="B1446" s="198" t="s">
        <v>401</v>
      </c>
      <c r="E1446" s="198"/>
    </row>
    <row r="1447" spans="1:5">
      <c r="A1447" t="s">
        <v>1971</v>
      </c>
      <c r="B1447" s="198" t="s">
        <v>401</v>
      </c>
      <c r="E1447" s="198"/>
    </row>
    <row r="1448" spans="1:5">
      <c r="A1448" t="s">
        <v>1972</v>
      </c>
      <c r="B1448" s="198" t="s">
        <v>401</v>
      </c>
      <c r="E1448" s="198"/>
    </row>
    <row r="1449" spans="1:5">
      <c r="A1449" t="s">
        <v>748</v>
      </c>
      <c r="B1449" s="198" t="s">
        <v>401</v>
      </c>
      <c r="E1449" s="198"/>
    </row>
    <row r="1450" spans="1:5">
      <c r="A1450" t="s">
        <v>1973</v>
      </c>
      <c r="B1450" s="198" t="s">
        <v>401</v>
      </c>
      <c r="E1450" s="198"/>
    </row>
    <row r="1451" spans="1:5">
      <c r="A1451" t="s">
        <v>749</v>
      </c>
      <c r="B1451" s="198" t="s">
        <v>401</v>
      </c>
      <c r="E1451" s="198"/>
    </row>
    <row r="1452" spans="1:5">
      <c r="A1452" t="s">
        <v>769</v>
      </c>
      <c r="B1452" s="198" t="s">
        <v>401</v>
      </c>
      <c r="E1452" s="198"/>
    </row>
    <row r="1453" spans="1:5">
      <c r="A1453" t="s">
        <v>983</v>
      </c>
      <c r="B1453" s="198" t="s">
        <v>401</v>
      </c>
      <c r="E1453" s="198"/>
    </row>
    <row r="1454" spans="1:5">
      <c r="A1454" t="s">
        <v>1693</v>
      </c>
      <c r="B1454" s="198" t="s">
        <v>401</v>
      </c>
      <c r="E1454" s="198"/>
    </row>
    <row r="1455" spans="1:5">
      <c r="A1455" t="s">
        <v>787</v>
      </c>
      <c r="B1455" s="198" t="s">
        <v>401</v>
      </c>
      <c r="E1455" s="198"/>
    </row>
    <row r="1456" spans="1:5">
      <c r="A1456" t="s">
        <v>1974</v>
      </c>
      <c r="B1456" s="198" t="s">
        <v>401</v>
      </c>
      <c r="E1456" s="198"/>
    </row>
    <row r="1457" spans="1:5">
      <c r="A1457" t="s">
        <v>1975</v>
      </c>
      <c r="B1457" s="198" t="s">
        <v>401</v>
      </c>
      <c r="E1457" s="198"/>
    </row>
    <row r="1458" spans="1:5">
      <c r="A1458" t="s">
        <v>885</v>
      </c>
      <c r="B1458" s="198" t="s">
        <v>401</v>
      </c>
      <c r="E1458" s="198"/>
    </row>
    <row r="1459" spans="1:5">
      <c r="A1459" t="s">
        <v>1253</v>
      </c>
      <c r="B1459" s="198" t="s">
        <v>401</v>
      </c>
      <c r="E1459" s="198"/>
    </row>
    <row r="1460" spans="1:5">
      <c r="A1460" t="s">
        <v>3546</v>
      </c>
      <c r="B1460" s="198" t="s">
        <v>401</v>
      </c>
      <c r="E1460" s="198"/>
    </row>
    <row r="1461" spans="1:5">
      <c r="A1461" t="s">
        <v>1029</v>
      </c>
      <c r="B1461" s="198" t="s">
        <v>401</v>
      </c>
      <c r="E1461" s="198"/>
    </row>
    <row r="1462" spans="1:5">
      <c r="A1462" t="s">
        <v>1319</v>
      </c>
      <c r="B1462" s="198" t="s">
        <v>401</v>
      </c>
      <c r="E1462" s="198"/>
    </row>
    <row r="1463" spans="1:5">
      <c r="A1463" t="s">
        <v>886</v>
      </c>
      <c r="B1463" s="198" t="s">
        <v>401</v>
      </c>
      <c r="E1463" s="198"/>
    </row>
    <row r="1464" spans="1:5">
      <c r="A1464" t="s">
        <v>1684</v>
      </c>
      <c r="B1464" s="198" t="s">
        <v>401</v>
      </c>
      <c r="E1464" s="198"/>
    </row>
    <row r="1465" spans="1:5">
      <c r="A1465" t="s">
        <v>1320</v>
      </c>
      <c r="B1465" s="198" t="s">
        <v>401</v>
      </c>
      <c r="E1465" s="198"/>
    </row>
    <row r="1466" spans="1:5">
      <c r="A1466" t="s">
        <v>1321</v>
      </c>
      <c r="B1466" s="198" t="s">
        <v>401</v>
      </c>
      <c r="E1466" s="198"/>
    </row>
    <row r="1467" spans="1:5">
      <c r="A1467" t="s">
        <v>982</v>
      </c>
      <c r="B1467" s="198" t="s">
        <v>401</v>
      </c>
      <c r="E1467" s="198"/>
    </row>
    <row r="1468" spans="1:5">
      <c r="A1468" t="s">
        <v>1634</v>
      </c>
      <c r="B1468" s="198" t="s">
        <v>401</v>
      </c>
      <c r="E1468" s="198"/>
    </row>
    <row r="1469" spans="1:5">
      <c r="A1469" t="s">
        <v>1322</v>
      </c>
      <c r="B1469" s="198" t="s">
        <v>401</v>
      </c>
      <c r="E1469" s="198"/>
    </row>
    <row r="1470" spans="1:5">
      <c r="A1470" t="s">
        <v>1323</v>
      </c>
      <c r="B1470" s="198" t="s">
        <v>401</v>
      </c>
      <c r="E1470" s="198"/>
    </row>
    <row r="1471" spans="1:5">
      <c r="A1471" t="s">
        <v>1960</v>
      </c>
      <c r="B1471" s="198" t="s">
        <v>401</v>
      </c>
      <c r="E1471" s="198"/>
    </row>
    <row r="1472" spans="1:5">
      <c r="A1472" t="s">
        <v>1976</v>
      </c>
      <c r="B1472" s="198" t="s">
        <v>401</v>
      </c>
      <c r="E1472" s="198"/>
    </row>
    <row r="1473" spans="1:5">
      <c r="A1473" t="s">
        <v>1964</v>
      </c>
      <c r="B1473" s="198" t="s">
        <v>401</v>
      </c>
      <c r="E1473" s="198"/>
    </row>
    <row r="1474" spans="1:5">
      <c r="A1474" t="s">
        <v>1965</v>
      </c>
      <c r="B1474" s="198" t="s">
        <v>401</v>
      </c>
      <c r="E1474" s="198"/>
    </row>
    <row r="1475" spans="1:5">
      <c r="A1475" t="s">
        <v>2735</v>
      </c>
      <c r="B1475" s="198" t="s">
        <v>401</v>
      </c>
      <c r="E1475" s="198"/>
    </row>
    <row r="1476" spans="1:5">
      <c r="A1476" t="s">
        <v>2736</v>
      </c>
      <c r="B1476" s="198" t="s">
        <v>403</v>
      </c>
      <c r="E1476" s="198"/>
    </row>
    <row r="1477" spans="1:5">
      <c r="A1477" t="s">
        <v>2737</v>
      </c>
      <c r="B1477" s="198" t="s">
        <v>401</v>
      </c>
      <c r="E1477" s="198"/>
    </row>
    <row r="1478" spans="1:5">
      <c r="A1478" t="s">
        <v>2738</v>
      </c>
      <c r="B1478" s="198" t="s">
        <v>401</v>
      </c>
      <c r="E1478" s="198"/>
    </row>
    <row r="1479" spans="1:5">
      <c r="A1479" t="s">
        <v>2892</v>
      </c>
      <c r="B1479" s="198" t="s">
        <v>401</v>
      </c>
      <c r="E1479" s="198"/>
    </row>
    <row r="1480" spans="1:5">
      <c r="A1480" t="s">
        <v>2173</v>
      </c>
      <c r="B1480" s="198" t="s">
        <v>401</v>
      </c>
      <c r="E1480" s="198"/>
    </row>
    <row r="1481" spans="1:5">
      <c r="B1481" s="198" t="s">
        <v>401</v>
      </c>
      <c r="E1481" s="198"/>
    </row>
    <row r="1482" spans="1:5">
      <c r="B1482" s="198" t="s">
        <v>401</v>
      </c>
      <c r="E1482" s="198"/>
    </row>
    <row r="1483" spans="1:5">
      <c r="B1483" s="198"/>
      <c r="E1483" s="198"/>
    </row>
    <row r="1484" spans="1:5">
      <c r="B1484" s="198" t="s">
        <v>402</v>
      </c>
      <c r="E1484" s="198"/>
    </row>
    <row r="1485" spans="1:5">
      <c r="A1485" t="s">
        <v>1317</v>
      </c>
      <c r="B1485" s="198" t="s">
        <v>406</v>
      </c>
      <c r="E1485" s="198"/>
    </row>
    <row r="1486" spans="1:5">
      <c r="A1486" t="s">
        <v>1318</v>
      </c>
      <c r="B1486" s="198" t="s">
        <v>406</v>
      </c>
      <c r="E1486" s="198"/>
    </row>
    <row r="1487" spans="1:5">
      <c r="B1487" s="198"/>
      <c r="E1487" s="198"/>
    </row>
    <row r="1488" spans="1:5">
      <c r="A1488" t="s">
        <v>2809</v>
      </c>
      <c r="B1488" s="198" t="s">
        <v>403</v>
      </c>
      <c r="E1488" s="198"/>
    </row>
    <row r="1489" spans="1:5">
      <c r="A1489" t="s">
        <v>712</v>
      </c>
      <c r="B1489" s="198" t="s">
        <v>403</v>
      </c>
      <c r="E1489" s="198"/>
    </row>
    <row r="1490" spans="1:5">
      <c r="A1490" t="s">
        <v>884</v>
      </c>
      <c r="B1490" s="198" t="s">
        <v>403</v>
      </c>
      <c r="E1490" s="198"/>
    </row>
    <row r="1491" spans="1:5">
      <c r="A1491" t="s">
        <v>861</v>
      </c>
      <c r="B1491" s="198" t="s">
        <v>403</v>
      </c>
      <c r="E1491" s="198"/>
    </row>
    <row r="1492" spans="1:5">
      <c r="A1492" t="s">
        <v>862</v>
      </c>
      <c r="B1492" s="198" t="s">
        <v>403</v>
      </c>
      <c r="E1492" s="198"/>
    </row>
    <row r="1493" spans="1:5">
      <c r="A1493" t="s">
        <v>863</v>
      </c>
      <c r="B1493" s="198" t="s">
        <v>403</v>
      </c>
      <c r="E1493" s="198"/>
    </row>
    <row r="1494" spans="1:5">
      <c r="B1494" s="198"/>
      <c r="E1494" s="198"/>
    </row>
    <row r="1495" spans="1:5">
      <c r="B1495" s="198" t="s">
        <v>404</v>
      </c>
      <c r="E1495" s="198"/>
    </row>
    <row r="1496" spans="1:5">
      <c r="B1496" s="198"/>
      <c r="E1496" s="198"/>
    </row>
    <row r="1497" spans="1:5">
      <c r="A1497" t="s">
        <v>3245</v>
      </c>
      <c r="B1497" s="198" t="s">
        <v>3239</v>
      </c>
      <c r="E1497" s="198"/>
    </row>
    <row r="1498" spans="1:5">
      <c r="A1498" t="s">
        <v>4042</v>
      </c>
      <c r="B1498" s="198" t="s">
        <v>3239</v>
      </c>
      <c r="E1498" s="198"/>
    </row>
    <row r="1499" spans="1:5">
      <c r="B1499" s="198"/>
      <c r="E1499" s="198"/>
    </row>
    <row r="1500" spans="1:5" ht="18.75" customHeight="1">
      <c r="A1500" t="s">
        <v>1000</v>
      </c>
      <c r="B1500" s="198" t="s">
        <v>422</v>
      </c>
      <c r="E1500" s="198"/>
    </row>
    <row r="1501" spans="1:5" ht="18.75" customHeight="1">
      <c r="A1501" t="s">
        <v>762</v>
      </c>
      <c r="B1501" s="198" t="s">
        <v>422</v>
      </c>
      <c r="E1501" s="198"/>
    </row>
    <row r="1502" spans="1:5" ht="18.75" customHeight="1">
      <c r="A1502" t="s">
        <v>684</v>
      </c>
      <c r="B1502" s="198" t="s">
        <v>422</v>
      </c>
      <c r="E1502" s="198"/>
    </row>
    <row r="1503" spans="1:5" ht="18.75" customHeight="1">
      <c r="A1503" t="s">
        <v>999</v>
      </c>
      <c r="B1503" s="198" t="s">
        <v>422</v>
      </c>
      <c r="E1503" s="198"/>
    </row>
    <row r="1504" spans="1:5" ht="18.75" customHeight="1">
      <c r="A1504" t="s">
        <v>3752</v>
      </c>
      <c r="B1504" s="198" t="s">
        <v>422</v>
      </c>
      <c r="E1504" s="198"/>
    </row>
    <row r="1505" spans="1:5" ht="18.75" customHeight="1">
      <c r="A1505" t="s">
        <v>1747</v>
      </c>
      <c r="B1505" s="198" t="s">
        <v>422</v>
      </c>
      <c r="E1505" s="198"/>
    </row>
    <row r="1506" spans="1:5" ht="18.75" customHeight="1">
      <c r="A1506" t="s">
        <v>2464</v>
      </c>
      <c r="B1506" s="198" t="s">
        <v>422</v>
      </c>
      <c r="E1506" s="198"/>
    </row>
    <row r="1507" spans="1:5" ht="18.75" customHeight="1">
      <c r="A1507" t="s">
        <v>710</v>
      </c>
      <c r="B1507" s="198" t="s">
        <v>422</v>
      </c>
      <c r="E1507" s="198"/>
    </row>
    <row r="1508" spans="1:5" ht="18.75" customHeight="1">
      <c r="A1508" t="s">
        <v>1001</v>
      </c>
      <c r="B1508" s="198" t="s">
        <v>422</v>
      </c>
      <c r="E1508" s="198"/>
    </row>
    <row r="1509" spans="1:5" ht="18.75" customHeight="1">
      <c r="A1509" t="s">
        <v>1256</v>
      </c>
      <c r="B1509" s="198" t="s">
        <v>422</v>
      </c>
      <c r="E1509" s="198"/>
    </row>
    <row r="1510" spans="1:5" ht="18.75" customHeight="1">
      <c r="A1510" t="s">
        <v>2059</v>
      </c>
      <c r="B1510" s="198" t="s">
        <v>422</v>
      </c>
      <c r="E1510" s="198"/>
    </row>
    <row r="1511" spans="1:5" ht="18.75" customHeight="1">
      <c r="A1511" t="s">
        <v>1865</v>
      </c>
      <c r="B1511" s="198" t="s">
        <v>422</v>
      </c>
      <c r="E1511" s="198"/>
    </row>
    <row r="1512" spans="1:5" ht="17.25" customHeight="1">
      <c r="A1512" t="s">
        <v>2131</v>
      </c>
      <c r="B1512" s="198" t="s">
        <v>422</v>
      </c>
      <c r="E1512" s="198"/>
    </row>
    <row r="1513" spans="1:5" ht="17.25" customHeight="1">
      <c r="A1513" t="s">
        <v>2132</v>
      </c>
      <c r="B1513" s="198" t="s">
        <v>422</v>
      </c>
      <c r="E1513" s="198"/>
    </row>
    <row r="1514" spans="1:5" ht="17.25" customHeight="1">
      <c r="A1514" t="s">
        <v>3547</v>
      </c>
      <c r="B1514" s="198" t="s">
        <v>422</v>
      </c>
      <c r="E1514" s="198"/>
    </row>
    <row r="1515" spans="1:5" ht="17.25" customHeight="1">
      <c r="A1515" t="s">
        <v>2918</v>
      </c>
      <c r="B1515" s="198" t="s">
        <v>422</v>
      </c>
      <c r="E1515" s="198"/>
    </row>
    <row r="1516" spans="1:5" ht="16.5" customHeight="1">
      <c r="A1516" t="s">
        <v>1806</v>
      </c>
      <c r="B1516" s="198" t="s">
        <v>422</v>
      </c>
      <c r="E1516" s="198"/>
    </row>
    <row r="1517" spans="1:5" ht="16.5" customHeight="1">
      <c r="A1517" t="s">
        <v>2530</v>
      </c>
      <c r="B1517" s="198" t="s">
        <v>422</v>
      </c>
      <c r="E1517" s="198"/>
    </row>
    <row r="1518" spans="1:5" ht="16.5" customHeight="1">
      <c r="A1518" t="s">
        <v>2147</v>
      </c>
      <c r="B1518" s="198" t="s">
        <v>422</v>
      </c>
      <c r="E1518" s="198"/>
    </row>
    <row r="1519" spans="1:5" ht="16.5" customHeight="1">
      <c r="A1519" t="s">
        <v>1853</v>
      </c>
      <c r="B1519" s="198" t="s">
        <v>422</v>
      </c>
      <c r="E1519" s="198"/>
    </row>
    <row r="1520" spans="1:5" ht="16.5" customHeight="1">
      <c r="A1520" t="s">
        <v>1748</v>
      </c>
      <c r="B1520" s="198" t="s">
        <v>422</v>
      </c>
      <c r="E1520" s="198"/>
    </row>
    <row r="1521" spans="1:5" ht="16.5" customHeight="1">
      <c r="A1521" t="s">
        <v>3959</v>
      </c>
      <c r="B1521" s="198" t="s">
        <v>422</v>
      </c>
      <c r="E1521" s="198"/>
    </row>
    <row r="1522" spans="1:5">
      <c r="B1522" s="198"/>
      <c r="E1522" s="198"/>
    </row>
    <row r="1523" spans="1:5">
      <c r="A1523" t="s">
        <v>2174</v>
      </c>
      <c r="B1523" s="198" t="s">
        <v>421</v>
      </c>
      <c r="E1523" s="198"/>
    </row>
    <row r="1524" spans="1:5">
      <c r="B1524" s="198" t="s">
        <v>421</v>
      </c>
      <c r="E1524" s="198"/>
    </row>
    <row r="1525" spans="1:5">
      <c r="B1525" s="198"/>
      <c r="E1525" s="198"/>
    </row>
    <row r="1526" spans="1:5">
      <c r="A1526" t="s">
        <v>1852</v>
      </c>
      <c r="B1526" s="198" t="s">
        <v>423</v>
      </c>
      <c r="E1526" s="261"/>
    </row>
    <row r="1527" spans="1:5">
      <c r="B1527" s="198" t="s">
        <v>423</v>
      </c>
      <c r="E1527" s="260"/>
    </row>
    <row r="1528" spans="1:5">
      <c r="B1528" s="198"/>
      <c r="E1528" s="260"/>
    </row>
    <row r="1529" spans="1:5">
      <c r="A1529" t="s">
        <v>1798</v>
      </c>
      <c r="B1529" s="261" t="s">
        <v>424</v>
      </c>
      <c r="C1529" t="s">
        <v>1327</v>
      </c>
      <c r="E1529" s="260"/>
    </row>
    <row r="1530" spans="1:5">
      <c r="A1530" t="s">
        <v>1799</v>
      </c>
      <c r="B1530" s="260" t="s">
        <v>424</v>
      </c>
      <c r="C1530" t="s">
        <v>2007</v>
      </c>
      <c r="E1530" s="260"/>
    </row>
    <row r="1531" spans="1:5">
      <c r="A1531" t="s">
        <v>1800</v>
      </c>
      <c r="B1531" s="260" t="s">
        <v>424</v>
      </c>
      <c r="C1531" t="s">
        <v>1827</v>
      </c>
      <c r="E1531" s="260"/>
    </row>
    <row r="1532" spans="1:5">
      <c r="A1532" t="s">
        <v>1801</v>
      </c>
      <c r="B1532" s="260" t="s">
        <v>424</v>
      </c>
      <c r="C1532" t="s">
        <v>1828</v>
      </c>
      <c r="E1532" s="260"/>
    </row>
    <row r="1533" spans="1:5">
      <c r="A1533" t="s">
        <v>1831</v>
      </c>
      <c r="B1533" s="260" t="s">
        <v>424</v>
      </c>
      <c r="C1533" t="s">
        <v>1829</v>
      </c>
      <c r="E1533" s="260"/>
    </row>
    <row r="1534" spans="1:5">
      <c r="A1534" t="s">
        <v>1832</v>
      </c>
      <c r="B1534" s="260" t="s">
        <v>424</v>
      </c>
      <c r="C1534" t="s">
        <v>2083</v>
      </c>
      <c r="E1534" s="260"/>
    </row>
    <row r="1535" spans="1:5">
      <c r="A1535" t="s">
        <v>1833</v>
      </c>
      <c r="B1535" s="260" t="s">
        <v>424</v>
      </c>
      <c r="C1535" t="s">
        <v>1830</v>
      </c>
      <c r="E1535" s="260"/>
    </row>
    <row r="1536" spans="1:5">
      <c r="A1536" t="s">
        <v>1834</v>
      </c>
      <c r="B1536" s="260" t="s">
        <v>424</v>
      </c>
      <c r="C1536" t="s">
        <v>1860</v>
      </c>
      <c r="E1536" s="260"/>
    </row>
    <row r="1537" spans="1:5">
      <c r="A1537" t="s">
        <v>1998</v>
      </c>
      <c r="B1537" s="260" t="s">
        <v>424</v>
      </c>
      <c r="C1537" t="s">
        <v>1999</v>
      </c>
      <c r="E1537" s="260"/>
    </row>
    <row r="1538" spans="1:5">
      <c r="A1538" t="s">
        <v>2081</v>
      </c>
      <c r="B1538" s="260" t="s">
        <v>424</v>
      </c>
      <c r="C1538" t="s">
        <v>2082</v>
      </c>
      <c r="E1538" s="260"/>
    </row>
    <row r="1539" spans="1:5">
      <c r="A1539" t="s">
        <v>2258</v>
      </c>
      <c r="B1539" s="260" t="s">
        <v>424</v>
      </c>
      <c r="C1539" t="s">
        <v>2259</v>
      </c>
      <c r="E1539" s="260"/>
    </row>
    <row r="1540" spans="1:5">
      <c r="A1540" t="s">
        <v>2350</v>
      </c>
      <c r="B1540" s="260" t="s">
        <v>424</v>
      </c>
      <c r="C1540" t="s">
        <v>2387</v>
      </c>
      <c r="E1540" s="260"/>
    </row>
    <row r="1541" spans="1:5">
      <c r="A1541" t="s">
        <v>2527</v>
      </c>
      <c r="B1541" s="260" t="s">
        <v>424</v>
      </c>
      <c r="C1541" t="s">
        <v>2536</v>
      </c>
      <c r="E1541" s="260"/>
    </row>
    <row r="1542" spans="1:5">
      <c r="A1542" t="s">
        <v>2875</v>
      </c>
      <c r="B1542" s="260" t="s">
        <v>424</v>
      </c>
      <c r="C1542" t="s">
        <v>2876</v>
      </c>
      <c r="E1542" s="260"/>
    </row>
    <row r="1543" spans="1:5">
      <c r="A1543" t="s">
        <v>2960</v>
      </c>
      <c r="B1543" s="260" t="s">
        <v>424</v>
      </c>
      <c r="C1543" t="s">
        <v>2961</v>
      </c>
      <c r="E1543" s="260"/>
    </row>
    <row r="1544" spans="1:5">
      <c r="A1544" t="s">
        <v>3711</v>
      </c>
      <c r="B1544" s="260" t="s">
        <v>424</v>
      </c>
      <c r="C1544" t="s">
        <v>3712</v>
      </c>
      <c r="E1544" s="260"/>
    </row>
    <row r="1545" spans="1:5">
      <c r="A1545" t="s">
        <v>3884</v>
      </c>
      <c r="B1545" s="260" t="s">
        <v>424</v>
      </c>
      <c r="C1545" t="s">
        <v>3913</v>
      </c>
      <c r="E1545" s="260"/>
    </row>
    <row r="1546" spans="1:5">
      <c r="A1546" t="s">
        <v>1706</v>
      </c>
      <c r="B1546" s="260" t="s">
        <v>424</v>
      </c>
      <c r="C1546" t="s">
        <v>1707</v>
      </c>
      <c r="E1546" s="260"/>
    </row>
    <row r="1547" spans="1:5">
      <c r="A1547" t="s">
        <v>1735</v>
      </c>
      <c r="B1547" s="260" t="s">
        <v>424</v>
      </c>
      <c r="C1547" t="s">
        <v>1737</v>
      </c>
      <c r="E1547" s="260"/>
    </row>
    <row r="1548" spans="1:5">
      <c r="A1548" t="s">
        <v>2003</v>
      </c>
      <c r="B1548" s="260" t="s">
        <v>424</v>
      </c>
      <c r="C1548" t="s">
        <v>2004</v>
      </c>
      <c r="E1548" s="260"/>
    </row>
    <row r="1549" spans="1:5">
      <c r="A1549" t="s">
        <v>1766</v>
      </c>
      <c r="B1549" s="260" t="s">
        <v>424</v>
      </c>
      <c r="C1549" t="s">
        <v>1767</v>
      </c>
      <c r="E1549" s="260"/>
    </row>
    <row r="1550" spans="1:5">
      <c r="A1550" t="s">
        <v>1789</v>
      </c>
      <c r="B1550" s="260" t="s">
        <v>424</v>
      </c>
      <c r="C1550" t="s">
        <v>1353</v>
      </c>
      <c r="E1550" s="260"/>
    </row>
    <row r="1551" spans="1:5">
      <c r="A1551" t="s">
        <v>2001</v>
      </c>
      <c r="B1551" s="260" t="s">
        <v>424</v>
      </c>
      <c r="C1551" t="s">
        <v>2002</v>
      </c>
      <c r="E1551" s="260"/>
    </row>
    <row r="1552" spans="1:5">
      <c r="A1552" t="s">
        <v>2230</v>
      </c>
      <c r="B1552" s="260" t="s">
        <v>424</v>
      </c>
      <c r="C1552" t="s">
        <v>2231</v>
      </c>
      <c r="E1552" s="260"/>
    </row>
    <row r="1553" spans="1:5">
      <c r="A1553" t="s">
        <v>1736</v>
      </c>
      <c r="B1553" s="260" t="s">
        <v>424</v>
      </c>
      <c r="C1553" t="s">
        <v>1738</v>
      </c>
      <c r="E1553" s="260"/>
    </row>
    <row r="1554" spans="1:5">
      <c r="A1554" t="s">
        <v>2189</v>
      </c>
      <c r="B1554" s="260" t="s">
        <v>424</v>
      </c>
      <c r="C1554" t="s">
        <v>2190</v>
      </c>
      <c r="E1554" s="260"/>
    </row>
    <row r="1555" spans="1:5">
      <c r="A1555" t="s">
        <v>2589</v>
      </c>
      <c r="B1555" s="260" t="s">
        <v>424</v>
      </c>
      <c r="C1555" t="s">
        <v>2590</v>
      </c>
      <c r="E1555" s="198"/>
    </row>
    <row r="1556" spans="1:5">
      <c r="A1556" t="s">
        <v>2591</v>
      </c>
      <c r="B1556" s="260" t="s">
        <v>424</v>
      </c>
      <c r="C1556" t="s">
        <v>2592</v>
      </c>
      <c r="E1556" s="198"/>
    </row>
    <row r="1557" spans="1:5">
      <c r="A1557" t="s">
        <v>3078</v>
      </c>
      <c r="B1557" s="260" t="s">
        <v>424</v>
      </c>
      <c r="C1557" t="s">
        <v>3079</v>
      </c>
      <c r="E1557" s="198"/>
    </row>
    <row r="1558" spans="1:5">
      <c r="A1558" t="s">
        <v>3295</v>
      </c>
      <c r="B1558" s="260" t="s">
        <v>424</v>
      </c>
      <c r="C1558" t="s">
        <v>3296</v>
      </c>
      <c r="E1558" s="198"/>
    </row>
    <row r="1559" spans="1:5">
      <c r="B1559" s="260"/>
      <c r="E1559" s="198"/>
    </row>
    <row r="1560" spans="1:5">
      <c r="A1560" t="s">
        <v>2801</v>
      </c>
      <c r="B1560" s="198" t="s">
        <v>427</v>
      </c>
      <c r="C1560" t="s">
        <v>2802</v>
      </c>
      <c r="E1560" s="198"/>
    </row>
    <row r="1561" spans="1:5">
      <c r="A1561" t="s">
        <v>2157</v>
      </c>
      <c r="B1561" s="198" t="s">
        <v>427</v>
      </c>
      <c r="C1561" t="s">
        <v>2162</v>
      </c>
      <c r="E1561" s="198"/>
    </row>
    <row r="1562" spans="1:5">
      <c r="A1562" t="s">
        <v>2156</v>
      </c>
      <c r="B1562" s="198" t="s">
        <v>427</v>
      </c>
      <c r="C1562" t="s">
        <v>2163</v>
      </c>
      <c r="E1562" s="198"/>
    </row>
    <row r="1563" spans="1:5">
      <c r="A1563" t="s">
        <v>2295</v>
      </c>
      <c r="B1563" s="198" t="s">
        <v>427</v>
      </c>
      <c r="C1563" t="s">
        <v>2296</v>
      </c>
      <c r="E1563" s="198"/>
    </row>
    <row r="1564" spans="1:5">
      <c r="A1564" t="s">
        <v>2557</v>
      </c>
      <c r="B1564" s="198" t="s">
        <v>427</v>
      </c>
      <c r="C1564" t="s">
        <v>2558</v>
      </c>
      <c r="E1564" s="198"/>
    </row>
    <row r="1565" spans="1:5">
      <c r="A1565" t="s">
        <v>2666</v>
      </c>
      <c r="B1565" s="198" t="s">
        <v>427</v>
      </c>
      <c r="C1565" t="s">
        <v>2667</v>
      </c>
      <c r="E1565" s="198"/>
    </row>
    <row r="1566" spans="1:5">
      <c r="A1566" t="s">
        <v>2668</v>
      </c>
      <c r="B1566" s="198" t="s">
        <v>427</v>
      </c>
      <c r="C1566" t="s">
        <v>2669</v>
      </c>
      <c r="E1566" s="198"/>
    </row>
    <row r="1567" spans="1:5">
      <c r="A1567" t="s">
        <v>2810</v>
      </c>
      <c r="B1567" s="198" t="s">
        <v>427</v>
      </c>
      <c r="C1567" t="s">
        <v>2817</v>
      </c>
      <c r="E1567" s="198"/>
    </row>
    <row r="1568" spans="1:5">
      <c r="A1568" t="s">
        <v>2811</v>
      </c>
      <c r="B1568" s="198" t="s">
        <v>427</v>
      </c>
      <c r="C1568" t="s">
        <v>2818</v>
      </c>
      <c r="E1568" s="198"/>
    </row>
    <row r="1569" spans="1:5">
      <c r="A1569" t="s">
        <v>2812</v>
      </c>
      <c r="B1569" s="198" t="s">
        <v>427</v>
      </c>
      <c r="C1569" t="s">
        <v>2877</v>
      </c>
      <c r="E1569" s="198"/>
    </row>
    <row r="1570" spans="1:5">
      <c r="A1570" t="s">
        <v>2813</v>
      </c>
      <c r="B1570" s="198" t="s">
        <v>427</v>
      </c>
      <c r="C1570" t="s">
        <v>2819</v>
      </c>
      <c r="E1570" s="198"/>
    </row>
    <row r="1571" spans="1:5">
      <c r="A1571" t="s">
        <v>2814</v>
      </c>
      <c r="B1571" s="198" t="s">
        <v>427</v>
      </c>
      <c r="C1571" t="s">
        <v>2820</v>
      </c>
      <c r="E1571" s="198"/>
    </row>
    <row r="1572" spans="1:5">
      <c r="A1572" t="s">
        <v>2815</v>
      </c>
      <c r="B1572" s="198" t="s">
        <v>427</v>
      </c>
      <c r="C1572" t="s">
        <v>2821</v>
      </c>
      <c r="E1572" s="198"/>
    </row>
    <row r="1573" spans="1:5">
      <c r="A1573" t="s">
        <v>2816</v>
      </c>
      <c r="B1573" s="198" t="s">
        <v>427</v>
      </c>
      <c r="C1573" t="s">
        <v>2822</v>
      </c>
      <c r="E1573" s="198"/>
    </row>
    <row r="1574" spans="1:5">
      <c r="A1574" t="s">
        <v>3031</v>
      </c>
      <c r="B1574" s="198" t="s">
        <v>427</v>
      </c>
      <c r="C1574" t="s">
        <v>3032</v>
      </c>
      <c r="E1574" s="198"/>
    </row>
    <row r="1575" spans="1:5">
      <c r="A1575" t="s">
        <v>2849</v>
      </c>
      <c r="B1575" s="198" t="s">
        <v>427</v>
      </c>
      <c r="C1575" t="s">
        <v>2878</v>
      </c>
      <c r="E1575" s="198"/>
    </row>
    <row r="1576" spans="1:5">
      <c r="A1576" t="s">
        <v>3033</v>
      </c>
      <c r="B1576" s="198" t="s">
        <v>427</v>
      </c>
      <c r="C1576" t="s">
        <v>3080</v>
      </c>
      <c r="E1576" s="198"/>
    </row>
    <row r="1577" spans="1:5">
      <c r="A1577" t="s">
        <v>3034</v>
      </c>
      <c r="B1577" s="198" t="s">
        <v>427</v>
      </c>
      <c r="C1577" t="s">
        <v>3037</v>
      </c>
      <c r="E1577" s="198"/>
    </row>
    <row r="1578" spans="1:5">
      <c r="A1578" t="s">
        <v>3035</v>
      </c>
      <c r="B1578" s="198" t="s">
        <v>427</v>
      </c>
      <c r="C1578" t="s">
        <v>3081</v>
      </c>
      <c r="E1578" s="198"/>
    </row>
    <row r="1579" spans="1:5">
      <c r="A1579" t="s">
        <v>3036</v>
      </c>
      <c r="B1579" s="198" t="s">
        <v>427</v>
      </c>
      <c r="C1579" t="s">
        <v>3038</v>
      </c>
      <c r="E1579" s="198"/>
    </row>
    <row r="1580" spans="1:5">
      <c r="A1580" t="s">
        <v>3126</v>
      </c>
      <c r="B1580" s="198" t="s">
        <v>427</v>
      </c>
      <c r="C1580" t="s">
        <v>3127</v>
      </c>
      <c r="E1580" s="198"/>
    </row>
    <row r="1581" spans="1:5">
      <c r="A1581" t="s">
        <v>3164</v>
      </c>
      <c r="B1581" s="198" t="s">
        <v>427</v>
      </c>
      <c r="C1581" t="s">
        <v>3167</v>
      </c>
      <c r="E1581" s="198"/>
    </row>
    <row r="1582" spans="1:5">
      <c r="A1582" t="s">
        <v>3165</v>
      </c>
      <c r="B1582" s="198" t="s">
        <v>427</v>
      </c>
      <c r="C1582" t="s">
        <v>3204</v>
      </c>
      <c r="E1582" s="198"/>
    </row>
    <row r="1583" spans="1:5">
      <c r="A1583" t="s">
        <v>3166</v>
      </c>
      <c r="B1583" s="198" t="s">
        <v>427</v>
      </c>
      <c r="C1583" t="s">
        <v>3168</v>
      </c>
      <c r="E1583" s="198"/>
    </row>
    <row r="1584" spans="1:5">
      <c r="A1584" t="s">
        <v>3297</v>
      </c>
      <c r="B1584" s="198" t="s">
        <v>427</v>
      </c>
      <c r="C1584" t="s">
        <v>3298</v>
      </c>
      <c r="E1584" s="198"/>
    </row>
    <row r="1585" spans="1:5">
      <c r="A1585" t="s">
        <v>1755</v>
      </c>
      <c r="B1585" s="198" t="s">
        <v>427</v>
      </c>
      <c r="C1585" t="s">
        <v>1352</v>
      </c>
      <c r="E1585" s="198"/>
    </row>
    <row r="1586" spans="1:5">
      <c r="A1586" t="s">
        <v>2000</v>
      </c>
      <c r="B1586" s="198" t="s">
        <v>427</v>
      </c>
      <c r="C1586" t="s">
        <v>2079</v>
      </c>
      <c r="E1586" s="198"/>
    </row>
    <row r="1587" spans="1:5">
      <c r="A1587" t="s">
        <v>2005</v>
      </c>
      <c r="B1587" s="198" t="s">
        <v>427</v>
      </c>
      <c r="C1587" t="s">
        <v>2006</v>
      </c>
      <c r="E1587" s="198"/>
    </row>
    <row r="1588" spans="1:5">
      <c r="A1588" t="s">
        <v>2191</v>
      </c>
      <c r="B1588" s="198" t="s">
        <v>427</v>
      </c>
      <c r="C1588" t="s">
        <v>2192</v>
      </c>
      <c r="E1588" s="198"/>
    </row>
    <row r="1589" spans="1:5">
      <c r="A1589" t="s">
        <v>2232</v>
      </c>
      <c r="B1589" s="198" t="s">
        <v>427</v>
      </c>
      <c r="C1589" t="s">
        <v>2233</v>
      </c>
      <c r="E1589" s="198"/>
    </row>
    <row r="1590" spans="1:5">
      <c r="A1590" t="s">
        <v>3806</v>
      </c>
      <c r="B1590" s="198" t="s">
        <v>427</v>
      </c>
      <c r="C1590" t="s">
        <v>3807</v>
      </c>
      <c r="E1590" s="198"/>
    </row>
    <row r="1591" spans="1:5">
      <c r="A1591" t="s">
        <v>2166</v>
      </c>
      <c r="B1591" s="198" t="s">
        <v>427</v>
      </c>
      <c r="C1591" t="s">
        <v>2175</v>
      </c>
      <c r="E1591" s="198"/>
    </row>
    <row r="1592" spans="1:5">
      <c r="A1592" t="s">
        <v>2388</v>
      </c>
      <c r="B1592" s="198" t="s">
        <v>427</v>
      </c>
      <c r="C1592" t="s">
        <v>2389</v>
      </c>
      <c r="E1592" s="198"/>
    </row>
    <row r="1593" spans="1:5">
      <c r="A1593" t="s">
        <v>2390</v>
      </c>
      <c r="B1593" s="198" t="s">
        <v>427</v>
      </c>
      <c r="C1593" t="s">
        <v>2391</v>
      </c>
      <c r="E1593" s="198"/>
    </row>
    <row r="1594" spans="1:5">
      <c r="A1594" t="s">
        <v>2465</v>
      </c>
      <c r="B1594" s="198" t="s">
        <v>427</v>
      </c>
      <c r="C1594" t="s">
        <v>2466</v>
      </c>
      <c r="E1594" s="198"/>
    </row>
    <row r="1595" spans="1:5">
      <c r="A1595" t="s">
        <v>2467</v>
      </c>
      <c r="B1595" s="198" t="s">
        <v>427</v>
      </c>
      <c r="C1595" t="s">
        <v>2468</v>
      </c>
      <c r="E1595" s="198"/>
    </row>
    <row r="1596" spans="1:5">
      <c r="A1596" t="s">
        <v>2469</v>
      </c>
      <c r="B1596" s="198" t="s">
        <v>427</v>
      </c>
      <c r="C1596" t="s">
        <v>2470</v>
      </c>
      <c r="E1596" s="198"/>
    </row>
    <row r="1597" spans="1:5">
      <c r="A1597" t="s">
        <v>2471</v>
      </c>
      <c r="B1597" s="198" t="s">
        <v>427</v>
      </c>
      <c r="C1597" t="s">
        <v>2472</v>
      </c>
      <c r="E1597" s="198"/>
    </row>
    <row r="1598" spans="1:5">
      <c r="A1598" t="s">
        <v>2879</v>
      </c>
      <c r="B1598" s="198" t="s">
        <v>427</v>
      </c>
      <c r="C1598" t="s">
        <v>2880</v>
      </c>
      <c r="E1598" s="198"/>
    </row>
    <row r="1599" spans="1:5">
      <c r="A1599" t="s">
        <v>2881</v>
      </c>
      <c r="B1599" s="198" t="s">
        <v>427</v>
      </c>
      <c r="C1599" t="s">
        <v>2882</v>
      </c>
      <c r="E1599" s="198"/>
    </row>
    <row r="1600" spans="1:5">
      <c r="A1600" t="s">
        <v>3082</v>
      </c>
      <c r="B1600" s="198" t="s">
        <v>427</v>
      </c>
      <c r="C1600" t="s">
        <v>3083</v>
      </c>
      <c r="E1600" s="198"/>
    </row>
    <row r="1601" spans="1:5">
      <c r="A1601" t="s">
        <v>3084</v>
      </c>
      <c r="B1601" s="198" t="s">
        <v>427</v>
      </c>
      <c r="C1601" t="s">
        <v>3085</v>
      </c>
      <c r="E1601" s="198"/>
    </row>
    <row r="1602" spans="1:5">
      <c r="A1602" t="s">
        <v>3086</v>
      </c>
      <c r="B1602" s="198" t="s">
        <v>427</v>
      </c>
      <c r="C1602" t="s">
        <v>3087</v>
      </c>
      <c r="E1602" s="257"/>
    </row>
    <row r="1603" spans="1:5">
      <c r="A1603" t="s">
        <v>3088</v>
      </c>
      <c r="B1603" s="198" t="s">
        <v>427</v>
      </c>
      <c r="C1603" t="s">
        <v>3089</v>
      </c>
      <c r="E1603" s="257"/>
    </row>
    <row r="1604" spans="1:5">
      <c r="A1604" t="s">
        <v>3090</v>
      </c>
      <c r="B1604" s="198" t="s">
        <v>427</v>
      </c>
      <c r="C1604" t="s">
        <v>3091</v>
      </c>
      <c r="E1604" s="257"/>
    </row>
    <row r="1605" spans="1:5">
      <c r="A1605" t="s">
        <v>3092</v>
      </c>
      <c r="B1605" s="198" t="s">
        <v>427</v>
      </c>
      <c r="C1605" t="s">
        <v>3093</v>
      </c>
      <c r="E1605" s="257"/>
    </row>
    <row r="1606" spans="1:5">
      <c r="A1606" t="s">
        <v>3094</v>
      </c>
      <c r="B1606" s="198" t="s">
        <v>427</v>
      </c>
      <c r="C1606" t="s">
        <v>3095</v>
      </c>
      <c r="E1606" s="257"/>
    </row>
    <row r="1607" spans="1:5">
      <c r="A1607" t="s">
        <v>3299</v>
      </c>
      <c r="B1607" s="198" t="s">
        <v>427</v>
      </c>
      <c r="C1607" t="s">
        <v>3300</v>
      </c>
      <c r="E1607" s="257"/>
    </row>
    <row r="1608" spans="1:5">
      <c r="A1608" t="s">
        <v>3431</v>
      </c>
      <c r="B1608" s="198" t="s">
        <v>427</v>
      </c>
      <c r="C1608" t="s">
        <v>3432</v>
      </c>
      <c r="E1608" s="257"/>
    </row>
    <row r="1609" spans="1:5">
      <c r="A1609" t="s">
        <v>3433</v>
      </c>
      <c r="B1609" s="198" t="s">
        <v>427</v>
      </c>
      <c r="C1609" t="s">
        <v>3434</v>
      </c>
      <c r="E1609" s="257"/>
    </row>
    <row r="1610" spans="1:5">
      <c r="A1610" t="s">
        <v>3435</v>
      </c>
      <c r="B1610" s="198" t="s">
        <v>427</v>
      </c>
      <c r="C1610" t="s">
        <v>3436</v>
      </c>
      <c r="E1610" s="257"/>
    </row>
    <row r="1611" spans="1:5">
      <c r="A1611" t="s">
        <v>3437</v>
      </c>
      <c r="B1611" s="198" t="s">
        <v>427</v>
      </c>
      <c r="C1611" t="s">
        <v>3438</v>
      </c>
      <c r="E1611" s="257"/>
    </row>
    <row r="1612" spans="1:5">
      <c r="A1612" t="s">
        <v>3548</v>
      </c>
      <c r="B1612" s="198" t="s">
        <v>427</v>
      </c>
      <c r="C1612" t="s">
        <v>3549</v>
      </c>
      <c r="E1612" s="257"/>
    </row>
    <row r="1613" spans="1:5">
      <c r="A1613" t="s">
        <v>3550</v>
      </c>
      <c r="B1613" s="198" t="s">
        <v>427</v>
      </c>
      <c r="C1613" t="s">
        <v>3551</v>
      </c>
      <c r="E1613" s="257"/>
    </row>
    <row r="1614" spans="1:5">
      <c r="A1614" t="s">
        <v>3552</v>
      </c>
      <c r="B1614" s="198" t="s">
        <v>427</v>
      </c>
      <c r="C1614" t="s">
        <v>3553</v>
      </c>
      <c r="E1614" s="257"/>
    </row>
    <row r="1615" spans="1:5">
      <c r="A1615" t="s">
        <v>3676</v>
      </c>
      <c r="B1615" s="198" t="s">
        <v>427</v>
      </c>
      <c r="C1615" t="s">
        <v>3677</v>
      </c>
      <c r="E1615" s="257"/>
    </row>
    <row r="1616" spans="1:5">
      <c r="A1616" t="s">
        <v>3554</v>
      </c>
      <c r="B1616" s="198" t="s">
        <v>427</v>
      </c>
      <c r="C1616" t="s">
        <v>3091</v>
      </c>
      <c r="E1616" s="257"/>
    </row>
    <row r="1617" spans="1:5">
      <c r="A1617" t="s">
        <v>3645</v>
      </c>
      <c r="B1617" s="198" t="s">
        <v>427</v>
      </c>
      <c r="C1617" t="s">
        <v>3678</v>
      </c>
      <c r="E1617" s="257"/>
    </row>
    <row r="1618" spans="1:5">
      <c r="A1618" t="s">
        <v>3656</v>
      </c>
      <c r="B1618" s="198" t="s">
        <v>427</v>
      </c>
      <c r="C1618" t="s">
        <v>3679</v>
      </c>
      <c r="E1618" s="257"/>
    </row>
    <row r="1619" spans="1:5">
      <c r="A1619" t="s">
        <v>3657</v>
      </c>
      <c r="B1619" s="198" t="s">
        <v>427</v>
      </c>
      <c r="C1619" t="s">
        <v>3680</v>
      </c>
      <c r="E1619" s="257"/>
    </row>
    <row r="1620" spans="1:5">
      <c r="A1620" t="s">
        <v>4175</v>
      </c>
      <c r="B1620" s="198" t="s">
        <v>427</v>
      </c>
      <c r="C1620" t="s">
        <v>3127</v>
      </c>
      <c r="E1620" s="257"/>
    </row>
    <row r="1621" spans="1:5">
      <c r="A1621" t="s">
        <v>3681</v>
      </c>
      <c r="B1621" s="198" t="s">
        <v>427</v>
      </c>
      <c r="C1621" t="s">
        <v>3682</v>
      </c>
      <c r="E1621" s="257"/>
    </row>
    <row r="1622" spans="1:5">
      <c r="A1622" t="s">
        <v>3683</v>
      </c>
      <c r="B1622" s="198" t="s">
        <v>427</v>
      </c>
      <c r="C1622" t="s">
        <v>3684</v>
      </c>
      <c r="E1622" s="257"/>
    </row>
    <row r="1623" spans="1:5">
      <c r="A1623" t="s">
        <v>3685</v>
      </c>
      <c r="B1623" s="198" t="s">
        <v>427</v>
      </c>
      <c r="C1623" t="s">
        <v>3686</v>
      </c>
      <c r="E1623" s="257"/>
    </row>
    <row r="1624" spans="1:5">
      <c r="A1624" t="s">
        <v>3687</v>
      </c>
      <c r="B1624" s="198" t="s">
        <v>427</v>
      </c>
      <c r="C1624" t="s">
        <v>3688</v>
      </c>
      <c r="E1624" s="257"/>
    </row>
    <row r="1625" spans="1:5">
      <c r="A1625" t="s">
        <v>3689</v>
      </c>
      <c r="B1625" s="198" t="s">
        <v>427</v>
      </c>
      <c r="C1625" t="s">
        <v>3690</v>
      </c>
      <c r="E1625" s="257"/>
    </row>
    <row r="1626" spans="1:5">
      <c r="B1626" s="198"/>
      <c r="E1626" s="257"/>
    </row>
    <row r="1627" spans="1:5">
      <c r="B1627" s="198"/>
      <c r="E1627" s="257"/>
    </row>
    <row r="1628" spans="1:5">
      <c r="B1628" s="198" t="s">
        <v>426</v>
      </c>
      <c r="E1628" s="257"/>
    </row>
    <row r="1629" spans="1:5">
      <c r="B1629" s="257" t="s">
        <v>426</v>
      </c>
      <c r="E1629" s="257"/>
    </row>
    <row r="1630" spans="1:5">
      <c r="B1630" s="257" t="s">
        <v>426</v>
      </c>
      <c r="E1630" s="257"/>
    </row>
    <row r="1631" spans="1:5">
      <c r="B1631" s="257"/>
      <c r="E1631" s="257"/>
    </row>
    <row r="1632" spans="1:5">
      <c r="A1632" t="s">
        <v>2408</v>
      </c>
      <c r="B1632" s="257" t="s">
        <v>2188</v>
      </c>
      <c r="E1632" s="257"/>
    </row>
    <row r="1633" spans="1:5">
      <c r="A1633" t="s">
        <v>2286</v>
      </c>
      <c r="B1633" s="257" t="s">
        <v>2188</v>
      </c>
      <c r="E1633" s="257"/>
    </row>
    <row r="1634" spans="1:5">
      <c r="A1634" t="s">
        <v>2524</v>
      </c>
      <c r="B1634" s="257" t="s">
        <v>2188</v>
      </c>
      <c r="E1634" s="257"/>
    </row>
    <row r="1635" spans="1:5">
      <c r="A1635" t="s">
        <v>2431</v>
      </c>
      <c r="B1635" s="257" t="s">
        <v>2188</v>
      </c>
      <c r="E1635" s="198"/>
    </row>
    <row r="1636" spans="1:5">
      <c r="A1636" t="s">
        <v>2193</v>
      </c>
      <c r="B1636" s="257" t="s">
        <v>2188</v>
      </c>
      <c r="E1636" s="198"/>
    </row>
    <row r="1637" spans="1:5">
      <c r="A1637" t="s">
        <v>2409</v>
      </c>
      <c r="B1637" s="257" t="s">
        <v>2188</v>
      </c>
      <c r="E1637" s="198"/>
    </row>
    <row r="1638" spans="1:5">
      <c r="A1638" t="s">
        <v>2410</v>
      </c>
      <c r="B1638" s="257" t="s">
        <v>2188</v>
      </c>
      <c r="E1638" s="198"/>
    </row>
    <row r="1639" spans="1:5">
      <c r="A1639" t="s">
        <v>2425</v>
      </c>
      <c r="B1639" s="257" t="s">
        <v>2188</v>
      </c>
      <c r="E1639" s="198"/>
    </row>
    <row r="1640" spans="1:5">
      <c r="A1640" t="s">
        <v>2559</v>
      </c>
      <c r="B1640" s="257" t="s">
        <v>2188</v>
      </c>
      <c r="E1640" s="198"/>
    </row>
    <row r="1641" spans="1:5">
      <c r="A1641" t="s">
        <v>2593</v>
      </c>
      <c r="B1641" s="257" t="s">
        <v>2188</v>
      </c>
      <c r="E1641" s="198"/>
    </row>
    <row r="1642" spans="1:5">
      <c r="A1642" t="s">
        <v>2234</v>
      </c>
      <c r="B1642" s="257" t="s">
        <v>2188</v>
      </c>
      <c r="E1642" s="198"/>
    </row>
    <row r="1643" spans="1:5">
      <c r="A1643" t="s">
        <v>2451</v>
      </c>
      <c r="B1643" s="257" t="s">
        <v>2188</v>
      </c>
      <c r="E1643" s="198"/>
    </row>
    <row r="1644" spans="1:5">
      <c r="A1644" t="s">
        <v>2452</v>
      </c>
      <c r="B1644" s="257" t="s">
        <v>2188</v>
      </c>
      <c r="E1644" s="198"/>
    </row>
    <row r="1645" spans="1:5">
      <c r="A1645" t="s">
        <v>3205</v>
      </c>
      <c r="B1645" s="257" t="s">
        <v>2188</v>
      </c>
      <c r="E1645" s="198"/>
    </row>
    <row r="1646" spans="1:5">
      <c r="A1646" t="s">
        <v>3206</v>
      </c>
      <c r="B1646" s="257" t="s">
        <v>2188</v>
      </c>
      <c r="E1646" s="198"/>
    </row>
    <row r="1647" spans="1:5">
      <c r="A1647" t="s">
        <v>3207</v>
      </c>
      <c r="B1647" s="257" t="s">
        <v>2188</v>
      </c>
      <c r="E1647" s="198"/>
    </row>
    <row r="1648" spans="1:5">
      <c r="A1648" t="s">
        <v>3208</v>
      </c>
      <c r="B1648" s="257" t="s">
        <v>2188</v>
      </c>
      <c r="E1648" s="198"/>
    </row>
    <row r="1649" spans="1:7">
      <c r="A1649" t="s">
        <v>3209</v>
      </c>
      <c r="B1649" s="257" t="s">
        <v>2188</v>
      </c>
      <c r="E1649" s="198"/>
    </row>
    <row r="1650" spans="1:7">
      <c r="A1650" t="s">
        <v>988</v>
      </c>
      <c r="B1650" s="257" t="s">
        <v>2188</v>
      </c>
      <c r="E1650" s="198"/>
    </row>
    <row r="1651" spans="1:7">
      <c r="A1651" t="s">
        <v>1342</v>
      </c>
      <c r="B1651" s="257" t="s">
        <v>2188</v>
      </c>
      <c r="E1651" s="198"/>
    </row>
    <row r="1652" spans="1:7">
      <c r="A1652" t="s">
        <v>3210</v>
      </c>
      <c r="B1652" s="257" t="s">
        <v>2188</v>
      </c>
      <c r="E1652" s="198"/>
    </row>
    <row r="1653" spans="1:7">
      <c r="A1653" t="s">
        <v>3211</v>
      </c>
      <c r="B1653" s="257" t="s">
        <v>2188</v>
      </c>
      <c r="E1653" s="198"/>
    </row>
    <row r="1654" spans="1:7">
      <c r="A1654" t="s">
        <v>3096</v>
      </c>
      <c r="B1654" s="257" t="s">
        <v>2188</v>
      </c>
      <c r="E1654" s="198"/>
      <c r="G1654" s="198"/>
    </row>
    <row r="1655" spans="1:7">
      <c r="A1655" t="s">
        <v>3097</v>
      </c>
      <c r="B1655" s="257" t="s">
        <v>2188</v>
      </c>
      <c r="E1655" s="198"/>
      <c r="G1655" s="198"/>
    </row>
    <row r="1656" spans="1:7">
      <c r="B1656" s="257"/>
      <c r="E1656" s="198"/>
      <c r="G1656" s="198"/>
    </row>
    <row r="1657" spans="1:7">
      <c r="B1657" s="198" t="s">
        <v>429</v>
      </c>
      <c r="E1657" s="198"/>
      <c r="G1657" s="198"/>
    </row>
    <row r="1658" spans="1:7">
      <c r="A1658" t="s">
        <v>2605</v>
      </c>
      <c r="B1658" s="198" t="s">
        <v>2712</v>
      </c>
      <c r="E1658" s="198"/>
      <c r="G1658" s="198"/>
    </row>
    <row r="1659" spans="1:7">
      <c r="B1659" s="198" t="s">
        <v>430</v>
      </c>
      <c r="E1659" s="198"/>
      <c r="G1659" s="198"/>
    </row>
    <row r="1660" spans="1:7">
      <c r="A1660" t="s">
        <v>1351</v>
      </c>
      <c r="B1660" s="198" t="s">
        <v>431</v>
      </c>
      <c r="E1660" s="198"/>
      <c r="G1660" s="198"/>
    </row>
    <row r="1661" spans="1:7">
      <c r="A1661" t="s">
        <v>1028</v>
      </c>
      <c r="B1661" s="198" t="s">
        <v>431</v>
      </c>
      <c r="E1661" s="198"/>
      <c r="G1661" s="198"/>
    </row>
    <row r="1662" spans="1:7">
      <c r="A1662" t="s">
        <v>2075</v>
      </c>
      <c r="B1662" s="198" t="s">
        <v>431</v>
      </c>
      <c r="E1662" s="198"/>
      <c r="G1662" s="198"/>
    </row>
    <row r="1663" spans="1:7">
      <c r="A1663" t="s">
        <v>2320</v>
      </c>
      <c r="B1663" s="198" t="s">
        <v>431</v>
      </c>
      <c r="E1663" s="198"/>
      <c r="G1663" s="198"/>
    </row>
    <row r="1664" spans="1:7">
      <c r="A1664" t="s">
        <v>2321</v>
      </c>
      <c r="B1664" s="198" t="s">
        <v>431</v>
      </c>
      <c r="E1664" s="198"/>
      <c r="G1664" s="198"/>
    </row>
    <row r="1665" spans="1:10">
      <c r="A1665" t="s">
        <v>2235</v>
      </c>
      <c r="B1665" s="198" t="s">
        <v>431</v>
      </c>
      <c r="E1665" s="198"/>
      <c r="G1665" s="198"/>
    </row>
    <row r="1666" spans="1:10">
      <c r="A1666" t="s">
        <v>2392</v>
      </c>
      <c r="B1666" s="198" t="s">
        <v>431</v>
      </c>
      <c r="E1666" s="198"/>
      <c r="G1666" s="198"/>
    </row>
    <row r="1667" spans="1:10">
      <c r="A1667" t="s">
        <v>3301</v>
      </c>
      <c r="B1667" s="198" t="s">
        <v>431</v>
      </c>
      <c r="E1667" s="198"/>
      <c r="G1667" s="198"/>
    </row>
    <row r="1668" spans="1:10">
      <c r="B1668" s="198" t="s">
        <v>432</v>
      </c>
      <c r="E1668" s="198"/>
    </row>
    <row r="1669" spans="1:10">
      <c r="A1669" t="s">
        <v>3098</v>
      </c>
      <c r="B1669" s="198" t="s">
        <v>433</v>
      </c>
      <c r="E1669" s="198"/>
    </row>
    <row r="1670" spans="1:10">
      <c r="A1670" t="s">
        <v>3099</v>
      </c>
      <c r="B1670" s="198" t="s">
        <v>433</v>
      </c>
      <c r="E1670" s="198"/>
    </row>
    <row r="1671" spans="1:10">
      <c r="A1671" t="s">
        <v>3212</v>
      </c>
      <c r="B1671" s="198" t="s">
        <v>433</v>
      </c>
      <c r="E1671" s="198"/>
    </row>
    <row r="1672" spans="1:10">
      <c r="A1672" t="s">
        <v>3100</v>
      </c>
      <c r="B1672" s="198" t="s">
        <v>433</v>
      </c>
      <c r="E1672" s="198"/>
    </row>
    <row r="1673" spans="1:10">
      <c r="A1673" t="s">
        <v>3101</v>
      </c>
      <c r="B1673" s="198" t="s">
        <v>433</v>
      </c>
      <c r="E1673" s="198"/>
    </row>
    <row r="1674" spans="1:10">
      <c r="A1674" t="s">
        <v>3102</v>
      </c>
      <c r="B1674" s="198" t="s">
        <v>433</v>
      </c>
      <c r="E1674" s="198"/>
      <c r="H1674" s="198"/>
      <c r="J1674" s="198"/>
    </row>
    <row r="1675" spans="1:10">
      <c r="A1675" t="s">
        <v>3302</v>
      </c>
      <c r="B1675" s="198" t="s">
        <v>433</v>
      </c>
      <c r="E1675" s="198"/>
      <c r="H1675" s="198"/>
      <c r="J1675" s="198"/>
    </row>
    <row r="1676" spans="1:10">
      <c r="A1676" t="s">
        <v>2076</v>
      </c>
      <c r="B1676" s="198" t="s">
        <v>433</v>
      </c>
      <c r="E1676" s="198"/>
      <c r="H1676" s="198"/>
      <c r="J1676" s="198"/>
    </row>
    <row r="1677" spans="1:10">
      <c r="A1677" t="s">
        <v>2077</v>
      </c>
      <c r="B1677" s="198" t="s">
        <v>433</v>
      </c>
      <c r="E1677" s="198"/>
      <c r="H1677" s="198"/>
      <c r="J1677" s="198"/>
    </row>
    <row r="1678" spans="1:10">
      <c r="A1678" t="s">
        <v>2078</v>
      </c>
      <c r="B1678" s="198" t="s">
        <v>433</v>
      </c>
      <c r="E1678" s="198"/>
      <c r="H1678" s="198"/>
      <c r="J1678" s="198"/>
    </row>
    <row r="1679" spans="1:10">
      <c r="A1679" t="s">
        <v>2634</v>
      </c>
      <c r="B1679" s="198" t="s">
        <v>433</v>
      </c>
      <c r="E1679" s="198"/>
      <c r="H1679" s="198"/>
      <c r="J1679" s="198"/>
    </row>
    <row r="1680" spans="1:10">
      <c r="A1680" t="s">
        <v>3481</v>
      </c>
      <c r="B1680" s="198" t="s">
        <v>433</v>
      </c>
      <c r="E1680" s="198"/>
      <c r="H1680" s="198"/>
      <c r="J1680" s="198"/>
    </row>
    <row r="1681" spans="1:10">
      <c r="A1681" t="s">
        <v>2709</v>
      </c>
      <c r="B1681" s="198" t="s">
        <v>433</v>
      </c>
      <c r="E1681" s="198"/>
      <c r="H1681" s="198"/>
      <c r="J1681" s="198"/>
    </row>
    <row r="1682" spans="1:10">
      <c r="A1682" t="s">
        <v>2850</v>
      </c>
      <c r="B1682" s="198" t="s">
        <v>433</v>
      </c>
      <c r="E1682" s="198"/>
      <c r="H1682" s="198"/>
      <c r="J1682" s="198"/>
    </row>
    <row r="1683" spans="1:10">
      <c r="A1683" t="s">
        <v>3482</v>
      </c>
      <c r="B1683" s="198" t="s">
        <v>433</v>
      </c>
      <c r="E1683" s="198"/>
      <c r="H1683" s="198"/>
      <c r="J1683" s="198"/>
    </row>
    <row r="1684" spans="1:10">
      <c r="A1684" t="s">
        <v>2594</v>
      </c>
      <c r="B1684" s="198" t="s">
        <v>433</v>
      </c>
      <c r="E1684" s="198"/>
      <c r="H1684" s="198"/>
      <c r="J1684" s="198"/>
    </row>
    <row r="1685" spans="1:10">
      <c r="A1685" t="s">
        <v>2595</v>
      </c>
      <c r="B1685" s="198" t="s">
        <v>433</v>
      </c>
      <c r="E1685" s="198"/>
      <c r="H1685" s="198"/>
      <c r="J1685" s="198"/>
    </row>
    <row r="1686" spans="1:10">
      <c r="A1686" t="s">
        <v>2393</v>
      </c>
      <c r="B1686" s="198" t="s">
        <v>433</v>
      </c>
      <c r="E1686" s="198"/>
      <c r="H1686" s="198"/>
      <c r="J1686" s="198"/>
    </row>
    <row r="1687" spans="1:10">
      <c r="A1687" t="s">
        <v>2394</v>
      </c>
      <c r="B1687" s="198" t="s">
        <v>433</v>
      </c>
      <c r="E1687" s="198"/>
      <c r="H1687" s="198"/>
      <c r="J1687" s="198"/>
    </row>
    <row r="1688" spans="1:10">
      <c r="A1688" t="s">
        <v>2395</v>
      </c>
      <c r="B1688" s="198" t="s">
        <v>433</v>
      </c>
      <c r="E1688" s="198"/>
      <c r="H1688" s="198"/>
      <c r="J1688" s="198"/>
    </row>
    <row r="1689" spans="1:10">
      <c r="A1689" t="s">
        <v>2396</v>
      </c>
      <c r="B1689" s="198" t="s">
        <v>433</v>
      </c>
      <c r="E1689" s="198"/>
      <c r="H1689" s="198"/>
      <c r="J1689" s="198"/>
    </row>
    <row r="1690" spans="1:10">
      <c r="A1690" t="s">
        <v>2397</v>
      </c>
      <c r="B1690" s="198" t="s">
        <v>433</v>
      </c>
      <c r="E1690" s="198"/>
      <c r="H1690" s="198"/>
      <c r="J1690" s="198"/>
    </row>
    <row r="1691" spans="1:10">
      <c r="A1691" t="s">
        <v>2398</v>
      </c>
      <c r="B1691" s="198" t="s">
        <v>433</v>
      </c>
      <c r="E1691" s="198"/>
      <c r="H1691" s="198"/>
    </row>
    <row r="1692" spans="1:10">
      <c r="B1692" s="198"/>
      <c r="E1692" s="198"/>
      <c r="H1692" s="198"/>
    </row>
    <row r="1693" spans="1:10">
      <c r="B1693" s="198"/>
      <c r="E1693" s="198"/>
      <c r="H1693" s="198"/>
    </row>
    <row r="1694" spans="1:10" ht="28">
      <c r="B1694" s="198" t="s">
        <v>434</v>
      </c>
      <c r="E1694" s="198"/>
      <c r="H1694" s="198"/>
    </row>
    <row r="1695" spans="1:10">
      <c r="B1695" s="198" t="s">
        <v>435</v>
      </c>
      <c r="E1695" s="198"/>
      <c r="H1695" s="198"/>
    </row>
    <row r="1696" spans="1:10">
      <c r="B1696" s="198" t="s">
        <v>436</v>
      </c>
      <c r="E1696" s="198"/>
      <c r="H1696" s="198"/>
    </row>
    <row r="1697" spans="1:9" ht="28">
      <c r="A1697" t="s">
        <v>2322</v>
      </c>
      <c r="B1697" s="198" t="s">
        <v>437</v>
      </c>
      <c r="E1697" s="198"/>
      <c r="H1697" s="198"/>
    </row>
    <row r="1698" spans="1:9" ht="28">
      <c r="A1698" t="s">
        <v>1871</v>
      </c>
      <c r="B1698" s="198" t="s">
        <v>438</v>
      </c>
      <c r="E1698" s="198"/>
    </row>
    <row r="1699" spans="1:9" ht="28">
      <c r="A1699" t="s">
        <v>2176</v>
      </c>
      <c r="B1699" s="198" t="s">
        <v>438</v>
      </c>
      <c r="E1699" s="198"/>
    </row>
    <row r="1700" spans="1:9" ht="28">
      <c r="A1700" t="s">
        <v>2596</v>
      </c>
      <c r="B1700" s="198" t="s">
        <v>438</v>
      </c>
      <c r="E1700" s="198"/>
    </row>
    <row r="1701" spans="1:9" ht="28">
      <c r="A1701" t="s">
        <v>2739</v>
      </c>
      <c r="B1701" s="198" t="s">
        <v>438</v>
      </c>
      <c r="E1701" s="198"/>
      <c r="G1701" s="198"/>
    </row>
    <row r="1702" spans="1:9" ht="28">
      <c r="A1702" t="s">
        <v>2740</v>
      </c>
      <c r="B1702" s="198" t="s">
        <v>438</v>
      </c>
      <c r="E1702" s="198"/>
      <c r="G1702" s="198"/>
    </row>
    <row r="1703" spans="1:9" ht="28">
      <c r="B1703" s="198" t="s">
        <v>439</v>
      </c>
      <c r="E1703" s="198"/>
      <c r="G1703" s="198"/>
    </row>
    <row r="1704" spans="1:9" ht="28">
      <c r="A1704" t="s">
        <v>975</v>
      </c>
      <c r="B1704" s="198" t="s">
        <v>440</v>
      </c>
      <c r="E1704" s="198"/>
      <c r="G1704" s="198"/>
    </row>
    <row r="1705" spans="1:9" ht="28">
      <c r="B1705" s="198" t="s">
        <v>440</v>
      </c>
      <c r="E1705" s="198"/>
      <c r="G1705" s="198"/>
    </row>
    <row r="1706" spans="1:9" ht="28">
      <c r="B1706" s="198" t="s">
        <v>440</v>
      </c>
      <c r="E1706" s="198"/>
      <c r="G1706" s="198"/>
    </row>
    <row r="1707" spans="1:9" ht="28">
      <c r="B1707" s="198" t="s">
        <v>440</v>
      </c>
      <c r="E1707" s="198"/>
    </row>
    <row r="1708" spans="1:9" ht="28">
      <c r="B1708" s="198" t="s">
        <v>440</v>
      </c>
      <c r="E1708" s="198"/>
    </row>
    <row r="1709" spans="1:9" ht="28">
      <c r="B1709" s="198" t="s">
        <v>440</v>
      </c>
      <c r="E1709" s="198"/>
      <c r="G1709" s="198"/>
      <c r="I1709" s="198"/>
    </row>
    <row r="1710" spans="1:9" ht="28">
      <c r="B1710" s="198" t="s">
        <v>440</v>
      </c>
      <c r="E1710" s="198"/>
      <c r="G1710" s="198"/>
      <c r="I1710" s="198"/>
    </row>
    <row r="1711" spans="1:9" ht="28">
      <c r="B1711" s="198" t="s">
        <v>440</v>
      </c>
      <c r="E1711" s="198"/>
      <c r="G1711" s="198"/>
      <c r="I1711" s="198"/>
    </row>
    <row r="1712" spans="1:9">
      <c r="B1712" s="198" t="s">
        <v>441</v>
      </c>
      <c r="E1712" s="198"/>
      <c r="G1712" s="198"/>
      <c r="I1712" s="198"/>
    </row>
    <row r="1713" spans="1:12">
      <c r="A1713" t="s">
        <v>3303</v>
      </c>
      <c r="B1713" s="198" t="s">
        <v>442</v>
      </c>
      <c r="E1713" s="198"/>
      <c r="G1713" s="198"/>
      <c r="I1713" s="198"/>
    </row>
    <row r="1714" spans="1:12">
      <c r="A1714" t="s">
        <v>3439</v>
      </c>
      <c r="B1714" s="198" t="s">
        <v>442</v>
      </c>
      <c r="E1714" s="198"/>
      <c r="G1714" s="198"/>
      <c r="I1714" s="198"/>
    </row>
    <row r="1715" spans="1:12">
      <c r="A1715" t="s">
        <v>2597</v>
      </c>
      <c r="B1715" s="198" t="s">
        <v>442</v>
      </c>
      <c r="E1715" s="198"/>
    </row>
    <row r="1716" spans="1:12">
      <c r="A1716" t="s">
        <v>2473</v>
      </c>
      <c r="B1716" s="198" t="s">
        <v>442</v>
      </c>
      <c r="E1716" s="198"/>
    </row>
    <row r="1717" spans="1:12">
      <c r="A1717" t="s">
        <v>2417</v>
      </c>
      <c r="B1717" s="198" t="s">
        <v>442</v>
      </c>
      <c r="E1717" s="198"/>
    </row>
    <row r="1718" spans="1:12">
      <c r="A1718" t="s">
        <v>2474</v>
      </c>
      <c r="B1718" s="198" t="s">
        <v>442</v>
      </c>
      <c r="E1718" s="198"/>
    </row>
    <row r="1719" spans="1:12">
      <c r="A1719" t="s">
        <v>1866</v>
      </c>
      <c r="B1719" s="198" t="s">
        <v>442</v>
      </c>
      <c r="E1719" s="198"/>
    </row>
    <row r="1720" spans="1:12">
      <c r="A1720" t="s">
        <v>4139</v>
      </c>
      <c r="B1720" s="198" t="s">
        <v>442</v>
      </c>
      <c r="E1720" s="198"/>
    </row>
    <row r="1721" spans="1:12">
      <c r="A1721" t="s">
        <v>2177</v>
      </c>
      <c r="B1721" s="198" t="s">
        <v>442</v>
      </c>
      <c r="E1721" s="198"/>
    </row>
    <row r="1722" spans="1:12">
      <c r="A1722" t="s">
        <v>2178</v>
      </c>
      <c r="B1722" s="198" t="s">
        <v>442</v>
      </c>
      <c r="E1722" s="198"/>
    </row>
    <row r="1723" spans="1:12">
      <c r="A1723" t="s">
        <v>2179</v>
      </c>
      <c r="B1723" s="198" t="s">
        <v>442</v>
      </c>
      <c r="E1723" s="198"/>
    </row>
    <row r="1724" spans="1:12">
      <c r="A1724" t="s">
        <v>2355</v>
      </c>
      <c r="B1724" s="198" t="s">
        <v>442</v>
      </c>
      <c r="E1724" s="198"/>
    </row>
    <row r="1725" spans="1:12">
      <c r="A1725" t="s">
        <v>2278</v>
      </c>
      <c r="B1725" s="198" t="s">
        <v>442</v>
      </c>
      <c r="E1725" s="198"/>
    </row>
    <row r="1726" spans="1:12">
      <c r="A1726" t="s">
        <v>3728</v>
      </c>
      <c r="B1726" s="198" t="s">
        <v>442</v>
      </c>
      <c r="E1726" s="198"/>
    </row>
    <row r="1727" spans="1:12">
      <c r="A1727" t="s">
        <v>1868</v>
      </c>
      <c r="B1727" s="198" t="s">
        <v>443</v>
      </c>
      <c r="E1727" s="198"/>
      <c r="H1727" s="198"/>
      <c r="J1727" s="198"/>
      <c r="L1727" s="198"/>
    </row>
    <row r="1728" spans="1:12">
      <c r="A1728" t="s">
        <v>2399</v>
      </c>
      <c r="B1728" s="198" t="s">
        <v>443</v>
      </c>
      <c r="E1728" s="198"/>
      <c r="H1728" s="198"/>
      <c r="J1728" s="198"/>
      <c r="L1728" s="198"/>
    </row>
    <row r="1729" spans="1:12">
      <c r="A1729" t="s">
        <v>3691</v>
      </c>
      <c r="B1729" s="198" t="s">
        <v>443</v>
      </c>
      <c r="E1729" s="198"/>
      <c r="H1729" s="198"/>
      <c r="J1729" s="198"/>
      <c r="L1729" s="198"/>
    </row>
    <row r="1730" spans="1:12">
      <c r="A1730" t="s">
        <v>3692</v>
      </c>
      <c r="B1730" s="198" t="s">
        <v>443</v>
      </c>
      <c r="E1730" s="198"/>
      <c r="H1730" s="198"/>
      <c r="J1730" s="198"/>
      <c r="L1730" s="198"/>
    </row>
    <row r="1731" spans="1:12">
      <c r="A1731" t="s">
        <v>4199</v>
      </c>
      <c r="B1731" s="198" t="s">
        <v>443</v>
      </c>
      <c r="E1731" s="198"/>
      <c r="H1731" s="198"/>
      <c r="J1731" s="198"/>
      <c r="L1731" s="198"/>
    </row>
    <row r="1732" spans="1:12">
      <c r="A1732" t="s">
        <v>3246</v>
      </c>
      <c r="B1732" s="198" t="s">
        <v>444</v>
      </c>
      <c r="E1732" s="198"/>
      <c r="H1732" s="198"/>
      <c r="J1732" s="198"/>
      <c r="L1732" s="198"/>
    </row>
    <row r="1733" spans="1:12">
      <c r="B1733" s="198" t="s">
        <v>444</v>
      </c>
      <c r="E1733" s="198"/>
      <c r="H1733" s="198"/>
      <c r="J1733" s="198"/>
      <c r="L1733" s="198"/>
    </row>
    <row r="1734" spans="1:12">
      <c r="A1734" t="s">
        <v>2475</v>
      </c>
      <c r="B1734" s="198" t="s">
        <v>445</v>
      </c>
      <c r="E1734" s="198"/>
      <c r="H1734" s="198"/>
      <c r="J1734" s="198"/>
      <c r="L1734" s="198"/>
    </row>
    <row r="1735" spans="1:12">
      <c r="B1735" s="198" t="s">
        <v>446</v>
      </c>
      <c r="E1735" s="198"/>
      <c r="H1735" s="198"/>
      <c r="J1735" s="198"/>
      <c r="L1735" s="198"/>
    </row>
    <row r="1736" spans="1:12">
      <c r="A1736" t="s">
        <v>2883</v>
      </c>
      <c r="B1736" s="198" t="s">
        <v>447</v>
      </c>
      <c r="E1736" s="198"/>
    </row>
    <row r="1737" spans="1:12">
      <c r="B1737" s="198" t="s">
        <v>448</v>
      </c>
      <c r="E1737" s="198"/>
    </row>
    <row r="1738" spans="1:12">
      <c r="B1738" s="198" t="s">
        <v>449</v>
      </c>
      <c r="E1738" s="198"/>
    </row>
    <row r="1739" spans="1:12">
      <c r="B1739" s="198" t="s">
        <v>450</v>
      </c>
      <c r="E1739" s="198"/>
    </row>
    <row r="1740" spans="1:12">
      <c r="A1740" t="s">
        <v>3555</v>
      </c>
      <c r="B1740" s="198" t="s">
        <v>451</v>
      </c>
      <c r="E1740" s="198"/>
    </row>
    <row r="1741" spans="1:12">
      <c r="A1741" t="s">
        <v>3556</v>
      </c>
      <c r="B1741" s="198" t="s">
        <v>451</v>
      </c>
      <c r="E1741" s="198"/>
    </row>
    <row r="1742" spans="1:12">
      <c r="A1742" t="s">
        <v>3808</v>
      </c>
      <c r="B1742" s="198" t="s">
        <v>451</v>
      </c>
      <c r="E1742" s="198"/>
    </row>
    <row r="1743" spans="1:12">
      <c r="A1743" t="s">
        <v>3809</v>
      </c>
      <c r="B1743" s="198" t="s">
        <v>451</v>
      </c>
      <c r="E1743" s="198"/>
    </row>
    <row r="1744" spans="1:12">
      <c r="A1744" t="s">
        <v>3658</v>
      </c>
      <c r="B1744" s="198" t="s">
        <v>451</v>
      </c>
      <c r="E1744" s="198"/>
    </row>
    <row r="1745" spans="1:6">
      <c r="A1745" t="s">
        <v>3659</v>
      </c>
      <c r="B1745" s="198" t="s">
        <v>451</v>
      </c>
      <c r="E1745" s="198"/>
    </row>
    <row r="1746" spans="1:6">
      <c r="A1746" t="s">
        <v>3660</v>
      </c>
      <c r="B1746" s="198" t="s">
        <v>451</v>
      </c>
      <c r="E1746" s="198"/>
    </row>
    <row r="1747" spans="1:6">
      <c r="A1747" t="s">
        <v>3661</v>
      </c>
      <c r="B1747" s="198" t="s">
        <v>451</v>
      </c>
      <c r="E1747" s="198"/>
    </row>
    <row r="1748" spans="1:6">
      <c r="A1748" t="s">
        <v>3705</v>
      </c>
      <c r="B1748" s="198" t="s">
        <v>451</v>
      </c>
      <c r="E1748" s="198"/>
    </row>
    <row r="1749" spans="1:6">
      <c r="A1749" t="s">
        <v>3706</v>
      </c>
      <c r="B1749" s="198" t="s">
        <v>451</v>
      </c>
      <c r="E1749" s="198"/>
    </row>
    <row r="1750" spans="1:6">
      <c r="A1750" t="s">
        <v>3729</v>
      </c>
      <c r="B1750" s="198" t="s">
        <v>451</v>
      </c>
      <c r="E1750" s="198"/>
    </row>
    <row r="1751" spans="1:6">
      <c r="A1751" t="s">
        <v>3730</v>
      </c>
      <c r="B1751" s="198" t="s">
        <v>451</v>
      </c>
      <c r="E1751" s="198"/>
    </row>
    <row r="1752" spans="1:6">
      <c r="A1752" t="s">
        <v>3731</v>
      </c>
      <c r="B1752" s="198" t="s">
        <v>451</v>
      </c>
      <c r="E1752" s="198"/>
    </row>
    <row r="1753" spans="1:6">
      <c r="A1753" t="s">
        <v>3732</v>
      </c>
      <c r="B1753" s="198" t="s">
        <v>451</v>
      </c>
      <c r="E1753" s="198"/>
    </row>
    <row r="1754" spans="1:6">
      <c r="A1754" t="s">
        <v>3810</v>
      </c>
      <c r="B1754" s="198" t="s">
        <v>451</v>
      </c>
      <c r="E1754" s="198"/>
    </row>
    <row r="1755" spans="1:6">
      <c r="A1755" t="s">
        <v>3811</v>
      </c>
      <c r="B1755" s="198" t="s">
        <v>451</v>
      </c>
      <c r="E1755" s="198"/>
    </row>
    <row r="1756" spans="1:6">
      <c r="A1756" t="s">
        <v>3812</v>
      </c>
      <c r="B1756" s="198" t="s">
        <v>451</v>
      </c>
      <c r="E1756" s="198"/>
    </row>
    <row r="1757" spans="1:6">
      <c r="A1757" t="s">
        <v>3813</v>
      </c>
      <c r="B1757" s="198" t="s">
        <v>451</v>
      </c>
      <c r="E1757" s="198"/>
    </row>
    <row r="1758" spans="1:6">
      <c r="B1758" s="198" t="s">
        <v>452</v>
      </c>
      <c r="E1758" s="198"/>
    </row>
    <row r="1759" spans="1:6">
      <c r="B1759" s="198" t="s">
        <v>452</v>
      </c>
      <c r="E1759" s="198"/>
      <c r="F1759" s="240"/>
    </row>
    <row r="1760" spans="1:6">
      <c r="B1760" s="198" t="s">
        <v>452</v>
      </c>
      <c r="E1760" s="198"/>
      <c r="F1760" s="240"/>
    </row>
    <row r="1761" spans="1:8">
      <c r="B1761" s="198" t="s">
        <v>452</v>
      </c>
      <c r="E1761" s="198"/>
      <c r="F1761" s="240"/>
    </row>
    <row r="1762" spans="1:8">
      <c r="A1762" t="s">
        <v>3440</v>
      </c>
      <c r="B1762" s="198" t="s">
        <v>453</v>
      </c>
      <c r="E1762" s="198"/>
      <c r="F1762" s="240"/>
    </row>
    <row r="1763" spans="1:8">
      <c r="B1763" s="198" t="s">
        <v>454</v>
      </c>
      <c r="E1763" s="198"/>
      <c r="F1763" s="240"/>
    </row>
    <row r="1764" spans="1:8">
      <c r="B1764" s="198" t="s">
        <v>455</v>
      </c>
      <c r="E1764" s="198"/>
      <c r="F1764" s="240"/>
    </row>
    <row r="1765" spans="1:8">
      <c r="B1765" s="198" t="s">
        <v>456</v>
      </c>
      <c r="E1765" s="198"/>
      <c r="F1765" s="240"/>
    </row>
    <row r="1766" spans="1:8">
      <c r="A1766" t="s">
        <v>2133</v>
      </c>
      <c r="B1766" s="198" t="s">
        <v>457</v>
      </c>
      <c r="C1766" t="s">
        <v>2074</v>
      </c>
      <c r="E1766" s="198"/>
      <c r="F1766" s="240"/>
      <c r="H1766" s="198"/>
    </row>
    <row r="1767" spans="1:8">
      <c r="A1767" t="s">
        <v>788</v>
      </c>
      <c r="B1767" s="198" t="s">
        <v>458</v>
      </c>
      <c r="E1767" s="198"/>
      <c r="F1767" s="240"/>
      <c r="H1767" s="198"/>
    </row>
    <row r="1768" spans="1:8">
      <c r="A1768" t="s">
        <v>789</v>
      </c>
      <c r="B1768" s="198" t="s">
        <v>458</v>
      </c>
      <c r="E1768" s="198"/>
      <c r="F1768" s="240"/>
      <c r="H1768" s="198"/>
    </row>
    <row r="1769" spans="1:8">
      <c r="A1769" t="s">
        <v>894</v>
      </c>
      <c r="B1769" s="198" t="s">
        <v>458</v>
      </c>
      <c r="E1769" s="198"/>
      <c r="F1769" s="240"/>
      <c r="H1769" s="198"/>
    </row>
    <row r="1770" spans="1:8">
      <c r="A1770" t="s">
        <v>1259</v>
      </c>
      <c r="B1770" s="198" t="s">
        <v>458</v>
      </c>
      <c r="E1770" s="198"/>
      <c r="F1770" s="240"/>
      <c r="H1770" s="198"/>
    </row>
    <row r="1771" spans="1:8">
      <c r="A1771" t="s">
        <v>2400</v>
      </c>
      <c r="B1771" s="198" t="s">
        <v>458</v>
      </c>
      <c r="E1771" s="198"/>
      <c r="F1771" s="240"/>
      <c r="H1771" s="198"/>
    </row>
    <row r="1772" spans="1:8">
      <c r="A1772" t="s">
        <v>2401</v>
      </c>
      <c r="B1772" s="198" t="s">
        <v>458</v>
      </c>
      <c r="E1772" s="198"/>
      <c r="F1772" s="240"/>
      <c r="H1772" s="198"/>
    </row>
    <row r="1773" spans="1:8">
      <c r="A1773" t="s">
        <v>2402</v>
      </c>
      <c r="B1773" s="198" t="s">
        <v>458</v>
      </c>
      <c r="E1773" s="198"/>
      <c r="F1773" s="240"/>
      <c r="H1773" s="198"/>
    </row>
    <row r="1774" spans="1:8">
      <c r="A1774" t="s">
        <v>2403</v>
      </c>
      <c r="B1774" s="198" t="s">
        <v>458</v>
      </c>
      <c r="E1774" s="198"/>
      <c r="F1774" s="240"/>
      <c r="H1774" s="198"/>
    </row>
    <row r="1775" spans="1:8">
      <c r="A1775" t="s">
        <v>2404</v>
      </c>
      <c r="B1775" s="198" t="s">
        <v>458</v>
      </c>
      <c r="E1775" s="198"/>
      <c r="F1775" s="240"/>
      <c r="H1775" s="198"/>
    </row>
    <row r="1776" spans="1:8">
      <c r="A1776" t="s">
        <v>2766</v>
      </c>
      <c r="B1776" s="198" t="s">
        <v>458</v>
      </c>
      <c r="E1776" s="198"/>
      <c r="F1776" s="240"/>
      <c r="H1776" s="198"/>
    </row>
    <row r="1777" spans="1:9">
      <c r="A1777" t="s">
        <v>2767</v>
      </c>
      <c r="B1777" s="198" t="s">
        <v>458</v>
      </c>
      <c r="E1777" s="198"/>
      <c r="F1777" s="240"/>
      <c r="H1777" s="198"/>
    </row>
    <row r="1778" spans="1:9">
      <c r="A1778" t="s">
        <v>2768</v>
      </c>
      <c r="B1778" s="198" t="s">
        <v>458</v>
      </c>
      <c r="E1778" s="198"/>
      <c r="F1778" s="240"/>
      <c r="H1778" s="198"/>
    </row>
    <row r="1779" spans="1:9">
      <c r="A1779" t="s">
        <v>3304</v>
      </c>
      <c r="B1779" s="198" t="s">
        <v>458</v>
      </c>
      <c r="E1779" s="198"/>
      <c r="F1779" s="240"/>
      <c r="H1779" s="198"/>
    </row>
    <row r="1780" spans="1:9">
      <c r="A1780" t="s">
        <v>3305</v>
      </c>
      <c r="B1780" s="198" t="s">
        <v>458</v>
      </c>
      <c r="E1780" s="198"/>
      <c r="F1780" s="240"/>
      <c r="H1780" s="198"/>
    </row>
    <row r="1781" spans="1:9">
      <c r="A1781" t="s">
        <v>3306</v>
      </c>
      <c r="B1781" s="198" t="s">
        <v>458</v>
      </c>
      <c r="E1781" s="198"/>
      <c r="F1781" s="240"/>
      <c r="H1781" s="198"/>
    </row>
    <row r="1782" spans="1:9">
      <c r="A1782" t="s">
        <v>2361</v>
      </c>
      <c r="B1782" s="198" t="s">
        <v>458</v>
      </c>
      <c r="C1782" s="240"/>
      <c r="E1782" s="198"/>
      <c r="F1782" s="240"/>
      <c r="H1782" s="198"/>
      <c r="I1782" s="240"/>
    </row>
    <row r="1783" spans="1:9">
      <c r="A1783" t="s">
        <v>2360</v>
      </c>
      <c r="B1783" s="198" t="s">
        <v>458</v>
      </c>
      <c r="C1783" s="240"/>
      <c r="E1783" s="198"/>
      <c r="F1783" s="240"/>
      <c r="H1783" s="198"/>
      <c r="I1783" s="240"/>
    </row>
    <row r="1784" spans="1:9">
      <c r="A1784" t="s">
        <v>2362</v>
      </c>
      <c r="B1784" s="198" t="s">
        <v>458</v>
      </c>
      <c r="C1784" s="240"/>
      <c r="E1784" s="198"/>
      <c r="F1784" s="240"/>
      <c r="H1784" s="198"/>
      <c r="I1784" s="240"/>
    </row>
    <row r="1785" spans="1:9">
      <c r="A1785" t="s">
        <v>2363</v>
      </c>
      <c r="B1785" s="198" t="s">
        <v>458</v>
      </c>
      <c r="C1785" s="240"/>
      <c r="E1785" s="198"/>
      <c r="F1785" s="240"/>
      <c r="H1785" s="198"/>
      <c r="I1785" s="240"/>
    </row>
    <row r="1786" spans="1:9">
      <c r="A1786" t="s">
        <v>2364</v>
      </c>
      <c r="B1786" s="198" t="s">
        <v>458</v>
      </c>
      <c r="C1786" s="240"/>
      <c r="E1786" s="198"/>
      <c r="F1786" s="240"/>
      <c r="H1786" s="198"/>
      <c r="I1786" s="240"/>
    </row>
    <row r="1787" spans="1:9">
      <c r="A1787" t="s">
        <v>3307</v>
      </c>
      <c r="B1787" s="198" t="s">
        <v>458</v>
      </c>
      <c r="C1787" s="240"/>
      <c r="E1787" s="198"/>
      <c r="F1787" s="240"/>
      <c r="H1787" s="198"/>
      <c r="I1787" s="240"/>
    </row>
    <row r="1788" spans="1:9">
      <c r="A1788" t="s">
        <v>3308</v>
      </c>
      <c r="B1788" s="198" t="s">
        <v>458</v>
      </c>
      <c r="C1788" s="240"/>
      <c r="E1788" s="198"/>
      <c r="F1788" s="240"/>
      <c r="H1788" s="198"/>
      <c r="I1788" s="240"/>
    </row>
    <row r="1789" spans="1:9">
      <c r="A1789" t="s">
        <v>3472</v>
      </c>
      <c r="B1789" s="198" t="s">
        <v>458</v>
      </c>
      <c r="C1789" s="240"/>
      <c r="E1789" s="198"/>
      <c r="F1789" s="240"/>
      <c r="H1789" s="198"/>
      <c r="I1789" s="240"/>
    </row>
    <row r="1790" spans="1:9">
      <c r="A1790" t="s">
        <v>3384</v>
      </c>
      <c r="B1790" s="198" t="s">
        <v>458</v>
      </c>
      <c r="C1790" s="240"/>
      <c r="E1790" s="198"/>
      <c r="F1790" s="240"/>
      <c r="H1790" s="198"/>
      <c r="I1790" s="240"/>
    </row>
    <row r="1791" spans="1:9">
      <c r="A1791" t="s">
        <v>3048</v>
      </c>
      <c r="B1791" s="198" t="s">
        <v>458</v>
      </c>
      <c r="C1791" s="240"/>
      <c r="E1791" s="198"/>
      <c r="F1791" s="240"/>
      <c r="H1791" s="198"/>
      <c r="I1791" s="240"/>
    </row>
    <row r="1792" spans="1:9">
      <c r="A1792" t="s">
        <v>3049</v>
      </c>
      <c r="B1792" s="198" t="s">
        <v>458</v>
      </c>
      <c r="C1792" s="240"/>
      <c r="E1792" s="198"/>
      <c r="F1792" s="240"/>
      <c r="H1792" s="198"/>
      <c r="I1792" s="240"/>
    </row>
    <row r="1793" spans="1:8">
      <c r="A1793" t="s">
        <v>3050</v>
      </c>
      <c r="B1793" s="198" t="s">
        <v>458</v>
      </c>
      <c r="C1793" s="240"/>
      <c r="E1793" s="198"/>
      <c r="F1793" s="240"/>
    </row>
    <row r="1794" spans="1:8">
      <c r="A1794" t="s">
        <v>3051</v>
      </c>
      <c r="B1794" s="198" t="s">
        <v>458</v>
      </c>
      <c r="C1794" s="240"/>
      <c r="E1794" s="198"/>
      <c r="F1794" s="240"/>
    </row>
    <row r="1795" spans="1:8">
      <c r="A1795" t="s">
        <v>3052</v>
      </c>
      <c r="B1795" s="198" t="s">
        <v>458</v>
      </c>
      <c r="C1795" s="240"/>
      <c r="E1795" s="198"/>
      <c r="F1795" s="240"/>
    </row>
    <row r="1796" spans="1:8">
      <c r="A1796" t="s">
        <v>3053</v>
      </c>
      <c r="B1796" s="198" t="s">
        <v>458</v>
      </c>
      <c r="C1796" s="240"/>
      <c r="E1796" s="198"/>
      <c r="F1796" s="240"/>
    </row>
    <row r="1797" spans="1:8">
      <c r="A1797" t="s">
        <v>3054</v>
      </c>
      <c r="B1797" s="198" t="s">
        <v>458</v>
      </c>
      <c r="C1797" s="240"/>
      <c r="E1797" s="198"/>
      <c r="H1797" s="198"/>
    </row>
    <row r="1798" spans="1:8">
      <c r="A1798" t="s">
        <v>3055</v>
      </c>
      <c r="B1798" s="198" t="s">
        <v>458</v>
      </c>
      <c r="C1798" s="240"/>
      <c r="E1798" s="198"/>
      <c r="H1798" s="198"/>
    </row>
    <row r="1799" spans="1:8">
      <c r="A1799" t="s">
        <v>3056</v>
      </c>
      <c r="B1799" s="198" t="s">
        <v>458</v>
      </c>
      <c r="C1799" s="240"/>
      <c r="E1799" s="198"/>
      <c r="H1799" s="198"/>
    </row>
    <row r="1800" spans="1:8">
      <c r="A1800" t="s">
        <v>3057</v>
      </c>
      <c r="B1800" s="198" t="s">
        <v>458</v>
      </c>
      <c r="C1800" s="240"/>
      <c r="E1800" s="198"/>
      <c r="H1800" s="198"/>
    </row>
    <row r="1801" spans="1:8">
      <c r="A1801" t="s">
        <v>2660</v>
      </c>
      <c r="B1801" s="198" t="s">
        <v>458</v>
      </c>
      <c r="C1801" s="240"/>
      <c r="E1801" s="198"/>
      <c r="H1801" s="198"/>
    </row>
    <row r="1802" spans="1:8">
      <c r="A1802" t="s">
        <v>2635</v>
      </c>
      <c r="B1802" s="198" t="s">
        <v>458</v>
      </c>
      <c r="C1802" s="240"/>
      <c r="E1802" s="198"/>
      <c r="H1802" s="198"/>
    </row>
    <row r="1803" spans="1:8">
      <c r="A1803" t="s">
        <v>2636</v>
      </c>
      <c r="B1803" s="198" t="s">
        <v>458</v>
      </c>
      <c r="C1803" s="240"/>
      <c r="E1803" s="198"/>
      <c r="H1803" s="198"/>
    </row>
    <row r="1804" spans="1:8">
      <c r="A1804" t="s">
        <v>2637</v>
      </c>
      <c r="B1804" s="198" t="s">
        <v>458</v>
      </c>
      <c r="C1804" s="240"/>
      <c r="E1804" s="198"/>
      <c r="G1804" s="198"/>
      <c r="H1804" s="198"/>
    </row>
    <row r="1805" spans="1:8">
      <c r="A1805" t="s">
        <v>2638</v>
      </c>
      <c r="B1805" s="198" t="s">
        <v>458</v>
      </c>
      <c r="C1805" s="240"/>
      <c r="E1805" s="198"/>
      <c r="G1805" s="198"/>
      <c r="H1805" s="198"/>
    </row>
    <row r="1806" spans="1:8">
      <c r="A1806" t="s">
        <v>2639</v>
      </c>
      <c r="B1806" s="198" t="s">
        <v>458</v>
      </c>
      <c r="C1806" s="240"/>
      <c r="E1806" s="198"/>
      <c r="G1806" s="198"/>
      <c r="H1806" s="198"/>
    </row>
    <row r="1807" spans="1:8">
      <c r="A1807" t="s">
        <v>2640</v>
      </c>
      <c r="B1807" s="198" t="s">
        <v>458</v>
      </c>
      <c r="C1807" s="240"/>
      <c r="E1807" s="198"/>
      <c r="G1807" s="198"/>
      <c r="H1807" s="198"/>
    </row>
    <row r="1808" spans="1:8">
      <c r="A1808" t="s">
        <v>2641</v>
      </c>
      <c r="B1808" s="198" t="s">
        <v>458</v>
      </c>
      <c r="C1808" s="240"/>
      <c r="E1808" s="198"/>
      <c r="G1808" s="198"/>
      <c r="H1808" s="198"/>
    </row>
    <row r="1809" spans="1:9">
      <c r="A1809" t="s">
        <v>2642</v>
      </c>
      <c r="B1809" s="198" t="s">
        <v>458</v>
      </c>
      <c r="C1809" s="240"/>
      <c r="E1809" s="198"/>
      <c r="G1809" s="198"/>
      <c r="H1809" s="198"/>
    </row>
    <row r="1810" spans="1:9">
      <c r="A1810" t="s">
        <v>2643</v>
      </c>
      <c r="B1810" s="198" t="s">
        <v>458</v>
      </c>
      <c r="C1810" s="240"/>
      <c r="E1810" s="198"/>
      <c r="G1810" s="198"/>
      <c r="I1810" s="198"/>
    </row>
    <row r="1811" spans="1:9">
      <c r="A1811" t="s">
        <v>2644</v>
      </c>
      <c r="B1811" s="198" t="s">
        <v>458</v>
      </c>
      <c r="C1811" s="240"/>
      <c r="E1811" s="198"/>
      <c r="G1811" s="198"/>
      <c r="I1811" s="198"/>
    </row>
    <row r="1812" spans="1:9">
      <c r="A1812" t="s">
        <v>3309</v>
      </c>
      <c r="B1812" s="198" t="s">
        <v>458</v>
      </c>
      <c r="C1812" s="240"/>
      <c r="E1812" s="198"/>
      <c r="G1812" s="198"/>
      <c r="I1812" s="198"/>
    </row>
    <row r="1813" spans="1:9">
      <c r="A1813" t="s">
        <v>3310</v>
      </c>
      <c r="B1813" s="198" t="s">
        <v>458</v>
      </c>
      <c r="C1813" s="240"/>
      <c r="E1813" s="198"/>
      <c r="G1813" s="198"/>
      <c r="I1813" s="198"/>
    </row>
    <row r="1814" spans="1:9">
      <c r="A1814" t="s">
        <v>3311</v>
      </c>
      <c r="B1814" s="198" t="s">
        <v>458</v>
      </c>
      <c r="C1814" s="240"/>
      <c r="E1814" s="198"/>
      <c r="G1814" s="198"/>
      <c r="I1814" s="198"/>
    </row>
    <row r="1815" spans="1:9">
      <c r="A1815" t="s">
        <v>3312</v>
      </c>
      <c r="B1815" s="198" t="s">
        <v>458</v>
      </c>
      <c r="C1815" s="240"/>
      <c r="E1815" s="198"/>
      <c r="G1815" s="198"/>
      <c r="I1815" s="198"/>
    </row>
    <row r="1816" spans="1:9">
      <c r="A1816" t="s">
        <v>3313</v>
      </c>
      <c r="B1816" s="198" t="s">
        <v>458</v>
      </c>
      <c r="C1816" s="240"/>
      <c r="E1816" s="198"/>
      <c r="G1816" s="198"/>
      <c r="I1816" s="198"/>
    </row>
    <row r="1817" spans="1:9">
      <c r="A1817" t="s">
        <v>3314</v>
      </c>
      <c r="B1817" s="198" t="s">
        <v>458</v>
      </c>
      <c r="C1817" s="240"/>
      <c r="E1817" s="198"/>
      <c r="G1817" s="198"/>
      <c r="I1817" s="198"/>
    </row>
    <row r="1818" spans="1:9">
      <c r="A1818" t="s">
        <v>3361</v>
      </c>
      <c r="B1818" s="198" t="s">
        <v>458</v>
      </c>
      <c r="C1818" s="240"/>
      <c r="E1818" s="198"/>
      <c r="G1818" s="198"/>
      <c r="I1818" s="198"/>
    </row>
    <row r="1819" spans="1:9">
      <c r="A1819" t="s">
        <v>3362</v>
      </c>
      <c r="B1819" s="198" t="s">
        <v>458</v>
      </c>
      <c r="C1819" s="240"/>
      <c r="E1819" s="198"/>
      <c r="G1819" s="198"/>
      <c r="I1819" s="198"/>
    </row>
    <row r="1820" spans="1:9">
      <c r="A1820" t="s">
        <v>3363</v>
      </c>
      <c r="B1820" s="198" t="s">
        <v>458</v>
      </c>
      <c r="C1820" s="240"/>
      <c r="E1820" s="198"/>
      <c r="G1820" s="198"/>
      <c r="I1820" s="198"/>
    </row>
    <row r="1821" spans="1:9">
      <c r="A1821" t="s">
        <v>3364</v>
      </c>
      <c r="B1821" s="198" t="s">
        <v>458</v>
      </c>
      <c r="C1821" s="240"/>
      <c r="E1821" s="198"/>
      <c r="G1821" s="198"/>
      <c r="I1821" s="198"/>
    </row>
    <row r="1822" spans="1:9">
      <c r="A1822" t="s">
        <v>3365</v>
      </c>
      <c r="B1822" s="198" t="s">
        <v>458</v>
      </c>
      <c r="C1822" s="240"/>
      <c r="E1822" s="198"/>
      <c r="G1822" s="198"/>
      <c r="I1822" s="198"/>
    </row>
    <row r="1823" spans="1:9">
      <c r="A1823" t="s">
        <v>3366</v>
      </c>
      <c r="B1823" s="198" t="s">
        <v>458</v>
      </c>
      <c r="C1823" s="240"/>
      <c r="E1823" s="198"/>
      <c r="G1823" s="198"/>
      <c r="I1823" s="198"/>
    </row>
    <row r="1824" spans="1:9">
      <c r="A1824" t="s">
        <v>3814</v>
      </c>
      <c r="B1824" s="198" t="s">
        <v>458</v>
      </c>
      <c r="C1824" s="240"/>
      <c r="E1824" s="198"/>
      <c r="G1824" s="198"/>
      <c r="I1824" s="198"/>
    </row>
    <row r="1825" spans="1:10">
      <c r="A1825" t="s">
        <v>3815</v>
      </c>
      <c r="B1825" s="198" t="s">
        <v>458</v>
      </c>
      <c r="C1825" s="240"/>
      <c r="E1825" s="198"/>
      <c r="G1825" s="198"/>
      <c r="I1825" s="198"/>
    </row>
    <row r="1826" spans="1:10">
      <c r="A1826" t="s">
        <v>3816</v>
      </c>
      <c r="B1826" s="198" t="s">
        <v>458</v>
      </c>
      <c r="C1826" s="240"/>
      <c r="E1826" s="198"/>
      <c r="G1826" s="198"/>
      <c r="I1826" s="198"/>
    </row>
    <row r="1827" spans="1:10">
      <c r="A1827" t="s">
        <v>3739</v>
      </c>
      <c r="B1827" s="198" t="s">
        <v>458</v>
      </c>
      <c r="C1827" s="240"/>
      <c r="E1827" s="198"/>
      <c r="G1827" s="198"/>
      <c r="I1827" s="198"/>
    </row>
    <row r="1828" spans="1:10">
      <c r="A1828" t="s">
        <v>3740</v>
      </c>
      <c r="B1828" s="198" t="s">
        <v>458</v>
      </c>
      <c r="C1828" s="240"/>
      <c r="E1828" s="198"/>
      <c r="G1828" s="198"/>
      <c r="I1828" s="198"/>
    </row>
    <row r="1829" spans="1:10">
      <c r="A1829" t="s">
        <v>2956</v>
      </c>
      <c r="B1829" s="198" t="s">
        <v>459</v>
      </c>
      <c r="C1829" s="240"/>
      <c r="E1829" s="198"/>
      <c r="G1829" s="198"/>
      <c r="I1829" s="198"/>
    </row>
    <row r="1830" spans="1:10">
      <c r="A1830" t="s">
        <v>3331</v>
      </c>
      <c r="B1830" s="198" t="s">
        <v>459</v>
      </c>
      <c r="C1830" s="240"/>
      <c r="E1830" s="198"/>
      <c r="G1830" s="198"/>
      <c r="I1830" s="198"/>
    </row>
    <row r="1831" spans="1:10">
      <c r="A1831" t="s">
        <v>4162</v>
      </c>
      <c r="B1831" s="198" t="s">
        <v>459</v>
      </c>
      <c r="C1831" s="240"/>
      <c r="E1831" s="198"/>
      <c r="G1831" s="198"/>
      <c r="I1831" s="198"/>
    </row>
    <row r="1832" spans="1:10">
      <c r="A1832" t="s">
        <v>4184</v>
      </c>
      <c r="B1832" s="198" t="s">
        <v>459</v>
      </c>
      <c r="C1832" s="240"/>
      <c r="E1832" s="198"/>
      <c r="G1832" s="198"/>
      <c r="I1832" s="198"/>
    </row>
    <row r="1833" spans="1:10">
      <c r="A1833" t="s">
        <v>4185</v>
      </c>
      <c r="B1833" s="198" t="s">
        <v>459</v>
      </c>
      <c r="C1833" s="240"/>
      <c r="E1833" s="198"/>
      <c r="G1833" s="198"/>
      <c r="I1833" s="198"/>
    </row>
    <row r="1834" spans="1:10">
      <c r="A1834" t="s">
        <v>4186</v>
      </c>
      <c r="B1834" s="198" t="s">
        <v>459</v>
      </c>
      <c r="C1834" s="240"/>
      <c r="E1834" s="198"/>
      <c r="H1834" s="198"/>
      <c r="J1834" s="198"/>
    </row>
    <row r="1835" spans="1:10">
      <c r="A1835" t="s">
        <v>4212</v>
      </c>
      <c r="B1835" s="198" t="s">
        <v>459</v>
      </c>
      <c r="C1835" s="240"/>
      <c r="E1835" s="198"/>
      <c r="H1835" s="198"/>
      <c r="J1835" s="198"/>
    </row>
    <row r="1836" spans="1:10">
      <c r="A1836" t="s">
        <v>4213</v>
      </c>
      <c r="B1836" s="198" t="s">
        <v>459</v>
      </c>
      <c r="C1836" s="240"/>
      <c r="E1836" s="198"/>
      <c r="H1836" s="198"/>
      <c r="J1836" s="198"/>
    </row>
    <row r="1837" spans="1:10">
      <c r="A1837" t="s">
        <v>4214</v>
      </c>
      <c r="B1837" s="198" t="s">
        <v>459</v>
      </c>
      <c r="C1837" s="240"/>
      <c r="E1837" s="198"/>
      <c r="H1837" s="198"/>
      <c r="J1837" s="198"/>
    </row>
    <row r="1838" spans="1:10">
      <c r="A1838" t="s">
        <v>2134</v>
      </c>
      <c r="B1838" s="198" t="s">
        <v>460</v>
      </c>
      <c r="E1838" s="198"/>
      <c r="H1838" s="198"/>
      <c r="J1838" s="198"/>
    </row>
    <row r="1839" spans="1:10">
      <c r="A1839" t="s">
        <v>2476</v>
      </c>
      <c r="B1839" s="198" t="s">
        <v>460</v>
      </c>
      <c r="E1839" s="198"/>
      <c r="H1839" s="198"/>
      <c r="J1839" s="198"/>
    </row>
    <row r="1840" spans="1:10">
      <c r="A1840" t="s">
        <v>2477</v>
      </c>
      <c r="B1840" s="198" t="s">
        <v>460</v>
      </c>
      <c r="E1840" s="198"/>
      <c r="H1840" s="198"/>
      <c r="J1840" s="198"/>
    </row>
    <row r="1841" spans="1:10">
      <c r="A1841" t="s">
        <v>3315</v>
      </c>
      <c r="B1841" s="198" t="s">
        <v>460</v>
      </c>
      <c r="E1841" s="198"/>
      <c r="H1841" s="198"/>
      <c r="J1841" s="198"/>
    </row>
    <row r="1842" spans="1:10">
      <c r="A1842" t="s">
        <v>3441</v>
      </c>
      <c r="B1842" s="198" t="s">
        <v>460</v>
      </c>
      <c r="E1842" s="198"/>
      <c r="H1842" s="198"/>
      <c r="J1842" s="198"/>
    </row>
    <row r="1843" spans="1:10">
      <c r="A1843" t="s">
        <v>3442</v>
      </c>
      <c r="B1843" s="198" t="s">
        <v>460</v>
      </c>
      <c r="E1843" s="198"/>
      <c r="H1843" s="198"/>
      <c r="J1843" s="198"/>
    </row>
    <row r="1844" spans="1:10">
      <c r="A1844" t="s">
        <v>3693</v>
      </c>
      <c r="B1844" s="198" t="s">
        <v>460</v>
      </c>
      <c r="E1844" s="198"/>
      <c r="H1844" s="198"/>
      <c r="J1844" s="198"/>
    </row>
    <row r="1845" spans="1:10">
      <c r="A1845" t="s">
        <v>3694</v>
      </c>
      <c r="B1845" s="198" t="s">
        <v>460</v>
      </c>
      <c r="E1845" s="198"/>
      <c r="H1845" s="198"/>
      <c r="J1845" s="198"/>
    </row>
    <row r="1846" spans="1:10">
      <c r="A1846" t="s">
        <v>3695</v>
      </c>
      <c r="B1846" s="198" t="s">
        <v>460</v>
      </c>
      <c r="E1846" s="198"/>
      <c r="H1846" s="198"/>
      <c r="J1846" s="198"/>
    </row>
    <row r="1847" spans="1:10">
      <c r="A1847" t="s">
        <v>2884</v>
      </c>
      <c r="B1847" s="198" t="s">
        <v>460</v>
      </c>
      <c r="E1847" s="198"/>
      <c r="H1847" s="198"/>
      <c r="J1847" s="198"/>
    </row>
    <row r="1848" spans="1:10">
      <c r="A1848" t="s">
        <v>2885</v>
      </c>
      <c r="B1848" s="198" t="s">
        <v>460</v>
      </c>
      <c r="E1848" s="198"/>
      <c r="H1848" s="198"/>
      <c r="J1848" s="198"/>
    </row>
    <row r="1849" spans="1:10">
      <c r="A1849" t="s">
        <v>2886</v>
      </c>
      <c r="B1849" s="198" t="s">
        <v>460</v>
      </c>
      <c r="E1849" s="198"/>
    </row>
    <row r="1850" spans="1:10">
      <c r="A1850" t="s">
        <v>3385</v>
      </c>
      <c r="B1850" s="198" t="s">
        <v>460</v>
      </c>
      <c r="E1850" s="198"/>
    </row>
    <row r="1851" spans="1:10">
      <c r="A1851" t="s">
        <v>3817</v>
      </c>
      <c r="B1851" s="198" t="s">
        <v>460</v>
      </c>
      <c r="E1851" s="198"/>
    </row>
    <row r="1852" spans="1:10">
      <c r="A1852" t="s">
        <v>3373</v>
      </c>
      <c r="B1852" s="198" t="s">
        <v>461</v>
      </c>
      <c r="E1852" s="198"/>
    </row>
    <row r="1853" spans="1:10">
      <c r="A1853" t="s">
        <v>3374</v>
      </c>
      <c r="B1853" s="198" t="s">
        <v>461</v>
      </c>
      <c r="E1853" s="198"/>
    </row>
    <row r="1854" spans="1:10">
      <c r="A1854" t="s">
        <v>3377</v>
      </c>
      <c r="B1854" s="198" t="s">
        <v>461</v>
      </c>
      <c r="E1854" s="198"/>
    </row>
    <row r="1855" spans="1:10">
      <c r="A1855" t="s">
        <v>3378</v>
      </c>
      <c r="B1855" s="198" t="s">
        <v>461</v>
      </c>
      <c r="E1855" s="198"/>
    </row>
    <row r="1856" spans="1:10">
      <c r="A1856" t="s">
        <v>3818</v>
      </c>
      <c r="B1856" s="198" t="s">
        <v>461</v>
      </c>
      <c r="E1856" s="198"/>
    </row>
    <row r="1857" spans="1:8">
      <c r="A1857" t="s">
        <v>3819</v>
      </c>
      <c r="B1857" s="198" t="s">
        <v>461</v>
      </c>
      <c r="E1857" s="198"/>
    </row>
    <row r="1858" spans="1:8">
      <c r="A1858" t="s">
        <v>2887</v>
      </c>
      <c r="B1858" s="198" t="s">
        <v>462</v>
      </c>
      <c r="E1858" s="198"/>
    </row>
    <row r="1859" spans="1:8">
      <c r="A1859" t="s">
        <v>2888</v>
      </c>
      <c r="B1859" s="198" t="s">
        <v>462</v>
      </c>
      <c r="E1859" s="198"/>
    </row>
    <row r="1860" spans="1:8">
      <c r="A1860" t="s">
        <v>1715</v>
      </c>
      <c r="B1860" s="198" t="s">
        <v>463</v>
      </c>
      <c r="E1860" s="198"/>
      <c r="H1860" s="198"/>
    </row>
    <row r="1861" spans="1:8">
      <c r="B1861" s="198" t="s">
        <v>463</v>
      </c>
      <c r="E1861" s="198"/>
      <c r="H1861" s="198"/>
    </row>
    <row r="1862" spans="1:8">
      <c r="A1862" t="s">
        <v>4012</v>
      </c>
      <c r="B1862" s="198" t="s">
        <v>463</v>
      </c>
      <c r="E1862" s="198"/>
      <c r="H1862" s="198"/>
    </row>
    <row r="1863" spans="1:8">
      <c r="A1863" t="s">
        <v>1711</v>
      </c>
      <c r="B1863" s="198" t="s">
        <v>463</v>
      </c>
      <c r="E1863" s="198"/>
      <c r="H1863" s="198"/>
    </row>
    <row r="1864" spans="1:8">
      <c r="A1864" t="s">
        <v>1004</v>
      </c>
      <c r="B1864" s="198" t="s">
        <v>463</v>
      </c>
      <c r="E1864" s="198"/>
      <c r="H1864" s="198"/>
    </row>
    <row r="1865" spans="1:8">
      <c r="A1865" t="s">
        <v>635</v>
      </c>
      <c r="B1865" s="198" t="s">
        <v>464</v>
      </c>
      <c r="E1865" s="198"/>
      <c r="H1865" s="198"/>
    </row>
    <row r="1866" spans="1:8">
      <c r="A1866" t="s">
        <v>2072</v>
      </c>
      <c r="B1866" s="198" t="s">
        <v>464</v>
      </c>
      <c r="E1866" s="198"/>
      <c r="H1866" s="198"/>
    </row>
    <row r="1867" spans="1:8">
      <c r="A1867" t="s">
        <v>640</v>
      </c>
      <c r="B1867" s="198" t="s">
        <v>464</v>
      </c>
      <c r="E1867" s="198"/>
      <c r="H1867" s="198"/>
    </row>
    <row r="1868" spans="1:8">
      <c r="A1868" t="s">
        <v>660</v>
      </c>
      <c r="B1868" s="198" t="s">
        <v>464</v>
      </c>
      <c r="E1868" s="198"/>
      <c r="H1868" s="198"/>
    </row>
    <row r="1869" spans="1:8">
      <c r="A1869" t="s">
        <v>661</v>
      </c>
      <c r="B1869" s="198" t="s">
        <v>464</v>
      </c>
      <c r="E1869" s="198"/>
      <c r="H1869" s="198"/>
    </row>
    <row r="1870" spans="1:8">
      <c r="A1870" t="s">
        <v>631</v>
      </c>
      <c r="B1870" s="198" t="s">
        <v>464</v>
      </c>
      <c r="E1870" s="198"/>
      <c r="H1870" s="198"/>
    </row>
    <row r="1871" spans="1:8">
      <c r="A1871" t="s">
        <v>707</v>
      </c>
      <c r="B1871" s="198" t="s">
        <v>464</v>
      </c>
      <c r="E1871" s="198"/>
      <c r="H1871" s="198"/>
    </row>
    <row r="1872" spans="1:8">
      <c r="A1872" t="s">
        <v>683</v>
      </c>
      <c r="B1872" s="198" t="s">
        <v>464</v>
      </c>
      <c r="E1872" s="198"/>
      <c r="H1872" s="198"/>
    </row>
    <row r="1873" spans="1:11">
      <c r="A1873" t="s">
        <v>2073</v>
      </c>
      <c r="B1873" s="198" t="s">
        <v>464</v>
      </c>
      <c r="E1873" s="198"/>
      <c r="H1873" s="198"/>
      <c r="K1873" s="198"/>
    </row>
    <row r="1874" spans="1:11">
      <c r="A1874" t="s">
        <v>3820</v>
      </c>
      <c r="B1874" s="198" t="s">
        <v>464</v>
      </c>
      <c r="E1874" s="198"/>
      <c r="H1874" s="198"/>
      <c r="K1874" s="198"/>
    </row>
    <row r="1875" spans="1:11">
      <c r="A1875" t="s">
        <v>662</v>
      </c>
      <c r="B1875" s="198" t="s">
        <v>464</v>
      </c>
      <c r="E1875" s="198"/>
      <c r="H1875" s="198"/>
      <c r="K1875" s="198"/>
    </row>
    <row r="1876" spans="1:11">
      <c r="A1876" t="s">
        <v>630</v>
      </c>
      <c r="B1876" s="198" t="s">
        <v>464</v>
      </c>
      <c r="E1876" s="198"/>
      <c r="H1876" s="198"/>
      <c r="K1876" s="198"/>
    </row>
    <row r="1877" spans="1:11">
      <c r="A1877" t="s">
        <v>669</v>
      </c>
      <c r="B1877" s="198" t="s">
        <v>464</v>
      </c>
      <c r="E1877" s="198"/>
      <c r="H1877" s="198"/>
      <c r="K1877" s="198"/>
    </row>
    <row r="1878" spans="1:11">
      <c r="A1878" t="s">
        <v>1859</v>
      </c>
      <c r="B1878" s="198" t="s">
        <v>464</v>
      </c>
      <c r="E1878" s="198"/>
      <c r="H1878" s="198"/>
      <c r="K1878" s="198"/>
    </row>
    <row r="1879" spans="1:11">
      <c r="A1879" t="s">
        <v>708</v>
      </c>
      <c r="B1879" s="198" t="s">
        <v>464</v>
      </c>
      <c r="E1879" s="198"/>
      <c r="H1879" s="198"/>
      <c r="K1879" s="198"/>
    </row>
    <row r="1880" spans="1:11">
      <c r="A1880" t="s">
        <v>1002</v>
      </c>
      <c r="B1880" s="198" t="s">
        <v>464</v>
      </c>
      <c r="E1880" s="198"/>
      <c r="H1880" s="198"/>
      <c r="K1880" s="198"/>
    </row>
    <row r="1881" spans="1:11">
      <c r="A1881" t="s">
        <v>1823</v>
      </c>
      <c r="B1881" s="198" t="s">
        <v>464</v>
      </c>
      <c r="E1881" s="198"/>
      <c r="H1881" s="198"/>
      <c r="K1881" s="198"/>
    </row>
    <row r="1882" spans="1:11">
      <c r="A1882" t="s">
        <v>3914</v>
      </c>
      <c r="B1882" s="198" t="s">
        <v>464</v>
      </c>
      <c r="E1882" s="198"/>
      <c r="H1882" s="198"/>
      <c r="K1882" s="198"/>
    </row>
    <row r="1883" spans="1:11">
      <c r="B1883" s="198"/>
      <c r="E1883" s="198"/>
      <c r="H1883" s="198"/>
      <c r="K1883" s="198"/>
    </row>
    <row r="1884" spans="1:11">
      <c r="A1884" t="s">
        <v>3502</v>
      </c>
      <c r="B1884" s="198" t="s">
        <v>3572</v>
      </c>
      <c r="E1884" s="198"/>
      <c r="H1884" s="198"/>
      <c r="K1884" s="198"/>
    </row>
    <row r="1885" spans="1:11">
      <c r="A1885" t="s">
        <v>4169</v>
      </c>
      <c r="B1885" s="198" t="s">
        <v>3572</v>
      </c>
      <c r="E1885" s="198"/>
      <c r="H1885" s="198"/>
      <c r="K1885" s="198"/>
    </row>
    <row r="1886" spans="1:11">
      <c r="A1886" t="s">
        <v>4140</v>
      </c>
      <c r="B1886" s="198" t="s">
        <v>3572</v>
      </c>
      <c r="E1886" s="198"/>
      <c r="H1886" s="198"/>
      <c r="K1886" s="198"/>
    </row>
    <row r="1887" spans="1:11">
      <c r="B1887" s="198"/>
      <c r="E1887" s="198"/>
      <c r="H1887" s="198"/>
      <c r="K1887" s="198"/>
    </row>
    <row r="1888" spans="1:11">
      <c r="A1888" t="s">
        <v>2056</v>
      </c>
      <c r="B1888" s="198" t="s">
        <v>465</v>
      </c>
      <c r="E1888" s="198"/>
    </row>
    <row r="1889" spans="1:11">
      <c r="A1889" t="s">
        <v>1858</v>
      </c>
      <c r="B1889" s="198" t="s">
        <v>465</v>
      </c>
      <c r="E1889" s="198"/>
      <c r="H1889" s="198"/>
      <c r="K1889" s="198"/>
    </row>
    <row r="1890" spans="1:11">
      <c r="A1890" t="s">
        <v>2057</v>
      </c>
      <c r="B1890" s="198" t="s">
        <v>465</v>
      </c>
      <c r="E1890" s="198"/>
      <c r="H1890" s="198"/>
      <c r="K1890" s="198"/>
    </row>
    <row r="1891" spans="1:11">
      <c r="A1891" t="s">
        <v>2343</v>
      </c>
      <c r="B1891" s="198" t="s">
        <v>465</v>
      </c>
      <c r="E1891" s="198"/>
      <c r="H1891" s="198"/>
      <c r="K1891" s="198"/>
    </row>
    <row r="1892" spans="1:11">
      <c r="A1892" t="s">
        <v>3496</v>
      </c>
      <c r="B1892" s="198" t="s">
        <v>465</v>
      </c>
      <c r="E1892" s="198"/>
      <c r="H1892" s="198"/>
      <c r="K1892" s="198"/>
    </row>
    <row r="1893" spans="1:11">
      <c r="A1893" t="s">
        <v>2058</v>
      </c>
      <c r="B1893" s="198" t="s">
        <v>465</v>
      </c>
      <c r="E1893" s="198"/>
      <c r="H1893" s="198"/>
      <c r="K1893" s="198"/>
    </row>
    <row r="1894" spans="1:11">
      <c r="A1894" t="s">
        <v>2920</v>
      </c>
      <c r="B1894" s="198" t="s">
        <v>465</v>
      </c>
      <c r="E1894" s="198"/>
      <c r="H1894" s="198"/>
      <c r="K1894" s="198"/>
    </row>
    <row r="1895" spans="1:11">
      <c r="A1895" t="s">
        <v>2985</v>
      </c>
      <c r="B1895" s="198" t="s">
        <v>465</v>
      </c>
      <c r="E1895" s="198"/>
      <c r="H1895" s="198"/>
      <c r="K1895" s="198"/>
    </row>
    <row r="1896" spans="1:11">
      <c r="B1896" s="198"/>
      <c r="E1896" s="198"/>
      <c r="H1896" s="198"/>
      <c r="K1896" s="198"/>
    </row>
    <row r="1897" spans="1:11">
      <c r="A1897" t="s">
        <v>808</v>
      </c>
      <c r="B1897" s="198" t="s">
        <v>466</v>
      </c>
      <c r="E1897" s="198"/>
      <c r="H1897" s="198"/>
      <c r="K1897" s="198"/>
    </row>
    <row r="1898" spans="1:11">
      <c r="A1898" t="s">
        <v>645</v>
      </c>
      <c r="B1898" s="198" t="s">
        <v>466</v>
      </c>
      <c r="E1898" s="198"/>
      <c r="H1898" s="198"/>
      <c r="K1898" s="198"/>
    </row>
    <row r="1899" spans="1:11">
      <c r="A1899" t="s">
        <v>646</v>
      </c>
      <c r="B1899" s="198" t="s">
        <v>466</v>
      </c>
      <c r="E1899" s="198"/>
      <c r="H1899" s="198"/>
    </row>
    <row r="1900" spans="1:11">
      <c r="A1900" t="s">
        <v>992</v>
      </c>
      <c r="B1900" s="198" t="s">
        <v>466</v>
      </c>
      <c r="E1900" s="198"/>
      <c r="H1900" s="198"/>
      <c r="K1900" s="198"/>
    </row>
    <row r="1901" spans="1:11">
      <c r="A1901" t="s">
        <v>647</v>
      </c>
      <c r="B1901" s="198" t="s">
        <v>466</v>
      </c>
      <c r="E1901" s="198"/>
      <c r="H1901" s="198"/>
      <c r="K1901" s="198"/>
    </row>
    <row r="1902" spans="1:11">
      <c r="A1902" t="s">
        <v>648</v>
      </c>
      <c r="B1902" s="198" t="s">
        <v>466</v>
      </c>
      <c r="E1902" s="198"/>
      <c r="H1902" s="198"/>
      <c r="K1902" s="198"/>
    </row>
    <row r="1903" spans="1:11">
      <c r="A1903" t="s">
        <v>649</v>
      </c>
      <c r="B1903" s="198" t="s">
        <v>466</v>
      </c>
      <c r="E1903" s="198"/>
      <c r="H1903" s="198"/>
      <c r="K1903" s="198"/>
    </row>
    <row r="1904" spans="1:11">
      <c r="A1904" t="s">
        <v>809</v>
      </c>
      <c r="B1904" s="198" t="s">
        <v>466</v>
      </c>
      <c r="E1904" s="198"/>
      <c r="H1904" s="198"/>
      <c r="K1904" s="198"/>
    </row>
    <row r="1905" spans="1:11">
      <c r="A1905" t="s">
        <v>650</v>
      </c>
      <c r="B1905" s="198" t="s">
        <v>466</v>
      </c>
      <c r="E1905" s="198"/>
      <c r="H1905" s="198"/>
      <c r="K1905" s="198"/>
    </row>
    <row r="1906" spans="1:11">
      <c r="A1906" t="s">
        <v>810</v>
      </c>
      <c r="B1906" s="198" t="s">
        <v>466</v>
      </c>
      <c r="E1906" s="198"/>
      <c r="H1906" s="198"/>
      <c r="K1906" s="198"/>
    </row>
    <row r="1907" spans="1:11">
      <c r="A1907" t="s">
        <v>811</v>
      </c>
      <c r="B1907" s="198" t="s">
        <v>466</v>
      </c>
      <c r="E1907" s="198"/>
      <c r="H1907" s="198"/>
      <c r="K1907" s="198"/>
    </row>
    <row r="1908" spans="1:11">
      <c r="A1908" t="s">
        <v>651</v>
      </c>
      <c r="B1908" s="198" t="s">
        <v>466</v>
      </c>
      <c r="E1908" s="198"/>
      <c r="H1908" s="198"/>
      <c r="K1908" s="198"/>
    </row>
    <row r="1909" spans="1:11">
      <c r="A1909" t="s">
        <v>652</v>
      </c>
      <c r="B1909" s="198" t="s">
        <v>466</v>
      </c>
      <c r="E1909" s="198"/>
    </row>
    <row r="1910" spans="1:11">
      <c r="A1910" t="s">
        <v>812</v>
      </c>
      <c r="B1910" s="198" t="s">
        <v>466</v>
      </c>
      <c r="E1910" s="198"/>
    </row>
    <row r="1911" spans="1:11">
      <c r="A1911" t="s">
        <v>1309</v>
      </c>
      <c r="B1911" s="198" t="s">
        <v>466</v>
      </c>
      <c r="E1911" s="198"/>
    </row>
    <row r="1912" spans="1:11">
      <c r="A1912" t="s">
        <v>653</v>
      </c>
      <c r="B1912" s="198" t="s">
        <v>466</v>
      </c>
      <c r="E1912" s="198"/>
    </row>
    <row r="1913" spans="1:11">
      <c r="A1913" t="s">
        <v>1793</v>
      </c>
      <c r="B1913" s="198" t="s">
        <v>466</v>
      </c>
      <c r="E1913" s="198"/>
    </row>
    <row r="1914" spans="1:11">
      <c r="A1914" t="s">
        <v>1754</v>
      </c>
      <c r="B1914" s="198" t="s">
        <v>466</v>
      </c>
      <c r="E1914" s="198"/>
    </row>
    <row r="1915" spans="1:11">
      <c r="A1915" t="s">
        <v>991</v>
      </c>
      <c r="B1915" s="198" t="s">
        <v>466</v>
      </c>
      <c r="E1915" s="198"/>
    </row>
    <row r="1916" spans="1:11">
      <c r="A1916" t="s">
        <v>813</v>
      </c>
      <c r="B1916" s="198" t="s">
        <v>466</v>
      </c>
      <c r="E1916" s="198"/>
    </row>
    <row r="1917" spans="1:11">
      <c r="A1917" t="s">
        <v>654</v>
      </c>
      <c r="B1917" s="198" t="s">
        <v>466</v>
      </c>
      <c r="E1917" s="198"/>
    </row>
    <row r="1918" spans="1:11">
      <c r="A1918" t="s">
        <v>814</v>
      </c>
      <c r="B1918" s="198" t="s">
        <v>466</v>
      </c>
      <c r="E1918" s="198"/>
    </row>
    <row r="1919" spans="1:11">
      <c r="A1919" t="s">
        <v>1848</v>
      </c>
      <c r="B1919" s="198" t="s">
        <v>466</v>
      </c>
      <c r="E1919" s="198"/>
    </row>
    <row r="1920" spans="1:11">
      <c r="A1920" t="s">
        <v>3821</v>
      </c>
      <c r="B1920" s="198" t="s">
        <v>466</v>
      </c>
      <c r="E1920" s="198"/>
    </row>
    <row r="1921" spans="1:5">
      <c r="A1921" t="s">
        <v>1310</v>
      </c>
      <c r="B1921" s="198" t="s">
        <v>466</v>
      </c>
      <c r="E1921" s="198"/>
    </row>
    <row r="1922" spans="1:5">
      <c r="A1922" t="s">
        <v>815</v>
      </c>
      <c r="B1922" s="198" t="s">
        <v>466</v>
      </c>
      <c r="E1922" s="198"/>
    </row>
    <row r="1923" spans="1:5">
      <c r="A1923" t="s">
        <v>816</v>
      </c>
      <c r="B1923" s="198" t="s">
        <v>466</v>
      </c>
      <c r="E1923" s="198"/>
    </row>
    <row r="1924" spans="1:5">
      <c r="A1924" t="s">
        <v>877</v>
      </c>
      <c r="B1924" s="198" t="s">
        <v>466</v>
      </c>
      <c r="E1924" s="198"/>
    </row>
    <row r="1925" spans="1:5">
      <c r="A1925" t="s">
        <v>878</v>
      </c>
      <c r="B1925" s="198" t="s">
        <v>466</v>
      </c>
      <c r="E1925" s="198"/>
    </row>
    <row r="1926" spans="1:5">
      <c r="A1926" t="s">
        <v>879</v>
      </c>
      <c r="B1926" s="198" t="s">
        <v>466</v>
      </c>
      <c r="E1926" s="198"/>
    </row>
    <row r="1927" spans="1:5">
      <c r="A1927" t="s">
        <v>880</v>
      </c>
      <c r="B1927" s="198" t="s">
        <v>466</v>
      </c>
      <c r="E1927" s="198"/>
    </row>
    <row r="1928" spans="1:5">
      <c r="A1928" t="s">
        <v>881</v>
      </c>
      <c r="B1928" s="198" t="s">
        <v>466</v>
      </c>
      <c r="E1928" s="198"/>
    </row>
    <row r="1929" spans="1:5">
      <c r="A1929" t="s">
        <v>2135</v>
      </c>
      <c r="B1929" s="198" t="s">
        <v>466</v>
      </c>
      <c r="E1929" s="198"/>
    </row>
    <row r="1930" spans="1:5">
      <c r="A1930" t="s">
        <v>2136</v>
      </c>
      <c r="B1930" s="198" t="s">
        <v>466</v>
      </c>
      <c r="E1930" s="198"/>
    </row>
    <row r="1931" spans="1:5">
      <c r="A1931" t="s">
        <v>993</v>
      </c>
      <c r="B1931" s="198" t="s">
        <v>466</v>
      </c>
      <c r="E1931" s="198"/>
    </row>
    <row r="1932" spans="1:5">
      <c r="A1932" t="s">
        <v>994</v>
      </c>
      <c r="B1932" s="198" t="s">
        <v>466</v>
      </c>
      <c r="E1932" s="198"/>
    </row>
    <row r="1933" spans="1:5">
      <c r="A1933" t="s">
        <v>995</v>
      </c>
      <c r="B1933" s="198" t="s">
        <v>466</v>
      </c>
      <c r="E1933" s="198"/>
    </row>
    <row r="1934" spans="1:5">
      <c r="A1934" t="s">
        <v>996</v>
      </c>
      <c r="B1934" s="198" t="s">
        <v>466</v>
      </c>
      <c r="E1934" s="198"/>
    </row>
    <row r="1935" spans="1:5">
      <c r="A1935" t="s">
        <v>895</v>
      </c>
      <c r="B1935" s="198" t="s">
        <v>466</v>
      </c>
      <c r="E1935" s="198"/>
    </row>
    <row r="1936" spans="1:5">
      <c r="A1936" t="s">
        <v>997</v>
      </c>
      <c r="B1936" s="198" t="s">
        <v>466</v>
      </c>
      <c r="E1936" s="198"/>
    </row>
    <row r="1937" spans="1:8">
      <c r="A1937" t="s">
        <v>1632</v>
      </c>
      <c r="B1937" s="198" t="s">
        <v>466</v>
      </c>
      <c r="E1937" s="198"/>
    </row>
    <row r="1938" spans="1:8">
      <c r="A1938" t="s">
        <v>1629</v>
      </c>
      <c r="B1938" s="198" t="s">
        <v>466</v>
      </c>
      <c r="E1938" s="198"/>
    </row>
    <row r="1939" spans="1:8">
      <c r="A1939" t="s">
        <v>2478</v>
      </c>
      <c r="B1939" s="198" t="s">
        <v>466</v>
      </c>
      <c r="E1939" s="198"/>
    </row>
    <row r="1940" spans="1:8">
      <c r="A1940" t="s">
        <v>2598</v>
      </c>
      <c r="B1940" s="198" t="s">
        <v>466</v>
      </c>
      <c r="E1940" s="198"/>
    </row>
    <row r="1941" spans="1:8">
      <c r="A1941" t="s">
        <v>3822</v>
      </c>
      <c r="B1941" s="198" t="s">
        <v>466</v>
      </c>
      <c r="E1941" s="198"/>
    </row>
    <row r="1942" spans="1:8">
      <c r="A1942" t="s">
        <v>3823</v>
      </c>
      <c r="B1942" s="198" t="s">
        <v>466</v>
      </c>
      <c r="E1942" s="198"/>
    </row>
    <row r="1943" spans="1:8">
      <c r="A1943" t="s">
        <v>3824</v>
      </c>
      <c r="B1943" s="198" t="s">
        <v>466</v>
      </c>
      <c r="E1943" s="198"/>
    </row>
    <row r="1944" spans="1:8">
      <c r="A1944" t="s">
        <v>998</v>
      </c>
      <c r="B1944" s="198" t="s">
        <v>466</v>
      </c>
      <c r="E1944" s="198"/>
    </row>
    <row r="1945" spans="1:8">
      <c r="B1945" s="198" t="s">
        <v>466</v>
      </c>
      <c r="E1945" s="198"/>
    </row>
    <row r="1946" spans="1:8">
      <c r="B1946" s="198" t="s">
        <v>466</v>
      </c>
      <c r="E1946" s="198"/>
    </row>
    <row r="1947" spans="1:8">
      <c r="B1947" s="198"/>
      <c r="E1947" s="198"/>
    </row>
    <row r="1948" spans="1:8">
      <c r="A1948" t="s">
        <v>874</v>
      </c>
      <c r="B1948" s="198" t="s">
        <v>467</v>
      </c>
      <c r="E1948" s="198"/>
      <c r="H1948" s="198"/>
    </row>
    <row r="1949" spans="1:8">
      <c r="A1949" t="s">
        <v>875</v>
      </c>
      <c r="B1949" s="198" t="s">
        <v>467</v>
      </c>
      <c r="E1949" s="198"/>
      <c r="H1949" s="198"/>
    </row>
    <row r="1950" spans="1:8">
      <c r="A1950" t="s">
        <v>876</v>
      </c>
      <c r="B1950" s="198" t="s">
        <v>467</v>
      </c>
      <c r="E1950" s="198"/>
      <c r="H1950" s="198"/>
    </row>
    <row r="1951" spans="1:8">
      <c r="A1951" t="s">
        <v>777</v>
      </c>
      <c r="B1951" s="198" t="s">
        <v>467</v>
      </c>
      <c r="E1951" s="198"/>
      <c r="H1951" s="198"/>
    </row>
    <row r="1952" spans="1:8">
      <c r="A1952" t="s">
        <v>680</v>
      </c>
      <c r="B1952" s="198" t="s">
        <v>467</v>
      </c>
      <c r="E1952" s="198"/>
      <c r="H1952" s="198"/>
    </row>
    <row r="1953" spans="1:8">
      <c r="A1953" t="s">
        <v>679</v>
      </c>
      <c r="B1953" s="198" t="s">
        <v>467</v>
      </c>
      <c r="E1953" s="198"/>
      <c r="H1953" s="198"/>
    </row>
    <row r="1954" spans="1:8">
      <c r="A1954" t="s">
        <v>3745</v>
      </c>
      <c r="B1954" s="198" t="s">
        <v>467</v>
      </c>
      <c r="E1954" s="198"/>
      <c r="H1954" s="198"/>
    </row>
    <row r="1955" spans="1:8">
      <c r="A1955" t="s">
        <v>1821</v>
      </c>
      <c r="B1955" s="198" t="s">
        <v>467</v>
      </c>
      <c r="E1955" s="198"/>
      <c r="H1955" s="198"/>
    </row>
    <row r="1956" spans="1:8">
      <c r="A1956" t="s">
        <v>2137</v>
      </c>
      <c r="B1956" s="198" t="s">
        <v>467</v>
      </c>
      <c r="E1956" s="198"/>
      <c r="H1956" s="198"/>
    </row>
    <row r="1957" spans="1:8">
      <c r="A1957" t="s">
        <v>2138</v>
      </c>
      <c r="B1957" s="198" t="s">
        <v>467</v>
      </c>
      <c r="E1957" s="198"/>
      <c r="H1957" s="198"/>
    </row>
    <row r="1958" spans="1:8">
      <c r="A1958" t="s">
        <v>2139</v>
      </c>
      <c r="B1958" s="198" t="s">
        <v>467</v>
      </c>
      <c r="E1958" s="198"/>
      <c r="H1958" s="198"/>
    </row>
    <row r="1959" spans="1:8">
      <c r="A1959" t="s">
        <v>2140</v>
      </c>
      <c r="B1959" s="198" t="s">
        <v>467</v>
      </c>
      <c r="E1959" s="198"/>
      <c r="H1959" s="198"/>
    </row>
    <row r="1960" spans="1:8">
      <c r="A1960" t="s">
        <v>1824</v>
      </c>
      <c r="B1960" s="198" t="s">
        <v>467</v>
      </c>
      <c r="E1960" s="198"/>
      <c r="H1960" s="198"/>
    </row>
    <row r="1961" spans="1:8">
      <c r="A1961" t="s">
        <v>1845</v>
      </c>
      <c r="B1961" s="198" t="s">
        <v>467</v>
      </c>
      <c r="E1961" s="198"/>
      <c r="H1961" s="198"/>
    </row>
    <row r="1962" spans="1:8">
      <c r="A1962" t="s">
        <v>2008</v>
      </c>
      <c r="B1962" s="198" t="s">
        <v>467</v>
      </c>
      <c r="E1962" s="198"/>
      <c r="H1962" s="198"/>
    </row>
    <row r="1963" spans="1:8">
      <c r="A1963" t="s">
        <v>2009</v>
      </c>
      <c r="B1963" s="198" t="s">
        <v>467</v>
      </c>
      <c r="E1963" s="198"/>
      <c r="H1963" s="198"/>
    </row>
    <row r="1964" spans="1:8">
      <c r="A1964" t="s">
        <v>2202</v>
      </c>
      <c r="B1964" s="198" t="s">
        <v>467</v>
      </c>
      <c r="E1964" s="198"/>
      <c r="H1964" s="198"/>
    </row>
    <row r="1965" spans="1:8">
      <c r="A1965" t="s">
        <v>4016</v>
      </c>
      <c r="B1965" s="198" t="s">
        <v>467</v>
      </c>
      <c r="E1965" s="198"/>
      <c r="H1965" s="198"/>
    </row>
    <row r="1966" spans="1:8">
      <c r="A1966" t="s">
        <v>3735</v>
      </c>
      <c r="B1966" s="198" t="s">
        <v>467</v>
      </c>
      <c r="E1966" s="198"/>
      <c r="H1966" s="198"/>
    </row>
    <row r="1967" spans="1:8">
      <c r="A1967" t="s">
        <v>3825</v>
      </c>
      <c r="B1967" s="198" t="s">
        <v>467</v>
      </c>
      <c r="E1967" s="198"/>
      <c r="H1967" s="198"/>
    </row>
    <row r="1968" spans="1:8">
      <c r="A1968" t="s">
        <v>1721</v>
      </c>
      <c r="B1968" s="198" t="s">
        <v>467</v>
      </c>
      <c r="E1968" s="198"/>
      <c r="H1968" s="198"/>
    </row>
    <row r="1969" spans="1:8">
      <c r="A1969" t="s">
        <v>1722</v>
      </c>
      <c r="B1969" s="198" t="s">
        <v>467</v>
      </c>
      <c r="E1969" s="198"/>
      <c r="H1969" s="198"/>
    </row>
    <row r="1970" spans="1:8">
      <c r="A1970" t="s">
        <v>1723</v>
      </c>
      <c r="B1970" s="198" t="s">
        <v>467</v>
      </c>
      <c r="E1970" s="198"/>
      <c r="H1970" s="198"/>
    </row>
    <row r="1971" spans="1:8">
      <c r="A1971" t="s">
        <v>1724</v>
      </c>
      <c r="B1971" s="198" t="s">
        <v>467</v>
      </c>
      <c r="E1971" s="198"/>
      <c r="H1971" s="198"/>
    </row>
    <row r="1972" spans="1:8">
      <c r="A1972" t="s">
        <v>1725</v>
      </c>
      <c r="B1972" s="198" t="s">
        <v>467</v>
      </c>
      <c r="E1972" s="198"/>
      <c r="H1972" s="198"/>
    </row>
    <row r="1973" spans="1:8">
      <c r="A1973" t="s">
        <v>1726</v>
      </c>
      <c r="B1973" s="198" t="s">
        <v>467</v>
      </c>
      <c r="E1973" s="198"/>
    </row>
    <row r="1974" spans="1:8">
      <c r="A1974" t="s">
        <v>1727</v>
      </c>
      <c r="B1974" s="198" t="s">
        <v>467</v>
      </c>
      <c r="C1974" t="s">
        <v>1728</v>
      </c>
      <c r="E1974" s="198"/>
    </row>
    <row r="1975" spans="1:8">
      <c r="A1975" t="s">
        <v>1729</v>
      </c>
      <c r="B1975" s="198" t="s">
        <v>467</v>
      </c>
      <c r="C1975" t="s">
        <v>1728</v>
      </c>
      <c r="E1975" s="198"/>
    </row>
    <row r="1976" spans="1:8">
      <c r="A1976" t="s">
        <v>1708</v>
      </c>
      <c r="B1976" s="198" t="s">
        <v>467</v>
      </c>
      <c r="E1976" s="198"/>
    </row>
    <row r="1977" spans="1:8">
      <c r="A1977" t="s">
        <v>1730</v>
      </c>
      <c r="B1977" s="198" t="s">
        <v>467</v>
      </c>
      <c r="E1977" s="198"/>
    </row>
    <row r="1978" spans="1:8">
      <c r="A1978" t="s">
        <v>1769</v>
      </c>
      <c r="B1978" s="198" t="s">
        <v>467</v>
      </c>
      <c r="E1978" s="198"/>
    </row>
    <row r="1979" spans="1:8">
      <c r="A1979" t="s">
        <v>1770</v>
      </c>
      <c r="B1979" s="198" t="s">
        <v>467</v>
      </c>
      <c r="E1979" s="198"/>
    </row>
    <row r="1980" spans="1:8">
      <c r="A1980" t="s">
        <v>1820</v>
      </c>
      <c r="B1980" s="198" t="s">
        <v>468</v>
      </c>
      <c r="E1980" s="198"/>
      <c r="H1980" s="198"/>
    </row>
    <row r="1981" spans="1:8">
      <c r="A1981" t="s">
        <v>1849</v>
      </c>
      <c r="B1981" s="198" t="s">
        <v>468</v>
      </c>
      <c r="E1981" s="198"/>
      <c r="H1981" s="198"/>
    </row>
    <row r="1982" spans="1:8">
      <c r="A1982" t="s">
        <v>1720</v>
      </c>
      <c r="B1982" s="198" t="s">
        <v>468</v>
      </c>
      <c r="E1982" s="198"/>
      <c r="H1982" s="198"/>
    </row>
    <row r="1983" spans="1:8">
      <c r="A1983" t="s">
        <v>2889</v>
      </c>
      <c r="B1983" s="198" t="s">
        <v>468</v>
      </c>
      <c r="E1983" s="198"/>
      <c r="H1983" s="198"/>
    </row>
    <row r="1984" spans="1:8">
      <c r="A1984" t="s">
        <v>3915</v>
      </c>
      <c r="B1984" s="198" t="s">
        <v>468</v>
      </c>
      <c r="E1984" s="198"/>
      <c r="H1984" s="198"/>
    </row>
    <row r="1985" spans="1:8">
      <c r="A1985" t="s">
        <v>1260</v>
      </c>
      <c r="B1985" s="198" t="s">
        <v>469</v>
      </c>
      <c r="E1985" s="198"/>
      <c r="H1985" s="198"/>
    </row>
    <row r="1986" spans="1:8">
      <c r="A1986" t="s">
        <v>1261</v>
      </c>
      <c r="B1986" s="198" t="s">
        <v>469</v>
      </c>
      <c r="E1986" s="198"/>
      <c r="H1986" s="198"/>
    </row>
    <row r="1987" spans="1:8">
      <c r="A1987" t="s">
        <v>1695</v>
      </c>
      <c r="B1987" s="198" t="s">
        <v>469</v>
      </c>
      <c r="E1987" s="198"/>
      <c r="H1987" s="198"/>
    </row>
    <row r="1988" spans="1:8">
      <c r="A1988" t="s">
        <v>2028</v>
      </c>
      <c r="B1988" s="198" t="s">
        <v>469</v>
      </c>
      <c r="E1988" s="198"/>
      <c r="H1988" s="198"/>
    </row>
    <row r="1989" spans="1:8">
      <c r="A1989" t="s">
        <v>2029</v>
      </c>
      <c r="B1989" s="198" t="s">
        <v>469</v>
      </c>
      <c r="E1989" s="198"/>
      <c r="H1989" s="198"/>
    </row>
    <row r="1990" spans="1:8">
      <c r="A1990" t="s">
        <v>2030</v>
      </c>
      <c r="B1990" s="198" t="s">
        <v>469</v>
      </c>
      <c r="E1990" s="198"/>
      <c r="H1990" s="198"/>
    </row>
    <row r="1991" spans="1:8">
      <c r="A1991" t="s">
        <v>2031</v>
      </c>
      <c r="B1991" s="198" t="s">
        <v>469</v>
      </c>
      <c r="E1991" s="198"/>
      <c r="H1991" s="198"/>
    </row>
    <row r="1992" spans="1:8">
      <c r="A1992" t="s">
        <v>2032</v>
      </c>
      <c r="B1992" s="198" t="s">
        <v>469</v>
      </c>
      <c r="E1992" s="198"/>
      <c r="H1992" s="198"/>
    </row>
    <row r="1993" spans="1:8">
      <c r="A1993" t="s">
        <v>2033</v>
      </c>
      <c r="B1993" s="198" t="s">
        <v>469</v>
      </c>
      <c r="E1993" s="198"/>
      <c r="H1993" s="198"/>
    </row>
    <row r="1994" spans="1:8">
      <c r="A1994" t="s">
        <v>2034</v>
      </c>
      <c r="B1994" s="198" t="s">
        <v>469</v>
      </c>
      <c r="E1994" s="198"/>
      <c r="H1994" s="198"/>
    </row>
    <row r="1995" spans="1:8">
      <c r="A1995" t="s">
        <v>2035</v>
      </c>
      <c r="B1995" s="198" t="s">
        <v>469</v>
      </c>
      <c r="E1995" s="198"/>
      <c r="H1995" s="198"/>
    </row>
    <row r="1996" spans="1:8">
      <c r="A1996" t="s">
        <v>2036</v>
      </c>
      <c r="B1996" s="198" t="s">
        <v>469</v>
      </c>
      <c r="E1996" s="198"/>
      <c r="H1996" s="198"/>
    </row>
    <row r="1997" spans="1:8">
      <c r="A1997" t="s">
        <v>2037</v>
      </c>
      <c r="B1997" s="198" t="s">
        <v>469</v>
      </c>
      <c r="E1997" s="198"/>
      <c r="H1997" s="198"/>
    </row>
    <row r="1998" spans="1:8">
      <c r="A1998" t="s">
        <v>2038</v>
      </c>
      <c r="B1998" s="198" t="s">
        <v>469</v>
      </c>
      <c r="E1998" s="198"/>
      <c r="H1998" s="198"/>
    </row>
    <row r="1999" spans="1:8" ht="16.5" customHeight="1">
      <c r="A1999" t="s">
        <v>2039</v>
      </c>
      <c r="B1999" s="198" t="s">
        <v>469</v>
      </c>
      <c r="E1999" s="198"/>
      <c r="H1999" s="198"/>
    </row>
    <row r="2000" spans="1:8">
      <c r="A2000" t="s">
        <v>2040</v>
      </c>
      <c r="B2000" s="198" t="s">
        <v>469</v>
      </c>
      <c r="E2000" s="198"/>
      <c r="H2000" s="198"/>
    </row>
    <row r="2001" spans="1:8">
      <c r="A2001" t="s">
        <v>2041</v>
      </c>
      <c r="B2001" s="198" t="s">
        <v>469</v>
      </c>
      <c r="E2001" s="198"/>
      <c r="H2001" s="198"/>
    </row>
    <row r="2002" spans="1:8">
      <c r="A2002" t="s">
        <v>2042</v>
      </c>
      <c r="B2002" s="198" t="s">
        <v>469</v>
      </c>
      <c r="E2002" s="198"/>
      <c r="H2002" s="198"/>
    </row>
    <row r="2003" spans="1:8">
      <c r="A2003" t="s">
        <v>2043</v>
      </c>
      <c r="B2003" s="198" t="s">
        <v>469</v>
      </c>
      <c r="E2003" s="198"/>
      <c r="H2003" s="198"/>
    </row>
    <row r="2004" spans="1:8">
      <c r="A2004" t="s">
        <v>2044</v>
      </c>
      <c r="B2004" s="198" t="s">
        <v>469</v>
      </c>
      <c r="E2004" s="198"/>
      <c r="H2004" s="198"/>
    </row>
    <row r="2005" spans="1:8">
      <c r="A2005" t="s">
        <v>2045</v>
      </c>
      <c r="B2005" s="198" t="s">
        <v>469</v>
      </c>
      <c r="E2005" s="198"/>
      <c r="H2005" s="198"/>
    </row>
    <row r="2006" spans="1:8">
      <c r="A2006" t="s">
        <v>2046</v>
      </c>
      <c r="B2006" s="198" t="s">
        <v>469</v>
      </c>
      <c r="E2006" s="198"/>
      <c r="H2006" s="198"/>
    </row>
    <row r="2007" spans="1:8" ht="16.5" customHeight="1">
      <c r="A2007" t="s">
        <v>2047</v>
      </c>
      <c r="B2007" s="198" t="s">
        <v>469</v>
      </c>
      <c r="E2007" s="198"/>
      <c r="H2007" s="198"/>
    </row>
    <row r="2008" spans="1:8" ht="16.5" customHeight="1">
      <c r="A2008" t="s">
        <v>2048</v>
      </c>
      <c r="B2008" s="198" t="s">
        <v>469</v>
      </c>
      <c r="E2008" s="198"/>
      <c r="H2008" s="198"/>
    </row>
    <row r="2009" spans="1:8" ht="16.5" customHeight="1">
      <c r="A2009" t="s">
        <v>3103</v>
      </c>
      <c r="B2009" s="198" t="s">
        <v>469</v>
      </c>
      <c r="E2009" s="198"/>
      <c r="H2009" s="198"/>
    </row>
    <row r="2010" spans="1:8" ht="16.5" customHeight="1">
      <c r="A2010" t="s">
        <v>3104</v>
      </c>
      <c r="B2010" s="198" t="s">
        <v>469</v>
      </c>
      <c r="E2010" s="198"/>
      <c r="H2010" s="198"/>
    </row>
    <row r="2011" spans="1:8" ht="16.5" customHeight="1">
      <c r="A2011" t="s">
        <v>3105</v>
      </c>
      <c r="B2011" s="198" t="s">
        <v>469</v>
      </c>
      <c r="E2011" s="198"/>
      <c r="H2011" s="198"/>
    </row>
    <row r="2012" spans="1:8" ht="16.5" customHeight="1">
      <c r="A2012" t="s">
        <v>2741</v>
      </c>
      <c r="B2012" s="198" t="s">
        <v>469</v>
      </c>
      <c r="E2012" s="198"/>
      <c r="H2012" s="198"/>
    </row>
    <row r="2013" spans="1:8" ht="16.5" customHeight="1">
      <c r="A2013" t="s">
        <v>2742</v>
      </c>
      <c r="B2013" s="198" t="s">
        <v>469</v>
      </c>
      <c r="E2013" s="198"/>
      <c r="H2013" s="198"/>
    </row>
    <row r="2014" spans="1:8" ht="16.5" customHeight="1">
      <c r="A2014" t="s">
        <v>2743</v>
      </c>
      <c r="B2014" s="198" t="s">
        <v>469</v>
      </c>
      <c r="E2014" s="198"/>
    </row>
    <row r="2015" spans="1:8" ht="16.5" customHeight="1">
      <c r="A2015" t="s">
        <v>2744</v>
      </c>
      <c r="B2015" s="198" t="s">
        <v>469</v>
      </c>
      <c r="E2015" s="198"/>
    </row>
    <row r="2016" spans="1:8" ht="16.5" customHeight="1">
      <c r="A2016" t="s">
        <v>2745</v>
      </c>
      <c r="B2016" s="198" t="s">
        <v>469</v>
      </c>
      <c r="E2016" s="198"/>
    </row>
    <row r="2017" spans="1:5" ht="16.5" customHeight="1">
      <c r="A2017" t="s">
        <v>3106</v>
      </c>
      <c r="B2017" s="198" t="s">
        <v>469</v>
      </c>
      <c r="E2017" s="198"/>
    </row>
    <row r="2018" spans="1:5" ht="16.5" customHeight="1">
      <c r="A2018" t="s">
        <v>3107</v>
      </c>
      <c r="B2018" s="198" t="s">
        <v>469</v>
      </c>
      <c r="E2018" s="198"/>
    </row>
    <row r="2019" spans="1:5" ht="16.5" customHeight="1">
      <c r="A2019" t="s">
        <v>1330</v>
      </c>
      <c r="B2019" s="198" t="s">
        <v>470</v>
      </c>
      <c r="E2019" s="198"/>
    </row>
    <row r="2020" spans="1:5" ht="16.5" customHeight="1">
      <c r="A2020" t="s">
        <v>1331</v>
      </c>
      <c r="B2020" s="198" t="s">
        <v>470</v>
      </c>
      <c r="E2020" s="198"/>
    </row>
    <row r="2021" spans="1:5" ht="16.5" customHeight="1">
      <c r="A2021" t="s">
        <v>1332</v>
      </c>
      <c r="B2021" s="198" t="s">
        <v>470</v>
      </c>
      <c r="E2021" s="198"/>
    </row>
    <row r="2022" spans="1:5" ht="16.5" customHeight="1">
      <c r="A2022" t="s">
        <v>1333</v>
      </c>
      <c r="B2022" s="198" t="s">
        <v>470</v>
      </c>
      <c r="E2022" s="198"/>
    </row>
    <row r="2023" spans="1:5" ht="16.5" customHeight="1">
      <c r="A2023" t="s">
        <v>1263</v>
      </c>
      <c r="B2023" s="198" t="s">
        <v>470</v>
      </c>
      <c r="E2023" s="198"/>
    </row>
    <row r="2024" spans="1:5" ht="16.5" customHeight="1">
      <c r="A2024" t="s">
        <v>1334</v>
      </c>
      <c r="B2024" s="198" t="s">
        <v>470</v>
      </c>
      <c r="E2024" s="198"/>
    </row>
    <row r="2025" spans="1:5" ht="16.5" customHeight="1">
      <c r="A2025" t="s">
        <v>1335</v>
      </c>
      <c r="B2025" s="198" t="s">
        <v>470</v>
      </c>
      <c r="E2025" s="198"/>
    </row>
    <row r="2026" spans="1:5" ht="16.5" customHeight="1">
      <c r="A2026" t="s">
        <v>2479</v>
      </c>
      <c r="B2026" s="198" t="s">
        <v>470</v>
      </c>
      <c r="E2026" s="198"/>
    </row>
    <row r="2027" spans="1:5" ht="16.5" customHeight="1">
      <c r="A2027" t="s">
        <v>3108</v>
      </c>
      <c r="B2027" s="198" t="s">
        <v>470</v>
      </c>
      <c r="E2027" s="198"/>
    </row>
    <row r="2028" spans="1:5" ht="16.5" customHeight="1">
      <c r="A2028" t="s">
        <v>3109</v>
      </c>
      <c r="B2028" s="198" t="s">
        <v>470</v>
      </c>
      <c r="E2028" s="198"/>
    </row>
    <row r="2029" spans="1:5" ht="16.5" customHeight="1">
      <c r="A2029" t="s">
        <v>2480</v>
      </c>
      <c r="B2029" s="198" t="s">
        <v>470</v>
      </c>
      <c r="E2029" s="198"/>
    </row>
    <row r="2030" spans="1:5" ht="16.5" customHeight="1">
      <c r="A2030" t="s">
        <v>3110</v>
      </c>
      <c r="B2030" s="198" t="s">
        <v>470</v>
      </c>
      <c r="E2030" s="198"/>
    </row>
    <row r="2031" spans="1:5" ht="16.5" customHeight="1">
      <c r="A2031" t="s">
        <v>2049</v>
      </c>
      <c r="B2031" s="198" t="s">
        <v>470</v>
      </c>
      <c r="E2031" s="198"/>
    </row>
    <row r="2032" spans="1:5" ht="16.5" customHeight="1">
      <c r="A2032" t="s">
        <v>2050</v>
      </c>
      <c r="B2032" s="198" t="s">
        <v>470</v>
      </c>
      <c r="E2032" s="198"/>
    </row>
    <row r="2033" spans="1:5">
      <c r="A2033" t="s">
        <v>2051</v>
      </c>
      <c r="B2033" s="198" t="s">
        <v>470</v>
      </c>
      <c r="E2033" s="198"/>
    </row>
    <row r="2034" spans="1:5">
      <c r="A2034" t="s">
        <v>2746</v>
      </c>
      <c r="B2034" s="198" t="s">
        <v>470</v>
      </c>
      <c r="E2034" s="198"/>
    </row>
    <row r="2035" spans="1:5">
      <c r="A2035" t="s">
        <v>2747</v>
      </c>
      <c r="B2035" s="198" t="s">
        <v>470</v>
      </c>
      <c r="E2035" s="198"/>
    </row>
    <row r="2036" spans="1:5">
      <c r="A2036" t="s">
        <v>2748</v>
      </c>
      <c r="B2036" s="198" t="s">
        <v>470</v>
      </c>
      <c r="E2036" s="198"/>
    </row>
    <row r="2037" spans="1:5">
      <c r="A2037" t="s">
        <v>2749</v>
      </c>
      <c r="B2037" s="198" t="s">
        <v>470</v>
      </c>
      <c r="E2037" s="198"/>
    </row>
    <row r="2038" spans="1:5">
      <c r="A2038" t="s">
        <v>2750</v>
      </c>
      <c r="B2038" s="198" t="s">
        <v>470</v>
      </c>
      <c r="E2038" s="198"/>
    </row>
    <row r="2039" spans="1:5">
      <c r="A2039" t="s">
        <v>2751</v>
      </c>
      <c r="B2039" s="198" t="s">
        <v>470</v>
      </c>
      <c r="E2039" s="198"/>
    </row>
    <row r="2040" spans="1:5">
      <c r="A2040" t="s">
        <v>2752</v>
      </c>
      <c r="B2040" s="198" t="s">
        <v>470</v>
      </c>
      <c r="E2040" s="198"/>
    </row>
    <row r="2041" spans="1:5">
      <c r="A2041" t="s">
        <v>2753</v>
      </c>
      <c r="B2041" s="198" t="s">
        <v>470</v>
      </c>
      <c r="E2041" s="198"/>
    </row>
    <row r="2042" spans="1:5">
      <c r="A2042" t="s">
        <v>2754</v>
      </c>
      <c r="B2042" s="198" t="s">
        <v>470</v>
      </c>
      <c r="E2042" s="198"/>
    </row>
    <row r="2043" spans="1:5">
      <c r="A2043" t="s">
        <v>2755</v>
      </c>
      <c r="B2043" s="198" t="s">
        <v>470</v>
      </c>
      <c r="E2043" s="198"/>
    </row>
    <row r="2044" spans="1:5">
      <c r="A2044" t="s">
        <v>2756</v>
      </c>
      <c r="B2044" s="198" t="s">
        <v>470</v>
      </c>
      <c r="E2044" s="198"/>
    </row>
    <row r="2045" spans="1:5">
      <c r="A2045" t="s">
        <v>2757</v>
      </c>
      <c r="B2045" s="198" t="s">
        <v>470</v>
      </c>
      <c r="E2045" s="198"/>
    </row>
    <row r="2046" spans="1:5">
      <c r="B2046" s="198" t="s">
        <v>471</v>
      </c>
      <c r="E2046" s="198"/>
    </row>
    <row r="2047" spans="1:5">
      <c r="B2047" s="198" t="s">
        <v>472</v>
      </c>
      <c r="E2047" s="198"/>
    </row>
    <row r="2048" spans="1:5" ht="14" customHeight="1">
      <c r="B2048" s="198" t="s">
        <v>473</v>
      </c>
      <c r="E2048" s="198"/>
    </row>
    <row r="2049" spans="1:5">
      <c r="B2049" s="198" t="s">
        <v>474</v>
      </c>
      <c r="E2049" s="198"/>
    </row>
    <row r="2050" spans="1:5" ht="14" customHeight="1">
      <c r="B2050" s="198" t="s">
        <v>475</v>
      </c>
      <c r="E2050" s="198"/>
    </row>
    <row r="2051" spans="1:5" ht="12" customHeight="1">
      <c r="A2051" t="s">
        <v>2014</v>
      </c>
      <c r="B2051" s="198" t="s">
        <v>476</v>
      </c>
      <c r="E2051" s="198"/>
    </row>
    <row r="2052" spans="1:5">
      <c r="A2052" t="s">
        <v>2015</v>
      </c>
      <c r="B2052" s="198" t="s">
        <v>476</v>
      </c>
      <c r="E2052" s="198"/>
    </row>
    <row r="2053" spans="1:5">
      <c r="A2053" t="s">
        <v>3826</v>
      </c>
      <c r="B2053" s="198" t="s">
        <v>476</v>
      </c>
      <c r="E2053" s="198"/>
    </row>
    <row r="2054" spans="1:5">
      <c r="B2054" s="198" t="s">
        <v>477</v>
      </c>
      <c r="E2054" s="198"/>
    </row>
    <row r="2055" spans="1:5" ht="14" customHeight="1">
      <c r="B2055" s="198" t="s">
        <v>478</v>
      </c>
      <c r="E2055" s="198"/>
    </row>
    <row r="2056" spans="1:5">
      <c r="B2056" s="198" t="s">
        <v>479</v>
      </c>
      <c r="E2056" s="198"/>
    </row>
    <row r="2057" spans="1:5">
      <c r="B2057" s="198" t="s">
        <v>480</v>
      </c>
      <c r="E2057" s="198"/>
    </row>
    <row r="2058" spans="1:5">
      <c r="B2058" s="198" t="s">
        <v>481</v>
      </c>
      <c r="E2058" s="198"/>
    </row>
    <row r="2059" spans="1:5">
      <c r="B2059" s="198" t="s">
        <v>482</v>
      </c>
      <c r="E2059" s="198"/>
    </row>
    <row r="2060" spans="1:5">
      <c r="B2060" s="198" t="s">
        <v>483</v>
      </c>
      <c r="E2060" s="198"/>
    </row>
    <row r="2061" spans="1:5">
      <c r="A2061" t="s">
        <v>2018</v>
      </c>
      <c r="B2061" s="198" t="s">
        <v>484</v>
      </c>
      <c r="E2061" s="198"/>
    </row>
    <row r="2062" spans="1:5">
      <c r="A2062" t="s">
        <v>3499</v>
      </c>
      <c r="B2062" s="198" t="s">
        <v>484</v>
      </c>
      <c r="E2062" s="198"/>
    </row>
    <row r="2063" spans="1:5">
      <c r="A2063" t="s">
        <v>3604</v>
      </c>
      <c r="B2063" s="198" t="s">
        <v>484</v>
      </c>
      <c r="E2063" s="198"/>
    </row>
    <row r="2064" spans="1:5">
      <c r="B2064" s="198"/>
      <c r="E2064" s="198"/>
    </row>
    <row r="2065" spans="1:5">
      <c r="A2065" t="s">
        <v>3316</v>
      </c>
      <c r="B2065" s="198" t="s">
        <v>3259</v>
      </c>
      <c r="E2065" s="198"/>
    </row>
    <row r="2066" spans="1:5">
      <c r="A2066" t="s">
        <v>3861</v>
      </c>
      <c r="B2066" s="198" t="s">
        <v>3259</v>
      </c>
      <c r="E2066" s="198"/>
    </row>
    <row r="2067" spans="1:5">
      <c r="A2067" t="s">
        <v>3862</v>
      </c>
      <c r="B2067" s="198" t="s">
        <v>3259</v>
      </c>
      <c r="E2067" s="198"/>
    </row>
    <row r="2068" spans="1:5">
      <c r="A2068" t="s">
        <v>3916</v>
      </c>
      <c r="B2068" s="198" t="s">
        <v>3259</v>
      </c>
      <c r="E2068" s="198"/>
    </row>
    <row r="2069" spans="1:5">
      <c r="A2069" t="s">
        <v>3827</v>
      </c>
      <c r="B2069" s="198" t="s">
        <v>3259</v>
      </c>
      <c r="E2069" s="198"/>
    </row>
    <row r="2070" spans="1:5">
      <c r="A2070" t="s">
        <v>3828</v>
      </c>
      <c r="B2070" s="198" t="s">
        <v>3259</v>
      </c>
      <c r="E2070" s="198"/>
    </row>
    <row r="2071" spans="1:5">
      <c r="A2071" t="s">
        <v>4013</v>
      </c>
      <c r="B2071" s="198" t="s">
        <v>3259</v>
      </c>
      <c r="E2071" s="198"/>
    </row>
    <row r="2072" spans="1:5">
      <c r="A2072" t="s">
        <v>1326</v>
      </c>
      <c r="B2072" s="198" t="s">
        <v>2375</v>
      </c>
      <c r="E2072" s="198"/>
    </row>
    <row r="2073" spans="1:5">
      <c r="A2073" t="s">
        <v>2438</v>
      </c>
      <c r="B2073" s="198" t="s">
        <v>2375</v>
      </c>
      <c r="E2073" s="198"/>
    </row>
    <row r="2074" spans="1:5">
      <c r="A2074" t="s">
        <v>1651</v>
      </c>
      <c r="B2074" s="198" t="s">
        <v>2375</v>
      </c>
      <c r="E2074" s="198"/>
    </row>
    <row r="2075" spans="1:5">
      <c r="A2075" t="s">
        <v>1759</v>
      </c>
      <c r="B2075" s="198" t="s">
        <v>2375</v>
      </c>
      <c r="E2075" s="266"/>
    </row>
    <row r="2076" spans="1:5">
      <c r="A2076" t="s">
        <v>612</v>
      </c>
      <c r="B2076" s="198" t="s">
        <v>2375</v>
      </c>
      <c r="E2076" s="266"/>
    </row>
    <row r="2077" spans="1:5">
      <c r="A2077" t="s">
        <v>1844</v>
      </c>
      <c r="B2077" s="198" t="s">
        <v>2375</v>
      </c>
      <c r="E2077" s="266"/>
    </row>
    <row r="2078" spans="1:5">
      <c r="A2078" t="s">
        <v>3511</v>
      </c>
      <c r="B2078" s="198" t="s">
        <v>2375</v>
      </c>
      <c r="E2078" s="266"/>
    </row>
    <row r="2079" spans="1:5">
      <c r="A2079" t="s">
        <v>3557</v>
      </c>
      <c r="B2079" s="198" t="s">
        <v>2375</v>
      </c>
      <c r="E2079" s="266"/>
    </row>
    <row r="2080" spans="1:5">
      <c r="B2080" s="198"/>
      <c r="E2080" s="267"/>
    </row>
    <row r="2081" spans="1:5">
      <c r="A2081" t="s">
        <v>2481</v>
      </c>
      <c r="B2081" s="266" t="s">
        <v>2374</v>
      </c>
      <c r="E2081" s="266"/>
    </row>
    <row r="2082" spans="1:5">
      <c r="B2082" s="266"/>
      <c r="E2082" s="56"/>
    </row>
    <row r="2083" spans="1:5">
      <c r="A2083" t="s">
        <v>794</v>
      </c>
      <c r="B2083" s="266" t="s">
        <v>2373</v>
      </c>
      <c r="E2083" s="198"/>
    </row>
    <row r="2084" spans="1:5">
      <c r="A2084" t="s">
        <v>1262</v>
      </c>
      <c r="B2084" s="266" t="s">
        <v>2373</v>
      </c>
      <c r="E2084" s="198"/>
    </row>
    <row r="2085" spans="1:5">
      <c r="B2085" s="267"/>
      <c r="E2085" s="198"/>
    </row>
    <row r="2086" spans="1:5">
      <c r="A2086" t="s">
        <v>2758</v>
      </c>
      <c r="B2086" s="266" t="s">
        <v>2368</v>
      </c>
      <c r="E2086" s="198"/>
    </row>
    <row r="2087" spans="1:5">
      <c r="B2087" s="266"/>
      <c r="E2087" s="198"/>
    </row>
    <row r="2088" spans="1:5">
      <c r="A2088" t="s">
        <v>3213</v>
      </c>
      <c r="B2088" s="266" t="s">
        <v>3251</v>
      </c>
      <c r="E2088" s="198"/>
    </row>
    <row r="2089" spans="1:5">
      <c r="A2089" t="s">
        <v>3443</v>
      </c>
      <c r="B2089" s="266" t="s">
        <v>3251</v>
      </c>
      <c r="E2089" s="198"/>
    </row>
    <row r="2090" spans="1:5">
      <c r="B2090" s="266"/>
      <c r="E2090" s="198"/>
    </row>
    <row r="2091" spans="1:5">
      <c r="A2091" t="s">
        <v>3214</v>
      </c>
      <c r="B2091" s="266" t="s">
        <v>3215</v>
      </c>
      <c r="E2091" s="198"/>
    </row>
    <row r="2092" spans="1:5">
      <c r="E2092" s="198"/>
    </row>
    <row r="2093" spans="1:5">
      <c r="A2093" t="s">
        <v>2482</v>
      </c>
      <c r="B2093" s="198" t="s">
        <v>2377</v>
      </c>
      <c r="E2093" s="198"/>
    </row>
    <row r="2094" spans="1:5">
      <c r="A2094" t="s">
        <v>2483</v>
      </c>
      <c r="B2094" s="198" t="s">
        <v>2377</v>
      </c>
      <c r="E2094" s="198"/>
    </row>
    <row r="2095" spans="1:5">
      <c r="A2095" t="s">
        <v>2484</v>
      </c>
      <c r="B2095" s="198" t="s">
        <v>2377</v>
      </c>
      <c r="E2095" s="198"/>
    </row>
    <row r="2096" spans="1:5">
      <c r="A2096" t="s">
        <v>2485</v>
      </c>
      <c r="B2096" s="198" t="s">
        <v>2377</v>
      </c>
      <c r="E2096" s="198"/>
    </row>
    <row r="2097" spans="1:5">
      <c r="A2097" t="s">
        <v>2486</v>
      </c>
      <c r="B2097" s="198" t="s">
        <v>2377</v>
      </c>
      <c r="E2097" s="198"/>
    </row>
    <row r="2098" spans="1:5">
      <c r="A2098" t="s">
        <v>2487</v>
      </c>
      <c r="B2098" s="198" t="s">
        <v>2377</v>
      </c>
      <c r="E2098" s="198"/>
    </row>
    <row r="2099" spans="1:5">
      <c r="A2099" t="s">
        <v>2488</v>
      </c>
      <c r="B2099" s="198" t="s">
        <v>2377</v>
      </c>
      <c r="E2099" s="198"/>
    </row>
    <row r="2100" spans="1:5">
      <c r="A2100" t="s">
        <v>2489</v>
      </c>
      <c r="B2100" s="198" t="s">
        <v>2377</v>
      </c>
      <c r="E2100" s="198"/>
    </row>
    <row r="2101" spans="1:5">
      <c r="A2101" t="s">
        <v>2490</v>
      </c>
      <c r="B2101" s="198" t="s">
        <v>2377</v>
      </c>
      <c r="E2101" s="198"/>
    </row>
    <row r="2102" spans="1:5">
      <c r="A2102" t="s">
        <v>2491</v>
      </c>
      <c r="B2102" s="198" t="s">
        <v>2377</v>
      </c>
      <c r="E2102" s="198"/>
    </row>
    <row r="2103" spans="1:5">
      <c r="A2103" t="s">
        <v>2492</v>
      </c>
      <c r="B2103" s="198" t="s">
        <v>2377</v>
      </c>
      <c r="E2103" s="198"/>
    </row>
    <row r="2104" spans="1:5">
      <c r="A2104" t="s">
        <v>2493</v>
      </c>
      <c r="B2104" s="198" t="s">
        <v>2377</v>
      </c>
      <c r="E2104" s="198"/>
    </row>
    <row r="2105" spans="1:5">
      <c r="A2105" t="s">
        <v>2494</v>
      </c>
      <c r="B2105" s="198" t="s">
        <v>2377</v>
      </c>
      <c r="E2105" s="198"/>
    </row>
    <row r="2106" spans="1:5">
      <c r="A2106" t="s">
        <v>2495</v>
      </c>
      <c r="B2106" s="198" t="s">
        <v>2377</v>
      </c>
      <c r="E2106" s="198"/>
    </row>
    <row r="2107" spans="1:5">
      <c r="A2107" t="s">
        <v>2496</v>
      </c>
      <c r="B2107" s="198" t="s">
        <v>2377</v>
      </c>
      <c r="E2107" s="198"/>
    </row>
    <row r="2108" spans="1:5">
      <c r="A2108" t="s">
        <v>2497</v>
      </c>
      <c r="B2108" s="198" t="s">
        <v>2377</v>
      </c>
      <c r="E2108" s="198"/>
    </row>
    <row r="2109" spans="1:5">
      <c r="A2109" t="s">
        <v>2498</v>
      </c>
      <c r="B2109" s="198" t="s">
        <v>2377</v>
      </c>
      <c r="E2109" s="198"/>
    </row>
    <row r="2110" spans="1:5">
      <c r="A2110" t="s">
        <v>2499</v>
      </c>
      <c r="B2110" s="198" t="s">
        <v>2377</v>
      </c>
      <c r="E2110" s="198"/>
    </row>
    <row r="2111" spans="1:5">
      <c r="A2111" t="s">
        <v>2500</v>
      </c>
      <c r="B2111" s="198" t="s">
        <v>2377</v>
      </c>
      <c r="E2111" s="198"/>
    </row>
    <row r="2112" spans="1:5">
      <c r="A2112" t="s">
        <v>2501</v>
      </c>
      <c r="B2112" s="198" t="s">
        <v>2377</v>
      </c>
      <c r="E2112" s="198"/>
    </row>
    <row r="2113" spans="1:5">
      <c r="A2113" t="s">
        <v>2502</v>
      </c>
      <c r="B2113" s="198" t="s">
        <v>2377</v>
      </c>
      <c r="E2113" s="198"/>
    </row>
    <row r="2114" spans="1:5">
      <c r="A2114" t="s">
        <v>2503</v>
      </c>
      <c r="B2114" s="198" t="s">
        <v>2377</v>
      </c>
      <c r="E2114" s="198"/>
    </row>
    <row r="2115" spans="1:5">
      <c r="A2115" t="s">
        <v>2504</v>
      </c>
      <c r="B2115" s="198" t="s">
        <v>2377</v>
      </c>
      <c r="E2115" s="198"/>
    </row>
    <row r="2116" spans="1:5">
      <c r="A2116" t="s">
        <v>2505</v>
      </c>
      <c r="B2116" s="198" t="s">
        <v>2377</v>
      </c>
      <c r="E2116" s="198"/>
    </row>
    <row r="2117" spans="1:5">
      <c r="A2117" t="s">
        <v>2506</v>
      </c>
      <c r="B2117" s="198" t="s">
        <v>2377</v>
      </c>
      <c r="E2117" s="198"/>
    </row>
    <row r="2118" spans="1:5">
      <c r="A2118" t="s">
        <v>2507</v>
      </c>
      <c r="B2118" s="198" t="s">
        <v>2377</v>
      </c>
      <c r="E2118" s="198"/>
    </row>
    <row r="2119" spans="1:5">
      <c r="A2119" t="s">
        <v>2508</v>
      </c>
      <c r="B2119" s="198" t="s">
        <v>2377</v>
      </c>
      <c r="E2119" s="198"/>
    </row>
    <row r="2120" spans="1:5">
      <c r="A2120" t="s">
        <v>2509</v>
      </c>
      <c r="B2120" s="198" t="s">
        <v>2377</v>
      </c>
      <c r="E2120" s="198"/>
    </row>
    <row r="2121" spans="1:5">
      <c r="A2121" t="s">
        <v>2510</v>
      </c>
      <c r="B2121" s="198" t="s">
        <v>2377</v>
      </c>
      <c r="E2121" s="198"/>
    </row>
    <row r="2122" spans="1:5">
      <c r="A2122" t="s">
        <v>2511</v>
      </c>
      <c r="B2122" s="198" t="s">
        <v>2377</v>
      </c>
      <c r="E2122" s="198"/>
    </row>
    <row r="2123" spans="1:5">
      <c r="B2123" s="198" t="s">
        <v>2377</v>
      </c>
      <c r="E2123" s="198"/>
    </row>
    <row r="2124" spans="1:5">
      <c r="B2124" s="198"/>
      <c r="E2124" s="198"/>
    </row>
    <row r="2125" spans="1:5">
      <c r="B2125" s="198" t="s">
        <v>2968</v>
      </c>
      <c r="E2125" s="198"/>
    </row>
    <row r="2126" spans="1:5">
      <c r="A2126" t="s">
        <v>2967</v>
      </c>
      <c r="B2126" s="198" t="s">
        <v>2968</v>
      </c>
      <c r="E2126" s="198"/>
    </row>
    <row r="2127" spans="1:5">
      <c r="A2127" t="s">
        <v>2969</v>
      </c>
      <c r="B2127" s="198" t="s">
        <v>2968</v>
      </c>
      <c r="E2127" s="198"/>
    </row>
    <row r="2128" spans="1:5">
      <c r="A2128" t="s">
        <v>2970</v>
      </c>
      <c r="B2128" s="198" t="s">
        <v>2968</v>
      </c>
      <c r="E2128" s="198"/>
    </row>
    <row r="2129" spans="1:5">
      <c r="A2129" t="s">
        <v>2971</v>
      </c>
      <c r="B2129" s="198" t="s">
        <v>2968</v>
      </c>
      <c r="E2129" s="198"/>
    </row>
    <row r="2130" spans="1:5">
      <c r="A2130" t="s">
        <v>2972</v>
      </c>
      <c r="B2130" s="198" t="s">
        <v>2968</v>
      </c>
      <c r="E2130" s="198"/>
    </row>
    <row r="2131" spans="1:5">
      <c r="A2131" t="s">
        <v>2973</v>
      </c>
      <c r="B2131" s="198" t="s">
        <v>2968</v>
      </c>
      <c r="E2131" s="198"/>
    </row>
    <row r="2132" spans="1:5">
      <c r="A2132" t="s">
        <v>3015</v>
      </c>
      <c r="B2132" s="198" t="s">
        <v>2968</v>
      </c>
      <c r="E2132" s="198"/>
    </row>
    <row r="2133" spans="1:5">
      <c r="A2133" t="s">
        <v>3016</v>
      </c>
      <c r="B2133" s="198" t="s">
        <v>2968</v>
      </c>
      <c r="E2133" s="198"/>
    </row>
    <row r="2134" spans="1:5">
      <c r="A2134" t="s">
        <v>3017</v>
      </c>
      <c r="B2134" s="198" t="s">
        <v>2968</v>
      </c>
      <c r="E2134" s="198"/>
    </row>
    <row r="2135" spans="1:5">
      <c r="A2135" t="s">
        <v>3018</v>
      </c>
      <c r="B2135" s="198" t="s">
        <v>2968</v>
      </c>
      <c r="E2135" s="198"/>
    </row>
    <row r="2136" spans="1:5">
      <c r="A2136" t="s">
        <v>3019</v>
      </c>
      <c r="B2136" s="198" t="s">
        <v>2968</v>
      </c>
      <c r="E2136" s="198"/>
    </row>
    <row r="2137" spans="1:5">
      <c r="A2137" t="s">
        <v>3020</v>
      </c>
      <c r="B2137" s="198" t="s">
        <v>2968</v>
      </c>
      <c r="E2137" s="198"/>
    </row>
    <row r="2138" spans="1:5">
      <c r="A2138" t="s">
        <v>3216</v>
      </c>
      <c r="B2138" s="198" t="s">
        <v>2968</v>
      </c>
      <c r="E2138" s="198"/>
    </row>
    <row r="2139" spans="1:5">
      <c r="A2139" t="s">
        <v>3217</v>
      </c>
      <c r="B2139" s="198" t="s">
        <v>2968</v>
      </c>
      <c r="E2139" s="198"/>
    </row>
    <row r="2140" spans="1:5">
      <c r="A2140" t="s">
        <v>3218</v>
      </c>
      <c r="B2140" s="198" t="s">
        <v>2968</v>
      </c>
      <c r="E2140" s="198"/>
    </row>
    <row r="2141" spans="1:5">
      <c r="A2141" t="s">
        <v>3219</v>
      </c>
      <c r="B2141" s="198" t="s">
        <v>2968</v>
      </c>
      <c r="E2141" s="198"/>
    </row>
    <row r="2142" spans="1:5">
      <c r="A2142" t="s">
        <v>3220</v>
      </c>
      <c r="B2142" s="198" t="s">
        <v>2968</v>
      </c>
      <c r="E2142" s="198"/>
    </row>
    <row r="2143" spans="1:5">
      <c r="A2143" t="s">
        <v>3221</v>
      </c>
      <c r="B2143" s="198" t="s">
        <v>2968</v>
      </c>
      <c r="E2143" s="198"/>
    </row>
    <row r="2144" spans="1:5">
      <c r="B2144" s="198"/>
      <c r="E2144" s="198"/>
    </row>
    <row r="2145" spans="1:5">
      <c r="A2145" t="s">
        <v>3464</v>
      </c>
      <c r="B2145" s="198" t="s">
        <v>3455</v>
      </c>
      <c r="E2145" s="198"/>
    </row>
    <row r="2146" spans="1:5">
      <c r="B2146" s="198"/>
      <c r="E2146" s="198"/>
    </row>
    <row r="2147" spans="1:5">
      <c r="A2147" t="s">
        <v>3111</v>
      </c>
      <c r="B2147" s="198" t="s">
        <v>2519</v>
      </c>
      <c r="E2147" s="198"/>
    </row>
    <row r="2148" spans="1:5">
      <c r="A2148" t="s">
        <v>3112</v>
      </c>
      <c r="B2148" s="198" t="s">
        <v>2519</v>
      </c>
      <c r="E2148" s="198"/>
    </row>
    <row r="2149" spans="1:5">
      <c r="B2149" s="198"/>
      <c r="E2149" s="198"/>
    </row>
    <row r="2150" spans="1:5">
      <c r="A2150" t="s">
        <v>2599</v>
      </c>
      <c r="B2150" s="198" t="s">
        <v>2600</v>
      </c>
      <c r="E2150" s="198"/>
    </row>
    <row r="2151" spans="1:5">
      <c r="A2151" t="s">
        <v>2601</v>
      </c>
      <c r="B2151" s="198" t="s">
        <v>2600</v>
      </c>
    </row>
    <row r="2152" spans="1:5">
      <c r="A2152" t="s">
        <v>2602</v>
      </c>
      <c r="B2152" s="198" t="s">
        <v>2600</v>
      </c>
    </row>
    <row r="2153" spans="1:5">
      <c r="B2153" s="198" t="s">
        <v>2600</v>
      </c>
    </row>
    <row r="2154" spans="1:5">
      <c r="B2154" s="198"/>
    </row>
    <row r="2155" spans="1:5">
      <c r="A2155" t="s">
        <v>2512</v>
      </c>
      <c r="B2155" t="s">
        <v>2513</v>
      </c>
      <c r="E2155" s="198"/>
    </row>
    <row r="2156" spans="1:5">
      <c r="A2156" t="s">
        <v>2603</v>
      </c>
      <c r="B2156" t="s">
        <v>2513</v>
      </c>
      <c r="E2156" s="198"/>
    </row>
    <row r="2157" spans="1:5">
      <c r="A2157" t="s">
        <v>2670</v>
      </c>
      <c r="B2157" t="s">
        <v>2513</v>
      </c>
      <c r="E2157" s="198"/>
    </row>
    <row r="2158" spans="1:5">
      <c r="B2158"/>
      <c r="E2158" s="198"/>
    </row>
    <row r="2159" spans="1:5">
      <c r="A2159" t="s">
        <v>3332</v>
      </c>
      <c r="B2159" t="s">
        <v>3333</v>
      </c>
      <c r="E2159" s="198"/>
    </row>
    <row r="2160" spans="1:5">
      <c r="A2160" t="s">
        <v>3334</v>
      </c>
      <c r="B2160" t="s">
        <v>3333</v>
      </c>
      <c r="E2160" s="198"/>
    </row>
    <row r="2161" spans="1:5">
      <c r="A2161" t="s">
        <v>3558</v>
      </c>
      <c r="B2161" t="s">
        <v>3333</v>
      </c>
      <c r="E2161" s="198"/>
    </row>
    <row r="2162" spans="1:5">
      <c r="A2162" t="s">
        <v>3829</v>
      </c>
      <c r="B2162" t="s">
        <v>3333</v>
      </c>
      <c r="E2162" s="198"/>
    </row>
    <row r="2163" spans="1:5">
      <c r="B2163"/>
      <c r="E2163" s="198"/>
    </row>
    <row r="2164" spans="1:5">
      <c r="A2164" t="s">
        <v>3696</v>
      </c>
      <c r="B2164" t="s">
        <v>3637</v>
      </c>
      <c r="E2164" s="198"/>
    </row>
    <row r="2165" spans="1:5">
      <c r="B2165"/>
      <c r="E2165" s="198"/>
    </row>
    <row r="2166" spans="1:5">
      <c r="A2166" t="s">
        <v>3500</v>
      </c>
      <c r="B2166" t="s">
        <v>3697</v>
      </c>
      <c r="E2166" s="198"/>
    </row>
    <row r="2167" spans="1:5">
      <c r="B2167"/>
      <c r="E2167" s="198"/>
    </row>
    <row r="2168" spans="1:5">
      <c r="A2168" t="s">
        <v>3473</v>
      </c>
      <c r="B2168" t="s">
        <v>2376</v>
      </c>
      <c r="E2168" s="198"/>
    </row>
    <row r="2169" spans="1:5">
      <c r="B2169"/>
      <c r="E2169" s="198"/>
    </row>
    <row r="2170" spans="1:5">
      <c r="A2170" t="s">
        <v>3698</v>
      </c>
      <c r="B2170" t="s">
        <v>3639</v>
      </c>
      <c r="E2170" s="198"/>
    </row>
    <row r="2171" spans="1:5">
      <c r="B2171"/>
      <c r="E2171" s="198"/>
    </row>
    <row r="2172" spans="1:5">
      <c r="A2172" t="s">
        <v>3641</v>
      </c>
      <c r="B2172" t="s">
        <v>3638</v>
      </c>
      <c r="E2172" s="198"/>
    </row>
    <row r="2173" spans="1:5">
      <c r="B2173"/>
      <c r="E2173" s="198"/>
    </row>
    <row r="2174" spans="1:5">
      <c r="A2174" t="s">
        <v>3642</v>
      </c>
      <c r="B2174" t="s">
        <v>3640</v>
      </c>
      <c r="E2174" s="198"/>
    </row>
    <row r="2175" spans="1:5">
      <c r="A2175" t="s">
        <v>3664</v>
      </c>
      <c r="B2175" t="s">
        <v>3640</v>
      </c>
      <c r="E2175" s="198"/>
    </row>
    <row r="2176" spans="1:5">
      <c r="B2176"/>
      <c r="E2176" s="198"/>
    </row>
    <row r="2177" spans="1:5">
      <c r="A2177" t="s">
        <v>3707</v>
      </c>
      <c r="B2177" t="s">
        <v>3708</v>
      </c>
      <c r="E2177" s="198"/>
    </row>
    <row r="2178" spans="1:5">
      <c r="B2178"/>
      <c r="E2178" s="198"/>
    </row>
    <row r="2179" spans="1:5">
      <c r="A2179" t="s">
        <v>3733</v>
      </c>
      <c r="B2179" t="s">
        <v>3709</v>
      </c>
      <c r="E2179" s="198"/>
    </row>
    <row r="2180" spans="1:5">
      <c r="A2180" t="s">
        <v>4017</v>
      </c>
      <c r="B2180" t="s">
        <v>3709</v>
      </c>
      <c r="E2180" s="198"/>
    </row>
    <row r="2181" spans="1:5">
      <c r="A2181" t="s">
        <v>4183</v>
      </c>
      <c r="B2181" t="s">
        <v>3709</v>
      </c>
      <c r="E2181" s="198"/>
    </row>
    <row r="2182" spans="1:5">
      <c r="B2182"/>
      <c r="E2182" s="198"/>
    </row>
    <row r="2183" spans="1:5">
      <c r="A2183" t="s">
        <v>3830</v>
      </c>
      <c r="B2183" t="s">
        <v>3831</v>
      </c>
      <c r="E2183" s="198"/>
    </row>
    <row r="2184" spans="1:5">
      <c r="B2184"/>
      <c r="E2184" s="198"/>
    </row>
    <row r="2185" spans="1:5">
      <c r="A2185" t="s">
        <v>3832</v>
      </c>
      <c r="B2185" t="s">
        <v>3833</v>
      </c>
      <c r="E2185" s="198"/>
    </row>
    <row r="2186" spans="1:5">
      <c r="B2186"/>
      <c r="E2186" s="198"/>
    </row>
    <row r="2187" spans="1:5">
      <c r="A2187" t="s">
        <v>3834</v>
      </c>
      <c r="B2187" t="s">
        <v>3835</v>
      </c>
      <c r="E2187" s="198"/>
    </row>
    <row r="2188" spans="1:5">
      <c r="A2188" t="s">
        <v>3836</v>
      </c>
      <c r="B2188" t="s">
        <v>3835</v>
      </c>
      <c r="E2188" s="198"/>
    </row>
    <row r="2189" spans="1:5">
      <c r="B2189"/>
      <c r="E2189" s="198"/>
    </row>
    <row r="2190" spans="1:5">
      <c r="A2190" t="s">
        <v>4101</v>
      </c>
      <c r="B2190" t="s">
        <v>3838</v>
      </c>
      <c r="E2190" s="198"/>
    </row>
    <row r="2191" spans="1:5">
      <c r="A2191" t="s">
        <v>4143</v>
      </c>
      <c r="B2191" t="s">
        <v>3838</v>
      </c>
      <c r="E2191" s="198"/>
    </row>
    <row r="2192" spans="1:5">
      <c r="A2192" t="s">
        <v>4109</v>
      </c>
      <c r="B2192" t="s">
        <v>3838</v>
      </c>
      <c r="E2192" s="198"/>
    </row>
    <row r="2193" spans="1:5">
      <c r="A2193" t="s">
        <v>4115</v>
      </c>
      <c r="B2193" t="s">
        <v>3838</v>
      </c>
      <c r="E2193" s="198"/>
    </row>
    <row r="2194" spans="1:5">
      <c r="A2194" t="s">
        <v>3837</v>
      </c>
      <c r="B2194" t="s">
        <v>3838</v>
      </c>
      <c r="E2194" s="198"/>
    </row>
    <row r="2195" spans="1:5">
      <c r="A2195" t="s">
        <v>3839</v>
      </c>
      <c r="B2195" t="s">
        <v>3838</v>
      </c>
      <c r="E2195" s="198"/>
    </row>
    <row r="2196" spans="1:5">
      <c r="A2196" t="s">
        <v>3840</v>
      </c>
      <c r="B2196" t="s">
        <v>3838</v>
      </c>
      <c r="E2196" s="198"/>
    </row>
    <row r="2197" spans="1:5">
      <c r="A2197" t="s">
        <v>3841</v>
      </c>
      <c r="B2197" t="s">
        <v>3838</v>
      </c>
      <c r="E2197" s="198"/>
    </row>
    <row r="2198" spans="1:5">
      <c r="A2198" t="s">
        <v>3842</v>
      </c>
      <c r="B2198" t="s">
        <v>3838</v>
      </c>
      <c r="E2198" s="198"/>
    </row>
    <row r="2199" spans="1:5">
      <c r="A2199" t="s">
        <v>3843</v>
      </c>
      <c r="B2199" t="s">
        <v>3838</v>
      </c>
      <c r="E2199" s="198"/>
    </row>
    <row r="2200" spans="1:5">
      <c r="A2200" t="s">
        <v>3844</v>
      </c>
      <c r="B2200" t="s">
        <v>3838</v>
      </c>
      <c r="E2200" s="198"/>
    </row>
    <row r="2201" spans="1:5">
      <c r="A2201" t="s">
        <v>3845</v>
      </c>
      <c r="B2201" t="s">
        <v>3838</v>
      </c>
      <c r="E2201" s="198"/>
    </row>
    <row r="2202" spans="1:5">
      <c r="A2202" t="s">
        <v>3846</v>
      </c>
      <c r="B2202" t="s">
        <v>3838</v>
      </c>
      <c r="E2202" s="198"/>
    </row>
    <row r="2203" spans="1:5">
      <c r="A2203" t="s">
        <v>3917</v>
      </c>
      <c r="B2203" t="s">
        <v>3838</v>
      </c>
      <c r="E2203" s="198"/>
    </row>
    <row r="2204" spans="1:5">
      <c r="A2204" t="s">
        <v>3918</v>
      </c>
      <c r="B2204" t="s">
        <v>3838</v>
      </c>
      <c r="E2204" s="198"/>
    </row>
    <row r="2205" spans="1:5">
      <c r="A2205" t="s">
        <v>3919</v>
      </c>
      <c r="B2205" t="s">
        <v>3838</v>
      </c>
      <c r="E2205" s="198"/>
    </row>
    <row r="2206" spans="1:5">
      <c r="A2206" t="s">
        <v>3920</v>
      </c>
      <c r="B2206" t="s">
        <v>3838</v>
      </c>
      <c r="E2206" s="198"/>
    </row>
    <row r="2207" spans="1:5">
      <c r="A2207" t="s">
        <v>3921</v>
      </c>
      <c r="B2207" t="s">
        <v>3838</v>
      </c>
      <c r="E2207" s="198"/>
    </row>
    <row r="2208" spans="1:5">
      <c r="A2208" t="s">
        <v>1977</v>
      </c>
      <c r="B2208" t="s">
        <v>3847</v>
      </c>
      <c r="E2208" s="198"/>
    </row>
    <row r="2209" spans="1:5">
      <c r="A2209" t="s">
        <v>3848</v>
      </c>
      <c r="B2209" t="s">
        <v>3847</v>
      </c>
      <c r="E2209" s="198"/>
    </row>
    <row r="2210" spans="1:5">
      <c r="B2210"/>
      <c r="E2210" s="198"/>
    </row>
    <row r="2211" spans="1:5">
      <c r="A2211" t="s">
        <v>3849</v>
      </c>
      <c r="B2211" t="s">
        <v>3850</v>
      </c>
      <c r="E2211" s="198"/>
    </row>
    <row r="2212" spans="1:5">
      <c r="A2212" t="s">
        <v>3851</v>
      </c>
      <c r="B2212" t="s">
        <v>3850</v>
      </c>
      <c r="E2212" s="198"/>
    </row>
    <row r="2213" spans="1:5">
      <c r="A2213" t="s">
        <v>3986</v>
      </c>
      <c r="B2213" t="s">
        <v>3850</v>
      </c>
      <c r="E2213" s="198"/>
    </row>
    <row r="2214" spans="1:5">
      <c r="B2214"/>
      <c r="E2214" s="198"/>
    </row>
    <row r="2215" spans="1:5">
      <c r="A2215" t="s">
        <v>3875</v>
      </c>
      <c r="B2215" t="s">
        <v>3888</v>
      </c>
      <c r="E2215" s="198"/>
    </row>
    <row r="2216" spans="1:5">
      <c r="A2216" t="s">
        <v>3922</v>
      </c>
      <c r="B2216" t="s">
        <v>3888</v>
      </c>
      <c r="E2216" s="198"/>
    </row>
    <row r="2217" spans="1:5">
      <c r="A2217" t="s">
        <v>4191</v>
      </c>
      <c r="B2217" t="s">
        <v>3888</v>
      </c>
      <c r="E2217" s="198"/>
    </row>
    <row r="2218" spans="1:5">
      <c r="A2218" t="s">
        <v>3923</v>
      </c>
      <c r="B2218" t="s">
        <v>3889</v>
      </c>
      <c r="E2218" s="198"/>
    </row>
    <row r="2219" spans="1:5">
      <c r="A2219" t="s">
        <v>4102</v>
      </c>
      <c r="B2219" t="s">
        <v>3889</v>
      </c>
      <c r="E2219" s="198"/>
    </row>
    <row r="2220" spans="1:5">
      <c r="A2220" t="s">
        <v>4103</v>
      </c>
      <c r="B2220" t="s">
        <v>3889</v>
      </c>
      <c r="E2220" s="198"/>
    </row>
    <row r="2221" spans="1:5">
      <c r="B2221" t="s">
        <v>3889</v>
      </c>
      <c r="E2221" s="198"/>
    </row>
    <row r="2222" spans="1:5">
      <c r="B2222"/>
      <c r="E2222" s="198"/>
    </row>
    <row r="2223" spans="1:5">
      <c r="A2223" t="s">
        <v>3924</v>
      </c>
      <c r="B2223" t="s">
        <v>3890</v>
      </c>
      <c r="E2223" s="198"/>
    </row>
    <row r="2224" spans="1:5">
      <c r="B2224"/>
      <c r="E2224" s="198"/>
    </row>
    <row r="2225" spans="1:8">
      <c r="A2225" t="s">
        <v>4070</v>
      </c>
      <c r="B2225" t="s">
        <v>3988</v>
      </c>
      <c r="E2225" s="198"/>
    </row>
    <row r="2226" spans="1:8">
      <c r="B2226"/>
      <c r="E2226" s="198"/>
    </row>
    <row r="2227" spans="1:8">
      <c r="A2227" t="s">
        <v>4126</v>
      </c>
      <c r="B2227" t="s">
        <v>4091</v>
      </c>
      <c r="E2227" s="198"/>
    </row>
    <row r="2228" spans="1:8">
      <c r="B2228"/>
      <c r="E2228" s="198"/>
    </row>
    <row r="2229" spans="1:8">
      <c r="A2229" t="s">
        <v>763</v>
      </c>
      <c r="B2229" s="198" t="s">
        <v>757</v>
      </c>
      <c r="C2229" t="s">
        <v>897</v>
      </c>
      <c r="E2229" s="198"/>
    </row>
    <row r="2230" spans="1:8">
      <c r="A2230" t="s">
        <v>764</v>
      </c>
      <c r="B2230" s="198" t="s">
        <v>757</v>
      </c>
      <c r="C2230" t="s">
        <v>2085</v>
      </c>
      <c r="E2230" s="198"/>
    </row>
    <row r="2231" spans="1:8">
      <c r="A2231" t="s">
        <v>2547</v>
      </c>
      <c r="B2231" s="198" t="s">
        <v>757</v>
      </c>
      <c r="C2231" t="s">
        <v>2604</v>
      </c>
      <c r="E2231" s="198"/>
    </row>
    <row r="2232" spans="1:8">
      <c r="A2232" t="s">
        <v>4118</v>
      </c>
      <c r="B2232" s="198" t="s">
        <v>757</v>
      </c>
      <c r="C2232" t="s">
        <v>2535</v>
      </c>
      <c r="E2232" s="198"/>
    </row>
    <row r="2233" spans="1:8">
      <c r="A2233" t="s">
        <v>4127</v>
      </c>
      <c r="B2233" s="198" t="s">
        <v>757</v>
      </c>
      <c r="C2233" t="s">
        <v>392</v>
      </c>
      <c r="E2233" s="198"/>
    </row>
    <row r="2234" spans="1:8">
      <c r="A2234" t="s">
        <v>896</v>
      </c>
      <c r="B2234" s="198" t="s">
        <v>757</v>
      </c>
      <c r="C2234" t="s">
        <v>796</v>
      </c>
      <c r="E2234" s="198"/>
    </row>
    <row r="2235" spans="1:8">
      <c r="A2235" t="s">
        <v>1025</v>
      </c>
      <c r="B2235" s="198" t="s">
        <v>757</v>
      </c>
      <c r="C2235" t="s">
        <v>796</v>
      </c>
      <c r="E2235" s="198"/>
    </row>
    <row r="2236" spans="1:8">
      <c r="A2236" t="s">
        <v>899</v>
      </c>
      <c r="B2236" s="198" t="s">
        <v>757</v>
      </c>
      <c r="C2236" t="s">
        <v>900</v>
      </c>
      <c r="E2236" s="198"/>
    </row>
    <row r="2237" spans="1:8">
      <c r="A2237" t="s">
        <v>1003</v>
      </c>
      <c r="B2237" s="198" t="s">
        <v>757</v>
      </c>
      <c r="C2237" t="s">
        <v>1026</v>
      </c>
      <c r="E2237" s="198"/>
    </row>
    <row r="2238" spans="1:8">
      <c r="A2238" t="s">
        <v>2245</v>
      </c>
      <c r="B2238" s="198" t="s">
        <v>757</v>
      </c>
      <c r="C2238" t="s">
        <v>2260</v>
      </c>
      <c r="E2238" s="198"/>
      <c r="F2238" s="240"/>
      <c r="H2238" s="198"/>
    </row>
    <row r="2239" spans="1:8">
      <c r="A2239" t="s">
        <v>2352</v>
      </c>
      <c r="B2239" s="198" t="s">
        <v>757</v>
      </c>
      <c r="C2239" t="s">
        <v>2260</v>
      </c>
      <c r="E2239" s="198"/>
      <c r="F2239" s="240"/>
    </row>
    <row r="2240" spans="1:8">
      <c r="A2240" t="s">
        <v>1626</v>
      </c>
      <c r="B2240" s="198" t="s">
        <v>757</v>
      </c>
      <c r="C2240" t="s">
        <v>1710</v>
      </c>
      <c r="E2240" s="198"/>
    </row>
    <row r="2241" spans="1:5">
      <c r="A2241" t="s">
        <v>1704</v>
      </c>
      <c r="B2241" s="198" t="s">
        <v>757</v>
      </c>
      <c r="C2241" t="s">
        <v>1705</v>
      </c>
      <c r="E2241" s="198"/>
    </row>
    <row r="2242" spans="1:5">
      <c r="A2242" t="s">
        <v>3317</v>
      </c>
      <c r="B2242" s="198" t="s">
        <v>757</v>
      </c>
      <c r="C2242" t="s">
        <v>1705</v>
      </c>
      <c r="E2242" s="198"/>
    </row>
    <row r="2243" spans="1:5">
      <c r="A2243" t="s">
        <v>3391</v>
      </c>
      <c r="B2243" s="198" t="s">
        <v>757</v>
      </c>
      <c r="C2243" t="s">
        <v>3444</v>
      </c>
      <c r="E2243" s="198"/>
    </row>
    <row r="2244" spans="1:5">
      <c r="A2244" t="s">
        <v>2565</v>
      </c>
      <c r="B2244" s="198" t="s">
        <v>757</v>
      </c>
      <c r="C2244" s="240" t="s">
        <v>2238</v>
      </c>
      <c r="E2244" s="198"/>
    </row>
    <row r="2245" spans="1:5">
      <c r="A2245" t="s">
        <v>2237</v>
      </c>
      <c r="B2245" s="198" t="s">
        <v>757</v>
      </c>
      <c r="C2245" s="240" t="s">
        <v>2238</v>
      </c>
      <c r="E2245" s="198"/>
    </row>
    <row r="2246" spans="1:5">
      <c r="A2246" t="s">
        <v>4203</v>
      </c>
      <c r="B2246" s="198" t="s">
        <v>757</v>
      </c>
      <c r="C2246" s="240" t="s">
        <v>2238</v>
      </c>
      <c r="E2246" s="198"/>
    </row>
    <row r="2247" spans="1:5">
      <c r="A2247" t="s">
        <v>2243</v>
      </c>
      <c r="B2247" s="198" t="s">
        <v>757</v>
      </c>
      <c r="C2247" t="s">
        <v>1705</v>
      </c>
      <c r="E2247" s="198"/>
    </row>
    <row r="2248" spans="1:5">
      <c r="A2248" t="s">
        <v>3925</v>
      </c>
      <c r="B2248" s="198" t="s">
        <v>757</v>
      </c>
      <c r="E2248" s="198"/>
    </row>
    <row r="2249" spans="1:5">
      <c r="A2249" t="s">
        <v>3926</v>
      </c>
      <c r="B2249" s="198" t="s">
        <v>757</v>
      </c>
      <c r="E2249" s="198"/>
    </row>
    <row r="2250" spans="1:5">
      <c r="A2250" t="s">
        <v>3927</v>
      </c>
      <c r="B2250" s="198" t="s">
        <v>757</v>
      </c>
      <c r="E2250" s="198"/>
    </row>
    <row r="2251" spans="1:5">
      <c r="A2251" t="s">
        <v>3928</v>
      </c>
      <c r="B2251" s="198" t="s">
        <v>757</v>
      </c>
      <c r="E2251" s="198"/>
    </row>
    <row r="2252" spans="1:5">
      <c r="A2252" t="s">
        <v>3960</v>
      </c>
      <c r="B2252" s="198" t="s">
        <v>757</v>
      </c>
      <c r="E2252" s="198"/>
    </row>
    <row r="2253" spans="1:5">
      <c r="A2253" t="s">
        <v>3445</v>
      </c>
      <c r="B2253" s="198" t="s">
        <v>757</v>
      </c>
      <c r="C2253" t="s">
        <v>3444</v>
      </c>
      <c r="E2253" s="198"/>
    </row>
    <row r="2254" spans="1:5">
      <c r="A2254" t="s">
        <v>3046</v>
      </c>
      <c r="B2254" s="198" t="s">
        <v>757</v>
      </c>
      <c r="C2254" t="s">
        <v>3113</v>
      </c>
      <c r="E2254" s="198"/>
    </row>
    <row r="2255" spans="1:5">
      <c r="A2255" t="s">
        <v>3047</v>
      </c>
      <c r="B2255" s="198" t="s">
        <v>757</v>
      </c>
      <c r="C2255" t="s">
        <v>3113</v>
      </c>
      <c r="E2255" s="198"/>
    </row>
    <row r="2256" spans="1:5">
      <c r="A2256" t="s">
        <v>2236</v>
      </c>
      <c r="B2256" s="198" t="s">
        <v>757</v>
      </c>
      <c r="C2256" t="s">
        <v>2010</v>
      </c>
      <c r="E2256" s="198"/>
    </row>
    <row r="2257" spans="1:5">
      <c r="A2257" t="s">
        <v>2534</v>
      </c>
      <c r="B2257" s="198" t="s">
        <v>757</v>
      </c>
      <c r="C2257" t="s">
        <v>2535</v>
      </c>
      <c r="E2257" s="198"/>
    </row>
    <row r="2258" spans="1:5">
      <c r="A2258" t="s">
        <v>2939</v>
      </c>
      <c r="B2258" s="198" t="s">
        <v>757</v>
      </c>
      <c r="C2258" t="s">
        <v>2535</v>
      </c>
      <c r="E2258" s="198"/>
    </row>
    <row r="2259" spans="1:5">
      <c r="A2259" t="s">
        <v>2606</v>
      </c>
      <c r="B2259" s="198" t="s">
        <v>757</v>
      </c>
      <c r="C2259" t="s">
        <v>2607</v>
      </c>
      <c r="E2259" s="198"/>
    </row>
    <row r="2260" spans="1:5">
      <c r="A2260" t="s">
        <v>2608</v>
      </c>
      <c r="B2260" s="198" t="s">
        <v>757</v>
      </c>
      <c r="C2260" t="s">
        <v>2607</v>
      </c>
      <c r="E2260" s="198"/>
    </row>
    <row r="2261" spans="1:5">
      <c r="A2261" t="s">
        <v>3598</v>
      </c>
      <c r="B2261" s="198" t="s">
        <v>757</v>
      </c>
      <c r="C2261" t="s">
        <v>2607</v>
      </c>
      <c r="E2261" s="198"/>
    </row>
    <row r="2262" spans="1:5">
      <c r="A2262" t="s">
        <v>3879</v>
      </c>
      <c r="B2262" s="198" t="s">
        <v>757</v>
      </c>
      <c r="E2262" s="198"/>
    </row>
    <row r="2263" spans="1:5">
      <c r="A2263" t="s">
        <v>3880</v>
      </c>
      <c r="B2263" s="198" t="s">
        <v>757</v>
      </c>
      <c r="E2263" s="198"/>
    </row>
    <row r="2264" spans="1:5">
      <c r="A2264" t="s">
        <v>2261</v>
      </c>
      <c r="B2264" s="198" t="s">
        <v>757</v>
      </c>
      <c r="C2264" t="s">
        <v>2645</v>
      </c>
      <c r="E2264" s="198"/>
    </row>
    <row r="2265" spans="1:5">
      <c r="A2265" t="s">
        <v>2323</v>
      </c>
      <c r="B2265" s="198" t="s">
        <v>757</v>
      </c>
      <c r="C2265" t="s">
        <v>2262</v>
      </c>
      <c r="E2265" s="198"/>
    </row>
    <row r="2266" spans="1:5">
      <c r="A2266" t="s">
        <v>2556</v>
      </c>
      <c r="B2266" s="198" t="s">
        <v>757</v>
      </c>
      <c r="C2266" t="s">
        <v>2262</v>
      </c>
      <c r="E2266" s="198"/>
    </row>
    <row r="2267" spans="1:5">
      <c r="A2267" t="s">
        <v>3991</v>
      </c>
      <c r="B2267" s="198" t="s">
        <v>757</v>
      </c>
      <c r="C2267" t="s">
        <v>3444</v>
      </c>
      <c r="E2267" s="198"/>
    </row>
    <row r="2268" spans="1:5">
      <c r="A2268" t="s">
        <v>2609</v>
      </c>
      <c r="B2268" s="198" t="s">
        <v>757</v>
      </c>
      <c r="C2268" t="s">
        <v>2262</v>
      </c>
      <c r="E2268" s="198"/>
    </row>
    <row r="2269" spans="1:5">
      <c r="A2269" t="s">
        <v>2610</v>
      </c>
      <c r="B2269" s="198" t="s">
        <v>757</v>
      </c>
      <c r="C2269" t="s">
        <v>2262</v>
      </c>
      <c r="E2269" s="198"/>
    </row>
    <row r="2270" spans="1:5">
      <c r="A2270" t="s">
        <v>3699</v>
      </c>
      <c r="B2270" s="198" t="s">
        <v>757</v>
      </c>
      <c r="C2270" t="s">
        <v>2615</v>
      </c>
      <c r="E2270" s="198"/>
    </row>
    <row r="2271" spans="1:5">
      <c r="A2271" t="s">
        <v>3700</v>
      </c>
      <c r="B2271" s="198" t="s">
        <v>757</v>
      </c>
      <c r="C2271" t="s">
        <v>2615</v>
      </c>
      <c r="E2271" s="198"/>
    </row>
    <row r="2272" spans="1:5">
      <c r="A2272" t="s">
        <v>3559</v>
      </c>
      <c r="B2272" s="198" t="s">
        <v>757</v>
      </c>
      <c r="C2272" t="s">
        <v>2262</v>
      </c>
      <c r="E2272" s="198"/>
    </row>
    <row r="2273" spans="1:5">
      <c r="A2273" t="s">
        <v>3560</v>
      </c>
      <c r="B2273" s="198" t="s">
        <v>757</v>
      </c>
      <c r="C2273" t="s">
        <v>2262</v>
      </c>
      <c r="E2273" s="198"/>
    </row>
    <row r="2274" spans="1:5">
      <c r="A2274" t="s">
        <v>3561</v>
      </c>
      <c r="B2274" s="198" t="s">
        <v>757</v>
      </c>
      <c r="C2274" t="s">
        <v>2262</v>
      </c>
      <c r="E2274" s="198"/>
    </row>
    <row r="2275" spans="1:5">
      <c r="A2275" t="s">
        <v>3066</v>
      </c>
      <c r="B2275" s="198" t="s">
        <v>757</v>
      </c>
      <c r="C2275" t="s">
        <v>3318</v>
      </c>
      <c r="E2275" s="198"/>
    </row>
    <row r="2276" spans="1:5">
      <c r="A2276" t="s">
        <v>3335</v>
      </c>
      <c r="B2276" s="198" t="s">
        <v>757</v>
      </c>
      <c r="C2276" t="s">
        <v>3318</v>
      </c>
      <c r="E2276" s="198"/>
    </row>
    <row r="2277" spans="1:5">
      <c r="A2277" t="s">
        <v>2611</v>
      </c>
      <c r="B2277" s="198" t="s">
        <v>757</v>
      </c>
      <c r="C2277" t="s">
        <v>2604</v>
      </c>
      <c r="E2277" s="198"/>
    </row>
    <row r="2278" spans="1:5">
      <c r="A2278" t="s">
        <v>2890</v>
      </c>
      <c r="B2278" s="198" t="s">
        <v>757</v>
      </c>
      <c r="C2278" t="s">
        <v>2604</v>
      </c>
      <c r="E2278" s="198"/>
    </row>
    <row r="2279" spans="1:5">
      <c r="A2279" t="s">
        <v>2180</v>
      </c>
      <c r="B2279" s="198" t="s">
        <v>757</v>
      </c>
      <c r="C2279" t="s">
        <v>2181</v>
      </c>
      <c r="E2279" s="198"/>
    </row>
    <row r="2280" spans="1:5">
      <c r="A2280" t="s">
        <v>2182</v>
      </c>
      <c r="B2280" s="198" t="s">
        <v>757</v>
      </c>
      <c r="C2280" t="s">
        <v>2181</v>
      </c>
      <c r="E2280" s="198"/>
    </row>
    <row r="2281" spans="1:5">
      <c r="A2281" t="s">
        <v>2183</v>
      </c>
      <c r="B2281" s="198" t="s">
        <v>757</v>
      </c>
      <c r="C2281" t="s">
        <v>2181</v>
      </c>
      <c r="E2281" s="198"/>
    </row>
    <row r="2282" spans="1:5">
      <c r="A2282" t="s">
        <v>2759</v>
      </c>
      <c r="B2282" s="198" t="s">
        <v>757</v>
      </c>
      <c r="C2282" t="s">
        <v>2604</v>
      </c>
      <c r="E2282" s="198"/>
    </row>
    <row r="2283" spans="1:5">
      <c r="A2283" t="s">
        <v>2760</v>
      </c>
      <c r="B2283" s="198" t="s">
        <v>757</v>
      </c>
      <c r="C2283" t="s">
        <v>2604</v>
      </c>
      <c r="E2283" s="198"/>
    </row>
    <row r="2284" spans="1:5">
      <c r="A2284" t="s">
        <v>3446</v>
      </c>
      <c r="B2284" s="198" t="s">
        <v>757</v>
      </c>
      <c r="C2284" t="s">
        <v>3447</v>
      </c>
      <c r="E2284" s="198"/>
    </row>
    <row r="2285" spans="1:5">
      <c r="A2285" t="s">
        <v>3448</v>
      </c>
      <c r="B2285" s="198" t="s">
        <v>757</v>
      </c>
      <c r="C2285" t="s">
        <v>3449</v>
      </c>
      <c r="E2285" s="198"/>
    </row>
    <row r="2286" spans="1:5">
      <c r="A2286" t="s">
        <v>3562</v>
      </c>
      <c r="B2286" s="198" t="s">
        <v>757</v>
      </c>
      <c r="C2286" t="s">
        <v>2607</v>
      </c>
      <c r="E2286" s="198"/>
    </row>
    <row r="2287" spans="1:5">
      <c r="A2287" t="s">
        <v>3563</v>
      </c>
      <c r="B2287" s="198" t="s">
        <v>757</v>
      </c>
      <c r="C2287" t="s">
        <v>2607</v>
      </c>
      <c r="E2287" s="198"/>
    </row>
    <row r="2288" spans="1:5">
      <c r="A2288" t="s">
        <v>3564</v>
      </c>
      <c r="B2288" s="198" t="s">
        <v>757</v>
      </c>
      <c r="C2288" t="s">
        <v>2607</v>
      </c>
      <c r="E2288" s="198"/>
    </row>
    <row r="2289" spans="1:6">
      <c r="A2289" t="s">
        <v>3701</v>
      </c>
      <c r="B2289" s="198" t="s">
        <v>757</v>
      </c>
      <c r="C2289" t="s">
        <v>2262</v>
      </c>
      <c r="E2289" s="198"/>
    </row>
    <row r="2290" spans="1:6">
      <c r="A2290" t="s">
        <v>3852</v>
      </c>
      <c r="B2290" s="198" t="s">
        <v>757</v>
      </c>
      <c r="C2290" t="s">
        <v>3853</v>
      </c>
      <c r="E2290" s="198"/>
    </row>
    <row r="2291" spans="1:6">
      <c r="A2291" t="s">
        <v>3854</v>
      </c>
      <c r="B2291" s="198" t="s">
        <v>757</v>
      </c>
      <c r="C2291" t="s">
        <v>3855</v>
      </c>
      <c r="E2291" s="198"/>
    </row>
    <row r="2292" spans="1:6">
      <c r="A2292" t="s">
        <v>3929</v>
      </c>
      <c r="B2292" s="198" t="s">
        <v>757</v>
      </c>
      <c r="C2292" t="s">
        <v>3930</v>
      </c>
      <c r="E2292" s="198"/>
    </row>
    <row r="2293" spans="1:6">
      <c r="A2293" t="s">
        <v>3931</v>
      </c>
      <c r="B2293" s="198" t="s">
        <v>757</v>
      </c>
      <c r="C2293" t="s">
        <v>394</v>
      </c>
      <c r="E2293" s="198"/>
    </row>
    <row r="2294" spans="1:6">
      <c r="A2294" t="s">
        <v>3932</v>
      </c>
      <c r="B2294" s="198" t="s">
        <v>757</v>
      </c>
      <c r="C2294" t="s">
        <v>394</v>
      </c>
      <c r="E2294" s="198"/>
    </row>
    <row r="2295" spans="1:6">
      <c r="A2295" t="s">
        <v>3933</v>
      </c>
      <c r="B2295" s="198" t="s">
        <v>757</v>
      </c>
      <c r="C2295" t="s">
        <v>394</v>
      </c>
      <c r="E2295" s="198"/>
    </row>
    <row r="2296" spans="1:6">
      <c r="A2296" t="s">
        <v>2020</v>
      </c>
      <c r="B2296" s="198" t="s">
        <v>757</v>
      </c>
      <c r="C2296" t="s">
        <v>1705</v>
      </c>
      <c r="E2296" s="198"/>
    </row>
    <row r="2297" spans="1:6">
      <c r="A2297" t="s">
        <v>3623</v>
      </c>
      <c r="B2297" s="198" t="s">
        <v>757</v>
      </c>
      <c r="C2297" t="s">
        <v>2535</v>
      </c>
      <c r="E2297" s="198"/>
      <c r="F2297" s="240"/>
    </row>
    <row r="2298" spans="1:6">
      <c r="A2298" t="s">
        <v>2344</v>
      </c>
      <c r="B2298" s="198" t="s">
        <v>757</v>
      </c>
      <c r="C2298" t="s">
        <v>2345</v>
      </c>
      <c r="E2298" s="198"/>
    </row>
    <row r="2299" spans="1:6">
      <c r="A2299" t="s">
        <v>2514</v>
      </c>
      <c r="B2299" s="198" t="s">
        <v>757</v>
      </c>
      <c r="C2299" t="s">
        <v>2347</v>
      </c>
      <c r="E2299" s="198"/>
    </row>
    <row r="2300" spans="1:6">
      <c r="A2300" t="s">
        <v>2346</v>
      </c>
      <c r="B2300" s="198" t="s">
        <v>757</v>
      </c>
      <c r="C2300" t="s">
        <v>2347</v>
      </c>
      <c r="E2300" s="198"/>
    </row>
    <row r="2301" spans="1:6">
      <c r="A2301" t="s">
        <v>3624</v>
      </c>
      <c r="B2301" s="198" t="s">
        <v>757</v>
      </c>
      <c r="C2301" t="s">
        <v>2347</v>
      </c>
      <c r="E2301" s="198"/>
    </row>
    <row r="2302" spans="1:6">
      <c r="A2302" t="s">
        <v>1996</v>
      </c>
      <c r="B2302" s="198" t="s">
        <v>757</v>
      </c>
      <c r="C2302" t="s">
        <v>1995</v>
      </c>
      <c r="E2302" s="198"/>
    </row>
    <row r="2303" spans="1:6">
      <c r="A2303" t="s">
        <v>2239</v>
      </c>
      <c r="B2303" s="198" t="s">
        <v>757</v>
      </c>
      <c r="C2303" s="240" t="s">
        <v>2238</v>
      </c>
      <c r="E2303" s="198"/>
    </row>
    <row r="2304" spans="1:6">
      <c r="A2304" t="s">
        <v>1760</v>
      </c>
      <c r="B2304" s="198" t="s">
        <v>757</v>
      </c>
      <c r="C2304" t="s">
        <v>2010</v>
      </c>
      <c r="E2304" s="198"/>
    </row>
    <row r="2305" spans="1:5">
      <c r="A2305" t="s">
        <v>2263</v>
      </c>
      <c r="B2305" s="198" t="s">
        <v>757</v>
      </c>
      <c r="C2305" t="s">
        <v>2264</v>
      </c>
      <c r="E2305" s="198"/>
    </row>
    <row r="2306" spans="1:5">
      <c r="A2306" t="s">
        <v>2265</v>
      </c>
      <c r="B2306" s="198" t="s">
        <v>757</v>
      </c>
      <c r="C2306" t="s">
        <v>2264</v>
      </c>
      <c r="E2306" s="198"/>
    </row>
    <row r="2307" spans="1:5">
      <c r="A2307" t="s">
        <v>2418</v>
      </c>
      <c r="B2307" s="198" t="s">
        <v>757</v>
      </c>
      <c r="C2307" t="s">
        <v>2419</v>
      </c>
      <c r="E2307" s="198"/>
    </row>
    <row r="2308" spans="1:5">
      <c r="A2308" t="s">
        <v>2420</v>
      </c>
      <c r="B2308" s="198" t="s">
        <v>757</v>
      </c>
      <c r="C2308" t="s">
        <v>2419</v>
      </c>
      <c r="E2308" s="198"/>
    </row>
    <row r="2309" spans="1:5">
      <c r="A2309" t="s">
        <v>3222</v>
      </c>
      <c r="B2309" s="198" t="s">
        <v>757</v>
      </c>
      <c r="C2309" t="s">
        <v>2419</v>
      </c>
      <c r="E2309" s="198"/>
    </row>
    <row r="2310" spans="1:5">
      <c r="A2310" t="s">
        <v>3223</v>
      </c>
      <c r="B2310" s="198" t="s">
        <v>757</v>
      </c>
      <c r="C2310" t="s">
        <v>2419</v>
      </c>
      <c r="E2310" s="198"/>
    </row>
    <row r="2311" spans="1:5">
      <c r="A2311" t="s">
        <v>3224</v>
      </c>
      <c r="B2311" s="198" t="s">
        <v>757</v>
      </c>
      <c r="C2311" t="s">
        <v>2419</v>
      </c>
      <c r="E2311" s="198"/>
    </row>
    <row r="2312" spans="1:5">
      <c r="A2312" t="s">
        <v>3225</v>
      </c>
      <c r="B2312" s="198" t="s">
        <v>757</v>
      </c>
      <c r="C2312" t="s">
        <v>2419</v>
      </c>
      <c r="E2312" s="198"/>
    </row>
    <row r="2313" spans="1:5">
      <c r="A2313" t="s">
        <v>2521</v>
      </c>
      <c r="B2313" s="198" t="s">
        <v>757</v>
      </c>
      <c r="C2313" t="s">
        <v>2612</v>
      </c>
    </row>
    <row r="2314" spans="1:5">
      <c r="A2314" t="s">
        <v>2613</v>
      </c>
      <c r="B2314" s="198" t="s">
        <v>757</v>
      </c>
      <c r="C2314" t="s">
        <v>2612</v>
      </c>
    </row>
    <row r="2315" spans="1:5">
      <c r="A2315" t="s">
        <v>1709</v>
      </c>
      <c r="B2315" s="198" t="s">
        <v>757</v>
      </c>
      <c r="C2315" t="s">
        <v>2421</v>
      </c>
    </row>
    <row r="2316" spans="1:5">
      <c r="A2316" t="s">
        <v>2515</v>
      </c>
      <c r="B2316" s="198" t="s">
        <v>757</v>
      </c>
      <c r="C2316" t="s">
        <v>2516</v>
      </c>
    </row>
    <row r="2317" spans="1:5">
      <c r="A2317" t="s">
        <v>3114</v>
      </c>
      <c r="B2317" s="198" t="s">
        <v>757</v>
      </c>
      <c r="C2317" t="s">
        <v>3115</v>
      </c>
    </row>
    <row r="2318" spans="1:5">
      <c r="A2318" t="s">
        <v>3116</v>
      </c>
      <c r="B2318" s="198" t="s">
        <v>757</v>
      </c>
      <c r="C2318" t="s">
        <v>3115</v>
      </c>
    </row>
    <row r="2319" spans="1:5">
      <c r="A2319" t="s">
        <v>2614</v>
      </c>
      <c r="B2319" s="198" t="s">
        <v>757</v>
      </c>
      <c r="C2319" t="s">
        <v>2615</v>
      </c>
    </row>
    <row r="2320" spans="1:5">
      <c r="A2320" t="s">
        <v>3625</v>
      </c>
      <c r="B2320" s="198" t="s">
        <v>757</v>
      </c>
      <c r="C2320" t="s">
        <v>2615</v>
      </c>
    </row>
    <row r="2321" spans="1:3">
      <c r="A2321" t="s">
        <v>3702</v>
      </c>
      <c r="B2321" s="198" t="s">
        <v>757</v>
      </c>
      <c r="C2321" t="s">
        <v>2615</v>
      </c>
    </row>
    <row r="2322" spans="1:3">
      <c r="B2322" s="198"/>
    </row>
  </sheetData>
  <phoneticPr fontId="50" type="noConversion"/>
  <conditionalFormatting sqref="A1:A6">
    <cfRule type="duplicateValues" dxfId="12" priority="34505"/>
  </conditionalFormatting>
  <conditionalFormatting sqref="A7:A656 A1105:A1167 A1169:A2322 A1039:A1101 A659:A1037">
    <cfRule type="duplicateValues" dxfId="11" priority="4"/>
  </conditionalFormatting>
  <conditionalFormatting sqref="A121">
    <cfRule type="duplicateValues" dxfId="10" priority="6"/>
  </conditionalFormatting>
  <conditionalFormatting sqref="A657:A658">
    <cfRule type="duplicateValues" dxfId="9" priority="1"/>
  </conditionalFormatting>
  <conditionalFormatting sqref="A764:A767">
    <cfRule type="duplicateValues" dxfId="8" priority="9"/>
  </conditionalFormatting>
  <conditionalFormatting sqref="A818">
    <cfRule type="duplicateValues" dxfId="7" priority="8"/>
  </conditionalFormatting>
  <conditionalFormatting sqref="A1022:A1023">
    <cfRule type="duplicateValues" dxfId="6" priority="5"/>
  </conditionalFormatting>
  <conditionalFormatting sqref="A1102:A1104">
    <cfRule type="duplicateValues" dxfId="5" priority="2"/>
  </conditionalFormatting>
  <conditionalFormatting sqref="A1168">
    <cfRule type="duplicateValues" dxfId="4" priority="3"/>
  </conditionalFormatting>
  <conditionalFormatting sqref="A2321">
    <cfRule type="duplicateValues" dxfId="3" priority="7"/>
  </conditionalFormatting>
  <conditionalFormatting sqref="A2323:A1048576">
    <cfRule type="duplicateValues" dxfId="2" priority="34499"/>
    <cfRule type="duplicateValues" dxfId="1" priority="34500"/>
    <cfRule type="duplicateValues" dxfId="0" priority="34503"/>
  </conditionalFormatting>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AC288"/>
  <sheetViews>
    <sheetView zoomScale="80" zoomScaleNormal="80" zoomScalePageLayoutView="80" workbookViewId="0">
      <pane xSplit="1" ySplit="18" topLeftCell="B122" activePane="bottomRight" state="frozenSplit"/>
      <selection pane="topRight" activeCell="A4" sqref="A4:Z4"/>
      <selection pane="bottomLeft" activeCell="A16" sqref="A16"/>
      <selection pane="bottomRight" activeCell="A3" sqref="A3:Z3"/>
    </sheetView>
  </sheetViews>
  <sheetFormatPr baseColWidth="10" defaultColWidth="8.83203125" defaultRowHeight="15"/>
  <cols>
    <col min="1" max="1" width="70.5" style="56" customWidth="1"/>
    <col min="2" max="2" width="7.6640625" style="56" customWidth="1"/>
    <col min="3" max="3" width="4" style="57" customWidth="1"/>
    <col min="4" max="4" width="11.33203125" style="115" bestFit="1" customWidth="1"/>
    <col min="5" max="5" width="9.1640625" style="78" customWidth="1"/>
    <col min="6" max="6" width="8.83203125" style="56"/>
    <col min="7" max="7" width="4.6640625" style="56" customWidth="1"/>
    <col min="8" max="10" width="11.5" style="56" customWidth="1"/>
    <col min="11" max="11" width="9.1640625" style="56" hidden="1" customWidth="1"/>
    <col min="12" max="12" width="5.83203125" style="56" customWidth="1"/>
    <col min="13" max="13" width="10" style="56" customWidth="1"/>
    <col min="14" max="16" width="10" style="111" customWidth="1"/>
    <col min="17" max="17" width="9.1640625" style="111" customWidth="1"/>
    <col min="18" max="18" width="10.5" style="111" customWidth="1"/>
    <col min="19" max="19" width="5.33203125" style="56" customWidth="1"/>
    <col min="20" max="20" width="12.33203125" style="111" customWidth="1"/>
    <col min="21" max="21" width="2.5" style="111" customWidth="1"/>
    <col min="22" max="22" width="12.1640625" style="111" customWidth="1"/>
    <col min="23" max="23" width="11.1640625" style="111" customWidth="1"/>
    <col min="24" max="24" width="11.33203125" style="111" customWidth="1"/>
    <col min="25" max="25" width="11.83203125" style="56" customWidth="1"/>
    <col min="26" max="27" width="17.5" style="56" customWidth="1"/>
    <col min="28" max="28" width="13.33203125" style="56" customWidth="1"/>
    <col min="29" max="29" width="10.33203125" style="56" bestFit="1" customWidth="1"/>
    <col min="30" max="16384" width="8.83203125" style="56"/>
  </cols>
  <sheetData>
    <row r="1" spans="1:28" s="50" customFormat="1" ht="36.75" customHeight="1" thickBot="1">
      <c r="A1" s="376"/>
      <c r="B1" s="377"/>
      <c r="C1" s="377"/>
      <c r="D1" s="377"/>
      <c r="E1" s="377"/>
      <c r="F1" s="377"/>
      <c r="G1" s="377"/>
      <c r="H1" s="377"/>
      <c r="I1" s="377"/>
      <c r="J1" s="377"/>
      <c r="K1" s="377"/>
      <c r="L1" s="377"/>
      <c r="M1" s="377"/>
      <c r="N1" s="377"/>
      <c r="O1" s="377"/>
      <c r="P1" s="377"/>
      <c r="Q1" s="377"/>
      <c r="R1" s="377"/>
      <c r="S1" s="377"/>
      <c r="T1" s="377"/>
      <c r="U1" s="377"/>
      <c r="V1" s="377"/>
      <c r="W1" s="377"/>
      <c r="X1" s="377"/>
      <c r="Y1" s="377"/>
      <c r="Z1" s="378"/>
    </row>
    <row r="2" spans="1:28" s="52" customFormat="1" ht="31.5" customHeight="1">
      <c r="A2" s="379" t="s">
        <v>4226</v>
      </c>
      <c r="B2" s="380"/>
      <c r="C2" s="380"/>
      <c r="D2" s="380"/>
      <c r="E2" s="380"/>
      <c r="F2" s="380"/>
      <c r="G2" s="380"/>
      <c r="H2" s="380"/>
      <c r="I2" s="380"/>
      <c r="J2" s="380"/>
      <c r="K2" s="380"/>
      <c r="L2" s="380"/>
      <c r="M2" s="380"/>
      <c r="N2" s="380"/>
      <c r="O2" s="380"/>
      <c r="P2" s="380"/>
      <c r="Q2" s="380"/>
      <c r="R2" s="380"/>
      <c r="S2" s="380"/>
      <c r="T2" s="380"/>
      <c r="U2" s="380"/>
      <c r="V2" s="380"/>
      <c r="W2" s="380"/>
      <c r="X2" s="380"/>
      <c r="Y2" s="380"/>
      <c r="Z2" s="381"/>
      <c r="AA2" s="51"/>
    </row>
    <row r="3" spans="1:28" s="54" customFormat="1" ht="21.75" customHeight="1">
      <c r="A3" s="382"/>
      <c r="B3" s="383"/>
      <c r="C3" s="383"/>
      <c r="D3" s="383"/>
      <c r="E3" s="383"/>
      <c r="F3" s="383"/>
      <c r="G3" s="383"/>
      <c r="H3" s="383"/>
      <c r="I3" s="383"/>
      <c r="J3" s="383"/>
      <c r="K3" s="383"/>
      <c r="L3" s="383"/>
      <c r="M3" s="383"/>
      <c r="N3" s="383"/>
      <c r="O3" s="383"/>
      <c r="P3" s="383"/>
      <c r="Q3" s="383"/>
      <c r="R3" s="383"/>
      <c r="S3" s="383"/>
      <c r="T3" s="383"/>
      <c r="U3" s="383"/>
      <c r="V3" s="383"/>
      <c r="W3" s="383"/>
      <c r="X3" s="383"/>
      <c r="Y3" s="383"/>
      <c r="Z3" s="384"/>
      <c r="AA3" s="53"/>
    </row>
    <row r="4" spans="1:28" ht="16">
      <c r="A4" s="385" t="s">
        <v>36</v>
      </c>
      <c r="B4" s="386"/>
      <c r="C4" s="386"/>
      <c r="D4" s="386"/>
      <c r="E4" s="386"/>
      <c r="F4" s="386"/>
      <c r="G4" s="386"/>
      <c r="H4" s="386"/>
      <c r="I4" s="386"/>
      <c r="J4" s="386"/>
      <c r="K4" s="386"/>
      <c r="L4" s="386"/>
      <c r="M4" s="386"/>
      <c r="N4" s="386"/>
      <c r="O4" s="386"/>
      <c r="P4" s="386"/>
      <c r="Q4" s="386"/>
      <c r="R4" s="386"/>
      <c r="S4" s="386"/>
      <c r="T4" s="386"/>
      <c r="U4" s="386"/>
      <c r="V4" s="386"/>
      <c r="W4" s="386"/>
      <c r="X4" s="386"/>
      <c r="Y4" s="386"/>
      <c r="Z4" s="387"/>
      <c r="AA4" s="55"/>
    </row>
    <row r="5" spans="1:28">
      <c r="A5" s="280" t="s">
        <v>37</v>
      </c>
      <c r="B5"/>
      <c r="C5" s="281"/>
      <c r="D5" s="58"/>
      <c r="E5" s="59" t="s">
        <v>38</v>
      </c>
      <c r="F5" s="282">
        <v>6</v>
      </c>
      <c r="G5" s="283"/>
      <c r="H5"/>
      <c r="I5"/>
      <c r="J5" s="284" t="s">
        <v>39</v>
      </c>
      <c r="K5"/>
      <c r="L5" s="282">
        <v>12</v>
      </c>
      <c r="M5" s="285" t="s">
        <v>40</v>
      </c>
      <c r="N5" s="282">
        <v>40</v>
      </c>
      <c r="O5" s="61" t="s">
        <v>41</v>
      </c>
      <c r="P5" s="61"/>
      <c r="Q5" s="61"/>
      <c r="R5" s="282">
        <v>32</v>
      </c>
      <c r="S5"/>
      <c r="T5"/>
      <c r="U5"/>
      <c r="V5" s="284" t="s">
        <v>42</v>
      </c>
      <c r="W5" s="282">
        <v>0</v>
      </c>
      <c r="X5" s="62" t="s">
        <v>43</v>
      </c>
      <c r="Y5"/>
      <c r="Z5" s="286"/>
      <c r="AA5" s="60"/>
    </row>
    <row r="6" spans="1:28" ht="16" thickBot="1">
      <c r="A6" s="280"/>
      <c r="B6"/>
      <c r="C6" s="281"/>
      <c r="D6" s="58"/>
      <c r="E6" s="287"/>
      <c r="F6"/>
      <c r="G6"/>
      <c r="H6"/>
      <c r="I6"/>
      <c r="J6"/>
      <c r="K6"/>
      <c r="L6"/>
      <c r="M6"/>
      <c r="N6" s="284"/>
      <c r="O6" s="285" t="s">
        <v>44</v>
      </c>
      <c r="P6" s="285"/>
      <c r="Q6" s="285"/>
      <c r="R6" s="282">
        <v>0</v>
      </c>
      <c r="S6"/>
      <c r="T6"/>
      <c r="U6"/>
      <c r="V6" s="284" t="s">
        <v>45</v>
      </c>
      <c r="W6" s="282">
        <v>2</v>
      </c>
      <c r="X6" s="62" t="s">
        <v>43</v>
      </c>
      <c r="Y6"/>
      <c r="Z6" s="288"/>
    </row>
    <row r="7" spans="1:28" ht="16" thickBot="1">
      <c r="A7" s="289"/>
      <c r="B7"/>
      <c r="C7" s="281"/>
      <c r="D7" s="58"/>
      <c r="E7" s="287"/>
      <c r="F7"/>
      <c r="G7"/>
      <c r="H7"/>
      <c r="I7"/>
      <c r="J7"/>
      <c r="K7"/>
      <c r="L7"/>
      <c r="M7"/>
      <c r="N7" s="290"/>
      <c r="O7" s="291" t="s">
        <v>46</v>
      </c>
      <c r="P7" s="291"/>
      <c r="Q7" s="291"/>
      <c r="R7" s="292">
        <f>N5+R5+R6</f>
        <v>72</v>
      </c>
      <c r="S7"/>
      <c r="T7"/>
      <c r="U7"/>
      <c r="V7" s="284"/>
      <c r="W7" s="282"/>
      <c r="X7" s="62"/>
      <c r="Y7"/>
      <c r="Z7" s="288"/>
    </row>
    <row r="8" spans="1:28" ht="16" thickBot="1">
      <c r="A8" s="293"/>
      <c r="B8" s="294"/>
      <c r="C8" s="295"/>
      <c r="D8" s="65"/>
      <c r="E8" s="296" t="s">
        <v>47</v>
      </c>
      <c r="F8" s="294"/>
      <c r="G8" s="294"/>
      <c r="H8" s="294"/>
      <c r="I8" s="294"/>
      <c r="J8" s="294"/>
      <c r="K8"/>
      <c r="L8" s="294"/>
      <c r="M8" s="294"/>
      <c r="N8" s="66"/>
      <c r="O8" s="66"/>
      <c r="P8" s="66"/>
      <c r="Q8" s="66"/>
      <c r="R8" s="66"/>
      <c r="S8" s="294"/>
      <c r="T8" s="67" t="s">
        <v>48</v>
      </c>
      <c r="U8" s="68"/>
      <c r="V8" s="69"/>
      <c r="W8" s="69"/>
      <c r="X8" s="69"/>
      <c r="Y8" s="297"/>
      <c r="Z8" s="298"/>
    </row>
    <row r="9" spans="1:28" ht="16" thickBot="1">
      <c r="A9" s="299"/>
      <c r="B9"/>
      <c r="C9" s="281"/>
      <c r="D9" s="58"/>
      <c r="E9" s="287" t="s">
        <v>49</v>
      </c>
      <c r="F9"/>
      <c r="G9"/>
      <c r="H9" s="294"/>
      <c r="I9" s="294"/>
      <c r="J9" s="294"/>
      <c r="K9"/>
      <c r="L9"/>
      <c r="M9" s="294"/>
      <c r="N9" s="66"/>
      <c r="O9" s="66"/>
      <c r="P9" s="66"/>
      <c r="Q9" s="66"/>
      <c r="R9" s="66"/>
      <c r="S9"/>
      <c r="T9" s="300" t="s">
        <v>50</v>
      </c>
      <c r="U9" s="300"/>
      <c r="V9" s="70" t="s">
        <v>3961</v>
      </c>
      <c r="W9" s="71"/>
      <c r="X9" s="72"/>
      <c r="Y9" s="301"/>
      <c r="Z9" s="302"/>
    </row>
    <row r="10" spans="1:28" ht="16" thickBot="1">
      <c r="A10" s="299"/>
      <c r="B10"/>
      <c r="C10" s="281"/>
      <c r="D10" s="58"/>
      <c r="E10" s="287" t="s">
        <v>40</v>
      </c>
      <c r="F10" s="287" t="s">
        <v>51</v>
      </c>
      <c r="G10"/>
      <c r="H10" s="303" t="s">
        <v>52</v>
      </c>
      <c r="I10" s="304"/>
      <c r="J10" s="305"/>
      <c r="K10"/>
      <c r="L10"/>
      <c r="M10" s="303" t="s">
        <v>53</v>
      </c>
      <c r="N10" s="73"/>
      <c r="O10" s="73"/>
      <c r="P10" s="73"/>
      <c r="Q10" s="73"/>
      <c r="R10" s="73"/>
      <c r="S10" s="299"/>
      <c r="T10" s="74" t="s">
        <v>54</v>
      </c>
      <c r="U10" s="75"/>
      <c r="V10" s="75" t="s">
        <v>55</v>
      </c>
      <c r="W10" s="76" t="s">
        <v>56</v>
      </c>
      <c r="X10" s="77" t="s">
        <v>57</v>
      </c>
      <c r="Y10" s="306" t="s">
        <v>58</v>
      </c>
      <c r="Z10" s="307"/>
      <c r="AA10" s="78"/>
    </row>
    <row r="11" spans="1:28" ht="44" thickBot="1">
      <c r="A11" s="299"/>
      <c r="B11" s="308" t="s">
        <v>59</v>
      </c>
      <c r="C11" s="309"/>
      <c r="D11" s="79" t="s">
        <v>60</v>
      </c>
      <c r="E11" s="310" t="s">
        <v>61</v>
      </c>
      <c r="F11" s="310" t="s">
        <v>61</v>
      </c>
      <c r="G11" s="216"/>
      <c r="H11" s="311" t="s">
        <v>62</v>
      </c>
      <c r="I11" s="312" t="s">
        <v>63</v>
      </c>
      <c r="J11" s="313" t="s">
        <v>64</v>
      </c>
      <c r="K11" s="216"/>
      <c r="L11" s="216"/>
      <c r="M11" s="310" t="s">
        <v>65</v>
      </c>
      <c r="N11" s="81" t="s">
        <v>66</v>
      </c>
      <c r="O11" s="82" t="s">
        <v>67</v>
      </c>
      <c r="P11" s="83" t="s">
        <v>68</v>
      </c>
      <c r="Q11" s="81" t="s">
        <v>69</v>
      </c>
      <c r="R11" s="81" t="s">
        <v>70</v>
      </c>
      <c r="S11" s="314"/>
      <c r="T11" s="84" t="s">
        <v>47</v>
      </c>
      <c r="U11" s="85"/>
      <c r="V11" s="85" t="s">
        <v>71</v>
      </c>
      <c r="W11" s="86" t="s">
        <v>71</v>
      </c>
      <c r="X11" s="87" t="s">
        <v>71</v>
      </c>
      <c r="Y11" s="315" t="s">
        <v>72</v>
      </c>
      <c r="Z11" s="316" t="s">
        <v>73</v>
      </c>
      <c r="AA11" s="88"/>
    </row>
    <row r="12" spans="1:28">
      <c r="A12" s="299"/>
      <c r="B12"/>
      <c r="C12" s="281"/>
      <c r="D12" s="89"/>
      <c r="E12" s="287"/>
      <c r="F12" s="287"/>
      <c r="G12"/>
      <c r="H12" s="287"/>
      <c r="I12" s="287"/>
      <c r="J12" s="317"/>
      <c r="K12"/>
      <c r="L12"/>
      <c r="M12" s="287"/>
      <c r="N12" s="90"/>
      <c r="O12" s="90"/>
      <c r="P12" s="90"/>
      <c r="Q12" s="90"/>
      <c r="R12" s="76" t="s">
        <v>3962</v>
      </c>
      <c r="S12"/>
      <c r="T12" s="77"/>
      <c r="U12" s="77"/>
      <c r="V12" s="75"/>
      <c r="W12" s="90"/>
      <c r="X12" s="91"/>
      <c r="Y12" s="318" t="s">
        <v>74</v>
      </c>
      <c r="Z12" s="319"/>
      <c r="AA12" s="92"/>
    </row>
    <row r="13" spans="1:28">
      <c r="A13" s="299"/>
      <c r="B13"/>
      <c r="C13" s="281"/>
      <c r="D13" s="89"/>
      <c r="E13" s="287"/>
      <c r="F13" s="287"/>
      <c r="G13"/>
      <c r="H13" s="287"/>
      <c r="I13" s="320">
        <v>0.1</v>
      </c>
      <c r="J13"/>
      <c r="K13"/>
      <c r="L13"/>
      <c r="M13" s="321">
        <v>2.562E-2</v>
      </c>
      <c r="N13" s="93">
        <v>4.9500000000000002E-2</v>
      </c>
      <c r="O13" s="94">
        <v>2.8199999999999999E-2</v>
      </c>
      <c r="P13" s="94"/>
      <c r="Q13" s="90">
        <v>0.2</v>
      </c>
      <c r="R13" s="90">
        <v>12.05</v>
      </c>
      <c r="S13" s="322" t="s">
        <v>75</v>
      </c>
      <c r="T13" s="77"/>
      <c r="U13" s="77"/>
      <c r="V13" s="75"/>
      <c r="W13" s="90"/>
      <c r="X13" s="77"/>
      <c r="Y13" s="96">
        <v>85</v>
      </c>
      <c r="Z13" s="323" t="s">
        <v>76</v>
      </c>
      <c r="AA13" s="95"/>
    </row>
    <row r="14" spans="1:28">
      <c r="A14" s="299"/>
      <c r="B14"/>
      <c r="C14" s="281"/>
      <c r="D14" s="89"/>
      <c r="E14" s="287"/>
      <c r="F14" s="287"/>
      <c r="G14"/>
      <c r="H14" s="287"/>
      <c r="I14" s="320"/>
      <c r="J14"/>
      <c r="K14"/>
      <c r="L14"/>
      <c r="M14" s="321"/>
      <c r="N14" s="93"/>
      <c r="O14" s="93"/>
      <c r="P14" s="93"/>
      <c r="Q14" s="97" t="s">
        <v>77</v>
      </c>
      <c r="R14" s="90">
        <v>8.0500000000000007</v>
      </c>
      <c r="S14" s="322" t="s">
        <v>78</v>
      </c>
      <c r="T14" s="77"/>
      <c r="U14" s="77"/>
      <c r="V14" s="75"/>
      <c r="W14" s="90"/>
      <c r="X14" s="77"/>
      <c r="Y14" s="96">
        <v>230</v>
      </c>
      <c r="Z14" s="323" t="s">
        <v>79</v>
      </c>
      <c r="AA14" s="95"/>
    </row>
    <row r="15" spans="1:28">
      <c r="A15" s="299"/>
      <c r="B15"/>
      <c r="C15" s="281"/>
      <c r="D15" s="89"/>
      <c r="E15" s="287"/>
      <c r="F15" s="287"/>
      <c r="G15"/>
      <c r="H15" s="287"/>
      <c r="I15" s="320"/>
      <c r="J15"/>
      <c r="K15"/>
      <c r="L15"/>
      <c r="M15" s="321"/>
      <c r="N15" s="93"/>
      <c r="O15" s="93"/>
      <c r="P15" s="93"/>
      <c r="Q15" s="90"/>
      <c r="R15" s="90">
        <v>12.66</v>
      </c>
      <c r="S15" s="322" t="s">
        <v>80</v>
      </c>
      <c r="T15" s="77"/>
      <c r="U15" s="77"/>
      <c r="V15" s="75"/>
      <c r="W15" s="90"/>
      <c r="X15" s="77"/>
      <c r="Y15" s="96">
        <v>295</v>
      </c>
      <c r="Z15" s="323" t="s">
        <v>81</v>
      </c>
      <c r="AA15" s="95"/>
    </row>
    <row r="16" spans="1:28">
      <c r="A16" s="299"/>
      <c r="B16"/>
      <c r="C16" s="281"/>
      <c r="D16" s="89"/>
      <c r="E16" s="287"/>
      <c r="F16" s="287"/>
      <c r="G16"/>
      <c r="H16" s="287"/>
      <c r="I16" s="320"/>
      <c r="J16"/>
      <c r="K16"/>
      <c r="L16"/>
      <c r="M16" s="321" t="s">
        <v>82</v>
      </c>
      <c r="N16" s="93"/>
      <c r="O16" s="98">
        <f>M13+N13+O13</f>
        <v>0.10332000000000001</v>
      </c>
      <c r="P16" s="94"/>
      <c r="Q16" s="90">
        <v>0.15</v>
      </c>
      <c r="R16" s="90">
        <v>10.82</v>
      </c>
      <c r="S16" s="322" t="s">
        <v>83</v>
      </c>
      <c r="T16" s="77"/>
      <c r="U16" s="77"/>
      <c r="V16" s="75"/>
      <c r="W16" s="90"/>
      <c r="X16" s="77"/>
      <c r="Y16" s="96">
        <v>325</v>
      </c>
      <c r="Z16" s="323" t="s">
        <v>84</v>
      </c>
      <c r="AA16" s="99" t="s">
        <v>85</v>
      </c>
      <c r="AB16" s="99" t="s">
        <v>17</v>
      </c>
    </row>
    <row r="17" spans="1:28">
      <c r="A17" s="299"/>
      <c r="B17"/>
      <c r="C17" s="281"/>
      <c r="D17" s="89"/>
      <c r="E17" s="287"/>
      <c r="F17" s="287"/>
      <c r="G17"/>
      <c r="H17" s="287"/>
      <c r="I17" s="320"/>
      <c r="J17"/>
      <c r="K17"/>
      <c r="L17"/>
      <c r="M17" s="321"/>
      <c r="N17" s="93"/>
      <c r="O17" s="93"/>
      <c r="P17" s="93"/>
      <c r="Q17" s="100" t="s">
        <v>77</v>
      </c>
      <c r="R17" s="90"/>
      <c r="S17" s="322"/>
      <c r="T17" s="77"/>
      <c r="U17" s="77"/>
      <c r="V17" s="75"/>
      <c r="W17" s="90"/>
      <c r="X17" s="77"/>
      <c r="Y17" s="74"/>
      <c r="Z17" s="323"/>
      <c r="AA17" s="57" t="s">
        <v>86</v>
      </c>
      <c r="AB17" s="57" t="s">
        <v>87</v>
      </c>
    </row>
    <row r="18" spans="1:28">
      <c r="A18" s="324" t="s">
        <v>88</v>
      </c>
      <c r="B18" s="282"/>
      <c r="C18" s="282"/>
      <c r="D18" s="89"/>
      <c r="E18" s="287"/>
      <c r="F18" s="287"/>
      <c r="G18"/>
      <c r="H18" s="287"/>
      <c r="I18" s="320"/>
      <c r="J18"/>
      <c r="K18"/>
      <c r="L18"/>
      <c r="M18" s="321"/>
      <c r="N18" s="93"/>
      <c r="O18" s="93"/>
      <c r="P18" s="93"/>
      <c r="Q18" s="93"/>
      <c r="R18" s="90"/>
      <c r="S18" s="325"/>
      <c r="T18" s="77"/>
      <c r="U18" s="77"/>
      <c r="V18" s="75"/>
      <c r="W18" s="90"/>
      <c r="X18" s="77"/>
      <c r="Y18" s="300" t="s">
        <v>43</v>
      </c>
      <c r="Z18" s="326"/>
      <c r="AA18" s="63"/>
    </row>
    <row r="19" spans="1:28">
      <c r="A19" s="64"/>
      <c r="D19" s="58"/>
      <c r="F19" s="57"/>
      <c r="H19" s="101"/>
      <c r="I19" s="101"/>
      <c r="L19" s="101"/>
      <c r="M19" s="101"/>
      <c r="N19" s="101"/>
      <c r="O19" s="101"/>
      <c r="P19" s="101"/>
      <c r="Q19" s="101"/>
      <c r="R19" s="101"/>
      <c r="T19" s="102"/>
      <c r="U19" s="102"/>
      <c r="V19" s="103"/>
      <c r="W19" s="104"/>
      <c r="X19" s="105"/>
      <c r="Y19" s="106"/>
      <c r="Z19" s="107"/>
      <c r="AA19" s="108"/>
      <c r="AB19" s="109"/>
    </row>
    <row r="20" spans="1:28" customFormat="1">
      <c r="A20" s="299"/>
      <c r="C20" s="281"/>
      <c r="D20" s="58"/>
      <c r="E20" s="327"/>
      <c r="F20" s="281"/>
      <c r="H20" s="101"/>
      <c r="I20" s="101"/>
      <c r="L20" s="101"/>
      <c r="M20" s="101"/>
      <c r="N20" s="101"/>
      <c r="O20" s="101"/>
      <c r="P20" s="101"/>
      <c r="Q20" s="101"/>
      <c r="R20" s="101"/>
      <c r="T20" s="102"/>
      <c r="U20" s="102"/>
      <c r="V20" s="103"/>
      <c r="W20" s="104"/>
      <c r="X20" s="105"/>
      <c r="Y20" s="328"/>
      <c r="Z20" s="107"/>
      <c r="AA20" s="108"/>
      <c r="AB20" s="329"/>
    </row>
    <row r="21" spans="1:28" customFormat="1">
      <c r="A21" s="299" t="s">
        <v>89</v>
      </c>
      <c r="B21" s="281" t="s">
        <v>90</v>
      </c>
      <c r="C21" s="281" t="s">
        <v>91</v>
      </c>
      <c r="D21" s="58">
        <v>13390</v>
      </c>
      <c r="E21" s="327" t="s">
        <v>92</v>
      </c>
      <c r="F21" s="281">
        <v>0</v>
      </c>
      <c r="H21" s="101">
        <f>D21</f>
        <v>13390</v>
      </c>
      <c r="I21" s="101">
        <f>H21*I$13</f>
        <v>1339</v>
      </c>
      <c r="L21" s="101"/>
      <c r="M21" s="101">
        <f>(H21+I21)*M$13</f>
        <v>377.35698000000002</v>
      </c>
      <c r="N21" s="101">
        <f>(H21+I21)*N$13</f>
        <v>729.08550000000002</v>
      </c>
      <c r="O21" s="101">
        <f>(H21+I21)*O$13</f>
        <v>415.3578</v>
      </c>
      <c r="P21" s="101"/>
      <c r="Q21" s="101"/>
      <c r="R21" s="101">
        <f>72*$R$13</f>
        <v>867.6</v>
      </c>
      <c r="T21" s="102">
        <f>SUM(H21:R21)</f>
        <v>17118.400279999998</v>
      </c>
      <c r="U21" s="102"/>
      <c r="V21" s="103">
        <v>2853.07</v>
      </c>
      <c r="W21" s="104">
        <v>0</v>
      </c>
      <c r="X21" s="105">
        <v>0</v>
      </c>
      <c r="Y21" s="330">
        <f>$Y$16</f>
        <v>325</v>
      </c>
      <c r="Z21" s="107">
        <f>Y21*7</f>
        <v>2275</v>
      </c>
      <c r="AA21" s="108">
        <f>V21*6</f>
        <v>17118.420000000002</v>
      </c>
      <c r="AB21" s="329">
        <f>AA21+Z21</f>
        <v>19393.420000000002</v>
      </c>
    </row>
    <row r="22" spans="1:28" customFormat="1">
      <c r="A22" s="299"/>
      <c r="B22" s="281" t="s">
        <v>93</v>
      </c>
      <c r="C22" s="281" t="s">
        <v>91</v>
      </c>
      <c r="D22" s="58">
        <v>16000</v>
      </c>
      <c r="E22" s="327" t="s">
        <v>92</v>
      </c>
      <c r="F22" s="281">
        <v>0</v>
      </c>
      <c r="H22" s="101">
        <f>D22</f>
        <v>16000</v>
      </c>
      <c r="I22" s="101">
        <f>H22*I$13</f>
        <v>1600</v>
      </c>
      <c r="L22" s="101"/>
      <c r="M22" s="101">
        <f>(H22+I22)*M$13</f>
        <v>450.91200000000003</v>
      </c>
      <c r="N22" s="101">
        <f>(H22+I22)*N$13</f>
        <v>871.2</v>
      </c>
      <c r="O22" s="101">
        <f>(H22+I22)*O$13</f>
        <v>496.32</v>
      </c>
      <c r="P22" s="101"/>
      <c r="Q22" s="101"/>
      <c r="R22" s="101">
        <f>72*$R$13</f>
        <v>867.6</v>
      </c>
      <c r="T22" s="102">
        <f>SUM(H22:R22)</f>
        <v>20286.031999999999</v>
      </c>
      <c r="U22" s="102"/>
      <c r="V22" s="103">
        <v>3381.01</v>
      </c>
      <c r="W22" s="104">
        <v>0</v>
      </c>
      <c r="X22" s="105">
        <v>0</v>
      </c>
      <c r="Y22" s="330">
        <f>$Y$16</f>
        <v>325</v>
      </c>
      <c r="Z22" s="107">
        <f>Y22*7</f>
        <v>2275</v>
      </c>
      <c r="AA22" s="108">
        <f>V22*6</f>
        <v>20286.060000000001</v>
      </c>
      <c r="AB22" s="329">
        <f>AA22+Z22</f>
        <v>22561.06</v>
      </c>
    </row>
    <row r="23" spans="1:28" customFormat="1" ht="19" customHeight="1">
      <c r="A23" s="299">
        <v>0</v>
      </c>
      <c r="C23" s="281"/>
      <c r="D23" s="58"/>
      <c r="E23" s="327"/>
      <c r="F23" s="281"/>
      <c r="H23" s="101"/>
      <c r="I23" s="101"/>
      <c r="L23" s="101"/>
      <c r="M23" s="101"/>
      <c r="N23" s="101"/>
      <c r="O23" s="101"/>
      <c r="P23" s="101"/>
      <c r="Q23" s="101"/>
      <c r="R23" s="101"/>
      <c r="T23" s="102"/>
      <c r="U23" s="102"/>
      <c r="V23" s="103"/>
      <c r="W23" s="104">
        <v>0</v>
      </c>
      <c r="X23" s="105">
        <v>0</v>
      </c>
      <c r="Y23" s="330"/>
      <c r="Z23" s="107"/>
      <c r="AA23" s="108"/>
      <c r="AB23" s="329"/>
    </row>
    <row r="24" spans="1:28" customFormat="1">
      <c r="A24" s="299" t="s">
        <v>94</v>
      </c>
      <c r="B24" s="281" t="s">
        <v>90</v>
      </c>
      <c r="C24" s="281" t="s">
        <v>91</v>
      </c>
      <c r="D24" s="58">
        <v>12360</v>
      </c>
      <c r="E24" s="327" t="s">
        <v>92</v>
      </c>
      <c r="F24" s="281">
        <v>0</v>
      </c>
      <c r="H24" s="101">
        <f>D24</f>
        <v>12360</v>
      </c>
      <c r="I24" s="101">
        <f>H24*I$13</f>
        <v>1236</v>
      </c>
      <c r="L24" s="101"/>
      <c r="M24" s="101">
        <f>(H24+I24)*M$13</f>
        <v>348.32952</v>
      </c>
      <c r="N24" s="101">
        <f>(H24+I24)*N$13</f>
        <v>673.00200000000007</v>
      </c>
      <c r="O24" s="101">
        <f>(H24+I24)*O$13</f>
        <v>383.40719999999999</v>
      </c>
      <c r="P24" s="101"/>
      <c r="Q24" s="101"/>
      <c r="R24" s="101">
        <f>72*$R$13</f>
        <v>867.6</v>
      </c>
      <c r="T24" s="102">
        <f>SUM(H24:R24)</f>
        <v>15868.33872</v>
      </c>
      <c r="U24" s="102"/>
      <c r="V24" s="103">
        <v>2644.72</v>
      </c>
      <c r="W24" s="104">
        <v>0</v>
      </c>
      <c r="X24" s="105">
        <v>0</v>
      </c>
      <c r="Y24" s="330">
        <f>$Y$15</f>
        <v>295</v>
      </c>
      <c r="Z24" s="107">
        <f>Y24*7</f>
        <v>2065</v>
      </c>
      <c r="AA24" s="108">
        <f>V24*6</f>
        <v>15868.32</v>
      </c>
      <c r="AB24" s="329">
        <f>AA24+Z24</f>
        <v>17933.32</v>
      </c>
    </row>
    <row r="25" spans="1:28" customFormat="1">
      <c r="A25" s="299"/>
      <c r="B25" s="281" t="s">
        <v>93</v>
      </c>
      <c r="C25" s="281" t="s">
        <v>91</v>
      </c>
      <c r="D25" s="58">
        <v>15000</v>
      </c>
      <c r="E25" s="327" t="s">
        <v>92</v>
      </c>
      <c r="F25" s="281">
        <v>0</v>
      </c>
      <c r="H25" s="101">
        <f>D25</f>
        <v>15000</v>
      </c>
      <c r="I25" s="101">
        <f>H25*I$13</f>
        <v>1500</v>
      </c>
      <c r="L25" s="101"/>
      <c r="M25" s="101">
        <f>(H25+I25)*M$13</f>
        <v>422.73</v>
      </c>
      <c r="N25" s="101">
        <f>(H25+I25)*N$13</f>
        <v>816.75</v>
      </c>
      <c r="O25" s="101">
        <f>(H25+I25)*O$13</f>
        <v>465.3</v>
      </c>
      <c r="P25" s="101"/>
      <c r="Q25" s="101"/>
      <c r="R25" s="101">
        <f>72*$R$13</f>
        <v>867.6</v>
      </c>
      <c r="T25" s="102">
        <f>SUM(H25:R25)</f>
        <v>19072.379999999997</v>
      </c>
      <c r="U25" s="102"/>
      <c r="V25" s="103">
        <v>3178.7299999999996</v>
      </c>
      <c r="W25" s="104">
        <v>0</v>
      </c>
      <c r="X25" s="105">
        <v>0</v>
      </c>
      <c r="Y25" s="330">
        <f>$Y$15</f>
        <v>295</v>
      </c>
      <c r="Z25" s="107">
        <f>Y25*7</f>
        <v>2065</v>
      </c>
      <c r="AA25" s="108">
        <f>V25*6</f>
        <v>19072.379999999997</v>
      </c>
      <c r="AB25" s="329">
        <f>AA25+Z25</f>
        <v>21137.379999999997</v>
      </c>
    </row>
    <row r="26" spans="1:28" customFormat="1" ht="8.25" customHeight="1">
      <c r="A26" s="299"/>
      <c r="C26" s="281"/>
      <c r="D26" s="58"/>
      <c r="E26" s="327"/>
      <c r="F26" s="281"/>
      <c r="H26" s="101"/>
      <c r="I26" s="101"/>
      <c r="L26" s="101"/>
      <c r="M26" s="101"/>
      <c r="N26" s="101"/>
      <c r="O26" s="101"/>
      <c r="P26" s="101"/>
      <c r="Q26" s="101"/>
      <c r="R26" s="101"/>
      <c r="T26" s="102"/>
      <c r="U26" s="102"/>
      <c r="V26" s="103"/>
      <c r="W26" s="104">
        <v>0</v>
      </c>
      <c r="X26" s="105">
        <v>0</v>
      </c>
      <c r="Y26" s="330"/>
      <c r="Z26" s="107"/>
      <c r="AA26" s="108"/>
      <c r="AB26" s="329"/>
    </row>
    <row r="27" spans="1:28" customFormat="1">
      <c r="A27" s="299" t="s">
        <v>95</v>
      </c>
      <c r="B27" s="281" t="s">
        <v>90</v>
      </c>
      <c r="C27" s="281" t="s">
        <v>91</v>
      </c>
      <c r="D27" s="58">
        <v>9270</v>
      </c>
      <c r="E27" s="327" t="s">
        <v>92</v>
      </c>
      <c r="F27" s="281">
        <v>0</v>
      </c>
      <c r="H27" s="101">
        <v>9270</v>
      </c>
      <c r="I27" s="101">
        <f>H27*I$13</f>
        <v>927</v>
      </c>
      <c r="L27" s="101"/>
      <c r="M27" s="101">
        <f>(H27+I27)*M$13</f>
        <v>261.24714</v>
      </c>
      <c r="N27" s="101">
        <f>(H27+I27)*N$13</f>
        <v>504.75150000000002</v>
      </c>
      <c r="O27" s="101">
        <f>(H27+I27)*O$13</f>
        <v>287.55540000000002</v>
      </c>
      <c r="P27" s="101"/>
      <c r="Q27" s="101"/>
      <c r="R27" s="101">
        <f>72*$R$13</f>
        <v>867.6</v>
      </c>
      <c r="T27" s="102">
        <f>SUM(H27:R27)</f>
        <v>12118.154039999999</v>
      </c>
      <c r="U27" s="102"/>
      <c r="V27" s="103">
        <v>2019.69</v>
      </c>
      <c r="W27" s="104">
        <v>0</v>
      </c>
      <c r="X27" s="105">
        <v>0</v>
      </c>
      <c r="Y27" s="330">
        <f>$Y$15</f>
        <v>295</v>
      </c>
      <c r="Z27" s="107">
        <f>Y27*7</f>
        <v>2065</v>
      </c>
      <c r="AA27" s="108">
        <f>V27*6</f>
        <v>12118.14</v>
      </c>
      <c r="AB27" s="329">
        <f t="shared" ref="AB27:AB51" si="0">AA27+Z27</f>
        <v>14183.14</v>
      </c>
    </row>
    <row r="28" spans="1:28" customFormat="1">
      <c r="A28" s="299"/>
      <c r="B28" s="281" t="s">
        <v>93</v>
      </c>
      <c r="C28" s="281" t="s">
        <v>91</v>
      </c>
      <c r="D28" s="58">
        <v>11000</v>
      </c>
      <c r="E28" s="327" t="s">
        <v>92</v>
      </c>
      <c r="F28" s="281">
        <v>0</v>
      </c>
      <c r="H28" s="101">
        <f>D28</f>
        <v>11000</v>
      </c>
      <c r="I28" s="101">
        <f>H28*I$13</f>
        <v>1100</v>
      </c>
      <c r="L28" s="101"/>
      <c r="M28" s="101">
        <f>(H28+I28)*M$13</f>
        <v>310.00200000000001</v>
      </c>
      <c r="N28" s="101">
        <f>(H28+I28)*N$13</f>
        <v>598.95000000000005</v>
      </c>
      <c r="O28" s="101">
        <f>(H28+I28)*O$13</f>
        <v>341.21999999999997</v>
      </c>
      <c r="P28" s="101"/>
      <c r="Q28" s="101"/>
      <c r="R28" s="101">
        <f>72*$R$13</f>
        <v>867.6</v>
      </c>
      <c r="T28" s="102">
        <f>SUM(H28:R28)</f>
        <v>14217.772000000001</v>
      </c>
      <c r="U28" s="102"/>
      <c r="V28" s="103">
        <v>2369.63</v>
      </c>
      <c r="W28" s="104">
        <v>0</v>
      </c>
      <c r="X28" s="105">
        <v>0</v>
      </c>
      <c r="Y28" s="330">
        <f>$Y$15</f>
        <v>295</v>
      </c>
      <c r="Z28" s="107">
        <f>Y28*7</f>
        <v>2065</v>
      </c>
      <c r="AA28" s="108">
        <f>V28*6</f>
        <v>14217.78</v>
      </c>
      <c r="AB28" s="329">
        <f t="shared" si="0"/>
        <v>16282.78</v>
      </c>
    </row>
    <row r="29" spans="1:28" customFormat="1" ht="8.25" customHeight="1">
      <c r="A29" s="299"/>
      <c r="C29" s="281"/>
      <c r="D29" s="58"/>
      <c r="E29" s="327"/>
      <c r="F29" s="281"/>
      <c r="H29" s="101"/>
      <c r="I29" s="101"/>
      <c r="L29" s="101"/>
      <c r="M29" s="101"/>
      <c r="N29" s="101"/>
      <c r="O29" s="101"/>
      <c r="P29" s="101"/>
      <c r="Q29" s="101"/>
      <c r="R29" s="101"/>
      <c r="T29" s="102"/>
      <c r="U29" s="102"/>
      <c r="V29" s="103"/>
      <c r="W29" s="104">
        <v>0</v>
      </c>
      <c r="X29" s="105">
        <v>0</v>
      </c>
      <c r="Y29" s="330"/>
      <c r="Z29" s="107"/>
      <c r="AA29" s="108"/>
      <c r="AB29" s="329"/>
    </row>
    <row r="30" spans="1:28" customFormat="1">
      <c r="A30" s="299" t="s">
        <v>96</v>
      </c>
      <c r="B30" s="281" t="s">
        <v>90</v>
      </c>
      <c r="C30" s="281" t="s">
        <v>91</v>
      </c>
      <c r="D30" s="58">
        <v>9270</v>
      </c>
      <c r="E30" s="327" t="s">
        <v>92</v>
      </c>
      <c r="F30" s="281">
        <v>0</v>
      </c>
      <c r="H30" s="101">
        <v>9270</v>
      </c>
      <c r="I30" s="101">
        <f>H30*I$13</f>
        <v>927</v>
      </c>
      <c r="L30" s="101"/>
      <c r="M30" s="101">
        <f>(H30+I30)*M$13</f>
        <v>261.24714</v>
      </c>
      <c r="N30" s="101">
        <f>(H30+I30)*N$13</f>
        <v>504.75150000000002</v>
      </c>
      <c r="O30" s="101">
        <f>(H30+I30)*O$13</f>
        <v>287.55540000000002</v>
      </c>
      <c r="P30" s="101"/>
      <c r="Q30" s="101"/>
      <c r="R30" s="101">
        <f>72*$R$13</f>
        <v>867.6</v>
      </c>
      <c r="T30" s="102">
        <f>SUM(H30:R30)</f>
        <v>12118.154039999999</v>
      </c>
      <c r="U30" s="102"/>
      <c r="V30" s="103">
        <v>2019.69</v>
      </c>
      <c r="W30" s="104">
        <v>0</v>
      </c>
      <c r="X30" s="105">
        <v>0</v>
      </c>
      <c r="Y30" s="330">
        <f>$Y$15</f>
        <v>295</v>
      </c>
      <c r="Z30" s="107">
        <f>Y30*7</f>
        <v>2065</v>
      </c>
      <c r="AA30" s="108">
        <f>V30*6</f>
        <v>12118.14</v>
      </c>
      <c r="AB30" s="329">
        <f t="shared" si="0"/>
        <v>14183.14</v>
      </c>
    </row>
    <row r="31" spans="1:28" customFormat="1">
      <c r="A31" s="299"/>
      <c r="B31" s="281" t="s">
        <v>93</v>
      </c>
      <c r="C31" s="281" t="s">
        <v>91</v>
      </c>
      <c r="D31" s="58">
        <v>11000</v>
      </c>
      <c r="E31" s="327" t="s">
        <v>92</v>
      </c>
      <c r="F31" s="281">
        <v>0</v>
      </c>
      <c r="H31" s="101">
        <f>D31</f>
        <v>11000</v>
      </c>
      <c r="I31" s="101">
        <f>H31*I$13</f>
        <v>1100</v>
      </c>
      <c r="L31" s="101"/>
      <c r="M31" s="101">
        <f>(H31+I31)*M$13</f>
        <v>310.00200000000001</v>
      </c>
      <c r="N31" s="101">
        <f>(H31+I31)*N$13</f>
        <v>598.95000000000005</v>
      </c>
      <c r="O31" s="101">
        <f>(H31+I31)*O$13</f>
        <v>341.21999999999997</v>
      </c>
      <c r="P31" s="101"/>
      <c r="Q31" s="101"/>
      <c r="R31" s="101">
        <f>72*$R$13</f>
        <v>867.6</v>
      </c>
      <c r="T31" s="102">
        <f>SUM(H31:R31)</f>
        <v>14217.772000000001</v>
      </c>
      <c r="U31" s="102"/>
      <c r="V31" s="103">
        <v>2369.63</v>
      </c>
      <c r="W31" s="104">
        <v>0</v>
      </c>
      <c r="X31" s="105">
        <v>0</v>
      </c>
      <c r="Y31" s="330">
        <f>$Y$15</f>
        <v>295</v>
      </c>
      <c r="Z31" s="107">
        <f>Y31*7</f>
        <v>2065</v>
      </c>
      <c r="AA31" s="108">
        <f>V31*6</f>
        <v>14217.78</v>
      </c>
      <c r="AB31" s="329">
        <f t="shared" si="0"/>
        <v>16282.78</v>
      </c>
    </row>
    <row r="32" spans="1:28" customFormat="1">
      <c r="A32" s="299"/>
      <c r="B32" s="281"/>
      <c r="C32" s="281"/>
      <c r="D32" s="58"/>
      <c r="E32" s="327"/>
      <c r="F32" s="281"/>
      <c r="H32" s="101"/>
      <c r="I32" s="101"/>
      <c r="L32" s="101"/>
      <c r="M32" s="101"/>
      <c r="N32" s="101"/>
      <c r="O32" s="101"/>
      <c r="P32" s="101"/>
      <c r="Q32" s="101"/>
      <c r="R32" s="101"/>
      <c r="T32" s="102"/>
      <c r="U32" s="102"/>
      <c r="V32" s="103"/>
      <c r="W32" s="104">
        <v>0</v>
      </c>
      <c r="X32" s="105">
        <v>0</v>
      </c>
      <c r="Y32" s="330"/>
      <c r="Z32" s="107"/>
      <c r="AA32" s="108"/>
      <c r="AB32" s="329"/>
    </row>
    <row r="33" spans="1:28" customFormat="1" ht="14" customHeight="1">
      <c r="A33" s="299" t="s">
        <v>2184</v>
      </c>
      <c r="B33" s="281" t="s">
        <v>90</v>
      </c>
      <c r="C33" s="281" t="s">
        <v>91</v>
      </c>
      <c r="D33" s="58">
        <v>7725</v>
      </c>
      <c r="E33" s="327" t="s">
        <v>92</v>
      </c>
      <c r="F33" s="281">
        <v>0</v>
      </c>
      <c r="H33" s="101">
        <f>D33</f>
        <v>7725</v>
      </c>
      <c r="I33" s="101">
        <f>H33*I$13</f>
        <v>772.5</v>
      </c>
      <c r="L33" s="101"/>
      <c r="M33" s="101">
        <f>(H33+I33)*M$13</f>
        <v>217.70595</v>
      </c>
      <c r="N33" s="101">
        <f>(H33+I33)*N$13</f>
        <v>420.62625000000003</v>
      </c>
      <c r="O33" s="101">
        <f>(H33+I33)*O$13</f>
        <v>239.62950000000001</v>
      </c>
      <c r="P33" s="101"/>
      <c r="Q33" s="101"/>
      <c r="R33" s="101">
        <f>72*$R$13</f>
        <v>867.6</v>
      </c>
      <c r="T33" s="102">
        <f>SUM(H33:R33)</f>
        <v>10243.0617</v>
      </c>
      <c r="U33" s="102"/>
      <c r="V33" s="103">
        <v>1707.18</v>
      </c>
      <c r="W33" s="104">
        <v>0</v>
      </c>
      <c r="X33" s="105">
        <v>0</v>
      </c>
      <c r="Y33" s="330">
        <f>$Y$15</f>
        <v>295</v>
      </c>
      <c r="Z33" s="107">
        <f>Y33*7</f>
        <v>2065</v>
      </c>
      <c r="AA33" s="108">
        <f>V33*6</f>
        <v>10243.08</v>
      </c>
      <c r="AB33" s="329">
        <f>AA33+Z33</f>
        <v>12308.08</v>
      </c>
    </row>
    <row r="34" spans="1:28" customFormat="1" ht="9" customHeight="1">
      <c r="A34" s="299"/>
      <c r="B34" s="281"/>
      <c r="C34" s="281"/>
      <c r="D34" s="58"/>
      <c r="E34" s="327"/>
      <c r="F34" s="281"/>
      <c r="H34" s="101"/>
      <c r="I34" s="101"/>
      <c r="L34" s="101"/>
      <c r="M34" s="101"/>
      <c r="N34" s="101"/>
      <c r="O34" s="101"/>
      <c r="P34" s="101"/>
      <c r="Q34" s="101"/>
      <c r="R34" s="101"/>
      <c r="T34" s="102"/>
      <c r="U34" s="102"/>
      <c r="V34" s="103"/>
      <c r="W34" s="104">
        <v>0</v>
      </c>
      <c r="X34" s="105">
        <v>0</v>
      </c>
      <c r="Y34" s="330"/>
      <c r="Z34" s="107"/>
      <c r="AA34" s="108"/>
      <c r="AB34" s="329"/>
    </row>
    <row r="35" spans="1:28" customFormat="1" ht="8.25" customHeight="1">
      <c r="A35" s="299"/>
      <c r="C35" s="281"/>
      <c r="D35" s="58"/>
      <c r="E35" s="327"/>
      <c r="F35" s="281"/>
      <c r="H35" s="101"/>
      <c r="I35" s="101"/>
      <c r="L35" s="101"/>
      <c r="M35" s="101"/>
      <c r="N35" s="101"/>
      <c r="O35" s="101"/>
      <c r="P35" s="101"/>
      <c r="Q35" s="101"/>
      <c r="R35" s="101"/>
      <c r="T35" s="102"/>
      <c r="U35" s="102"/>
      <c r="V35" s="103"/>
      <c r="W35" s="104">
        <v>0</v>
      </c>
      <c r="X35" s="105">
        <v>0</v>
      </c>
      <c r="Y35" s="330"/>
      <c r="Z35" s="107"/>
      <c r="AA35" s="108"/>
      <c r="AB35" s="329"/>
    </row>
    <row r="36" spans="1:28" customFormat="1" ht="12" customHeight="1">
      <c r="A36" s="299" t="s">
        <v>2185</v>
      </c>
      <c r="B36" s="281" t="s">
        <v>90</v>
      </c>
      <c r="C36" s="281" t="s">
        <v>91</v>
      </c>
      <c r="D36" s="58">
        <v>9270</v>
      </c>
      <c r="E36" s="327" t="s">
        <v>92</v>
      </c>
      <c r="F36" s="281">
        <v>0</v>
      </c>
      <c r="H36" s="101">
        <v>9270</v>
      </c>
      <c r="I36" s="101">
        <f>H36*I$13</f>
        <v>927</v>
      </c>
      <c r="L36" s="101"/>
      <c r="M36" s="101">
        <f>(H36+I36)*M$13</f>
        <v>261.24714</v>
      </c>
      <c r="N36" s="101">
        <f>(H36+I36)*N$13</f>
        <v>504.75150000000002</v>
      </c>
      <c r="O36" s="101">
        <f>(H36+I36)*O$13</f>
        <v>287.55540000000002</v>
      </c>
      <c r="P36" s="101"/>
      <c r="Q36" s="101"/>
      <c r="R36" s="101">
        <f>72*$R$13</f>
        <v>867.6</v>
      </c>
      <c r="T36" s="102">
        <f>SUM(H36:R36)</f>
        <v>12118.154039999999</v>
      </c>
      <c r="U36" s="102"/>
      <c r="V36" s="103">
        <v>2019.69</v>
      </c>
      <c r="W36" s="104">
        <v>0</v>
      </c>
      <c r="X36" s="105">
        <v>0</v>
      </c>
      <c r="Y36" s="330">
        <f>$Y$15</f>
        <v>295</v>
      </c>
      <c r="Z36" s="107">
        <f>Y36*7</f>
        <v>2065</v>
      </c>
      <c r="AA36" s="108">
        <f>V36*6</f>
        <v>12118.14</v>
      </c>
      <c r="AB36" s="329">
        <f>AA36+Z36</f>
        <v>14183.14</v>
      </c>
    </row>
    <row r="37" spans="1:28" customFormat="1" ht="12" customHeight="1">
      <c r="A37" s="299"/>
      <c r="B37" s="281" t="s">
        <v>93</v>
      </c>
      <c r="C37" s="281" t="s">
        <v>91</v>
      </c>
      <c r="D37" s="58">
        <v>11000</v>
      </c>
      <c r="E37" s="327" t="s">
        <v>92</v>
      </c>
      <c r="F37" s="281">
        <v>0</v>
      </c>
      <c r="H37" s="101">
        <f>D37</f>
        <v>11000</v>
      </c>
      <c r="I37" s="101">
        <f>H37*I$13</f>
        <v>1100</v>
      </c>
      <c r="L37" s="101"/>
      <c r="M37" s="101">
        <f>(H37+I37)*M$13</f>
        <v>310.00200000000001</v>
      </c>
      <c r="N37" s="101">
        <f>(H37+I37)*N$13</f>
        <v>598.95000000000005</v>
      </c>
      <c r="O37" s="101">
        <f>(H37+I37)*O$13</f>
        <v>341.21999999999997</v>
      </c>
      <c r="P37" s="101"/>
      <c r="Q37" s="101"/>
      <c r="R37" s="101">
        <f>72*$R$13</f>
        <v>867.6</v>
      </c>
      <c r="T37" s="102">
        <f>SUM(H37:R37)</f>
        <v>14217.772000000001</v>
      </c>
      <c r="U37" s="102"/>
      <c r="V37" s="103">
        <v>2369.63</v>
      </c>
      <c r="W37" s="104">
        <v>0</v>
      </c>
      <c r="X37" s="105">
        <v>0</v>
      </c>
      <c r="Y37" s="330">
        <f>$Y$15</f>
        <v>295</v>
      </c>
      <c r="Z37" s="107">
        <f>Y37*7</f>
        <v>2065</v>
      </c>
      <c r="AA37" s="108">
        <f>V37*6</f>
        <v>14217.78</v>
      </c>
      <c r="AB37" s="329">
        <f>AA37+Z37</f>
        <v>16282.78</v>
      </c>
    </row>
    <row r="38" spans="1:28" customFormat="1" ht="8.25" customHeight="1">
      <c r="A38" s="299"/>
      <c r="C38" s="281"/>
      <c r="D38" s="58"/>
      <c r="E38" s="327"/>
      <c r="F38" s="281"/>
      <c r="H38" s="101"/>
      <c r="I38" s="101"/>
      <c r="L38" s="101"/>
      <c r="M38" s="101"/>
      <c r="N38" s="101"/>
      <c r="O38" s="101"/>
      <c r="P38" s="101"/>
      <c r="Q38" s="101"/>
      <c r="R38" s="101"/>
      <c r="T38" s="102"/>
      <c r="U38" s="102"/>
      <c r="V38" s="103"/>
      <c r="W38" s="104">
        <v>0</v>
      </c>
      <c r="X38" s="105">
        <v>0</v>
      </c>
      <c r="Y38" s="330"/>
      <c r="Z38" s="107"/>
      <c r="AA38" s="108"/>
      <c r="AB38" s="329"/>
    </row>
    <row r="39" spans="1:28" customFormat="1">
      <c r="A39" s="299" t="s">
        <v>97</v>
      </c>
      <c r="B39" s="281" t="s">
        <v>90</v>
      </c>
      <c r="C39" s="281" t="s">
        <v>91</v>
      </c>
      <c r="D39" s="58">
        <v>5871</v>
      </c>
      <c r="E39" s="327" t="s">
        <v>92</v>
      </c>
      <c r="F39" s="281">
        <v>0</v>
      </c>
      <c r="H39" s="101">
        <f>D39</f>
        <v>5871</v>
      </c>
      <c r="I39" s="101">
        <f>H39*I$13</f>
        <v>587.1</v>
      </c>
      <c r="L39" s="101"/>
      <c r="M39" s="101">
        <f>(H39+I39)*M$13</f>
        <v>165.45652200000001</v>
      </c>
      <c r="N39" s="101">
        <f>(H39+I39)*N$13</f>
        <v>319.67595000000006</v>
      </c>
      <c r="O39" s="101">
        <f>(H39+I39)*O$13</f>
        <v>182.11842000000001</v>
      </c>
      <c r="P39" s="101"/>
      <c r="Q39" s="101"/>
      <c r="R39" s="101">
        <f>72*$R$13</f>
        <v>867.6</v>
      </c>
      <c r="T39" s="102">
        <f>SUM(H39:R39)</f>
        <v>7992.9508920000007</v>
      </c>
      <c r="U39" s="102"/>
      <c r="V39" s="103">
        <v>1332.16</v>
      </c>
      <c r="W39" s="104">
        <v>0</v>
      </c>
      <c r="X39" s="105">
        <v>0</v>
      </c>
      <c r="Y39" s="330">
        <f>$Y$15</f>
        <v>295</v>
      </c>
      <c r="Z39" s="107">
        <f>Y39*7</f>
        <v>2065</v>
      </c>
      <c r="AA39" s="108">
        <f>V39*6</f>
        <v>7992.9600000000009</v>
      </c>
      <c r="AB39" s="329">
        <f t="shared" si="0"/>
        <v>10057.960000000001</v>
      </c>
    </row>
    <row r="40" spans="1:28" customFormat="1">
      <c r="A40" s="299"/>
      <c r="B40" s="281" t="s">
        <v>93</v>
      </c>
      <c r="C40" s="281" t="s">
        <v>91</v>
      </c>
      <c r="D40" s="58">
        <v>6500</v>
      </c>
      <c r="E40" s="327" t="s">
        <v>92</v>
      </c>
      <c r="F40" s="281">
        <v>0</v>
      </c>
      <c r="H40" s="101">
        <f>D40</f>
        <v>6500</v>
      </c>
      <c r="I40" s="101">
        <f>H40*I$13</f>
        <v>650</v>
      </c>
      <c r="L40" s="101"/>
      <c r="M40" s="101">
        <f>(H40+I40)*M$13</f>
        <v>183.18299999999999</v>
      </c>
      <c r="N40" s="101">
        <f>(H40+I40)*N$13</f>
        <v>353.92500000000001</v>
      </c>
      <c r="O40" s="101">
        <f>(H40+I40)*O$13</f>
        <v>201.63</v>
      </c>
      <c r="P40" s="101"/>
      <c r="Q40" s="101"/>
      <c r="R40" s="101">
        <f>72*$R$13</f>
        <v>867.6</v>
      </c>
      <c r="T40" s="102">
        <f>SUM(H40:R40)</f>
        <v>8756.3379999999997</v>
      </c>
      <c r="U40" s="102"/>
      <c r="V40" s="103">
        <v>1459.39</v>
      </c>
      <c r="W40" s="104">
        <v>0</v>
      </c>
      <c r="X40" s="105">
        <v>0</v>
      </c>
      <c r="Y40" s="330">
        <f>$Y$15</f>
        <v>295</v>
      </c>
      <c r="Z40" s="107">
        <f>Y40*7</f>
        <v>2065</v>
      </c>
      <c r="AA40" s="108">
        <f>V40*6</f>
        <v>8756.34</v>
      </c>
      <c r="AB40" s="329">
        <f t="shared" si="0"/>
        <v>10821.34</v>
      </c>
    </row>
    <row r="41" spans="1:28" customFormat="1" ht="8.25" customHeight="1">
      <c r="A41" s="299"/>
      <c r="C41" s="281"/>
      <c r="D41" s="58"/>
      <c r="E41" s="327"/>
      <c r="F41" s="281"/>
      <c r="H41" s="101"/>
      <c r="I41" s="101"/>
      <c r="L41" s="101"/>
      <c r="M41" s="101"/>
      <c r="N41" s="101"/>
      <c r="O41" s="101"/>
      <c r="P41" s="101"/>
      <c r="Q41" s="101"/>
      <c r="R41" s="101"/>
      <c r="T41" s="102"/>
      <c r="U41" s="102"/>
      <c r="V41" s="103"/>
      <c r="W41" s="104">
        <v>0</v>
      </c>
      <c r="X41" s="105">
        <v>0</v>
      </c>
      <c r="Y41" s="330"/>
      <c r="Z41" s="107"/>
      <c r="AA41" s="108"/>
      <c r="AB41" s="329"/>
    </row>
    <row r="42" spans="1:28" customFormat="1">
      <c r="A42" s="299" t="s">
        <v>98</v>
      </c>
      <c r="B42" s="281" t="s">
        <v>90</v>
      </c>
      <c r="C42" s="281" t="s">
        <v>91</v>
      </c>
      <c r="D42" s="58">
        <v>4635</v>
      </c>
      <c r="E42" s="327" t="s">
        <v>92</v>
      </c>
      <c r="F42" s="281">
        <v>0</v>
      </c>
      <c r="H42" s="101">
        <f>D42</f>
        <v>4635</v>
      </c>
      <c r="I42" s="101">
        <f>H42*I$13</f>
        <v>463.5</v>
      </c>
      <c r="L42" s="101"/>
      <c r="M42" s="101">
        <f>(H42+I42)*M$13</f>
        <v>130.62357</v>
      </c>
      <c r="N42" s="101">
        <f>(H42+I42)*N$13</f>
        <v>252.37575000000001</v>
      </c>
      <c r="O42" s="101">
        <f>(H42+I42)*O$13</f>
        <v>143.77770000000001</v>
      </c>
      <c r="P42" s="101"/>
      <c r="Q42" s="101"/>
      <c r="R42" s="101">
        <f>72*$R$13</f>
        <v>867.6</v>
      </c>
      <c r="T42" s="102">
        <f>SUM(H42:R42)</f>
        <v>6492.8770199999999</v>
      </c>
      <c r="U42" s="102"/>
      <c r="V42" s="103">
        <v>1082.1500000000001</v>
      </c>
      <c r="W42" s="104">
        <v>0</v>
      </c>
      <c r="X42" s="105">
        <v>0</v>
      </c>
      <c r="Y42" s="330">
        <f>$Y$14</f>
        <v>230</v>
      </c>
      <c r="Z42" s="107">
        <f>Y42*7</f>
        <v>1610</v>
      </c>
      <c r="AA42" s="108">
        <f>V42*6</f>
        <v>6492.9000000000005</v>
      </c>
      <c r="AB42" s="329">
        <f t="shared" si="0"/>
        <v>8102.9000000000005</v>
      </c>
    </row>
    <row r="43" spans="1:28" customFormat="1">
      <c r="A43" s="299"/>
      <c r="B43" s="281" t="s">
        <v>93</v>
      </c>
      <c r="C43" s="281" t="s">
        <v>91</v>
      </c>
      <c r="D43" s="58">
        <v>5300</v>
      </c>
      <c r="E43" s="327" t="s">
        <v>92</v>
      </c>
      <c r="F43" s="281">
        <v>0</v>
      </c>
      <c r="H43" s="101">
        <f>D43</f>
        <v>5300</v>
      </c>
      <c r="I43" s="101">
        <f>H43*I$13</f>
        <v>530</v>
      </c>
      <c r="L43" s="101"/>
      <c r="M43" s="101">
        <f>(H43+I43)*M$13</f>
        <v>149.3646</v>
      </c>
      <c r="N43" s="101">
        <f>(H43+I43)*N$13</f>
        <v>288.58500000000004</v>
      </c>
      <c r="O43" s="101">
        <f>(H43+I43)*O$13</f>
        <v>164.40600000000001</v>
      </c>
      <c r="P43" s="101"/>
      <c r="Q43" s="101"/>
      <c r="R43" s="101">
        <f>72*$R$13</f>
        <v>867.6</v>
      </c>
      <c r="T43" s="102">
        <f>SUM(H43:R43)</f>
        <v>7299.9556000000002</v>
      </c>
      <c r="U43" s="102"/>
      <c r="V43" s="103">
        <v>1216.6600000000001</v>
      </c>
      <c r="W43" s="104">
        <v>0</v>
      </c>
      <c r="X43" s="105">
        <v>0</v>
      </c>
      <c r="Y43" s="330">
        <f>$Y$14</f>
        <v>230</v>
      </c>
      <c r="Z43" s="107">
        <f>Y43*7</f>
        <v>1610</v>
      </c>
      <c r="AA43" s="108">
        <f>V43*6</f>
        <v>7299.9600000000009</v>
      </c>
      <c r="AB43" s="329">
        <f t="shared" si="0"/>
        <v>8909.9600000000009</v>
      </c>
    </row>
    <row r="44" spans="1:28" customFormat="1" ht="8.25" customHeight="1">
      <c r="A44" s="299"/>
      <c r="C44" s="281"/>
      <c r="D44" s="58"/>
      <c r="E44" s="327"/>
      <c r="F44" s="281"/>
      <c r="H44" s="101"/>
      <c r="I44" s="101"/>
      <c r="L44" s="101"/>
      <c r="M44" s="101"/>
      <c r="N44" s="101"/>
      <c r="O44" s="101"/>
      <c r="P44" s="101"/>
      <c r="Q44" s="101"/>
      <c r="R44" s="101"/>
      <c r="T44" s="102"/>
      <c r="U44" s="102"/>
      <c r="V44" s="103"/>
      <c r="W44" s="104">
        <v>0</v>
      </c>
      <c r="X44" s="105">
        <v>0</v>
      </c>
      <c r="Y44" s="330"/>
      <c r="Z44" s="107"/>
      <c r="AA44" s="108"/>
      <c r="AB44" s="329"/>
    </row>
    <row r="45" spans="1:28" customFormat="1">
      <c r="A45" s="299" t="s">
        <v>99</v>
      </c>
      <c r="B45" s="281" t="s">
        <v>90</v>
      </c>
      <c r="C45" s="281" t="s">
        <v>91</v>
      </c>
      <c r="D45" s="58">
        <v>5150</v>
      </c>
      <c r="E45" s="327" t="s">
        <v>92</v>
      </c>
      <c r="F45" s="281">
        <v>0</v>
      </c>
      <c r="H45" s="101">
        <f>D45</f>
        <v>5150</v>
      </c>
      <c r="I45" s="101">
        <f>H45*I$13</f>
        <v>515</v>
      </c>
      <c r="L45" s="101"/>
      <c r="M45" s="101">
        <f>(H45+I45)*M$13</f>
        <v>145.13730000000001</v>
      </c>
      <c r="N45" s="101">
        <f>(H45+I45)*N$13</f>
        <v>280.41750000000002</v>
      </c>
      <c r="O45" s="101">
        <f>(H45+I45)*O$13</f>
        <v>159.75299999999999</v>
      </c>
      <c r="P45" s="101"/>
      <c r="Q45" s="101"/>
      <c r="R45" s="101">
        <f>72*$R$13</f>
        <v>867.6</v>
      </c>
      <c r="T45" s="102">
        <f>SUM(H45:R45)</f>
        <v>7117.9078</v>
      </c>
      <c r="U45" s="102"/>
      <c r="V45" s="103">
        <v>1186.32</v>
      </c>
      <c r="W45" s="104">
        <v>0</v>
      </c>
      <c r="X45" s="105">
        <v>0</v>
      </c>
      <c r="Y45" s="330">
        <f>$Y$14</f>
        <v>230</v>
      </c>
      <c r="Z45" s="107">
        <f>Y45*7</f>
        <v>1610</v>
      </c>
      <c r="AA45" s="108">
        <f>V45*6</f>
        <v>7117.92</v>
      </c>
      <c r="AB45" s="329">
        <f t="shared" si="0"/>
        <v>8727.92</v>
      </c>
    </row>
    <row r="46" spans="1:28" customFormat="1">
      <c r="A46" s="299"/>
      <c r="B46" s="281" t="s">
        <v>93</v>
      </c>
      <c r="C46" s="281" t="s">
        <v>91</v>
      </c>
      <c r="D46" s="58">
        <v>5800</v>
      </c>
      <c r="E46" s="327" t="s">
        <v>92</v>
      </c>
      <c r="F46" s="281">
        <v>0</v>
      </c>
      <c r="H46" s="101">
        <f>D46</f>
        <v>5800</v>
      </c>
      <c r="I46" s="101">
        <f>H46*I$13</f>
        <v>580</v>
      </c>
      <c r="L46" s="101"/>
      <c r="M46" s="101">
        <f>(H46+I46)*M$13</f>
        <v>163.4556</v>
      </c>
      <c r="N46" s="101">
        <f>(H46+I46)*N$13</f>
        <v>315.81</v>
      </c>
      <c r="O46" s="101">
        <f>(H46+I46)*O$13</f>
        <v>179.916</v>
      </c>
      <c r="P46" s="101"/>
      <c r="Q46" s="101"/>
      <c r="R46" s="101">
        <f>72*$R$13</f>
        <v>867.6</v>
      </c>
      <c r="T46" s="102">
        <f>SUM(H46:R46)</f>
        <v>7906.7816000000012</v>
      </c>
      <c r="U46" s="102"/>
      <c r="V46" s="103">
        <v>1317.8</v>
      </c>
      <c r="W46" s="104">
        <v>0</v>
      </c>
      <c r="X46" s="105">
        <v>0</v>
      </c>
      <c r="Y46" s="330">
        <f>$Y$14</f>
        <v>230</v>
      </c>
      <c r="Z46" s="107">
        <f>Y46*7</f>
        <v>1610</v>
      </c>
      <c r="AA46" s="108">
        <f>V46*6</f>
        <v>7906.7999999999993</v>
      </c>
      <c r="AB46" s="329">
        <f t="shared" si="0"/>
        <v>9516.7999999999993</v>
      </c>
    </row>
    <row r="47" spans="1:28" customFormat="1" ht="8.25" customHeight="1">
      <c r="A47" s="299"/>
      <c r="C47" s="281"/>
      <c r="D47" s="58"/>
      <c r="E47" s="327"/>
      <c r="F47" s="281"/>
      <c r="H47" s="101"/>
      <c r="I47" s="101"/>
      <c r="L47" s="101"/>
      <c r="M47" s="101"/>
      <c r="N47" s="101"/>
      <c r="O47" s="101"/>
      <c r="P47" s="101"/>
      <c r="Q47" s="101"/>
      <c r="R47" s="101"/>
      <c r="T47" s="102"/>
      <c r="U47" s="102"/>
      <c r="V47" s="103"/>
      <c r="W47" s="104">
        <v>0</v>
      </c>
      <c r="X47" s="105">
        <v>0</v>
      </c>
      <c r="Y47" s="330"/>
      <c r="Z47" s="107"/>
      <c r="AA47" s="108"/>
      <c r="AB47" s="329"/>
    </row>
    <row r="48" spans="1:28" customFormat="1">
      <c r="A48" s="299" t="s">
        <v>100</v>
      </c>
      <c r="B48" s="281" t="s">
        <v>90</v>
      </c>
      <c r="C48" s="281" t="s">
        <v>91</v>
      </c>
      <c r="D48" s="58">
        <v>5871</v>
      </c>
      <c r="E48" s="327" t="s">
        <v>92</v>
      </c>
      <c r="F48" s="281">
        <v>0</v>
      </c>
      <c r="H48" s="101">
        <f>D48</f>
        <v>5871</v>
      </c>
      <c r="I48" s="101">
        <f>H48*I$13</f>
        <v>587.1</v>
      </c>
      <c r="L48" s="101"/>
      <c r="M48" s="101">
        <f>(H48+I48)*M$13</f>
        <v>165.45652200000001</v>
      </c>
      <c r="N48" s="101">
        <f>(H48+I48)*N$13</f>
        <v>319.67595000000006</v>
      </c>
      <c r="O48" s="101">
        <f>(H48+I48)*O$13</f>
        <v>182.11842000000001</v>
      </c>
      <c r="P48" s="101"/>
      <c r="Q48" s="101"/>
      <c r="R48" s="101">
        <f>72*$R$13</f>
        <v>867.6</v>
      </c>
      <c r="T48" s="102">
        <f>SUM(H48:R48)</f>
        <v>7992.9508920000007</v>
      </c>
      <c r="U48" s="102"/>
      <c r="V48" s="103">
        <v>1332.16</v>
      </c>
      <c r="W48" s="104">
        <v>0</v>
      </c>
      <c r="X48" s="105">
        <v>0</v>
      </c>
      <c r="Y48" s="330">
        <f>$Y$14</f>
        <v>230</v>
      </c>
      <c r="Z48" s="107">
        <f>Y48*7</f>
        <v>1610</v>
      </c>
      <c r="AA48" s="108">
        <f>V48*6</f>
        <v>7992.9600000000009</v>
      </c>
      <c r="AB48" s="329">
        <f t="shared" si="0"/>
        <v>9602.9600000000009</v>
      </c>
    </row>
    <row r="49" spans="1:28" customFormat="1">
      <c r="A49" s="299"/>
      <c r="B49" s="281" t="s">
        <v>93</v>
      </c>
      <c r="C49" s="281" t="s">
        <v>91</v>
      </c>
      <c r="D49" s="58">
        <v>6500</v>
      </c>
      <c r="E49" s="327" t="s">
        <v>92</v>
      </c>
      <c r="F49" s="281">
        <v>0</v>
      </c>
      <c r="H49" s="101">
        <f>D49</f>
        <v>6500</v>
      </c>
      <c r="I49" s="101">
        <f>H49*I$13</f>
        <v>650</v>
      </c>
      <c r="L49" s="101"/>
      <c r="M49" s="101">
        <f>(H49+I49)*M$13</f>
        <v>183.18299999999999</v>
      </c>
      <c r="N49" s="101">
        <f>(H49+I49)*N$13</f>
        <v>353.92500000000001</v>
      </c>
      <c r="O49" s="101">
        <f>(H49+I49)*O$13</f>
        <v>201.63</v>
      </c>
      <c r="P49" s="101"/>
      <c r="Q49" s="101"/>
      <c r="R49" s="101">
        <f>72*$R$13</f>
        <v>867.6</v>
      </c>
      <c r="T49" s="102">
        <f>SUM(H49:R49)</f>
        <v>8756.3379999999997</v>
      </c>
      <c r="U49" s="102"/>
      <c r="V49" s="103">
        <v>1459.39</v>
      </c>
      <c r="W49" s="104">
        <v>0</v>
      </c>
      <c r="X49" s="105">
        <v>0</v>
      </c>
      <c r="Y49" s="330">
        <f>$Y$14</f>
        <v>230</v>
      </c>
      <c r="Z49" s="107">
        <f>Y49*7</f>
        <v>1610</v>
      </c>
      <c r="AA49" s="108">
        <f>V49*6</f>
        <v>8756.34</v>
      </c>
      <c r="AB49" s="329">
        <f t="shared" si="0"/>
        <v>10366.34</v>
      </c>
    </row>
    <row r="50" spans="1:28" customFormat="1" ht="8.25" customHeight="1">
      <c r="A50" s="299"/>
      <c r="C50" s="281"/>
      <c r="D50" s="58"/>
      <c r="E50" s="327"/>
      <c r="F50" s="281"/>
      <c r="H50" s="101"/>
      <c r="I50" s="101"/>
      <c r="L50" s="101"/>
      <c r="M50" s="101"/>
      <c r="N50" s="101"/>
      <c r="O50" s="101"/>
      <c r="P50" s="101"/>
      <c r="Q50" s="101"/>
      <c r="R50" s="101"/>
      <c r="T50" s="102"/>
      <c r="U50" s="102"/>
      <c r="V50" s="103"/>
      <c r="W50" s="104">
        <v>0</v>
      </c>
      <c r="X50" s="105">
        <v>0</v>
      </c>
      <c r="Y50" s="330"/>
      <c r="Z50" s="107"/>
      <c r="AA50" s="108"/>
      <c r="AB50" s="329"/>
    </row>
    <row r="51" spans="1:28" customFormat="1">
      <c r="A51" s="299" t="s">
        <v>101</v>
      </c>
      <c r="B51" s="281" t="s">
        <v>90</v>
      </c>
      <c r="C51" s="281" t="s">
        <v>91</v>
      </c>
      <c r="D51" s="58">
        <v>5150</v>
      </c>
      <c r="E51" s="327" t="s">
        <v>92</v>
      </c>
      <c r="F51" s="281">
        <v>0</v>
      </c>
      <c r="H51" s="101">
        <v>5000</v>
      </c>
      <c r="I51" s="101">
        <f>H51*I$13</f>
        <v>500</v>
      </c>
      <c r="L51" s="101"/>
      <c r="M51" s="101">
        <f>(H51+I51)*M$13</f>
        <v>140.91</v>
      </c>
      <c r="N51" s="101">
        <f>(H51+I51)*N$13</f>
        <v>272.25</v>
      </c>
      <c r="O51" s="101">
        <f>(H51+I51)*O$13</f>
        <v>155.1</v>
      </c>
      <c r="P51" s="101"/>
      <c r="Q51" s="101"/>
      <c r="R51" s="101">
        <f>72*$R$13</f>
        <v>867.6</v>
      </c>
      <c r="T51" s="102">
        <f>SUM(H51:R51)</f>
        <v>6935.8600000000006</v>
      </c>
      <c r="U51" s="102"/>
      <c r="V51" s="103">
        <v>1155.98</v>
      </c>
      <c r="W51" s="104">
        <v>0</v>
      </c>
      <c r="X51" s="105">
        <v>0</v>
      </c>
      <c r="Y51" s="330">
        <f>$Y$14</f>
        <v>230</v>
      </c>
      <c r="Z51" s="107">
        <f>Y51*7</f>
        <v>1610</v>
      </c>
      <c r="AA51" s="108">
        <f>V51*6</f>
        <v>6935.88</v>
      </c>
      <c r="AB51" s="329">
        <f t="shared" si="0"/>
        <v>8545.880000000001</v>
      </c>
    </row>
    <row r="52" spans="1:28" customFormat="1">
      <c r="A52" s="299"/>
      <c r="B52" s="281" t="s">
        <v>93</v>
      </c>
      <c r="C52" s="281" t="s">
        <v>91</v>
      </c>
      <c r="D52" s="58">
        <v>5800</v>
      </c>
      <c r="E52" s="327" t="s">
        <v>92</v>
      </c>
      <c r="F52" s="281">
        <v>0</v>
      </c>
      <c r="H52" s="101">
        <f>D52</f>
        <v>5800</v>
      </c>
      <c r="I52" s="101">
        <f>H52*I$13</f>
        <v>580</v>
      </c>
      <c r="L52" s="101"/>
      <c r="M52" s="101">
        <f>(H52+I52)*M$13</f>
        <v>163.4556</v>
      </c>
      <c r="N52" s="101">
        <f>(H52+I52)*N$13</f>
        <v>315.81</v>
      </c>
      <c r="O52" s="101">
        <f>(H52+I52)*O$13</f>
        <v>179.916</v>
      </c>
      <c r="P52" s="101"/>
      <c r="Q52" s="101"/>
      <c r="R52" s="101">
        <f>72*$R$13</f>
        <v>867.6</v>
      </c>
      <c r="T52" s="102">
        <f>SUM(H52:R52)</f>
        <v>7906.7816000000012</v>
      </c>
      <c r="U52" s="102"/>
      <c r="V52" s="103">
        <v>1317.8</v>
      </c>
      <c r="W52" s="104">
        <v>0</v>
      </c>
      <c r="X52" s="105">
        <v>0</v>
      </c>
      <c r="Y52" s="330">
        <f>$Y$14</f>
        <v>230</v>
      </c>
      <c r="Z52" s="107">
        <f>Y52*7</f>
        <v>1610</v>
      </c>
      <c r="AA52" s="108">
        <f>V52*6</f>
        <v>7906.7999999999993</v>
      </c>
      <c r="AB52" s="329">
        <f>V52*6+Z52</f>
        <v>9516.7999999999993</v>
      </c>
    </row>
    <row r="53" spans="1:28" customFormat="1" ht="8.25" customHeight="1">
      <c r="A53" s="299"/>
      <c r="C53" s="281"/>
      <c r="D53" s="58"/>
      <c r="E53" s="327"/>
      <c r="F53" s="281"/>
      <c r="H53" s="101"/>
      <c r="I53" s="101"/>
      <c r="L53" s="101"/>
      <c r="M53" s="101"/>
      <c r="N53" s="101"/>
      <c r="O53" s="101"/>
      <c r="P53" s="101"/>
      <c r="Q53" s="101"/>
      <c r="R53" s="101"/>
      <c r="T53" s="102"/>
      <c r="U53" s="102"/>
      <c r="V53" s="103"/>
      <c r="W53" s="104">
        <v>0</v>
      </c>
      <c r="X53" s="105">
        <v>0</v>
      </c>
      <c r="Y53" s="330"/>
      <c r="Z53" s="107"/>
      <c r="AA53" s="108"/>
      <c r="AB53" s="329"/>
    </row>
    <row r="54" spans="1:28" customFormat="1">
      <c r="A54" s="299" t="s">
        <v>102</v>
      </c>
      <c r="B54" s="281" t="s">
        <v>90</v>
      </c>
      <c r="C54" s="281" t="s">
        <v>91</v>
      </c>
      <c r="D54" s="58">
        <v>5871</v>
      </c>
      <c r="E54" s="327" t="s">
        <v>92</v>
      </c>
      <c r="F54" s="281">
        <v>0</v>
      </c>
      <c r="H54" s="101">
        <f>D54</f>
        <v>5871</v>
      </c>
      <c r="I54" s="101">
        <f>H54*I$13</f>
        <v>587.1</v>
      </c>
      <c r="L54" s="101"/>
      <c r="M54" s="101">
        <f>(H54+I54)*M$13</f>
        <v>165.45652200000001</v>
      </c>
      <c r="N54" s="101">
        <f>(H54+I54)*N$13</f>
        <v>319.67595000000006</v>
      </c>
      <c r="O54" s="101">
        <f>(H54+I54)*O$13</f>
        <v>182.11842000000001</v>
      </c>
      <c r="P54" s="101"/>
      <c r="Q54" s="101"/>
      <c r="R54" s="101">
        <f>72*$R$13</f>
        <v>867.6</v>
      </c>
      <c r="T54" s="102">
        <f>SUM(H54:R54)</f>
        <v>7992.9508920000007</v>
      </c>
      <c r="U54" s="102"/>
      <c r="V54" s="103">
        <v>1332.16</v>
      </c>
      <c r="W54" s="104">
        <v>0</v>
      </c>
      <c r="X54" s="105">
        <v>0</v>
      </c>
      <c r="Y54" s="330">
        <f>$Y$14</f>
        <v>230</v>
      </c>
      <c r="Z54" s="107">
        <f>Y54*7</f>
        <v>1610</v>
      </c>
      <c r="AA54" s="108">
        <f>V54*6</f>
        <v>7992.9600000000009</v>
      </c>
      <c r="AB54" s="329">
        <f>AA54+Z54</f>
        <v>9602.9600000000009</v>
      </c>
    </row>
    <row r="55" spans="1:28" customFormat="1">
      <c r="A55" s="299"/>
      <c r="B55" s="281" t="s">
        <v>93</v>
      </c>
      <c r="C55" s="281" t="s">
        <v>91</v>
      </c>
      <c r="D55" s="58">
        <v>6500</v>
      </c>
      <c r="E55" s="327" t="s">
        <v>92</v>
      </c>
      <c r="F55" s="281">
        <v>0</v>
      </c>
      <c r="H55" s="101">
        <f>D55</f>
        <v>6500</v>
      </c>
      <c r="I55" s="101">
        <f>H55*I$13</f>
        <v>650</v>
      </c>
      <c r="L55" s="101"/>
      <c r="M55" s="101">
        <f>(H55+I55)*M$13</f>
        <v>183.18299999999999</v>
      </c>
      <c r="N55" s="101">
        <f>(H55+I55)*N$13</f>
        <v>353.92500000000001</v>
      </c>
      <c r="O55" s="101">
        <f>(H55+I55)*O$13</f>
        <v>201.63</v>
      </c>
      <c r="P55" s="101"/>
      <c r="Q55" s="101"/>
      <c r="R55" s="101">
        <f>72*$R$13</f>
        <v>867.6</v>
      </c>
      <c r="T55" s="102">
        <f>SUM(H55:R55)</f>
        <v>8756.3379999999997</v>
      </c>
      <c r="U55" s="102"/>
      <c r="V55" s="103">
        <v>1459.39</v>
      </c>
      <c r="W55" s="104">
        <v>0</v>
      </c>
      <c r="X55" s="105">
        <v>0</v>
      </c>
      <c r="Y55" s="330">
        <f>$Y$14</f>
        <v>230</v>
      </c>
      <c r="Z55" s="107">
        <f>Y55*7</f>
        <v>1610</v>
      </c>
      <c r="AA55" s="108">
        <f>V55*6</f>
        <v>8756.34</v>
      </c>
      <c r="AB55" s="329">
        <f>AA55+Z55</f>
        <v>10366.34</v>
      </c>
    </row>
    <row r="56" spans="1:28" customFormat="1" ht="8.25" customHeight="1">
      <c r="A56" s="299"/>
      <c r="C56" s="281"/>
      <c r="D56" s="58"/>
      <c r="E56" s="327"/>
      <c r="F56" s="281"/>
      <c r="H56" s="101"/>
      <c r="I56" s="101"/>
      <c r="L56" s="101"/>
      <c r="M56" s="101"/>
      <c r="N56" s="101"/>
      <c r="O56" s="101"/>
      <c r="P56" s="101"/>
      <c r="Q56" s="101"/>
      <c r="R56" s="101"/>
      <c r="T56" s="102"/>
      <c r="U56" s="102"/>
      <c r="V56" s="103"/>
      <c r="W56" s="104">
        <v>0</v>
      </c>
      <c r="X56" s="105">
        <v>0</v>
      </c>
      <c r="Y56" s="330"/>
      <c r="Z56" s="107"/>
      <c r="AA56" s="108"/>
      <c r="AB56" s="329"/>
    </row>
    <row r="57" spans="1:28" customFormat="1">
      <c r="A57" s="299" t="s">
        <v>103</v>
      </c>
      <c r="B57" s="281" t="s">
        <v>90</v>
      </c>
      <c r="C57" s="281" t="s">
        <v>91</v>
      </c>
      <c r="D57" s="58">
        <v>5871</v>
      </c>
      <c r="E57" s="327" t="s">
        <v>92</v>
      </c>
      <c r="F57" s="281">
        <v>0</v>
      </c>
      <c r="H57" s="101">
        <f>D57</f>
        <v>5871</v>
      </c>
      <c r="I57" s="101">
        <f>H57*I$13</f>
        <v>587.1</v>
      </c>
      <c r="L57" s="101"/>
      <c r="M57" s="101">
        <f>(H57+I57)*M$13</f>
        <v>165.45652200000001</v>
      </c>
      <c r="N57" s="101">
        <f>(H57+I57)*N$13</f>
        <v>319.67595000000006</v>
      </c>
      <c r="O57" s="101">
        <f>(H57+I57)*O$13</f>
        <v>182.11842000000001</v>
      </c>
      <c r="P57" s="101"/>
      <c r="Q57" s="101"/>
      <c r="R57" s="101">
        <f>72*$R$13</f>
        <v>867.6</v>
      </c>
      <c r="T57" s="102">
        <f>SUM(H57:R57)</f>
        <v>7992.9508920000007</v>
      </c>
      <c r="U57" s="102"/>
      <c r="V57" s="103">
        <v>1332.16</v>
      </c>
      <c r="W57" s="104">
        <v>0</v>
      </c>
      <c r="X57" s="105">
        <v>0</v>
      </c>
      <c r="Y57" s="330">
        <f>$Y$14</f>
        <v>230</v>
      </c>
      <c r="Z57" s="107">
        <f>Y57*7</f>
        <v>1610</v>
      </c>
      <c r="AA57" s="108">
        <f>V57*6</f>
        <v>7992.9600000000009</v>
      </c>
      <c r="AB57" s="329">
        <f>AA57+Z57</f>
        <v>9602.9600000000009</v>
      </c>
    </row>
    <row r="58" spans="1:28" customFormat="1">
      <c r="A58" s="299"/>
      <c r="B58" s="281" t="s">
        <v>93</v>
      </c>
      <c r="C58" s="281" t="s">
        <v>91</v>
      </c>
      <c r="D58" s="58">
        <v>6500</v>
      </c>
      <c r="E58" s="327" t="s">
        <v>92</v>
      </c>
      <c r="F58" s="281">
        <v>0</v>
      </c>
      <c r="H58" s="101">
        <f>D58</f>
        <v>6500</v>
      </c>
      <c r="I58" s="101">
        <f>H58*I$13</f>
        <v>650</v>
      </c>
      <c r="L58" s="101"/>
      <c r="M58" s="101">
        <f>(H58+I58)*M$13</f>
        <v>183.18299999999999</v>
      </c>
      <c r="N58" s="101">
        <f>(H58+I58)*N$13</f>
        <v>353.92500000000001</v>
      </c>
      <c r="O58" s="101">
        <f>(H58+I58)*O$13</f>
        <v>201.63</v>
      </c>
      <c r="P58" s="101"/>
      <c r="Q58" s="101"/>
      <c r="R58" s="101">
        <f>72*$R$13</f>
        <v>867.6</v>
      </c>
      <c r="T58" s="102">
        <f>SUM(H58:R58)</f>
        <v>8756.3379999999997</v>
      </c>
      <c r="U58" s="102"/>
      <c r="V58" s="103">
        <v>1459.39</v>
      </c>
      <c r="W58" s="104">
        <v>0</v>
      </c>
      <c r="X58" s="105">
        <v>0</v>
      </c>
      <c r="Y58" s="330">
        <f>$Y$14</f>
        <v>230</v>
      </c>
      <c r="Z58" s="107">
        <f>Y58*7</f>
        <v>1610</v>
      </c>
      <c r="AA58" s="108">
        <f>V58*6</f>
        <v>8756.34</v>
      </c>
      <c r="AB58" s="329">
        <f>AA58+Z58</f>
        <v>10366.34</v>
      </c>
    </row>
    <row r="59" spans="1:28" customFormat="1" ht="8.25" customHeight="1">
      <c r="A59" s="299"/>
      <c r="C59" s="281"/>
      <c r="D59" s="58"/>
      <c r="E59" s="327"/>
      <c r="F59" s="281"/>
      <c r="H59" s="101"/>
      <c r="I59" s="101"/>
      <c r="L59" s="101"/>
      <c r="M59" s="101"/>
      <c r="N59" s="101"/>
      <c r="O59" s="101"/>
      <c r="P59" s="101"/>
      <c r="Q59" s="101"/>
      <c r="R59" s="101"/>
      <c r="T59" s="102"/>
      <c r="U59" s="102"/>
      <c r="V59" s="103"/>
      <c r="W59" s="104">
        <v>0</v>
      </c>
      <c r="X59" s="105">
        <v>0</v>
      </c>
      <c r="Y59" s="330"/>
      <c r="Z59" s="107"/>
      <c r="AA59" s="108"/>
      <c r="AB59" s="329"/>
    </row>
    <row r="60" spans="1:28" customFormat="1">
      <c r="A60" s="299" t="s">
        <v>104</v>
      </c>
      <c r="B60" s="281" t="s">
        <v>90</v>
      </c>
      <c r="C60" s="281" t="s">
        <v>91</v>
      </c>
      <c r="D60" s="58">
        <v>5871</v>
      </c>
      <c r="E60" s="327" t="s">
        <v>92</v>
      </c>
      <c r="F60" s="281">
        <v>0</v>
      </c>
      <c r="H60" s="101">
        <f>D60</f>
        <v>5871</v>
      </c>
      <c r="I60" s="101">
        <f>H60*I$13</f>
        <v>587.1</v>
      </c>
      <c r="L60" s="101"/>
      <c r="M60" s="101">
        <f>(H60+I60)*M$13</f>
        <v>165.45652200000001</v>
      </c>
      <c r="N60" s="101">
        <f>(H60+I60)*N$13</f>
        <v>319.67595000000006</v>
      </c>
      <c r="O60" s="101">
        <f>(H60+I60)*O$13</f>
        <v>182.11842000000001</v>
      </c>
      <c r="P60" s="101"/>
      <c r="Q60" s="101"/>
      <c r="R60" s="101">
        <f>72*$R$13</f>
        <v>867.6</v>
      </c>
      <c r="T60" s="102">
        <f>SUM(H60:R60)</f>
        <v>7992.9508920000007</v>
      </c>
      <c r="U60" s="102"/>
      <c r="V60" s="103">
        <v>1332.16</v>
      </c>
      <c r="W60" s="104">
        <v>0</v>
      </c>
      <c r="X60" s="105">
        <v>0</v>
      </c>
      <c r="Y60" s="330">
        <f>$Y$14</f>
        <v>230</v>
      </c>
      <c r="Z60" s="107">
        <f>Y60*7</f>
        <v>1610</v>
      </c>
      <c r="AA60" s="108">
        <f>V60*6</f>
        <v>7992.9600000000009</v>
      </c>
      <c r="AB60" s="329">
        <f>AA60+Z60</f>
        <v>9602.9600000000009</v>
      </c>
    </row>
    <row r="61" spans="1:28" customFormat="1">
      <c r="A61" s="299"/>
      <c r="B61" s="281" t="s">
        <v>93</v>
      </c>
      <c r="C61" s="281" t="s">
        <v>91</v>
      </c>
      <c r="D61" s="58">
        <v>6500</v>
      </c>
      <c r="E61" s="327" t="s">
        <v>92</v>
      </c>
      <c r="F61" s="281">
        <v>0</v>
      </c>
      <c r="H61" s="101">
        <f>D61</f>
        <v>6500</v>
      </c>
      <c r="I61" s="101">
        <f>H61*I$13</f>
        <v>650</v>
      </c>
      <c r="L61" s="101"/>
      <c r="M61" s="101">
        <f>(H61+I61)*M$13</f>
        <v>183.18299999999999</v>
      </c>
      <c r="N61" s="101">
        <f>(H61+I61)*N$13</f>
        <v>353.92500000000001</v>
      </c>
      <c r="O61" s="101">
        <f>(H61+I61)*O$13</f>
        <v>201.63</v>
      </c>
      <c r="P61" s="101"/>
      <c r="Q61" s="101"/>
      <c r="R61" s="101">
        <f>72*$R$13</f>
        <v>867.6</v>
      </c>
      <c r="T61" s="102">
        <f>SUM(H61:R61)</f>
        <v>8756.3379999999997</v>
      </c>
      <c r="U61" s="102"/>
      <c r="V61" s="103">
        <v>1459.39</v>
      </c>
      <c r="W61" s="104">
        <v>0</v>
      </c>
      <c r="X61" s="105">
        <v>0</v>
      </c>
      <c r="Y61" s="330">
        <f>$Y$14</f>
        <v>230</v>
      </c>
      <c r="Z61" s="107">
        <f>Y61*7</f>
        <v>1610</v>
      </c>
      <c r="AA61" s="108">
        <f>V61*6</f>
        <v>8756.34</v>
      </c>
      <c r="AB61" s="329">
        <f>V61*6+Z61</f>
        <v>10366.34</v>
      </c>
    </row>
    <row r="62" spans="1:28" customFormat="1" ht="8.25" customHeight="1">
      <c r="A62" s="299"/>
      <c r="C62" s="281"/>
      <c r="D62" s="58"/>
      <c r="E62" s="327"/>
      <c r="F62" s="281"/>
      <c r="H62" s="101"/>
      <c r="I62" s="101"/>
      <c r="L62" s="101"/>
      <c r="M62" s="101"/>
      <c r="N62" s="101"/>
      <c r="O62" s="101"/>
      <c r="P62" s="101"/>
      <c r="Q62" s="101"/>
      <c r="R62" s="101"/>
      <c r="T62" s="102"/>
      <c r="U62" s="102"/>
      <c r="V62" s="103"/>
      <c r="W62" s="104">
        <v>0</v>
      </c>
      <c r="X62" s="105">
        <v>0</v>
      </c>
      <c r="Y62" s="330"/>
      <c r="Z62" s="107"/>
      <c r="AA62" s="108"/>
      <c r="AB62" s="329"/>
    </row>
    <row r="63" spans="1:28" customFormat="1">
      <c r="A63" s="299" t="s">
        <v>105</v>
      </c>
      <c r="B63" s="281" t="s">
        <v>90</v>
      </c>
      <c r="C63" s="281" t="s">
        <v>91</v>
      </c>
      <c r="D63" s="58">
        <v>5871</v>
      </c>
      <c r="E63" s="327" t="s">
        <v>92</v>
      </c>
      <c r="F63" s="281">
        <v>0</v>
      </c>
      <c r="H63" s="101">
        <f>D63</f>
        <v>5871</v>
      </c>
      <c r="I63" s="101">
        <f>H63*I$13</f>
        <v>587.1</v>
      </c>
      <c r="L63" s="101"/>
      <c r="M63" s="101">
        <f>(H63+I63)*M$13</f>
        <v>165.45652200000001</v>
      </c>
      <c r="N63" s="101">
        <f>(H63+I63)*N$13</f>
        <v>319.67595000000006</v>
      </c>
      <c r="O63" s="101">
        <f>(H63+I63)*O$13</f>
        <v>182.11842000000001</v>
      </c>
      <c r="P63" s="101"/>
      <c r="Q63" s="101"/>
      <c r="R63" s="101">
        <f>72*$R$16</f>
        <v>779.04</v>
      </c>
      <c r="T63" s="102">
        <f>SUM(H63:R63)</f>
        <v>7904.3908920000003</v>
      </c>
      <c r="U63" s="102"/>
      <c r="V63" s="103">
        <v>1317.4</v>
      </c>
      <c r="W63" s="104">
        <v>0</v>
      </c>
      <c r="X63" s="105">
        <v>0</v>
      </c>
      <c r="Y63" s="330">
        <f>$Y$14</f>
        <v>230</v>
      </c>
      <c r="Z63" s="107">
        <f>Y63*7</f>
        <v>1610</v>
      </c>
      <c r="AA63" s="108">
        <f>V63*6</f>
        <v>7904.4000000000005</v>
      </c>
      <c r="AB63" s="329">
        <f>AA63+Z63</f>
        <v>9514.4000000000015</v>
      </c>
    </row>
    <row r="64" spans="1:28" customFormat="1">
      <c r="A64" s="299"/>
      <c r="B64" s="281" t="s">
        <v>93</v>
      </c>
      <c r="C64" s="281" t="s">
        <v>91</v>
      </c>
      <c r="D64" s="58">
        <v>6500</v>
      </c>
      <c r="E64" s="327" t="s">
        <v>92</v>
      </c>
      <c r="F64" s="281">
        <v>0</v>
      </c>
      <c r="H64" s="101">
        <f>D64</f>
        <v>6500</v>
      </c>
      <c r="I64" s="101">
        <f>H64*I$13</f>
        <v>650</v>
      </c>
      <c r="L64" s="101"/>
      <c r="M64" s="101">
        <f>(H64+I64)*M$13</f>
        <v>183.18299999999999</v>
      </c>
      <c r="N64" s="101">
        <f>(H64+I64)*N$13</f>
        <v>353.92500000000001</v>
      </c>
      <c r="O64" s="101">
        <f>(H64+I64)*O$13</f>
        <v>201.63</v>
      </c>
      <c r="P64" s="101"/>
      <c r="Q64" s="101"/>
      <c r="R64" s="101">
        <f>72*$R$16</f>
        <v>779.04</v>
      </c>
      <c r="T64" s="102">
        <f>SUM(H64:R64)</f>
        <v>8667.7780000000002</v>
      </c>
      <c r="U64" s="102"/>
      <c r="V64" s="103">
        <v>1444.63</v>
      </c>
      <c r="W64" s="104">
        <v>0</v>
      </c>
      <c r="X64" s="105">
        <v>0</v>
      </c>
      <c r="Y64" s="330">
        <f>$Y$14</f>
        <v>230</v>
      </c>
      <c r="Z64" s="107">
        <f>Y64*7</f>
        <v>1610</v>
      </c>
      <c r="AA64" s="108">
        <f>V64*6</f>
        <v>8667.7800000000007</v>
      </c>
      <c r="AB64" s="329">
        <f>V64*6+Z64</f>
        <v>10277.780000000001</v>
      </c>
    </row>
    <row r="65" spans="1:28" customFormat="1" ht="8.25" customHeight="1">
      <c r="A65" s="299"/>
      <c r="C65" s="281"/>
      <c r="D65" s="58"/>
      <c r="E65" s="327"/>
      <c r="F65" s="281"/>
      <c r="H65" s="101"/>
      <c r="I65" s="101"/>
      <c r="L65" s="101"/>
      <c r="M65" s="101"/>
      <c r="N65" s="101"/>
      <c r="O65" s="101"/>
      <c r="P65" s="101"/>
      <c r="Q65" s="101"/>
      <c r="R65" s="101"/>
      <c r="T65" s="102"/>
      <c r="U65" s="102"/>
      <c r="V65" s="103"/>
      <c r="W65" s="104">
        <v>0</v>
      </c>
      <c r="X65" s="105">
        <v>0</v>
      </c>
      <c r="Y65" s="330"/>
      <c r="Z65" s="107"/>
      <c r="AA65" s="108"/>
      <c r="AB65" s="329"/>
    </row>
    <row r="66" spans="1:28" customFormat="1" ht="12" customHeight="1">
      <c r="A66" s="299" t="s">
        <v>3963</v>
      </c>
      <c r="B66" s="281" t="s">
        <v>90</v>
      </c>
      <c r="C66" s="281" t="s">
        <v>91</v>
      </c>
      <c r="D66" s="58">
        <v>5871</v>
      </c>
      <c r="E66" s="327" t="s">
        <v>92</v>
      </c>
      <c r="F66" s="281">
        <v>0</v>
      </c>
      <c r="H66" s="101">
        <f>D66</f>
        <v>5871</v>
      </c>
      <c r="I66" s="101">
        <f>H66*I$13</f>
        <v>587.1</v>
      </c>
      <c r="L66" s="101"/>
      <c r="M66" s="101">
        <f>(H66+I66)*M$13</f>
        <v>165.45652200000001</v>
      </c>
      <c r="N66" s="101">
        <f>(H66+I66)*N$13</f>
        <v>319.67595000000006</v>
      </c>
      <c r="O66" s="101">
        <f>(H66+I66)*O$13</f>
        <v>182.11842000000001</v>
      </c>
      <c r="P66" s="101"/>
      <c r="Q66" s="101"/>
      <c r="R66" s="101">
        <f>72*$R$16</f>
        <v>779.04</v>
      </c>
      <c r="T66" s="102">
        <f>SUM(H66:R66)</f>
        <v>7904.3908920000003</v>
      </c>
      <c r="U66" s="102"/>
      <c r="V66" s="103">
        <v>1317.4</v>
      </c>
      <c r="W66" s="104">
        <v>0</v>
      </c>
      <c r="X66" s="105">
        <v>0</v>
      </c>
      <c r="Y66" s="330">
        <f>$Y$14</f>
        <v>230</v>
      </c>
      <c r="Z66" s="107">
        <f>Y66*7</f>
        <v>1610</v>
      </c>
      <c r="AA66" s="108">
        <f>V66*6</f>
        <v>7904.4000000000005</v>
      </c>
      <c r="AB66" s="329">
        <f>AA66+Z66</f>
        <v>9514.4000000000015</v>
      </c>
    </row>
    <row r="67" spans="1:28" customFormat="1" ht="8.25" customHeight="1">
      <c r="A67" s="299"/>
      <c r="C67" s="281"/>
      <c r="D67" s="58"/>
      <c r="E67" s="327"/>
      <c r="F67" s="281"/>
      <c r="H67" s="101"/>
      <c r="I67" s="101"/>
      <c r="L67" s="101"/>
      <c r="M67" s="101"/>
      <c r="N67" s="101"/>
      <c r="O67" s="101"/>
      <c r="P67" s="101"/>
      <c r="Q67" s="101"/>
      <c r="R67" s="101"/>
      <c r="T67" s="102"/>
      <c r="U67" s="102"/>
      <c r="V67" s="103"/>
      <c r="W67" s="104">
        <v>0</v>
      </c>
      <c r="X67" s="105">
        <v>0</v>
      </c>
      <c r="Y67" s="330"/>
      <c r="Z67" s="107"/>
      <c r="AA67" s="108"/>
      <c r="AB67" s="329"/>
    </row>
    <row r="68" spans="1:28" customFormat="1">
      <c r="A68" s="299" t="s">
        <v>106</v>
      </c>
      <c r="B68" s="281" t="s">
        <v>90</v>
      </c>
      <c r="C68" s="281" t="s">
        <v>91</v>
      </c>
      <c r="D68" s="58">
        <v>5871</v>
      </c>
      <c r="E68" s="327" t="s">
        <v>92</v>
      </c>
      <c r="F68" s="281">
        <v>0</v>
      </c>
      <c r="H68" s="101">
        <f>D68</f>
        <v>5871</v>
      </c>
      <c r="I68" s="101">
        <f>H68*I$13</f>
        <v>587.1</v>
      </c>
      <c r="L68" s="101"/>
      <c r="M68" s="101">
        <f>(H68+I68)*M$13</f>
        <v>165.45652200000001</v>
      </c>
      <c r="N68" s="101">
        <f>(H68+I68)*N$13</f>
        <v>319.67595000000006</v>
      </c>
      <c r="O68" s="101">
        <f>(H68+I68)*O$13</f>
        <v>182.11842000000001</v>
      </c>
      <c r="P68" s="101"/>
      <c r="Q68" s="101"/>
      <c r="R68" s="101">
        <f>72*$R$16</f>
        <v>779.04</v>
      </c>
      <c r="T68" s="102">
        <f>SUM(H68:R68)</f>
        <v>7904.3908920000003</v>
      </c>
      <c r="U68" s="102"/>
      <c r="V68" s="103">
        <v>1317.4</v>
      </c>
      <c r="W68" s="104">
        <v>0</v>
      </c>
      <c r="X68" s="105">
        <v>0</v>
      </c>
      <c r="Y68" s="330">
        <f>$Y$14</f>
        <v>230</v>
      </c>
      <c r="Z68" s="107">
        <f>Y68*7</f>
        <v>1610</v>
      </c>
      <c r="AA68" s="108">
        <f>V68*6</f>
        <v>7904.4000000000005</v>
      </c>
      <c r="AB68" s="329">
        <f>AA68+Z68</f>
        <v>9514.4000000000015</v>
      </c>
    </row>
    <row r="69" spans="1:28" customFormat="1">
      <c r="A69" s="299"/>
      <c r="B69" s="281" t="s">
        <v>93</v>
      </c>
      <c r="C69" s="281" t="s">
        <v>91</v>
      </c>
      <c r="D69" s="58">
        <v>6500</v>
      </c>
      <c r="E69" s="327" t="s">
        <v>92</v>
      </c>
      <c r="F69" s="281">
        <v>0</v>
      </c>
      <c r="H69" s="101">
        <f>D69</f>
        <v>6500</v>
      </c>
      <c r="I69" s="101">
        <f>H69*I$13</f>
        <v>650</v>
      </c>
      <c r="L69" s="101"/>
      <c r="M69" s="101">
        <f>(H69+I69)*M$13</f>
        <v>183.18299999999999</v>
      </c>
      <c r="N69" s="101">
        <f>(H69+I69)*N$13</f>
        <v>353.92500000000001</v>
      </c>
      <c r="O69" s="101">
        <f>(H69+I69)*O$13</f>
        <v>201.63</v>
      </c>
      <c r="P69" s="101"/>
      <c r="Q69" s="101"/>
      <c r="R69" s="101">
        <f>72*$R$16</f>
        <v>779.04</v>
      </c>
      <c r="T69" s="102">
        <f>SUM(H69:R69)</f>
        <v>8667.7780000000002</v>
      </c>
      <c r="U69" s="102"/>
      <c r="V69" s="103">
        <v>1444.63</v>
      </c>
      <c r="W69" s="104">
        <v>0</v>
      </c>
      <c r="X69" s="105">
        <v>0</v>
      </c>
      <c r="Y69" s="330">
        <f>$Y$14</f>
        <v>230</v>
      </c>
      <c r="Z69" s="107">
        <f>Y69*7</f>
        <v>1610</v>
      </c>
      <c r="AA69" s="108">
        <f>V69*6</f>
        <v>8667.7800000000007</v>
      </c>
      <c r="AB69" s="329">
        <f>V69*6+Z69</f>
        <v>10277.780000000001</v>
      </c>
    </row>
    <row r="70" spans="1:28" customFormat="1" ht="8.25" customHeight="1">
      <c r="A70" s="299"/>
      <c r="C70" s="281"/>
      <c r="D70" s="58"/>
      <c r="E70" s="327"/>
      <c r="F70" s="281"/>
      <c r="H70" s="101"/>
      <c r="I70" s="101"/>
      <c r="L70" s="101"/>
      <c r="M70" s="101"/>
      <c r="N70" s="101"/>
      <c r="O70" s="101"/>
      <c r="P70" s="101"/>
      <c r="Q70" s="101"/>
      <c r="R70" s="101"/>
      <c r="T70" s="102"/>
      <c r="U70" s="102"/>
      <c r="V70" s="103"/>
      <c r="W70" s="104">
        <v>0</v>
      </c>
      <c r="X70" s="105">
        <v>0</v>
      </c>
      <c r="Y70" s="330"/>
      <c r="Z70" s="107"/>
      <c r="AA70" s="108"/>
      <c r="AB70" s="329"/>
    </row>
    <row r="71" spans="1:28" customFormat="1">
      <c r="A71" s="299" t="s">
        <v>107</v>
      </c>
      <c r="B71" s="281" t="s">
        <v>90</v>
      </c>
      <c r="C71" s="281" t="s">
        <v>91</v>
      </c>
      <c r="D71" s="58">
        <v>5871</v>
      </c>
      <c r="E71" s="327" t="s">
        <v>92</v>
      </c>
      <c r="F71" s="281">
        <v>0</v>
      </c>
      <c r="H71" s="101">
        <f>D71</f>
        <v>5871</v>
      </c>
      <c r="I71" s="101">
        <f>H71*I$13</f>
        <v>587.1</v>
      </c>
      <c r="L71" s="101"/>
      <c r="M71" s="101">
        <f>(H71+I71)*M$13</f>
        <v>165.45652200000001</v>
      </c>
      <c r="N71" s="101">
        <f>(H71+I71)*N$13</f>
        <v>319.67595000000006</v>
      </c>
      <c r="O71" s="101">
        <f>(H71+I71)*O$13</f>
        <v>182.11842000000001</v>
      </c>
      <c r="P71" s="101"/>
      <c r="Q71" s="101"/>
      <c r="R71" s="101">
        <f>72*$R$13</f>
        <v>867.6</v>
      </c>
      <c r="T71" s="102">
        <f>SUM(H71:R71)</f>
        <v>7992.9508920000007</v>
      </c>
      <c r="U71" s="102"/>
      <c r="V71" s="103">
        <v>1332.16</v>
      </c>
      <c r="W71" s="104">
        <v>0</v>
      </c>
      <c r="X71" s="105">
        <v>0</v>
      </c>
      <c r="Y71" s="330">
        <f>$Y$14</f>
        <v>230</v>
      </c>
      <c r="Z71" s="107">
        <f>Y71*7</f>
        <v>1610</v>
      </c>
      <c r="AA71" s="108">
        <f>V71*6</f>
        <v>7992.9600000000009</v>
      </c>
      <c r="AB71" s="329">
        <f>AA71+Z71</f>
        <v>9602.9600000000009</v>
      </c>
    </row>
    <row r="72" spans="1:28" customFormat="1">
      <c r="A72" s="299"/>
      <c r="B72" s="281" t="s">
        <v>93</v>
      </c>
      <c r="C72" s="281" t="s">
        <v>91</v>
      </c>
      <c r="D72" s="58">
        <v>6500</v>
      </c>
      <c r="E72" s="327" t="s">
        <v>92</v>
      </c>
      <c r="F72" s="281">
        <v>0</v>
      </c>
      <c r="H72" s="101">
        <f>D72</f>
        <v>6500</v>
      </c>
      <c r="I72" s="101">
        <f>H72*I$13</f>
        <v>650</v>
      </c>
      <c r="L72" s="101"/>
      <c r="M72" s="101">
        <f>(H72+I72)*M$13</f>
        <v>183.18299999999999</v>
      </c>
      <c r="N72" s="101">
        <f>(H72+I72)*N$13</f>
        <v>353.92500000000001</v>
      </c>
      <c r="O72" s="101">
        <f>(H72+I72)*O$13</f>
        <v>201.63</v>
      </c>
      <c r="P72" s="101"/>
      <c r="Q72" s="101"/>
      <c r="R72" s="101">
        <f>72*$R$13</f>
        <v>867.6</v>
      </c>
      <c r="T72" s="102">
        <f>SUM(H72:R72)</f>
        <v>8756.3379999999997</v>
      </c>
      <c r="U72" s="102"/>
      <c r="V72" s="103">
        <v>1459.39</v>
      </c>
      <c r="W72" s="104">
        <v>0</v>
      </c>
      <c r="X72" s="105">
        <v>0</v>
      </c>
      <c r="Y72" s="330">
        <f>$Y$14</f>
        <v>230</v>
      </c>
      <c r="Z72" s="107">
        <f>Y72*7</f>
        <v>1610</v>
      </c>
      <c r="AA72" s="108">
        <f>V72*6</f>
        <v>8756.34</v>
      </c>
      <c r="AB72" s="329">
        <f>AA72+Z72</f>
        <v>10366.34</v>
      </c>
    </row>
    <row r="73" spans="1:28" customFormat="1" ht="8.25" customHeight="1">
      <c r="A73" s="299"/>
      <c r="C73" s="281"/>
      <c r="D73" s="58"/>
      <c r="E73" s="327"/>
      <c r="F73" s="281"/>
      <c r="H73" s="101"/>
      <c r="I73" s="101"/>
      <c r="L73" s="101"/>
      <c r="M73" s="101"/>
      <c r="N73" s="101"/>
      <c r="O73" s="101"/>
      <c r="P73" s="101"/>
      <c r="Q73" s="101"/>
      <c r="R73" s="101"/>
      <c r="T73" s="102"/>
      <c r="U73" s="102"/>
      <c r="V73" s="103"/>
      <c r="W73" s="104">
        <v>0</v>
      </c>
      <c r="X73" s="105">
        <v>0</v>
      </c>
      <c r="Y73" s="330"/>
      <c r="Z73" s="107"/>
      <c r="AA73" s="108"/>
      <c r="AB73" s="329"/>
    </row>
    <row r="74" spans="1:28" customFormat="1">
      <c r="A74" s="299" t="s">
        <v>108</v>
      </c>
      <c r="B74" s="281" t="s">
        <v>90</v>
      </c>
      <c r="C74" s="281" t="s">
        <v>91</v>
      </c>
      <c r="D74" s="58">
        <v>4635</v>
      </c>
      <c r="E74" s="327" t="s">
        <v>92</v>
      </c>
      <c r="F74" s="281">
        <v>0</v>
      </c>
      <c r="H74" s="101">
        <f>D74</f>
        <v>4635</v>
      </c>
      <c r="I74" s="101">
        <f>H74*I$13</f>
        <v>463.5</v>
      </c>
      <c r="L74" s="101"/>
      <c r="M74" s="101">
        <f>(H74+I74)*M$13</f>
        <v>130.62357</v>
      </c>
      <c r="N74" s="101">
        <f>(H74+I74)*N$13</f>
        <v>252.37575000000001</v>
      </c>
      <c r="O74" s="101">
        <f>(H74+I74)*O$13</f>
        <v>143.77770000000001</v>
      </c>
      <c r="P74" s="101"/>
      <c r="Q74" s="101"/>
      <c r="R74" s="101">
        <f>72*$R$13</f>
        <v>867.6</v>
      </c>
      <c r="T74" s="102">
        <f>SUM(H74:R74)</f>
        <v>6492.8770199999999</v>
      </c>
      <c r="U74" s="102"/>
      <c r="V74" s="103">
        <v>1082.1500000000001</v>
      </c>
      <c r="W74" s="104">
        <v>0</v>
      </c>
      <c r="X74" s="105">
        <v>0</v>
      </c>
      <c r="Y74" s="330">
        <f>$Y$14</f>
        <v>230</v>
      </c>
      <c r="Z74" s="107">
        <f>Y74*7</f>
        <v>1610</v>
      </c>
      <c r="AA74" s="108">
        <f>V74*6</f>
        <v>6492.9000000000005</v>
      </c>
      <c r="AB74" s="329">
        <f>AA74+Z74</f>
        <v>8102.9000000000005</v>
      </c>
    </row>
    <row r="75" spans="1:28" customFormat="1">
      <c r="A75" s="299"/>
      <c r="B75" s="281" t="s">
        <v>93</v>
      </c>
      <c r="C75" s="281" t="s">
        <v>91</v>
      </c>
      <c r="D75" s="58">
        <v>5300</v>
      </c>
      <c r="E75" s="327" t="s">
        <v>92</v>
      </c>
      <c r="F75" s="281">
        <v>0</v>
      </c>
      <c r="H75" s="101">
        <f>D75</f>
        <v>5300</v>
      </c>
      <c r="I75" s="101">
        <f>H75*I$13</f>
        <v>530</v>
      </c>
      <c r="L75" s="101"/>
      <c r="M75" s="101">
        <f>(H75+I75)*M$13</f>
        <v>149.3646</v>
      </c>
      <c r="N75" s="101">
        <f>(H75+I75)*N$13</f>
        <v>288.58500000000004</v>
      </c>
      <c r="O75" s="101">
        <f>(H75+I75)*O$13</f>
        <v>164.40600000000001</v>
      </c>
      <c r="P75" s="101"/>
      <c r="Q75" s="101"/>
      <c r="R75" s="101">
        <f>72*$R$13</f>
        <v>867.6</v>
      </c>
      <c r="T75" s="102">
        <f>SUM(H75:R75)</f>
        <v>7299.9556000000002</v>
      </c>
      <c r="U75" s="102"/>
      <c r="V75" s="103">
        <v>1216.6600000000001</v>
      </c>
      <c r="W75" s="104">
        <v>0</v>
      </c>
      <c r="X75" s="105">
        <v>0</v>
      </c>
      <c r="Y75" s="330">
        <f>$Y$14</f>
        <v>230</v>
      </c>
      <c r="Z75" s="107">
        <f>Y75*7</f>
        <v>1610</v>
      </c>
      <c r="AA75" s="108">
        <f>V75*6</f>
        <v>7299.9600000000009</v>
      </c>
      <c r="AB75" s="329">
        <f>AA75+Z75</f>
        <v>8909.9600000000009</v>
      </c>
    </row>
    <row r="76" spans="1:28" customFormat="1" ht="8.25" customHeight="1">
      <c r="A76" s="299"/>
      <c r="C76" s="281"/>
      <c r="D76" s="58"/>
      <c r="E76" s="327"/>
      <c r="F76" s="281"/>
      <c r="H76" s="101"/>
      <c r="I76" s="101"/>
      <c r="L76" s="101"/>
      <c r="M76" s="101"/>
      <c r="N76" s="101"/>
      <c r="O76" s="101"/>
      <c r="P76" s="101"/>
      <c r="Q76" s="101"/>
      <c r="R76" s="101"/>
      <c r="T76" s="102"/>
      <c r="U76" s="102"/>
      <c r="V76" s="103"/>
      <c r="W76" s="104">
        <v>0</v>
      </c>
      <c r="X76" s="105">
        <v>0</v>
      </c>
      <c r="Y76" s="330"/>
      <c r="Z76" s="107"/>
      <c r="AA76" s="108"/>
      <c r="AB76" s="329"/>
    </row>
    <row r="77" spans="1:28" customFormat="1">
      <c r="A77" s="299" t="s">
        <v>109</v>
      </c>
      <c r="B77" s="281" t="s">
        <v>90</v>
      </c>
      <c r="C77" s="281" t="s">
        <v>91</v>
      </c>
      <c r="D77" s="58">
        <v>5871</v>
      </c>
      <c r="E77" s="327" t="s">
        <v>92</v>
      </c>
      <c r="F77" s="281">
        <v>0</v>
      </c>
      <c r="H77" s="101">
        <f>D77</f>
        <v>5871</v>
      </c>
      <c r="I77" s="101">
        <f>H77*I$13</f>
        <v>587.1</v>
      </c>
      <c r="L77" s="101"/>
      <c r="M77" s="101">
        <f>(H77+I77)*M$13</f>
        <v>165.45652200000001</v>
      </c>
      <c r="N77" s="101">
        <f>(H77+I77)*N$13</f>
        <v>319.67595000000006</v>
      </c>
      <c r="O77" s="101">
        <f>(H77+I77)*O$13</f>
        <v>182.11842000000001</v>
      </c>
      <c r="P77" s="101"/>
      <c r="Q77" s="101"/>
      <c r="R77" s="101">
        <f>72*$R$13</f>
        <v>867.6</v>
      </c>
      <c r="T77" s="102">
        <f>SUM(H77:R77)</f>
        <v>7992.9508920000007</v>
      </c>
      <c r="U77" s="102"/>
      <c r="V77" s="103">
        <v>1332.16</v>
      </c>
      <c r="W77" s="104">
        <v>0</v>
      </c>
      <c r="X77" s="105">
        <v>0</v>
      </c>
      <c r="Y77" s="330">
        <f>$Y$14</f>
        <v>230</v>
      </c>
      <c r="Z77" s="107">
        <f>Y77*7</f>
        <v>1610</v>
      </c>
      <c r="AA77" s="108">
        <f>V77*6</f>
        <v>7992.9600000000009</v>
      </c>
      <c r="AB77" s="329">
        <f>AA77+Z77</f>
        <v>9602.9600000000009</v>
      </c>
    </row>
    <row r="78" spans="1:28" customFormat="1">
      <c r="A78" s="299"/>
      <c r="B78" s="281" t="s">
        <v>93</v>
      </c>
      <c r="C78" s="281" t="s">
        <v>91</v>
      </c>
      <c r="D78" s="58">
        <v>6500</v>
      </c>
      <c r="E78" s="327" t="s">
        <v>92</v>
      </c>
      <c r="F78" s="281">
        <v>0</v>
      </c>
      <c r="H78" s="101">
        <f>D78</f>
        <v>6500</v>
      </c>
      <c r="I78" s="101">
        <f>H78*I$13</f>
        <v>650</v>
      </c>
      <c r="L78" s="101"/>
      <c r="M78" s="101">
        <f>(H78+I78)*M$13</f>
        <v>183.18299999999999</v>
      </c>
      <c r="N78" s="101">
        <f>(H78+I78)*N$13</f>
        <v>353.92500000000001</v>
      </c>
      <c r="O78" s="101">
        <f>(H78+I78)*O$13</f>
        <v>201.63</v>
      </c>
      <c r="P78" s="101"/>
      <c r="Q78" s="101"/>
      <c r="R78" s="101">
        <f>72*$R$13</f>
        <v>867.6</v>
      </c>
      <c r="T78" s="102">
        <f>SUM(H78:R78)</f>
        <v>8756.3379999999997</v>
      </c>
      <c r="U78" s="102"/>
      <c r="V78" s="103">
        <v>1459.39</v>
      </c>
      <c r="W78" s="104">
        <v>0</v>
      </c>
      <c r="X78" s="105">
        <v>0</v>
      </c>
      <c r="Y78" s="330">
        <f>$Y$14</f>
        <v>230</v>
      </c>
      <c r="Z78" s="107">
        <f>Y78*7</f>
        <v>1610</v>
      </c>
      <c r="AA78" s="108">
        <f>V78*6</f>
        <v>8756.34</v>
      </c>
      <c r="AB78" s="329">
        <f>AA78+Z78</f>
        <v>10366.34</v>
      </c>
    </row>
    <row r="79" spans="1:28" customFormat="1" ht="8.25" customHeight="1">
      <c r="A79" s="299"/>
      <c r="C79" s="281"/>
      <c r="D79" s="58"/>
      <c r="E79" s="327"/>
      <c r="F79" s="281"/>
      <c r="H79" s="101"/>
      <c r="I79" s="101"/>
      <c r="L79" s="101"/>
      <c r="M79" s="101"/>
      <c r="N79" s="101"/>
      <c r="O79" s="101"/>
      <c r="P79" s="101"/>
      <c r="Q79" s="101"/>
      <c r="R79" s="101"/>
      <c r="T79" s="102"/>
      <c r="U79" s="102"/>
      <c r="V79" s="103"/>
      <c r="W79" s="104">
        <v>0</v>
      </c>
      <c r="X79" s="105">
        <v>0</v>
      </c>
      <c r="Y79" s="330"/>
      <c r="Z79" s="107"/>
      <c r="AA79" s="108"/>
      <c r="AB79" s="329"/>
    </row>
    <row r="80" spans="1:28" customFormat="1">
      <c r="A80" s="299" t="s">
        <v>110</v>
      </c>
      <c r="B80" s="281" t="s">
        <v>90</v>
      </c>
      <c r="C80" s="281" t="s">
        <v>91</v>
      </c>
      <c r="D80" s="58">
        <v>5871</v>
      </c>
      <c r="E80" s="327" t="s">
        <v>92</v>
      </c>
      <c r="F80" s="281">
        <v>0</v>
      </c>
      <c r="H80" s="101">
        <f>D80</f>
        <v>5871</v>
      </c>
      <c r="I80" s="101">
        <f>H80*I$13</f>
        <v>587.1</v>
      </c>
      <c r="L80" s="101"/>
      <c r="M80" s="101">
        <f>(H80+I80)*M$13</f>
        <v>165.45652200000001</v>
      </c>
      <c r="N80" s="101">
        <f>(H80+I80)*N$13</f>
        <v>319.67595000000006</v>
      </c>
      <c r="O80" s="101">
        <f>(H80+I80)*O$13</f>
        <v>182.11842000000001</v>
      </c>
      <c r="P80" s="101"/>
      <c r="Q80" s="101"/>
      <c r="R80" s="101">
        <f>72*$R$13</f>
        <v>867.6</v>
      </c>
      <c r="T80" s="102">
        <f>SUM(H80:R80)</f>
        <v>7992.9508920000007</v>
      </c>
      <c r="U80" s="102"/>
      <c r="V80" s="103">
        <v>1332.16</v>
      </c>
      <c r="W80" s="104">
        <v>0</v>
      </c>
      <c r="X80" s="105">
        <v>0</v>
      </c>
      <c r="Y80" s="330">
        <f>$Y$14</f>
        <v>230</v>
      </c>
      <c r="Z80" s="107">
        <f>Y80*7</f>
        <v>1610</v>
      </c>
      <c r="AA80" s="108">
        <f>V80*6</f>
        <v>7992.9600000000009</v>
      </c>
      <c r="AB80" s="329">
        <f>AA80+Z80</f>
        <v>9602.9600000000009</v>
      </c>
    </row>
    <row r="81" spans="1:28" customFormat="1">
      <c r="A81" s="299"/>
      <c r="B81" s="281" t="s">
        <v>93</v>
      </c>
      <c r="C81" s="281" t="s">
        <v>91</v>
      </c>
      <c r="D81" s="58">
        <v>6500</v>
      </c>
      <c r="E81" s="327" t="s">
        <v>92</v>
      </c>
      <c r="F81" s="281">
        <v>0</v>
      </c>
      <c r="H81" s="101">
        <f>D81</f>
        <v>6500</v>
      </c>
      <c r="I81" s="101">
        <f>H81*I$13</f>
        <v>650</v>
      </c>
      <c r="L81" s="101"/>
      <c r="M81" s="101">
        <f>(H81+I81)*M$13</f>
        <v>183.18299999999999</v>
      </c>
      <c r="N81" s="101">
        <f>(H81+I81)*N$13</f>
        <v>353.92500000000001</v>
      </c>
      <c r="O81" s="101">
        <f>(H81+I81)*O$13</f>
        <v>201.63</v>
      </c>
      <c r="P81" s="101"/>
      <c r="Q81" s="101"/>
      <c r="R81" s="101">
        <f>72*$R$13</f>
        <v>867.6</v>
      </c>
      <c r="T81" s="102">
        <f>SUM(H81:R81)</f>
        <v>8756.3379999999997</v>
      </c>
      <c r="U81" s="102"/>
      <c r="V81" s="103">
        <v>1459.39</v>
      </c>
      <c r="W81" s="104">
        <v>0</v>
      </c>
      <c r="X81" s="105">
        <v>0</v>
      </c>
      <c r="Y81" s="330">
        <f>$Y$14</f>
        <v>230</v>
      </c>
      <c r="Z81" s="107">
        <f>Y81*7</f>
        <v>1610</v>
      </c>
      <c r="AA81" s="108">
        <f>V81*6</f>
        <v>8756.34</v>
      </c>
      <c r="AB81" s="329">
        <f>AA81+Z81</f>
        <v>10366.34</v>
      </c>
    </row>
    <row r="82" spans="1:28" customFormat="1" ht="8.25" customHeight="1">
      <c r="A82" s="299"/>
      <c r="C82" s="281"/>
      <c r="D82" s="58"/>
      <c r="E82" s="327"/>
      <c r="F82" s="281"/>
      <c r="H82" s="101"/>
      <c r="I82" s="101"/>
      <c r="L82" s="101"/>
      <c r="M82" s="101"/>
      <c r="N82" s="101"/>
      <c r="O82" s="101"/>
      <c r="P82" s="101"/>
      <c r="Q82" s="101"/>
      <c r="R82" s="101"/>
      <c r="T82" s="102"/>
      <c r="U82" s="102"/>
      <c r="V82" s="103"/>
      <c r="W82" s="104">
        <v>0</v>
      </c>
      <c r="X82" s="105">
        <v>0</v>
      </c>
      <c r="Y82" s="330"/>
      <c r="Z82" s="107"/>
      <c r="AA82" s="108"/>
      <c r="AB82" s="329"/>
    </row>
    <row r="83" spans="1:28" customFormat="1">
      <c r="A83" s="299" t="s">
        <v>111</v>
      </c>
      <c r="B83" s="281" t="s">
        <v>90</v>
      </c>
      <c r="C83" s="281" t="s">
        <v>91</v>
      </c>
      <c r="D83" s="58">
        <v>5871</v>
      </c>
      <c r="E83" s="327" t="s">
        <v>92</v>
      </c>
      <c r="F83" s="281">
        <v>0</v>
      </c>
      <c r="H83" s="101">
        <f>D83</f>
        <v>5871</v>
      </c>
      <c r="I83" s="101">
        <f>H83*I$13</f>
        <v>587.1</v>
      </c>
      <c r="L83" s="101"/>
      <c r="M83" s="101">
        <f>(H83+I83)*M$13</f>
        <v>165.45652200000001</v>
      </c>
      <c r="N83" s="101">
        <f>(H83+I83)*N$13</f>
        <v>319.67595000000006</v>
      </c>
      <c r="O83" s="101">
        <f>(H83+I83)*O$13</f>
        <v>182.11842000000001</v>
      </c>
      <c r="P83" s="101"/>
      <c r="Q83" s="101"/>
      <c r="R83" s="101">
        <f>72*$R$13</f>
        <v>867.6</v>
      </c>
      <c r="T83" s="102">
        <f>SUM(H83:R83)</f>
        <v>7992.9508920000007</v>
      </c>
      <c r="U83" s="102"/>
      <c r="V83" s="103">
        <v>1332.16</v>
      </c>
      <c r="W83" s="104">
        <v>0</v>
      </c>
      <c r="X83" s="105">
        <v>0</v>
      </c>
      <c r="Y83" s="330">
        <f>$Y$14</f>
        <v>230</v>
      </c>
      <c r="Z83" s="107">
        <f>Y83*7</f>
        <v>1610</v>
      </c>
      <c r="AA83" s="108">
        <f>V83*6</f>
        <v>7992.9600000000009</v>
      </c>
      <c r="AB83" s="329">
        <f>AA83+Z83</f>
        <v>9602.9600000000009</v>
      </c>
    </row>
    <row r="84" spans="1:28" customFormat="1">
      <c r="A84" s="299"/>
      <c r="B84" s="281" t="s">
        <v>93</v>
      </c>
      <c r="C84" s="281" t="s">
        <v>91</v>
      </c>
      <c r="D84" s="58">
        <v>6500</v>
      </c>
      <c r="E84" s="327" t="s">
        <v>92</v>
      </c>
      <c r="F84" s="281">
        <v>0</v>
      </c>
      <c r="H84" s="101">
        <f>D84</f>
        <v>6500</v>
      </c>
      <c r="I84" s="101">
        <f>H84*I$13</f>
        <v>650</v>
      </c>
      <c r="L84" s="101"/>
      <c r="M84" s="101">
        <f>(H84+I84)*M$13</f>
        <v>183.18299999999999</v>
      </c>
      <c r="N84" s="101">
        <f>(H84+I84)*N$13</f>
        <v>353.92500000000001</v>
      </c>
      <c r="O84" s="101">
        <f>(H84+I84)*O$13</f>
        <v>201.63</v>
      </c>
      <c r="P84" s="101"/>
      <c r="Q84" s="101"/>
      <c r="R84" s="101">
        <f>72*$R$13</f>
        <v>867.6</v>
      </c>
      <c r="T84" s="102">
        <f>SUM(H84:R84)</f>
        <v>8756.3379999999997</v>
      </c>
      <c r="U84" s="102"/>
      <c r="V84" s="103">
        <v>1459.39</v>
      </c>
      <c r="W84" s="104">
        <v>0</v>
      </c>
      <c r="X84" s="105">
        <v>0</v>
      </c>
      <c r="Y84" s="330">
        <f>$Y$14</f>
        <v>230</v>
      </c>
      <c r="Z84" s="107">
        <f>Y84*7</f>
        <v>1610</v>
      </c>
      <c r="AA84" s="108">
        <f>V84*6</f>
        <v>8756.34</v>
      </c>
      <c r="AB84" s="329">
        <f>AA84+Z84</f>
        <v>10366.34</v>
      </c>
    </row>
    <row r="85" spans="1:28" customFormat="1" ht="8.25" customHeight="1">
      <c r="A85" s="299"/>
      <c r="C85" s="281"/>
      <c r="D85" s="58"/>
      <c r="E85" s="327"/>
      <c r="F85" s="281"/>
      <c r="H85" s="101"/>
      <c r="I85" s="101"/>
      <c r="L85" s="101"/>
      <c r="M85" s="101"/>
      <c r="N85" s="101"/>
      <c r="O85" s="101"/>
      <c r="P85" s="101"/>
      <c r="Q85" s="101"/>
      <c r="R85" s="101"/>
      <c r="T85" s="102"/>
      <c r="U85" s="102"/>
      <c r="V85" s="103"/>
      <c r="W85" s="104">
        <v>0</v>
      </c>
      <c r="X85" s="105">
        <v>0</v>
      </c>
      <c r="Y85" s="330"/>
      <c r="Z85" s="107"/>
      <c r="AA85" s="108"/>
      <c r="AB85" s="329"/>
    </row>
    <row r="86" spans="1:28" customFormat="1">
      <c r="A86" s="299" t="s">
        <v>112</v>
      </c>
      <c r="B86" s="281" t="s">
        <v>90</v>
      </c>
      <c r="C86" s="281" t="s">
        <v>91</v>
      </c>
      <c r="D86" s="331">
        <v>10500</v>
      </c>
      <c r="E86" s="327" t="s">
        <v>92</v>
      </c>
      <c r="F86" s="281">
        <v>0</v>
      </c>
      <c r="H86" s="101">
        <f>D86</f>
        <v>10500</v>
      </c>
      <c r="I86" s="101">
        <f>H86*I$13</f>
        <v>1050</v>
      </c>
      <c r="L86" s="101"/>
      <c r="M86" s="101">
        <f>(H86+I86)*M$13</f>
        <v>295.911</v>
      </c>
      <c r="N86" s="101">
        <f>(H86+I86)*N$13</f>
        <v>571.72500000000002</v>
      </c>
      <c r="O86" s="101">
        <f>(H86+I86)*O$13</f>
        <v>325.70999999999998</v>
      </c>
      <c r="P86" s="101"/>
      <c r="Q86" s="101"/>
      <c r="R86" s="101">
        <f>120*R$15</f>
        <v>1519.2</v>
      </c>
      <c r="T86" s="102">
        <f>SUM(H86:R86)</f>
        <v>14262.546</v>
      </c>
      <c r="U86" s="102"/>
      <c r="V86" s="103">
        <v>2377.09</v>
      </c>
      <c r="W86" s="104">
        <v>0</v>
      </c>
      <c r="X86" s="105">
        <v>0</v>
      </c>
      <c r="Y86" s="330">
        <f>$Y$14</f>
        <v>230</v>
      </c>
      <c r="Z86" s="107">
        <f>Y86*7</f>
        <v>1610</v>
      </c>
      <c r="AA86" s="108">
        <f>V86*6</f>
        <v>14262.54</v>
      </c>
      <c r="AB86" s="329">
        <f>AA86+Z86</f>
        <v>15872.54</v>
      </c>
    </row>
    <row r="87" spans="1:28" customFormat="1">
      <c r="A87" s="299"/>
      <c r="B87" s="281" t="s">
        <v>93</v>
      </c>
      <c r="C87" s="281" t="s">
        <v>91</v>
      </c>
      <c r="D87" s="58">
        <v>10100</v>
      </c>
      <c r="E87" s="327" t="s">
        <v>92</v>
      </c>
      <c r="F87" s="281">
        <v>0</v>
      </c>
      <c r="H87" s="101">
        <f>D87</f>
        <v>10100</v>
      </c>
      <c r="I87" s="101">
        <f>H87*I$13</f>
        <v>1010</v>
      </c>
      <c r="L87" s="101"/>
      <c r="M87" s="101">
        <f>(H87+I87)*M$13</f>
        <v>284.63819999999998</v>
      </c>
      <c r="N87" s="101">
        <f>(H87+I87)*N$13</f>
        <v>549.94500000000005</v>
      </c>
      <c r="O87" s="101">
        <f>(H87+I87)*O$13</f>
        <v>313.30200000000002</v>
      </c>
      <c r="P87" s="101"/>
      <c r="Q87" s="101"/>
      <c r="R87" s="101">
        <f>120*R$15</f>
        <v>1519.2</v>
      </c>
      <c r="T87" s="102">
        <f>SUM(H87:R87)</f>
        <v>13777.0852</v>
      </c>
      <c r="U87" s="102"/>
      <c r="V87" s="103">
        <v>2296.1799999999998</v>
      </c>
      <c r="W87" s="104">
        <v>0</v>
      </c>
      <c r="X87" s="105">
        <v>0</v>
      </c>
      <c r="Y87" s="330">
        <f>$Y$14</f>
        <v>230</v>
      </c>
      <c r="Z87" s="107">
        <f>Y87*7</f>
        <v>1610</v>
      </c>
      <c r="AA87" s="108">
        <f>V87*6</f>
        <v>13777.079999999998</v>
      </c>
      <c r="AB87" s="329">
        <f>AA87+Z87</f>
        <v>15387.079999999998</v>
      </c>
    </row>
    <row r="88" spans="1:28" customFormat="1" ht="8.25" customHeight="1">
      <c r="A88" s="299"/>
      <c r="C88" s="281"/>
      <c r="D88" s="58"/>
      <c r="E88" s="327"/>
      <c r="F88" s="281"/>
      <c r="H88" s="101"/>
      <c r="I88" s="101"/>
      <c r="L88" s="101"/>
      <c r="M88" s="101"/>
      <c r="N88" s="101"/>
      <c r="O88" s="101"/>
      <c r="P88" s="101"/>
      <c r="Q88" s="101"/>
      <c r="R88" s="101"/>
      <c r="T88" s="102"/>
      <c r="U88" s="102"/>
      <c r="V88" s="103"/>
      <c r="W88" s="104">
        <v>0</v>
      </c>
      <c r="X88" s="105">
        <v>0</v>
      </c>
      <c r="Y88" s="330"/>
      <c r="Z88" s="107"/>
      <c r="AA88" s="108"/>
      <c r="AB88" s="329"/>
    </row>
    <row r="89" spans="1:28" customFormat="1">
      <c r="A89" s="299" t="s">
        <v>113</v>
      </c>
      <c r="B89" s="281" t="s">
        <v>90</v>
      </c>
      <c r="C89" s="281" t="s">
        <v>91</v>
      </c>
      <c r="D89" s="331">
        <v>10500</v>
      </c>
      <c r="E89" s="327" t="s">
        <v>92</v>
      </c>
      <c r="F89" s="281">
        <v>0</v>
      </c>
      <c r="H89" s="101">
        <f>D89</f>
        <v>10500</v>
      </c>
      <c r="I89" s="101">
        <f>H89*I$13</f>
        <v>1050</v>
      </c>
      <c r="L89" s="101"/>
      <c r="M89" s="101">
        <f>(H89+I89)*M$13</f>
        <v>295.911</v>
      </c>
      <c r="N89" s="101">
        <f>(H89+I89)*N$13</f>
        <v>571.72500000000002</v>
      </c>
      <c r="O89" s="101">
        <f>(H89+I89)*O$13</f>
        <v>325.70999999999998</v>
      </c>
      <c r="P89" s="101"/>
      <c r="Q89" s="101"/>
      <c r="R89" s="101">
        <f>120*R$15</f>
        <v>1519.2</v>
      </c>
      <c r="T89" s="102">
        <f>SUM(H89:R89)</f>
        <v>14262.546</v>
      </c>
      <c r="U89" s="102"/>
      <c r="V89" s="103">
        <v>2377.09</v>
      </c>
      <c r="W89" s="104">
        <v>0</v>
      </c>
      <c r="X89" s="105">
        <v>0</v>
      </c>
      <c r="Y89" s="330">
        <f>$Y$14</f>
        <v>230</v>
      </c>
      <c r="Z89" s="107">
        <f>Y89*7</f>
        <v>1610</v>
      </c>
      <c r="AA89" s="108">
        <f>V89*6</f>
        <v>14262.54</v>
      </c>
      <c r="AB89" s="329">
        <f>AA89+Z89</f>
        <v>15872.54</v>
      </c>
    </row>
    <row r="90" spans="1:28" customFormat="1">
      <c r="A90" s="299"/>
      <c r="B90" s="281" t="s">
        <v>93</v>
      </c>
      <c r="C90" s="281" t="s">
        <v>91</v>
      </c>
      <c r="D90" s="58">
        <v>10100</v>
      </c>
      <c r="E90" s="327" t="s">
        <v>92</v>
      </c>
      <c r="F90" s="281">
        <v>0</v>
      </c>
      <c r="H90" s="101">
        <f>D90</f>
        <v>10100</v>
      </c>
      <c r="I90" s="101">
        <f>H90*I$13</f>
        <v>1010</v>
      </c>
      <c r="L90" s="101"/>
      <c r="M90" s="101">
        <f>(H90+I90)*M$13</f>
        <v>284.63819999999998</v>
      </c>
      <c r="N90" s="101">
        <f>(H90+I90)*N$13</f>
        <v>549.94500000000005</v>
      </c>
      <c r="O90" s="101">
        <f>(H90+I90)*O$13</f>
        <v>313.30200000000002</v>
      </c>
      <c r="P90" s="101"/>
      <c r="Q90" s="101"/>
      <c r="R90" s="101">
        <f>120*R$15</f>
        <v>1519.2</v>
      </c>
      <c r="T90" s="102">
        <f>SUM(H90:R90)</f>
        <v>13777.0852</v>
      </c>
      <c r="U90" s="102"/>
      <c r="V90" s="103">
        <v>2296.1799999999998</v>
      </c>
      <c r="W90" s="104">
        <v>0</v>
      </c>
      <c r="X90" s="105">
        <v>0</v>
      </c>
      <c r="Y90" s="330">
        <f>$Y$14</f>
        <v>230</v>
      </c>
      <c r="Z90" s="107">
        <f>Y90*7</f>
        <v>1610</v>
      </c>
      <c r="AA90" s="108">
        <f>V90*6</f>
        <v>13777.079999999998</v>
      </c>
      <c r="AB90" s="329">
        <f>AA90+Z90</f>
        <v>15387.079999999998</v>
      </c>
    </row>
    <row r="91" spans="1:28" customFormat="1" ht="8.25" customHeight="1">
      <c r="A91" s="299"/>
      <c r="C91" s="281"/>
      <c r="D91" s="58"/>
      <c r="E91" s="327"/>
      <c r="F91" s="281"/>
      <c r="H91" s="101"/>
      <c r="I91" s="101"/>
      <c r="L91" s="101"/>
      <c r="M91" s="101"/>
      <c r="N91" s="101"/>
      <c r="O91" s="101"/>
      <c r="P91" s="101"/>
      <c r="Q91" s="101"/>
      <c r="R91" s="101"/>
      <c r="T91" s="102"/>
      <c r="U91" s="102"/>
      <c r="V91" s="103"/>
      <c r="W91" s="104">
        <v>0</v>
      </c>
      <c r="X91" s="105">
        <v>0</v>
      </c>
      <c r="Y91" s="330"/>
      <c r="Z91" s="107"/>
      <c r="AA91" s="108"/>
      <c r="AB91" s="329"/>
    </row>
    <row r="92" spans="1:28" customFormat="1">
      <c r="A92" s="299" t="s">
        <v>114</v>
      </c>
      <c r="B92" s="281" t="s">
        <v>90</v>
      </c>
      <c r="C92" s="281" t="s">
        <v>91</v>
      </c>
      <c r="D92" s="331">
        <v>8400</v>
      </c>
      <c r="E92" s="327" t="s">
        <v>92</v>
      </c>
      <c r="F92" s="281">
        <v>0</v>
      </c>
      <c r="H92" s="101">
        <f>D92</f>
        <v>8400</v>
      </c>
      <c r="I92" s="101">
        <f>H92*I$13</f>
        <v>840</v>
      </c>
      <c r="L92" s="101"/>
      <c r="M92" s="101">
        <f>(H92+I92)*M$13</f>
        <v>236.72880000000001</v>
      </c>
      <c r="N92" s="101">
        <f>(H92+I92)*N$13</f>
        <v>457.38</v>
      </c>
      <c r="O92" s="101">
        <f>(H92+I92)*O$13</f>
        <v>260.56799999999998</v>
      </c>
      <c r="P92" s="101"/>
      <c r="Q92" s="101"/>
      <c r="R92" s="101">
        <f>120*R$15</f>
        <v>1519.2</v>
      </c>
      <c r="T92" s="102">
        <f>SUM(H92:R92)</f>
        <v>11713.8768</v>
      </c>
      <c r="U92" s="102"/>
      <c r="V92" s="103">
        <v>1952.31</v>
      </c>
      <c r="W92" s="104">
        <v>0</v>
      </c>
      <c r="X92" s="105">
        <v>0</v>
      </c>
      <c r="Y92" s="330">
        <f>$Y$14</f>
        <v>230</v>
      </c>
      <c r="Z92" s="107">
        <f>Y92*7</f>
        <v>1610</v>
      </c>
      <c r="AA92" s="108">
        <f>V92*6</f>
        <v>11713.86</v>
      </c>
      <c r="AB92" s="329">
        <f>AA92+Z92</f>
        <v>13323.86</v>
      </c>
    </row>
    <row r="93" spans="1:28" customFormat="1">
      <c r="A93" s="299"/>
      <c r="B93" s="281" t="s">
        <v>93</v>
      </c>
      <c r="C93" s="281" t="s">
        <v>91</v>
      </c>
      <c r="D93" s="58">
        <v>10100</v>
      </c>
      <c r="E93" s="327" t="s">
        <v>92</v>
      </c>
      <c r="F93" s="281">
        <v>0</v>
      </c>
      <c r="H93" s="101">
        <f>D93</f>
        <v>10100</v>
      </c>
      <c r="I93" s="101">
        <f>H93*I$13</f>
        <v>1010</v>
      </c>
      <c r="L93" s="101"/>
      <c r="M93" s="101">
        <f>(H93+I93)*M$13</f>
        <v>284.63819999999998</v>
      </c>
      <c r="N93" s="101">
        <f>(H93+I93)*N$13</f>
        <v>549.94500000000005</v>
      </c>
      <c r="O93" s="101">
        <f>(H93+I93)*O$13</f>
        <v>313.30200000000002</v>
      </c>
      <c r="P93" s="101"/>
      <c r="Q93" s="101"/>
      <c r="R93" s="101">
        <f>120*R$15</f>
        <v>1519.2</v>
      </c>
      <c r="T93" s="102">
        <f>SUM(H93:R93)</f>
        <v>13777.0852</v>
      </c>
      <c r="U93" s="102"/>
      <c r="V93" s="103">
        <v>2296.1799999999998</v>
      </c>
      <c r="W93" s="104">
        <v>0</v>
      </c>
      <c r="X93" s="105">
        <v>0</v>
      </c>
      <c r="Y93" s="330">
        <f>$Y$14</f>
        <v>230</v>
      </c>
      <c r="Z93" s="107">
        <f>Y93*7</f>
        <v>1610</v>
      </c>
      <c r="AA93" s="108">
        <f>V93*6</f>
        <v>13777.079999999998</v>
      </c>
      <c r="AB93" s="329">
        <f>AA93+Z93</f>
        <v>15387.079999999998</v>
      </c>
    </row>
    <row r="94" spans="1:28" customFormat="1" ht="8.25" customHeight="1">
      <c r="A94" s="299"/>
      <c r="C94" s="281"/>
      <c r="D94" s="58"/>
      <c r="E94" s="327"/>
      <c r="F94" s="281"/>
      <c r="H94" s="101"/>
      <c r="I94" s="101"/>
      <c r="L94" s="101"/>
      <c r="M94" s="101"/>
      <c r="N94" s="101"/>
      <c r="O94" s="101"/>
      <c r="P94" s="101"/>
      <c r="Q94" s="101"/>
      <c r="R94" s="101"/>
      <c r="T94" s="102"/>
      <c r="U94" s="102"/>
      <c r="V94" s="103"/>
      <c r="W94" s="104">
        <v>0</v>
      </c>
      <c r="X94" s="105">
        <v>0</v>
      </c>
      <c r="Y94" s="330"/>
      <c r="Z94" s="107"/>
      <c r="AA94" s="108"/>
      <c r="AB94" s="329"/>
    </row>
    <row r="95" spans="1:28" customFormat="1">
      <c r="A95" s="299" t="s">
        <v>115</v>
      </c>
      <c r="B95" s="281" t="s">
        <v>90</v>
      </c>
      <c r="C95" s="281" t="s">
        <v>91</v>
      </c>
      <c r="D95" s="331">
        <v>8400</v>
      </c>
      <c r="E95" s="327" t="s">
        <v>92</v>
      </c>
      <c r="F95" s="281">
        <v>0</v>
      </c>
      <c r="H95" s="101">
        <f>D95</f>
        <v>8400</v>
      </c>
      <c r="I95" s="101">
        <f>H95*I$13</f>
        <v>840</v>
      </c>
      <c r="L95" s="101"/>
      <c r="M95" s="101">
        <f>(H95+I95)*M$13</f>
        <v>236.72880000000001</v>
      </c>
      <c r="N95" s="101">
        <f>(H95+I95)*N$13</f>
        <v>457.38</v>
      </c>
      <c r="O95" s="101">
        <f>(H95+I95)*O$13</f>
        <v>260.56799999999998</v>
      </c>
      <c r="P95" s="101"/>
      <c r="Q95" s="101"/>
      <c r="R95" s="101">
        <f>120*R$15</f>
        <v>1519.2</v>
      </c>
      <c r="T95" s="102">
        <f>SUM(H95:R95)</f>
        <v>11713.8768</v>
      </c>
      <c r="U95" s="102"/>
      <c r="V95" s="103">
        <v>1952.31</v>
      </c>
      <c r="W95" s="104">
        <v>0</v>
      </c>
      <c r="X95" s="105">
        <v>0</v>
      </c>
      <c r="Y95" s="330">
        <f>$Y$14</f>
        <v>230</v>
      </c>
      <c r="Z95" s="107">
        <f>Y95*7</f>
        <v>1610</v>
      </c>
      <c r="AA95" s="108">
        <f>V95*6</f>
        <v>11713.86</v>
      </c>
      <c r="AB95" s="329">
        <f>AA95+Z95</f>
        <v>13323.86</v>
      </c>
    </row>
    <row r="96" spans="1:28" customFormat="1">
      <c r="A96" s="299"/>
      <c r="B96" s="281" t="s">
        <v>93</v>
      </c>
      <c r="C96" s="281" t="s">
        <v>91</v>
      </c>
      <c r="D96" s="58">
        <v>8925</v>
      </c>
      <c r="E96" s="327" t="s">
        <v>92</v>
      </c>
      <c r="F96" s="281">
        <v>0</v>
      </c>
      <c r="H96" s="101">
        <f>D96</f>
        <v>8925</v>
      </c>
      <c r="I96" s="101">
        <f>H96*I$13</f>
        <v>892.5</v>
      </c>
      <c r="L96" s="101"/>
      <c r="M96" s="101">
        <f>(H96+I96)*M$13</f>
        <v>251.52435</v>
      </c>
      <c r="N96" s="101">
        <f>(H96+I96)*N$13</f>
        <v>485.96625</v>
      </c>
      <c r="O96" s="101">
        <f>(H96+I96)*O$13</f>
        <v>276.8535</v>
      </c>
      <c r="P96" s="101"/>
      <c r="Q96" s="101"/>
      <c r="R96" s="101">
        <f>120*R$15</f>
        <v>1519.2</v>
      </c>
      <c r="T96" s="102">
        <f>SUM(H96:R96)</f>
        <v>12351.044099999999</v>
      </c>
      <c r="U96" s="102"/>
      <c r="V96" s="103">
        <v>2058.5100000000002</v>
      </c>
      <c r="W96" s="104">
        <v>0</v>
      </c>
      <c r="X96" s="105">
        <v>0</v>
      </c>
      <c r="Y96" s="330">
        <f>$Y$14</f>
        <v>230</v>
      </c>
      <c r="Z96" s="107">
        <f>Y96*7</f>
        <v>1610</v>
      </c>
      <c r="AA96" s="108">
        <f>V96*6</f>
        <v>12351.060000000001</v>
      </c>
      <c r="AB96" s="329">
        <f>AA96+Z96</f>
        <v>13961.060000000001</v>
      </c>
    </row>
    <row r="97" spans="1:28" customFormat="1" ht="8.25" customHeight="1">
      <c r="A97" s="299"/>
      <c r="C97" s="281"/>
      <c r="D97" s="58"/>
      <c r="E97" s="327"/>
      <c r="F97" s="281"/>
      <c r="H97" s="101"/>
      <c r="I97" s="101"/>
      <c r="L97" s="101"/>
      <c r="M97" s="101"/>
      <c r="N97" s="101"/>
      <c r="O97" s="101"/>
      <c r="P97" s="101"/>
      <c r="Q97" s="101"/>
      <c r="R97" s="101"/>
      <c r="T97" s="102"/>
      <c r="U97" s="102"/>
      <c r="V97" s="103"/>
      <c r="W97" s="104">
        <v>0</v>
      </c>
      <c r="X97" s="105">
        <v>0</v>
      </c>
      <c r="Y97" s="330"/>
      <c r="Z97" s="107"/>
      <c r="AA97" s="108"/>
      <c r="AB97" s="329"/>
    </row>
    <row r="98" spans="1:28" customFormat="1">
      <c r="A98" s="299" t="s">
        <v>116</v>
      </c>
      <c r="B98" s="281" t="s">
        <v>90</v>
      </c>
      <c r="C98" s="281" t="s">
        <v>91</v>
      </c>
      <c r="D98" s="331">
        <v>8400</v>
      </c>
      <c r="E98" s="327" t="s">
        <v>92</v>
      </c>
      <c r="F98" s="281">
        <v>0</v>
      </c>
      <c r="H98" s="101">
        <f>D98</f>
        <v>8400</v>
      </c>
      <c r="I98" s="101">
        <f>H98*I$13</f>
        <v>840</v>
      </c>
      <c r="L98" s="101"/>
      <c r="M98" s="101">
        <f>(H98+I98)*M$13</f>
        <v>236.72880000000001</v>
      </c>
      <c r="N98" s="101">
        <f>(H98+I98)*N$13</f>
        <v>457.38</v>
      </c>
      <c r="O98" s="101">
        <f>(H98+I98)*O$13</f>
        <v>260.56799999999998</v>
      </c>
      <c r="P98" s="101"/>
      <c r="Q98" s="101"/>
      <c r="R98" s="101">
        <f>120*R$15</f>
        <v>1519.2</v>
      </c>
      <c r="T98" s="102">
        <f>SUM(H98:R98)</f>
        <v>11713.8768</v>
      </c>
      <c r="U98" s="102"/>
      <c r="V98" s="103">
        <v>1952.31</v>
      </c>
      <c r="W98" s="104">
        <v>0</v>
      </c>
      <c r="X98" s="105">
        <v>0</v>
      </c>
      <c r="Y98" s="330">
        <f>$Y$14</f>
        <v>230</v>
      </c>
      <c r="Z98" s="107">
        <f>Y98*7</f>
        <v>1610</v>
      </c>
      <c r="AA98" s="108">
        <f>V98*6</f>
        <v>11713.86</v>
      </c>
      <c r="AB98" s="329">
        <f>AA98+Z98</f>
        <v>13323.86</v>
      </c>
    </row>
    <row r="99" spans="1:28" customFormat="1">
      <c r="A99" s="299"/>
      <c r="B99" s="281" t="s">
        <v>93</v>
      </c>
      <c r="C99" s="281" t="s">
        <v>91</v>
      </c>
      <c r="D99" s="58">
        <v>8925</v>
      </c>
      <c r="E99" s="327" t="s">
        <v>92</v>
      </c>
      <c r="F99" s="281">
        <v>0</v>
      </c>
      <c r="H99" s="101">
        <f>D99</f>
        <v>8925</v>
      </c>
      <c r="I99" s="101">
        <f>H99*I$13</f>
        <v>892.5</v>
      </c>
      <c r="L99" s="101"/>
      <c r="M99" s="101">
        <f>(H99+I99)*M$13</f>
        <v>251.52435</v>
      </c>
      <c r="N99" s="101">
        <f>(H99+I99)*N$13</f>
        <v>485.96625</v>
      </c>
      <c r="O99" s="101">
        <f>(H99+I99)*O$13</f>
        <v>276.8535</v>
      </c>
      <c r="P99" s="101"/>
      <c r="Q99" s="101"/>
      <c r="R99" s="101">
        <f>120*R$15</f>
        <v>1519.2</v>
      </c>
      <c r="T99" s="102">
        <f>SUM(H99:R99)</f>
        <v>12351.044099999999</v>
      </c>
      <c r="U99" s="102"/>
      <c r="V99" s="103">
        <v>2058.5100000000002</v>
      </c>
      <c r="W99" s="104">
        <v>0</v>
      </c>
      <c r="X99" s="105">
        <v>0</v>
      </c>
      <c r="Y99" s="330">
        <f>$Y$14</f>
        <v>230</v>
      </c>
      <c r="Z99" s="107">
        <f>Y99*7</f>
        <v>1610</v>
      </c>
      <c r="AA99" s="108">
        <f>V99*6</f>
        <v>12351.060000000001</v>
      </c>
      <c r="AB99" s="329">
        <f>AA99+Z99</f>
        <v>13961.060000000001</v>
      </c>
    </row>
    <row r="100" spans="1:28" customFormat="1" ht="8.25" customHeight="1">
      <c r="A100" s="299"/>
      <c r="C100" s="281"/>
      <c r="D100" s="58"/>
      <c r="E100" s="327"/>
      <c r="F100" s="281"/>
      <c r="H100" s="101"/>
      <c r="I100" s="101"/>
      <c r="L100" s="101"/>
      <c r="M100" s="101"/>
      <c r="N100" s="101"/>
      <c r="O100" s="101"/>
      <c r="P100" s="101"/>
      <c r="Q100" s="101"/>
      <c r="R100" s="101"/>
      <c r="T100" s="102"/>
      <c r="U100" s="102"/>
      <c r="V100" s="103"/>
      <c r="W100" s="104">
        <v>0</v>
      </c>
      <c r="X100" s="105">
        <v>0</v>
      </c>
      <c r="Y100" s="330"/>
      <c r="Z100" s="107"/>
      <c r="AA100" s="108"/>
      <c r="AB100" s="329"/>
    </row>
    <row r="101" spans="1:28" customFormat="1">
      <c r="A101" s="299" t="s">
        <v>117</v>
      </c>
      <c r="B101" s="281" t="s">
        <v>90</v>
      </c>
      <c r="C101" s="281" t="s">
        <v>91</v>
      </c>
      <c r="D101" s="331">
        <v>8400</v>
      </c>
      <c r="E101" s="327" t="s">
        <v>92</v>
      </c>
      <c r="F101" s="281">
        <v>0</v>
      </c>
      <c r="H101" s="101">
        <f>D101</f>
        <v>8400</v>
      </c>
      <c r="I101" s="101">
        <f>H101*I$13</f>
        <v>840</v>
      </c>
      <c r="L101" s="101"/>
      <c r="M101" s="101">
        <f>(H101+I101)*M$13</f>
        <v>236.72880000000001</v>
      </c>
      <c r="N101" s="101">
        <f>(H101+I101)*N$13</f>
        <v>457.38</v>
      </c>
      <c r="O101" s="101">
        <f>(H101+I101)*O$13</f>
        <v>260.56799999999998</v>
      </c>
      <c r="P101" s="101"/>
      <c r="Q101" s="101"/>
      <c r="R101" s="101">
        <f>120*R$15</f>
        <v>1519.2</v>
      </c>
      <c r="T101" s="102">
        <f>SUM(H101:R101)</f>
        <v>11713.8768</v>
      </c>
      <c r="U101" s="102"/>
      <c r="V101" s="103">
        <v>1952.31</v>
      </c>
      <c r="W101" s="104">
        <v>0</v>
      </c>
      <c r="X101" s="105">
        <v>0</v>
      </c>
      <c r="Y101" s="330">
        <f>$Y$14</f>
        <v>230</v>
      </c>
      <c r="Z101" s="107">
        <f>Y101*7</f>
        <v>1610</v>
      </c>
      <c r="AA101" s="108">
        <f>V101*6</f>
        <v>11713.86</v>
      </c>
      <c r="AB101" s="329">
        <f>AA101+Z101</f>
        <v>13323.86</v>
      </c>
    </row>
    <row r="102" spans="1:28" customFormat="1">
      <c r="A102" s="299"/>
      <c r="B102" s="281" t="s">
        <v>93</v>
      </c>
      <c r="C102" s="281" t="s">
        <v>91</v>
      </c>
      <c r="D102" s="58">
        <v>8925</v>
      </c>
      <c r="E102" s="327" t="s">
        <v>92</v>
      </c>
      <c r="F102" s="281">
        <v>0</v>
      </c>
      <c r="H102" s="101">
        <f>D102</f>
        <v>8925</v>
      </c>
      <c r="I102" s="101">
        <f>H102*I$13</f>
        <v>892.5</v>
      </c>
      <c r="L102" s="101"/>
      <c r="M102" s="101">
        <f>(H102+I102)*M$13</f>
        <v>251.52435</v>
      </c>
      <c r="N102" s="101">
        <f>(H102+I102)*N$13</f>
        <v>485.96625</v>
      </c>
      <c r="O102" s="101">
        <f>(H102+I102)*O$13</f>
        <v>276.8535</v>
      </c>
      <c r="P102" s="101"/>
      <c r="Q102" s="101"/>
      <c r="R102" s="101">
        <f>120*R$15</f>
        <v>1519.2</v>
      </c>
      <c r="T102" s="102">
        <f>SUM(H102:R102)</f>
        <v>12351.044099999999</v>
      </c>
      <c r="U102" s="102"/>
      <c r="V102" s="103">
        <v>2058.5100000000002</v>
      </c>
      <c r="W102" s="104">
        <v>0</v>
      </c>
      <c r="X102" s="105">
        <v>0</v>
      </c>
      <c r="Y102" s="330">
        <f>$Y$14</f>
        <v>230</v>
      </c>
      <c r="Z102" s="107">
        <f>Y102*7</f>
        <v>1610</v>
      </c>
      <c r="AA102" s="108">
        <f>V102*6</f>
        <v>12351.060000000001</v>
      </c>
      <c r="AB102" s="329">
        <f>AA102+Z102</f>
        <v>13961.060000000001</v>
      </c>
    </row>
    <row r="103" spans="1:28" customFormat="1" ht="8.25" customHeight="1">
      <c r="A103" s="299"/>
      <c r="C103" s="281"/>
      <c r="D103" s="58"/>
      <c r="E103" s="327"/>
      <c r="F103" s="281"/>
      <c r="H103" s="101"/>
      <c r="I103" s="101"/>
      <c r="L103" s="101"/>
      <c r="M103" s="101"/>
      <c r="N103" s="101"/>
      <c r="O103" s="101"/>
      <c r="P103" s="101"/>
      <c r="Q103" s="101"/>
      <c r="R103" s="101"/>
      <c r="T103" s="102"/>
      <c r="U103" s="102"/>
      <c r="V103" s="103"/>
      <c r="W103" s="104">
        <v>0</v>
      </c>
      <c r="X103" s="105">
        <v>0</v>
      </c>
      <c r="Y103" s="330"/>
      <c r="Z103" s="107"/>
      <c r="AA103" s="108"/>
      <c r="AB103" s="329"/>
    </row>
    <row r="104" spans="1:28" customFormat="1">
      <c r="A104" s="299" t="s">
        <v>118</v>
      </c>
      <c r="B104" s="281" t="s">
        <v>90</v>
      </c>
      <c r="C104" s="281" t="s">
        <v>91</v>
      </c>
      <c r="D104" s="331">
        <v>8400</v>
      </c>
      <c r="E104" s="327" t="s">
        <v>92</v>
      </c>
      <c r="F104" s="281">
        <v>0</v>
      </c>
      <c r="H104" s="101">
        <f>D104</f>
        <v>8400</v>
      </c>
      <c r="I104" s="101">
        <f>H104*I$13</f>
        <v>840</v>
      </c>
      <c r="L104" s="101"/>
      <c r="M104" s="101">
        <f>(H104+I104)*M$13</f>
        <v>236.72880000000001</v>
      </c>
      <c r="N104" s="101">
        <f>(H104+I104)*N$13</f>
        <v>457.38</v>
      </c>
      <c r="O104" s="101">
        <f>(H104+I104)*O$13</f>
        <v>260.56799999999998</v>
      </c>
      <c r="P104" s="101"/>
      <c r="Q104" s="101"/>
      <c r="R104" s="101">
        <f>120*R$15</f>
        <v>1519.2</v>
      </c>
      <c r="T104" s="102">
        <f>SUM(H104:R104)</f>
        <v>11713.8768</v>
      </c>
      <c r="U104" s="102"/>
      <c r="V104" s="103">
        <v>1952.31</v>
      </c>
      <c r="W104" s="104">
        <v>0</v>
      </c>
      <c r="X104" s="105">
        <v>0</v>
      </c>
      <c r="Y104" s="330">
        <f>$Y$14</f>
        <v>230</v>
      </c>
      <c r="Z104" s="107">
        <f>Y104*7</f>
        <v>1610</v>
      </c>
      <c r="AA104" s="108">
        <f>V104*6</f>
        <v>11713.86</v>
      </c>
      <c r="AB104" s="329">
        <f>AA104+Z104</f>
        <v>13323.86</v>
      </c>
    </row>
    <row r="105" spans="1:28" customFormat="1">
      <c r="A105" s="299"/>
      <c r="B105" s="281" t="s">
        <v>93</v>
      </c>
      <c r="C105" s="281" t="s">
        <v>91</v>
      </c>
      <c r="D105" s="58">
        <v>8925</v>
      </c>
      <c r="E105" s="327" t="s">
        <v>92</v>
      </c>
      <c r="F105" s="281">
        <v>0</v>
      </c>
      <c r="H105" s="101">
        <f>D105</f>
        <v>8925</v>
      </c>
      <c r="I105" s="101">
        <f>H105*I$13</f>
        <v>892.5</v>
      </c>
      <c r="L105" s="101"/>
      <c r="M105" s="101">
        <f>(H105+I105)*M$13</f>
        <v>251.52435</v>
      </c>
      <c r="N105" s="101">
        <f>(H105+I105)*N$13</f>
        <v>485.96625</v>
      </c>
      <c r="O105" s="101">
        <f>(H105+I105)*O$13</f>
        <v>276.8535</v>
      </c>
      <c r="P105" s="101"/>
      <c r="Q105" s="101"/>
      <c r="R105" s="101">
        <f>120*R$15</f>
        <v>1519.2</v>
      </c>
      <c r="T105" s="102">
        <f>SUM(H105:R105)</f>
        <v>12351.044099999999</v>
      </c>
      <c r="U105" s="102"/>
      <c r="V105" s="103">
        <v>2058.5100000000002</v>
      </c>
      <c r="W105" s="104">
        <v>0</v>
      </c>
      <c r="X105" s="105">
        <v>0</v>
      </c>
      <c r="Y105" s="330">
        <f>$Y$14</f>
        <v>230</v>
      </c>
      <c r="Z105" s="107">
        <f>Y105*7</f>
        <v>1610</v>
      </c>
      <c r="AA105" s="108">
        <f>V105*6</f>
        <v>12351.060000000001</v>
      </c>
      <c r="AB105" s="329">
        <f>AA105+Z105</f>
        <v>13961.060000000001</v>
      </c>
    </row>
    <row r="106" spans="1:28" customFormat="1" ht="8.25" customHeight="1">
      <c r="A106" s="299"/>
      <c r="C106" s="281"/>
      <c r="D106" s="58"/>
      <c r="E106" s="327"/>
      <c r="F106" s="281"/>
      <c r="H106" s="101"/>
      <c r="I106" s="101"/>
      <c r="L106" s="101"/>
      <c r="M106" s="101"/>
      <c r="N106" s="101"/>
      <c r="O106" s="101"/>
      <c r="P106" s="101"/>
      <c r="Q106" s="101"/>
      <c r="R106" s="101"/>
      <c r="T106" s="102"/>
      <c r="U106" s="102"/>
      <c r="V106" s="103"/>
      <c r="W106" s="104">
        <v>0</v>
      </c>
      <c r="X106" s="105">
        <v>0</v>
      </c>
      <c r="Y106" s="330"/>
      <c r="Z106" s="107"/>
      <c r="AA106" s="108"/>
      <c r="AB106" s="329"/>
    </row>
    <row r="107" spans="1:28" customFormat="1">
      <c r="A107" s="299" t="s">
        <v>119</v>
      </c>
      <c r="B107" s="281" t="s">
        <v>90</v>
      </c>
      <c r="C107" s="281" t="s">
        <v>91</v>
      </c>
      <c r="D107" s="58">
        <v>5871</v>
      </c>
      <c r="E107" s="327" t="s">
        <v>92</v>
      </c>
      <c r="F107" s="281">
        <v>0</v>
      </c>
      <c r="H107" s="101">
        <f>D107</f>
        <v>5871</v>
      </c>
      <c r="I107" s="101">
        <f>H107*I$13</f>
        <v>587.1</v>
      </c>
      <c r="L107" s="101"/>
      <c r="M107" s="101">
        <f>(H107+I107)*M$13</f>
        <v>165.45652200000001</v>
      </c>
      <c r="N107" s="101">
        <f>(H107+I107)*N$13</f>
        <v>319.67595000000006</v>
      </c>
      <c r="O107" s="101">
        <f>(H107+I107)*O$13</f>
        <v>182.11842000000001</v>
      </c>
      <c r="P107" s="101"/>
      <c r="Q107" s="101"/>
      <c r="R107" s="101">
        <f>72*$R$13</f>
        <v>867.6</v>
      </c>
      <c r="T107" s="102">
        <f>SUM(H107:R107)</f>
        <v>7992.9508920000007</v>
      </c>
      <c r="U107" s="102"/>
      <c r="V107" s="103">
        <v>1332.16</v>
      </c>
      <c r="W107" s="104">
        <v>0</v>
      </c>
      <c r="X107" s="105">
        <v>0</v>
      </c>
      <c r="Y107" s="330">
        <f>$Y$15</f>
        <v>295</v>
      </c>
      <c r="Z107" s="107">
        <f>Y107*7</f>
        <v>2065</v>
      </c>
      <c r="AA107" s="108">
        <f>V107*6</f>
        <v>7992.9600000000009</v>
      </c>
      <c r="AB107" s="329">
        <f>AA107+Z107</f>
        <v>10057.960000000001</v>
      </c>
    </row>
    <row r="108" spans="1:28" customFormat="1">
      <c r="A108" s="299"/>
      <c r="B108" s="281" t="s">
        <v>93</v>
      </c>
      <c r="C108" s="281" t="s">
        <v>91</v>
      </c>
      <c r="D108" s="58">
        <v>6500</v>
      </c>
      <c r="E108" s="327" t="s">
        <v>92</v>
      </c>
      <c r="F108" s="281">
        <v>0</v>
      </c>
      <c r="H108" s="101">
        <f>D108</f>
        <v>6500</v>
      </c>
      <c r="I108" s="101">
        <f>H108*I$13</f>
        <v>650</v>
      </c>
      <c r="L108" s="101"/>
      <c r="M108" s="101">
        <f>(H108+I108)*M$13</f>
        <v>183.18299999999999</v>
      </c>
      <c r="N108" s="101">
        <f>(H108+I108)*N$13</f>
        <v>353.92500000000001</v>
      </c>
      <c r="O108" s="101">
        <f>(H108+I108)*O$13</f>
        <v>201.63</v>
      </c>
      <c r="P108" s="101"/>
      <c r="Q108" s="101"/>
      <c r="R108" s="101">
        <f>72*$R$13</f>
        <v>867.6</v>
      </c>
      <c r="T108" s="102">
        <f>SUM(H108:R108)</f>
        <v>8756.3379999999997</v>
      </c>
      <c r="U108" s="102"/>
      <c r="V108" s="103">
        <v>1459.39</v>
      </c>
      <c r="W108" s="104">
        <v>0</v>
      </c>
      <c r="X108" s="105">
        <v>0</v>
      </c>
      <c r="Y108" s="330">
        <f>$Y$15</f>
        <v>295</v>
      </c>
      <c r="Z108" s="107">
        <f>Y108*7</f>
        <v>2065</v>
      </c>
      <c r="AA108" s="108">
        <f>V108*6</f>
        <v>8756.34</v>
      </c>
      <c r="AB108" s="329">
        <f>AA108+Z108</f>
        <v>10821.34</v>
      </c>
    </row>
    <row r="109" spans="1:28" customFormat="1" ht="8.25" customHeight="1">
      <c r="A109" s="299"/>
      <c r="C109" s="281"/>
      <c r="D109" s="58"/>
      <c r="E109" s="327"/>
      <c r="F109" s="281"/>
      <c r="H109" s="101"/>
      <c r="I109" s="101"/>
      <c r="L109" s="101"/>
      <c r="M109" s="101"/>
      <c r="N109" s="101"/>
      <c r="O109" s="101"/>
      <c r="P109" s="101"/>
      <c r="Q109" s="101"/>
      <c r="R109" s="101"/>
      <c r="T109" s="102"/>
      <c r="U109" s="102"/>
      <c r="V109" s="103"/>
      <c r="W109" s="104">
        <v>0</v>
      </c>
      <c r="X109" s="105">
        <v>0</v>
      </c>
      <c r="Y109" s="330"/>
      <c r="Z109" s="107"/>
      <c r="AA109" s="108"/>
      <c r="AB109" s="329"/>
    </row>
    <row r="110" spans="1:28" customFormat="1">
      <c r="A110" s="299" t="s">
        <v>120</v>
      </c>
      <c r="B110" s="281" t="s">
        <v>90</v>
      </c>
      <c r="C110" s="281" t="s">
        <v>91</v>
      </c>
      <c r="D110" s="58">
        <v>5150</v>
      </c>
      <c r="E110" s="327" t="s">
        <v>92</v>
      </c>
      <c r="F110" s="281">
        <v>0</v>
      </c>
      <c r="H110" s="101">
        <f>D110</f>
        <v>5150</v>
      </c>
      <c r="I110" s="101">
        <f>H110*I$13</f>
        <v>515</v>
      </c>
      <c r="L110" s="101"/>
      <c r="M110" s="101">
        <f>(H110+I110)*M$13</f>
        <v>145.13730000000001</v>
      </c>
      <c r="N110" s="101">
        <f>(H110+I110)*N$13</f>
        <v>280.41750000000002</v>
      </c>
      <c r="O110" s="101">
        <f>(H110+I110)*O$13</f>
        <v>159.75299999999999</v>
      </c>
      <c r="P110" s="101"/>
      <c r="Q110" s="101"/>
      <c r="R110" s="101">
        <f>72*$R$13</f>
        <v>867.6</v>
      </c>
      <c r="T110" s="102">
        <f>SUM(H110:R110)</f>
        <v>7117.9078</v>
      </c>
      <c r="U110" s="102"/>
      <c r="V110" s="103">
        <v>1186.32</v>
      </c>
      <c r="W110" s="104">
        <v>0</v>
      </c>
      <c r="X110" s="105">
        <v>0</v>
      </c>
      <c r="Y110" s="330">
        <f>$Y$14</f>
        <v>230</v>
      </c>
      <c r="Z110" s="107">
        <f>Y110*7</f>
        <v>1610</v>
      </c>
      <c r="AA110" s="108">
        <f>V110*6</f>
        <v>7117.92</v>
      </c>
      <c r="AB110" s="329">
        <f>AA110+Z110</f>
        <v>8727.92</v>
      </c>
    </row>
    <row r="111" spans="1:28" customFormat="1">
      <c r="A111" s="299"/>
      <c r="B111" s="281" t="s">
        <v>93</v>
      </c>
      <c r="C111" s="281" t="s">
        <v>91</v>
      </c>
      <c r="D111" s="58">
        <v>5800</v>
      </c>
      <c r="E111" s="327" t="s">
        <v>92</v>
      </c>
      <c r="F111" s="281">
        <v>0</v>
      </c>
      <c r="H111" s="101">
        <f>D111</f>
        <v>5800</v>
      </c>
      <c r="I111" s="101">
        <f>H111*I$13</f>
        <v>580</v>
      </c>
      <c r="L111" s="101"/>
      <c r="M111" s="101">
        <f>(H111+I111)*M$13</f>
        <v>163.4556</v>
      </c>
      <c r="N111" s="101">
        <f>(H111+I111)*N$13</f>
        <v>315.81</v>
      </c>
      <c r="O111" s="101">
        <f>(H111+I111)*O$13</f>
        <v>179.916</v>
      </c>
      <c r="P111" s="101"/>
      <c r="Q111" s="101"/>
      <c r="R111" s="101">
        <f>72*$R$13</f>
        <v>867.6</v>
      </c>
      <c r="T111" s="102">
        <f>SUM(H111:R111)</f>
        <v>7906.7816000000012</v>
      </c>
      <c r="U111" s="102"/>
      <c r="V111" s="103">
        <v>1317.8</v>
      </c>
      <c r="W111" s="104">
        <v>0</v>
      </c>
      <c r="X111" s="105">
        <v>0</v>
      </c>
      <c r="Y111" s="330">
        <f>$Y$14</f>
        <v>230</v>
      </c>
      <c r="Z111" s="107">
        <f>Y111*7</f>
        <v>1610</v>
      </c>
      <c r="AA111" s="108">
        <f>V111*6</f>
        <v>7906.7999999999993</v>
      </c>
      <c r="AB111" s="329">
        <f>AA111+Z111</f>
        <v>9516.7999999999993</v>
      </c>
    </row>
    <row r="112" spans="1:28" customFormat="1" ht="8.25" customHeight="1">
      <c r="A112" s="299"/>
      <c r="C112" s="281"/>
      <c r="D112" s="58"/>
      <c r="E112" s="327"/>
      <c r="F112" s="281"/>
      <c r="H112" s="101"/>
      <c r="I112" s="101"/>
      <c r="L112" s="101"/>
      <c r="M112" s="101"/>
      <c r="N112" s="101"/>
      <c r="O112" s="101"/>
      <c r="P112" s="101"/>
      <c r="Q112" s="101"/>
      <c r="R112" s="101"/>
      <c r="T112" s="102"/>
      <c r="U112" s="102"/>
      <c r="V112" s="103"/>
      <c r="W112" s="104">
        <v>0</v>
      </c>
      <c r="X112" s="105">
        <v>0</v>
      </c>
      <c r="Y112" s="330"/>
      <c r="Z112" s="107"/>
      <c r="AA112" s="108"/>
      <c r="AB112" s="329"/>
    </row>
    <row r="113" spans="1:28" customFormat="1">
      <c r="A113" s="299" t="s">
        <v>121</v>
      </c>
      <c r="B113" s="281" t="s">
        <v>90</v>
      </c>
      <c r="C113" s="281" t="s">
        <v>91</v>
      </c>
      <c r="D113" s="58">
        <v>9270</v>
      </c>
      <c r="E113" s="327" t="s">
        <v>92</v>
      </c>
      <c r="F113" s="281">
        <v>0</v>
      </c>
      <c r="H113" s="101">
        <f>D113</f>
        <v>9270</v>
      </c>
      <c r="I113" s="101">
        <f>H113*I$13</f>
        <v>927</v>
      </c>
      <c r="L113" s="101"/>
      <c r="M113" s="101">
        <f>(H113+I113)*M$13</f>
        <v>261.24714</v>
      </c>
      <c r="N113" s="101">
        <f>(H113+I113)*N$13</f>
        <v>504.75150000000002</v>
      </c>
      <c r="O113" s="101">
        <f>(H113+I113)*O$13</f>
        <v>287.55540000000002</v>
      </c>
      <c r="P113" s="101"/>
      <c r="Q113" s="101"/>
      <c r="R113" s="101">
        <f>72*$R$13</f>
        <v>867.6</v>
      </c>
      <c r="T113" s="102">
        <f>SUM(H113:R113)</f>
        <v>12118.154039999999</v>
      </c>
      <c r="U113" s="102"/>
      <c r="V113" s="103">
        <v>2019.69</v>
      </c>
      <c r="W113" s="104">
        <v>0</v>
      </c>
      <c r="X113" s="105">
        <v>0</v>
      </c>
      <c r="Y113" s="330">
        <v>295</v>
      </c>
      <c r="Z113" s="107">
        <f>Y113*7</f>
        <v>2065</v>
      </c>
      <c r="AA113" s="108">
        <f>V113*6</f>
        <v>12118.14</v>
      </c>
      <c r="AB113" s="329">
        <f>AA113+Z113</f>
        <v>14183.14</v>
      </c>
    </row>
    <row r="114" spans="1:28" customFormat="1">
      <c r="A114" s="299"/>
      <c r="B114" s="281" t="s">
        <v>93</v>
      </c>
      <c r="C114" s="281" t="s">
        <v>91</v>
      </c>
      <c r="D114" s="58">
        <v>11000</v>
      </c>
      <c r="E114" s="327" t="s">
        <v>92</v>
      </c>
      <c r="F114" s="281">
        <v>0</v>
      </c>
      <c r="H114" s="101">
        <f>D114</f>
        <v>11000</v>
      </c>
      <c r="I114" s="101">
        <f>H114*I$13</f>
        <v>1100</v>
      </c>
      <c r="L114" s="101"/>
      <c r="M114" s="101">
        <f>(H114+I114)*M$13</f>
        <v>310.00200000000001</v>
      </c>
      <c r="N114" s="101">
        <f>(H114+I114)*N$13</f>
        <v>598.95000000000005</v>
      </c>
      <c r="O114" s="101">
        <f>(H114+I114)*O$13</f>
        <v>341.21999999999997</v>
      </c>
      <c r="P114" s="101"/>
      <c r="Q114" s="101"/>
      <c r="R114" s="101">
        <f>72*$R$13</f>
        <v>867.6</v>
      </c>
      <c r="T114" s="102">
        <f>SUM(H114:R114)</f>
        <v>14217.772000000001</v>
      </c>
      <c r="U114" s="102"/>
      <c r="V114" s="103">
        <v>2369.63</v>
      </c>
      <c r="W114" s="104">
        <v>0</v>
      </c>
      <c r="X114" s="105">
        <v>0</v>
      </c>
      <c r="Y114" s="330">
        <v>295</v>
      </c>
      <c r="Z114" s="107">
        <f>Y114*7</f>
        <v>2065</v>
      </c>
      <c r="AA114" s="108">
        <f>V114*6</f>
        <v>14217.78</v>
      </c>
      <c r="AB114" s="329">
        <f>AA114+Z114</f>
        <v>16282.78</v>
      </c>
    </row>
    <row r="115" spans="1:28" customFormat="1" ht="8.25" customHeight="1">
      <c r="A115" s="299"/>
      <c r="C115" s="281"/>
      <c r="D115" s="58"/>
      <c r="E115" s="327"/>
      <c r="F115" s="281"/>
      <c r="H115" s="101"/>
      <c r="I115" s="101"/>
      <c r="L115" s="101"/>
      <c r="M115" s="101"/>
      <c r="N115" s="101"/>
      <c r="O115" s="101"/>
      <c r="P115" s="101"/>
      <c r="Q115" s="101"/>
      <c r="R115" s="101"/>
      <c r="T115" s="102"/>
      <c r="U115" s="102"/>
      <c r="V115" s="103"/>
      <c r="W115" s="104">
        <v>0</v>
      </c>
      <c r="X115" s="105">
        <v>0</v>
      </c>
      <c r="Y115" s="330"/>
      <c r="Z115" s="107"/>
      <c r="AA115" s="108"/>
      <c r="AB115" s="329"/>
    </row>
    <row r="116" spans="1:28" customFormat="1">
      <c r="A116" s="299" t="s">
        <v>122</v>
      </c>
      <c r="B116" s="281" t="s">
        <v>90</v>
      </c>
      <c r="C116" s="281" t="s">
        <v>91</v>
      </c>
      <c r="D116" s="58">
        <v>5150</v>
      </c>
      <c r="E116" s="327" t="s">
        <v>92</v>
      </c>
      <c r="F116" s="281">
        <v>0</v>
      </c>
      <c r="H116" s="101">
        <f>D116</f>
        <v>5150</v>
      </c>
      <c r="I116" s="101">
        <f>H116*I$13</f>
        <v>515</v>
      </c>
      <c r="L116" s="101"/>
      <c r="M116" s="101">
        <f>(H116+I116)*M$13</f>
        <v>145.13730000000001</v>
      </c>
      <c r="N116" s="101">
        <f>(H116+I116)*N$13</f>
        <v>280.41750000000002</v>
      </c>
      <c r="O116" s="101">
        <f>(H116+I116)*O$13</f>
        <v>159.75299999999999</v>
      </c>
      <c r="P116" s="101"/>
      <c r="Q116" s="101"/>
      <c r="R116" s="101">
        <f>72*$R$13</f>
        <v>867.6</v>
      </c>
      <c r="T116" s="102">
        <f>SUM(H116:R116)</f>
        <v>7117.9078</v>
      </c>
      <c r="U116" s="102"/>
      <c r="V116" s="103">
        <v>1186.32</v>
      </c>
      <c r="W116" s="104">
        <v>0</v>
      </c>
      <c r="X116" s="105">
        <v>0</v>
      </c>
      <c r="Y116" s="330">
        <f>$Y$14</f>
        <v>230</v>
      </c>
      <c r="Z116" s="107">
        <f>Y116*7</f>
        <v>1610</v>
      </c>
      <c r="AA116" s="108">
        <f>V116*6</f>
        <v>7117.92</v>
      </c>
      <c r="AB116" s="329">
        <f>AA116+Z116</f>
        <v>8727.92</v>
      </c>
    </row>
    <row r="117" spans="1:28" customFormat="1">
      <c r="A117" s="299"/>
      <c r="B117" s="281" t="s">
        <v>93</v>
      </c>
      <c r="C117" s="281" t="s">
        <v>91</v>
      </c>
      <c r="D117" s="58">
        <v>5800</v>
      </c>
      <c r="E117" s="327" t="s">
        <v>92</v>
      </c>
      <c r="F117" s="281">
        <v>0</v>
      </c>
      <c r="H117" s="101">
        <f>D117</f>
        <v>5800</v>
      </c>
      <c r="I117" s="101">
        <f>H117*I$13</f>
        <v>580</v>
      </c>
      <c r="L117" s="101"/>
      <c r="M117" s="101">
        <f>(H117+I117)*M$13</f>
        <v>163.4556</v>
      </c>
      <c r="N117" s="101">
        <f>(H117+I117)*N$13</f>
        <v>315.81</v>
      </c>
      <c r="O117" s="101">
        <f>(H117+I117)*O$13</f>
        <v>179.916</v>
      </c>
      <c r="P117" s="101"/>
      <c r="Q117" s="101"/>
      <c r="R117" s="101">
        <f>72*$R$13</f>
        <v>867.6</v>
      </c>
      <c r="T117" s="102">
        <f>SUM(H117:R117)</f>
        <v>7906.7816000000012</v>
      </c>
      <c r="U117" s="102"/>
      <c r="V117" s="103">
        <v>1317.8</v>
      </c>
      <c r="W117" s="104">
        <v>0</v>
      </c>
      <c r="X117" s="105">
        <v>0</v>
      </c>
      <c r="Y117" s="330">
        <f>$Y$14</f>
        <v>230</v>
      </c>
      <c r="Z117" s="107">
        <f>Y117*7</f>
        <v>1610</v>
      </c>
      <c r="AA117" s="108">
        <f>V117*6</f>
        <v>7906.7999999999993</v>
      </c>
      <c r="AB117" s="329">
        <f>AA117+Z117</f>
        <v>9516.7999999999993</v>
      </c>
    </row>
    <row r="118" spans="1:28" customFormat="1" ht="8.25" customHeight="1">
      <c r="A118" s="299"/>
      <c r="C118" s="281"/>
      <c r="D118" s="58"/>
      <c r="E118" s="327"/>
      <c r="F118" s="281"/>
      <c r="H118" s="101"/>
      <c r="I118" s="101"/>
      <c r="L118" s="101"/>
      <c r="M118" s="101"/>
      <c r="N118" s="101"/>
      <c r="O118" s="101"/>
      <c r="P118" s="101"/>
      <c r="Q118" s="101"/>
      <c r="R118" s="101"/>
      <c r="T118" s="102"/>
      <c r="U118" s="102"/>
      <c r="V118" s="103"/>
      <c r="W118" s="104">
        <v>0</v>
      </c>
      <c r="X118" s="105">
        <v>0</v>
      </c>
      <c r="Y118" s="330"/>
      <c r="Z118" s="107"/>
      <c r="AA118" s="108"/>
      <c r="AB118" s="329"/>
    </row>
    <row r="119" spans="1:28" customFormat="1">
      <c r="A119" s="299" t="s">
        <v>123</v>
      </c>
      <c r="B119" s="281" t="s">
        <v>90</v>
      </c>
      <c r="C119" s="281" t="s">
        <v>91</v>
      </c>
      <c r="D119" s="58">
        <v>5871</v>
      </c>
      <c r="E119" s="327" t="s">
        <v>92</v>
      </c>
      <c r="F119" s="281">
        <v>0</v>
      </c>
      <c r="H119" s="101">
        <f>D119</f>
        <v>5871</v>
      </c>
      <c r="I119" s="101">
        <f>H119*I$13</f>
        <v>587.1</v>
      </c>
      <c r="L119" s="101"/>
      <c r="M119" s="101">
        <f>(H119+I119)*M$13</f>
        <v>165.45652200000001</v>
      </c>
      <c r="N119" s="101">
        <f>(H119+I119)*N$13</f>
        <v>319.67595000000006</v>
      </c>
      <c r="O119" s="101">
        <f>(H119+I119)*O$13</f>
        <v>182.11842000000001</v>
      </c>
      <c r="P119" s="101"/>
      <c r="Q119" s="101"/>
      <c r="R119" s="101">
        <f>72*$R$13</f>
        <v>867.6</v>
      </c>
      <c r="T119" s="102">
        <f>SUM(H119:R119)</f>
        <v>7992.9508920000007</v>
      </c>
      <c r="U119" s="102"/>
      <c r="V119" s="103">
        <v>1332.16</v>
      </c>
      <c r="W119" s="104">
        <v>0</v>
      </c>
      <c r="X119" s="105">
        <v>0</v>
      </c>
      <c r="Y119" s="330">
        <f>$Y$14</f>
        <v>230</v>
      </c>
      <c r="Z119" s="107">
        <f>Y119*7</f>
        <v>1610</v>
      </c>
      <c r="AA119" s="108">
        <f>V119*6</f>
        <v>7992.9600000000009</v>
      </c>
      <c r="AB119" s="329">
        <f>AA119+Z119</f>
        <v>9602.9600000000009</v>
      </c>
    </row>
    <row r="120" spans="1:28" customFormat="1">
      <c r="A120" s="299"/>
      <c r="B120" s="281" t="s">
        <v>93</v>
      </c>
      <c r="C120" s="281" t="s">
        <v>91</v>
      </c>
      <c r="D120" s="58">
        <v>6500</v>
      </c>
      <c r="E120" s="327" t="s">
        <v>92</v>
      </c>
      <c r="F120" s="281">
        <v>0</v>
      </c>
      <c r="H120" s="101">
        <f>D120</f>
        <v>6500</v>
      </c>
      <c r="I120" s="101">
        <f>H120*I$13</f>
        <v>650</v>
      </c>
      <c r="L120" s="101"/>
      <c r="M120" s="101">
        <f>(H120+I120)*M$13</f>
        <v>183.18299999999999</v>
      </c>
      <c r="N120" s="101">
        <f>(H120+I120)*N$13</f>
        <v>353.92500000000001</v>
      </c>
      <c r="O120" s="101">
        <f>(H120+I120)*O$13</f>
        <v>201.63</v>
      </c>
      <c r="P120" s="101"/>
      <c r="Q120" s="101"/>
      <c r="R120" s="101">
        <f>72*$R$13</f>
        <v>867.6</v>
      </c>
      <c r="T120" s="102">
        <f>SUM(H120:R120)</f>
        <v>8756.3379999999997</v>
      </c>
      <c r="U120" s="102"/>
      <c r="V120" s="103">
        <v>1459.39</v>
      </c>
      <c r="W120" s="104">
        <v>0</v>
      </c>
      <c r="X120" s="105">
        <v>0</v>
      </c>
      <c r="Y120" s="330">
        <f>$Y$14</f>
        <v>230</v>
      </c>
      <c r="Z120" s="107">
        <f>Y120*7</f>
        <v>1610</v>
      </c>
      <c r="AA120" s="108">
        <f>V120*6</f>
        <v>8756.34</v>
      </c>
      <c r="AB120" s="329">
        <f>AA120+Z120</f>
        <v>10366.34</v>
      </c>
    </row>
    <row r="121" spans="1:28" customFormat="1" ht="8.25" customHeight="1">
      <c r="A121" s="299"/>
      <c r="C121" s="281"/>
      <c r="D121" s="58"/>
      <c r="E121" s="327"/>
      <c r="F121" s="281"/>
      <c r="H121" s="101"/>
      <c r="I121" s="101"/>
      <c r="L121" s="101"/>
      <c r="M121" s="101"/>
      <c r="N121" s="101"/>
      <c r="O121" s="101"/>
      <c r="P121" s="101"/>
      <c r="Q121" s="101"/>
      <c r="R121" s="101"/>
      <c r="T121" s="102"/>
      <c r="U121" s="102"/>
      <c r="V121" s="103"/>
      <c r="W121" s="104">
        <v>0</v>
      </c>
      <c r="X121" s="105">
        <v>0</v>
      </c>
      <c r="Y121" s="330"/>
      <c r="Z121" s="107"/>
      <c r="AA121" s="108"/>
      <c r="AB121" s="329"/>
    </row>
    <row r="122" spans="1:28" customFormat="1">
      <c r="A122" s="299" t="s">
        <v>124</v>
      </c>
      <c r="B122" s="281" t="s">
        <v>90</v>
      </c>
      <c r="C122" s="281" t="s">
        <v>91</v>
      </c>
      <c r="D122" s="58">
        <v>4635</v>
      </c>
      <c r="E122" s="327" t="s">
        <v>92</v>
      </c>
      <c r="F122" s="281">
        <v>0</v>
      </c>
      <c r="H122" s="101">
        <f>D122</f>
        <v>4635</v>
      </c>
      <c r="I122" s="101">
        <f>H122*I$13</f>
        <v>463.5</v>
      </c>
      <c r="L122" s="101"/>
      <c r="M122" s="101">
        <f>(H122+I122)*M$13</f>
        <v>130.62357</v>
      </c>
      <c r="N122" s="101">
        <f>(H122+I122)*N$13</f>
        <v>252.37575000000001</v>
      </c>
      <c r="O122" s="101">
        <f>(H122+I122)*O$13</f>
        <v>143.77770000000001</v>
      </c>
      <c r="P122" s="101"/>
      <c r="Q122" s="101"/>
      <c r="R122" s="101">
        <f>72*$R$13</f>
        <v>867.6</v>
      </c>
      <c r="T122" s="102">
        <f>SUM(H122:R122)</f>
        <v>6492.8770199999999</v>
      </c>
      <c r="U122" s="102"/>
      <c r="V122" s="103">
        <v>1082.1500000000001</v>
      </c>
      <c r="W122" s="104">
        <v>0</v>
      </c>
      <c r="X122" s="105">
        <v>0</v>
      </c>
      <c r="Y122" s="330">
        <f>$Y$14</f>
        <v>230</v>
      </c>
      <c r="Z122" s="107">
        <f>Y122*7</f>
        <v>1610</v>
      </c>
      <c r="AA122" s="108">
        <f>V122*6</f>
        <v>6492.9000000000005</v>
      </c>
      <c r="AB122" s="329">
        <f>AA122+Z122</f>
        <v>8102.9000000000005</v>
      </c>
    </row>
    <row r="123" spans="1:28" customFormat="1">
      <c r="A123" s="299"/>
      <c r="B123" s="281" t="s">
        <v>93</v>
      </c>
      <c r="C123" s="281" t="s">
        <v>91</v>
      </c>
      <c r="D123" s="58">
        <v>5300</v>
      </c>
      <c r="E123" s="327" t="s">
        <v>92</v>
      </c>
      <c r="F123" s="281">
        <v>0</v>
      </c>
      <c r="H123" s="101">
        <f>D123</f>
        <v>5300</v>
      </c>
      <c r="I123" s="101">
        <f>H123*I$13</f>
        <v>530</v>
      </c>
      <c r="L123" s="101"/>
      <c r="M123" s="101">
        <f>(H123+I123)*M$13</f>
        <v>149.3646</v>
      </c>
      <c r="N123" s="101">
        <f>(H123+I123)*N$13</f>
        <v>288.58500000000004</v>
      </c>
      <c r="O123" s="101">
        <f>(H123+I123)*O$13</f>
        <v>164.40600000000001</v>
      </c>
      <c r="P123" s="101"/>
      <c r="Q123" s="101"/>
      <c r="R123" s="101">
        <f>72*$R$13</f>
        <v>867.6</v>
      </c>
      <c r="T123" s="102">
        <f>SUM(H123:R123)</f>
        <v>7299.9556000000002</v>
      </c>
      <c r="U123" s="102"/>
      <c r="V123" s="103">
        <v>1216.6600000000001</v>
      </c>
      <c r="W123" s="104">
        <v>0</v>
      </c>
      <c r="X123" s="105">
        <v>0</v>
      </c>
      <c r="Y123" s="330">
        <f>$Y$14</f>
        <v>230</v>
      </c>
      <c r="Z123" s="107">
        <f>Y123*7</f>
        <v>1610</v>
      </c>
      <c r="AA123" s="108">
        <f>V123*6</f>
        <v>7299.9600000000009</v>
      </c>
      <c r="AB123" s="329">
        <f>AA123+Z123</f>
        <v>8909.9600000000009</v>
      </c>
    </row>
    <row r="124" spans="1:28" customFormat="1" ht="8.25" customHeight="1">
      <c r="A124" s="299"/>
      <c r="C124" s="281"/>
      <c r="D124" s="58"/>
      <c r="E124" s="327"/>
      <c r="F124" s="281"/>
      <c r="H124" s="101"/>
      <c r="I124" s="101"/>
      <c r="L124" s="101"/>
      <c r="M124" s="101"/>
      <c r="N124" s="101"/>
      <c r="O124" s="101"/>
      <c r="P124" s="101"/>
      <c r="Q124" s="101"/>
      <c r="R124" s="101"/>
      <c r="T124" s="102"/>
      <c r="U124" s="102"/>
      <c r="V124" s="103"/>
      <c r="W124" s="104">
        <v>0</v>
      </c>
      <c r="X124" s="105">
        <v>0</v>
      </c>
      <c r="Y124" s="330"/>
      <c r="Z124" s="107"/>
      <c r="AA124" s="108"/>
      <c r="AB124" s="329"/>
    </row>
    <row r="125" spans="1:28" customFormat="1">
      <c r="A125" s="299" t="s">
        <v>125</v>
      </c>
      <c r="B125" s="281" t="s">
        <v>90</v>
      </c>
      <c r="C125" s="281" t="s">
        <v>91</v>
      </c>
      <c r="D125" s="58">
        <v>5871</v>
      </c>
      <c r="E125" s="327" t="s">
        <v>92</v>
      </c>
      <c r="F125" s="281">
        <v>0</v>
      </c>
      <c r="H125" s="101">
        <f>D125</f>
        <v>5871</v>
      </c>
      <c r="I125" s="101">
        <f>H125*I$13</f>
        <v>587.1</v>
      </c>
      <c r="L125" s="101"/>
      <c r="M125" s="101">
        <f>(H125+I125)*M$13</f>
        <v>165.45652200000001</v>
      </c>
      <c r="N125" s="101">
        <f>(H125+I125)*N$13</f>
        <v>319.67595000000006</v>
      </c>
      <c r="O125" s="101">
        <f>(H125+I125)*O$13</f>
        <v>182.11842000000001</v>
      </c>
      <c r="P125" s="101"/>
      <c r="Q125" s="101"/>
      <c r="R125" s="101">
        <f>72*$R$13</f>
        <v>867.6</v>
      </c>
      <c r="T125" s="102">
        <f>SUM(H125:R125)</f>
        <v>7992.9508920000007</v>
      </c>
      <c r="U125" s="102"/>
      <c r="V125" s="103">
        <v>1332.16</v>
      </c>
      <c r="W125" s="104">
        <v>0</v>
      </c>
      <c r="X125" s="105">
        <v>0</v>
      </c>
      <c r="Y125" s="330">
        <f>$Y$14</f>
        <v>230</v>
      </c>
      <c r="Z125" s="107">
        <f>Y125*7</f>
        <v>1610</v>
      </c>
      <c r="AA125" s="108">
        <f>V125*6</f>
        <v>7992.9600000000009</v>
      </c>
      <c r="AB125" s="329">
        <f>AA125+Z125</f>
        <v>9602.9600000000009</v>
      </c>
    </row>
    <row r="126" spans="1:28" customFormat="1">
      <c r="A126" s="299"/>
      <c r="B126" s="281" t="s">
        <v>93</v>
      </c>
      <c r="C126" s="281" t="s">
        <v>91</v>
      </c>
      <c r="D126" s="58">
        <v>6500</v>
      </c>
      <c r="E126" s="327" t="s">
        <v>92</v>
      </c>
      <c r="F126" s="281">
        <v>0</v>
      </c>
      <c r="H126" s="101">
        <f>D126</f>
        <v>6500</v>
      </c>
      <c r="I126" s="101">
        <f>H126*I$13</f>
        <v>650</v>
      </c>
      <c r="L126" s="101"/>
      <c r="M126" s="101">
        <f>(H126+I126)*M$13</f>
        <v>183.18299999999999</v>
      </c>
      <c r="N126" s="101">
        <f>(H126+I126)*N$13</f>
        <v>353.92500000000001</v>
      </c>
      <c r="O126" s="101">
        <f>(H126+I126)*O$13</f>
        <v>201.63</v>
      </c>
      <c r="P126" s="101"/>
      <c r="Q126" s="101"/>
      <c r="R126" s="101">
        <f>72*$R$13</f>
        <v>867.6</v>
      </c>
      <c r="T126" s="102">
        <f>SUM(H126:R126)</f>
        <v>8756.3379999999997</v>
      </c>
      <c r="U126" s="102"/>
      <c r="V126" s="103">
        <v>1459.39</v>
      </c>
      <c r="W126" s="104">
        <v>0</v>
      </c>
      <c r="X126" s="105">
        <v>0</v>
      </c>
      <c r="Y126" s="330">
        <f>$Y$14</f>
        <v>230</v>
      </c>
      <c r="Z126" s="107">
        <f>Y126*7</f>
        <v>1610</v>
      </c>
      <c r="AA126" s="108">
        <f>V126*6</f>
        <v>8756.34</v>
      </c>
      <c r="AB126" s="329">
        <f>AA126+Z126</f>
        <v>10366.34</v>
      </c>
    </row>
    <row r="127" spans="1:28" customFormat="1" ht="8.25" customHeight="1">
      <c r="A127" s="299"/>
      <c r="C127" s="281"/>
      <c r="D127" s="58"/>
      <c r="E127" s="327"/>
      <c r="F127" s="281"/>
      <c r="H127" s="101"/>
      <c r="I127" s="101"/>
      <c r="L127" s="101"/>
      <c r="M127" s="101"/>
      <c r="N127" s="101"/>
      <c r="O127" s="101"/>
      <c r="P127" s="101"/>
      <c r="Q127" s="101"/>
      <c r="R127" s="101"/>
      <c r="T127" s="102"/>
      <c r="U127" s="102"/>
      <c r="V127" s="103"/>
      <c r="W127" s="104">
        <v>0</v>
      </c>
      <c r="X127" s="105">
        <v>0</v>
      </c>
      <c r="Y127" s="330"/>
      <c r="Z127" s="107"/>
      <c r="AA127" s="108"/>
      <c r="AB127" s="329"/>
    </row>
    <row r="128" spans="1:28" customFormat="1">
      <c r="A128" s="299" t="s">
        <v>126</v>
      </c>
      <c r="B128" s="281" t="s">
        <v>90</v>
      </c>
      <c r="C128" s="281" t="s">
        <v>91</v>
      </c>
      <c r="D128" s="58">
        <v>5150</v>
      </c>
      <c r="E128" s="327" t="s">
        <v>92</v>
      </c>
      <c r="F128" s="281">
        <v>0</v>
      </c>
      <c r="H128" s="101">
        <f>D128</f>
        <v>5150</v>
      </c>
      <c r="I128" s="101">
        <f>H128*I$13</f>
        <v>515</v>
      </c>
      <c r="L128" s="101"/>
      <c r="M128" s="101">
        <f>(H128+I128)*M$13</f>
        <v>145.13730000000001</v>
      </c>
      <c r="N128" s="101">
        <f>(H128+I128)*N$13</f>
        <v>280.41750000000002</v>
      </c>
      <c r="O128" s="101">
        <f>(H128+I128)*O$13</f>
        <v>159.75299999999999</v>
      </c>
      <c r="P128" s="101"/>
      <c r="Q128" s="101"/>
      <c r="R128" s="101">
        <f>72*$R$13</f>
        <v>867.6</v>
      </c>
      <c r="T128" s="102">
        <f>SUM(H128:R128)</f>
        <v>7117.9078</v>
      </c>
      <c r="U128" s="102"/>
      <c r="V128" s="103">
        <v>1186.32</v>
      </c>
      <c r="W128" s="104">
        <v>0</v>
      </c>
      <c r="X128" s="105">
        <v>0</v>
      </c>
      <c r="Y128" s="330">
        <f>$Y$14</f>
        <v>230</v>
      </c>
      <c r="Z128" s="107">
        <f>Y128*7</f>
        <v>1610</v>
      </c>
      <c r="AA128" s="108">
        <f>V128*6</f>
        <v>7117.92</v>
      </c>
      <c r="AB128" s="329">
        <f>AA128+Z128</f>
        <v>8727.92</v>
      </c>
    </row>
    <row r="129" spans="1:28" customFormat="1">
      <c r="A129" s="299"/>
      <c r="B129" s="281" t="s">
        <v>93</v>
      </c>
      <c r="C129" s="281" t="s">
        <v>91</v>
      </c>
      <c r="D129" s="58">
        <v>5800</v>
      </c>
      <c r="E129" s="327" t="s">
        <v>92</v>
      </c>
      <c r="F129" s="281">
        <v>0</v>
      </c>
      <c r="H129" s="101">
        <f>D129</f>
        <v>5800</v>
      </c>
      <c r="I129" s="101">
        <f>H129*I$13</f>
        <v>580</v>
      </c>
      <c r="L129" s="101"/>
      <c r="M129" s="101">
        <f>(H129+I129)*M$13</f>
        <v>163.4556</v>
      </c>
      <c r="N129" s="101">
        <f>(H129+I129)*N$13</f>
        <v>315.81</v>
      </c>
      <c r="O129" s="101">
        <f>(H129+I129)*O$13</f>
        <v>179.916</v>
      </c>
      <c r="P129" s="101"/>
      <c r="Q129" s="101"/>
      <c r="R129" s="101">
        <f>72*$R$13</f>
        <v>867.6</v>
      </c>
      <c r="T129" s="102">
        <f>SUM(H129:R129)</f>
        <v>7906.7816000000012</v>
      </c>
      <c r="U129" s="102"/>
      <c r="V129" s="103">
        <v>1317.8</v>
      </c>
      <c r="W129" s="104">
        <v>0</v>
      </c>
      <c r="X129" s="105">
        <v>0</v>
      </c>
      <c r="Y129" s="330">
        <f>$Y$14</f>
        <v>230</v>
      </c>
      <c r="Z129" s="107">
        <f>Y129*7</f>
        <v>1610</v>
      </c>
      <c r="AA129" s="108">
        <f>V129*6</f>
        <v>7906.7999999999993</v>
      </c>
      <c r="AB129" s="329">
        <f>AA129+Z129</f>
        <v>9516.7999999999993</v>
      </c>
    </row>
    <row r="130" spans="1:28" customFormat="1" ht="8.25" customHeight="1">
      <c r="A130" s="299"/>
      <c r="C130" s="281"/>
      <c r="D130" s="58"/>
      <c r="E130" s="327"/>
      <c r="F130" s="281"/>
      <c r="H130" s="101"/>
      <c r="I130" s="101"/>
      <c r="L130" s="101"/>
      <c r="M130" s="101"/>
      <c r="N130" s="101"/>
      <c r="O130" s="101"/>
      <c r="P130" s="101"/>
      <c r="Q130" s="101"/>
      <c r="R130" s="101"/>
      <c r="T130" s="102"/>
      <c r="U130" s="102"/>
      <c r="V130" s="103"/>
      <c r="W130" s="104">
        <v>0</v>
      </c>
      <c r="X130" s="105">
        <v>0</v>
      </c>
      <c r="Y130" s="330"/>
      <c r="Z130" s="107"/>
      <c r="AA130" s="108"/>
      <c r="AB130" s="329"/>
    </row>
    <row r="131" spans="1:28" customFormat="1">
      <c r="A131" s="299" t="s">
        <v>127</v>
      </c>
      <c r="B131" s="281" t="s">
        <v>90</v>
      </c>
      <c r="C131" s="281" t="s">
        <v>91</v>
      </c>
      <c r="D131" s="58">
        <v>5871</v>
      </c>
      <c r="E131" s="327" t="s">
        <v>92</v>
      </c>
      <c r="F131" s="281">
        <v>0</v>
      </c>
      <c r="H131" s="101">
        <f>D131</f>
        <v>5871</v>
      </c>
      <c r="I131" s="101">
        <f>H131*I$13</f>
        <v>587.1</v>
      </c>
      <c r="L131" s="101"/>
      <c r="M131" s="101">
        <f>(H131+I131)*M$13</f>
        <v>165.45652200000001</v>
      </c>
      <c r="N131" s="101">
        <f>(H131+I131)*N$13</f>
        <v>319.67595000000006</v>
      </c>
      <c r="O131" s="101">
        <f>(H131+I131)*O$13</f>
        <v>182.11842000000001</v>
      </c>
      <c r="P131" s="101"/>
      <c r="Q131" s="101"/>
      <c r="R131" s="101">
        <f>72*$R$13</f>
        <v>867.6</v>
      </c>
      <c r="T131" s="102">
        <f>SUM(H131:R131)</f>
        <v>7992.9508920000007</v>
      </c>
      <c r="U131" s="102"/>
      <c r="V131" s="103">
        <v>1332.16</v>
      </c>
      <c r="W131" s="104">
        <v>0</v>
      </c>
      <c r="X131" s="105">
        <v>0</v>
      </c>
      <c r="Y131" s="330">
        <f>$Y$14</f>
        <v>230</v>
      </c>
      <c r="Z131" s="107">
        <f>Y131*7</f>
        <v>1610</v>
      </c>
      <c r="AA131" s="108">
        <f>V131*6</f>
        <v>7992.9600000000009</v>
      </c>
      <c r="AB131" s="329">
        <f>AA131+Z131</f>
        <v>9602.9600000000009</v>
      </c>
    </row>
    <row r="132" spans="1:28" customFormat="1">
      <c r="A132" s="299"/>
      <c r="B132" s="281" t="s">
        <v>93</v>
      </c>
      <c r="C132" s="281" t="s">
        <v>91</v>
      </c>
      <c r="D132" s="58">
        <v>6500</v>
      </c>
      <c r="E132" s="327" t="s">
        <v>92</v>
      </c>
      <c r="F132" s="281">
        <v>0</v>
      </c>
      <c r="H132" s="101">
        <f>D132</f>
        <v>6500</v>
      </c>
      <c r="I132" s="101">
        <f>H132*I$13</f>
        <v>650</v>
      </c>
      <c r="L132" s="101"/>
      <c r="M132" s="101">
        <f>(H132+I132)*M$13</f>
        <v>183.18299999999999</v>
      </c>
      <c r="N132" s="101">
        <f>(H132+I132)*N$13</f>
        <v>353.92500000000001</v>
      </c>
      <c r="O132" s="101">
        <f>(H132+I132)*O$13</f>
        <v>201.63</v>
      </c>
      <c r="P132" s="101"/>
      <c r="Q132" s="101"/>
      <c r="R132" s="101">
        <f>72*$R$13</f>
        <v>867.6</v>
      </c>
      <c r="T132" s="102">
        <f>SUM(H132:R132)</f>
        <v>8756.3379999999997</v>
      </c>
      <c r="U132" s="102"/>
      <c r="V132" s="103">
        <v>1459.39</v>
      </c>
      <c r="W132" s="104">
        <v>0</v>
      </c>
      <c r="X132" s="105">
        <v>0</v>
      </c>
      <c r="Y132" s="330">
        <f>$Y$14</f>
        <v>230</v>
      </c>
      <c r="Z132" s="107">
        <f>Y132*7</f>
        <v>1610</v>
      </c>
      <c r="AA132" s="108">
        <f>V132*6</f>
        <v>8756.34</v>
      </c>
      <c r="AB132" s="329">
        <f>AA132+Z132</f>
        <v>10366.34</v>
      </c>
    </row>
    <row r="133" spans="1:28" customFormat="1" ht="8.25" customHeight="1">
      <c r="A133" s="299"/>
      <c r="C133" s="281"/>
      <c r="D133" s="58"/>
      <c r="E133" s="327"/>
      <c r="F133" s="281"/>
      <c r="H133" s="101"/>
      <c r="I133" s="101"/>
      <c r="L133" s="101"/>
      <c r="M133" s="101"/>
      <c r="N133" s="101"/>
      <c r="O133" s="101"/>
      <c r="P133" s="101"/>
      <c r="Q133" s="101"/>
      <c r="R133" s="101"/>
      <c r="T133" s="102"/>
      <c r="U133" s="102"/>
      <c r="V133" s="103"/>
      <c r="W133" s="104">
        <v>0</v>
      </c>
      <c r="X133" s="105">
        <v>0</v>
      </c>
      <c r="Y133" s="330"/>
      <c r="Z133" s="107"/>
      <c r="AA133" s="108"/>
      <c r="AB133" s="329"/>
    </row>
    <row r="134" spans="1:28" customFormat="1">
      <c r="A134" s="299" t="s">
        <v>128</v>
      </c>
      <c r="C134" s="281" t="s">
        <v>91</v>
      </c>
      <c r="D134" s="331">
        <v>4500</v>
      </c>
      <c r="E134" s="327" t="s">
        <v>92</v>
      </c>
      <c r="F134" s="281">
        <v>0</v>
      </c>
      <c r="H134" s="101">
        <f>D134</f>
        <v>4500</v>
      </c>
      <c r="I134" s="101">
        <f>H134*I$13</f>
        <v>450</v>
      </c>
      <c r="L134" s="101"/>
      <c r="M134" s="101">
        <f>(H134+I134)*M$13</f>
        <v>126.819</v>
      </c>
      <c r="N134" s="101">
        <f>(H134+I134)*N$13</f>
        <v>245.02500000000001</v>
      </c>
      <c r="O134" s="101">
        <f>(H134+I134)*O$13</f>
        <v>139.59</v>
      </c>
      <c r="P134" s="101"/>
      <c r="Q134" s="101"/>
      <c r="R134" s="101">
        <f>72*$R$14</f>
        <v>579.6</v>
      </c>
      <c r="T134" s="102">
        <f>SUM(H134:R134)</f>
        <v>6041.0340000000006</v>
      </c>
      <c r="U134" s="102"/>
      <c r="V134" s="103">
        <v>1006.84</v>
      </c>
      <c r="W134" s="104">
        <v>0</v>
      </c>
      <c r="X134" s="105">
        <v>0</v>
      </c>
      <c r="Y134" s="330">
        <f>$Y$14</f>
        <v>230</v>
      </c>
      <c r="Z134" s="107">
        <f>Y134*7</f>
        <v>1610</v>
      </c>
      <c r="AA134" s="108">
        <f>V134*6</f>
        <v>6041.04</v>
      </c>
      <c r="AB134" s="329">
        <f>AA134+Z134</f>
        <v>7651.04</v>
      </c>
    </row>
    <row r="135" spans="1:28" customFormat="1" ht="8.25" customHeight="1">
      <c r="A135" s="299"/>
      <c r="C135" s="281"/>
      <c r="D135" s="58"/>
      <c r="E135" s="327"/>
      <c r="F135" s="281"/>
      <c r="H135" s="101"/>
      <c r="I135" s="101"/>
      <c r="L135" s="101"/>
      <c r="M135" s="101"/>
      <c r="N135" s="101"/>
      <c r="O135" s="101"/>
      <c r="P135" s="101"/>
      <c r="Q135" s="101"/>
      <c r="R135" s="101"/>
      <c r="T135" s="102"/>
      <c r="U135" s="102"/>
      <c r="V135" s="103"/>
      <c r="W135" s="104">
        <v>0</v>
      </c>
      <c r="X135" s="105">
        <v>0</v>
      </c>
      <c r="Y135" s="330"/>
      <c r="Z135" s="107"/>
      <c r="AA135" s="108"/>
      <c r="AB135" s="329"/>
    </row>
    <row r="136" spans="1:28" customFormat="1">
      <c r="A136" s="299" t="s">
        <v>129</v>
      </c>
      <c r="C136" s="281" t="s">
        <v>91</v>
      </c>
      <c r="D136" s="331">
        <v>3605</v>
      </c>
      <c r="E136" s="327" t="s">
        <v>92</v>
      </c>
      <c r="F136" s="281">
        <v>0</v>
      </c>
      <c r="H136" s="101">
        <f>D136</f>
        <v>3605</v>
      </c>
      <c r="I136" s="101">
        <f>H136*I$13</f>
        <v>360.5</v>
      </c>
      <c r="L136" s="101"/>
      <c r="M136" s="101">
        <f>(H136+I136)*M$13</f>
        <v>101.59611</v>
      </c>
      <c r="N136" s="101">
        <f>(H136+I136)*N$13</f>
        <v>196.29225</v>
      </c>
      <c r="O136" s="101">
        <f>(H136+I136)*O$13</f>
        <v>111.8271</v>
      </c>
      <c r="P136" s="101"/>
      <c r="Q136" s="101"/>
      <c r="R136" s="101">
        <f>72*$R$14</f>
        <v>579.6</v>
      </c>
      <c r="T136" s="102">
        <f>SUM(H136:R136)</f>
        <v>4954.8154600000007</v>
      </c>
      <c r="U136" s="102"/>
      <c r="V136" s="103">
        <v>825.8</v>
      </c>
      <c r="W136" s="104">
        <v>0</v>
      </c>
      <c r="X136" s="105">
        <v>0</v>
      </c>
      <c r="Y136" s="330">
        <f>$Y$14</f>
        <v>230</v>
      </c>
      <c r="Z136" s="107">
        <f>Y136*7</f>
        <v>1610</v>
      </c>
      <c r="AA136" s="108">
        <f>V136*6</f>
        <v>4954.7999999999993</v>
      </c>
      <c r="AB136" s="329">
        <f>AA136+Z136</f>
        <v>6564.7999999999993</v>
      </c>
    </row>
    <row r="137" spans="1:28" customFormat="1" ht="8.25" customHeight="1">
      <c r="A137" s="299"/>
      <c r="C137" s="281"/>
      <c r="D137" s="58"/>
      <c r="E137" s="327"/>
      <c r="F137" s="281"/>
      <c r="H137" s="101"/>
      <c r="I137" s="101"/>
      <c r="L137" s="101"/>
      <c r="M137" s="101"/>
      <c r="N137" s="101"/>
      <c r="O137" s="101"/>
      <c r="P137" s="101"/>
      <c r="Q137" s="101"/>
      <c r="R137" s="101"/>
      <c r="T137" s="102"/>
      <c r="U137" s="102"/>
      <c r="V137" s="103"/>
      <c r="W137" s="104">
        <v>0</v>
      </c>
      <c r="X137" s="105">
        <v>0</v>
      </c>
      <c r="Y137" s="330"/>
      <c r="Z137" s="107"/>
      <c r="AA137" s="108"/>
      <c r="AB137" s="329"/>
    </row>
    <row r="138" spans="1:28" customFormat="1">
      <c r="A138" s="332" t="s">
        <v>130</v>
      </c>
      <c r="C138" s="281" t="s">
        <v>91</v>
      </c>
      <c r="D138" s="331">
        <v>7725</v>
      </c>
      <c r="E138" s="327" t="s">
        <v>92</v>
      </c>
      <c r="F138" s="281">
        <v>0</v>
      </c>
      <c r="H138" s="101">
        <f>D138</f>
        <v>7725</v>
      </c>
      <c r="I138" s="101">
        <f>H138*I$13</f>
        <v>772.5</v>
      </c>
      <c r="L138" s="101"/>
      <c r="M138" s="101">
        <f>(H138+I138)*M$13</f>
        <v>217.70595</v>
      </c>
      <c r="N138" s="101">
        <f>(H138+I138)*N$13</f>
        <v>420.62625000000003</v>
      </c>
      <c r="O138" s="101">
        <f>(H138+I138)*O$13</f>
        <v>239.62950000000001</v>
      </c>
      <c r="P138" s="101"/>
      <c r="Q138" s="101"/>
      <c r="R138" s="101">
        <f>72*$R$14</f>
        <v>579.6</v>
      </c>
      <c r="T138" s="102">
        <f>SUM(H138:R138)</f>
        <v>9955.0617000000002</v>
      </c>
      <c r="U138" s="102"/>
      <c r="V138" s="103">
        <v>1659.18</v>
      </c>
      <c r="W138" s="104">
        <v>0</v>
      </c>
      <c r="X138" s="105">
        <v>0</v>
      </c>
      <c r="Y138" s="330">
        <f>$Y$14</f>
        <v>230</v>
      </c>
      <c r="Z138" s="107">
        <f>Y138*7</f>
        <v>1610</v>
      </c>
      <c r="AA138" s="108">
        <f>V138*6</f>
        <v>9955.08</v>
      </c>
      <c r="AB138" s="329">
        <f>AA138+Z138</f>
        <v>11565.08</v>
      </c>
    </row>
    <row r="139" spans="1:28" customFormat="1" ht="8.25" customHeight="1">
      <c r="A139" s="299"/>
      <c r="C139" s="281"/>
      <c r="D139" s="58"/>
      <c r="E139" s="327"/>
      <c r="F139" s="281"/>
      <c r="H139" s="101"/>
      <c r="I139" s="101"/>
      <c r="L139" s="101"/>
      <c r="M139" s="101"/>
      <c r="N139" s="101"/>
      <c r="O139" s="101"/>
      <c r="P139" s="101"/>
      <c r="Q139" s="101"/>
      <c r="R139" s="101"/>
      <c r="T139" s="102"/>
      <c r="U139" s="102"/>
      <c r="V139" s="103"/>
      <c r="W139" s="104">
        <v>0</v>
      </c>
      <c r="X139" s="105">
        <v>0</v>
      </c>
      <c r="Y139" s="330"/>
      <c r="Z139" s="107"/>
      <c r="AA139" s="108"/>
      <c r="AB139" s="329"/>
    </row>
    <row r="140" spans="1:28" customFormat="1">
      <c r="A140" s="333" t="s">
        <v>131</v>
      </c>
      <c r="C140" s="334" t="s">
        <v>132</v>
      </c>
      <c r="D140" s="58">
        <v>4326</v>
      </c>
      <c r="E140" s="327">
        <f>1*N$5+1.5*R$5+2*R$6</f>
        <v>88</v>
      </c>
      <c r="F140" s="281">
        <v>0</v>
      </c>
      <c r="H140" s="101">
        <f>D140</f>
        <v>4326</v>
      </c>
      <c r="I140" s="101">
        <f>H140*I$13</f>
        <v>432.6</v>
      </c>
      <c r="L140" s="101"/>
      <c r="M140" s="101">
        <f>(H140+I140)*M$13</f>
        <v>121.91533200000001</v>
      </c>
      <c r="N140" s="101">
        <f>(H140+I140)*N$13</f>
        <v>235.55070000000003</v>
      </c>
      <c r="O140" s="101">
        <f>(H140+I140)*O$13</f>
        <v>134.19252</v>
      </c>
      <c r="P140" s="101"/>
      <c r="Q140" s="101"/>
      <c r="R140" s="101">
        <f>($E140+F140)*R$14</f>
        <v>708.40000000000009</v>
      </c>
      <c r="T140" s="102">
        <f>SUM(H140:R140)</f>
        <v>5958.658551999999</v>
      </c>
      <c r="U140" s="102"/>
      <c r="V140" s="103">
        <v>993.11</v>
      </c>
      <c r="W140" s="104">
        <v>0</v>
      </c>
      <c r="X140" s="105">
        <v>0</v>
      </c>
      <c r="Y140" s="330">
        <f>$Y$13</f>
        <v>85</v>
      </c>
      <c r="Z140" s="107">
        <f>Y140*7</f>
        <v>595</v>
      </c>
      <c r="AA140" s="108">
        <f>V140*6</f>
        <v>5958.66</v>
      </c>
      <c r="AB140" s="329">
        <f>AA140+Z140</f>
        <v>6553.66</v>
      </c>
    </row>
    <row r="141" spans="1:28" customFormat="1" ht="8.25" customHeight="1">
      <c r="A141" s="299"/>
      <c r="C141" s="281"/>
      <c r="D141" s="58"/>
      <c r="E141" s="327"/>
      <c r="F141" s="281"/>
      <c r="H141" s="101"/>
      <c r="I141" s="101"/>
      <c r="L141" s="101"/>
      <c r="M141" s="101"/>
      <c r="N141" s="101"/>
      <c r="O141" s="101"/>
      <c r="P141" s="101"/>
      <c r="Q141" s="101"/>
      <c r="R141" s="101"/>
      <c r="T141" s="102"/>
      <c r="U141" s="102"/>
      <c r="V141" s="103"/>
      <c r="W141" s="104">
        <v>0</v>
      </c>
      <c r="X141" s="105">
        <v>0</v>
      </c>
      <c r="Y141" s="330"/>
      <c r="Z141" s="107"/>
      <c r="AA141" s="108"/>
      <c r="AB141" s="329"/>
    </row>
    <row r="142" spans="1:28" customFormat="1">
      <c r="A142" s="333" t="s">
        <v>133</v>
      </c>
      <c r="C142" s="334" t="s">
        <v>132</v>
      </c>
      <c r="D142" s="58">
        <v>3965.5</v>
      </c>
      <c r="E142" s="327">
        <f>1*N$5+1.5*R$5+2*R$6</f>
        <v>88</v>
      </c>
      <c r="F142" s="281">
        <v>0</v>
      </c>
      <c r="H142" s="101">
        <f>D142</f>
        <v>3965.5</v>
      </c>
      <c r="I142" s="101">
        <f>H142*I$13</f>
        <v>396.55</v>
      </c>
      <c r="L142" s="101"/>
      <c r="M142" s="101">
        <f>(H142+I142)*M$13</f>
        <v>111.75572100000001</v>
      </c>
      <c r="N142" s="101">
        <f>(H142+I142)*N$13</f>
        <v>215.92147500000002</v>
      </c>
      <c r="O142" s="101">
        <f>(H142+I142)*O$13</f>
        <v>123.00981</v>
      </c>
      <c r="P142" s="101"/>
      <c r="Q142" s="101"/>
      <c r="R142" s="101">
        <f>($E142+F142)*R$14</f>
        <v>708.40000000000009</v>
      </c>
      <c r="T142" s="102">
        <f>SUM(H142:R142)</f>
        <v>5521.1370060000008</v>
      </c>
      <c r="U142" s="102"/>
      <c r="V142" s="103">
        <v>920.19</v>
      </c>
      <c r="W142" s="104">
        <v>0</v>
      </c>
      <c r="X142" s="105">
        <v>0</v>
      </c>
      <c r="Y142" s="330">
        <f>$Y$13</f>
        <v>85</v>
      </c>
      <c r="Z142" s="107">
        <f>Y142*7</f>
        <v>595</v>
      </c>
      <c r="AA142" s="108">
        <f>V142*6</f>
        <v>5521.14</v>
      </c>
      <c r="AB142" s="329">
        <f>AA142+Z142</f>
        <v>6116.14</v>
      </c>
    </row>
    <row r="143" spans="1:28" customFormat="1" ht="8.25" customHeight="1">
      <c r="A143" s="299"/>
      <c r="C143" s="281"/>
      <c r="D143" s="58"/>
      <c r="E143" s="327"/>
      <c r="F143" s="281"/>
      <c r="H143" s="101"/>
      <c r="I143" s="101"/>
      <c r="L143" s="101"/>
      <c r="M143" s="101"/>
      <c r="N143" s="101"/>
      <c r="O143" s="101"/>
      <c r="P143" s="101"/>
      <c r="Q143" s="101"/>
      <c r="R143" s="101"/>
      <c r="T143" s="102"/>
      <c r="U143" s="102"/>
      <c r="V143" s="103"/>
      <c r="W143" s="104">
        <v>0</v>
      </c>
      <c r="X143" s="105">
        <v>0</v>
      </c>
      <c r="Y143" s="330"/>
      <c r="Z143" s="107"/>
      <c r="AA143" s="108"/>
      <c r="AB143" s="329"/>
    </row>
    <row r="144" spans="1:28" customFormat="1">
      <c r="A144" s="299" t="s">
        <v>134</v>
      </c>
      <c r="C144" s="281" t="s">
        <v>91</v>
      </c>
      <c r="D144" s="58">
        <v>3605</v>
      </c>
      <c r="E144" s="327" t="s">
        <v>92</v>
      </c>
      <c r="F144" s="281">
        <v>0</v>
      </c>
      <c r="H144" s="101">
        <f>D144</f>
        <v>3605</v>
      </c>
      <c r="I144" s="101">
        <f>H144*I$13</f>
        <v>360.5</v>
      </c>
      <c r="L144" s="101"/>
      <c r="M144" s="101">
        <f>(H144+I144)*M$13</f>
        <v>101.59611</v>
      </c>
      <c r="N144" s="101">
        <f>(H144+I144)*N$13</f>
        <v>196.29225</v>
      </c>
      <c r="O144" s="101">
        <f>(H144+I144)*O$13</f>
        <v>111.8271</v>
      </c>
      <c r="P144" s="101"/>
      <c r="Q144" s="101"/>
      <c r="R144" s="101">
        <f>72*$R$14</f>
        <v>579.6</v>
      </c>
      <c r="T144" s="102">
        <f>SUM(H144:R144)</f>
        <v>4954.8154600000007</v>
      </c>
      <c r="U144" s="102"/>
      <c r="V144" s="103">
        <v>825.8</v>
      </c>
      <c r="W144" s="104">
        <v>0</v>
      </c>
      <c r="X144" s="105">
        <v>0</v>
      </c>
      <c r="Y144" s="330">
        <f>$Y$14</f>
        <v>230</v>
      </c>
      <c r="Z144" s="107">
        <f>Y144*7</f>
        <v>1610</v>
      </c>
      <c r="AA144" s="108">
        <f>V144*6</f>
        <v>4954.7999999999993</v>
      </c>
      <c r="AB144" s="329">
        <f>AA144+Z144</f>
        <v>6564.7999999999993</v>
      </c>
    </row>
    <row r="145" spans="1:29" customFormat="1" ht="8.25" customHeight="1">
      <c r="A145" s="299"/>
      <c r="C145" s="281"/>
      <c r="D145" s="58"/>
      <c r="E145" s="327"/>
      <c r="F145" s="281"/>
      <c r="H145" s="101"/>
      <c r="I145" s="101"/>
      <c r="L145" s="101"/>
      <c r="M145" s="101"/>
      <c r="N145" s="101"/>
      <c r="O145" s="101"/>
      <c r="P145" s="101"/>
      <c r="Q145" s="101"/>
      <c r="R145" s="101"/>
      <c r="T145" s="102"/>
      <c r="U145" s="102"/>
      <c r="V145" s="103"/>
      <c r="W145" s="104">
        <v>0</v>
      </c>
      <c r="X145" s="105">
        <v>0</v>
      </c>
      <c r="Y145" s="330"/>
      <c r="Z145" s="107"/>
      <c r="AA145" s="108"/>
      <c r="AB145" s="329"/>
    </row>
    <row r="146" spans="1:29" customFormat="1" ht="12" customHeight="1">
      <c r="A146" s="299" t="s">
        <v>2186</v>
      </c>
      <c r="C146" s="281" t="s">
        <v>91</v>
      </c>
      <c r="D146" s="331">
        <v>3300</v>
      </c>
      <c r="E146" s="327" t="s">
        <v>92</v>
      </c>
      <c r="F146" s="281">
        <v>0</v>
      </c>
      <c r="H146" s="101">
        <f>D146</f>
        <v>3300</v>
      </c>
      <c r="I146" s="101">
        <f>H146*I$13</f>
        <v>330</v>
      </c>
      <c r="L146" s="101"/>
      <c r="M146" s="101">
        <f>(H146+I146)*M$13</f>
        <v>93.000600000000006</v>
      </c>
      <c r="N146" s="101">
        <f>(H146+I146)*N$13</f>
        <v>179.685</v>
      </c>
      <c r="O146" s="101">
        <f>(H146+I146)*O$13</f>
        <v>102.366</v>
      </c>
      <c r="P146" s="101"/>
      <c r="Q146" s="101"/>
      <c r="R146" s="101">
        <f>72*$R$14</f>
        <v>579.6</v>
      </c>
      <c r="T146" s="102">
        <f>SUM(H146:R146)</f>
        <v>4584.6516000000001</v>
      </c>
      <c r="U146" s="102"/>
      <c r="V146" s="103">
        <v>764.11</v>
      </c>
      <c r="W146" s="104">
        <v>0</v>
      </c>
      <c r="X146" s="105">
        <v>0</v>
      </c>
      <c r="Y146" s="330">
        <f>$Y$14</f>
        <v>230</v>
      </c>
      <c r="Z146" s="107">
        <f>Y146*7</f>
        <v>1610</v>
      </c>
      <c r="AA146" s="108">
        <f>V146*6</f>
        <v>4584.66</v>
      </c>
      <c r="AB146" s="329">
        <f>AA146+Z146</f>
        <v>6194.66</v>
      </c>
    </row>
    <row r="147" spans="1:29" customFormat="1" ht="8.25" customHeight="1">
      <c r="A147" s="299"/>
      <c r="C147" s="281"/>
      <c r="D147" s="58"/>
      <c r="E147" s="327"/>
      <c r="F147" s="281"/>
      <c r="H147" s="101"/>
      <c r="I147" s="101"/>
      <c r="L147" s="101"/>
      <c r="M147" s="101"/>
      <c r="N147" s="101"/>
      <c r="O147" s="101"/>
      <c r="P147" s="101"/>
      <c r="Q147" s="101"/>
      <c r="R147" s="101"/>
      <c r="T147" s="102"/>
      <c r="U147" s="102"/>
      <c r="V147" s="103"/>
      <c r="W147" s="104">
        <v>0</v>
      </c>
      <c r="X147" s="105">
        <v>0</v>
      </c>
      <c r="Y147" s="330"/>
      <c r="Z147" s="107"/>
      <c r="AA147" s="108"/>
      <c r="AB147" s="329"/>
    </row>
    <row r="148" spans="1:29" customFormat="1" ht="12" customHeight="1">
      <c r="A148" s="299" t="s">
        <v>2187</v>
      </c>
      <c r="C148" s="281" t="s">
        <v>91</v>
      </c>
      <c r="D148" s="331">
        <v>3300</v>
      </c>
      <c r="E148" s="327" t="s">
        <v>92</v>
      </c>
      <c r="F148" s="281">
        <v>0</v>
      </c>
      <c r="H148" s="101">
        <f>D148</f>
        <v>3300</v>
      </c>
      <c r="I148" s="101">
        <f>H148*I$13</f>
        <v>330</v>
      </c>
      <c r="L148" s="101"/>
      <c r="M148" s="101">
        <f>(H148+I148)*M$13</f>
        <v>93.000600000000006</v>
      </c>
      <c r="N148" s="101">
        <f>(H148+I148)*N$13</f>
        <v>179.685</v>
      </c>
      <c r="O148" s="101">
        <f>(H148+I148)*O$13</f>
        <v>102.366</v>
      </c>
      <c r="P148" s="101"/>
      <c r="Q148" s="101"/>
      <c r="R148" s="101">
        <f>72*$R$14</f>
        <v>579.6</v>
      </c>
      <c r="T148" s="102">
        <f>SUM(H148:R148)</f>
        <v>4584.6516000000001</v>
      </c>
      <c r="U148" s="102"/>
      <c r="V148" s="103">
        <v>764.11</v>
      </c>
      <c r="W148" s="104">
        <v>0</v>
      </c>
      <c r="X148" s="105">
        <v>0</v>
      </c>
      <c r="Y148" s="330">
        <f>$Y$14</f>
        <v>230</v>
      </c>
      <c r="Z148" s="107">
        <f>Y148*7</f>
        <v>1610</v>
      </c>
      <c r="AA148" s="108">
        <f>V148*6</f>
        <v>4584.66</v>
      </c>
      <c r="AB148" s="329">
        <f>AA148+Z148</f>
        <v>6194.66</v>
      </c>
    </row>
    <row r="149" spans="1:29" customFormat="1" ht="8.25" customHeight="1">
      <c r="A149" s="299"/>
      <c r="C149" s="281"/>
      <c r="D149" s="58"/>
      <c r="E149" s="327"/>
      <c r="F149" s="281"/>
      <c r="H149" s="101"/>
      <c r="I149" s="101"/>
      <c r="L149" s="101"/>
      <c r="M149" s="101"/>
      <c r="N149" s="101"/>
      <c r="O149" s="101"/>
      <c r="P149" s="101"/>
      <c r="Q149" s="101"/>
      <c r="R149" s="101"/>
      <c r="T149" s="102"/>
      <c r="U149" s="102"/>
      <c r="V149" s="103"/>
      <c r="W149" s="104"/>
      <c r="X149" s="105"/>
      <c r="Y149" s="330"/>
      <c r="Z149" s="107"/>
      <c r="AA149" s="108"/>
      <c r="AB149" s="329"/>
    </row>
    <row r="150" spans="1:29" customFormat="1">
      <c r="A150" s="299" t="s">
        <v>135</v>
      </c>
      <c r="C150" s="281" t="s">
        <v>136</v>
      </c>
      <c r="D150" s="331">
        <v>35</v>
      </c>
      <c r="E150" s="327">
        <v>88</v>
      </c>
      <c r="F150" s="327">
        <v>0</v>
      </c>
      <c r="H150" s="101">
        <f>D150*E150</f>
        <v>3080</v>
      </c>
      <c r="I150" s="101">
        <f>H150*I$13</f>
        <v>308</v>
      </c>
      <c r="L150" s="101"/>
      <c r="M150" s="101">
        <f>(H150+I150)*M$13</f>
        <v>86.800560000000004</v>
      </c>
      <c r="N150" s="101">
        <f>(H150+I150)*N$13</f>
        <v>167.70600000000002</v>
      </c>
      <c r="O150" s="101">
        <f>(H150+I150)*O$13</f>
        <v>95.541600000000003</v>
      </c>
      <c r="P150" s="101"/>
      <c r="Q150" s="101"/>
      <c r="R150" s="101">
        <v>0</v>
      </c>
      <c r="T150" s="102">
        <f>SUM(H150:R150)</f>
        <v>3738.0481600000003</v>
      </c>
      <c r="U150" s="102"/>
      <c r="V150" s="103">
        <v>42.48</v>
      </c>
      <c r="W150" s="101">
        <v>63.72</v>
      </c>
      <c r="X150" s="110">
        <v>84.96</v>
      </c>
      <c r="Y150" s="330">
        <f>$Y$14</f>
        <v>230</v>
      </c>
      <c r="Z150" s="107">
        <f>Y150*7</f>
        <v>1610</v>
      </c>
      <c r="AA150" s="108">
        <f>V150*40+W150*((E150-40)/1.5)</f>
        <v>3738.24</v>
      </c>
      <c r="AB150" s="329">
        <f>AA150+Z150</f>
        <v>5348.24</v>
      </c>
    </row>
    <row r="151" spans="1:29" customFormat="1" ht="8.25" customHeight="1">
      <c r="A151" s="299"/>
      <c r="C151" s="281"/>
      <c r="D151" s="58"/>
      <c r="E151" s="327"/>
      <c r="F151" s="281"/>
      <c r="H151" s="101"/>
      <c r="I151" s="101"/>
      <c r="L151" s="101"/>
      <c r="M151" s="101"/>
      <c r="N151" s="101"/>
      <c r="O151" s="101"/>
      <c r="P151" s="101"/>
      <c r="Q151" s="101"/>
      <c r="R151" s="101"/>
      <c r="T151" s="102"/>
      <c r="U151" s="102"/>
      <c r="V151" s="103"/>
      <c r="W151" s="104"/>
      <c r="X151" s="105"/>
      <c r="Y151" s="330"/>
      <c r="Z151" s="107"/>
      <c r="AA151" s="108"/>
      <c r="AB151" s="329"/>
    </row>
    <row r="152" spans="1:29" customFormat="1">
      <c r="A152" s="299" t="s">
        <v>137</v>
      </c>
      <c r="C152" s="281" t="s">
        <v>136</v>
      </c>
      <c r="D152" s="331">
        <v>35</v>
      </c>
      <c r="E152" s="327">
        <v>88</v>
      </c>
      <c r="F152" s="327">
        <v>0</v>
      </c>
      <c r="H152" s="101">
        <f>D152*E152</f>
        <v>3080</v>
      </c>
      <c r="I152" s="101">
        <f>H152*I$13</f>
        <v>308</v>
      </c>
      <c r="L152" s="101"/>
      <c r="M152" s="101">
        <f>(H152+I152)*M$13</f>
        <v>86.800560000000004</v>
      </c>
      <c r="N152" s="101">
        <f>(H152+I152)*N$13</f>
        <v>167.70600000000002</v>
      </c>
      <c r="O152" s="101">
        <f>(H152+I152)*O$13</f>
        <v>95.541600000000003</v>
      </c>
      <c r="P152" s="101"/>
      <c r="Q152" s="101"/>
      <c r="R152" s="101">
        <v>0</v>
      </c>
      <c r="T152" s="102">
        <f>SUM(H152:R152)</f>
        <v>3738.0481600000003</v>
      </c>
      <c r="U152" s="102"/>
      <c r="V152" s="103">
        <v>42.48</v>
      </c>
      <c r="W152" s="101">
        <v>63.72</v>
      </c>
      <c r="X152" s="110">
        <v>84.96</v>
      </c>
      <c r="Y152" s="330">
        <f>$Y$13</f>
        <v>85</v>
      </c>
      <c r="Z152" s="107">
        <f>Y152*7</f>
        <v>595</v>
      </c>
      <c r="AA152" s="108">
        <f>V152*40+W152*((E152-40)/1.5)</f>
        <v>3738.24</v>
      </c>
      <c r="AB152" s="329">
        <f>AA152+Z152</f>
        <v>4333.24</v>
      </c>
    </row>
    <row r="153" spans="1:29" customFormat="1" ht="8.25" customHeight="1">
      <c r="A153" s="299"/>
      <c r="C153" s="281"/>
      <c r="D153" s="58"/>
      <c r="E153" s="327"/>
      <c r="F153" s="281"/>
      <c r="H153" s="101"/>
      <c r="I153" s="101"/>
      <c r="L153" s="101"/>
      <c r="M153" s="101"/>
      <c r="N153" s="101"/>
      <c r="O153" s="101"/>
      <c r="P153" s="101"/>
      <c r="Q153" s="101"/>
      <c r="R153" s="101"/>
      <c r="T153" s="102"/>
      <c r="U153" s="102"/>
      <c r="V153" s="103"/>
      <c r="W153" s="104"/>
      <c r="X153" s="105"/>
      <c r="Y153" s="330"/>
      <c r="Z153" s="107"/>
      <c r="AA153" s="108"/>
      <c r="AB153" s="329"/>
    </row>
    <row r="154" spans="1:29" customFormat="1">
      <c r="A154" s="324"/>
      <c r="B154" s="282"/>
      <c r="C154" s="282"/>
      <c r="D154" s="89"/>
      <c r="E154" s="287"/>
      <c r="F154" s="287"/>
      <c r="H154" s="287"/>
      <c r="I154" s="320"/>
      <c r="M154" s="321"/>
      <c r="N154" s="93"/>
      <c r="O154" s="93"/>
      <c r="P154" s="93"/>
      <c r="Q154" s="93"/>
      <c r="R154" s="90"/>
      <c r="S154" s="325"/>
      <c r="T154" s="77"/>
      <c r="U154" s="77"/>
      <c r="V154" s="75"/>
      <c r="W154" s="90"/>
      <c r="X154" s="77"/>
      <c r="Y154" s="335"/>
      <c r="Z154" s="336"/>
      <c r="AA154" s="337"/>
    </row>
    <row r="155" spans="1:29" customFormat="1">
      <c r="A155" s="324" t="s">
        <v>4223</v>
      </c>
      <c r="B155" s="282"/>
      <c r="C155" s="282"/>
      <c r="D155" s="89"/>
      <c r="E155" s="287"/>
      <c r="F155" s="287"/>
      <c r="H155" s="287"/>
      <c r="I155" s="320"/>
      <c r="M155" s="321"/>
      <c r="N155" s="93"/>
      <c r="O155" s="93"/>
      <c r="P155" s="93"/>
      <c r="Q155" s="93"/>
      <c r="R155" s="90"/>
      <c r="S155" s="325"/>
      <c r="T155" s="77"/>
      <c r="U155" s="77"/>
      <c r="V155" s="75"/>
      <c r="W155" s="90"/>
      <c r="X155" s="77"/>
      <c r="Y155" s="335"/>
      <c r="Z155" s="336"/>
      <c r="AA155" s="337"/>
    </row>
    <row r="156" spans="1:29" customFormat="1">
      <c r="A156" s="324"/>
      <c r="B156" s="282"/>
      <c r="C156" s="282"/>
      <c r="D156" s="58"/>
      <c r="E156" s="327"/>
      <c r="F156" s="327"/>
      <c r="H156" s="101"/>
      <c r="I156" s="101"/>
      <c r="L156" s="101"/>
      <c r="M156" s="101"/>
      <c r="N156" s="111"/>
      <c r="O156" s="101"/>
      <c r="P156" s="101"/>
      <c r="Q156" s="101"/>
      <c r="R156" s="101"/>
      <c r="T156" s="102"/>
      <c r="U156" s="102"/>
      <c r="V156" s="102"/>
      <c r="W156" s="102"/>
      <c r="X156" s="102"/>
      <c r="Y156" s="335"/>
      <c r="Z156" s="107"/>
      <c r="AA156" s="108"/>
      <c r="AB156" s="329"/>
      <c r="AC156" s="329"/>
    </row>
    <row r="157" spans="1:29" customFormat="1" ht="48">
      <c r="A157" s="299"/>
      <c r="B157" s="338"/>
      <c r="C157" s="281"/>
      <c r="D157" s="339" t="s">
        <v>3964</v>
      </c>
      <c r="E157" s="327"/>
      <c r="F157" s="327"/>
      <c r="H157" s="101"/>
      <c r="I157" s="101"/>
      <c r="J157" s="111"/>
      <c r="L157" s="101"/>
      <c r="M157" s="101"/>
      <c r="N157" s="101"/>
      <c r="O157" s="101"/>
      <c r="P157" s="101"/>
      <c r="Q157" s="101"/>
      <c r="R157" s="101"/>
      <c r="T157" s="102"/>
      <c r="U157" s="102"/>
      <c r="V157" s="340" t="s">
        <v>140</v>
      </c>
      <c r="W157" s="58"/>
      <c r="X157" s="112"/>
      <c r="Y157" s="330">
        <f>$Y$13</f>
        <v>85</v>
      </c>
      <c r="Z157" s="107">
        <f>Y157*7</f>
        <v>595</v>
      </c>
      <c r="AA157" s="108"/>
      <c r="AB157" s="329"/>
      <c r="AC157" s="329"/>
    </row>
    <row r="158" spans="1:29" customFormat="1">
      <c r="A158" s="299" t="s">
        <v>138</v>
      </c>
      <c r="B158" s="338"/>
      <c r="C158" s="281"/>
      <c r="D158" s="339"/>
      <c r="E158" s="327"/>
      <c r="F158" s="327"/>
      <c r="H158" s="101"/>
      <c r="I158" s="101"/>
      <c r="J158" s="111"/>
      <c r="L158" s="101"/>
      <c r="M158" s="101"/>
      <c r="N158" s="101"/>
      <c r="O158" s="101"/>
      <c r="P158" s="101"/>
      <c r="Q158" s="101"/>
      <c r="R158" s="101"/>
      <c r="T158" s="102"/>
      <c r="U158" s="102"/>
      <c r="V158" s="340">
        <v>64.239999999999995</v>
      </c>
      <c r="W158" s="58">
        <v>96.36</v>
      </c>
      <c r="X158" s="112">
        <v>128.47</v>
      </c>
      <c r="Y158" s="330">
        <f t="shared" ref="Y158:Y178" si="1">$Y$13</f>
        <v>85</v>
      </c>
      <c r="Z158" s="107">
        <f>Y158*7</f>
        <v>595</v>
      </c>
      <c r="AA158" s="108"/>
      <c r="AB158" s="329"/>
      <c r="AC158" s="329"/>
    </row>
    <row r="159" spans="1:29" customFormat="1">
      <c r="A159" s="299" t="s">
        <v>141</v>
      </c>
      <c r="B159" s="329"/>
      <c r="C159" s="281" t="s">
        <v>132</v>
      </c>
      <c r="D159" s="331">
        <v>43.5</v>
      </c>
      <c r="E159" s="327">
        <f t="shared" ref="E159:E175" si="2">1*N$5+1.5*R$5+2*R$6</f>
        <v>88</v>
      </c>
      <c r="F159" s="327">
        <v>0</v>
      </c>
      <c r="H159" s="101">
        <f>E159*D159</f>
        <v>3828</v>
      </c>
      <c r="I159" s="101">
        <f>(H159)*I$13</f>
        <v>382.8</v>
      </c>
      <c r="J159" s="111">
        <f>D159*F159*1.1</f>
        <v>0</v>
      </c>
      <c r="L159" s="101"/>
      <c r="M159" s="101">
        <f>(H159+I159)*M$13</f>
        <v>107.880696</v>
      </c>
      <c r="N159" s="101">
        <f>(H159+I159)*N$13</f>
        <v>208.43460000000002</v>
      </c>
      <c r="O159" s="101">
        <f>(H159+I159)*O$13</f>
        <v>118.74456000000001</v>
      </c>
      <c r="P159" s="101">
        <f>J159*O$16</f>
        <v>0</v>
      </c>
      <c r="Q159" s="101"/>
      <c r="R159" s="101">
        <f>($E159+F159)*R$13</f>
        <v>1060.4000000000001</v>
      </c>
      <c r="T159" s="102">
        <f>SUM(H159:R159)</f>
        <v>5706.2598560000006</v>
      </c>
      <c r="U159" s="102"/>
      <c r="V159" s="103">
        <v>64.84</v>
      </c>
      <c r="W159" s="103">
        <v>97.27</v>
      </c>
      <c r="X159" s="103">
        <v>129.69</v>
      </c>
      <c r="Y159" s="330">
        <f t="shared" si="1"/>
        <v>85</v>
      </c>
      <c r="Z159" s="107">
        <f t="shared" ref="Z159:Z178" si="3">Y159*7</f>
        <v>595</v>
      </c>
      <c r="AA159" s="108">
        <f>V159*N$5+W159*R$5+X159*R$6</f>
        <v>5706.24</v>
      </c>
      <c r="AB159" s="329">
        <f t="shared" ref="AB159:AB180" si="4">AA159+Z159</f>
        <v>6301.24</v>
      </c>
      <c r="AC159" s="329"/>
    </row>
    <row r="160" spans="1:29" customFormat="1">
      <c r="A160" s="299" t="s">
        <v>142</v>
      </c>
      <c r="B160" s="329"/>
      <c r="C160" s="281" t="s">
        <v>132</v>
      </c>
      <c r="D160" s="331">
        <v>43</v>
      </c>
      <c r="E160" s="327">
        <f t="shared" si="2"/>
        <v>88</v>
      </c>
      <c r="F160" s="327">
        <v>0</v>
      </c>
      <c r="H160" s="101">
        <f>E160*D160</f>
        <v>3784</v>
      </c>
      <c r="I160" s="101">
        <f>(H160)*I$13</f>
        <v>378.40000000000003</v>
      </c>
      <c r="J160" s="111">
        <f>D160*F160*1.1</f>
        <v>0</v>
      </c>
      <c r="L160" s="101"/>
      <c r="M160" s="101">
        <f>(H160+I160)*M$13</f>
        <v>106.640688</v>
      </c>
      <c r="N160" s="101">
        <f>(H160+I160)*N$13</f>
        <v>206.03879999999998</v>
      </c>
      <c r="O160" s="101">
        <f>(H160+I160)*O$13</f>
        <v>117.37967999999999</v>
      </c>
      <c r="P160" s="101">
        <f>J160*O$16</f>
        <v>0</v>
      </c>
      <c r="Q160" s="101"/>
      <c r="R160" s="101">
        <f>($E160+F160)*R$13</f>
        <v>1060.4000000000001</v>
      </c>
      <c r="T160" s="102">
        <f t="shared" ref="T160:T175" si="5">SUM(H160:R160)</f>
        <v>5652.8591680000009</v>
      </c>
      <c r="U160" s="102"/>
      <c r="V160" s="103">
        <v>64.239999999999995</v>
      </c>
      <c r="W160" s="103">
        <v>96.36</v>
      </c>
      <c r="X160" s="103">
        <v>128.47</v>
      </c>
      <c r="Y160" s="330">
        <f t="shared" si="1"/>
        <v>85</v>
      </c>
      <c r="Z160" s="107">
        <f t="shared" si="3"/>
        <v>595</v>
      </c>
      <c r="AA160" s="108">
        <f t="shared" ref="AA160:AA179" si="6">V160*N$5+W160*R$5+X160*R$6</f>
        <v>5653.12</v>
      </c>
      <c r="AB160" s="329">
        <f t="shared" si="4"/>
        <v>6248.12</v>
      </c>
      <c r="AC160" s="329"/>
    </row>
    <row r="161" spans="1:29" customFormat="1">
      <c r="A161" s="333" t="s">
        <v>143</v>
      </c>
      <c r="B161" s="329"/>
      <c r="C161" s="281" t="s">
        <v>132</v>
      </c>
      <c r="D161" s="331">
        <v>47.3</v>
      </c>
      <c r="E161" s="327">
        <f t="shared" si="2"/>
        <v>88</v>
      </c>
      <c r="F161" s="327">
        <v>0</v>
      </c>
      <c r="H161" s="101">
        <f>E161*D161</f>
        <v>4162.3999999999996</v>
      </c>
      <c r="I161" s="101">
        <f>(H161)*I$13</f>
        <v>416.24</v>
      </c>
      <c r="J161" s="111">
        <f>D161*F161*1.1</f>
        <v>0</v>
      </c>
      <c r="L161" s="101"/>
      <c r="M161" s="101">
        <f>(H161+I161)*M$13</f>
        <v>117.30475679999999</v>
      </c>
      <c r="N161" s="101">
        <f>(H161+I161)*N$13</f>
        <v>226.64267999999998</v>
      </c>
      <c r="O161" s="101">
        <f>(H161+I161)*O$13</f>
        <v>129.11764799999997</v>
      </c>
      <c r="P161" s="101">
        <f>J161*O$16</f>
        <v>0</v>
      </c>
      <c r="Q161" s="101"/>
      <c r="R161" s="101">
        <f>($E161+F161)*R$13</f>
        <v>1060.4000000000001</v>
      </c>
      <c r="T161" s="102">
        <f t="shared" si="5"/>
        <v>6112.1050847999995</v>
      </c>
      <c r="U161" s="102"/>
      <c r="V161" s="103">
        <v>69.459999999999994</v>
      </c>
      <c r="W161" s="103">
        <v>104.18</v>
      </c>
      <c r="X161" s="103">
        <v>138.91</v>
      </c>
      <c r="Y161" s="330">
        <f t="shared" si="1"/>
        <v>85</v>
      </c>
      <c r="Z161" s="107">
        <f t="shared" si="3"/>
        <v>595</v>
      </c>
      <c r="AA161" s="108">
        <f t="shared" si="6"/>
        <v>6112.16</v>
      </c>
      <c r="AB161" s="329">
        <f t="shared" si="4"/>
        <v>6707.16</v>
      </c>
      <c r="AC161" s="329"/>
    </row>
    <row r="162" spans="1:29" customFormat="1">
      <c r="A162" s="299" t="s">
        <v>144</v>
      </c>
      <c r="B162" s="329"/>
      <c r="C162" s="281" t="s">
        <v>132</v>
      </c>
      <c r="D162" s="331">
        <v>41.79</v>
      </c>
      <c r="E162" s="327">
        <f t="shared" si="2"/>
        <v>88</v>
      </c>
      <c r="F162" s="327">
        <v>0</v>
      </c>
      <c r="H162" s="101">
        <f t="shared" ref="H162:H175" si="7">E162*D162</f>
        <v>3677.52</v>
      </c>
      <c r="I162" s="101">
        <f t="shared" ref="I162:I179" si="8">(H162)*I$13</f>
        <v>367.75200000000001</v>
      </c>
      <c r="J162" s="111">
        <f t="shared" ref="J162:J175" si="9">D162*F162*1.1</f>
        <v>0</v>
      </c>
      <c r="L162" s="101"/>
      <c r="M162" s="101">
        <f t="shared" ref="M162:M175" si="10">(H162+I162)*M$13</f>
        <v>103.63986864</v>
      </c>
      <c r="N162" s="101">
        <f t="shared" ref="N162:N175" si="11">(H162+I162)*N$13</f>
        <v>200.24096400000002</v>
      </c>
      <c r="O162" s="101">
        <f t="shared" ref="O162:O175" si="12">(H162+I162)*O$13</f>
        <v>114.0766704</v>
      </c>
      <c r="P162" s="101">
        <f t="shared" ref="P162:P175" si="13">J162*O$16</f>
        <v>0</v>
      </c>
      <c r="Q162" s="101"/>
      <c r="R162" s="101">
        <f t="shared" ref="R162:R180" si="14">($E162+F162)*R$13</f>
        <v>1060.4000000000001</v>
      </c>
      <c r="T162" s="102">
        <f t="shared" si="5"/>
        <v>5523.6295030399997</v>
      </c>
      <c r="U162" s="102"/>
      <c r="V162" s="103">
        <v>62.77</v>
      </c>
      <c r="W162" s="103">
        <v>94.15</v>
      </c>
      <c r="X162" s="103">
        <v>125.54</v>
      </c>
      <c r="Y162" s="330">
        <f t="shared" si="1"/>
        <v>85</v>
      </c>
      <c r="Z162" s="107">
        <f t="shared" si="3"/>
        <v>595</v>
      </c>
      <c r="AA162" s="108">
        <f t="shared" si="6"/>
        <v>5523.6</v>
      </c>
      <c r="AB162" s="329">
        <f t="shared" si="4"/>
        <v>6118.6</v>
      </c>
      <c r="AC162" s="329"/>
    </row>
    <row r="163" spans="1:29" customFormat="1">
      <c r="A163" s="333" t="s">
        <v>145</v>
      </c>
      <c r="B163" s="329"/>
      <c r="C163" s="281" t="s">
        <v>132</v>
      </c>
      <c r="D163" s="331">
        <v>45.97</v>
      </c>
      <c r="E163" s="327">
        <f t="shared" si="2"/>
        <v>88</v>
      </c>
      <c r="F163" s="327">
        <v>0</v>
      </c>
      <c r="H163" s="101">
        <f t="shared" si="7"/>
        <v>4045.3599999999997</v>
      </c>
      <c r="I163" s="101">
        <f t="shared" si="8"/>
        <v>404.536</v>
      </c>
      <c r="J163" s="111">
        <f t="shared" si="9"/>
        <v>0</v>
      </c>
      <c r="L163" s="101"/>
      <c r="M163" s="101">
        <f t="shared" si="10"/>
        <v>114.00633551999999</v>
      </c>
      <c r="N163" s="101">
        <f t="shared" si="11"/>
        <v>220.26985199999999</v>
      </c>
      <c r="O163" s="101">
        <f t="shared" si="12"/>
        <v>125.48706719999998</v>
      </c>
      <c r="P163" s="101">
        <f t="shared" si="13"/>
        <v>0</v>
      </c>
      <c r="Q163" s="101"/>
      <c r="R163" s="101">
        <f t="shared" si="14"/>
        <v>1060.4000000000001</v>
      </c>
      <c r="T163" s="102">
        <f t="shared" si="5"/>
        <v>5970.0592547199994</v>
      </c>
      <c r="U163" s="102"/>
      <c r="V163" s="103">
        <v>67.84</v>
      </c>
      <c r="W163" s="103">
        <v>101.76</v>
      </c>
      <c r="X163" s="103">
        <v>135.68</v>
      </c>
      <c r="Y163" s="330">
        <f t="shared" si="1"/>
        <v>85</v>
      </c>
      <c r="Z163" s="107">
        <f t="shared" si="3"/>
        <v>595</v>
      </c>
      <c r="AA163" s="108">
        <f t="shared" si="6"/>
        <v>5969.92</v>
      </c>
      <c r="AB163" s="329">
        <f t="shared" si="4"/>
        <v>6564.92</v>
      </c>
      <c r="AC163" s="329"/>
    </row>
    <row r="164" spans="1:29" customFormat="1">
      <c r="A164" s="299" t="s">
        <v>146</v>
      </c>
      <c r="B164" s="329"/>
      <c r="C164" s="281" t="s">
        <v>132</v>
      </c>
      <c r="D164" s="331">
        <v>37.65</v>
      </c>
      <c r="E164" s="327">
        <f t="shared" si="2"/>
        <v>88</v>
      </c>
      <c r="F164" s="327">
        <v>0</v>
      </c>
      <c r="H164" s="101">
        <f t="shared" si="7"/>
        <v>3313.2</v>
      </c>
      <c r="I164" s="101">
        <f t="shared" si="8"/>
        <v>331.32</v>
      </c>
      <c r="J164" s="111">
        <f t="shared" si="9"/>
        <v>0</v>
      </c>
      <c r="L164" s="101"/>
      <c r="M164" s="101">
        <f t="shared" si="10"/>
        <v>93.372602400000005</v>
      </c>
      <c r="N164" s="101">
        <f t="shared" si="11"/>
        <v>180.40374</v>
      </c>
      <c r="O164" s="101">
        <f t="shared" si="12"/>
        <v>102.775464</v>
      </c>
      <c r="P164" s="101">
        <f t="shared" si="13"/>
        <v>0</v>
      </c>
      <c r="Q164" s="101"/>
      <c r="R164" s="101">
        <f t="shared" si="14"/>
        <v>1060.4000000000001</v>
      </c>
      <c r="T164" s="102">
        <f t="shared" si="5"/>
        <v>5081.4718064000008</v>
      </c>
      <c r="U164" s="102"/>
      <c r="V164" s="103">
        <v>57.74</v>
      </c>
      <c r="W164" s="103">
        <v>86.62</v>
      </c>
      <c r="X164" s="103">
        <v>115.49</v>
      </c>
      <c r="Y164" s="330">
        <f t="shared" si="1"/>
        <v>85</v>
      </c>
      <c r="Z164" s="107">
        <f t="shared" si="3"/>
        <v>595</v>
      </c>
      <c r="AA164" s="108">
        <f t="shared" si="6"/>
        <v>5081.4400000000005</v>
      </c>
      <c r="AB164" s="329">
        <f t="shared" si="4"/>
        <v>5676.4400000000005</v>
      </c>
      <c r="AC164" s="329"/>
    </row>
    <row r="165" spans="1:29" customFormat="1">
      <c r="A165" s="333" t="s">
        <v>147</v>
      </c>
      <c r="B165" s="329"/>
      <c r="C165" s="281" t="s">
        <v>132</v>
      </c>
      <c r="D165" s="331">
        <v>41.42</v>
      </c>
      <c r="E165" s="327">
        <f t="shared" si="2"/>
        <v>88</v>
      </c>
      <c r="F165" s="327">
        <v>0</v>
      </c>
      <c r="H165" s="101">
        <f t="shared" si="7"/>
        <v>3644.96</v>
      </c>
      <c r="I165" s="101">
        <f t="shared" si="8"/>
        <v>364.49600000000004</v>
      </c>
      <c r="J165" s="111">
        <f t="shared" si="9"/>
        <v>0</v>
      </c>
      <c r="L165" s="101"/>
      <c r="M165" s="101">
        <f t="shared" si="10"/>
        <v>102.72226272</v>
      </c>
      <c r="N165" s="101">
        <f t="shared" si="11"/>
        <v>198.46807200000001</v>
      </c>
      <c r="O165" s="101">
        <f t="shared" si="12"/>
        <v>113.0666592</v>
      </c>
      <c r="P165" s="101">
        <f t="shared" si="13"/>
        <v>0</v>
      </c>
      <c r="Q165" s="101"/>
      <c r="R165" s="101">
        <f t="shared" si="14"/>
        <v>1060.4000000000001</v>
      </c>
      <c r="T165" s="102">
        <f t="shared" si="5"/>
        <v>5484.11299392</v>
      </c>
      <c r="U165" s="102"/>
      <c r="V165" s="103">
        <v>62.32</v>
      </c>
      <c r="W165" s="103">
        <v>93.48</v>
      </c>
      <c r="X165" s="103">
        <v>124.64</v>
      </c>
      <c r="Y165" s="330">
        <f t="shared" si="1"/>
        <v>85</v>
      </c>
      <c r="Z165" s="107">
        <f t="shared" si="3"/>
        <v>595</v>
      </c>
      <c r="AA165" s="108">
        <f t="shared" si="6"/>
        <v>5484.16</v>
      </c>
      <c r="AB165" s="329">
        <f t="shared" si="4"/>
        <v>6079.16</v>
      </c>
      <c r="AC165" s="329"/>
    </row>
    <row r="166" spans="1:29" customFormat="1">
      <c r="A166" s="299" t="s">
        <v>148</v>
      </c>
      <c r="B166" s="329"/>
      <c r="C166" s="281" t="s">
        <v>132</v>
      </c>
      <c r="D166" s="331">
        <v>30.81</v>
      </c>
      <c r="E166" s="327">
        <f t="shared" si="2"/>
        <v>88</v>
      </c>
      <c r="F166" s="327">
        <v>0</v>
      </c>
      <c r="H166" s="101">
        <f t="shared" si="7"/>
        <v>2711.2799999999997</v>
      </c>
      <c r="I166" s="101">
        <f t="shared" si="8"/>
        <v>271.12799999999999</v>
      </c>
      <c r="J166" s="111">
        <f t="shared" si="9"/>
        <v>0</v>
      </c>
      <c r="L166" s="101"/>
      <c r="M166" s="101">
        <f t="shared" si="10"/>
        <v>76.409292960000002</v>
      </c>
      <c r="N166" s="101">
        <f t="shared" si="11"/>
        <v>147.62919600000001</v>
      </c>
      <c r="O166" s="101">
        <f t="shared" si="12"/>
        <v>84.10390559999999</v>
      </c>
      <c r="P166" s="101">
        <f t="shared" si="13"/>
        <v>0</v>
      </c>
      <c r="Q166" s="101"/>
      <c r="R166" s="101">
        <f t="shared" si="14"/>
        <v>1060.4000000000001</v>
      </c>
      <c r="T166" s="102">
        <f t="shared" si="5"/>
        <v>4350.9503945599999</v>
      </c>
      <c r="U166" s="102"/>
      <c r="V166" s="103">
        <v>49.44</v>
      </c>
      <c r="W166" s="103">
        <v>74.16</v>
      </c>
      <c r="X166" s="103">
        <v>98.89</v>
      </c>
      <c r="Y166" s="330">
        <f t="shared" si="1"/>
        <v>85</v>
      </c>
      <c r="Z166" s="107">
        <f t="shared" si="3"/>
        <v>595</v>
      </c>
      <c r="AA166" s="108">
        <f t="shared" si="6"/>
        <v>4350.7199999999993</v>
      </c>
      <c r="AB166" s="329">
        <f t="shared" si="4"/>
        <v>4945.7199999999993</v>
      </c>
      <c r="AC166" s="329"/>
    </row>
    <row r="167" spans="1:29" customFormat="1">
      <c r="A167" s="333" t="s">
        <v>149</v>
      </c>
      <c r="B167" s="329"/>
      <c r="C167" s="281" t="s">
        <v>132</v>
      </c>
      <c r="D167" s="331">
        <v>33.89</v>
      </c>
      <c r="E167" s="327">
        <f t="shared" si="2"/>
        <v>88</v>
      </c>
      <c r="F167" s="327">
        <v>0</v>
      </c>
      <c r="H167" s="101">
        <f t="shared" si="7"/>
        <v>2982.32</v>
      </c>
      <c r="I167" s="101">
        <f t="shared" si="8"/>
        <v>298.23200000000003</v>
      </c>
      <c r="J167" s="111">
        <f t="shared" si="9"/>
        <v>0</v>
      </c>
      <c r="L167" s="101"/>
      <c r="M167" s="101">
        <f t="shared" si="10"/>
        <v>84.047742240000005</v>
      </c>
      <c r="N167" s="101">
        <f t="shared" si="11"/>
        <v>162.38732400000001</v>
      </c>
      <c r="O167" s="101">
        <f t="shared" si="12"/>
        <v>92.511566400000007</v>
      </c>
      <c r="P167" s="101">
        <f t="shared" si="13"/>
        <v>0</v>
      </c>
      <c r="Q167" s="101"/>
      <c r="R167" s="101">
        <f t="shared" si="14"/>
        <v>1060.4000000000001</v>
      </c>
      <c r="T167" s="102">
        <f t="shared" si="5"/>
        <v>4679.89863264</v>
      </c>
      <c r="U167" s="102"/>
      <c r="V167" s="103">
        <v>53.18</v>
      </c>
      <c r="W167" s="103">
        <v>79.77</v>
      </c>
      <c r="X167" s="103">
        <v>106.36</v>
      </c>
      <c r="Y167" s="330">
        <f t="shared" si="1"/>
        <v>85</v>
      </c>
      <c r="Z167" s="107">
        <f t="shared" si="3"/>
        <v>595</v>
      </c>
      <c r="AA167" s="108">
        <f t="shared" si="6"/>
        <v>4679.84</v>
      </c>
      <c r="AB167" s="329">
        <f t="shared" si="4"/>
        <v>5274.84</v>
      </c>
      <c r="AC167" s="329"/>
    </row>
    <row r="168" spans="1:29" customFormat="1">
      <c r="A168" s="299" t="s">
        <v>150</v>
      </c>
      <c r="B168" s="329"/>
      <c r="C168" s="281" t="s">
        <v>132</v>
      </c>
      <c r="D168" s="331">
        <v>43.25</v>
      </c>
      <c r="E168" s="327">
        <f t="shared" si="2"/>
        <v>88</v>
      </c>
      <c r="F168" s="327">
        <v>0</v>
      </c>
      <c r="H168" s="101">
        <f t="shared" si="7"/>
        <v>3806</v>
      </c>
      <c r="I168" s="101">
        <f t="shared" si="8"/>
        <v>380.6</v>
      </c>
      <c r="J168" s="111">
        <f t="shared" si="9"/>
        <v>0</v>
      </c>
      <c r="L168" s="101"/>
      <c r="M168" s="101">
        <f t="shared" si="10"/>
        <v>107.26069200000001</v>
      </c>
      <c r="N168" s="101">
        <f t="shared" si="11"/>
        <v>207.23670000000004</v>
      </c>
      <c r="O168" s="101">
        <f t="shared" si="12"/>
        <v>118.06212000000001</v>
      </c>
      <c r="P168" s="101">
        <f t="shared" si="13"/>
        <v>0</v>
      </c>
      <c r="Q168" s="101"/>
      <c r="R168" s="101">
        <f t="shared" si="14"/>
        <v>1060.4000000000001</v>
      </c>
      <c r="T168" s="102">
        <f t="shared" si="5"/>
        <v>5679.5595119999998</v>
      </c>
      <c r="U168" s="102"/>
      <c r="V168" s="103">
        <v>64.540000000000006</v>
      </c>
      <c r="W168" s="103">
        <v>96.81</v>
      </c>
      <c r="X168" s="103">
        <v>129.08000000000001</v>
      </c>
      <c r="Y168" s="330">
        <f t="shared" si="1"/>
        <v>85</v>
      </c>
      <c r="Z168" s="107">
        <f t="shared" si="3"/>
        <v>595</v>
      </c>
      <c r="AA168" s="108">
        <f t="shared" si="6"/>
        <v>5679.52</v>
      </c>
      <c r="AB168" s="329">
        <f t="shared" si="4"/>
        <v>6274.52</v>
      </c>
      <c r="AC168" s="329"/>
    </row>
    <row r="169" spans="1:29" customFormat="1">
      <c r="A169" s="333" t="s">
        <v>151</v>
      </c>
      <c r="B169" s="329"/>
      <c r="C169" s="281" t="s">
        <v>132</v>
      </c>
      <c r="D169" s="331">
        <v>47.58</v>
      </c>
      <c r="E169" s="327">
        <f t="shared" si="2"/>
        <v>88</v>
      </c>
      <c r="F169" s="327">
        <v>0</v>
      </c>
      <c r="H169" s="101">
        <f t="shared" si="7"/>
        <v>4187.04</v>
      </c>
      <c r="I169" s="101">
        <f t="shared" si="8"/>
        <v>418.70400000000001</v>
      </c>
      <c r="J169" s="111">
        <f t="shared" si="9"/>
        <v>0</v>
      </c>
      <c r="L169" s="101"/>
      <c r="M169" s="101">
        <f t="shared" si="10"/>
        <v>117.99916128</v>
      </c>
      <c r="N169" s="101">
        <f t="shared" si="11"/>
        <v>227.984328</v>
      </c>
      <c r="O169" s="101">
        <f t="shared" si="12"/>
        <v>129.88198079999998</v>
      </c>
      <c r="P169" s="101">
        <f t="shared" si="13"/>
        <v>0</v>
      </c>
      <c r="Q169" s="101"/>
      <c r="R169" s="101">
        <f t="shared" si="14"/>
        <v>1060.4000000000001</v>
      </c>
      <c r="T169" s="102">
        <f t="shared" si="5"/>
        <v>6142.00947008</v>
      </c>
      <c r="U169" s="102"/>
      <c r="V169" s="103">
        <v>69.8</v>
      </c>
      <c r="W169" s="103">
        <v>104.69</v>
      </c>
      <c r="X169" s="103">
        <v>139.59</v>
      </c>
      <c r="Y169" s="330">
        <f t="shared" si="1"/>
        <v>85</v>
      </c>
      <c r="Z169" s="107">
        <f t="shared" si="3"/>
        <v>595</v>
      </c>
      <c r="AA169" s="108">
        <f t="shared" si="6"/>
        <v>6142.08</v>
      </c>
      <c r="AB169" s="329">
        <f t="shared" si="4"/>
        <v>6737.08</v>
      </c>
      <c r="AC169" s="329"/>
    </row>
    <row r="170" spans="1:29" customFormat="1">
      <c r="A170" s="341" t="s">
        <v>1032</v>
      </c>
      <c r="B170" s="329"/>
      <c r="C170" s="281" t="s">
        <v>132</v>
      </c>
      <c r="D170" s="331">
        <v>44.03</v>
      </c>
      <c r="E170" s="327">
        <f t="shared" si="2"/>
        <v>88</v>
      </c>
      <c r="F170" s="327">
        <v>0</v>
      </c>
      <c r="H170" s="101">
        <f t="shared" si="7"/>
        <v>3874.6400000000003</v>
      </c>
      <c r="I170" s="101">
        <f t="shared" si="8"/>
        <v>387.46400000000006</v>
      </c>
      <c r="J170" s="111">
        <f t="shared" si="9"/>
        <v>0</v>
      </c>
      <c r="L170" s="101"/>
      <c r="M170" s="101">
        <f t="shared" si="10"/>
        <v>109.19510448000001</v>
      </c>
      <c r="N170" s="101">
        <f t="shared" si="11"/>
        <v>210.97414800000001</v>
      </c>
      <c r="O170" s="101">
        <f t="shared" si="12"/>
        <v>120.1913328</v>
      </c>
      <c r="P170" s="101">
        <f t="shared" si="13"/>
        <v>0</v>
      </c>
      <c r="Q170" s="101">
        <f t="shared" ref="Q170:Q175" si="15">R$7*Q$13</f>
        <v>14.4</v>
      </c>
      <c r="R170" s="101">
        <f t="shared" si="14"/>
        <v>1060.4000000000001</v>
      </c>
      <c r="T170" s="102">
        <f t="shared" si="5"/>
        <v>5777.2645852799997</v>
      </c>
      <c r="U170" s="102"/>
      <c r="V170" s="103">
        <v>65.69</v>
      </c>
      <c r="W170" s="103">
        <v>98.43</v>
      </c>
      <c r="X170" s="103">
        <v>131.16999999999999</v>
      </c>
      <c r="Y170" s="330">
        <f t="shared" si="1"/>
        <v>85</v>
      </c>
      <c r="Z170" s="107">
        <f t="shared" si="3"/>
        <v>595</v>
      </c>
      <c r="AA170" s="108">
        <f t="shared" si="6"/>
        <v>5777.3600000000006</v>
      </c>
      <c r="AB170" s="329">
        <f t="shared" si="4"/>
        <v>6372.3600000000006</v>
      </c>
      <c r="AC170" s="329"/>
    </row>
    <row r="171" spans="1:29" customFormat="1">
      <c r="A171" s="333" t="s">
        <v>152</v>
      </c>
      <c r="B171" s="329"/>
      <c r="C171" s="281" t="s">
        <v>132</v>
      </c>
      <c r="D171" s="331">
        <v>48.44</v>
      </c>
      <c r="E171" s="327">
        <f t="shared" si="2"/>
        <v>88</v>
      </c>
      <c r="F171" s="327">
        <v>0</v>
      </c>
      <c r="H171" s="101">
        <f t="shared" si="7"/>
        <v>4262.7199999999993</v>
      </c>
      <c r="I171" s="101">
        <f t="shared" si="8"/>
        <v>426.27199999999993</v>
      </c>
      <c r="J171" s="111">
        <f t="shared" si="9"/>
        <v>0</v>
      </c>
      <c r="L171" s="101"/>
      <c r="M171" s="101">
        <f t="shared" si="10"/>
        <v>120.13197503999999</v>
      </c>
      <c r="N171" s="101">
        <f t="shared" si="11"/>
        <v>232.10510399999998</v>
      </c>
      <c r="O171" s="101">
        <f t="shared" si="12"/>
        <v>132.22957439999999</v>
      </c>
      <c r="P171" s="101">
        <f t="shared" si="13"/>
        <v>0</v>
      </c>
      <c r="Q171" s="101">
        <f t="shared" si="15"/>
        <v>14.4</v>
      </c>
      <c r="R171" s="101">
        <f t="shared" si="14"/>
        <v>1060.4000000000001</v>
      </c>
      <c r="T171" s="102">
        <f t="shared" si="5"/>
        <v>6248.2586534399998</v>
      </c>
      <c r="U171" s="102"/>
      <c r="V171" s="103">
        <v>71.040000000000006</v>
      </c>
      <c r="W171" s="103">
        <v>106.46</v>
      </c>
      <c r="X171" s="103">
        <v>141.88</v>
      </c>
      <c r="Y171" s="330">
        <f t="shared" si="1"/>
        <v>85</v>
      </c>
      <c r="Z171" s="107">
        <f t="shared" si="3"/>
        <v>595</v>
      </c>
      <c r="AA171" s="108">
        <f t="shared" si="6"/>
        <v>6248.32</v>
      </c>
      <c r="AB171" s="329">
        <f t="shared" si="4"/>
        <v>6843.32</v>
      </c>
      <c r="AC171" s="329"/>
    </row>
    <row r="172" spans="1:29" customFormat="1">
      <c r="A172" s="299" t="s">
        <v>153</v>
      </c>
      <c r="B172" s="329"/>
      <c r="C172" s="281" t="s">
        <v>132</v>
      </c>
      <c r="D172" s="331">
        <v>44.03</v>
      </c>
      <c r="E172" s="327">
        <f t="shared" si="2"/>
        <v>88</v>
      </c>
      <c r="F172" s="327">
        <v>0</v>
      </c>
      <c r="H172" s="101">
        <f t="shared" si="7"/>
        <v>3874.6400000000003</v>
      </c>
      <c r="I172" s="101">
        <f t="shared" si="8"/>
        <v>387.46400000000006</v>
      </c>
      <c r="J172" s="111">
        <f t="shared" si="9"/>
        <v>0</v>
      </c>
      <c r="L172" s="101"/>
      <c r="M172" s="101">
        <f t="shared" si="10"/>
        <v>109.19510448000001</v>
      </c>
      <c r="N172" s="101">
        <f t="shared" si="11"/>
        <v>210.97414800000001</v>
      </c>
      <c r="O172" s="101">
        <f t="shared" si="12"/>
        <v>120.1913328</v>
      </c>
      <c r="P172" s="101">
        <f t="shared" si="13"/>
        <v>0</v>
      </c>
      <c r="Q172" s="101">
        <f t="shared" si="15"/>
        <v>14.4</v>
      </c>
      <c r="R172" s="101">
        <f t="shared" si="14"/>
        <v>1060.4000000000001</v>
      </c>
      <c r="T172" s="102">
        <f t="shared" si="5"/>
        <v>5777.2645852799997</v>
      </c>
      <c r="U172" s="102"/>
      <c r="V172" s="103">
        <v>65.69</v>
      </c>
      <c r="W172" s="103">
        <v>98.43</v>
      </c>
      <c r="X172" s="103">
        <v>131.16999999999999</v>
      </c>
      <c r="Y172" s="330">
        <f t="shared" si="1"/>
        <v>85</v>
      </c>
      <c r="Z172" s="107">
        <f t="shared" si="3"/>
        <v>595</v>
      </c>
      <c r="AA172" s="108">
        <f t="shared" si="6"/>
        <v>5777.3600000000006</v>
      </c>
      <c r="AB172" s="329">
        <f t="shared" si="4"/>
        <v>6372.3600000000006</v>
      </c>
      <c r="AC172" s="329"/>
    </row>
    <row r="173" spans="1:29" customFormat="1">
      <c r="A173" s="333" t="s">
        <v>154</v>
      </c>
      <c r="B173" s="329"/>
      <c r="C173" s="281" t="s">
        <v>132</v>
      </c>
      <c r="D173" s="331">
        <v>48.44</v>
      </c>
      <c r="E173" s="327">
        <f t="shared" si="2"/>
        <v>88</v>
      </c>
      <c r="F173" s="327">
        <v>0</v>
      </c>
      <c r="H173" s="101">
        <f t="shared" si="7"/>
        <v>4262.7199999999993</v>
      </c>
      <c r="I173" s="101">
        <f t="shared" si="8"/>
        <v>426.27199999999993</v>
      </c>
      <c r="J173" s="111">
        <f t="shared" si="9"/>
        <v>0</v>
      </c>
      <c r="L173" s="101"/>
      <c r="M173" s="101">
        <f t="shared" si="10"/>
        <v>120.13197503999999</v>
      </c>
      <c r="N173" s="101">
        <f t="shared" si="11"/>
        <v>232.10510399999998</v>
      </c>
      <c r="O173" s="101">
        <f t="shared" si="12"/>
        <v>132.22957439999999</v>
      </c>
      <c r="P173" s="101">
        <f t="shared" si="13"/>
        <v>0</v>
      </c>
      <c r="Q173" s="101">
        <f t="shared" si="15"/>
        <v>14.4</v>
      </c>
      <c r="R173" s="101">
        <f t="shared" si="14"/>
        <v>1060.4000000000001</v>
      </c>
      <c r="T173" s="102">
        <f t="shared" si="5"/>
        <v>6248.2586534399998</v>
      </c>
      <c r="U173" s="102"/>
      <c r="V173" s="103">
        <v>71.040000000000006</v>
      </c>
      <c r="W173" s="103">
        <v>106.46</v>
      </c>
      <c r="X173" s="103">
        <v>141.88</v>
      </c>
      <c r="Y173" s="330">
        <f t="shared" si="1"/>
        <v>85</v>
      </c>
      <c r="Z173" s="107">
        <f t="shared" si="3"/>
        <v>595</v>
      </c>
      <c r="AA173" s="108">
        <f t="shared" si="6"/>
        <v>6248.32</v>
      </c>
      <c r="AB173" s="329">
        <f t="shared" si="4"/>
        <v>6843.32</v>
      </c>
      <c r="AC173" s="329"/>
    </row>
    <row r="174" spans="1:29" customFormat="1">
      <c r="A174" s="299" t="s">
        <v>155</v>
      </c>
      <c r="B174" s="329"/>
      <c r="C174" s="281" t="s">
        <v>132</v>
      </c>
      <c r="D174" s="331">
        <v>33</v>
      </c>
      <c r="E174" s="327">
        <f t="shared" si="2"/>
        <v>88</v>
      </c>
      <c r="F174" s="327">
        <v>0</v>
      </c>
      <c r="H174" s="101">
        <f t="shared" si="7"/>
        <v>2904</v>
      </c>
      <c r="I174" s="101">
        <f t="shared" si="8"/>
        <v>290.40000000000003</v>
      </c>
      <c r="J174" s="111">
        <f t="shared" si="9"/>
        <v>0</v>
      </c>
      <c r="L174" s="101"/>
      <c r="M174" s="101">
        <f t="shared" si="10"/>
        <v>81.840528000000006</v>
      </c>
      <c r="N174" s="101">
        <f t="shared" si="11"/>
        <v>158.12280000000001</v>
      </c>
      <c r="O174" s="101">
        <f t="shared" si="12"/>
        <v>90.082080000000005</v>
      </c>
      <c r="P174" s="101">
        <f t="shared" si="13"/>
        <v>0</v>
      </c>
      <c r="Q174" s="101">
        <f t="shared" si="15"/>
        <v>14.4</v>
      </c>
      <c r="R174" s="101">
        <f t="shared" si="14"/>
        <v>1060.4000000000001</v>
      </c>
      <c r="T174" s="102">
        <f t="shared" si="5"/>
        <v>4599.2454080000007</v>
      </c>
      <c r="U174" s="102"/>
      <c r="V174" s="103">
        <v>52.3</v>
      </c>
      <c r="W174" s="103">
        <v>78.349999999999994</v>
      </c>
      <c r="X174" s="103">
        <v>104.4</v>
      </c>
      <c r="Y174" s="330">
        <f t="shared" si="1"/>
        <v>85</v>
      </c>
      <c r="Z174" s="107">
        <f t="shared" si="3"/>
        <v>595</v>
      </c>
      <c r="AA174" s="108">
        <f t="shared" si="6"/>
        <v>4599.2</v>
      </c>
      <c r="AB174" s="329">
        <f t="shared" si="4"/>
        <v>5194.2</v>
      </c>
      <c r="AC174" s="329"/>
    </row>
    <row r="175" spans="1:29" customFormat="1">
      <c r="A175" s="333" t="s">
        <v>156</v>
      </c>
      <c r="B175" s="329"/>
      <c r="C175" s="281" t="s">
        <v>132</v>
      </c>
      <c r="D175" s="331">
        <v>36.299999999999997</v>
      </c>
      <c r="E175" s="327">
        <f t="shared" si="2"/>
        <v>88</v>
      </c>
      <c r="F175" s="327">
        <v>0</v>
      </c>
      <c r="H175" s="101">
        <f t="shared" si="7"/>
        <v>3194.3999999999996</v>
      </c>
      <c r="I175" s="101">
        <f t="shared" si="8"/>
        <v>319.44</v>
      </c>
      <c r="J175" s="111">
        <f t="shared" si="9"/>
        <v>0</v>
      </c>
      <c r="L175" s="101"/>
      <c r="M175" s="101">
        <f t="shared" si="10"/>
        <v>90.024580799999995</v>
      </c>
      <c r="N175" s="101">
        <f t="shared" si="11"/>
        <v>173.93508</v>
      </c>
      <c r="O175" s="101">
        <f t="shared" si="12"/>
        <v>99.090287999999987</v>
      </c>
      <c r="P175" s="101">
        <f t="shared" si="13"/>
        <v>0</v>
      </c>
      <c r="Q175" s="101">
        <f t="shared" si="15"/>
        <v>14.4</v>
      </c>
      <c r="R175" s="101">
        <f t="shared" si="14"/>
        <v>1060.4000000000001</v>
      </c>
      <c r="T175" s="102">
        <f t="shared" si="5"/>
        <v>4951.6899487999999</v>
      </c>
      <c r="U175" s="102"/>
      <c r="V175" s="103">
        <v>56.31</v>
      </c>
      <c r="W175" s="103">
        <v>84.36</v>
      </c>
      <c r="X175" s="103">
        <v>112.41</v>
      </c>
      <c r="Y175" s="330">
        <f t="shared" si="1"/>
        <v>85</v>
      </c>
      <c r="Z175" s="107">
        <f t="shared" si="3"/>
        <v>595</v>
      </c>
      <c r="AA175" s="108">
        <f t="shared" si="6"/>
        <v>4951.92</v>
      </c>
      <c r="AB175" s="329">
        <f t="shared" si="4"/>
        <v>5546.92</v>
      </c>
      <c r="AC175" s="329"/>
    </row>
    <row r="176" spans="1:29" customFormat="1">
      <c r="A176" s="299" t="s">
        <v>157</v>
      </c>
      <c r="B176" s="329"/>
      <c r="C176" s="281" t="s">
        <v>132</v>
      </c>
      <c r="D176" s="331">
        <v>44.02</v>
      </c>
      <c r="E176" s="327">
        <f>1*N$5+1.5*R$5+2*R$6</f>
        <v>88</v>
      </c>
      <c r="F176" s="327">
        <v>0</v>
      </c>
      <c r="H176" s="101">
        <f>E176*D176</f>
        <v>3873.76</v>
      </c>
      <c r="I176" s="101">
        <f t="shared" si="8"/>
        <v>387.37600000000003</v>
      </c>
      <c r="J176" s="111">
        <f>D176*F176*1.1</f>
        <v>0</v>
      </c>
      <c r="L176" s="101"/>
      <c r="M176" s="101">
        <f>(H176+I176)*M$13</f>
        <v>109.17030432000001</v>
      </c>
      <c r="N176" s="101">
        <f>(H176+I176)*N$13</f>
        <v>210.92623200000003</v>
      </c>
      <c r="O176" s="101">
        <f>(H176+I176)*O$13</f>
        <v>120.16403520000001</v>
      </c>
      <c r="P176" s="101">
        <f>J176*O$16</f>
        <v>0</v>
      </c>
      <c r="Q176" s="101"/>
      <c r="R176" s="101">
        <f t="shared" si="14"/>
        <v>1060.4000000000001</v>
      </c>
      <c r="T176" s="102">
        <f>SUM(H176:R176)</f>
        <v>5761.7965715200007</v>
      </c>
      <c r="U176" s="102"/>
      <c r="V176" s="103">
        <v>65.47</v>
      </c>
      <c r="W176" s="103">
        <v>98.21</v>
      </c>
      <c r="X176" s="103">
        <v>130.94999999999999</v>
      </c>
      <c r="Y176" s="330">
        <f t="shared" si="1"/>
        <v>85</v>
      </c>
      <c r="Z176" s="107">
        <f t="shared" si="3"/>
        <v>595</v>
      </c>
      <c r="AA176" s="108">
        <f t="shared" si="6"/>
        <v>5761.52</v>
      </c>
      <c r="AB176" s="329">
        <f t="shared" si="4"/>
        <v>6356.52</v>
      </c>
      <c r="AC176" s="329"/>
    </row>
    <row r="177" spans="1:29" customFormat="1">
      <c r="A177" s="299" t="s">
        <v>158</v>
      </c>
      <c r="B177" s="329"/>
      <c r="C177" s="281" t="s">
        <v>132</v>
      </c>
      <c r="D177" s="331">
        <v>43</v>
      </c>
      <c r="E177" s="327">
        <f>1*N$5+1.5*R$5+2*R$6</f>
        <v>88</v>
      </c>
      <c r="F177" s="327">
        <v>0</v>
      </c>
      <c r="H177" s="101">
        <f>E177*D177</f>
        <v>3784</v>
      </c>
      <c r="I177" s="101">
        <f t="shared" si="8"/>
        <v>378.40000000000003</v>
      </c>
      <c r="J177" s="111">
        <f>D177*F177*1.1</f>
        <v>0</v>
      </c>
      <c r="L177" s="101"/>
      <c r="M177" s="101">
        <f>(H177+I177)*M$13</f>
        <v>106.640688</v>
      </c>
      <c r="N177" s="101">
        <f>(H177+I177)*N$13</f>
        <v>206.03879999999998</v>
      </c>
      <c r="O177" s="101">
        <f>(H177+I177)*O$13</f>
        <v>117.37967999999999</v>
      </c>
      <c r="P177" s="101">
        <f>J177*O$16</f>
        <v>0</v>
      </c>
      <c r="Q177" s="101"/>
      <c r="R177" s="101">
        <f t="shared" si="14"/>
        <v>1060.4000000000001</v>
      </c>
      <c r="T177" s="102">
        <f>SUM(H177:R177)</f>
        <v>5652.8591680000009</v>
      </c>
      <c r="U177" s="102"/>
      <c r="V177" s="103">
        <v>64.239999999999995</v>
      </c>
      <c r="W177" s="103">
        <v>96.36</v>
      </c>
      <c r="X177" s="103">
        <v>128.47</v>
      </c>
      <c r="Y177" s="330">
        <f t="shared" si="1"/>
        <v>85</v>
      </c>
      <c r="Z177" s="107">
        <f t="shared" si="3"/>
        <v>595</v>
      </c>
      <c r="AA177" s="108">
        <f t="shared" si="6"/>
        <v>5653.12</v>
      </c>
      <c r="AB177" s="329">
        <f t="shared" si="4"/>
        <v>6248.12</v>
      </c>
      <c r="AC177" s="329"/>
    </row>
    <row r="178" spans="1:29" customFormat="1">
      <c r="A178" s="299" t="s">
        <v>159</v>
      </c>
      <c r="B178" s="329"/>
      <c r="C178" s="281" t="s">
        <v>132</v>
      </c>
      <c r="D178" s="331">
        <v>43.25</v>
      </c>
      <c r="E178" s="327">
        <f>1*N$5+1.5*R$5+2*R$6</f>
        <v>88</v>
      </c>
      <c r="F178" s="327">
        <v>0</v>
      </c>
      <c r="H178" s="101">
        <f>E178*D178</f>
        <v>3806</v>
      </c>
      <c r="I178" s="101">
        <f t="shared" si="8"/>
        <v>380.6</v>
      </c>
      <c r="J178" s="111">
        <f>D178*F178*1.1</f>
        <v>0</v>
      </c>
      <c r="L178" s="101"/>
      <c r="M178" s="101">
        <f>(H178+I178)*M$13</f>
        <v>107.26069200000001</v>
      </c>
      <c r="N178" s="101">
        <f>(H178+I178)*N$13</f>
        <v>207.23670000000004</v>
      </c>
      <c r="O178" s="101">
        <f>(H178+I178)*O$13</f>
        <v>118.06212000000001</v>
      </c>
      <c r="P178" s="101">
        <f>J178*O$16</f>
        <v>0</v>
      </c>
      <c r="Q178" s="101"/>
      <c r="R178" s="101">
        <f t="shared" si="14"/>
        <v>1060.4000000000001</v>
      </c>
      <c r="T178" s="102">
        <f>SUM(H178:R178)</f>
        <v>5679.5595119999998</v>
      </c>
      <c r="U178" s="102"/>
      <c r="V178" s="103">
        <v>64.540000000000006</v>
      </c>
      <c r="W178" s="103">
        <v>96.81</v>
      </c>
      <c r="X178" s="103">
        <v>129.08000000000001</v>
      </c>
      <c r="Y178" s="330">
        <f t="shared" si="1"/>
        <v>85</v>
      </c>
      <c r="Z178" s="107">
        <f t="shared" si="3"/>
        <v>595</v>
      </c>
      <c r="AA178" s="108">
        <f t="shared" si="6"/>
        <v>5679.52</v>
      </c>
      <c r="AB178" s="329">
        <f t="shared" si="4"/>
        <v>6274.52</v>
      </c>
      <c r="AC178" s="329"/>
    </row>
    <row r="179" spans="1:29" customFormat="1">
      <c r="A179" s="333" t="s">
        <v>160</v>
      </c>
      <c r="B179" s="329"/>
      <c r="C179" s="281" t="s">
        <v>132</v>
      </c>
      <c r="D179" s="331">
        <v>43</v>
      </c>
      <c r="E179" s="327">
        <f>1*N$5+1.5*R$5+2*R$6</f>
        <v>88</v>
      </c>
      <c r="F179" s="327">
        <v>0</v>
      </c>
      <c r="H179" s="101">
        <f>E179*D179</f>
        <v>3784</v>
      </c>
      <c r="I179" s="101">
        <f t="shared" si="8"/>
        <v>378.40000000000003</v>
      </c>
      <c r="J179" s="111">
        <f>D179*F179*1.1</f>
        <v>0</v>
      </c>
      <c r="L179" s="101"/>
      <c r="M179" s="101">
        <f>(H179+I179)*M$13</f>
        <v>106.640688</v>
      </c>
      <c r="N179" s="101">
        <f>(H179+I179)*N$13</f>
        <v>206.03879999999998</v>
      </c>
      <c r="O179" s="101">
        <f>(H179+I179)*O$13</f>
        <v>117.37967999999999</v>
      </c>
      <c r="P179" s="101">
        <f>J179*O$16</f>
        <v>0</v>
      </c>
      <c r="Q179" s="101"/>
      <c r="R179" s="101">
        <f t="shared" si="14"/>
        <v>1060.4000000000001</v>
      </c>
      <c r="T179" s="102">
        <f>SUM(H179:R179)</f>
        <v>5652.8591680000009</v>
      </c>
      <c r="U179" s="102"/>
      <c r="V179" s="103">
        <v>64.239999999999995</v>
      </c>
      <c r="W179" s="103">
        <v>96.36</v>
      </c>
      <c r="X179" s="103">
        <v>128.47</v>
      </c>
      <c r="Y179" s="330">
        <f>$Y$13</f>
        <v>85</v>
      </c>
      <c r="Z179" s="107">
        <f>Y179*7</f>
        <v>595</v>
      </c>
      <c r="AA179" s="108">
        <f t="shared" si="6"/>
        <v>5653.12</v>
      </c>
      <c r="AB179" s="329">
        <f t="shared" si="4"/>
        <v>6248.12</v>
      </c>
      <c r="AC179" s="329"/>
    </row>
    <row r="180" spans="1:29" customFormat="1">
      <c r="A180" s="333" t="s">
        <v>161</v>
      </c>
      <c r="B180" s="329"/>
      <c r="C180" s="281" t="s">
        <v>132</v>
      </c>
      <c r="D180" s="331">
        <v>43.25</v>
      </c>
      <c r="E180" s="327">
        <f>1*N$5+1.5*R$5+2*R$6</f>
        <v>88</v>
      </c>
      <c r="F180" s="327">
        <v>0</v>
      </c>
      <c r="H180" s="101">
        <f>E180*D180</f>
        <v>3806</v>
      </c>
      <c r="I180" s="101">
        <f>(H180)*I$13</f>
        <v>380.6</v>
      </c>
      <c r="J180" s="111">
        <f>D180*F180*1.1</f>
        <v>0</v>
      </c>
      <c r="L180" s="101"/>
      <c r="M180" s="101">
        <f>(H180+I180)*M$13</f>
        <v>107.26069200000001</v>
      </c>
      <c r="N180" s="101">
        <f>(H180+I180)*N$13</f>
        <v>207.23670000000004</v>
      </c>
      <c r="O180" s="101">
        <f>(H180+I180)*O$13</f>
        <v>118.06212000000001</v>
      </c>
      <c r="P180" s="101">
        <f>J180*O$16</f>
        <v>0</v>
      </c>
      <c r="Q180" s="101"/>
      <c r="R180" s="101">
        <f t="shared" si="14"/>
        <v>1060.4000000000001</v>
      </c>
      <c r="T180" s="102">
        <f>SUM(H180:R180)</f>
        <v>5679.5595119999998</v>
      </c>
      <c r="U180" s="102"/>
      <c r="V180" s="103">
        <v>64.540000000000006</v>
      </c>
      <c r="W180" s="103">
        <v>96.81</v>
      </c>
      <c r="X180" s="103">
        <v>129.08089799999999</v>
      </c>
      <c r="Y180" s="330">
        <f>$Y$13</f>
        <v>85</v>
      </c>
      <c r="Z180" s="107">
        <f>Y180*7</f>
        <v>595</v>
      </c>
      <c r="AA180" s="108">
        <f>V180*N$5+W180*R$5+X180*R$6</f>
        <v>5679.52</v>
      </c>
      <c r="AB180" s="329">
        <f t="shared" si="4"/>
        <v>6274.52</v>
      </c>
      <c r="AC180" s="329"/>
    </row>
    <row r="181" spans="1:29" customFormat="1">
      <c r="A181" s="299"/>
      <c r="C181" s="281"/>
      <c r="D181" s="58"/>
      <c r="E181" s="327"/>
      <c r="F181" s="327"/>
      <c r="H181" s="101"/>
      <c r="I181" s="101"/>
      <c r="L181" s="101"/>
      <c r="M181" s="101"/>
      <c r="N181" s="101"/>
      <c r="O181" s="101"/>
      <c r="P181" s="101"/>
      <c r="Q181" s="101"/>
      <c r="R181" s="101"/>
      <c r="T181" s="102"/>
      <c r="U181" s="102"/>
      <c r="V181" s="103"/>
      <c r="W181" s="101"/>
      <c r="X181" s="102"/>
      <c r="Y181" s="335"/>
      <c r="Z181" s="107"/>
      <c r="AA181" s="108"/>
    </row>
    <row r="182" spans="1:29" customFormat="1">
      <c r="A182" s="299"/>
      <c r="C182" s="281"/>
      <c r="D182" s="58"/>
      <c r="E182" s="327"/>
      <c r="F182" s="327"/>
      <c r="H182" s="101"/>
      <c r="I182" s="101"/>
      <c r="L182" s="101"/>
      <c r="M182" s="101" t="s">
        <v>43</v>
      </c>
      <c r="N182" s="101"/>
      <c r="O182" s="101" t="s">
        <v>43</v>
      </c>
      <c r="P182" s="101"/>
      <c r="Q182" s="101"/>
      <c r="R182" s="101"/>
      <c r="T182" s="102"/>
      <c r="U182" s="102"/>
      <c r="V182" s="103"/>
      <c r="W182" s="101"/>
      <c r="X182" s="113"/>
      <c r="Y182" s="335"/>
      <c r="Z182" s="114"/>
      <c r="AA182" s="104"/>
    </row>
    <row r="183" spans="1:29" customFormat="1">
      <c r="A183" s="324" t="s">
        <v>4222</v>
      </c>
      <c r="B183" s="282"/>
      <c r="C183" s="282"/>
      <c r="D183" s="58"/>
      <c r="E183" s="327"/>
      <c r="F183" s="327"/>
      <c r="H183" s="101"/>
      <c r="I183" s="101"/>
      <c r="L183" s="101"/>
      <c r="M183" s="101" t="s">
        <v>43</v>
      </c>
      <c r="N183" s="101"/>
      <c r="O183" s="101" t="s">
        <v>43</v>
      </c>
      <c r="P183" s="101"/>
      <c r="Q183" s="101"/>
      <c r="R183" s="101"/>
      <c r="T183" s="102"/>
      <c r="U183" s="102"/>
      <c r="V183" s="103"/>
      <c r="W183" s="101"/>
      <c r="X183" s="113"/>
      <c r="Y183" s="335"/>
      <c r="Z183" s="114"/>
      <c r="AA183" s="104"/>
    </row>
    <row r="184" spans="1:29" customFormat="1">
      <c r="A184" s="324"/>
      <c r="B184" s="282"/>
      <c r="C184" s="282"/>
      <c r="D184" s="58"/>
      <c r="E184" s="327"/>
      <c r="F184" s="327"/>
      <c r="H184" s="101"/>
      <c r="I184" s="101"/>
      <c r="L184" s="101"/>
      <c r="M184" s="101"/>
      <c r="N184" s="101"/>
      <c r="O184" s="101"/>
      <c r="P184" s="101"/>
      <c r="Q184" s="101"/>
      <c r="R184" s="101"/>
      <c r="T184" s="102"/>
      <c r="U184" s="102"/>
      <c r="V184" s="103"/>
      <c r="W184" s="101"/>
      <c r="X184" s="113"/>
      <c r="Y184" s="335"/>
      <c r="Z184" s="114"/>
      <c r="AA184" s="104"/>
    </row>
    <row r="185" spans="1:29" customFormat="1" ht="48">
      <c r="A185" s="299"/>
      <c r="B185" s="329"/>
      <c r="C185" s="281"/>
      <c r="D185" s="104" t="s">
        <v>139</v>
      </c>
      <c r="E185" s="327"/>
      <c r="F185" s="327"/>
      <c r="H185" s="101"/>
      <c r="I185" s="101"/>
      <c r="J185" s="111"/>
      <c r="L185" s="101"/>
      <c r="M185" s="101"/>
      <c r="N185" s="101"/>
      <c r="O185" s="101"/>
      <c r="P185" s="101"/>
      <c r="Q185" s="101"/>
      <c r="R185" s="101"/>
      <c r="T185" s="102"/>
      <c r="U185" s="102"/>
      <c r="V185" s="340" t="s">
        <v>140</v>
      </c>
      <c r="W185" s="58"/>
      <c r="X185" s="112"/>
      <c r="Y185" s="330">
        <f>$Y$13</f>
        <v>85</v>
      </c>
      <c r="Z185" s="107">
        <f>Y185*7</f>
        <v>595</v>
      </c>
      <c r="AA185" s="108"/>
      <c r="AB185" s="329"/>
    </row>
    <row r="186" spans="1:29" customFormat="1">
      <c r="A186" s="299" t="s">
        <v>162</v>
      </c>
      <c r="B186" s="329"/>
      <c r="C186" s="281"/>
      <c r="D186" s="104"/>
      <c r="E186" s="327"/>
      <c r="F186" s="327"/>
      <c r="H186" s="101"/>
      <c r="I186" s="101"/>
      <c r="J186" s="111"/>
      <c r="L186" s="101"/>
      <c r="M186" s="101"/>
      <c r="N186" s="101"/>
      <c r="O186" s="101"/>
      <c r="P186" s="101"/>
      <c r="Q186" s="101"/>
      <c r="R186" s="101"/>
      <c r="T186" s="102"/>
      <c r="U186" s="102"/>
      <c r="V186" s="340">
        <v>48.1</v>
      </c>
      <c r="W186" s="58">
        <v>72.150000000000006</v>
      </c>
      <c r="X186" s="112">
        <v>96.2</v>
      </c>
      <c r="Y186" s="330">
        <f>$Y$13</f>
        <v>85</v>
      </c>
      <c r="Z186" s="107">
        <f>Y186*7</f>
        <v>595</v>
      </c>
      <c r="AA186" s="108"/>
      <c r="AB186" s="329"/>
    </row>
    <row r="187" spans="1:29" customFormat="1">
      <c r="A187" s="299" t="s">
        <v>163</v>
      </c>
      <c r="B187" s="329"/>
      <c r="C187" s="281" t="s">
        <v>132</v>
      </c>
      <c r="D187" s="331">
        <v>33.5</v>
      </c>
      <c r="E187" s="327">
        <f t="shared" ref="E187:E193" si="16">1*N$5+1.5*R$5+2*R$6</f>
        <v>88</v>
      </c>
      <c r="F187" s="327">
        <v>0</v>
      </c>
      <c r="H187" s="101">
        <f>E187*D187</f>
        <v>2948</v>
      </c>
      <c r="I187" s="101">
        <f t="shared" ref="I187:I193" si="17">(H187)*I$13</f>
        <v>294.8</v>
      </c>
      <c r="J187" s="111">
        <f>D187*F187*1.1</f>
        <v>0</v>
      </c>
      <c r="L187" s="101"/>
      <c r="M187" s="101">
        <f>(H187+I187)*M$13</f>
        <v>83.080536000000009</v>
      </c>
      <c r="N187" s="101">
        <f>(H187+I187)*N$13</f>
        <v>160.51860000000002</v>
      </c>
      <c r="O187" s="101">
        <f>(H187+I187)*O$13</f>
        <v>91.446960000000004</v>
      </c>
      <c r="P187" s="101">
        <f>J187*O$16</f>
        <v>0</v>
      </c>
      <c r="Q187" s="101"/>
      <c r="R187" s="101">
        <f>($E187+F187)*R$14</f>
        <v>708.40000000000009</v>
      </c>
      <c r="T187" s="102">
        <f>SUM(H187:R187)</f>
        <v>4286.2460960000008</v>
      </c>
      <c r="U187" s="102"/>
      <c r="V187" s="103">
        <v>48.71</v>
      </c>
      <c r="W187" s="103">
        <v>73.06</v>
      </c>
      <c r="X187" s="103">
        <v>97.41</v>
      </c>
      <c r="Y187" s="330">
        <f>$Y$13</f>
        <v>85</v>
      </c>
      <c r="Z187" s="107">
        <f>Y187*7</f>
        <v>595</v>
      </c>
      <c r="AA187" s="108">
        <f t="shared" ref="AA187:AA193" si="18">V187*N$5+W187*R$5+X187*R$6</f>
        <v>4286.32</v>
      </c>
      <c r="AB187" s="329">
        <f t="shared" ref="AB187:AB193" si="19">AA187+Z187</f>
        <v>4881.32</v>
      </c>
    </row>
    <row r="188" spans="1:29" customFormat="1">
      <c r="A188" s="299" t="s">
        <v>164</v>
      </c>
      <c r="B188" s="329"/>
      <c r="C188" s="281" t="s">
        <v>132</v>
      </c>
      <c r="D188" s="331">
        <v>33</v>
      </c>
      <c r="E188" s="327">
        <f t="shared" si="16"/>
        <v>88</v>
      </c>
      <c r="F188" s="327">
        <v>0</v>
      </c>
      <c r="H188" s="101">
        <f t="shared" ref="H188:H193" si="20">E188*D188</f>
        <v>2904</v>
      </c>
      <c r="I188" s="101">
        <f t="shared" si="17"/>
        <v>290.40000000000003</v>
      </c>
      <c r="J188" s="111">
        <f t="shared" ref="J188:J193" si="21">D188*F188*1.1</f>
        <v>0</v>
      </c>
      <c r="L188" s="101"/>
      <c r="M188" s="101">
        <f t="shared" ref="M188:M193" si="22">(H188+I188)*M$13</f>
        <v>81.840528000000006</v>
      </c>
      <c r="N188" s="101">
        <f t="shared" ref="N188:N193" si="23">(H188+I188)*N$13</f>
        <v>158.12280000000001</v>
      </c>
      <c r="O188" s="101">
        <f t="shared" ref="O188:O193" si="24">(H188+I188)*O$13</f>
        <v>90.082080000000005</v>
      </c>
      <c r="P188" s="101">
        <f t="shared" ref="P188:P193" si="25">J188*O$16</f>
        <v>0</v>
      </c>
      <c r="Q188" s="101"/>
      <c r="R188" s="101">
        <f t="shared" ref="R188:R193" si="26">($E188+F188)*R$14</f>
        <v>708.40000000000009</v>
      </c>
      <c r="T188" s="102">
        <f t="shared" ref="T188:T193" si="27">SUM(H188:R188)</f>
        <v>4232.845408000001</v>
      </c>
      <c r="U188" s="102"/>
      <c r="V188" s="103">
        <v>48.1</v>
      </c>
      <c r="W188" s="103">
        <v>72.150000000000006</v>
      </c>
      <c r="X188" s="103">
        <v>96.2</v>
      </c>
      <c r="Y188" s="330">
        <f t="shared" ref="Y188:Y193" si="28">$Y$13</f>
        <v>85</v>
      </c>
      <c r="Z188" s="107">
        <f t="shared" ref="Z188:Z193" si="29">Y188*7</f>
        <v>595</v>
      </c>
      <c r="AA188" s="108">
        <f t="shared" si="18"/>
        <v>4232.8</v>
      </c>
      <c r="AB188" s="329">
        <f t="shared" si="19"/>
        <v>4827.8</v>
      </c>
    </row>
    <row r="189" spans="1:29" customFormat="1">
      <c r="A189" s="299" t="s">
        <v>165</v>
      </c>
      <c r="B189" s="329"/>
      <c r="C189" s="281" t="s">
        <v>132</v>
      </c>
      <c r="D189" s="331">
        <v>33.29</v>
      </c>
      <c r="E189" s="327">
        <f t="shared" si="16"/>
        <v>88</v>
      </c>
      <c r="F189" s="327">
        <v>0</v>
      </c>
      <c r="H189" s="101">
        <f t="shared" si="20"/>
        <v>2929.52</v>
      </c>
      <c r="I189" s="101">
        <f t="shared" si="17"/>
        <v>292.952</v>
      </c>
      <c r="J189" s="111">
        <f t="shared" si="21"/>
        <v>0</v>
      </c>
      <c r="L189" s="101"/>
      <c r="M189" s="101">
        <f t="shared" si="22"/>
        <v>82.559732639999993</v>
      </c>
      <c r="N189" s="101">
        <f t="shared" si="23"/>
        <v>159.51236399999999</v>
      </c>
      <c r="O189" s="101">
        <f t="shared" si="24"/>
        <v>90.873710399999993</v>
      </c>
      <c r="P189" s="101">
        <f t="shared" si="25"/>
        <v>0</v>
      </c>
      <c r="Q189" s="101"/>
      <c r="R189" s="101">
        <f t="shared" si="26"/>
        <v>708.40000000000009</v>
      </c>
      <c r="T189" s="102">
        <f t="shared" si="27"/>
        <v>4263.8178070400008</v>
      </c>
      <c r="U189" s="102"/>
      <c r="V189" s="103">
        <v>48.45</v>
      </c>
      <c r="W189" s="103">
        <v>72.680000000000007</v>
      </c>
      <c r="X189" s="103">
        <v>96.9</v>
      </c>
      <c r="Y189" s="330">
        <f t="shared" si="28"/>
        <v>85</v>
      </c>
      <c r="Z189" s="107">
        <f t="shared" si="29"/>
        <v>595</v>
      </c>
      <c r="AA189" s="108">
        <f t="shared" si="18"/>
        <v>4263.76</v>
      </c>
      <c r="AB189" s="329">
        <f t="shared" si="19"/>
        <v>4858.76</v>
      </c>
    </row>
    <row r="190" spans="1:29" customFormat="1">
      <c r="A190" s="299" t="s">
        <v>166</v>
      </c>
      <c r="B190" s="329"/>
      <c r="C190" s="281" t="s">
        <v>132</v>
      </c>
      <c r="D190" s="331">
        <v>33.43</v>
      </c>
      <c r="E190" s="327">
        <f t="shared" si="16"/>
        <v>88</v>
      </c>
      <c r="F190" s="327">
        <v>0</v>
      </c>
      <c r="H190" s="101">
        <f t="shared" si="20"/>
        <v>2941.84</v>
      </c>
      <c r="I190" s="101">
        <f t="shared" si="17"/>
        <v>294.18400000000003</v>
      </c>
      <c r="J190" s="111">
        <f t="shared" si="21"/>
        <v>0</v>
      </c>
      <c r="L190" s="101"/>
      <c r="M190" s="101">
        <f t="shared" si="22"/>
        <v>82.906934880000009</v>
      </c>
      <c r="N190" s="101">
        <f t="shared" si="23"/>
        <v>160.18318800000003</v>
      </c>
      <c r="O190" s="101">
        <f t="shared" si="24"/>
        <v>91.25587680000001</v>
      </c>
      <c r="P190" s="101">
        <f t="shared" si="25"/>
        <v>0</v>
      </c>
      <c r="Q190" s="101"/>
      <c r="R190" s="101">
        <f t="shared" si="26"/>
        <v>708.40000000000009</v>
      </c>
      <c r="T190" s="102">
        <f t="shared" si="27"/>
        <v>4278.7699996800002</v>
      </c>
      <c r="U190" s="102"/>
      <c r="V190" s="103">
        <v>48.62</v>
      </c>
      <c r="W190" s="103">
        <v>72.930000000000007</v>
      </c>
      <c r="X190" s="103">
        <v>97.24</v>
      </c>
      <c r="Y190" s="330">
        <f t="shared" si="28"/>
        <v>85</v>
      </c>
      <c r="Z190" s="107">
        <f t="shared" si="29"/>
        <v>595</v>
      </c>
      <c r="AA190" s="108">
        <f t="shared" si="18"/>
        <v>4278.5600000000004</v>
      </c>
      <c r="AB190" s="329">
        <f t="shared" si="19"/>
        <v>4873.5600000000004</v>
      </c>
    </row>
    <row r="191" spans="1:29" customFormat="1">
      <c r="A191" s="299" t="s">
        <v>167</v>
      </c>
      <c r="B191" s="329"/>
      <c r="C191" s="281" t="s">
        <v>132</v>
      </c>
      <c r="D191" s="331">
        <v>35.42</v>
      </c>
      <c r="E191" s="327">
        <f t="shared" si="16"/>
        <v>88</v>
      </c>
      <c r="F191" s="327">
        <v>0</v>
      </c>
      <c r="H191" s="101">
        <f t="shared" si="20"/>
        <v>3116.96</v>
      </c>
      <c r="I191" s="101">
        <f t="shared" si="17"/>
        <v>311.69600000000003</v>
      </c>
      <c r="J191" s="111">
        <f t="shared" si="21"/>
        <v>0</v>
      </c>
      <c r="L191" s="101"/>
      <c r="M191" s="101">
        <f t="shared" si="22"/>
        <v>87.842166719999994</v>
      </c>
      <c r="N191" s="101">
        <f t="shared" si="23"/>
        <v>169.71847199999999</v>
      </c>
      <c r="O191" s="101">
        <f t="shared" si="24"/>
        <v>96.688099199999996</v>
      </c>
      <c r="P191" s="101">
        <f t="shared" si="25"/>
        <v>0</v>
      </c>
      <c r="Q191" s="101"/>
      <c r="R191" s="101">
        <f t="shared" si="26"/>
        <v>708.40000000000009</v>
      </c>
      <c r="T191" s="102">
        <f t="shared" si="27"/>
        <v>4491.3047379199998</v>
      </c>
      <c r="U191" s="102"/>
      <c r="V191" s="103">
        <v>51.04</v>
      </c>
      <c r="W191" s="103">
        <v>76.56</v>
      </c>
      <c r="X191" s="103">
        <v>102.08</v>
      </c>
      <c r="Y191" s="330">
        <f t="shared" si="28"/>
        <v>85</v>
      </c>
      <c r="Z191" s="107">
        <f t="shared" si="29"/>
        <v>595</v>
      </c>
      <c r="AA191" s="108">
        <f t="shared" si="18"/>
        <v>4491.5200000000004</v>
      </c>
      <c r="AB191" s="329">
        <f t="shared" si="19"/>
        <v>5086.5200000000004</v>
      </c>
    </row>
    <row r="192" spans="1:29" customFormat="1">
      <c r="A192" s="299" t="s">
        <v>168</v>
      </c>
      <c r="B192" s="329"/>
      <c r="C192" s="281" t="s">
        <v>132</v>
      </c>
      <c r="D192" s="331">
        <v>34.43</v>
      </c>
      <c r="E192" s="327">
        <f t="shared" si="16"/>
        <v>88</v>
      </c>
      <c r="F192" s="327">
        <v>0</v>
      </c>
      <c r="H192" s="101">
        <f t="shared" si="20"/>
        <v>3029.84</v>
      </c>
      <c r="I192" s="101">
        <f t="shared" si="17"/>
        <v>302.98400000000004</v>
      </c>
      <c r="J192" s="111">
        <f t="shared" si="21"/>
        <v>0</v>
      </c>
      <c r="L192" s="101"/>
      <c r="M192" s="101">
        <f t="shared" si="22"/>
        <v>85.386950880000001</v>
      </c>
      <c r="N192" s="101">
        <f t="shared" si="23"/>
        <v>164.97478800000002</v>
      </c>
      <c r="O192" s="101">
        <f t="shared" si="24"/>
        <v>93.985636799999995</v>
      </c>
      <c r="P192" s="101">
        <f t="shared" si="25"/>
        <v>0</v>
      </c>
      <c r="Q192" s="101"/>
      <c r="R192" s="101">
        <f t="shared" si="26"/>
        <v>708.40000000000009</v>
      </c>
      <c r="T192" s="102">
        <f t="shared" si="27"/>
        <v>4385.5713756799996</v>
      </c>
      <c r="U192" s="102"/>
      <c r="V192" s="103">
        <v>49.84</v>
      </c>
      <c r="W192" s="103">
        <v>74.75</v>
      </c>
      <c r="X192" s="103">
        <v>99.67</v>
      </c>
      <c r="Y192" s="330">
        <f t="shared" si="28"/>
        <v>85</v>
      </c>
      <c r="Z192" s="107">
        <f t="shared" si="29"/>
        <v>595</v>
      </c>
      <c r="AA192" s="108">
        <f t="shared" si="18"/>
        <v>4385.6000000000004</v>
      </c>
      <c r="AB192" s="329">
        <f t="shared" si="19"/>
        <v>4980.6000000000004</v>
      </c>
    </row>
    <row r="193" spans="1:28" customFormat="1">
      <c r="A193" s="299" t="s">
        <v>169</v>
      </c>
      <c r="B193" s="329"/>
      <c r="C193" s="281" t="s">
        <v>132</v>
      </c>
      <c r="D193" s="331">
        <v>34.43</v>
      </c>
      <c r="E193" s="327">
        <f t="shared" si="16"/>
        <v>88</v>
      </c>
      <c r="F193" s="327">
        <v>0</v>
      </c>
      <c r="H193" s="101">
        <f t="shared" si="20"/>
        <v>3029.84</v>
      </c>
      <c r="I193" s="101">
        <f t="shared" si="17"/>
        <v>302.98400000000004</v>
      </c>
      <c r="J193" s="111">
        <f t="shared" si="21"/>
        <v>0</v>
      </c>
      <c r="L193" s="101"/>
      <c r="M193" s="101">
        <f t="shared" si="22"/>
        <v>85.386950880000001</v>
      </c>
      <c r="N193" s="101">
        <f t="shared" si="23"/>
        <v>164.97478800000002</v>
      </c>
      <c r="O193" s="101">
        <f t="shared" si="24"/>
        <v>93.985636799999995</v>
      </c>
      <c r="P193" s="101">
        <f t="shared" si="25"/>
        <v>0</v>
      </c>
      <c r="Q193" s="101"/>
      <c r="R193" s="101">
        <f t="shared" si="26"/>
        <v>708.40000000000009</v>
      </c>
      <c r="T193" s="102">
        <f t="shared" si="27"/>
        <v>4385.5713756799996</v>
      </c>
      <c r="U193" s="102"/>
      <c r="V193" s="103">
        <v>49.84</v>
      </c>
      <c r="W193" s="103">
        <v>74.75</v>
      </c>
      <c r="X193" s="103">
        <v>99.67</v>
      </c>
      <c r="Y193" s="330">
        <f t="shared" si="28"/>
        <v>85</v>
      </c>
      <c r="Z193" s="107">
        <f t="shared" si="29"/>
        <v>595</v>
      </c>
      <c r="AA193" s="108">
        <f t="shared" si="18"/>
        <v>4385.6000000000004</v>
      </c>
      <c r="AB193" s="329">
        <f t="shared" si="19"/>
        <v>4980.6000000000004</v>
      </c>
    </row>
    <row r="194" spans="1:28" customFormat="1">
      <c r="A194" s="299"/>
      <c r="C194" s="281"/>
      <c r="D194" s="58"/>
      <c r="E194" s="327"/>
      <c r="F194" s="327"/>
      <c r="H194" s="101"/>
      <c r="I194" s="101"/>
      <c r="J194" s="111"/>
      <c r="L194" s="101"/>
      <c r="M194" s="101"/>
      <c r="N194" s="101"/>
      <c r="O194" s="101"/>
      <c r="P194" s="101"/>
      <c r="Q194" s="101"/>
      <c r="R194" s="101"/>
      <c r="T194" s="102"/>
      <c r="U194" s="102"/>
      <c r="V194" s="103"/>
      <c r="W194" s="101"/>
      <c r="X194" s="102"/>
      <c r="Y194" s="330"/>
      <c r="Z194" s="107"/>
      <c r="AA194" s="108"/>
      <c r="AB194" s="329"/>
    </row>
    <row r="195" spans="1:28" customFormat="1">
      <c r="A195" s="299"/>
      <c r="C195" s="281"/>
      <c r="D195" s="58"/>
      <c r="E195" s="327"/>
      <c r="F195" s="327"/>
      <c r="H195" s="101"/>
      <c r="I195" s="101"/>
      <c r="L195" s="101"/>
      <c r="M195" s="101"/>
      <c r="N195" s="101"/>
      <c r="O195" s="101"/>
      <c r="P195" s="101"/>
      <c r="Q195" s="101"/>
      <c r="R195" s="101"/>
      <c r="T195" s="102"/>
      <c r="U195" s="102"/>
      <c r="V195" s="103"/>
      <c r="W195" s="101"/>
      <c r="X195" s="110"/>
      <c r="Y195" s="330"/>
      <c r="Z195" s="107"/>
      <c r="AA195" s="108"/>
    </row>
    <row r="196" spans="1:28" customFormat="1">
      <c r="A196" s="324" t="s">
        <v>4221</v>
      </c>
      <c r="B196" s="282"/>
      <c r="C196" s="282"/>
      <c r="D196" s="115"/>
      <c r="E196" s="327"/>
      <c r="F196" s="327"/>
      <c r="H196" s="111"/>
      <c r="I196" s="111"/>
      <c r="L196" s="111"/>
      <c r="M196" s="111" t="s">
        <v>43</v>
      </c>
      <c r="N196" s="111" t="s">
        <v>43</v>
      </c>
      <c r="O196" s="111" t="s">
        <v>43</v>
      </c>
      <c r="P196" s="111"/>
      <c r="Q196" s="111"/>
      <c r="R196" s="111"/>
      <c r="T196" s="102"/>
      <c r="U196" s="102"/>
      <c r="V196" s="103"/>
      <c r="W196" s="111"/>
      <c r="X196" s="113"/>
      <c r="Y196" s="330"/>
      <c r="Z196" s="114"/>
      <c r="AA196" s="104"/>
    </row>
    <row r="197" spans="1:28" customFormat="1">
      <c r="A197" s="324"/>
      <c r="B197" s="282"/>
      <c r="C197" s="282"/>
      <c r="D197" s="115"/>
      <c r="E197" s="327"/>
      <c r="F197" s="327"/>
      <c r="H197" s="111"/>
      <c r="I197" s="111"/>
      <c r="L197" s="111"/>
      <c r="M197" s="111"/>
      <c r="N197" s="111"/>
      <c r="O197" s="111"/>
      <c r="P197" s="111"/>
      <c r="Q197" s="111"/>
      <c r="R197" s="111"/>
      <c r="T197" s="102"/>
      <c r="U197" s="102"/>
      <c r="V197" s="103"/>
      <c r="W197" s="111"/>
      <c r="X197" s="113"/>
      <c r="Y197" s="330"/>
      <c r="Z197" s="114"/>
      <c r="AA197" s="104"/>
    </row>
    <row r="198" spans="1:28" customFormat="1">
      <c r="A198" s="299" t="s">
        <v>3965</v>
      </c>
      <c r="B198" s="329"/>
      <c r="C198" s="281" t="s">
        <v>132</v>
      </c>
      <c r="D198" s="331">
        <v>57.8</v>
      </c>
      <c r="E198" s="327">
        <f>1*N$5+1.5*R$5+2*R$6</f>
        <v>88</v>
      </c>
      <c r="F198" s="342">
        <v>0</v>
      </c>
      <c r="H198" s="101">
        <f>E198*D198</f>
        <v>5086.3999999999996</v>
      </c>
      <c r="I198" s="101">
        <f t="shared" ref="I198:I223" si="30">(H198)*I$13</f>
        <v>508.64</v>
      </c>
      <c r="J198" s="111">
        <f>D198*F198*1.1</f>
        <v>0</v>
      </c>
      <c r="L198" s="101"/>
      <c r="M198" s="101">
        <f>(H198+I198)*M$13</f>
        <v>143.3449248</v>
      </c>
      <c r="N198" s="101">
        <f>(H198+I198)*N$13</f>
        <v>276.95447999999999</v>
      </c>
      <c r="O198" s="101">
        <f>(H198+I198)*O$13</f>
        <v>157.78012799999999</v>
      </c>
      <c r="P198" s="101">
        <f>J198*O$16</f>
        <v>0</v>
      </c>
      <c r="Q198" s="101"/>
      <c r="R198" s="101">
        <f>($E198+F198)*R$15</f>
        <v>1114.08</v>
      </c>
      <c r="T198" s="102">
        <f>SUM(H198:R198)</f>
        <v>7287.1995328000003</v>
      </c>
      <c r="U198" s="102"/>
      <c r="V198" s="103">
        <v>82.81</v>
      </c>
      <c r="W198" s="103">
        <v>124.21</v>
      </c>
      <c r="X198" s="103">
        <v>165.62</v>
      </c>
      <c r="Y198" s="330">
        <f>$Y$13</f>
        <v>85</v>
      </c>
      <c r="Z198" s="107">
        <f>Y198*7</f>
        <v>595</v>
      </c>
      <c r="AA198" s="108">
        <f>V198*N$5+W198*R$5+X198*R$6+(V198*F198)</f>
        <v>7287.12</v>
      </c>
      <c r="AB198" s="329">
        <f>AA198+Z198</f>
        <v>7882.12</v>
      </c>
    </row>
    <row r="199" spans="1:28" customFormat="1">
      <c r="A199" s="299" t="s">
        <v>3966</v>
      </c>
      <c r="B199" s="329"/>
      <c r="C199" s="281" t="s">
        <v>132</v>
      </c>
      <c r="D199" s="331">
        <v>57.8</v>
      </c>
      <c r="E199" s="327">
        <f>1*N$5+1.5*R$5+2*R$6</f>
        <v>88</v>
      </c>
      <c r="F199" s="342">
        <v>0</v>
      </c>
      <c r="H199" s="101">
        <f>E199*D199</f>
        <v>5086.3999999999996</v>
      </c>
      <c r="I199" s="101">
        <f>(H199)*I$13</f>
        <v>508.64</v>
      </c>
      <c r="J199" s="111">
        <f>D199*F199*1.1</f>
        <v>0</v>
      </c>
      <c r="L199" s="101"/>
      <c r="M199" s="101">
        <f>(H199+I199)*M$13</f>
        <v>143.3449248</v>
      </c>
      <c r="N199" s="101">
        <f>(H199+I199)*N$13</f>
        <v>276.95447999999999</v>
      </c>
      <c r="O199" s="101">
        <f>(H199+I199)*O$13</f>
        <v>157.78012799999999</v>
      </c>
      <c r="P199" s="101">
        <f>J199*O$16</f>
        <v>0</v>
      </c>
      <c r="Q199" s="101"/>
      <c r="R199" s="101">
        <f>($E199+F199)*R$15</f>
        <v>1114.08</v>
      </c>
      <c r="T199" s="102">
        <f>SUM(H199:R199)</f>
        <v>7287.1995328000003</v>
      </c>
      <c r="U199" s="102"/>
      <c r="V199" s="103">
        <v>82.81</v>
      </c>
      <c r="W199" s="103">
        <v>124.21</v>
      </c>
      <c r="X199" s="103">
        <v>165.62</v>
      </c>
      <c r="Y199" s="330">
        <f>$Y$13</f>
        <v>85</v>
      </c>
      <c r="Z199" s="107">
        <f>Y199*7</f>
        <v>595</v>
      </c>
      <c r="AA199" s="108">
        <f>V199*N$5+W199*R$5+X199*R$6+(V199*F199)</f>
        <v>7287.12</v>
      </c>
      <c r="AB199" s="329">
        <f>AA199+Z199</f>
        <v>7882.12</v>
      </c>
    </row>
    <row r="200" spans="1:28" customFormat="1" ht="48">
      <c r="A200" s="299"/>
      <c r="C200" s="281"/>
      <c r="D200" s="58"/>
      <c r="E200" s="327"/>
      <c r="F200" s="327"/>
      <c r="H200" s="101"/>
      <c r="I200" s="101"/>
      <c r="J200" s="111"/>
      <c r="L200" s="101"/>
      <c r="M200" s="101"/>
      <c r="N200" s="101"/>
      <c r="O200" s="101"/>
      <c r="P200" s="101"/>
      <c r="Q200" s="101"/>
      <c r="R200" s="101"/>
      <c r="T200" s="102"/>
      <c r="U200" s="102"/>
      <c r="V200" s="343" t="s">
        <v>172</v>
      </c>
      <c r="W200" s="344"/>
      <c r="X200" s="345"/>
      <c r="Y200" s="330"/>
      <c r="Z200" s="107"/>
      <c r="AA200" s="108"/>
      <c r="AB200" s="329"/>
    </row>
    <row r="201" spans="1:28" customFormat="1">
      <c r="A201" s="333" t="s">
        <v>173</v>
      </c>
      <c r="C201" s="281" t="s">
        <v>132</v>
      </c>
      <c r="D201" s="331">
        <v>34.67</v>
      </c>
      <c r="E201" s="327">
        <f t="shared" ref="E201:E223" si="31">1*N$5+1.5*R$5+2*R$6</f>
        <v>88</v>
      </c>
      <c r="F201" s="327">
        <v>0</v>
      </c>
      <c r="H201" s="101">
        <f t="shared" ref="H201:H223" si="32">E201*D201</f>
        <v>3050.96</v>
      </c>
      <c r="I201" s="101">
        <f t="shared" si="30"/>
        <v>305.096</v>
      </c>
      <c r="J201" s="111">
        <f t="shared" ref="J201:J223" si="33">D201*F201*1.1</f>
        <v>0</v>
      </c>
      <c r="L201" s="101"/>
      <c r="M201" s="101">
        <f t="shared" ref="M201:M223" si="34">(H201+I201)*M$13</f>
        <v>85.982154719999997</v>
      </c>
      <c r="N201" s="101">
        <f t="shared" ref="N201:N223" si="35">(H201+I201)*N$13</f>
        <v>166.12477200000001</v>
      </c>
      <c r="O201" s="101">
        <f t="shared" ref="O201:O223" si="36">(H201+I201)*O$13</f>
        <v>94.640779199999997</v>
      </c>
      <c r="P201" s="101">
        <f t="shared" ref="P201:P223" si="37">J201*O$16</f>
        <v>0</v>
      </c>
      <c r="Q201" s="101"/>
      <c r="R201" s="101">
        <f>($E201+F201)*R$15</f>
        <v>1114.08</v>
      </c>
      <c r="T201" s="102">
        <f t="shared" ref="T201:T223" si="38">SUM(H201:R201)</f>
        <v>4816.8837059199996</v>
      </c>
      <c r="U201" s="102"/>
      <c r="V201" s="103">
        <v>54.74</v>
      </c>
      <c r="W201" s="103">
        <v>82.11</v>
      </c>
      <c r="X201" s="103">
        <v>109.47</v>
      </c>
      <c r="Y201" s="330">
        <f>$Y$13</f>
        <v>85</v>
      </c>
      <c r="Z201" s="107">
        <f>Y201*7</f>
        <v>595</v>
      </c>
      <c r="AA201" s="108">
        <f>V201*N$5+W201*R$5+X201*R$6+(V201*F201)</f>
        <v>4817.12</v>
      </c>
      <c r="AB201" s="329">
        <f>AA201+Z201</f>
        <v>5412.12</v>
      </c>
    </row>
    <row r="202" spans="1:28" customFormat="1" ht="48">
      <c r="A202" s="299"/>
      <c r="C202" s="281"/>
      <c r="D202" s="58"/>
      <c r="E202" s="327"/>
      <c r="F202" s="327"/>
      <c r="H202" s="101"/>
      <c r="I202" s="101"/>
      <c r="J202" s="111"/>
      <c r="L202" s="101"/>
      <c r="M202" s="101"/>
      <c r="N202" s="101"/>
      <c r="O202" s="101"/>
      <c r="P202" s="101"/>
      <c r="Q202" s="101"/>
      <c r="R202" s="101"/>
      <c r="T202" s="102"/>
      <c r="U202" s="102"/>
      <c r="V202" s="343" t="s">
        <v>174</v>
      </c>
      <c r="W202" s="344"/>
      <c r="X202" s="345"/>
      <c r="Y202" s="330"/>
      <c r="Z202" s="107"/>
      <c r="AA202" s="108"/>
      <c r="AB202" s="329"/>
    </row>
    <row r="203" spans="1:28" customFormat="1">
      <c r="A203" s="299" t="s">
        <v>3967</v>
      </c>
      <c r="B203" s="329"/>
      <c r="C203" s="281" t="s">
        <v>132</v>
      </c>
      <c r="D203" s="331">
        <v>57.3</v>
      </c>
      <c r="E203" s="327">
        <f>1*N$5+1.5*R$5+2*R$6</f>
        <v>88</v>
      </c>
      <c r="F203" s="342">
        <v>0</v>
      </c>
      <c r="H203" s="101">
        <f>E203*D203</f>
        <v>5042.3999999999996</v>
      </c>
      <c r="I203" s="101">
        <f t="shared" si="30"/>
        <v>504.24</v>
      </c>
      <c r="J203" s="111">
        <f>D203*F203*1.1</f>
        <v>0</v>
      </c>
      <c r="L203" s="101"/>
      <c r="M203" s="101">
        <f>(H203+I203)*M$13</f>
        <v>142.10491679999998</v>
      </c>
      <c r="N203" s="101">
        <f>(H203+I203)*N$13</f>
        <v>274.55867999999998</v>
      </c>
      <c r="O203" s="101">
        <f>(H203+I203)*O$13</f>
        <v>156.41524799999999</v>
      </c>
      <c r="P203" s="101">
        <f>J203*O$16</f>
        <v>0</v>
      </c>
      <c r="Q203" s="101"/>
      <c r="R203" s="101">
        <f t="shared" ref="R203:R223" si="39">($E203+F203)*R$15</f>
        <v>1114.08</v>
      </c>
      <c r="T203" s="102">
        <f>SUM(H203:R203)</f>
        <v>7233.7988447999996</v>
      </c>
      <c r="U203" s="102"/>
      <c r="V203" s="103">
        <v>82.2</v>
      </c>
      <c r="W203" s="103">
        <v>123.3</v>
      </c>
      <c r="X203" s="103">
        <v>164.4</v>
      </c>
      <c r="Y203" s="330">
        <f t="shared" ref="Y203:Y223" si="40">$Y$13</f>
        <v>85</v>
      </c>
      <c r="Z203" s="107">
        <f t="shared" ref="Z203:Z223" si="41">Y203*7</f>
        <v>595</v>
      </c>
      <c r="AA203" s="108">
        <f t="shared" ref="AA203:AA223" si="42">V203*N$5+W203*R$5+X203*R$6+(V203*F203)</f>
        <v>7233.6</v>
      </c>
      <c r="AB203" s="329">
        <f t="shared" ref="AB203:AB223" si="43">AA203+Z203</f>
        <v>7828.6</v>
      </c>
    </row>
    <row r="204" spans="1:28" customFormat="1">
      <c r="A204" s="299" t="s">
        <v>3968</v>
      </c>
      <c r="B204" s="329"/>
      <c r="C204" s="281" t="s">
        <v>132</v>
      </c>
      <c r="D204" s="331">
        <v>57.8</v>
      </c>
      <c r="E204" s="327">
        <f>1*N$5+1.5*R$5+2*R$6</f>
        <v>88</v>
      </c>
      <c r="F204" s="342">
        <v>0</v>
      </c>
      <c r="H204" s="101">
        <f>E204*D204</f>
        <v>5086.3999999999996</v>
      </c>
      <c r="I204" s="101">
        <f>(H204)*I$13</f>
        <v>508.64</v>
      </c>
      <c r="J204" s="111">
        <f>D204*F204*1.1</f>
        <v>0</v>
      </c>
      <c r="L204" s="101"/>
      <c r="M204" s="101">
        <f>(H204+I204)*M$13</f>
        <v>143.3449248</v>
      </c>
      <c r="N204" s="101">
        <f>(H204+I204)*N$13</f>
        <v>276.95447999999999</v>
      </c>
      <c r="O204" s="101">
        <f>(H204+I204)*O$13</f>
        <v>157.78012799999999</v>
      </c>
      <c r="P204" s="101">
        <f>J204*O$16</f>
        <v>0</v>
      </c>
      <c r="Q204" s="101"/>
      <c r="R204" s="101">
        <f>($E204+F204)*R$15</f>
        <v>1114.08</v>
      </c>
      <c r="T204" s="102">
        <f>SUM(H204:R204)</f>
        <v>7287.1995328000003</v>
      </c>
      <c r="U204" s="102"/>
      <c r="V204" s="103">
        <v>82.81</v>
      </c>
      <c r="W204" s="103">
        <v>124.21</v>
      </c>
      <c r="X204" s="103">
        <v>165.62</v>
      </c>
      <c r="Y204" s="330">
        <f t="shared" si="40"/>
        <v>85</v>
      </c>
      <c r="Z204" s="107">
        <f t="shared" si="41"/>
        <v>595</v>
      </c>
      <c r="AA204" s="108">
        <f t="shared" si="42"/>
        <v>7287.12</v>
      </c>
      <c r="AB204" s="329">
        <f t="shared" si="43"/>
        <v>7882.12</v>
      </c>
    </row>
    <row r="205" spans="1:28" customFormat="1">
      <c r="A205" s="299" t="s">
        <v>940</v>
      </c>
      <c r="B205" s="329"/>
      <c r="C205" s="281" t="s">
        <v>132</v>
      </c>
      <c r="D205" s="331">
        <v>57.3</v>
      </c>
      <c r="E205" s="327">
        <f t="shared" si="31"/>
        <v>88</v>
      </c>
      <c r="F205" s="342">
        <v>0</v>
      </c>
      <c r="H205" s="101">
        <f t="shared" si="32"/>
        <v>5042.3999999999996</v>
      </c>
      <c r="I205" s="101">
        <f t="shared" si="30"/>
        <v>504.24</v>
      </c>
      <c r="J205" s="111">
        <f t="shared" si="33"/>
        <v>0</v>
      </c>
      <c r="L205" s="101"/>
      <c r="M205" s="101">
        <f t="shared" si="34"/>
        <v>142.10491679999998</v>
      </c>
      <c r="N205" s="101">
        <f t="shared" si="35"/>
        <v>274.55867999999998</v>
      </c>
      <c r="O205" s="101">
        <f t="shared" si="36"/>
        <v>156.41524799999999</v>
      </c>
      <c r="P205" s="101">
        <f t="shared" si="37"/>
        <v>0</v>
      </c>
      <c r="Q205" s="101"/>
      <c r="R205" s="101">
        <f t="shared" si="39"/>
        <v>1114.08</v>
      </c>
      <c r="T205" s="102">
        <f t="shared" si="38"/>
        <v>7233.7988447999996</v>
      </c>
      <c r="U205" s="102"/>
      <c r="V205" s="103">
        <v>82.2</v>
      </c>
      <c r="W205" s="103">
        <v>123.3</v>
      </c>
      <c r="X205" s="103">
        <v>164.4</v>
      </c>
      <c r="Y205" s="330">
        <f t="shared" si="40"/>
        <v>85</v>
      </c>
      <c r="Z205" s="107">
        <f t="shared" si="41"/>
        <v>595</v>
      </c>
      <c r="AA205" s="108">
        <f t="shared" si="42"/>
        <v>7233.6</v>
      </c>
      <c r="AB205" s="329">
        <f t="shared" si="43"/>
        <v>7828.6</v>
      </c>
    </row>
    <row r="206" spans="1:28" customFormat="1">
      <c r="A206" s="299" t="s">
        <v>3021</v>
      </c>
      <c r="B206" s="329"/>
      <c r="C206" s="281" t="s">
        <v>132</v>
      </c>
      <c r="D206" s="331">
        <v>58.3</v>
      </c>
      <c r="E206" s="327">
        <f>1*N$5+1.5*R$5+2*R$6</f>
        <v>88</v>
      </c>
      <c r="F206" s="342">
        <v>0</v>
      </c>
      <c r="H206" s="101">
        <f>E206*D206</f>
        <v>5130.3999999999996</v>
      </c>
      <c r="I206" s="101">
        <f>(H206)*I$13</f>
        <v>513.04</v>
      </c>
      <c r="J206" s="111">
        <f>D206*F206*1.1</f>
        <v>0</v>
      </c>
      <c r="L206" s="101"/>
      <c r="M206" s="101">
        <f>(H206+I206)*M$13</f>
        <v>144.58493279999999</v>
      </c>
      <c r="N206" s="101">
        <f>(H206+I206)*N$13</f>
        <v>279.35028</v>
      </c>
      <c r="O206" s="101">
        <f>(H206+I206)*O$13</f>
        <v>159.14500799999999</v>
      </c>
      <c r="P206" s="101">
        <f>J206*O$16</f>
        <v>0</v>
      </c>
      <c r="Q206" s="101"/>
      <c r="R206" s="101">
        <f>($E206+F206)*R$15</f>
        <v>1114.08</v>
      </c>
      <c r="T206" s="102">
        <f>SUM(H206:R206)</f>
        <v>7340.6002208</v>
      </c>
      <c r="U206" s="102"/>
      <c r="V206" s="103">
        <v>83.42</v>
      </c>
      <c r="W206" s="103">
        <v>125.12</v>
      </c>
      <c r="X206" s="103">
        <v>166.83</v>
      </c>
      <c r="Y206" s="330">
        <f t="shared" si="40"/>
        <v>85</v>
      </c>
      <c r="Z206" s="107">
        <f t="shared" si="41"/>
        <v>595</v>
      </c>
      <c r="AA206" s="108">
        <f t="shared" si="42"/>
        <v>7340.64</v>
      </c>
      <c r="AB206" s="329">
        <f t="shared" si="43"/>
        <v>7935.64</v>
      </c>
    </row>
    <row r="207" spans="1:28" customFormat="1">
      <c r="A207" s="299" t="s">
        <v>3969</v>
      </c>
      <c r="B207" s="329"/>
      <c r="C207" s="281" t="s">
        <v>132</v>
      </c>
      <c r="D207" s="331">
        <v>57.3</v>
      </c>
      <c r="E207" s="327">
        <f>1*N$5+1.5*R$5+2*R$6</f>
        <v>88</v>
      </c>
      <c r="F207" s="342">
        <v>0</v>
      </c>
      <c r="H207" s="101">
        <f>E207*D207</f>
        <v>5042.3999999999996</v>
      </c>
      <c r="I207" s="101">
        <f>(H207)*I$13</f>
        <v>504.24</v>
      </c>
      <c r="J207" s="111">
        <f>D207*F207*1.1</f>
        <v>0</v>
      </c>
      <c r="L207" s="101"/>
      <c r="M207" s="101">
        <f>(H207+I207)*M$13</f>
        <v>142.10491679999998</v>
      </c>
      <c r="N207" s="101">
        <f>(H207+I207)*N$13</f>
        <v>274.55867999999998</v>
      </c>
      <c r="O207" s="101">
        <f>(H207+I207)*O$13</f>
        <v>156.41524799999999</v>
      </c>
      <c r="P207" s="101">
        <f>J207*O$16</f>
        <v>0</v>
      </c>
      <c r="Q207" s="101"/>
      <c r="R207" s="101">
        <f>($E207+F207)*R$15</f>
        <v>1114.08</v>
      </c>
      <c r="T207" s="102">
        <f>SUM(H207:R207)</f>
        <v>7233.7988447999996</v>
      </c>
      <c r="U207" s="102"/>
      <c r="V207" s="103">
        <v>82.2</v>
      </c>
      <c r="W207" s="103">
        <v>123.3</v>
      </c>
      <c r="X207" s="103">
        <v>164.4</v>
      </c>
      <c r="Y207" s="330">
        <f t="shared" si="40"/>
        <v>85</v>
      </c>
      <c r="Z207" s="107">
        <f t="shared" si="41"/>
        <v>595</v>
      </c>
      <c r="AA207" s="108">
        <f t="shared" si="42"/>
        <v>7233.6</v>
      </c>
      <c r="AB207" s="329">
        <f t="shared" si="43"/>
        <v>7828.6</v>
      </c>
    </row>
    <row r="208" spans="1:28" customFormat="1">
      <c r="A208" s="299" t="s">
        <v>3970</v>
      </c>
      <c r="B208" s="329"/>
      <c r="C208" s="281" t="s">
        <v>132</v>
      </c>
      <c r="D208" s="331">
        <v>58.3</v>
      </c>
      <c r="E208" s="327">
        <f>1*N$5+1.5*R$5+2*R$6</f>
        <v>88</v>
      </c>
      <c r="F208" s="342">
        <v>0</v>
      </c>
      <c r="H208" s="101">
        <f>E208*D208</f>
        <v>5130.3999999999996</v>
      </c>
      <c r="I208" s="101">
        <f>(H208)*I$13</f>
        <v>513.04</v>
      </c>
      <c r="J208" s="111">
        <f>D208*F208*1.1</f>
        <v>0</v>
      </c>
      <c r="L208" s="101"/>
      <c r="M208" s="101">
        <f>(H208+I208)*M$13</f>
        <v>144.58493279999999</v>
      </c>
      <c r="N208" s="101">
        <f>(H208+I208)*N$13</f>
        <v>279.35028</v>
      </c>
      <c r="O208" s="101">
        <f>(H208+I208)*O$13</f>
        <v>159.14500799999999</v>
      </c>
      <c r="P208" s="101">
        <f>J208*O$16</f>
        <v>0</v>
      </c>
      <c r="Q208" s="101"/>
      <c r="R208" s="101">
        <f>($E208+F208)*R$15</f>
        <v>1114.08</v>
      </c>
      <c r="T208" s="102">
        <f>SUM(H208:R208)</f>
        <v>7340.6002208</v>
      </c>
      <c r="U208" s="102"/>
      <c r="V208" s="103">
        <v>83.42</v>
      </c>
      <c r="W208" s="103">
        <v>125.12</v>
      </c>
      <c r="X208" s="103">
        <v>166.83</v>
      </c>
      <c r="Y208" s="330">
        <f t="shared" si="40"/>
        <v>85</v>
      </c>
      <c r="Z208" s="107">
        <f t="shared" si="41"/>
        <v>595</v>
      </c>
      <c r="AA208" s="108">
        <f t="shared" si="42"/>
        <v>7340.64</v>
      </c>
      <c r="AB208" s="329">
        <f t="shared" si="43"/>
        <v>7935.64</v>
      </c>
    </row>
    <row r="209" spans="1:28" customFormat="1">
      <c r="A209" s="299" t="s">
        <v>3971</v>
      </c>
      <c r="B209" s="329"/>
      <c r="C209" s="281" t="s">
        <v>132</v>
      </c>
      <c r="D209" s="331">
        <v>58.3</v>
      </c>
      <c r="E209" s="327">
        <f t="shared" si="31"/>
        <v>88</v>
      </c>
      <c r="F209" s="342">
        <v>0</v>
      </c>
      <c r="H209" s="101">
        <f t="shared" si="32"/>
        <v>5130.3999999999996</v>
      </c>
      <c r="I209" s="101">
        <f t="shared" si="30"/>
        <v>513.04</v>
      </c>
      <c r="J209" s="111">
        <f t="shared" si="33"/>
        <v>0</v>
      </c>
      <c r="L209" s="101"/>
      <c r="M209" s="101">
        <f t="shared" si="34"/>
        <v>144.58493279999999</v>
      </c>
      <c r="N209" s="101">
        <f t="shared" si="35"/>
        <v>279.35028</v>
      </c>
      <c r="O209" s="101">
        <f t="shared" si="36"/>
        <v>159.14500799999999</v>
      </c>
      <c r="P209" s="101">
        <f t="shared" si="37"/>
        <v>0</v>
      </c>
      <c r="Q209" s="101"/>
      <c r="R209" s="101">
        <f t="shared" si="39"/>
        <v>1114.08</v>
      </c>
      <c r="T209" s="102">
        <f t="shared" si="38"/>
        <v>7340.6002208</v>
      </c>
      <c r="U209" s="102"/>
      <c r="V209" s="103">
        <v>83.42</v>
      </c>
      <c r="W209" s="103">
        <v>125.12</v>
      </c>
      <c r="X209" s="103">
        <v>166.83</v>
      </c>
      <c r="Y209" s="330">
        <f t="shared" si="40"/>
        <v>85</v>
      </c>
      <c r="Z209" s="107">
        <f t="shared" si="41"/>
        <v>595</v>
      </c>
      <c r="AA209" s="108">
        <f t="shared" si="42"/>
        <v>7340.64</v>
      </c>
      <c r="AB209" s="329">
        <f t="shared" si="43"/>
        <v>7935.64</v>
      </c>
    </row>
    <row r="210" spans="1:28" customFormat="1">
      <c r="A210" s="299" t="s">
        <v>1078</v>
      </c>
      <c r="B210" s="329"/>
      <c r="C210" s="281" t="s">
        <v>132</v>
      </c>
      <c r="D210" s="331">
        <v>46.43</v>
      </c>
      <c r="E210" s="327">
        <f t="shared" si="31"/>
        <v>88</v>
      </c>
      <c r="F210" s="346">
        <v>0</v>
      </c>
      <c r="H210" s="101">
        <f t="shared" si="32"/>
        <v>4085.84</v>
      </c>
      <c r="I210" s="101">
        <f t="shared" si="30"/>
        <v>408.58400000000006</v>
      </c>
      <c r="J210" s="111">
        <f t="shared" si="33"/>
        <v>0</v>
      </c>
      <c r="L210" s="101"/>
      <c r="M210" s="101">
        <f t="shared" si="34"/>
        <v>115.14714288</v>
      </c>
      <c r="N210" s="101">
        <f t="shared" si="35"/>
        <v>222.47398800000002</v>
      </c>
      <c r="O210" s="101">
        <f t="shared" si="36"/>
        <v>126.7427568</v>
      </c>
      <c r="P210" s="101">
        <f t="shared" si="37"/>
        <v>0</v>
      </c>
      <c r="Q210" s="101"/>
      <c r="R210" s="101">
        <f t="shared" si="39"/>
        <v>1114.08</v>
      </c>
      <c r="T210" s="102">
        <f t="shared" si="38"/>
        <v>6072.8678876799995</v>
      </c>
      <c r="U210" s="102"/>
      <c r="V210" s="103">
        <v>69.010000000000005</v>
      </c>
      <c r="W210" s="103">
        <v>103.51</v>
      </c>
      <c r="X210" s="103">
        <v>138.02000000000001</v>
      </c>
      <c r="Y210" s="330">
        <f t="shared" si="40"/>
        <v>85</v>
      </c>
      <c r="Z210" s="107">
        <f t="shared" si="41"/>
        <v>595</v>
      </c>
      <c r="AA210" s="108">
        <f t="shared" si="42"/>
        <v>6072.72</v>
      </c>
      <c r="AB210" s="329">
        <f t="shared" si="43"/>
        <v>6667.72</v>
      </c>
    </row>
    <row r="211" spans="1:28" customFormat="1">
      <c r="A211" s="299" t="s">
        <v>2337</v>
      </c>
      <c r="B211" s="329"/>
      <c r="C211" s="281" t="s">
        <v>132</v>
      </c>
      <c r="D211" s="331">
        <v>46.43</v>
      </c>
      <c r="E211" s="327">
        <f>1*N$5+1.5*R$5+2*R$6</f>
        <v>88</v>
      </c>
      <c r="F211" s="327">
        <v>0</v>
      </c>
      <c r="H211" s="101">
        <f>E211*D211</f>
        <v>4085.84</v>
      </c>
      <c r="I211" s="101">
        <f>(H211)*I$13</f>
        <v>408.58400000000006</v>
      </c>
      <c r="J211" s="111">
        <f>D211*F211*1.1</f>
        <v>0</v>
      </c>
      <c r="L211" s="101"/>
      <c r="M211" s="101">
        <f>(H211+I211)*M$13</f>
        <v>115.14714288</v>
      </c>
      <c r="N211" s="101">
        <f>(H211+I211)*N$13</f>
        <v>222.47398800000002</v>
      </c>
      <c r="O211" s="101">
        <f>(H211+I211)*O$13</f>
        <v>126.7427568</v>
      </c>
      <c r="P211" s="101">
        <f>J211*O$16</f>
        <v>0</v>
      </c>
      <c r="Q211" s="101"/>
      <c r="R211" s="101">
        <f>($E211+F211)*R$15</f>
        <v>1114.08</v>
      </c>
      <c r="T211" s="102">
        <f>SUM(H211:R211)</f>
        <v>6072.8678876799995</v>
      </c>
      <c r="U211" s="102"/>
      <c r="V211" s="103">
        <v>69.010000000000005</v>
      </c>
      <c r="W211" s="103">
        <v>103.51</v>
      </c>
      <c r="X211" s="103">
        <v>138.02000000000001</v>
      </c>
      <c r="Y211" s="330">
        <f t="shared" si="40"/>
        <v>85</v>
      </c>
      <c r="Z211" s="107">
        <f t="shared" si="41"/>
        <v>595</v>
      </c>
      <c r="AA211" s="108">
        <f t="shared" si="42"/>
        <v>6072.72</v>
      </c>
      <c r="AB211" s="329">
        <f t="shared" si="43"/>
        <v>6667.72</v>
      </c>
    </row>
    <row r="212" spans="1:28" customFormat="1">
      <c r="A212" s="299" t="s">
        <v>3972</v>
      </c>
      <c r="B212" s="329"/>
      <c r="C212" s="281" t="s">
        <v>132</v>
      </c>
      <c r="D212" s="331">
        <v>46.43</v>
      </c>
      <c r="E212" s="327">
        <f t="shared" si="31"/>
        <v>88</v>
      </c>
      <c r="F212" s="327">
        <v>0</v>
      </c>
      <c r="H212" s="101">
        <f t="shared" si="32"/>
        <v>4085.84</v>
      </c>
      <c r="I212" s="101">
        <f t="shared" si="30"/>
        <v>408.58400000000006</v>
      </c>
      <c r="J212" s="111">
        <f t="shared" si="33"/>
        <v>0</v>
      </c>
      <c r="L212" s="101"/>
      <c r="M212" s="101">
        <f t="shared" si="34"/>
        <v>115.14714288</v>
      </c>
      <c r="N212" s="101">
        <f t="shared" si="35"/>
        <v>222.47398800000002</v>
      </c>
      <c r="O212" s="101">
        <f t="shared" si="36"/>
        <v>126.7427568</v>
      </c>
      <c r="P212" s="101">
        <f t="shared" si="37"/>
        <v>0</v>
      </c>
      <c r="Q212" s="101"/>
      <c r="R212" s="101">
        <f t="shared" si="39"/>
        <v>1114.08</v>
      </c>
      <c r="T212" s="102">
        <f t="shared" si="38"/>
        <v>6072.8678876799995</v>
      </c>
      <c r="U212" s="102"/>
      <c r="V212" s="103">
        <v>69.010000000000005</v>
      </c>
      <c r="W212" s="103">
        <v>103.51</v>
      </c>
      <c r="X212" s="103">
        <v>138.02000000000001</v>
      </c>
      <c r="Y212" s="330">
        <f t="shared" si="40"/>
        <v>85</v>
      </c>
      <c r="Z212" s="107">
        <f t="shared" si="41"/>
        <v>595</v>
      </c>
      <c r="AA212" s="108">
        <f t="shared" si="42"/>
        <v>6072.72</v>
      </c>
      <c r="AB212" s="329">
        <f t="shared" si="43"/>
        <v>6667.72</v>
      </c>
    </row>
    <row r="213" spans="1:28" customFormat="1">
      <c r="A213" s="299" t="s">
        <v>3973</v>
      </c>
      <c r="B213" s="329"/>
      <c r="C213" s="281" t="s">
        <v>132</v>
      </c>
      <c r="D213" s="331">
        <v>46.43</v>
      </c>
      <c r="E213" s="327">
        <f t="shared" si="31"/>
        <v>88</v>
      </c>
      <c r="F213" s="327">
        <v>0</v>
      </c>
      <c r="H213" s="101">
        <f t="shared" si="32"/>
        <v>4085.84</v>
      </c>
      <c r="I213" s="101">
        <f t="shared" si="30"/>
        <v>408.58400000000006</v>
      </c>
      <c r="J213" s="111">
        <f t="shared" si="33"/>
        <v>0</v>
      </c>
      <c r="L213" s="101"/>
      <c r="M213" s="101">
        <f t="shared" si="34"/>
        <v>115.14714288</v>
      </c>
      <c r="N213" s="101">
        <f t="shared" si="35"/>
        <v>222.47398800000002</v>
      </c>
      <c r="O213" s="101">
        <f t="shared" si="36"/>
        <v>126.7427568</v>
      </c>
      <c r="P213" s="101">
        <f t="shared" si="37"/>
        <v>0</v>
      </c>
      <c r="Q213" s="101"/>
      <c r="R213" s="101">
        <f t="shared" si="39"/>
        <v>1114.08</v>
      </c>
      <c r="T213" s="102">
        <f t="shared" si="38"/>
        <v>6072.8678876799995</v>
      </c>
      <c r="U213" s="102"/>
      <c r="V213" s="103">
        <v>69.010000000000005</v>
      </c>
      <c r="W213" s="103">
        <v>103.51</v>
      </c>
      <c r="X213" s="103">
        <v>138.02000000000001</v>
      </c>
      <c r="Y213" s="330">
        <f t="shared" si="40"/>
        <v>85</v>
      </c>
      <c r="Z213" s="107">
        <f t="shared" si="41"/>
        <v>595</v>
      </c>
      <c r="AA213" s="108">
        <f t="shared" si="42"/>
        <v>6072.72</v>
      </c>
      <c r="AB213" s="329">
        <f t="shared" si="43"/>
        <v>6667.72</v>
      </c>
    </row>
    <row r="214" spans="1:28" customFormat="1">
      <c r="A214" s="299" t="s">
        <v>3974</v>
      </c>
      <c r="B214" s="329"/>
      <c r="C214" s="281" t="s">
        <v>132</v>
      </c>
      <c r="D214" s="331">
        <v>46.43</v>
      </c>
      <c r="E214" s="327">
        <f t="shared" si="31"/>
        <v>88</v>
      </c>
      <c r="F214" s="327">
        <v>0</v>
      </c>
      <c r="H214" s="101">
        <f t="shared" si="32"/>
        <v>4085.84</v>
      </c>
      <c r="I214" s="101">
        <f t="shared" si="30"/>
        <v>408.58400000000006</v>
      </c>
      <c r="J214" s="111">
        <f t="shared" si="33"/>
        <v>0</v>
      </c>
      <c r="L214" s="101"/>
      <c r="M214" s="101">
        <f t="shared" si="34"/>
        <v>115.14714288</v>
      </c>
      <c r="N214" s="101">
        <f t="shared" si="35"/>
        <v>222.47398800000002</v>
      </c>
      <c r="O214" s="101">
        <f t="shared" si="36"/>
        <v>126.7427568</v>
      </c>
      <c r="P214" s="101">
        <f t="shared" si="37"/>
        <v>0</v>
      </c>
      <c r="Q214" s="101"/>
      <c r="R214" s="101">
        <f t="shared" si="39"/>
        <v>1114.08</v>
      </c>
      <c r="T214" s="102">
        <f t="shared" si="38"/>
        <v>6072.8678876799995</v>
      </c>
      <c r="U214" s="102"/>
      <c r="V214" s="103">
        <v>69.010000000000005</v>
      </c>
      <c r="W214" s="103">
        <v>103.51</v>
      </c>
      <c r="X214" s="103">
        <v>138.02000000000001</v>
      </c>
      <c r="Y214" s="330">
        <f t="shared" si="40"/>
        <v>85</v>
      </c>
      <c r="Z214" s="107">
        <f t="shared" si="41"/>
        <v>595</v>
      </c>
      <c r="AA214" s="108">
        <f t="shared" si="42"/>
        <v>6072.72</v>
      </c>
      <c r="AB214" s="329">
        <f t="shared" si="43"/>
        <v>6667.72</v>
      </c>
    </row>
    <row r="215" spans="1:28" customFormat="1">
      <c r="A215" s="299" t="s">
        <v>3975</v>
      </c>
      <c r="B215" s="329"/>
      <c r="C215" s="281" t="s">
        <v>132</v>
      </c>
      <c r="D215" s="331">
        <v>57.3</v>
      </c>
      <c r="E215" s="327">
        <f>1*N$5+1.5*R$5+2*R$6</f>
        <v>88</v>
      </c>
      <c r="F215" s="327">
        <v>0</v>
      </c>
      <c r="H215" s="101">
        <f>E215*D215</f>
        <v>5042.3999999999996</v>
      </c>
      <c r="I215" s="101">
        <f>(H215)*I$13</f>
        <v>504.24</v>
      </c>
      <c r="J215" s="111">
        <f>D215*F215*1.1</f>
        <v>0</v>
      </c>
      <c r="L215" s="101"/>
      <c r="M215" s="101">
        <f>(H215+I215)*M$13</f>
        <v>142.10491679999998</v>
      </c>
      <c r="N215" s="101">
        <f>(H215+I215)*N$13</f>
        <v>274.55867999999998</v>
      </c>
      <c r="O215" s="101">
        <f>(H215+I215)*O$13</f>
        <v>156.41524799999999</v>
      </c>
      <c r="P215" s="101">
        <f>J215*O$16</f>
        <v>0</v>
      </c>
      <c r="Q215" s="101"/>
      <c r="R215" s="101">
        <f>($E215+F215)*R$15</f>
        <v>1114.08</v>
      </c>
      <c r="T215" s="102">
        <f>SUM(H215:R215)</f>
        <v>7233.7988447999996</v>
      </c>
      <c r="U215" s="102"/>
      <c r="V215" s="103">
        <v>82.2</v>
      </c>
      <c r="W215" s="103">
        <v>123.3</v>
      </c>
      <c r="X215" s="103">
        <v>164.4</v>
      </c>
      <c r="Y215" s="330">
        <f t="shared" si="40"/>
        <v>85</v>
      </c>
      <c r="Z215" s="107">
        <f t="shared" si="41"/>
        <v>595</v>
      </c>
      <c r="AA215" s="108">
        <f t="shared" si="42"/>
        <v>7233.6</v>
      </c>
      <c r="AB215" s="329">
        <f t="shared" si="43"/>
        <v>7828.6</v>
      </c>
    </row>
    <row r="216" spans="1:28" customFormat="1">
      <c r="A216" s="299" t="s">
        <v>3976</v>
      </c>
      <c r="B216" s="329"/>
      <c r="C216" s="281" t="s">
        <v>132</v>
      </c>
      <c r="D216" s="331">
        <v>57.3</v>
      </c>
      <c r="E216" s="327">
        <f t="shared" si="31"/>
        <v>88</v>
      </c>
      <c r="F216" s="327">
        <v>0</v>
      </c>
      <c r="H216" s="101">
        <f t="shared" si="32"/>
        <v>5042.3999999999996</v>
      </c>
      <c r="I216" s="101">
        <f t="shared" si="30"/>
        <v>504.24</v>
      </c>
      <c r="J216" s="111">
        <f t="shared" si="33"/>
        <v>0</v>
      </c>
      <c r="L216" s="101"/>
      <c r="M216" s="101">
        <f t="shared" si="34"/>
        <v>142.10491679999998</v>
      </c>
      <c r="N216" s="101">
        <f t="shared" si="35"/>
        <v>274.55867999999998</v>
      </c>
      <c r="O216" s="101">
        <f t="shared" si="36"/>
        <v>156.41524799999999</v>
      </c>
      <c r="P216" s="101">
        <f t="shared" si="37"/>
        <v>0</v>
      </c>
      <c r="Q216" s="101"/>
      <c r="R216" s="101">
        <f t="shared" si="39"/>
        <v>1114.08</v>
      </c>
      <c r="T216" s="102">
        <f t="shared" si="38"/>
        <v>7233.7988447999996</v>
      </c>
      <c r="U216" s="102"/>
      <c r="V216" s="103">
        <v>82.2</v>
      </c>
      <c r="W216" s="103">
        <v>123.3</v>
      </c>
      <c r="X216" s="103">
        <v>164.4</v>
      </c>
      <c r="Y216" s="330">
        <f t="shared" si="40"/>
        <v>85</v>
      </c>
      <c r="Z216" s="107">
        <f t="shared" si="41"/>
        <v>595</v>
      </c>
      <c r="AA216" s="108">
        <f t="shared" si="42"/>
        <v>7233.6</v>
      </c>
      <c r="AB216" s="329">
        <f t="shared" si="43"/>
        <v>7828.6</v>
      </c>
    </row>
    <row r="217" spans="1:28" customFormat="1">
      <c r="A217" s="299" t="s">
        <v>3977</v>
      </c>
      <c r="B217" s="329"/>
      <c r="C217" s="281" t="s">
        <v>132</v>
      </c>
      <c r="D217" s="331">
        <v>57.3</v>
      </c>
      <c r="E217" s="327">
        <f>1*N$5+1.5*R$5+2*R$6</f>
        <v>88</v>
      </c>
      <c r="F217" s="327">
        <v>0</v>
      </c>
      <c r="H217" s="101">
        <f>E217*D217</f>
        <v>5042.3999999999996</v>
      </c>
      <c r="I217" s="101">
        <f>(H217)*I$13</f>
        <v>504.24</v>
      </c>
      <c r="J217" s="111">
        <f>D217*F217*1.1</f>
        <v>0</v>
      </c>
      <c r="L217" s="101"/>
      <c r="M217" s="101">
        <f>(H217+I217)*M$13</f>
        <v>142.10491679999998</v>
      </c>
      <c r="N217" s="101">
        <f>(H217+I217)*N$13</f>
        <v>274.55867999999998</v>
      </c>
      <c r="O217" s="101">
        <f>(H217+I217)*O$13</f>
        <v>156.41524799999999</v>
      </c>
      <c r="P217" s="101">
        <f>J217*O$16</f>
        <v>0</v>
      </c>
      <c r="Q217" s="101"/>
      <c r="R217" s="101">
        <f>($E217+F217)*R$15</f>
        <v>1114.08</v>
      </c>
      <c r="T217" s="102">
        <f>SUM(H217:R217)</f>
        <v>7233.7988447999996</v>
      </c>
      <c r="U217" s="102"/>
      <c r="V217" s="103">
        <v>82.2</v>
      </c>
      <c r="W217" s="103">
        <v>123.3</v>
      </c>
      <c r="X217" s="103">
        <v>164.4</v>
      </c>
      <c r="Y217" s="330">
        <f t="shared" si="40"/>
        <v>85</v>
      </c>
      <c r="Z217" s="107">
        <f t="shared" si="41"/>
        <v>595</v>
      </c>
      <c r="AA217" s="108">
        <f t="shared" si="42"/>
        <v>7233.6</v>
      </c>
      <c r="AB217" s="329">
        <f t="shared" si="43"/>
        <v>7828.6</v>
      </c>
    </row>
    <row r="218" spans="1:28" customFormat="1">
      <c r="A218" s="299" t="s">
        <v>3978</v>
      </c>
      <c r="B218" s="329"/>
      <c r="C218" s="281" t="s">
        <v>132</v>
      </c>
      <c r="D218" s="331">
        <v>57.3</v>
      </c>
      <c r="E218" s="327">
        <f t="shared" si="31"/>
        <v>88</v>
      </c>
      <c r="F218" s="327">
        <v>0</v>
      </c>
      <c r="H218" s="101">
        <f t="shared" si="32"/>
        <v>5042.3999999999996</v>
      </c>
      <c r="I218" s="101">
        <f t="shared" si="30"/>
        <v>504.24</v>
      </c>
      <c r="J218" s="111">
        <f t="shared" si="33"/>
        <v>0</v>
      </c>
      <c r="L218" s="101"/>
      <c r="M218" s="101">
        <f t="shared" si="34"/>
        <v>142.10491679999998</v>
      </c>
      <c r="N218" s="101">
        <f t="shared" si="35"/>
        <v>274.55867999999998</v>
      </c>
      <c r="O218" s="101">
        <f t="shared" si="36"/>
        <v>156.41524799999999</v>
      </c>
      <c r="P218" s="101">
        <f t="shared" si="37"/>
        <v>0</v>
      </c>
      <c r="Q218" s="101"/>
      <c r="R218" s="101">
        <f t="shared" si="39"/>
        <v>1114.08</v>
      </c>
      <c r="T218" s="102">
        <f t="shared" si="38"/>
        <v>7233.7988447999996</v>
      </c>
      <c r="U218" s="102"/>
      <c r="V218" s="103">
        <v>82.2</v>
      </c>
      <c r="W218" s="103">
        <v>123.3</v>
      </c>
      <c r="X218" s="103">
        <v>164.4</v>
      </c>
      <c r="Y218" s="330">
        <f t="shared" si="40"/>
        <v>85</v>
      </c>
      <c r="Z218" s="107">
        <f t="shared" si="41"/>
        <v>595</v>
      </c>
      <c r="AA218" s="108">
        <f t="shared" si="42"/>
        <v>7233.6</v>
      </c>
      <c r="AB218" s="329">
        <f t="shared" si="43"/>
        <v>7828.6</v>
      </c>
    </row>
    <row r="219" spans="1:28" customFormat="1">
      <c r="A219" s="299" t="s">
        <v>179</v>
      </c>
      <c r="B219" s="329"/>
      <c r="C219" s="281" t="s">
        <v>132</v>
      </c>
      <c r="D219" s="331">
        <v>34.67</v>
      </c>
      <c r="E219" s="327">
        <f t="shared" si="31"/>
        <v>88</v>
      </c>
      <c r="F219" s="327">
        <v>0</v>
      </c>
      <c r="H219" s="101">
        <f t="shared" si="32"/>
        <v>3050.96</v>
      </c>
      <c r="I219" s="101">
        <f t="shared" si="30"/>
        <v>305.096</v>
      </c>
      <c r="J219" s="111">
        <f t="shared" si="33"/>
        <v>0</v>
      </c>
      <c r="L219" s="101"/>
      <c r="M219" s="101">
        <f t="shared" si="34"/>
        <v>85.982154719999997</v>
      </c>
      <c r="N219" s="101">
        <f t="shared" si="35"/>
        <v>166.12477200000001</v>
      </c>
      <c r="O219" s="101">
        <f t="shared" si="36"/>
        <v>94.640779199999997</v>
      </c>
      <c r="P219" s="101">
        <f t="shared" si="37"/>
        <v>0</v>
      </c>
      <c r="Q219" s="101"/>
      <c r="R219" s="101">
        <f t="shared" si="39"/>
        <v>1114.08</v>
      </c>
      <c r="T219" s="102">
        <f t="shared" si="38"/>
        <v>4816.8837059199996</v>
      </c>
      <c r="U219" s="102"/>
      <c r="V219" s="103">
        <v>54.74</v>
      </c>
      <c r="W219" s="103">
        <v>82.11</v>
      </c>
      <c r="X219" s="103">
        <v>109.47</v>
      </c>
      <c r="Y219" s="330">
        <f t="shared" si="40"/>
        <v>85</v>
      </c>
      <c r="Z219" s="107">
        <f t="shared" si="41"/>
        <v>595</v>
      </c>
      <c r="AA219" s="108">
        <f t="shared" si="42"/>
        <v>4817.12</v>
      </c>
      <c r="AB219" s="329">
        <f t="shared" si="43"/>
        <v>5412.12</v>
      </c>
    </row>
    <row r="220" spans="1:28" customFormat="1">
      <c r="A220" s="299" t="s">
        <v>180</v>
      </c>
      <c r="B220" s="329"/>
      <c r="C220" s="281" t="s">
        <v>132</v>
      </c>
      <c r="D220" s="331">
        <v>34.67</v>
      </c>
      <c r="E220" s="327">
        <f t="shared" si="31"/>
        <v>88</v>
      </c>
      <c r="F220" s="327">
        <v>0</v>
      </c>
      <c r="H220" s="101">
        <f t="shared" si="32"/>
        <v>3050.96</v>
      </c>
      <c r="I220" s="101">
        <f t="shared" si="30"/>
        <v>305.096</v>
      </c>
      <c r="J220" s="111">
        <f t="shared" si="33"/>
        <v>0</v>
      </c>
      <c r="L220" s="101"/>
      <c r="M220" s="101">
        <f t="shared" si="34"/>
        <v>85.982154719999997</v>
      </c>
      <c r="N220" s="101">
        <f t="shared" si="35"/>
        <v>166.12477200000001</v>
      </c>
      <c r="O220" s="101">
        <f t="shared" si="36"/>
        <v>94.640779199999997</v>
      </c>
      <c r="P220" s="101">
        <f t="shared" si="37"/>
        <v>0</v>
      </c>
      <c r="Q220" s="101"/>
      <c r="R220" s="101">
        <f t="shared" si="39"/>
        <v>1114.08</v>
      </c>
      <c r="T220" s="102">
        <f t="shared" si="38"/>
        <v>4816.8837059199996</v>
      </c>
      <c r="U220" s="102"/>
      <c r="V220" s="103">
        <v>54.74</v>
      </c>
      <c r="W220" s="103">
        <v>82.11</v>
      </c>
      <c r="X220" s="103">
        <v>109.47</v>
      </c>
      <c r="Y220" s="330">
        <f t="shared" si="40"/>
        <v>85</v>
      </c>
      <c r="Z220" s="107">
        <f t="shared" si="41"/>
        <v>595</v>
      </c>
      <c r="AA220" s="108">
        <f t="shared" si="42"/>
        <v>4817.12</v>
      </c>
      <c r="AB220" s="329">
        <f t="shared" si="43"/>
        <v>5412.12</v>
      </c>
    </row>
    <row r="221" spans="1:28" customFormat="1">
      <c r="A221" s="333" t="s">
        <v>181</v>
      </c>
      <c r="B221" s="329"/>
      <c r="C221" s="281" t="s">
        <v>132</v>
      </c>
      <c r="D221" s="331">
        <v>34.17</v>
      </c>
      <c r="E221" s="327">
        <f t="shared" si="31"/>
        <v>88</v>
      </c>
      <c r="F221" s="327">
        <v>0</v>
      </c>
      <c r="H221" s="101">
        <f t="shared" si="32"/>
        <v>3006.96</v>
      </c>
      <c r="I221" s="101">
        <f t="shared" si="30"/>
        <v>300.69600000000003</v>
      </c>
      <c r="J221" s="111">
        <f t="shared" si="33"/>
        <v>0</v>
      </c>
      <c r="L221" s="101"/>
      <c r="M221" s="101">
        <f t="shared" si="34"/>
        <v>84.742146719999994</v>
      </c>
      <c r="N221" s="101">
        <f t="shared" si="35"/>
        <v>163.728972</v>
      </c>
      <c r="O221" s="101">
        <f t="shared" si="36"/>
        <v>93.275899199999998</v>
      </c>
      <c r="P221" s="101">
        <f t="shared" si="37"/>
        <v>0</v>
      </c>
      <c r="Q221" s="101"/>
      <c r="R221" s="101">
        <f t="shared" si="39"/>
        <v>1114.08</v>
      </c>
      <c r="T221" s="102">
        <f t="shared" si="38"/>
        <v>4763.4830179199998</v>
      </c>
      <c r="U221" s="102"/>
      <c r="V221" s="103">
        <v>54.13</v>
      </c>
      <c r="W221" s="103">
        <v>81.2</v>
      </c>
      <c r="X221" s="103">
        <v>108.26</v>
      </c>
      <c r="Y221" s="330">
        <f t="shared" si="40"/>
        <v>85</v>
      </c>
      <c r="Z221" s="107">
        <f t="shared" si="41"/>
        <v>595</v>
      </c>
      <c r="AA221" s="108">
        <f t="shared" si="42"/>
        <v>4763.6000000000004</v>
      </c>
      <c r="AB221" s="329">
        <f t="shared" si="43"/>
        <v>5358.6</v>
      </c>
    </row>
    <row r="222" spans="1:28" customFormat="1">
      <c r="A222" s="333" t="s">
        <v>182</v>
      </c>
      <c r="B222" s="329"/>
      <c r="C222" s="281" t="s">
        <v>132</v>
      </c>
      <c r="D222" s="331">
        <v>34.17</v>
      </c>
      <c r="E222" s="327">
        <f>1*N$5+1.5*R$5+2*R$6</f>
        <v>88</v>
      </c>
      <c r="F222" s="327">
        <v>0</v>
      </c>
      <c r="H222" s="101">
        <f>E222*D222</f>
        <v>3006.96</v>
      </c>
      <c r="I222" s="101">
        <f>(H222)*I$13</f>
        <v>300.69600000000003</v>
      </c>
      <c r="J222" s="111">
        <f>D222*F222*1.1</f>
        <v>0</v>
      </c>
      <c r="L222" s="101"/>
      <c r="M222" s="101">
        <f>(H222+I222)*M$13</f>
        <v>84.742146719999994</v>
      </c>
      <c r="N222" s="101">
        <f>(H222+I222)*N$13</f>
        <v>163.728972</v>
      </c>
      <c r="O222" s="101">
        <f>(H222+I222)*O$13</f>
        <v>93.275899199999998</v>
      </c>
      <c r="P222" s="101">
        <f>J222*O$16</f>
        <v>0</v>
      </c>
      <c r="Q222" s="101"/>
      <c r="R222" s="101">
        <f>($E222+F222)*R$15</f>
        <v>1114.08</v>
      </c>
      <c r="T222" s="102">
        <f>SUM(H222:R222)</f>
        <v>4763.4830179199998</v>
      </c>
      <c r="U222" s="102"/>
      <c r="V222" s="103">
        <v>54.13</v>
      </c>
      <c r="W222" s="103">
        <v>81.2</v>
      </c>
      <c r="X222" s="103">
        <v>108.26</v>
      </c>
      <c r="Y222" s="330">
        <f t="shared" si="40"/>
        <v>85</v>
      </c>
      <c r="Z222" s="107">
        <f t="shared" si="41"/>
        <v>595</v>
      </c>
      <c r="AA222" s="108">
        <f t="shared" si="42"/>
        <v>4763.6000000000004</v>
      </c>
      <c r="AB222" s="329">
        <f t="shared" si="43"/>
        <v>5358.6</v>
      </c>
    </row>
    <row r="223" spans="1:28" customFormat="1">
      <c r="A223" s="299" t="s">
        <v>183</v>
      </c>
      <c r="B223" s="329"/>
      <c r="C223" s="281" t="s">
        <v>132</v>
      </c>
      <c r="D223" s="331">
        <v>33.67</v>
      </c>
      <c r="E223" s="327">
        <f t="shared" si="31"/>
        <v>88</v>
      </c>
      <c r="F223" s="327">
        <v>0</v>
      </c>
      <c r="H223" s="101">
        <f t="shared" si="32"/>
        <v>2962.96</v>
      </c>
      <c r="I223" s="101">
        <f t="shared" si="30"/>
        <v>296.29599999999999</v>
      </c>
      <c r="J223" s="111">
        <f t="shared" si="33"/>
        <v>0</v>
      </c>
      <c r="L223" s="101"/>
      <c r="M223" s="101">
        <f t="shared" si="34"/>
        <v>83.502138719999991</v>
      </c>
      <c r="N223" s="101">
        <f t="shared" si="35"/>
        <v>161.33317199999999</v>
      </c>
      <c r="O223" s="101">
        <f t="shared" si="36"/>
        <v>91.911019199999998</v>
      </c>
      <c r="P223" s="101">
        <f t="shared" si="37"/>
        <v>0</v>
      </c>
      <c r="Q223" s="101"/>
      <c r="R223" s="101">
        <f t="shared" si="39"/>
        <v>1114.08</v>
      </c>
      <c r="T223" s="102">
        <f t="shared" si="38"/>
        <v>4710.0823299200001</v>
      </c>
      <c r="U223" s="102"/>
      <c r="V223" s="103">
        <v>53.52</v>
      </c>
      <c r="W223" s="103">
        <v>80.290000000000006</v>
      </c>
      <c r="X223" s="103">
        <v>107.05</v>
      </c>
      <c r="Y223" s="330">
        <f t="shared" si="40"/>
        <v>85</v>
      </c>
      <c r="Z223" s="107">
        <f t="shared" si="41"/>
        <v>595</v>
      </c>
      <c r="AA223" s="108">
        <f t="shared" si="42"/>
        <v>4710.08</v>
      </c>
      <c r="AB223" s="329">
        <f t="shared" si="43"/>
        <v>5305.08</v>
      </c>
    </row>
    <row r="224" spans="1:28" customFormat="1">
      <c r="A224" s="299"/>
      <c r="C224" s="281"/>
      <c r="D224" s="58"/>
      <c r="E224" s="327"/>
      <c r="F224" s="327"/>
      <c r="H224" s="101"/>
      <c r="I224" s="101"/>
      <c r="J224" s="111"/>
      <c r="L224" s="101"/>
      <c r="M224" s="101"/>
      <c r="N224" s="101"/>
      <c r="O224" s="101"/>
      <c r="P224" s="101"/>
      <c r="Q224" s="101"/>
      <c r="R224" s="101"/>
      <c r="T224" s="102"/>
      <c r="U224" s="102"/>
      <c r="V224" s="103"/>
      <c r="W224" s="101"/>
      <c r="X224" s="102"/>
      <c r="Y224" s="330"/>
      <c r="Z224" s="107"/>
      <c r="AA224" s="108"/>
      <c r="AB224" s="329"/>
    </row>
    <row r="225" spans="1:28" customFormat="1">
      <c r="A225" s="299"/>
      <c r="C225" s="281"/>
      <c r="D225" s="58"/>
      <c r="E225" s="327"/>
      <c r="F225" s="327"/>
      <c r="H225" s="101"/>
      <c r="I225" s="101"/>
      <c r="L225" s="101"/>
      <c r="M225" s="101" t="s">
        <v>43</v>
      </c>
      <c r="N225" s="101" t="s">
        <v>43</v>
      </c>
      <c r="O225" s="101"/>
      <c r="P225" s="101"/>
      <c r="Q225" s="101"/>
      <c r="R225" s="101"/>
      <c r="T225" s="102"/>
      <c r="U225" s="102"/>
      <c r="V225" s="103" t="s">
        <v>43</v>
      </c>
      <c r="W225" s="101" t="s">
        <v>43</v>
      </c>
      <c r="X225" s="110" t="s">
        <v>43</v>
      </c>
      <c r="Y225" s="330"/>
      <c r="Z225" s="114" t="s">
        <v>43</v>
      </c>
      <c r="AA225" s="104"/>
    </row>
    <row r="226" spans="1:28" customFormat="1">
      <c r="A226" s="324" t="s">
        <v>4220</v>
      </c>
      <c r="B226" s="282"/>
      <c r="C226" s="282"/>
      <c r="D226" s="58"/>
      <c r="E226" s="327"/>
      <c r="H226" s="101" t="s">
        <v>43</v>
      </c>
      <c r="I226" s="101"/>
      <c r="L226" s="101"/>
      <c r="M226" s="101" t="s">
        <v>43</v>
      </c>
      <c r="N226" s="101" t="s">
        <v>43</v>
      </c>
      <c r="O226" s="101" t="s">
        <v>43</v>
      </c>
      <c r="P226" s="101"/>
      <c r="Q226" s="101"/>
      <c r="R226" s="101"/>
      <c r="T226" s="102" t="s">
        <v>43</v>
      </c>
      <c r="U226" s="102"/>
      <c r="V226" s="103"/>
      <c r="W226" s="101"/>
      <c r="X226" s="113"/>
      <c r="Y226" s="330"/>
      <c r="Z226" s="114" t="s">
        <v>43</v>
      </c>
      <c r="AA226" s="104"/>
    </row>
    <row r="227" spans="1:28" customFormat="1">
      <c r="A227" s="299"/>
      <c r="C227" s="281"/>
      <c r="D227" s="58"/>
      <c r="E227" s="327"/>
      <c r="H227" s="101" t="s">
        <v>43</v>
      </c>
      <c r="I227" s="101"/>
      <c r="L227" s="101"/>
      <c r="M227" s="101" t="s">
        <v>43</v>
      </c>
      <c r="N227" s="101" t="s">
        <v>43</v>
      </c>
      <c r="O227" s="101" t="s">
        <v>43</v>
      </c>
      <c r="P227" s="101"/>
      <c r="Q227" s="101"/>
      <c r="R227" s="101"/>
      <c r="T227" s="102" t="s">
        <v>43</v>
      </c>
      <c r="U227" s="102"/>
      <c r="V227" s="103"/>
      <c r="W227" s="101"/>
      <c r="X227" s="113"/>
      <c r="Y227" s="330"/>
      <c r="Z227" s="114" t="s">
        <v>43</v>
      </c>
      <c r="AA227" s="104"/>
    </row>
    <row r="228" spans="1:28" customFormat="1" ht="48">
      <c r="A228" s="299"/>
      <c r="C228" s="281"/>
      <c r="D228" s="104" t="s">
        <v>139</v>
      </c>
      <c r="E228" s="327"/>
      <c r="F228" s="327"/>
      <c r="H228" s="101"/>
      <c r="I228" s="101"/>
      <c r="J228" s="111"/>
      <c r="L228" s="101"/>
      <c r="M228" s="101"/>
      <c r="N228" s="101"/>
      <c r="O228" s="101"/>
      <c r="P228" s="101"/>
      <c r="Q228" s="101"/>
      <c r="R228" s="101"/>
      <c r="T228" s="102"/>
      <c r="U228" s="102"/>
      <c r="V228" s="340" t="s">
        <v>140</v>
      </c>
      <c r="W228" s="58"/>
      <c r="X228" s="112"/>
      <c r="Y228" s="330">
        <f t="shared" ref="Y228:Y254" si="44">$Y$13</f>
        <v>85</v>
      </c>
      <c r="Z228" s="107">
        <f t="shared" ref="Z228:Z254" si="45">Y228*7</f>
        <v>595</v>
      </c>
      <c r="AA228" s="108"/>
      <c r="AB228" s="329"/>
    </row>
    <row r="229" spans="1:28" customFormat="1">
      <c r="A229" s="299" t="s">
        <v>184</v>
      </c>
      <c r="C229" s="281"/>
      <c r="D229" s="104"/>
      <c r="E229" s="327"/>
      <c r="F229" s="327"/>
      <c r="H229" s="101"/>
      <c r="I229" s="101"/>
      <c r="J229" s="111"/>
      <c r="L229" s="101"/>
      <c r="M229" s="101"/>
      <c r="N229" s="101"/>
      <c r="O229" s="101"/>
      <c r="P229" s="101"/>
      <c r="Q229" s="101"/>
      <c r="R229" s="101"/>
      <c r="T229" s="102"/>
      <c r="U229" s="102"/>
      <c r="V229" s="340">
        <v>64.849999999999994</v>
      </c>
      <c r="W229" s="58">
        <v>97.28</v>
      </c>
      <c r="X229" s="112">
        <v>129.69999999999999</v>
      </c>
      <c r="Y229" s="330">
        <f t="shared" si="44"/>
        <v>85</v>
      </c>
      <c r="Z229" s="107">
        <f t="shared" si="45"/>
        <v>595</v>
      </c>
      <c r="AA229" s="108"/>
      <c r="AB229" s="329"/>
    </row>
    <row r="230" spans="1:28" customFormat="1">
      <c r="A230" s="299" t="s">
        <v>185</v>
      </c>
      <c r="B230" s="329"/>
      <c r="C230" s="281" t="s">
        <v>132</v>
      </c>
      <c r="D230" s="331">
        <v>44.52</v>
      </c>
      <c r="E230" s="327">
        <f>1*N$5+1.5*R$5+2*R$6</f>
        <v>88</v>
      </c>
      <c r="F230" s="327">
        <v>0</v>
      </c>
      <c r="H230" s="101">
        <f>E230*D230</f>
        <v>3917.76</v>
      </c>
      <c r="I230" s="101">
        <f t="shared" ref="I230:I253" si="46">(H230)*I$13</f>
        <v>391.77600000000007</v>
      </c>
      <c r="J230" s="111">
        <f>D230*F230*1.1</f>
        <v>0</v>
      </c>
      <c r="L230" s="101"/>
      <c r="M230" s="101">
        <f>(H230+I230)*M$13</f>
        <v>110.41031232</v>
      </c>
      <c r="N230" s="101">
        <f>(H230+I230)*N$13</f>
        <v>213.32203200000001</v>
      </c>
      <c r="O230" s="101">
        <f>(H230+I230)*O$13</f>
        <v>121.5289152</v>
      </c>
      <c r="P230" s="101">
        <f>J230*O$16</f>
        <v>0</v>
      </c>
      <c r="Q230" s="101"/>
      <c r="R230" s="101">
        <f>($E230+F230)*R$16</f>
        <v>952.16000000000008</v>
      </c>
      <c r="T230" s="102">
        <f>SUM(H230:R230)</f>
        <v>5706.9572595199998</v>
      </c>
      <c r="U230" s="102"/>
      <c r="V230" s="103">
        <v>64.849999999999994</v>
      </c>
      <c r="W230" s="103">
        <v>97.28</v>
      </c>
      <c r="X230" s="103">
        <v>129.69999999999999</v>
      </c>
      <c r="Y230" s="330">
        <f t="shared" si="44"/>
        <v>85</v>
      </c>
      <c r="Z230" s="107">
        <f t="shared" si="45"/>
        <v>595</v>
      </c>
      <c r="AA230" s="108">
        <f t="shared" ref="AA230:AA253" si="47">V230*N$5+W230*R$5+X230*R$6</f>
        <v>5706.96</v>
      </c>
      <c r="AB230" s="329">
        <f t="shared" ref="AB230:AB254" si="48">AA230+Z230</f>
        <v>6301.96</v>
      </c>
    </row>
    <row r="231" spans="1:28" customFormat="1">
      <c r="A231" s="299" t="s">
        <v>186</v>
      </c>
      <c r="B231" s="329"/>
      <c r="C231" s="281" t="s">
        <v>132</v>
      </c>
      <c r="D231" s="331">
        <v>44.02</v>
      </c>
      <c r="E231" s="327">
        <f t="shared" ref="E231:E253" si="49">1*N$5+1.5*R$5+2*R$6</f>
        <v>88</v>
      </c>
      <c r="F231" s="327">
        <v>0</v>
      </c>
      <c r="H231" s="101">
        <f t="shared" ref="H231:H253" si="50">E231*D231</f>
        <v>3873.76</v>
      </c>
      <c r="I231" s="101">
        <f t="shared" si="46"/>
        <v>387.37600000000003</v>
      </c>
      <c r="J231" s="111">
        <f t="shared" ref="J231:J253" si="51">D231*F231*1.1</f>
        <v>0</v>
      </c>
      <c r="L231" s="101"/>
      <c r="M231" s="101">
        <f t="shared" ref="M231:M253" si="52">(H231+I231)*M$13</f>
        <v>109.17030432000001</v>
      </c>
      <c r="N231" s="101">
        <f t="shared" ref="N231:N253" si="53">(H231+I231)*N$13</f>
        <v>210.92623200000003</v>
      </c>
      <c r="O231" s="101">
        <f t="shared" ref="O231:O253" si="54">(H231+I231)*O$13</f>
        <v>120.16403520000001</v>
      </c>
      <c r="P231" s="101">
        <f t="shared" ref="P231:P253" si="55">J231*O$16</f>
        <v>0</v>
      </c>
      <c r="Q231" s="101"/>
      <c r="R231" s="101">
        <f t="shared" ref="R231:R253" si="56">($E231+F231)*R$16</f>
        <v>952.16000000000008</v>
      </c>
      <c r="T231" s="102">
        <f t="shared" ref="T231:T253" si="57">SUM(H231:R231)</f>
        <v>5653.55657152</v>
      </c>
      <c r="U231" s="102"/>
      <c r="V231" s="103">
        <v>64.239999999999995</v>
      </c>
      <c r="W231" s="103">
        <v>96.37</v>
      </c>
      <c r="X231" s="103">
        <v>128.49</v>
      </c>
      <c r="Y231" s="330">
        <f t="shared" si="44"/>
        <v>85</v>
      </c>
      <c r="Z231" s="107">
        <f t="shared" si="45"/>
        <v>595</v>
      </c>
      <c r="AA231" s="108">
        <f t="shared" si="47"/>
        <v>5653.4400000000005</v>
      </c>
      <c r="AB231" s="329">
        <f t="shared" si="48"/>
        <v>6248.4400000000005</v>
      </c>
    </row>
    <row r="232" spans="1:28" customFormat="1">
      <c r="A232" s="299" t="s">
        <v>187</v>
      </c>
      <c r="B232" s="329"/>
      <c r="C232" s="281" t="s">
        <v>132</v>
      </c>
      <c r="D232" s="331">
        <v>44.02</v>
      </c>
      <c r="E232" s="327">
        <f t="shared" si="49"/>
        <v>88</v>
      </c>
      <c r="F232" s="327">
        <v>0</v>
      </c>
      <c r="H232" s="101">
        <f t="shared" si="50"/>
        <v>3873.76</v>
      </c>
      <c r="I232" s="101">
        <f t="shared" si="46"/>
        <v>387.37600000000003</v>
      </c>
      <c r="J232" s="111">
        <f t="shared" si="51"/>
        <v>0</v>
      </c>
      <c r="L232" s="101"/>
      <c r="M232" s="101">
        <f t="shared" si="52"/>
        <v>109.17030432000001</v>
      </c>
      <c r="N232" s="101">
        <f t="shared" si="53"/>
        <v>210.92623200000003</v>
      </c>
      <c r="O232" s="101">
        <f t="shared" si="54"/>
        <v>120.16403520000001</v>
      </c>
      <c r="P232" s="101">
        <f t="shared" si="55"/>
        <v>0</v>
      </c>
      <c r="Q232" s="101"/>
      <c r="R232" s="101">
        <f t="shared" si="56"/>
        <v>952.16000000000008</v>
      </c>
      <c r="T232" s="102">
        <f t="shared" si="57"/>
        <v>5653.55657152</v>
      </c>
      <c r="U232" s="102"/>
      <c r="V232" s="103">
        <v>64.239999999999995</v>
      </c>
      <c r="W232" s="103">
        <v>96.37</v>
      </c>
      <c r="X232" s="103">
        <v>128.49</v>
      </c>
      <c r="Y232" s="330">
        <f t="shared" si="44"/>
        <v>85</v>
      </c>
      <c r="Z232" s="107">
        <f t="shared" si="45"/>
        <v>595</v>
      </c>
      <c r="AA232" s="108">
        <f t="shared" si="47"/>
        <v>5653.4400000000005</v>
      </c>
      <c r="AB232" s="329">
        <f t="shared" si="48"/>
        <v>6248.4400000000005</v>
      </c>
    </row>
    <row r="233" spans="1:28" customFormat="1">
      <c r="A233" s="333" t="s">
        <v>188</v>
      </c>
      <c r="B233" s="329"/>
      <c r="C233" s="281" t="s">
        <v>132</v>
      </c>
      <c r="D233" s="331">
        <v>40.35</v>
      </c>
      <c r="E233" s="327">
        <f t="shared" si="49"/>
        <v>88</v>
      </c>
      <c r="F233" s="327">
        <v>0</v>
      </c>
      <c r="H233" s="101">
        <f t="shared" si="50"/>
        <v>3550.8</v>
      </c>
      <c r="I233" s="101">
        <f t="shared" si="46"/>
        <v>355.08000000000004</v>
      </c>
      <c r="J233" s="111">
        <f t="shared" si="51"/>
        <v>0</v>
      </c>
      <c r="L233" s="101"/>
      <c r="M233" s="101">
        <f t="shared" si="52"/>
        <v>100.06864560000001</v>
      </c>
      <c r="N233" s="101">
        <f t="shared" si="53"/>
        <v>193.34106000000003</v>
      </c>
      <c r="O233" s="101">
        <f t="shared" si="54"/>
        <v>110.145816</v>
      </c>
      <c r="P233" s="101">
        <f t="shared" si="55"/>
        <v>0</v>
      </c>
      <c r="Q233" s="101"/>
      <c r="R233" s="101">
        <f t="shared" si="56"/>
        <v>952.16000000000008</v>
      </c>
      <c r="T233" s="102">
        <f t="shared" si="57"/>
        <v>5261.5955216000002</v>
      </c>
      <c r="U233" s="102"/>
      <c r="V233" s="103">
        <v>59.79</v>
      </c>
      <c r="W233" s="103">
        <v>89.69</v>
      </c>
      <c r="X233" s="103">
        <v>119.58</v>
      </c>
      <c r="Y233" s="330">
        <f t="shared" si="44"/>
        <v>85</v>
      </c>
      <c r="Z233" s="107">
        <f t="shared" si="45"/>
        <v>595</v>
      </c>
      <c r="AA233" s="108">
        <f t="shared" si="47"/>
        <v>5261.68</v>
      </c>
      <c r="AB233" s="329">
        <f t="shared" si="48"/>
        <v>5856.68</v>
      </c>
    </row>
    <row r="234" spans="1:28" customFormat="1">
      <c r="A234" s="299" t="s">
        <v>189</v>
      </c>
      <c r="B234" s="329"/>
      <c r="C234" s="281" t="s">
        <v>132</v>
      </c>
      <c r="D234" s="331">
        <v>44.02</v>
      </c>
      <c r="E234" s="327">
        <f t="shared" si="49"/>
        <v>88</v>
      </c>
      <c r="F234" s="327">
        <v>0</v>
      </c>
      <c r="H234" s="101">
        <f t="shared" si="50"/>
        <v>3873.76</v>
      </c>
      <c r="I234" s="101">
        <f t="shared" si="46"/>
        <v>387.37600000000003</v>
      </c>
      <c r="J234" s="111">
        <f t="shared" si="51"/>
        <v>0</v>
      </c>
      <c r="L234" s="101"/>
      <c r="M234" s="101">
        <f t="shared" si="52"/>
        <v>109.17030432000001</v>
      </c>
      <c r="N234" s="101">
        <f t="shared" si="53"/>
        <v>210.92623200000003</v>
      </c>
      <c r="O234" s="101">
        <f t="shared" si="54"/>
        <v>120.16403520000001</v>
      </c>
      <c r="P234" s="101">
        <f t="shared" si="55"/>
        <v>0</v>
      </c>
      <c r="Q234" s="101"/>
      <c r="R234" s="101">
        <f t="shared" si="56"/>
        <v>952.16000000000008</v>
      </c>
      <c r="T234" s="102">
        <f t="shared" si="57"/>
        <v>5653.55657152</v>
      </c>
      <c r="U234" s="102"/>
      <c r="V234" s="103">
        <v>64.239999999999995</v>
      </c>
      <c r="W234" s="103">
        <v>96.37</v>
      </c>
      <c r="X234" s="103">
        <v>128.49</v>
      </c>
      <c r="Y234" s="330">
        <f t="shared" si="44"/>
        <v>85</v>
      </c>
      <c r="Z234" s="107">
        <f t="shared" si="45"/>
        <v>595</v>
      </c>
      <c r="AA234" s="108">
        <f t="shared" si="47"/>
        <v>5653.4400000000005</v>
      </c>
      <c r="AB234" s="329">
        <f t="shared" si="48"/>
        <v>6248.4400000000005</v>
      </c>
    </row>
    <row r="235" spans="1:28" customFormat="1">
      <c r="A235" s="299" t="s">
        <v>190</v>
      </c>
      <c r="B235" s="329"/>
      <c r="C235" s="281" t="s">
        <v>132</v>
      </c>
      <c r="D235" s="331">
        <v>44.02</v>
      </c>
      <c r="E235" s="327">
        <f t="shared" si="49"/>
        <v>88</v>
      </c>
      <c r="F235" s="327">
        <v>0</v>
      </c>
      <c r="H235" s="101">
        <f t="shared" si="50"/>
        <v>3873.76</v>
      </c>
      <c r="I235" s="101">
        <f t="shared" si="46"/>
        <v>387.37600000000003</v>
      </c>
      <c r="J235" s="111">
        <f t="shared" si="51"/>
        <v>0</v>
      </c>
      <c r="L235" s="101"/>
      <c r="M235" s="101">
        <f t="shared" si="52"/>
        <v>109.17030432000001</v>
      </c>
      <c r="N235" s="101">
        <f t="shared" si="53"/>
        <v>210.92623200000003</v>
      </c>
      <c r="O235" s="101">
        <f t="shared" si="54"/>
        <v>120.16403520000001</v>
      </c>
      <c r="P235" s="101">
        <f t="shared" si="55"/>
        <v>0</v>
      </c>
      <c r="Q235" s="101"/>
      <c r="R235" s="101">
        <f t="shared" si="56"/>
        <v>952.16000000000008</v>
      </c>
      <c r="T235" s="102">
        <f t="shared" si="57"/>
        <v>5653.55657152</v>
      </c>
      <c r="U235" s="102"/>
      <c r="V235" s="103">
        <v>64.239999999999995</v>
      </c>
      <c r="W235" s="103">
        <v>96.37</v>
      </c>
      <c r="X235" s="103">
        <v>128.49</v>
      </c>
      <c r="Y235" s="330">
        <f t="shared" si="44"/>
        <v>85</v>
      </c>
      <c r="Z235" s="107">
        <f t="shared" si="45"/>
        <v>595</v>
      </c>
      <c r="AA235" s="108">
        <f t="shared" si="47"/>
        <v>5653.4400000000005</v>
      </c>
      <c r="AB235" s="329">
        <f t="shared" si="48"/>
        <v>6248.4400000000005</v>
      </c>
    </row>
    <row r="236" spans="1:28" customFormat="1">
      <c r="A236" s="299" t="s">
        <v>191</v>
      </c>
      <c r="B236" s="329"/>
      <c r="C236" s="281" t="s">
        <v>132</v>
      </c>
      <c r="D236" s="331">
        <v>40.35</v>
      </c>
      <c r="E236" s="327">
        <f t="shared" si="49"/>
        <v>88</v>
      </c>
      <c r="F236" s="327">
        <v>0</v>
      </c>
      <c r="H236" s="101">
        <f t="shared" si="50"/>
        <v>3550.8</v>
      </c>
      <c r="I236" s="101">
        <f t="shared" si="46"/>
        <v>355.08000000000004</v>
      </c>
      <c r="J236" s="111">
        <f t="shared" si="51"/>
        <v>0</v>
      </c>
      <c r="L236" s="101"/>
      <c r="M236" s="101">
        <f t="shared" si="52"/>
        <v>100.06864560000001</v>
      </c>
      <c r="N236" s="101">
        <f t="shared" si="53"/>
        <v>193.34106000000003</v>
      </c>
      <c r="O236" s="101">
        <f t="shared" si="54"/>
        <v>110.145816</v>
      </c>
      <c r="P236" s="101">
        <f t="shared" si="55"/>
        <v>0</v>
      </c>
      <c r="Q236" s="101"/>
      <c r="R236" s="101">
        <f t="shared" si="56"/>
        <v>952.16000000000008</v>
      </c>
      <c r="T236" s="102">
        <f t="shared" si="57"/>
        <v>5261.5955216000002</v>
      </c>
      <c r="U236" s="102"/>
      <c r="V236" s="103">
        <v>59.79</v>
      </c>
      <c r="W236" s="103">
        <v>89.69</v>
      </c>
      <c r="X236" s="103">
        <v>119.58</v>
      </c>
      <c r="Y236" s="330">
        <f t="shared" si="44"/>
        <v>85</v>
      </c>
      <c r="Z236" s="107">
        <f t="shared" si="45"/>
        <v>595</v>
      </c>
      <c r="AA236" s="108">
        <f t="shared" si="47"/>
        <v>5261.68</v>
      </c>
      <c r="AB236" s="329">
        <f t="shared" si="48"/>
        <v>5856.68</v>
      </c>
    </row>
    <row r="237" spans="1:28" customFormat="1">
      <c r="A237" s="333" t="s">
        <v>192</v>
      </c>
      <c r="B237" s="329"/>
      <c r="C237" s="281" t="s">
        <v>132</v>
      </c>
      <c r="D237" s="331">
        <v>44.02</v>
      </c>
      <c r="E237" s="327">
        <f t="shared" si="49"/>
        <v>88</v>
      </c>
      <c r="F237" s="327">
        <v>0</v>
      </c>
      <c r="H237" s="101">
        <f t="shared" si="50"/>
        <v>3873.76</v>
      </c>
      <c r="I237" s="101">
        <f t="shared" si="46"/>
        <v>387.37600000000003</v>
      </c>
      <c r="J237" s="111">
        <f t="shared" si="51"/>
        <v>0</v>
      </c>
      <c r="L237" s="101"/>
      <c r="M237" s="101">
        <f t="shared" si="52"/>
        <v>109.17030432000001</v>
      </c>
      <c r="N237" s="101">
        <f t="shared" si="53"/>
        <v>210.92623200000003</v>
      </c>
      <c r="O237" s="101">
        <f t="shared" si="54"/>
        <v>120.16403520000001</v>
      </c>
      <c r="P237" s="101">
        <f t="shared" si="55"/>
        <v>0</v>
      </c>
      <c r="Q237" s="101"/>
      <c r="R237" s="101">
        <f t="shared" si="56"/>
        <v>952.16000000000008</v>
      </c>
      <c r="T237" s="102">
        <f t="shared" si="57"/>
        <v>5653.55657152</v>
      </c>
      <c r="U237" s="102"/>
      <c r="V237" s="103">
        <v>64.239999999999995</v>
      </c>
      <c r="W237" s="103">
        <v>96.37</v>
      </c>
      <c r="X237" s="103">
        <v>128.49</v>
      </c>
      <c r="Y237" s="330">
        <f t="shared" si="44"/>
        <v>85</v>
      </c>
      <c r="Z237" s="107">
        <f t="shared" si="45"/>
        <v>595</v>
      </c>
      <c r="AA237" s="108">
        <f t="shared" si="47"/>
        <v>5653.4400000000005</v>
      </c>
      <c r="AB237" s="329">
        <f t="shared" si="48"/>
        <v>6248.4400000000005</v>
      </c>
    </row>
    <row r="238" spans="1:28" customFormat="1">
      <c r="A238" s="299" t="s">
        <v>193</v>
      </c>
      <c r="B238" s="329"/>
      <c r="C238" s="281" t="s">
        <v>132</v>
      </c>
      <c r="D238" s="331">
        <v>44.02</v>
      </c>
      <c r="E238" s="327">
        <f t="shared" si="49"/>
        <v>88</v>
      </c>
      <c r="F238" s="327">
        <v>0</v>
      </c>
      <c r="H238" s="101">
        <f t="shared" si="50"/>
        <v>3873.76</v>
      </c>
      <c r="I238" s="101">
        <f t="shared" si="46"/>
        <v>387.37600000000003</v>
      </c>
      <c r="J238" s="111">
        <f t="shared" si="51"/>
        <v>0</v>
      </c>
      <c r="L238" s="101"/>
      <c r="M238" s="101">
        <f t="shared" si="52"/>
        <v>109.17030432000001</v>
      </c>
      <c r="N238" s="101">
        <f t="shared" si="53"/>
        <v>210.92623200000003</v>
      </c>
      <c r="O238" s="101">
        <f t="shared" si="54"/>
        <v>120.16403520000001</v>
      </c>
      <c r="P238" s="101">
        <f t="shared" si="55"/>
        <v>0</v>
      </c>
      <c r="Q238" s="101"/>
      <c r="R238" s="101">
        <f t="shared" si="56"/>
        <v>952.16000000000008</v>
      </c>
      <c r="T238" s="102">
        <f t="shared" si="57"/>
        <v>5653.55657152</v>
      </c>
      <c r="U238" s="102"/>
      <c r="V238" s="103">
        <v>64.239999999999995</v>
      </c>
      <c r="W238" s="103">
        <v>96.37</v>
      </c>
      <c r="X238" s="103">
        <v>128.49</v>
      </c>
      <c r="Y238" s="330">
        <f t="shared" si="44"/>
        <v>85</v>
      </c>
      <c r="Z238" s="107">
        <f t="shared" si="45"/>
        <v>595</v>
      </c>
      <c r="AA238" s="108">
        <f t="shared" si="47"/>
        <v>5653.4400000000005</v>
      </c>
      <c r="AB238" s="329">
        <f t="shared" si="48"/>
        <v>6248.4400000000005</v>
      </c>
    </row>
    <row r="239" spans="1:28" customFormat="1">
      <c r="A239" s="299" t="s">
        <v>194</v>
      </c>
      <c r="B239" s="329"/>
      <c r="C239" s="281" t="s">
        <v>132</v>
      </c>
      <c r="D239" s="331">
        <v>44.02</v>
      </c>
      <c r="E239" s="327">
        <f t="shared" si="49"/>
        <v>88</v>
      </c>
      <c r="F239" s="327">
        <v>0</v>
      </c>
      <c r="H239" s="101">
        <f t="shared" si="50"/>
        <v>3873.76</v>
      </c>
      <c r="I239" s="101">
        <f t="shared" si="46"/>
        <v>387.37600000000003</v>
      </c>
      <c r="J239" s="111">
        <f t="shared" si="51"/>
        <v>0</v>
      </c>
      <c r="L239" s="101"/>
      <c r="M239" s="101">
        <f t="shared" si="52"/>
        <v>109.17030432000001</v>
      </c>
      <c r="N239" s="101">
        <f t="shared" si="53"/>
        <v>210.92623200000003</v>
      </c>
      <c r="O239" s="101">
        <f t="shared" si="54"/>
        <v>120.16403520000001</v>
      </c>
      <c r="P239" s="101">
        <f t="shared" si="55"/>
        <v>0</v>
      </c>
      <c r="Q239" s="101"/>
      <c r="R239" s="101">
        <f t="shared" si="56"/>
        <v>952.16000000000008</v>
      </c>
      <c r="T239" s="102">
        <f t="shared" si="57"/>
        <v>5653.55657152</v>
      </c>
      <c r="U239" s="102"/>
      <c r="V239" s="103">
        <v>64.239999999999995</v>
      </c>
      <c r="W239" s="103">
        <v>96.37</v>
      </c>
      <c r="X239" s="103">
        <v>128.49</v>
      </c>
      <c r="Y239" s="330">
        <f t="shared" si="44"/>
        <v>85</v>
      </c>
      <c r="Z239" s="107">
        <f t="shared" si="45"/>
        <v>595</v>
      </c>
      <c r="AA239" s="108">
        <f t="shared" si="47"/>
        <v>5653.4400000000005</v>
      </c>
      <c r="AB239" s="329">
        <f t="shared" si="48"/>
        <v>6248.4400000000005</v>
      </c>
    </row>
    <row r="240" spans="1:28" customFormat="1">
      <c r="A240" s="333" t="s">
        <v>195</v>
      </c>
      <c r="B240" s="329"/>
      <c r="C240" s="281" t="s">
        <v>132</v>
      </c>
      <c r="D240" s="331">
        <v>44.02</v>
      </c>
      <c r="E240" s="327">
        <f t="shared" si="49"/>
        <v>88</v>
      </c>
      <c r="F240" s="327">
        <v>0</v>
      </c>
      <c r="H240" s="101">
        <f t="shared" si="50"/>
        <v>3873.76</v>
      </c>
      <c r="I240" s="101">
        <f t="shared" si="46"/>
        <v>387.37600000000003</v>
      </c>
      <c r="J240" s="111">
        <f t="shared" si="51"/>
        <v>0</v>
      </c>
      <c r="L240" s="101"/>
      <c r="M240" s="101">
        <f t="shared" si="52"/>
        <v>109.17030432000001</v>
      </c>
      <c r="N240" s="101">
        <f t="shared" si="53"/>
        <v>210.92623200000003</v>
      </c>
      <c r="O240" s="101">
        <f t="shared" si="54"/>
        <v>120.16403520000001</v>
      </c>
      <c r="P240" s="101">
        <f t="shared" si="55"/>
        <v>0</v>
      </c>
      <c r="Q240" s="101"/>
      <c r="R240" s="101">
        <f t="shared" si="56"/>
        <v>952.16000000000008</v>
      </c>
      <c r="T240" s="102">
        <f t="shared" si="57"/>
        <v>5653.55657152</v>
      </c>
      <c r="U240" s="102"/>
      <c r="V240" s="103">
        <v>64.239999999999995</v>
      </c>
      <c r="W240" s="103">
        <v>96.37</v>
      </c>
      <c r="X240" s="103">
        <v>128.49</v>
      </c>
      <c r="Y240" s="330">
        <f t="shared" si="44"/>
        <v>85</v>
      </c>
      <c r="Z240" s="107">
        <f t="shared" si="45"/>
        <v>595</v>
      </c>
      <c r="AA240" s="108">
        <f t="shared" si="47"/>
        <v>5653.4400000000005</v>
      </c>
      <c r="AB240" s="329">
        <f t="shared" si="48"/>
        <v>6248.4400000000005</v>
      </c>
    </row>
    <row r="241" spans="1:28" customFormat="1">
      <c r="A241" s="299" t="s">
        <v>196</v>
      </c>
      <c r="B241" s="329"/>
      <c r="C241" s="281" t="s">
        <v>132</v>
      </c>
      <c r="D241" s="331">
        <v>40.35</v>
      </c>
      <c r="E241" s="327">
        <f t="shared" si="49"/>
        <v>88</v>
      </c>
      <c r="F241" s="327">
        <v>0</v>
      </c>
      <c r="H241" s="101">
        <f t="shared" si="50"/>
        <v>3550.8</v>
      </c>
      <c r="I241" s="101">
        <f t="shared" si="46"/>
        <v>355.08000000000004</v>
      </c>
      <c r="J241" s="111">
        <f t="shared" si="51"/>
        <v>0</v>
      </c>
      <c r="L241" s="101"/>
      <c r="M241" s="101">
        <f t="shared" si="52"/>
        <v>100.06864560000001</v>
      </c>
      <c r="N241" s="101">
        <f t="shared" si="53"/>
        <v>193.34106000000003</v>
      </c>
      <c r="O241" s="101">
        <f t="shared" si="54"/>
        <v>110.145816</v>
      </c>
      <c r="P241" s="101">
        <f t="shared" si="55"/>
        <v>0</v>
      </c>
      <c r="Q241" s="101"/>
      <c r="R241" s="101">
        <f t="shared" si="56"/>
        <v>952.16000000000008</v>
      </c>
      <c r="T241" s="102">
        <f t="shared" si="57"/>
        <v>5261.5955216000002</v>
      </c>
      <c r="U241" s="102"/>
      <c r="V241" s="103">
        <v>59.79</v>
      </c>
      <c r="W241" s="103">
        <v>89.69</v>
      </c>
      <c r="X241" s="103">
        <v>119.58</v>
      </c>
      <c r="Y241" s="330">
        <f t="shared" si="44"/>
        <v>85</v>
      </c>
      <c r="Z241" s="107">
        <f t="shared" si="45"/>
        <v>595</v>
      </c>
      <c r="AA241" s="108">
        <f t="shared" si="47"/>
        <v>5261.68</v>
      </c>
      <c r="AB241" s="329">
        <f t="shared" si="48"/>
        <v>5856.68</v>
      </c>
    </row>
    <row r="242" spans="1:28" customFormat="1">
      <c r="A242" s="299" t="s">
        <v>197</v>
      </c>
      <c r="B242" s="329"/>
      <c r="C242" s="281" t="s">
        <v>132</v>
      </c>
      <c r="D242" s="331">
        <v>44.02</v>
      </c>
      <c r="E242" s="327">
        <f t="shared" si="49"/>
        <v>88</v>
      </c>
      <c r="F242" s="327">
        <v>0</v>
      </c>
      <c r="H242" s="101">
        <f t="shared" si="50"/>
        <v>3873.76</v>
      </c>
      <c r="I242" s="101">
        <f t="shared" si="46"/>
        <v>387.37600000000003</v>
      </c>
      <c r="J242" s="111">
        <f t="shared" si="51"/>
        <v>0</v>
      </c>
      <c r="L242" s="101"/>
      <c r="M242" s="101">
        <f t="shared" si="52"/>
        <v>109.17030432000001</v>
      </c>
      <c r="N242" s="101">
        <f t="shared" si="53"/>
        <v>210.92623200000003</v>
      </c>
      <c r="O242" s="101">
        <f t="shared" si="54"/>
        <v>120.16403520000001</v>
      </c>
      <c r="P242" s="101">
        <f t="shared" si="55"/>
        <v>0</v>
      </c>
      <c r="Q242" s="101"/>
      <c r="R242" s="101">
        <f t="shared" si="56"/>
        <v>952.16000000000008</v>
      </c>
      <c r="T242" s="102">
        <f t="shared" si="57"/>
        <v>5653.55657152</v>
      </c>
      <c r="U242" s="102"/>
      <c r="V242" s="103">
        <v>64.239999999999995</v>
      </c>
      <c r="W242" s="103">
        <v>96.37</v>
      </c>
      <c r="X242" s="103">
        <v>128.49</v>
      </c>
      <c r="Y242" s="330">
        <f t="shared" si="44"/>
        <v>85</v>
      </c>
      <c r="Z242" s="107">
        <f t="shared" si="45"/>
        <v>595</v>
      </c>
      <c r="AA242" s="108">
        <f t="shared" si="47"/>
        <v>5653.4400000000005</v>
      </c>
      <c r="AB242" s="329">
        <f t="shared" si="48"/>
        <v>6248.4400000000005</v>
      </c>
    </row>
    <row r="243" spans="1:28" customFormat="1">
      <c r="A243" s="299" t="s">
        <v>198</v>
      </c>
      <c r="B243" s="329"/>
      <c r="C243" s="281" t="s">
        <v>132</v>
      </c>
      <c r="D243" s="331">
        <v>40.35</v>
      </c>
      <c r="E243" s="327">
        <f t="shared" si="49"/>
        <v>88</v>
      </c>
      <c r="F243" s="327">
        <v>0</v>
      </c>
      <c r="H243" s="101">
        <f t="shared" si="50"/>
        <v>3550.8</v>
      </c>
      <c r="I243" s="101">
        <f t="shared" si="46"/>
        <v>355.08000000000004</v>
      </c>
      <c r="J243" s="111">
        <f t="shared" si="51"/>
        <v>0</v>
      </c>
      <c r="L243" s="101"/>
      <c r="M243" s="101">
        <f t="shared" si="52"/>
        <v>100.06864560000001</v>
      </c>
      <c r="N243" s="101">
        <f t="shared" si="53"/>
        <v>193.34106000000003</v>
      </c>
      <c r="O243" s="101">
        <f t="shared" si="54"/>
        <v>110.145816</v>
      </c>
      <c r="P243" s="101">
        <f t="shared" si="55"/>
        <v>0</v>
      </c>
      <c r="Q243" s="101"/>
      <c r="R243" s="101">
        <f t="shared" si="56"/>
        <v>952.16000000000008</v>
      </c>
      <c r="T243" s="102">
        <f t="shared" si="57"/>
        <v>5261.5955216000002</v>
      </c>
      <c r="U243" s="102"/>
      <c r="V243" s="103">
        <v>59.79</v>
      </c>
      <c r="W243" s="103">
        <v>89.69</v>
      </c>
      <c r="X243" s="103">
        <v>119.58</v>
      </c>
      <c r="Y243" s="330">
        <f t="shared" si="44"/>
        <v>85</v>
      </c>
      <c r="Z243" s="107">
        <f t="shared" si="45"/>
        <v>595</v>
      </c>
      <c r="AA243" s="108">
        <f t="shared" si="47"/>
        <v>5261.68</v>
      </c>
      <c r="AB243" s="329">
        <f t="shared" si="48"/>
        <v>5856.68</v>
      </c>
    </row>
    <row r="244" spans="1:28" customFormat="1">
      <c r="A244" s="299" t="s">
        <v>199</v>
      </c>
      <c r="B244" s="329"/>
      <c r="C244" s="281" t="s">
        <v>132</v>
      </c>
      <c r="D244" s="331">
        <v>40.35</v>
      </c>
      <c r="E244" s="327">
        <f t="shared" si="49"/>
        <v>88</v>
      </c>
      <c r="F244" s="327">
        <v>0</v>
      </c>
      <c r="H244" s="101">
        <f t="shared" si="50"/>
        <v>3550.8</v>
      </c>
      <c r="I244" s="101">
        <f t="shared" si="46"/>
        <v>355.08000000000004</v>
      </c>
      <c r="J244" s="111">
        <f t="shared" si="51"/>
        <v>0</v>
      </c>
      <c r="L244" s="101"/>
      <c r="M244" s="101">
        <f t="shared" si="52"/>
        <v>100.06864560000001</v>
      </c>
      <c r="N244" s="101">
        <f t="shared" si="53"/>
        <v>193.34106000000003</v>
      </c>
      <c r="O244" s="101">
        <f t="shared" si="54"/>
        <v>110.145816</v>
      </c>
      <c r="P244" s="101">
        <f t="shared" si="55"/>
        <v>0</v>
      </c>
      <c r="Q244" s="101"/>
      <c r="R244" s="101">
        <f t="shared" si="56"/>
        <v>952.16000000000008</v>
      </c>
      <c r="T244" s="102">
        <f t="shared" si="57"/>
        <v>5261.5955216000002</v>
      </c>
      <c r="U244" s="102"/>
      <c r="V244" s="103">
        <v>59.79</v>
      </c>
      <c r="W244" s="103">
        <v>89.69</v>
      </c>
      <c r="X244" s="103">
        <v>119.58</v>
      </c>
      <c r="Y244" s="330">
        <f t="shared" si="44"/>
        <v>85</v>
      </c>
      <c r="Z244" s="107">
        <f t="shared" si="45"/>
        <v>595</v>
      </c>
      <c r="AA244" s="108">
        <f t="shared" si="47"/>
        <v>5261.68</v>
      </c>
      <c r="AB244" s="329">
        <f t="shared" si="48"/>
        <v>5856.68</v>
      </c>
    </row>
    <row r="245" spans="1:28" customFormat="1">
      <c r="A245" s="299" t="s">
        <v>200</v>
      </c>
      <c r="B245" s="329"/>
      <c r="C245" s="281" t="s">
        <v>132</v>
      </c>
      <c r="D245" s="331">
        <v>40.35</v>
      </c>
      <c r="E245" s="327">
        <f t="shared" si="49"/>
        <v>88</v>
      </c>
      <c r="F245" s="327">
        <v>0</v>
      </c>
      <c r="H245" s="101">
        <f t="shared" si="50"/>
        <v>3550.8</v>
      </c>
      <c r="I245" s="101">
        <f t="shared" si="46"/>
        <v>355.08000000000004</v>
      </c>
      <c r="J245" s="111">
        <f t="shared" si="51"/>
        <v>0</v>
      </c>
      <c r="M245" s="101">
        <f t="shared" si="52"/>
        <v>100.06864560000001</v>
      </c>
      <c r="N245" s="101">
        <f t="shared" si="53"/>
        <v>193.34106000000003</v>
      </c>
      <c r="O245" s="101">
        <f t="shared" si="54"/>
        <v>110.145816</v>
      </c>
      <c r="P245" s="101">
        <f t="shared" si="55"/>
        <v>0</v>
      </c>
      <c r="Q245" s="101">
        <f>$R$7*$Q$16</f>
        <v>10.799999999999999</v>
      </c>
      <c r="R245" s="101">
        <f t="shared" si="56"/>
        <v>952.16000000000008</v>
      </c>
      <c r="T245" s="102">
        <f t="shared" si="57"/>
        <v>5272.3955216000004</v>
      </c>
      <c r="U245" s="102"/>
      <c r="V245" s="103">
        <v>59.94</v>
      </c>
      <c r="W245" s="103">
        <v>89.84</v>
      </c>
      <c r="X245" s="103">
        <v>119.73</v>
      </c>
      <c r="Y245" s="330">
        <f t="shared" si="44"/>
        <v>85</v>
      </c>
      <c r="Z245" s="107">
        <f t="shared" si="45"/>
        <v>595</v>
      </c>
      <c r="AA245" s="108">
        <f t="shared" si="47"/>
        <v>5272.48</v>
      </c>
      <c r="AB245" s="329">
        <f t="shared" si="48"/>
        <v>5867.48</v>
      </c>
    </row>
    <row r="246" spans="1:28" customFormat="1">
      <c r="A246" s="299" t="s">
        <v>201</v>
      </c>
      <c r="B246" s="329"/>
      <c r="C246" s="281" t="s">
        <v>132</v>
      </c>
      <c r="D246" s="331">
        <v>40.35</v>
      </c>
      <c r="E246" s="327">
        <f t="shared" si="49"/>
        <v>88</v>
      </c>
      <c r="F246" s="327">
        <v>0</v>
      </c>
      <c r="H246" s="101">
        <f t="shared" si="50"/>
        <v>3550.8</v>
      </c>
      <c r="I246" s="101">
        <f t="shared" si="46"/>
        <v>355.08000000000004</v>
      </c>
      <c r="J246" s="111">
        <f t="shared" si="51"/>
        <v>0</v>
      </c>
      <c r="L246" s="101"/>
      <c r="M246" s="101">
        <f t="shared" si="52"/>
        <v>100.06864560000001</v>
      </c>
      <c r="N246" s="101">
        <f t="shared" si="53"/>
        <v>193.34106000000003</v>
      </c>
      <c r="O246" s="101">
        <f t="shared" si="54"/>
        <v>110.145816</v>
      </c>
      <c r="P246" s="101">
        <f t="shared" si="55"/>
        <v>0</v>
      </c>
      <c r="Q246" s="101"/>
      <c r="R246" s="101">
        <f t="shared" si="56"/>
        <v>952.16000000000008</v>
      </c>
      <c r="T246" s="102">
        <f t="shared" si="57"/>
        <v>5261.5955216000002</v>
      </c>
      <c r="U246" s="102"/>
      <c r="V246" s="103">
        <v>59.79</v>
      </c>
      <c r="W246" s="103">
        <v>89.69</v>
      </c>
      <c r="X246" s="103">
        <v>119.58</v>
      </c>
      <c r="Y246" s="330">
        <f t="shared" si="44"/>
        <v>85</v>
      </c>
      <c r="Z246" s="107">
        <f t="shared" si="45"/>
        <v>595</v>
      </c>
      <c r="AA246" s="108">
        <f t="shared" si="47"/>
        <v>5261.68</v>
      </c>
      <c r="AB246" s="329">
        <f t="shared" si="48"/>
        <v>5856.68</v>
      </c>
    </row>
    <row r="247" spans="1:28" customFormat="1">
      <c r="A247" s="299" t="s">
        <v>202</v>
      </c>
      <c r="B247" s="329"/>
      <c r="C247" s="281" t="s">
        <v>132</v>
      </c>
      <c r="D247" s="331">
        <v>40.35</v>
      </c>
      <c r="E247" s="327">
        <f t="shared" si="49"/>
        <v>88</v>
      </c>
      <c r="F247" s="327">
        <v>0</v>
      </c>
      <c r="H247" s="101">
        <f t="shared" si="50"/>
        <v>3550.8</v>
      </c>
      <c r="I247" s="101">
        <f t="shared" si="46"/>
        <v>355.08000000000004</v>
      </c>
      <c r="J247" s="111">
        <f t="shared" si="51"/>
        <v>0</v>
      </c>
      <c r="L247" s="101"/>
      <c r="M247" s="101">
        <f t="shared" si="52"/>
        <v>100.06864560000001</v>
      </c>
      <c r="N247" s="101">
        <f t="shared" si="53"/>
        <v>193.34106000000003</v>
      </c>
      <c r="O247" s="101">
        <f t="shared" si="54"/>
        <v>110.145816</v>
      </c>
      <c r="P247" s="101">
        <f t="shared" si="55"/>
        <v>0</v>
      </c>
      <c r="Q247" s="101"/>
      <c r="R247" s="101">
        <f t="shared" si="56"/>
        <v>952.16000000000008</v>
      </c>
      <c r="T247" s="102">
        <f t="shared" si="57"/>
        <v>5261.5955216000002</v>
      </c>
      <c r="U247" s="102"/>
      <c r="V247" s="103">
        <v>59.79</v>
      </c>
      <c r="W247" s="103">
        <v>89.69</v>
      </c>
      <c r="X247" s="103">
        <v>119.58</v>
      </c>
      <c r="Y247" s="330">
        <f t="shared" si="44"/>
        <v>85</v>
      </c>
      <c r="Z247" s="107">
        <f t="shared" si="45"/>
        <v>595</v>
      </c>
      <c r="AA247" s="108">
        <f t="shared" si="47"/>
        <v>5261.68</v>
      </c>
      <c r="AB247" s="329">
        <f t="shared" si="48"/>
        <v>5856.68</v>
      </c>
    </row>
    <row r="248" spans="1:28" customFormat="1">
      <c r="A248" s="299" t="s">
        <v>203</v>
      </c>
      <c r="B248" s="329"/>
      <c r="C248" s="281" t="s">
        <v>132</v>
      </c>
      <c r="D248" s="331">
        <v>40.35</v>
      </c>
      <c r="E248" s="327">
        <f t="shared" si="49"/>
        <v>88</v>
      </c>
      <c r="F248" s="327">
        <v>0</v>
      </c>
      <c r="H248" s="101">
        <f t="shared" si="50"/>
        <v>3550.8</v>
      </c>
      <c r="I248" s="101">
        <f t="shared" si="46"/>
        <v>355.08000000000004</v>
      </c>
      <c r="J248" s="111">
        <f t="shared" si="51"/>
        <v>0</v>
      </c>
      <c r="L248" s="101"/>
      <c r="M248" s="101">
        <f t="shared" si="52"/>
        <v>100.06864560000001</v>
      </c>
      <c r="N248" s="101">
        <f t="shared" si="53"/>
        <v>193.34106000000003</v>
      </c>
      <c r="O248" s="101">
        <f t="shared" si="54"/>
        <v>110.145816</v>
      </c>
      <c r="P248" s="101">
        <f t="shared" si="55"/>
        <v>0</v>
      </c>
      <c r="Q248" s="101"/>
      <c r="R248" s="101">
        <f t="shared" si="56"/>
        <v>952.16000000000008</v>
      </c>
      <c r="T248" s="102">
        <f t="shared" si="57"/>
        <v>5261.5955216000002</v>
      </c>
      <c r="U248" s="102"/>
      <c r="V248" s="103">
        <v>59.79</v>
      </c>
      <c r="W248" s="103">
        <v>89.69</v>
      </c>
      <c r="X248" s="103">
        <v>119.58</v>
      </c>
      <c r="Y248" s="330">
        <f t="shared" si="44"/>
        <v>85</v>
      </c>
      <c r="Z248" s="107">
        <f t="shared" si="45"/>
        <v>595</v>
      </c>
      <c r="AA248" s="108">
        <f t="shared" si="47"/>
        <v>5261.68</v>
      </c>
      <c r="AB248" s="329">
        <f t="shared" si="48"/>
        <v>5856.68</v>
      </c>
    </row>
    <row r="249" spans="1:28" customFormat="1">
      <c r="A249" s="299" t="s">
        <v>204</v>
      </c>
      <c r="B249" s="329"/>
      <c r="C249" s="281" t="s">
        <v>132</v>
      </c>
      <c r="D249" s="331">
        <v>40.35</v>
      </c>
      <c r="E249" s="327">
        <f t="shared" si="49"/>
        <v>88</v>
      </c>
      <c r="F249" s="327">
        <v>0</v>
      </c>
      <c r="H249" s="101">
        <f t="shared" si="50"/>
        <v>3550.8</v>
      </c>
      <c r="I249" s="101">
        <f t="shared" si="46"/>
        <v>355.08000000000004</v>
      </c>
      <c r="J249" s="111">
        <f t="shared" si="51"/>
        <v>0</v>
      </c>
      <c r="L249" s="101"/>
      <c r="M249" s="101">
        <f t="shared" si="52"/>
        <v>100.06864560000001</v>
      </c>
      <c r="N249" s="101">
        <f t="shared" si="53"/>
        <v>193.34106000000003</v>
      </c>
      <c r="O249" s="101">
        <f t="shared" si="54"/>
        <v>110.145816</v>
      </c>
      <c r="P249" s="101">
        <f t="shared" si="55"/>
        <v>0</v>
      </c>
      <c r="Q249" s="101"/>
      <c r="R249" s="101">
        <f t="shared" si="56"/>
        <v>952.16000000000008</v>
      </c>
      <c r="T249" s="102">
        <f t="shared" si="57"/>
        <v>5261.5955216000002</v>
      </c>
      <c r="U249" s="102"/>
      <c r="V249" s="103">
        <v>59.79</v>
      </c>
      <c r="W249" s="103">
        <v>89.69</v>
      </c>
      <c r="X249" s="103">
        <v>119.58</v>
      </c>
      <c r="Y249" s="330">
        <f t="shared" si="44"/>
        <v>85</v>
      </c>
      <c r="Z249" s="107">
        <f t="shared" si="45"/>
        <v>595</v>
      </c>
      <c r="AA249" s="108">
        <f t="shared" si="47"/>
        <v>5261.68</v>
      </c>
      <c r="AB249" s="329">
        <f t="shared" si="48"/>
        <v>5856.68</v>
      </c>
    </row>
    <row r="250" spans="1:28" customFormat="1">
      <c r="A250" s="299" t="s">
        <v>205</v>
      </c>
      <c r="B250" s="329"/>
      <c r="C250" s="281" t="s">
        <v>132</v>
      </c>
      <c r="D250" s="331">
        <v>37.83</v>
      </c>
      <c r="E250" s="327">
        <f>1*N$5+1.5*R$5+2*R$6</f>
        <v>88</v>
      </c>
      <c r="F250" s="327">
        <v>0</v>
      </c>
      <c r="H250" s="101">
        <f>E250*D250</f>
        <v>3329.04</v>
      </c>
      <c r="I250" s="101">
        <f t="shared" si="46"/>
        <v>332.904</v>
      </c>
      <c r="J250" s="111">
        <f>D250*F250*1.1</f>
        <v>0</v>
      </c>
      <c r="L250" s="101"/>
      <c r="M250" s="101">
        <f>(H250+I250)*M$13</f>
        <v>93.819005279999999</v>
      </c>
      <c r="N250" s="101">
        <f>(H250+I250)*N$13</f>
        <v>181.26622800000001</v>
      </c>
      <c r="O250" s="101">
        <f>(H250+I250)*O$13</f>
        <v>103.26682079999999</v>
      </c>
      <c r="P250" s="101">
        <f>J250*O$16</f>
        <v>0</v>
      </c>
      <c r="Q250" s="101"/>
      <c r="R250" s="101">
        <f t="shared" si="56"/>
        <v>952.16000000000008</v>
      </c>
      <c r="T250" s="102">
        <f>SUM(H250:R250)</f>
        <v>4992.4560540800003</v>
      </c>
      <c r="U250" s="102"/>
      <c r="V250" s="103">
        <v>56.73</v>
      </c>
      <c r="W250" s="215">
        <v>85.1</v>
      </c>
      <c r="X250" s="103">
        <v>113.46</v>
      </c>
      <c r="Y250" s="330">
        <f t="shared" si="44"/>
        <v>85</v>
      </c>
      <c r="Z250" s="107">
        <f t="shared" si="45"/>
        <v>595</v>
      </c>
      <c r="AA250" s="108">
        <f t="shared" si="47"/>
        <v>4992.3999999999996</v>
      </c>
      <c r="AB250" s="329">
        <f t="shared" si="48"/>
        <v>5587.4</v>
      </c>
    </row>
    <row r="251" spans="1:28" customFormat="1">
      <c r="A251" s="299" t="s">
        <v>206</v>
      </c>
      <c r="B251" s="329"/>
      <c r="C251" s="281" t="s">
        <v>132</v>
      </c>
      <c r="D251" s="331">
        <v>37.83</v>
      </c>
      <c r="E251" s="327">
        <f t="shared" si="49"/>
        <v>88</v>
      </c>
      <c r="F251" s="327">
        <v>0</v>
      </c>
      <c r="H251" s="101">
        <f t="shared" si="50"/>
        <v>3329.04</v>
      </c>
      <c r="I251" s="101">
        <f t="shared" si="46"/>
        <v>332.904</v>
      </c>
      <c r="J251" s="111">
        <f t="shared" si="51"/>
        <v>0</v>
      </c>
      <c r="L251" s="101"/>
      <c r="M251" s="101">
        <f t="shared" si="52"/>
        <v>93.819005279999999</v>
      </c>
      <c r="N251" s="101">
        <f t="shared" si="53"/>
        <v>181.26622800000001</v>
      </c>
      <c r="O251" s="101">
        <f t="shared" si="54"/>
        <v>103.26682079999999</v>
      </c>
      <c r="P251" s="101">
        <f t="shared" si="55"/>
        <v>0</v>
      </c>
      <c r="Q251" s="101"/>
      <c r="R251" s="101">
        <f t="shared" si="56"/>
        <v>952.16000000000008</v>
      </c>
      <c r="T251" s="102">
        <f t="shared" si="57"/>
        <v>4992.4560540800003</v>
      </c>
      <c r="U251" s="102"/>
      <c r="V251" s="103">
        <v>56.73</v>
      </c>
      <c r="W251" s="103">
        <v>85.1</v>
      </c>
      <c r="X251" s="103">
        <v>113.46</v>
      </c>
      <c r="Y251" s="330">
        <f t="shared" si="44"/>
        <v>85</v>
      </c>
      <c r="Z251" s="107">
        <f t="shared" si="45"/>
        <v>595</v>
      </c>
      <c r="AA251" s="108">
        <f t="shared" si="47"/>
        <v>4992.3999999999996</v>
      </c>
      <c r="AB251" s="329">
        <f t="shared" si="48"/>
        <v>5587.4</v>
      </c>
    </row>
    <row r="252" spans="1:28" customFormat="1">
      <c r="A252" s="299" t="s">
        <v>207</v>
      </c>
      <c r="B252" s="329"/>
      <c r="C252" s="281" t="s">
        <v>132</v>
      </c>
      <c r="D252" s="331">
        <v>37.83</v>
      </c>
      <c r="E252" s="327">
        <f t="shared" si="49"/>
        <v>88</v>
      </c>
      <c r="F252" s="327">
        <v>0</v>
      </c>
      <c r="H252" s="101">
        <f t="shared" si="50"/>
        <v>3329.04</v>
      </c>
      <c r="I252" s="101">
        <f t="shared" si="46"/>
        <v>332.904</v>
      </c>
      <c r="J252" s="111">
        <f t="shared" si="51"/>
        <v>0</v>
      </c>
      <c r="L252" s="101"/>
      <c r="M252" s="101">
        <f t="shared" si="52"/>
        <v>93.819005279999999</v>
      </c>
      <c r="N252" s="101">
        <f t="shared" si="53"/>
        <v>181.26622800000001</v>
      </c>
      <c r="O252" s="101">
        <f t="shared" si="54"/>
        <v>103.26682079999999</v>
      </c>
      <c r="P252" s="101">
        <f t="shared" si="55"/>
        <v>0</v>
      </c>
      <c r="Q252" s="101"/>
      <c r="R252" s="101">
        <f t="shared" si="56"/>
        <v>952.16000000000008</v>
      </c>
      <c r="T252" s="102">
        <f t="shared" si="57"/>
        <v>4992.4560540800003</v>
      </c>
      <c r="U252" s="102"/>
      <c r="V252" s="103">
        <v>56.73</v>
      </c>
      <c r="W252" s="103">
        <v>85.1</v>
      </c>
      <c r="X252" s="103">
        <v>113.46</v>
      </c>
      <c r="Y252" s="330">
        <f t="shared" si="44"/>
        <v>85</v>
      </c>
      <c r="Z252" s="107">
        <f t="shared" si="45"/>
        <v>595</v>
      </c>
      <c r="AA252" s="108">
        <f t="shared" si="47"/>
        <v>4992.3999999999996</v>
      </c>
      <c r="AB252" s="329">
        <f t="shared" si="48"/>
        <v>5587.4</v>
      </c>
    </row>
    <row r="253" spans="1:28" customFormat="1">
      <c r="A253" s="299" t="s">
        <v>208</v>
      </c>
      <c r="B253" s="329"/>
      <c r="C253" s="281" t="s">
        <v>132</v>
      </c>
      <c r="D253" s="331">
        <v>40.35</v>
      </c>
      <c r="E253" s="327">
        <f t="shared" si="49"/>
        <v>88</v>
      </c>
      <c r="F253" s="327">
        <v>0</v>
      </c>
      <c r="H253" s="101">
        <f t="shared" si="50"/>
        <v>3550.8</v>
      </c>
      <c r="I253" s="101">
        <f t="shared" si="46"/>
        <v>355.08000000000004</v>
      </c>
      <c r="J253" s="101">
        <f t="shared" si="51"/>
        <v>0</v>
      </c>
      <c r="L253" s="101"/>
      <c r="M253" s="101">
        <f t="shared" si="52"/>
        <v>100.06864560000001</v>
      </c>
      <c r="N253" s="101">
        <f t="shared" si="53"/>
        <v>193.34106000000003</v>
      </c>
      <c r="O253" s="101">
        <f t="shared" si="54"/>
        <v>110.145816</v>
      </c>
      <c r="P253" s="101">
        <f t="shared" si="55"/>
        <v>0</v>
      </c>
      <c r="Q253" s="101"/>
      <c r="R253" s="101">
        <f t="shared" si="56"/>
        <v>952.16000000000008</v>
      </c>
      <c r="T253" s="102">
        <f t="shared" si="57"/>
        <v>5261.5955216000002</v>
      </c>
      <c r="U253" s="102"/>
      <c r="V253" s="103">
        <v>59.79</v>
      </c>
      <c r="W253" s="103">
        <v>89.69</v>
      </c>
      <c r="X253" s="103">
        <v>119.58</v>
      </c>
      <c r="Y253" s="330">
        <f t="shared" si="44"/>
        <v>85</v>
      </c>
      <c r="Z253" s="107">
        <f t="shared" si="45"/>
        <v>595</v>
      </c>
      <c r="AA253" s="108">
        <f t="shared" si="47"/>
        <v>5261.68</v>
      </c>
      <c r="AB253" s="329">
        <f t="shared" si="48"/>
        <v>5856.68</v>
      </c>
    </row>
    <row r="254" spans="1:28" customFormat="1">
      <c r="A254" s="333" t="s">
        <v>209</v>
      </c>
      <c r="B254" s="329"/>
      <c r="C254" s="281" t="s">
        <v>132</v>
      </c>
      <c r="D254" s="331">
        <v>37.83</v>
      </c>
      <c r="E254" s="327">
        <f>1*N$5+1.5*R$5+2*R$6</f>
        <v>88</v>
      </c>
      <c r="F254" s="327">
        <v>0</v>
      </c>
      <c r="H254" s="101">
        <f>E254*D254</f>
        <v>3329.04</v>
      </c>
      <c r="I254" s="101">
        <f>(H254)*I$13</f>
        <v>332.904</v>
      </c>
      <c r="J254" s="101">
        <f>D254*F254*1.1</f>
        <v>0</v>
      </c>
      <c r="L254" s="101"/>
      <c r="M254" s="101">
        <f>(H254+I254)*M$13</f>
        <v>93.819005279999999</v>
      </c>
      <c r="N254" s="101">
        <f>(H254+I254)*N$13</f>
        <v>181.26622800000001</v>
      </c>
      <c r="O254" s="101">
        <f>(H254+I254)*O$13</f>
        <v>103.26682079999999</v>
      </c>
      <c r="P254" s="101">
        <f>J254*O$16</f>
        <v>0</v>
      </c>
      <c r="Q254" s="101">
        <f>$R$7*$Q$16</f>
        <v>10.799999999999999</v>
      </c>
      <c r="R254" s="101">
        <f>($E254+F254)*R$16</f>
        <v>952.16000000000008</v>
      </c>
      <c r="T254" s="102">
        <f>SUM(H254:R254)</f>
        <v>5003.2560540800005</v>
      </c>
      <c r="U254" s="102"/>
      <c r="V254" s="103">
        <v>56.88</v>
      </c>
      <c r="W254" s="103">
        <v>85.25</v>
      </c>
      <c r="X254" s="103">
        <v>113.61</v>
      </c>
      <c r="Y254" s="330">
        <f t="shared" si="44"/>
        <v>85</v>
      </c>
      <c r="Z254" s="107">
        <f t="shared" si="45"/>
        <v>595</v>
      </c>
      <c r="AA254" s="108">
        <f>V254*N$5+W254*R$5+X254*R$6</f>
        <v>5003.2000000000007</v>
      </c>
      <c r="AB254" s="329">
        <f t="shared" si="48"/>
        <v>5598.2000000000007</v>
      </c>
    </row>
    <row r="255" spans="1:28" customFormat="1">
      <c r="A255" s="333"/>
      <c r="B255" s="329"/>
      <c r="C255" s="281"/>
      <c r="D255" s="331"/>
      <c r="E255" s="327"/>
      <c r="F255" s="327"/>
      <c r="H255" s="101"/>
      <c r="I255" s="101"/>
      <c r="J255" s="101"/>
      <c r="L255" s="101"/>
      <c r="M255" s="101"/>
      <c r="N255" s="101"/>
      <c r="O255" s="101"/>
      <c r="P255" s="101"/>
      <c r="Q255" s="101"/>
      <c r="R255" s="101"/>
      <c r="T255" s="102"/>
      <c r="U255" s="102"/>
      <c r="V255" s="103"/>
      <c r="W255" s="103"/>
      <c r="X255" s="103"/>
      <c r="Y255" s="330"/>
      <c r="Z255" s="107"/>
      <c r="AA255" s="108"/>
      <c r="AB255" s="329"/>
    </row>
    <row r="256" spans="1:28" customFormat="1">
      <c r="A256" s="333"/>
      <c r="B256" s="329"/>
      <c r="C256" s="281"/>
      <c r="D256" s="331"/>
      <c r="E256" s="327"/>
      <c r="F256" s="327"/>
      <c r="H256" s="101"/>
      <c r="I256" s="101"/>
      <c r="J256" s="101"/>
      <c r="L256" s="101"/>
      <c r="M256" s="101"/>
      <c r="N256" s="101"/>
      <c r="O256" s="101"/>
      <c r="P256" s="101"/>
      <c r="Q256" s="101"/>
      <c r="R256" s="101"/>
      <c r="T256" s="102"/>
      <c r="U256" s="102"/>
      <c r="V256" s="103"/>
      <c r="W256" s="103"/>
      <c r="X256" s="103"/>
      <c r="Y256" s="330"/>
      <c r="Z256" s="107"/>
      <c r="AA256" s="108"/>
      <c r="AB256" s="329"/>
    </row>
    <row r="257" spans="1:28" customFormat="1" ht="16" thickBot="1">
      <c r="A257" s="116"/>
      <c r="B257" s="81"/>
      <c r="C257" s="347"/>
      <c r="D257" s="117"/>
      <c r="E257" s="347"/>
      <c r="F257" s="347"/>
      <c r="G257" s="347"/>
      <c r="H257" s="117"/>
      <c r="I257" s="117"/>
      <c r="J257" s="117"/>
      <c r="K257" s="347"/>
      <c r="L257" s="117"/>
      <c r="M257" s="117"/>
      <c r="N257" s="117"/>
      <c r="O257" s="117"/>
      <c r="P257" s="117"/>
      <c r="Q257" s="117"/>
      <c r="R257" s="117"/>
      <c r="S257" s="347"/>
      <c r="T257" s="118"/>
      <c r="U257" s="118"/>
      <c r="V257" s="118"/>
      <c r="W257" s="118"/>
      <c r="X257" s="118"/>
      <c r="Y257" s="348"/>
      <c r="Z257" s="119"/>
      <c r="AA257" s="120"/>
      <c r="AB257" s="329"/>
    </row>
    <row r="258" spans="1:28" customFormat="1">
      <c r="A258" s="121"/>
      <c r="B258" s="90"/>
      <c r="C258" s="327"/>
      <c r="D258" s="58"/>
      <c r="E258" s="327"/>
      <c r="F258" s="327"/>
      <c r="G258" s="327"/>
      <c r="H258" s="58"/>
      <c r="I258" s="58"/>
      <c r="J258" s="58"/>
      <c r="K258" s="327"/>
      <c r="L258" s="58"/>
      <c r="M258" s="58"/>
      <c r="N258" s="58"/>
      <c r="O258" s="58"/>
      <c r="P258" s="58"/>
      <c r="Q258" s="58"/>
      <c r="R258" s="58"/>
      <c r="S258" s="327"/>
      <c r="T258" s="58"/>
      <c r="U258" s="65"/>
      <c r="V258" s="58"/>
      <c r="W258" s="58"/>
      <c r="X258" s="58"/>
      <c r="Y258" s="349"/>
      <c r="Z258" s="122"/>
      <c r="AA258" s="120"/>
      <c r="AB258" s="329"/>
    </row>
    <row r="259" spans="1:28" customFormat="1">
      <c r="A259" s="299"/>
      <c r="C259" s="350" t="s">
        <v>210</v>
      </c>
      <c r="F259" s="327"/>
      <c r="H259" s="101"/>
      <c r="I259" s="101"/>
      <c r="J259" s="111"/>
      <c r="L259" s="101"/>
      <c r="M259" s="101"/>
      <c r="N259" s="101"/>
      <c r="O259" s="101"/>
      <c r="P259" s="101"/>
      <c r="Q259" s="101"/>
      <c r="R259" s="101"/>
      <c r="T259" s="101"/>
      <c r="U259" s="101"/>
      <c r="V259" s="101"/>
      <c r="W259" s="101"/>
      <c r="X259" s="101"/>
      <c r="Y259" s="329"/>
      <c r="Z259" s="123"/>
      <c r="AA259" s="108"/>
      <c r="AB259" s="329"/>
    </row>
    <row r="260" spans="1:28" customFormat="1">
      <c r="A260" s="299"/>
      <c r="C260" s="351" t="s">
        <v>211</v>
      </c>
      <c r="F260" s="327"/>
      <c r="H260" s="101"/>
      <c r="I260" s="101"/>
      <c r="J260" s="111"/>
      <c r="L260" s="101"/>
      <c r="M260" s="101"/>
      <c r="N260" s="101"/>
      <c r="O260" s="101"/>
      <c r="P260" s="101"/>
      <c r="Q260" s="101"/>
      <c r="R260" s="101"/>
      <c r="T260" s="101"/>
      <c r="U260" s="101"/>
      <c r="V260" s="101"/>
      <c r="W260" s="101"/>
      <c r="X260" s="101"/>
      <c r="Y260" s="329"/>
      <c r="Z260" s="123"/>
      <c r="AA260" s="108"/>
      <c r="AB260" s="329"/>
    </row>
    <row r="261" spans="1:28" customFormat="1">
      <c r="A261" s="299"/>
      <c r="C261" s="283" t="s">
        <v>212</v>
      </c>
      <c r="F261" s="327"/>
      <c r="H261" s="101"/>
      <c r="I261" s="101"/>
      <c r="J261" s="111"/>
      <c r="L261" s="101"/>
      <c r="M261" s="101"/>
      <c r="N261" s="101"/>
      <c r="O261" s="101"/>
      <c r="P261" s="101"/>
      <c r="Q261" s="101"/>
      <c r="R261" s="101"/>
      <c r="T261" s="101"/>
      <c r="U261" s="101"/>
      <c r="V261" s="101"/>
      <c r="W261" s="101"/>
      <c r="X261" s="101"/>
      <c r="Y261" s="329"/>
      <c r="Z261" s="123"/>
      <c r="AA261" s="108"/>
      <c r="AB261" s="329"/>
    </row>
    <row r="262" spans="1:28" customFormat="1">
      <c r="A262" s="299"/>
      <c r="C262" s="285" t="s">
        <v>213</v>
      </c>
      <c r="D262" s="62" t="s">
        <v>214</v>
      </c>
      <c r="F262" s="327"/>
      <c r="H262" s="101"/>
      <c r="I262" s="101"/>
      <c r="J262" s="111"/>
      <c r="L262" s="101"/>
      <c r="M262" s="101"/>
      <c r="N262" s="101"/>
      <c r="O262" s="101"/>
      <c r="P262" s="101"/>
      <c r="Q262" s="101"/>
      <c r="R262" s="101"/>
      <c r="T262" s="101"/>
      <c r="U262" s="101"/>
      <c r="V262" s="101"/>
      <c r="W262" s="101"/>
      <c r="X262" s="101"/>
      <c r="Y262" s="329"/>
      <c r="Z262" s="123"/>
      <c r="AA262" s="108"/>
      <c r="AB262" s="329"/>
    </row>
    <row r="263" spans="1:28" customFormat="1">
      <c r="A263" s="299"/>
      <c r="C263" s="285"/>
      <c r="D263" s="283" t="s">
        <v>215</v>
      </c>
      <c r="F263" s="327"/>
      <c r="H263" s="101"/>
      <c r="I263" s="101"/>
      <c r="J263" s="111"/>
      <c r="L263" s="101"/>
      <c r="M263" s="101"/>
      <c r="N263" s="101"/>
      <c r="O263" s="101"/>
      <c r="P263" s="101"/>
      <c r="Q263" s="101"/>
      <c r="R263" s="101"/>
      <c r="T263" s="101"/>
      <c r="U263" s="101"/>
      <c r="V263" s="101"/>
      <c r="W263" s="101"/>
      <c r="X263" s="101"/>
      <c r="Y263" s="329"/>
      <c r="Z263" s="123"/>
      <c r="AA263" s="108"/>
      <c r="AB263" s="329"/>
    </row>
    <row r="264" spans="1:28" customFormat="1">
      <c r="A264" s="299"/>
      <c r="C264" s="285" t="s">
        <v>216</v>
      </c>
      <c r="D264" s="62" t="s">
        <v>217</v>
      </c>
      <c r="F264" s="327"/>
      <c r="H264" s="101"/>
      <c r="I264" s="101"/>
      <c r="J264" s="111"/>
      <c r="L264" s="101"/>
      <c r="M264" s="101"/>
      <c r="N264" s="101"/>
      <c r="O264" s="101"/>
      <c r="P264" s="101"/>
      <c r="Q264" s="101"/>
      <c r="R264" s="101"/>
      <c r="T264" s="101"/>
      <c r="U264" s="101"/>
      <c r="V264" s="101"/>
      <c r="W264" s="101"/>
      <c r="X264" s="101"/>
      <c r="Y264" s="329"/>
      <c r="Z264" s="123"/>
      <c r="AA264" s="108"/>
      <c r="AB264" s="329"/>
    </row>
    <row r="265" spans="1:28" customFormat="1">
      <c r="A265" s="299"/>
      <c r="C265" s="285"/>
      <c r="D265" s="283" t="s">
        <v>218</v>
      </c>
      <c r="F265" s="327"/>
      <c r="H265" s="101"/>
      <c r="I265" s="101"/>
      <c r="J265" s="111"/>
      <c r="L265" s="101"/>
      <c r="M265" s="101"/>
      <c r="N265" s="101"/>
      <c r="O265" s="101"/>
      <c r="P265" s="101"/>
      <c r="Q265" s="101"/>
      <c r="R265" s="101"/>
      <c r="T265" s="101"/>
      <c r="U265" s="101"/>
      <c r="V265" s="101"/>
      <c r="W265" s="101"/>
      <c r="X265" s="101"/>
      <c r="Y265" s="329"/>
      <c r="Z265" s="123"/>
      <c r="AA265" s="108"/>
      <c r="AB265" s="329"/>
    </row>
    <row r="266" spans="1:28" customFormat="1">
      <c r="A266" s="299"/>
      <c r="C266" s="285"/>
      <c r="D266" s="62" t="s">
        <v>219</v>
      </c>
      <c r="F266" s="327"/>
      <c r="H266" s="101"/>
      <c r="I266" s="101"/>
      <c r="J266" s="111"/>
      <c r="L266" s="101"/>
      <c r="M266" s="101"/>
      <c r="N266" s="101"/>
      <c r="O266" s="101"/>
      <c r="P266" s="101"/>
      <c r="Q266" s="101"/>
      <c r="R266" s="101"/>
      <c r="T266" s="101"/>
      <c r="U266" s="101"/>
      <c r="V266" s="101"/>
      <c r="W266" s="101"/>
      <c r="X266" s="101"/>
      <c r="Y266" s="329"/>
      <c r="Z266" s="123"/>
      <c r="AA266" s="108"/>
      <c r="AB266" s="329"/>
    </row>
    <row r="267" spans="1:28" customFormat="1">
      <c r="A267" s="299"/>
      <c r="C267" s="285" t="s">
        <v>220</v>
      </c>
      <c r="D267" s="62" t="s">
        <v>221</v>
      </c>
      <c r="F267" s="327"/>
      <c r="H267" s="101"/>
      <c r="I267" s="101"/>
      <c r="J267" s="111"/>
      <c r="L267" s="101"/>
      <c r="M267" s="101"/>
      <c r="N267" s="101"/>
      <c r="O267" s="101"/>
      <c r="P267" s="101"/>
      <c r="Q267" s="101"/>
      <c r="R267" s="101"/>
      <c r="T267" s="101"/>
      <c r="U267" s="101"/>
      <c r="V267" s="101"/>
      <c r="W267" s="101"/>
      <c r="X267" s="101"/>
      <c r="Y267" s="329"/>
      <c r="Z267" s="123"/>
      <c r="AA267" s="108"/>
      <c r="AB267" s="329"/>
    </row>
    <row r="268" spans="1:28" customFormat="1">
      <c r="A268" s="299"/>
      <c r="C268" s="285"/>
      <c r="D268" s="283" t="s">
        <v>222</v>
      </c>
      <c r="F268" s="327"/>
      <c r="H268" s="101"/>
      <c r="I268" s="101"/>
      <c r="J268" s="111"/>
      <c r="L268" s="101"/>
      <c r="M268" s="101"/>
      <c r="N268" s="101"/>
      <c r="O268" s="101"/>
      <c r="P268" s="101"/>
      <c r="Q268" s="101"/>
      <c r="R268" s="101"/>
      <c r="T268" s="101"/>
      <c r="U268" s="101"/>
      <c r="V268" s="101"/>
      <c r="W268" s="101"/>
      <c r="X268" s="101"/>
      <c r="Y268" s="329"/>
      <c r="Z268" s="123"/>
      <c r="AA268" s="108"/>
      <c r="AB268" s="329"/>
    </row>
    <row r="269" spans="1:28" customFormat="1">
      <c r="A269" s="299"/>
      <c r="C269" s="285" t="s">
        <v>223</v>
      </c>
      <c r="D269" s="62" t="s">
        <v>224</v>
      </c>
      <c r="F269" s="327"/>
      <c r="H269" s="101"/>
      <c r="I269" s="101"/>
      <c r="J269" s="111"/>
      <c r="L269" s="101"/>
      <c r="M269" s="101"/>
      <c r="N269" s="101"/>
      <c r="O269" s="101"/>
      <c r="P269" s="101"/>
      <c r="Q269" s="101"/>
      <c r="R269" s="101"/>
      <c r="T269" s="101"/>
      <c r="U269" s="101"/>
      <c r="V269" s="101"/>
      <c r="W269" s="101"/>
      <c r="X269" s="101"/>
      <c r="Y269" s="329"/>
      <c r="Z269" s="123"/>
      <c r="AA269" s="108"/>
      <c r="AB269" s="329"/>
    </row>
    <row r="270" spans="1:28" customFormat="1">
      <c r="A270" s="299"/>
      <c r="C270" s="285"/>
      <c r="D270" s="352" t="s">
        <v>225</v>
      </c>
      <c r="F270" s="327"/>
      <c r="H270" s="101"/>
      <c r="I270" s="101"/>
      <c r="J270" s="111"/>
      <c r="L270" s="101"/>
      <c r="M270" s="101"/>
      <c r="N270" s="101"/>
      <c r="O270" s="101"/>
      <c r="P270" s="101"/>
      <c r="Q270" s="101"/>
      <c r="R270" s="101"/>
      <c r="T270" s="101"/>
      <c r="U270" s="101"/>
      <c r="V270" s="101"/>
      <c r="W270" s="101"/>
      <c r="X270" s="101"/>
      <c r="Y270" s="329"/>
      <c r="Z270" s="123"/>
      <c r="AA270" s="108"/>
      <c r="AB270" s="329"/>
    </row>
    <row r="271" spans="1:28" customFormat="1">
      <c r="A271" s="299"/>
      <c r="C271" s="285"/>
      <c r="D271" s="283" t="s">
        <v>226</v>
      </c>
      <c r="F271" s="327"/>
      <c r="H271" s="101"/>
      <c r="I271" s="101"/>
      <c r="J271" s="111"/>
      <c r="L271" s="101"/>
      <c r="M271" s="101"/>
      <c r="N271" s="101"/>
      <c r="O271" s="101"/>
      <c r="P271" s="101"/>
      <c r="Q271" s="101"/>
      <c r="R271" s="101"/>
      <c r="T271" s="101"/>
      <c r="U271" s="101"/>
      <c r="V271" s="101"/>
      <c r="W271" s="101"/>
      <c r="X271" s="101"/>
      <c r="Y271" s="329"/>
      <c r="Z271" s="123"/>
      <c r="AA271" s="108"/>
      <c r="AB271" s="329"/>
    </row>
    <row r="272" spans="1:28" customFormat="1">
      <c r="A272" s="299"/>
      <c r="C272" s="285" t="s">
        <v>227</v>
      </c>
      <c r="D272" s="62" t="s">
        <v>228</v>
      </c>
      <c r="F272" s="327"/>
      <c r="H272" s="101"/>
      <c r="I272" s="101"/>
      <c r="J272" s="111"/>
      <c r="L272" s="101"/>
      <c r="M272" s="101"/>
      <c r="N272" s="101"/>
      <c r="O272" s="101"/>
      <c r="P272" s="101"/>
      <c r="Q272" s="101"/>
      <c r="R272" s="101"/>
      <c r="T272" s="101"/>
      <c r="U272" s="101"/>
      <c r="V272" s="101"/>
      <c r="W272" s="101"/>
      <c r="X272" s="101"/>
      <c r="Y272" s="329"/>
      <c r="Z272" s="123"/>
      <c r="AA272" s="108"/>
      <c r="AB272" s="329"/>
    </row>
    <row r="273" spans="1:28" customFormat="1">
      <c r="A273" s="299"/>
      <c r="C273" s="285"/>
      <c r="D273" s="283" t="s">
        <v>229</v>
      </c>
      <c r="F273" s="327"/>
      <c r="H273" s="101"/>
      <c r="I273" s="101"/>
      <c r="J273" s="111"/>
      <c r="L273" s="101"/>
      <c r="M273" s="101"/>
      <c r="N273" s="101"/>
      <c r="O273" s="101"/>
      <c r="P273" s="101"/>
      <c r="Q273" s="101"/>
      <c r="R273" s="101"/>
      <c r="T273" s="101"/>
      <c r="U273" s="101"/>
      <c r="V273" s="101"/>
      <c r="W273" s="101"/>
      <c r="X273" s="101"/>
      <c r="Y273" s="329"/>
      <c r="Z273" s="123"/>
      <c r="AA273" s="108"/>
      <c r="AB273" s="329"/>
    </row>
    <row r="274" spans="1:28" customFormat="1">
      <c r="A274" s="299"/>
      <c r="C274" s="285" t="s">
        <v>230</v>
      </c>
      <c r="D274" s="62" t="s">
        <v>231</v>
      </c>
      <c r="F274" s="327"/>
      <c r="H274" s="101"/>
      <c r="I274" s="101"/>
      <c r="J274" s="111"/>
      <c r="L274" s="101"/>
      <c r="M274" s="101"/>
      <c r="N274" s="101"/>
      <c r="O274" s="101"/>
      <c r="P274" s="101"/>
      <c r="Q274" s="101"/>
      <c r="R274" s="101"/>
      <c r="T274" s="101"/>
      <c r="U274" s="101"/>
      <c r="V274" s="101"/>
      <c r="W274" s="101"/>
      <c r="X274" s="101"/>
      <c r="Y274" s="329"/>
      <c r="Z274" s="123"/>
      <c r="AA274" s="108"/>
      <c r="AB274" s="329"/>
    </row>
    <row r="275" spans="1:28" customFormat="1">
      <c r="A275" s="299"/>
      <c r="C275" s="285" t="s">
        <v>232</v>
      </c>
      <c r="D275" s="62" t="s">
        <v>233</v>
      </c>
      <c r="F275" s="327"/>
      <c r="H275" s="101"/>
      <c r="I275" s="101"/>
      <c r="J275" s="111"/>
      <c r="L275" s="101"/>
      <c r="M275" s="101"/>
      <c r="N275" s="101"/>
      <c r="O275" s="101"/>
      <c r="P275" s="101"/>
      <c r="Q275" s="101"/>
      <c r="R275" s="101"/>
      <c r="T275" s="101"/>
      <c r="U275" s="101"/>
      <c r="V275" s="101"/>
      <c r="W275" s="101"/>
      <c r="X275" s="101"/>
      <c r="Y275" s="329"/>
      <c r="Z275" s="123"/>
      <c r="AA275" s="108"/>
      <c r="AB275" s="329"/>
    </row>
    <row r="276" spans="1:28" customFormat="1">
      <c r="A276" s="299"/>
      <c r="C276" s="285" t="s">
        <v>234</v>
      </c>
      <c r="D276" s="62" t="s">
        <v>235</v>
      </c>
      <c r="F276" s="327"/>
      <c r="H276" s="101"/>
      <c r="I276" s="101"/>
      <c r="J276" s="111"/>
      <c r="L276" s="101"/>
      <c r="M276" s="101"/>
      <c r="N276" s="101"/>
      <c r="O276" s="101"/>
      <c r="P276" s="101"/>
      <c r="Q276" s="101"/>
      <c r="R276" s="101"/>
      <c r="T276" s="101"/>
      <c r="U276" s="101"/>
      <c r="V276" s="101"/>
      <c r="W276" s="101"/>
      <c r="X276" s="101"/>
      <c r="Y276" s="329"/>
      <c r="Z276" s="123"/>
      <c r="AA276" s="108"/>
      <c r="AB276" s="329"/>
    </row>
    <row r="277" spans="1:28" customFormat="1">
      <c r="A277" s="299"/>
      <c r="C277" s="285" t="s">
        <v>236</v>
      </c>
      <c r="D277" s="62" t="s">
        <v>237</v>
      </c>
      <c r="F277" s="327"/>
      <c r="H277" s="101"/>
      <c r="I277" s="101"/>
      <c r="J277" s="111"/>
      <c r="L277" s="101"/>
      <c r="M277" s="101"/>
      <c r="N277" s="101"/>
      <c r="O277" s="101"/>
      <c r="P277" s="101"/>
      <c r="Q277" s="101"/>
      <c r="R277" s="101"/>
      <c r="T277" s="101"/>
      <c r="U277" s="101"/>
      <c r="V277" s="101"/>
      <c r="W277" s="101"/>
      <c r="X277" s="101"/>
      <c r="Y277" s="329"/>
      <c r="Z277" s="123"/>
      <c r="AA277" s="108"/>
      <c r="AB277" s="329"/>
    </row>
    <row r="278" spans="1:28" customFormat="1">
      <c r="A278" s="299"/>
      <c r="C278" s="285"/>
      <c r="D278" s="62" t="s">
        <v>238</v>
      </c>
      <c r="F278" s="327"/>
      <c r="H278" s="101"/>
      <c r="I278" s="101"/>
      <c r="J278" s="111"/>
      <c r="L278" s="101"/>
      <c r="M278" s="101"/>
      <c r="N278" s="101"/>
      <c r="O278" s="101"/>
      <c r="P278" s="101"/>
      <c r="Q278" s="101"/>
      <c r="R278" s="101"/>
      <c r="T278" s="101"/>
      <c r="U278" s="101"/>
      <c r="V278" s="101"/>
      <c r="W278" s="101"/>
      <c r="X278" s="101"/>
      <c r="Y278" s="329"/>
      <c r="Z278" s="123"/>
      <c r="AA278" s="108"/>
      <c r="AB278" s="329"/>
    </row>
    <row r="279" spans="1:28" customFormat="1">
      <c r="A279" s="299"/>
      <c r="C279" s="285" t="s">
        <v>239</v>
      </c>
      <c r="D279" s="62" t="s">
        <v>240</v>
      </c>
      <c r="F279" s="327"/>
      <c r="H279" s="101"/>
      <c r="I279" s="101"/>
      <c r="J279" s="111"/>
      <c r="L279" s="101"/>
      <c r="M279" s="101"/>
      <c r="N279" s="101"/>
      <c r="O279" s="101"/>
      <c r="P279" s="101"/>
      <c r="Q279" s="101"/>
      <c r="R279" s="101"/>
      <c r="T279" s="101"/>
      <c r="U279" s="101"/>
      <c r="V279" s="101"/>
      <c r="W279" s="101"/>
      <c r="X279" s="101"/>
      <c r="Y279" s="329"/>
      <c r="Z279" s="123"/>
      <c r="AA279" s="108"/>
      <c r="AB279" s="329"/>
    </row>
    <row r="280" spans="1:28" customFormat="1">
      <c r="A280" s="299"/>
      <c r="C280" s="285" t="s">
        <v>241</v>
      </c>
      <c r="D280" s="124" t="s">
        <v>242</v>
      </c>
      <c r="F280" s="327"/>
      <c r="H280" s="101"/>
      <c r="I280" s="101"/>
      <c r="J280" s="111"/>
      <c r="L280" s="101"/>
      <c r="M280" s="101"/>
      <c r="N280" s="101"/>
      <c r="O280" s="101"/>
      <c r="P280" s="101"/>
      <c r="Q280" s="101"/>
      <c r="R280" s="101"/>
      <c r="T280" s="101"/>
      <c r="U280" s="101"/>
      <c r="V280" s="101"/>
      <c r="W280" s="101"/>
      <c r="X280" s="101"/>
      <c r="Y280" s="329"/>
      <c r="Z280" s="123"/>
      <c r="AA280" s="108"/>
      <c r="AB280" s="329"/>
    </row>
    <row r="281" spans="1:28" customFormat="1">
      <c r="A281" s="299"/>
      <c r="C281" s="285" t="s">
        <v>243</v>
      </c>
      <c r="D281" s="124" t="s">
        <v>244</v>
      </c>
      <c r="F281" s="327"/>
      <c r="H281" s="101"/>
      <c r="I281" s="101"/>
      <c r="J281" s="111"/>
      <c r="L281" s="101"/>
      <c r="M281" s="101"/>
      <c r="N281" s="101"/>
      <c r="O281" s="101"/>
      <c r="P281" s="101"/>
      <c r="Q281" s="101"/>
      <c r="R281" s="101"/>
      <c r="T281" s="101"/>
      <c r="U281" s="101"/>
      <c r="V281" s="101"/>
      <c r="W281" s="101"/>
      <c r="X281" s="101"/>
      <c r="Y281" s="329"/>
      <c r="Z281" s="123"/>
      <c r="AA281" s="108"/>
      <c r="AB281" s="329"/>
    </row>
    <row r="282" spans="1:28" customFormat="1">
      <c r="A282" s="299"/>
      <c r="C282" s="285" t="s">
        <v>245</v>
      </c>
      <c r="D282" s="62" t="s">
        <v>246</v>
      </c>
      <c r="F282" s="327"/>
      <c r="H282" s="101"/>
      <c r="I282" s="101"/>
      <c r="J282" s="111"/>
      <c r="L282" s="101"/>
      <c r="M282" s="101"/>
      <c r="N282" s="101"/>
      <c r="O282" s="101"/>
      <c r="P282" s="101"/>
      <c r="Q282" s="101"/>
      <c r="R282" s="101"/>
      <c r="T282" s="101"/>
      <c r="U282" s="101"/>
      <c r="V282" s="101"/>
      <c r="W282" s="101"/>
      <c r="X282" s="101"/>
      <c r="Y282" s="329"/>
      <c r="Z282" s="123"/>
      <c r="AA282" s="108"/>
      <c r="AB282" s="329"/>
    </row>
    <row r="283" spans="1:28" customFormat="1">
      <c r="A283" s="299"/>
      <c r="C283" s="35"/>
      <c r="D283" s="101"/>
      <c r="F283" s="327"/>
      <c r="H283" s="101"/>
      <c r="I283" s="101"/>
      <c r="J283" s="111"/>
      <c r="L283" s="101"/>
      <c r="M283" s="101"/>
      <c r="N283" s="101"/>
      <c r="O283" s="101"/>
      <c r="P283" s="101"/>
      <c r="Q283" s="101"/>
      <c r="R283" s="101"/>
      <c r="T283" s="101"/>
      <c r="U283" s="101"/>
      <c r="V283" s="101"/>
      <c r="W283" s="101"/>
      <c r="X283" s="101"/>
      <c r="Y283" s="329"/>
      <c r="Z283" s="123"/>
      <c r="AA283" s="108"/>
      <c r="AB283" s="329"/>
    </row>
    <row r="284" spans="1:28" customFormat="1">
      <c r="A284" s="299"/>
      <c r="C284" s="35"/>
      <c r="D284" s="125"/>
      <c r="F284" s="327"/>
      <c r="H284" s="101"/>
      <c r="I284" s="101"/>
      <c r="J284" s="111"/>
      <c r="L284" s="101"/>
      <c r="M284" s="101"/>
      <c r="N284" s="101"/>
      <c r="O284" s="101"/>
      <c r="P284" s="101"/>
      <c r="Q284" s="101"/>
      <c r="R284" s="101"/>
      <c r="T284" s="101"/>
      <c r="U284" s="101"/>
      <c r="V284" s="101"/>
      <c r="W284" s="101"/>
      <c r="X284" s="101"/>
      <c r="Y284" s="329"/>
      <c r="Z284" s="123"/>
      <c r="AA284" s="108"/>
      <c r="AB284" s="329"/>
    </row>
    <row r="285" spans="1:28" customFormat="1">
      <c r="A285" s="299"/>
      <c r="C285" s="35"/>
      <c r="D285" s="125"/>
      <c r="F285" s="327"/>
      <c r="H285" s="101"/>
      <c r="I285" s="101"/>
      <c r="J285" s="111"/>
      <c r="L285" s="101"/>
      <c r="M285" s="101"/>
      <c r="N285" s="101"/>
      <c r="O285" s="101"/>
      <c r="P285" s="101"/>
      <c r="Q285" s="101"/>
      <c r="R285" s="101"/>
      <c r="T285" s="101"/>
      <c r="U285" s="101"/>
      <c r="V285" s="101"/>
      <c r="W285" s="101"/>
      <c r="X285" s="101"/>
      <c r="Y285" s="329"/>
      <c r="Z285" s="123"/>
      <c r="AA285" s="108"/>
      <c r="AB285" s="329"/>
    </row>
    <row r="286" spans="1:28" customFormat="1">
      <c r="A286" s="299"/>
      <c r="D286" s="281"/>
      <c r="E286" s="327"/>
      <c r="F286" s="327"/>
      <c r="H286" s="101"/>
      <c r="I286" s="101"/>
      <c r="J286" s="111"/>
      <c r="L286" s="101"/>
      <c r="M286" s="101"/>
      <c r="N286" s="101"/>
      <c r="O286" s="101"/>
      <c r="P286" s="101"/>
      <c r="Q286" s="101"/>
      <c r="R286" s="101"/>
      <c r="T286" s="101"/>
      <c r="U286" s="101"/>
      <c r="V286" s="101"/>
      <c r="W286" s="101"/>
      <c r="X286" s="101"/>
      <c r="Y286" s="329"/>
      <c r="Z286" s="123"/>
      <c r="AA286" s="108"/>
      <c r="AB286" s="329"/>
    </row>
    <row r="287" spans="1:28" customFormat="1">
      <c r="A287" s="299"/>
      <c r="C287" s="281"/>
      <c r="D287" s="58"/>
      <c r="E287" s="327"/>
      <c r="F287" s="327"/>
      <c r="H287" s="101"/>
      <c r="I287" s="101"/>
      <c r="J287" s="111"/>
      <c r="L287" s="101"/>
      <c r="M287" s="101"/>
      <c r="N287" s="101"/>
      <c r="O287" s="101"/>
      <c r="P287" s="101"/>
      <c r="Q287" s="101"/>
      <c r="R287" s="101"/>
      <c r="T287" s="101"/>
      <c r="U287" s="101"/>
      <c r="V287" s="101"/>
      <c r="W287" s="101"/>
      <c r="X287" s="101"/>
      <c r="Y287" s="329"/>
      <c r="Z287" s="123"/>
      <c r="AA287" s="108"/>
      <c r="AB287" s="329"/>
    </row>
    <row r="288" spans="1:28" customFormat="1" ht="16" thickBot="1">
      <c r="A288" s="353"/>
      <c r="B288" s="216"/>
      <c r="C288" s="309"/>
      <c r="D288" s="117"/>
      <c r="E288" s="347"/>
      <c r="F288" s="216"/>
      <c r="G288" s="216"/>
      <c r="H288" s="216"/>
      <c r="I288" s="216"/>
      <c r="J288" s="216"/>
      <c r="L288" s="216"/>
      <c r="M288" s="216"/>
      <c r="N288" s="126"/>
      <c r="O288" s="126"/>
      <c r="P288" s="126"/>
      <c r="Q288" s="126"/>
      <c r="R288" s="126"/>
      <c r="S288" s="216"/>
      <c r="T288" s="126"/>
      <c r="U288" s="126"/>
      <c r="V288" s="126"/>
      <c r="W288" s="126"/>
      <c r="X288" s="126"/>
      <c r="Y288" s="309"/>
      <c r="Z288" s="354"/>
      <c r="AA288" s="281"/>
    </row>
  </sheetData>
  <sheetProtection selectLockedCells="1"/>
  <mergeCells count="4">
    <mergeCell ref="A1:Z1"/>
    <mergeCell ref="A2:Z2"/>
    <mergeCell ref="A3:Z3"/>
    <mergeCell ref="A4:Z4"/>
  </mergeCells>
  <printOptions horizontalCentered="1"/>
  <pageMargins left="0.31496062992125984" right="0.47244094488188981" top="0.55118110236220474" bottom="0.43307086614173229" header="0.51181102362204722" footer="0.15748031496062992"/>
  <pageSetup orientation="portrait" horizontalDpi="4294967292" verticalDpi="4294967292"/>
  <headerFooter>
    <oddFooter>Page &amp;P of &amp;N</oddFooter>
  </headerFooter>
  <extLst>
    <ext xmlns:mx="http://schemas.microsoft.com/office/mac/excel/2008/main" uri="{64002731-A6B0-56B0-2670-7721B7C09600}">
      <mx:PLV Mode="0" OnePage="0" WScale="0"/>
    </ext>
  </extLs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K323"/>
  <sheetViews>
    <sheetView topLeftCell="A296" workbookViewId="0">
      <selection activeCell="H333" sqref="H333"/>
    </sheetView>
  </sheetViews>
  <sheetFormatPr baseColWidth="10" defaultColWidth="14.33203125" defaultRowHeight="15"/>
  <cols>
    <col min="1" max="1" width="4.5" style="57" customWidth="1"/>
    <col min="2" max="2" width="43.83203125" style="56" customWidth="1"/>
    <col min="3" max="3" width="34.83203125" style="56" customWidth="1"/>
    <col min="4" max="4" width="14.33203125" style="111" customWidth="1"/>
    <col min="5" max="5" width="14.33203125" style="57" customWidth="1"/>
    <col min="6" max="6" width="14.33203125" style="111" customWidth="1"/>
    <col min="7" max="7" width="15.1640625" style="111" customWidth="1"/>
    <col min="8" max="9" width="14.33203125" style="111" customWidth="1"/>
    <col min="10" max="10" width="14.1640625" style="111" hidden="1" customWidth="1"/>
    <col min="11" max="11" width="14.33203125" style="111" customWidth="1"/>
    <col min="12" max="16384" width="14.33203125" style="56"/>
  </cols>
  <sheetData>
    <row r="1" spans="1:11" ht="30.75" customHeight="1" thickBot="1">
      <c r="B1" s="243" t="s">
        <v>491</v>
      </c>
      <c r="C1" s="244" t="s">
        <v>492</v>
      </c>
      <c r="D1" s="244" t="s">
        <v>493</v>
      </c>
      <c r="E1" s="244" t="s">
        <v>494</v>
      </c>
      <c r="F1" s="244" t="s">
        <v>495</v>
      </c>
      <c r="G1" s="244" t="s">
        <v>496</v>
      </c>
      <c r="H1" s="244" t="s">
        <v>497</v>
      </c>
      <c r="I1" s="244" t="s">
        <v>498</v>
      </c>
      <c r="J1" s="244" t="s">
        <v>499</v>
      </c>
      <c r="K1" s="245" t="s">
        <v>500</v>
      </c>
    </row>
    <row r="2" spans="1:11" ht="17.25" customHeight="1" thickTop="1" thickBot="1">
      <c r="B2" s="127" t="s">
        <v>4225</v>
      </c>
      <c r="C2" s="128"/>
      <c r="D2" s="128"/>
      <c r="E2" s="128"/>
      <c r="F2" s="128"/>
      <c r="G2" s="128"/>
      <c r="H2" s="128"/>
      <c r="I2" s="128"/>
      <c r="J2" s="128"/>
      <c r="K2" s="129"/>
    </row>
    <row r="3" spans="1:11" ht="15.75" customHeight="1" thickTop="1" thickBot="1">
      <c r="B3" s="130" t="s">
        <v>4224</v>
      </c>
      <c r="C3" s="131"/>
      <c r="D3" s="131"/>
      <c r="E3" s="131"/>
      <c r="F3" s="131"/>
      <c r="G3" s="131"/>
      <c r="H3" s="131"/>
      <c r="I3" s="131"/>
      <c r="J3" s="131"/>
      <c r="K3" s="132"/>
    </row>
    <row r="4" spans="1:11" thickTop="1" thickBot="1">
      <c r="B4" s="133"/>
      <c r="C4" s="134"/>
      <c r="D4" s="134"/>
      <c r="E4" s="134"/>
      <c r="F4" s="134"/>
      <c r="G4" s="134"/>
      <c r="H4" s="134"/>
      <c r="I4" s="134"/>
      <c r="J4" s="134"/>
      <c r="K4" s="135"/>
    </row>
    <row r="5" spans="1:11" ht="16" thickTop="1"/>
    <row r="6" spans="1:11" ht="18">
      <c r="B6" s="174"/>
      <c r="C6" s="175"/>
      <c r="D6" s="136"/>
      <c r="E6" s="136"/>
      <c r="G6" s="136" t="s">
        <v>247</v>
      </c>
      <c r="H6" s="136"/>
      <c r="K6" s="136" t="s">
        <v>248</v>
      </c>
    </row>
    <row r="7" spans="1:11" ht="28.5" customHeight="1" thickBot="1">
      <c r="B7" s="174"/>
      <c r="C7" s="175"/>
      <c r="D7" s="136"/>
      <c r="E7" s="136"/>
      <c r="G7" s="136"/>
      <c r="H7" s="136"/>
      <c r="K7" s="136"/>
    </row>
    <row r="8" spans="1:11" ht="27" customHeight="1" thickBot="1">
      <c r="B8" s="80"/>
      <c r="C8" s="80"/>
      <c r="D8" s="137"/>
      <c r="E8" s="138"/>
      <c r="F8" s="126"/>
      <c r="G8" s="139"/>
      <c r="H8" s="140"/>
      <c r="I8" s="126"/>
      <c r="J8" s="126"/>
      <c r="K8" s="139" t="s">
        <v>249</v>
      </c>
    </row>
    <row r="9" spans="1:11" ht="27" customHeight="1">
      <c r="B9" s="141"/>
      <c r="C9" s="141"/>
      <c r="D9" s="141"/>
      <c r="E9" s="141"/>
      <c r="F9" s="57"/>
      <c r="G9" s="57"/>
      <c r="H9" s="57"/>
      <c r="I9" s="57"/>
      <c r="J9" s="57"/>
      <c r="K9" s="57"/>
    </row>
    <row r="10" spans="1:11" ht="12.75" customHeight="1" thickBot="1">
      <c r="B10" s="142"/>
      <c r="C10" s="142"/>
      <c r="D10" s="143"/>
      <c r="E10" s="144"/>
      <c r="F10" s="144"/>
      <c r="G10" s="56"/>
      <c r="H10" s="56"/>
      <c r="I10" s="56"/>
      <c r="J10" s="56"/>
      <c r="K10" s="56">
        <v>10</v>
      </c>
    </row>
    <row r="11" spans="1:11" ht="16" thickTop="1">
      <c r="B11" s="145"/>
      <c r="C11" s="145"/>
      <c r="D11" s="146"/>
      <c r="E11" s="147">
        <v>24</v>
      </c>
      <c r="F11" s="146"/>
      <c r="G11" s="148">
        <v>0.27</v>
      </c>
      <c r="H11" s="148">
        <v>0</v>
      </c>
      <c r="I11" s="148">
        <v>0</v>
      </c>
      <c r="J11" s="148">
        <v>0</v>
      </c>
      <c r="K11" s="149"/>
    </row>
    <row r="12" spans="1:11" ht="64">
      <c r="B12" s="150" t="s">
        <v>250</v>
      </c>
      <c r="C12" s="151"/>
      <c r="D12" s="152" t="s">
        <v>251</v>
      </c>
      <c r="E12" s="153" t="s">
        <v>252</v>
      </c>
      <c r="F12" s="154" t="s">
        <v>253</v>
      </c>
      <c r="G12" s="155" t="s">
        <v>254</v>
      </c>
      <c r="H12" s="155" t="s">
        <v>4227</v>
      </c>
      <c r="I12" s="155" t="s">
        <v>4228</v>
      </c>
      <c r="J12" s="154" t="s">
        <v>255</v>
      </c>
      <c r="K12" s="154" t="s">
        <v>256</v>
      </c>
    </row>
    <row r="13" spans="1:11" ht="12" customHeight="1">
      <c r="B13" s="160"/>
      <c r="C13" s="156"/>
      <c r="D13" s="157"/>
      <c r="E13" s="158"/>
      <c r="F13" s="159"/>
      <c r="G13" s="159"/>
      <c r="H13" s="159"/>
      <c r="I13" s="159"/>
      <c r="J13" s="159"/>
      <c r="K13" s="159">
        <v>0</v>
      </c>
    </row>
    <row r="14" spans="1:11" ht="12" customHeight="1">
      <c r="A14" s="57">
        <v>1</v>
      </c>
      <c r="B14" s="176">
        <v>0</v>
      </c>
      <c r="C14" s="177"/>
      <c r="D14" s="178"/>
      <c r="E14" s="162">
        <f>$E$11</f>
        <v>24</v>
      </c>
      <c r="F14" s="178">
        <f>D14/E14</f>
        <v>0</v>
      </c>
      <c r="G14" s="178">
        <f>$F14*$G$11</f>
        <v>0</v>
      </c>
      <c r="H14" s="178">
        <f>F14*$H$11</f>
        <v>0</v>
      </c>
      <c r="I14" s="178">
        <f>$F14*$I$11</f>
        <v>0</v>
      </c>
      <c r="J14" s="178">
        <f>($F14+$I14)*$J$11</f>
        <v>0</v>
      </c>
      <c r="K14" s="178">
        <f>ROUNDUP((SUM(F14:J14)),0)</f>
        <v>0</v>
      </c>
    </row>
    <row r="15" spans="1:11" ht="12" customHeight="1">
      <c r="B15" s="160"/>
      <c r="C15" s="156"/>
      <c r="D15" s="157"/>
      <c r="E15" s="158"/>
      <c r="F15" s="159"/>
      <c r="G15" s="159"/>
      <c r="H15" s="159"/>
      <c r="I15" s="159"/>
      <c r="J15" s="159"/>
      <c r="K15" s="159">
        <v>0</v>
      </c>
    </row>
    <row r="16" spans="1:11" ht="12" customHeight="1">
      <c r="A16" s="57">
        <v>1</v>
      </c>
      <c r="B16" s="176">
        <v>0</v>
      </c>
      <c r="C16" s="177"/>
      <c r="D16" s="178"/>
      <c r="E16" s="162">
        <f t="shared" ref="E16:E83" si="0">$E$11</f>
        <v>24</v>
      </c>
      <c r="F16" s="178">
        <f>D16/E16</f>
        <v>0</v>
      </c>
      <c r="G16" s="178">
        <f t="shared" ref="G16:G83" si="1">$F16*$G$11</f>
        <v>0</v>
      </c>
      <c r="H16" s="178">
        <f t="shared" ref="H16:H83" si="2">F16*$H$11</f>
        <v>0</v>
      </c>
      <c r="I16" s="178">
        <f t="shared" ref="I16:I83" si="3">$F16*$I$11</f>
        <v>0</v>
      </c>
      <c r="J16" s="178">
        <f t="shared" ref="J16:J83" si="4">($F16+$I16)*$J$11</f>
        <v>0</v>
      </c>
      <c r="K16" s="178">
        <f>ROUNDUP((SUM(F16:J16)),0)</f>
        <v>0</v>
      </c>
    </row>
    <row r="17" spans="1:11" ht="12" customHeight="1">
      <c r="B17" s="200" t="s">
        <v>757</v>
      </c>
      <c r="C17" s="177"/>
      <c r="D17" s="178"/>
      <c r="E17" s="162">
        <f>$E$11</f>
        <v>24</v>
      </c>
      <c r="F17" s="178">
        <f>D17/E17</f>
        <v>0</v>
      </c>
      <c r="G17" s="178">
        <f>$F17*$G$11</f>
        <v>0</v>
      </c>
      <c r="H17" s="178">
        <f>F17*$H$11</f>
        <v>0</v>
      </c>
      <c r="I17" s="178">
        <f>$F17*$I$11</f>
        <v>0</v>
      </c>
      <c r="J17" s="178">
        <f>($F17+$I17)*$J$11</f>
        <v>0</v>
      </c>
      <c r="K17" s="201">
        <v>0</v>
      </c>
    </row>
    <row r="18" spans="1:11" ht="14" customHeight="1">
      <c r="A18" s="57">
        <f>A15+1</f>
        <v>1</v>
      </c>
      <c r="B18" s="160" t="s">
        <v>257</v>
      </c>
      <c r="C18" s="161"/>
      <c r="D18" s="157">
        <v>2400</v>
      </c>
      <c r="E18" s="162">
        <f t="shared" si="0"/>
        <v>24</v>
      </c>
      <c r="F18" s="159">
        <f>D18/E18</f>
        <v>100</v>
      </c>
      <c r="G18" s="159">
        <f t="shared" si="1"/>
        <v>27</v>
      </c>
      <c r="H18" s="159">
        <f t="shared" si="2"/>
        <v>0</v>
      </c>
      <c r="I18" s="159">
        <f t="shared" si="3"/>
        <v>0</v>
      </c>
      <c r="J18" s="159">
        <f t="shared" si="4"/>
        <v>0</v>
      </c>
      <c r="K18" s="159">
        <f>ROUNDUP((SUM(F18:J18)),0)</f>
        <v>127</v>
      </c>
    </row>
    <row r="19" spans="1:11" ht="14" customHeight="1">
      <c r="B19" s="160" t="s">
        <v>2422</v>
      </c>
      <c r="C19" s="165"/>
      <c r="D19" s="262">
        <v>4500</v>
      </c>
      <c r="E19" s="162">
        <f>$E$11</f>
        <v>24</v>
      </c>
      <c r="F19" s="263">
        <f>D19/E19</f>
        <v>187.5</v>
      </c>
      <c r="G19" s="263">
        <f>$F19*$G$11</f>
        <v>50.625</v>
      </c>
      <c r="H19" s="263">
        <f>F19*$H$11</f>
        <v>0</v>
      </c>
      <c r="I19" s="263">
        <f>$F19*$I$11</f>
        <v>0</v>
      </c>
      <c r="J19" s="263">
        <f>($F19+$I19)*$J$11</f>
        <v>0</v>
      </c>
      <c r="K19" s="263">
        <v>238.13</v>
      </c>
    </row>
    <row r="20" spans="1:11" ht="14" customHeight="1">
      <c r="B20" s="160" t="s">
        <v>2365</v>
      </c>
      <c r="C20" s="165"/>
      <c r="D20" s="262">
        <v>3000</v>
      </c>
      <c r="E20" s="162">
        <f>$E$11</f>
        <v>24</v>
      </c>
      <c r="F20" s="263">
        <f>D20/E20</f>
        <v>125</v>
      </c>
      <c r="G20" s="263">
        <f>$F20*$G$11</f>
        <v>33.75</v>
      </c>
      <c r="H20" s="263">
        <f>F20*$H$11</f>
        <v>0</v>
      </c>
      <c r="I20" s="263">
        <f>$F20*$I$11</f>
        <v>0</v>
      </c>
      <c r="J20" s="263">
        <f>($F20+$I20)*$J$11</f>
        <v>0</v>
      </c>
      <c r="K20" s="263">
        <v>158.75</v>
      </c>
    </row>
    <row r="21" spans="1:11">
      <c r="A21" s="57">
        <f>A18+1</f>
        <v>2</v>
      </c>
      <c r="B21" s="160" t="s">
        <v>258</v>
      </c>
      <c r="C21" s="161"/>
      <c r="D21" s="157">
        <v>5220</v>
      </c>
      <c r="E21" s="162">
        <f t="shared" si="0"/>
        <v>24</v>
      </c>
      <c r="F21" s="159">
        <f t="shared" ref="F21:F126" si="5">D21/E21</f>
        <v>217.5</v>
      </c>
      <c r="G21" s="159">
        <f t="shared" si="1"/>
        <v>58.725000000000001</v>
      </c>
      <c r="H21" s="159">
        <f t="shared" si="2"/>
        <v>0</v>
      </c>
      <c r="I21" s="159">
        <f t="shared" si="3"/>
        <v>0</v>
      </c>
      <c r="J21" s="159">
        <f t="shared" si="4"/>
        <v>0</v>
      </c>
      <c r="K21" s="159">
        <f t="shared" ref="K21:K101" si="6">ROUNDUP((SUM(F21:J21)),0)</f>
        <v>277</v>
      </c>
    </row>
    <row r="22" spans="1:11">
      <c r="A22" s="57">
        <f t="shared" ref="A22:A89" si="7">A21+1</f>
        <v>3</v>
      </c>
      <c r="B22" s="160" t="s">
        <v>259</v>
      </c>
      <c r="C22" s="161"/>
      <c r="D22" s="157">
        <v>2000</v>
      </c>
      <c r="E22" s="162">
        <f t="shared" si="0"/>
        <v>24</v>
      </c>
      <c r="F22" s="159">
        <f t="shared" si="5"/>
        <v>83.333333333333329</v>
      </c>
      <c r="G22" s="159">
        <f t="shared" si="1"/>
        <v>22.5</v>
      </c>
      <c r="H22" s="159">
        <f t="shared" si="2"/>
        <v>0</v>
      </c>
      <c r="I22" s="159">
        <f t="shared" si="3"/>
        <v>0</v>
      </c>
      <c r="J22" s="159">
        <f t="shared" si="4"/>
        <v>0</v>
      </c>
      <c r="K22" s="159">
        <f t="shared" si="6"/>
        <v>106</v>
      </c>
    </row>
    <row r="23" spans="1:11">
      <c r="B23" s="269" t="s">
        <v>3321</v>
      </c>
      <c r="C23" s="165"/>
      <c r="D23" s="270">
        <v>5000</v>
      </c>
      <c r="E23" s="162">
        <f>$E$11</f>
        <v>24</v>
      </c>
      <c r="F23" s="271">
        <f>D23/E23</f>
        <v>208.33333333333334</v>
      </c>
      <c r="G23" s="271">
        <f>$F23*$G$11</f>
        <v>56.250000000000007</v>
      </c>
      <c r="H23" s="271">
        <f>F23*$H$11</f>
        <v>0</v>
      </c>
      <c r="I23" s="271">
        <f>$F23*$I$11</f>
        <v>0</v>
      </c>
      <c r="J23" s="271">
        <f>($F23+$I23)*$J$11</f>
        <v>0</v>
      </c>
      <c r="K23" s="271">
        <v>264.58</v>
      </c>
    </row>
    <row r="24" spans="1:11">
      <c r="A24" s="57">
        <f>A22+1</f>
        <v>4</v>
      </c>
      <c r="B24" s="160" t="s">
        <v>260</v>
      </c>
      <c r="C24" s="161"/>
      <c r="D24" s="157">
        <v>6700</v>
      </c>
      <c r="E24" s="162">
        <f t="shared" si="0"/>
        <v>24</v>
      </c>
      <c r="F24" s="159">
        <f>D24/E24</f>
        <v>279.16666666666669</v>
      </c>
      <c r="G24" s="159">
        <f t="shared" si="1"/>
        <v>75.375000000000014</v>
      </c>
      <c r="H24" s="159">
        <f t="shared" si="2"/>
        <v>0</v>
      </c>
      <c r="I24" s="159">
        <f t="shared" si="3"/>
        <v>0</v>
      </c>
      <c r="J24" s="159">
        <f t="shared" si="4"/>
        <v>0</v>
      </c>
      <c r="K24" s="159">
        <f t="shared" si="6"/>
        <v>355</v>
      </c>
    </row>
    <row r="25" spans="1:11" ht="12.75" customHeight="1">
      <c r="A25" s="57">
        <f t="shared" si="7"/>
        <v>5</v>
      </c>
      <c r="B25" s="160" t="s">
        <v>261</v>
      </c>
      <c r="C25" s="161"/>
      <c r="D25" s="157">
        <v>9000</v>
      </c>
      <c r="E25" s="162">
        <f t="shared" si="0"/>
        <v>24</v>
      </c>
      <c r="F25" s="159">
        <f t="shared" si="5"/>
        <v>375</v>
      </c>
      <c r="G25" s="159">
        <f t="shared" si="1"/>
        <v>101.25</v>
      </c>
      <c r="H25" s="159">
        <f t="shared" si="2"/>
        <v>0</v>
      </c>
      <c r="I25" s="159">
        <f t="shared" si="3"/>
        <v>0</v>
      </c>
      <c r="J25" s="159">
        <f t="shared" si="4"/>
        <v>0</v>
      </c>
      <c r="K25" s="159">
        <f t="shared" si="6"/>
        <v>477</v>
      </c>
    </row>
    <row r="26" spans="1:11" ht="12.75" customHeight="1">
      <c r="A26" s="57">
        <f t="shared" si="7"/>
        <v>6</v>
      </c>
      <c r="B26" s="160" t="s">
        <v>262</v>
      </c>
      <c r="C26" s="161"/>
      <c r="D26" s="157">
        <v>10000</v>
      </c>
      <c r="E26" s="162">
        <f t="shared" si="0"/>
        <v>24</v>
      </c>
      <c r="F26" s="159">
        <f t="shared" si="5"/>
        <v>416.66666666666669</v>
      </c>
      <c r="G26" s="159">
        <f t="shared" si="1"/>
        <v>112.50000000000001</v>
      </c>
      <c r="H26" s="159">
        <f t="shared" si="2"/>
        <v>0</v>
      </c>
      <c r="I26" s="159">
        <f t="shared" si="3"/>
        <v>0</v>
      </c>
      <c r="J26" s="159">
        <f t="shared" si="4"/>
        <v>0</v>
      </c>
      <c r="K26" s="159">
        <f t="shared" si="6"/>
        <v>530</v>
      </c>
    </row>
    <row r="27" spans="1:11" ht="12.75" customHeight="1">
      <c r="A27" s="57">
        <f t="shared" si="7"/>
        <v>7</v>
      </c>
      <c r="B27" s="160" t="s">
        <v>263</v>
      </c>
      <c r="C27" s="161"/>
      <c r="D27" s="157">
        <v>11000</v>
      </c>
      <c r="E27" s="162">
        <f t="shared" si="0"/>
        <v>24</v>
      </c>
      <c r="F27" s="159">
        <f>D27/E27</f>
        <v>458.33333333333331</v>
      </c>
      <c r="G27" s="159">
        <f t="shared" si="1"/>
        <v>123.75</v>
      </c>
      <c r="H27" s="159">
        <f t="shared" si="2"/>
        <v>0</v>
      </c>
      <c r="I27" s="159">
        <f t="shared" si="3"/>
        <v>0</v>
      </c>
      <c r="J27" s="159">
        <f t="shared" si="4"/>
        <v>0</v>
      </c>
      <c r="K27" s="159">
        <f t="shared" si="6"/>
        <v>583</v>
      </c>
    </row>
    <row r="28" spans="1:11" ht="12.75" customHeight="1">
      <c r="A28" s="57">
        <f t="shared" si="7"/>
        <v>8</v>
      </c>
      <c r="B28" s="160" t="s">
        <v>264</v>
      </c>
      <c r="C28" s="161"/>
      <c r="D28" s="157">
        <v>12000</v>
      </c>
      <c r="E28" s="162">
        <f t="shared" si="0"/>
        <v>24</v>
      </c>
      <c r="F28" s="159">
        <f t="shared" si="5"/>
        <v>500</v>
      </c>
      <c r="G28" s="159">
        <f t="shared" si="1"/>
        <v>135</v>
      </c>
      <c r="H28" s="159">
        <f t="shared" si="2"/>
        <v>0</v>
      </c>
      <c r="I28" s="159">
        <f t="shared" si="3"/>
        <v>0</v>
      </c>
      <c r="J28" s="159">
        <f t="shared" si="4"/>
        <v>0</v>
      </c>
      <c r="K28" s="159">
        <f t="shared" si="6"/>
        <v>635</v>
      </c>
    </row>
    <row r="29" spans="1:11" ht="12.75" customHeight="1">
      <c r="A29" s="57">
        <f t="shared" si="7"/>
        <v>9</v>
      </c>
      <c r="B29" s="160" t="s">
        <v>265</v>
      </c>
      <c r="C29" s="161"/>
      <c r="D29" s="157">
        <v>13400</v>
      </c>
      <c r="E29" s="162">
        <f t="shared" si="0"/>
        <v>24</v>
      </c>
      <c r="F29" s="159">
        <f>D29/E29</f>
        <v>558.33333333333337</v>
      </c>
      <c r="G29" s="159">
        <f t="shared" si="1"/>
        <v>150.75000000000003</v>
      </c>
      <c r="H29" s="159">
        <f t="shared" si="2"/>
        <v>0</v>
      </c>
      <c r="I29" s="159">
        <f t="shared" si="3"/>
        <v>0</v>
      </c>
      <c r="J29" s="159">
        <f t="shared" si="4"/>
        <v>0</v>
      </c>
      <c r="K29" s="159">
        <f t="shared" si="6"/>
        <v>710</v>
      </c>
    </row>
    <row r="30" spans="1:11" ht="14" customHeight="1">
      <c r="A30" s="57">
        <f t="shared" si="7"/>
        <v>10</v>
      </c>
      <c r="B30" s="160" t="s">
        <v>266</v>
      </c>
      <c r="C30" s="161"/>
      <c r="D30" s="157">
        <v>14000</v>
      </c>
      <c r="E30" s="162">
        <f t="shared" si="0"/>
        <v>24</v>
      </c>
      <c r="F30" s="159">
        <f t="shared" si="5"/>
        <v>583.33333333333337</v>
      </c>
      <c r="G30" s="159">
        <f t="shared" si="1"/>
        <v>157.50000000000003</v>
      </c>
      <c r="H30" s="159">
        <f t="shared" si="2"/>
        <v>0</v>
      </c>
      <c r="I30" s="159">
        <f t="shared" si="3"/>
        <v>0</v>
      </c>
      <c r="J30" s="159">
        <f t="shared" si="4"/>
        <v>0</v>
      </c>
      <c r="K30" s="159">
        <f t="shared" si="6"/>
        <v>741</v>
      </c>
    </row>
    <row r="31" spans="1:11" ht="14" customHeight="1">
      <c r="A31" s="57">
        <f t="shared" si="7"/>
        <v>11</v>
      </c>
      <c r="B31" s="160" t="s">
        <v>267</v>
      </c>
      <c r="C31" s="161"/>
      <c r="D31" s="157">
        <v>14500</v>
      </c>
      <c r="E31" s="162">
        <f t="shared" si="0"/>
        <v>24</v>
      </c>
      <c r="F31" s="159">
        <f t="shared" si="5"/>
        <v>604.16666666666663</v>
      </c>
      <c r="G31" s="159">
        <f t="shared" si="1"/>
        <v>163.125</v>
      </c>
      <c r="H31" s="159">
        <f t="shared" si="2"/>
        <v>0</v>
      </c>
      <c r="I31" s="159">
        <f t="shared" si="3"/>
        <v>0</v>
      </c>
      <c r="J31" s="159">
        <f t="shared" si="4"/>
        <v>0</v>
      </c>
      <c r="K31" s="159">
        <f t="shared" si="6"/>
        <v>768</v>
      </c>
    </row>
    <row r="32" spans="1:11" ht="14" customHeight="1">
      <c r="A32" s="57">
        <f t="shared" si="7"/>
        <v>12</v>
      </c>
      <c r="B32" s="160" t="s">
        <v>268</v>
      </c>
      <c r="C32" s="161"/>
      <c r="D32" s="157">
        <v>14800</v>
      </c>
      <c r="E32" s="162">
        <f t="shared" si="0"/>
        <v>24</v>
      </c>
      <c r="F32" s="159">
        <f t="shared" si="5"/>
        <v>616.66666666666663</v>
      </c>
      <c r="G32" s="159">
        <f t="shared" si="1"/>
        <v>166.5</v>
      </c>
      <c r="H32" s="159">
        <f t="shared" si="2"/>
        <v>0</v>
      </c>
      <c r="I32" s="159">
        <f t="shared" si="3"/>
        <v>0</v>
      </c>
      <c r="J32" s="159">
        <f t="shared" si="4"/>
        <v>0</v>
      </c>
      <c r="K32" s="159">
        <f t="shared" si="6"/>
        <v>784</v>
      </c>
    </row>
    <row r="33" spans="1:11" ht="14" customHeight="1">
      <c r="A33" s="57">
        <f t="shared" si="7"/>
        <v>13</v>
      </c>
      <c r="B33" s="160" t="s">
        <v>269</v>
      </c>
      <c r="C33" s="161"/>
      <c r="D33" s="157">
        <v>15000</v>
      </c>
      <c r="E33" s="162">
        <f t="shared" si="0"/>
        <v>24</v>
      </c>
      <c r="F33" s="159">
        <f>D33/E33</f>
        <v>625</v>
      </c>
      <c r="G33" s="159">
        <f t="shared" si="1"/>
        <v>168.75</v>
      </c>
      <c r="H33" s="159">
        <f t="shared" si="2"/>
        <v>0</v>
      </c>
      <c r="I33" s="159">
        <f t="shared" si="3"/>
        <v>0</v>
      </c>
      <c r="J33" s="159">
        <f t="shared" si="4"/>
        <v>0</v>
      </c>
      <c r="K33" s="159">
        <f t="shared" si="6"/>
        <v>794</v>
      </c>
    </row>
    <row r="34" spans="1:11" ht="14" customHeight="1">
      <c r="A34" s="57">
        <f t="shared" si="7"/>
        <v>14</v>
      </c>
      <c r="B34" s="160" t="s">
        <v>270</v>
      </c>
      <c r="C34" s="161"/>
      <c r="D34" s="157">
        <v>19000</v>
      </c>
      <c r="E34" s="162">
        <f t="shared" si="0"/>
        <v>24</v>
      </c>
      <c r="F34" s="159">
        <f t="shared" si="5"/>
        <v>791.66666666666663</v>
      </c>
      <c r="G34" s="159">
        <f t="shared" si="1"/>
        <v>213.75</v>
      </c>
      <c r="H34" s="159">
        <f t="shared" si="2"/>
        <v>0</v>
      </c>
      <c r="I34" s="159">
        <f t="shared" si="3"/>
        <v>0</v>
      </c>
      <c r="J34" s="159">
        <f t="shared" si="4"/>
        <v>0</v>
      </c>
      <c r="K34" s="159">
        <f t="shared" si="6"/>
        <v>1006</v>
      </c>
    </row>
    <row r="35" spans="1:11" ht="14" customHeight="1">
      <c r="A35" s="57">
        <f t="shared" si="7"/>
        <v>15</v>
      </c>
      <c r="B35" s="160" t="s">
        <v>271</v>
      </c>
      <c r="C35" s="161"/>
      <c r="D35" s="157">
        <v>19800</v>
      </c>
      <c r="E35" s="162">
        <f t="shared" si="0"/>
        <v>24</v>
      </c>
      <c r="F35" s="159">
        <f t="shared" si="5"/>
        <v>825</v>
      </c>
      <c r="G35" s="159">
        <f t="shared" si="1"/>
        <v>222.75000000000003</v>
      </c>
      <c r="H35" s="159">
        <f t="shared" si="2"/>
        <v>0</v>
      </c>
      <c r="I35" s="159">
        <f t="shared" si="3"/>
        <v>0</v>
      </c>
      <c r="J35" s="159">
        <f t="shared" si="4"/>
        <v>0</v>
      </c>
      <c r="K35" s="159">
        <f t="shared" si="6"/>
        <v>1048</v>
      </c>
    </row>
    <row r="36" spans="1:11" ht="12.75" customHeight="1">
      <c r="A36" s="57">
        <f t="shared" si="7"/>
        <v>16</v>
      </c>
      <c r="B36" s="160" t="s">
        <v>272</v>
      </c>
      <c r="C36" s="161"/>
      <c r="D36" s="157">
        <v>20500</v>
      </c>
      <c r="E36" s="162">
        <f t="shared" si="0"/>
        <v>24</v>
      </c>
      <c r="F36" s="159">
        <f t="shared" si="5"/>
        <v>854.16666666666663</v>
      </c>
      <c r="G36" s="159">
        <f t="shared" si="1"/>
        <v>230.625</v>
      </c>
      <c r="H36" s="159">
        <f t="shared" si="2"/>
        <v>0</v>
      </c>
      <c r="I36" s="159">
        <f t="shared" si="3"/>
        <v>0</v>
      </c>
      <c r="J36" s="159">
        <f t="shared" si="4"/>
        <v>0</v>
      </c>
      <c r="K36" s="159">
        <f t="shared" si="6"/>
        <v>1085</v>
      </c>
    </row>
    <row r="37" spans="1:11" ht="12.75" customHeight="1">
      <c r="A37" s="57">
        <f t="shared" si="7"/>
        <v>17</v>
      </c>
      <c r="B37" s="160" t="s">
        <v>273</v>
      </c>
      <c r="C37" s="161"/>
      <c r="D37" s="163">
        <v>25900</v>
      </c>
      <c r="E37" s="162">
        <f t="shared" si="0"/>
        <v>24</v>
      </c>
      <c r="F37" s="159">
        <f>D37/E37</f>
        <v>1079.1666666666667</v>
      </c>
      <c r="G37" s="159">
        <f t="shared" si="1"/>
        <v>291.37500000000006</v>
      </c>
      <c r="H37" s="159">
        <f t="shared" si="2"/>
        <v>0</v>
      </c>
      <c r="I37" s="159">
        <f t="shared" si="3"/>
        <v>0</v>
      </c>
      <c r="J37" s="159">
        <f t="shared" si="4"/>
        <v>0</v>
      </c>
      <c r="K37" s="159">
        <f>ROUNDUP((SUM(F37:J37)),0)</f>
        <v>1371</v>
      </c>
    </row>
    <row r="38" spans="1:11" ht="14" customHeight="1">
      <c r="A38" s="57">
        <f t="shared" si="7"/>
        <v>18</v>
      </c>
      <c r="B38" s="160" t="s">
        <v>274</v>
      </c>
      <c r="C38" s="161"/>
      <c r="D38" s="163">
        <v>29900</v>
      </c>
      <c r="E38" s="162">
        <f t="shared" si="0"/>
        <v>24</v>
      </c>
      <c r="F38" s="159">
        <f>D38/E38</f>
        <v>1245.8333333333333</v>
      </c>
      <c r="G38" s="159">
        <f t="shared" si="1"/>
        <v>336.375</v>
      </c>
      <c r="H38" s="159">
        <f t="shared" si="2"/>
        <v>0</v>
      </c>
      <c r="I38" s="159">
        <f t="shared" si="3"/>
        <v>0</v>
      </c>
      <c r="J38" s="159">
        <f t="shared" si="4"/>
        <v>0</v>
      </c>
      <c r="K38" s="159">
        <f>ROUNDUP((SUM(F38:J38)),0)</f>
        <v>1583</v>
      </c>
    </row>
    <row r="39" spans="1:11" ht="14" customHeight="1">
      <c r="B39" s="269" t="s">
        <v>3408</v>
      </c>
      <c r="C39" s="165"/>
      <c r="D39" s="270">
        <v>20000</v>
      </c>
      <c r="E39" s="162">
        <f>$E$11</f>
        <v>24</v>
      </c>
      <c r="F39" s="271">
        <f>D39/E39</f>
        <v>833.33333333333337</v>
      </c>
      <c r="G39" s="271">
        <f>$F39*$G$11</f>
        <v>225.00000000000003</v>
      </c>
      <c r="H39" s="271">
        <f>F39*$H$11</f>
        <v>0</v>
      </c>
      <c r="I39" s="271">
        <f>$F39*$I$11</f>
        <v>0</v>
      </c>
      <c r="J39" s="271">
        <f>($F39+$I39)*$J$11</f>
        <v>0</v>
      </c>
      <c r="K39" s="271">
        <v>1058.33</v>
      </c>
    </row>
    <row r="40" spans="1:11" ht="14" customHeight="1">
      <c r="A40" s="57">
        <f>A38+1</f>
        <v>19</v>
      </c>
      <c r="B40" s="160" t="s">
        <v>275</v>
      </c>
      <c r="C40" s="161"/>
      <c r="D40" s="157">
        <v>4000</v>
      </c>
      <c r="E40" s="162">
        <f t="shared" si="0"/>
        <v>24</v>
      </c>
      <c r="F40" s="159">
        <f t="shared" si="5"/>
        <v>166.66666666666666</v>
      </c>
      <c r="G40" s="159">
        <f t="shared" si="1"/>
        <v>45</v>
      </c>
      <c r="H40" s="159">
        <f t="shared" si="2"/>
        <v>0</v>
      </c>
      <c r="I40" s="159">
        <f t="shared" si="3"/>
        <v>0</v>
      </c>
      <c r="J40" s="159">
        <f t="shared" si="4"/>
        <v>0</v>
      </c>
      <c r="K40" s="159">
        <f t="shared" si="6"/>
        <v>212</v>
      </c>
    </row>
    <row r="41" spans="1:11" ht="14" customHeight="1">
      <c r="B41" s="268" t="s">
        <v>3065</v>
      </c>
      <c r="C41" s="165"/>
      <c r="D41" s="264">
        <v>35000</v>
      </c>
      <c r="E41" s="162">
        <f>$E$11</f>
        <v>24</v>
      </c>
      <c r="F41" s="265">
        <f>D41/E41</f>
        <v>1458.3333333333333</v>
      </c>
      <c r="G41" s="265">
        <f>$F41*$G$11</f>
        <v>393.75</v>
      </c>
      <c r="H41" s="265">
        <f>F41*$H$11</f>
        <v>0</v>
      </c>
      <c r="I41" s="265">
        <f>$F41*$I$11</f>
        <v>0</v>
      </c>
      <c r="J41" s="265">
        <f>($F41+$I41)*$J$11</f>
        <v>0</v>
      </c>
      <c r="K41" s="265">
        <v>1852.08</v>
      </c>
    </row>
    <row r="42" spans="1:11" ht="14" customHeight="1">
      <c r="A42" s="57">
        <f>A40+1</f>
        <v>20</v>
      </c>
      <c r="B42" s="160" t="s">
        <v>276</v>
      </c>
      <c r="C42" s="161"/>
      <c r="D42" s="157">
        <v>25000</v>
      </c>
      <c r="E42" s="162">
        <f t="shared" si="0"/>
        <v>24</v>
      </c>
      <c r="F42" s="159">
        <f t="shared" si="5"/>
        <v>1041.6666666666667</v>
      </c>
      <c r="G42" s="159">
        <f t="shared" si="1"/>
        <v>281.25000000000006</v>
      </c>
      <c r="H42" s="159">
        <f t="shared" si="2"/>
        <v>0</v>
      </c>
      <c r="I42" s="159">
        <f t="shared" si="3"/>
        <v>0</v>
      </c>
      <c r="J42" s="159">
        <f t="shared" si="4"/>
        <v>0</v>
      </c>
      <c r="K42" s="159">
        <f t="shared" si="6"/>
        <v>1323</v>
      </c>
    </row>
    <row r="43" spans="1:11" ht="14" customHeight="1">
      <c r="A43" s="57">
        <f t="shared" si="7"/>
        <v>21</v>
      </c>
      <c r="B43" s="160" t="s">
        <v>277</v>
      </c>
      <c r="C43" s="161"/>
      <c r="D43" s="157">
        <v>18000</v>
      </c>
      <c r="E43" s="162">
        <f t="shared" si="0"/>
        <v>24</v>
      </c>
      <c r="F43" s="159">
        <f t="shared" si="5"/>
        <v>750</v>
      </c>
      <c r="G43" s="159">
        <f t="shared" si="1"/>
        <v>202.5</v>
      </c>
      <c r="H43" s="159">
        <f t="shared" si="2"/>
        <v>0</v>
      </c>
      <c r="I43" s="159">
        <f t="shared" si="3"/>
        <v>0</v>
      </c>
      <c r="J43" s="159">
        <f t="shared" si="4"/>
        <v>0</v>
      </c>
      <c r="K43" s="159">
        <f t="shared" si="6"/>
        <v>953</v>
      </c>
    </row>
    <row r="44" spans="1:11" ht="14" customHeight="1">
      <c r="A44" s="57">
        <f t="shared" si="7"/>
        <v>22</v>
      </c>
      <c r="B44" s="160" t="s">
        <v>278</v>
      </c>
      <c r="C44" s="161"/>
      <c r="D44" s="157">
        <v>24000</v>
      </c>
      <c r="E44" s="162">
        <f t="shared" si="0"/>
        <v>24</v>
      </c>
      <c r="F44" s="159">
        <f t="shared" si="5"/>
        <v>1000</v>
      </c>
      <c r="G44" s="159">
        <f t="shared" si="1"/>
        <v>270</v>
      </c>
      <c r="H44" s="159">
        <f t="shared" si="2"/>
        <v>0</v>
      </c>
      <c r="I44" s="159">
        <f t="shared" si="3"/>
        <v>0</v>
      </c>
      <c r="J44" s="159">
        <f t="shared" si="4"/>
        <v>0</v>
      </c>
      <c r="K44" s="159">
        <f t="shared" si="6"/>
        <v>1270</v>
      </c>
    </row>
    <row r="45" spans="1:11" ht="14" customHeight="1">
      <c r="A45" s="57">
        <f t="shared" si="7"/>
        <v>23</v>
      </c>
      <c r="B45" s="160" t="s">
        <v>279</v>
      </c>
      <c r="C45" s="161"/>
      <c r="D45" s="157">
        <v>8000</v>
      </c>
      <c r="E45" s="162">
        <f t="shared" si="0"/>
        <v>24</v>
      </c>
      <c r="F45" s="159">
        <f t="shared" si="5"/>
        <v>333.33333333333331</v>
      </c>
      <c r="G45" s="159">
        <f t="shared" si="1"/>
        <v>90</v>
      </c>
      <c r="H45" s="159">
        <f t="shared" si="2"/>
        <v>0</v>
      </c>
      <c r="I45" s="159">
        <f t="shared" si="3"/>
        <v>0</v>
      </c>
      <c r="J45" s="159">
        <f t="shared" si="4"/>
        <v>0</v>
      </c>
      <c r="K45" s="159">
        <f t="shared" si="6"/>
        <v>424</v>
      </c>
    </row>
    <row r="46" spans="1:11" ht="14" customHeight="1">
      <c r="B46" s="160" t="s">
        <v>2519</v>
      </c>
      <c r="C46" s="165"/>
      <c r="D46" s="262">
        <v>750</v>
      </c>
      <c r="E46" s="162">
        <f>$E$11</f>
        <v>24</v>
      </c>
      <c r="F46" s="263">
        <f t="shared" si="5"/>
        <v>31.25</v>
      </c>
      <c r="G46" s="263">
        <f>$F46*$G$11</f>
        <v>8.4375</v>
      </c>
      <c r="H46" s="263">
        <f>F46*$H$11</f>
        <v>0</v>
      </c>
      <c r="I46" s="263">
        <f>$F46*$I$11</f>
        <v>0</v>
      </c>
      <c r="J46" s="263">
        <f>($F46+$I46)*$J$11</f>
        <v>0</v>
      </c>
      <c r="K46" s="263">
        <v>39.69</v>
      </c>
    </row>
    <row r="47" spans="1:11" ht="14" customHeight="1">
      <c r="B47" s="160" t="s">
        <v>2600</v>
      </c>
      <c r="C47" s="165"/>
      <c r="D47" s="262"/>
      <c r="E47" s="162">
        <f>$E$11</f>
        <v>24</v>
      </c>
      <c r="F47" s="263">
        <f t="shared" si="5"/>
        <v>0</v>
      </c>
      <c r="G47" s="263">
        <f>$F47*$G$11</f>
        <v>0</v>
      </c>
      <c r="H47" s="263">
        <f>F47*$H$11</f>
        <v>0</v>
      </c>
      <c r="I47" s="263">
        <f>$F47*$I$11</f>
        <v>0</v>
      </c>
      <c r="J47" s="263">
        <f>($F47+$I47)*$J$11</f>
        <v>0</v>
      </c>
      <c r="K47" s="263">
        <v>79.38</v>
      </c>
    </row>
    <row r="48" spans="1:11" ht="12.75" customHeight="1">
      <c r="A48" s="57">
        <f>A45+1</f>
        <v>24</v>
      </c>
      <c r="B48" s="160" t="s">
        <v>280</v>
      </c>
      <c r="C48" s="161"/>
      <c r="D48" s="157">
        <v>3980</v>
      </c>
      <c r="E48" s="162">
        <f t="shared" si="0"/>
        <v>24</v>
      </c>
      <c r="F48" s="159">
        <f t="shared" si="5"/>
        <v>165.83333333333334</v>
      </c>
      <c r="G48" s="159">
        <f t="shared" si="1"/>
        <v>44.775000000000006</v>
      </c>
      <c r="H48" s="159">
        <f t="shared" si="2"/>
        <v>0</v>
      </c>
      <c r="I48" s="159">
        <f t="shared" si="3"/>
        <v>0</v>
      </c>
      <c r="J48" s="159">
        <f t="shared" si="4"/>
        <v>0</v>
      </c>
      <c r="K48" s="159">
        <f t="shared" si="6"/>
        <v>211</v>
      </c>
    </row>
    <row r="49" spans="1:11">
      <c r="A49" s="57">
        <f t="shared" si="7"/>
        <v>25</v>
      </c>
      <c r="B49" s="160" t="s">
        <v>281</v>
      </c>
      <c r="C49" s="161"/>
      <c r="D49" s="157">
        <v>2050</v>
      </c>
      <c r="E49" s="162">
        <f t="shared" si="0"/>
        <v>24</v>
      </c>
      <c r="F49" s="159">
        <f t="shared" si="5"/>
        <v>85.416666666666671</v>
      </c>
      <c r="G49" s="159">
        <f t="shared" si="1"/>
        <v>23.062500000000004</v>
      </c>
      <c r="H49" s="159">
        <f t="shared" si="2"/>
        <v>0</v>
      </c>
      <c r="I49" s="159">
        <f t="shared" si="3"/>
        <v>0</v>
      </c>
      <c r="J49" s="159">
        <f t="shared" si="4"/>
        <v>0</v>
      </c>
      <c r="K49" s="159">
        <f t="shared" si="6"/>
        <v>109</v>
      </c>
    </row>
    <row r="50" spans="1:11">
      <c r="A50" s="57">
        <f t="shared" si="7"/>
        <v>26</v>
      </c>
      <c r="B50" s="160" t="s">
        <v>282</v>
      </c>
      <c r="C50" s="161"/>
      <c r="D50" s="157">
        <v>22000</v>
      </c>
      <c r="E50" s="162">
        <f t="shared" si="0"/>
        <v>24</v>
      </c>
      <c r="F50" s="159">
        <f t="shared" si="5"/>
        <v>916.66666666666663</v>
      </c>
      <c r="G50" s="159">
        <f t="shared" si="1"/>
        <v>247.5</v>
      </c>
      <c r="H50" s="159">
        <f t="shared" si="2"/>
        <v>0</v>
      </c>
      <c r="I50" s="159">
        <f t="shared" si="3"/>
        <v>0</v>
      </c>
      <c r="J50" s="159">
        <f t="shared" si="4"/>
        <v>0</v>
      </c>
      <c r="K50" s="159">
        <f t="shared" si="6"/>
        <v>1165</v>
      </c>
    </row>
    <row r="51" spans="1:11">
      <c r="A51" s="57">
        <f t="shared" si="7"/>
        <v>27</v>
      </c>
      <c r="B51" s="160" t="s">
        <v>283</v>
      </c>
      <c r="C51" s="161"/>
      <c r="D51" s="157">
        <v>20000</v>
      </c>
      <c r="E51" s="162">
        <f t="shared" si="0"/>
        <v>24</v>
      </c>
      <c r="F51" s="159">
        <f t="shared" si="5"/>
        <v>833.33333333333337</v>
      </c>
      <c r="G51" s="159">
        <f t="shared" si="1"/>
        <v>225.00000000000003</v>
      </c>
      <c r="H51" s="159">
        <f t="shared" si="2"/>
        <v>0</v>
      </c>
      <c r="I51" s="159">
        <f t="shared" si="3"/>
        <v>0</v>
      </c>
      <c r="J51" s="159">
        <f t="shared" si="4"/>
        <v>0</v>
      </c>
      <c r="K51" s="159">
        <f t="shared" si="6"/>
        <v>1059</v>
      </c>
    </row>
    <row r="52" spans="1:11" ht="12.75" customHeight="1">
      <c r="A52" s="57">
        <f t="shared" si="7"/>
        <v>28</v>
      </c>
      <c r="B52" s="160" t="s">
        <v>284</v>
      </c>
      <c r="C52" s="161"/>
      <c r="D52" s="157">
        <v>36000</v>
      </c>
      <c r="E52" s="162">
        <f t="shared" si="0"/>
        <v>24</v>
      </c>
      <c r="F52" s="159">
        <f t="shared" si="5"/>
        <v>1500</v>
      </c>
      <c r="G52" s="159">
        <f t="shared" si="1"/>
        <v>405</v>
      </c>
      <c r="H52" s="159">
        <f t="shared" si="2"/>
        <v>0</v>
      </c>
      <c r="I52" s="159">
        <f t="shared" si="3"/>
        <v>0</v>
      </c>
      <c r="J52" s="159">
        <f t="shared" si="4"/>
        <v>0</v>
      </c>
      <c r="K52" s="159">
        <f t="shared" si="6"/>
        <v>1905</v>
      </c>
    </row>
    <row r="53" spans="1:11" ht="12.75" customHeight="1">
      <c r="A53" s="57">
        <f t="shared" si="7"/>
        <v>29</v>
      </c>
      <c r="B53" s="160" t="s">
        <v>285</v>
      </c>
      <c r="C53" s="161"/>
      <c r="D53" s="157">
        <v>18000</v>
      </c>
      <c r="E53" s="162">
        <f t="shared" si="0"/>
        <v>24</v>
      </c>
      <c r="F53" s="159">
        <f>D53/E53</f>
        <v>750</v>
      </c>
      <c r="G53" s="159">
        <f t="shared" si="1"/>
        <v>202.5</v>
      </c>
      <c r="H53" s="159">
        <f t="shared" si="2"/>
        <v>0</v>
      </c>
      <c r="I53" s="159">
        <f t="shared" si="3"/>
        <v>0</v>
      </c>
      <c r="J53" s="159">
        <f t="shared" si="4"/>
        <v>0</v>
      </c>
      <c r="K53" s="159">
        <f t="shared" si="6"/>
        <v>953</v>
      </c>
    </row>
    <row r="54" spans="1:11" ht="12.75" customHeight="1">
      <c r="B54" s="160" t="s">
        <v>2567</v>
      </c>
      <c r="C54" s="165"/>
      <c r="D54" s="262"/>
      <c r="E54" s="162">
        <f>$E$11</f>
        <v>24</v>
      </c>
      <c r="F54" s="263">
        <f>D54/E54</f>
        <v>0</v>
      </c>
      <c r="G54" s="263">
        <f>$F54*$G$11</f>
        <v>0</v>
      </c>
      <c r="H54" s="263">
        <f>F54*$H$11</f>
        <v>0</v>
      </c>
      <c r="I54" s="263">
        <f>$F54*$I$11</f>
        <v>0</v>
      </c>
      <c r="J54" s="263">
        <f>($F54+$I54)*$J$11</f>
        <v>0</v>
      </c>
      <c r="K54" s="263">
        <v>973.67</v>
      </c>
    </row>
    <row r="55" spans="1:11" ht="12.75" customHeight="1">
      <c r="A55" s="57">
        <f>A53+1</f>
        <v>30</v>
      </c>
      <c r="B55" s="160" t="s">
        <v>286</v>
      </c>
      <c r="C55" s="161"/>
      <c r="D55" s="157">
        <v>8000</v>
      </c>
      <c r="E55" s="162">
        <f t="shared" si="0"/>
        <v>24</v>
      </c>
      <c r="F55" s="159">
        <f t="shared" si="5"/>
        <v>333.33333333333331</v>
      </c>
      <c r="G55" s="159">
        <f t="shared" si="1"/>
        <v>90</v>
      </c>
      <c r="H55" s="159">
        <f t="shared" si="2"/>
        <v>0</v>
      </c>
      <c r="I55" s="159">
        <f t="shared" si="3"/>
        <v>0</v>
      </c>
      <c r="J55" s="159">
        <f t="shared" si="4"/>
        <v>0</v>
      </c>
      <c r="K55" s="159">
        <f t="shared" si="6"/>
        <v>424</v>
      </c>
    </row>
    <row r="56" spans="1:11" ht="12.75" customHeight="1">
      <c r="A56" s="57">
        <f t="shared" si="7"/>
        <v>31</v>
      </c>
      <c r="B56" s="160" t="s">
        <v>287</v>
      </c>
      <c r="C56" s="161"/>
      <c r="D56" s="157">
        <v>9200</v>
      </c>
      <c r="E56" s="162">
        <f t="shared" si="0"/>
        <v>24</v>
      </c>
      <c r="F56" s="159">
        <f t="shared" si="5"/>
        <v>383.33333333333331</v>
      </c>
      <c r="G56" s="159">
        <f t="shared" si="1"/>
        <v>103.5</v>
      </c>
      <c r="H56" s="159">
        <f t="shared" si="2"/>
        <v>0</v>
      </c>
      <c r="I56" s="159">
        <f t="shared" si="3"/>
        <v>0</v>
      </c>
      <c r="J56" s="159">
        <f t="shared" si="4"/>
        <v>0</v>
      </c>
      <c r="K56" s="159">
        <f t="shared" si="6"/>
        <v>487</v>
      </c>
    </row>
    <row r="57" spans="1:11" ht="12.75" customHeight="1">
      <c r="A57" s="57">
        <f t="shared" si="7"/>
        <v>32</v>
      </c>
      <c r="B57" s="160" t="s">
        <v>288</v>
      </c>
      <c r="C57" s="164"/>
      <c r="D57" s="157">
        <v>11200</v>
      </c>
      <c r="E57" s="162">
        <f t="shared" si="0"/>
        <v>24</v>
      </c>
      <c r="F57" s="159">
        <f t="shared" si="5"/>
        <v>466.66666666666669</v>
      </c>
      <c r="G57" s="159">
        <f t="shared" si="1"/>
        <v>126.00000000000001</v>
      </c>
      <c r="H57" s="159">
        <f t="shared" si="2"/>
        <v>0</v>
      </c>
      <c r="I57" s="159">
        <f t="shared" si="3"/>
        <v>0</v>
      </c>
      <c r="J57" s="159">
        <f t="shared" si="4"/>
        <v>0</v>
      </c>
      <c r="K57" s="159">
        <f t="shared" si="6"/>
        <v>593</v>
      </c>
    </row>
    <row r="58" spans="1:11" ht="12.75" customHeight="1">
      <c r="A58" s="57">
        <f t="shared" si="7"/>
        <v>33</v>
      </c>
      <c r="B58" s="160" t="s">
        <v>289</v>
      </c>
      <c r="C58" s="164"/>
      <c r="D58" s="157">
        <v>12000</v>
      </c>
      <c r="E58" s="162">
        <f t="shared" si="0"/>
        <v>24</v>
      </c>
      <c r="F58" s="159">
        <f t="shared" si="5"/>
        <v>500</v>
      </c>
      <c r="G58" s="159">
        <f t="shared" si="1"/>
        <v>135</v>
      </c>
      <c r="H58" s="159">
        <f t="shared" si="2"/>
        <v>0</v>
      </c>
      <c r="I58" s="159">
        <f t="shared" si="3"/>
        <v>0</v>
      </c>
      <c r="J58" s="159">
        <f t="shared" si="4"/>
        <v>0</v>
      </c>
      <c r="K58" s="159">
        <f t="shared" si="6"/>
        <v>635</v>
      </c>
    </row>
    <row r="59" spans="1:11" ht="12.75" customHeight="1">
      <c r="A59" s="57">
        <f t="shared" si="7"/>
        <v>34</v>
      </c>
      <c r="B59" s="160" t="s">
        <v>290</v>
      </c>
      <c r="C59" s="164"/>
      <c r="D59" s="157">
        <v>14000</v>
      </c>
      <c r="E59" s="162">
        <f t="shared" si="0"/>
        <v>24</v>
      </c>
      <c r="F59" s="159">
        <f t="shared" si="5"/>
        <v>583.33333333333337</v>
      </c>
      <c r="G59" s="159">
        <f t="shared" si="1"/>
        <v>157.50000000000003</v>
      </c>
      <c r="H59" s="159">
        <f t="shared" si="2"/>
        <v>0</v>
      </c>
      <c r="I59" s="159">
        <f t="shared" si="3"/>
        <v>0</v>
      </c>
      <c r="J59" s="159">
        <f t="shared" si="4"/>
        <v>0</v>
      </c>
      <c r="K59" s="159">
        <f t="shared" si="6"/>
        <v>741</v>
      </c>
    </row>
    <row r="60" spans="1:11" ht="12.75" customHeight="1">
      <c r="A60" s="57">
        <f t="shared" si="7"/>
        <v>35</v>
      </c>
      <c r="B60" s="160" t="s">
        <v>291</v>
      </c>
      <c r="C60" s="164"/>
      <c r="D60" s="157">
        <v>14000</v>
      </c>
      <c r="E60" s="162">
        <f t="shared" si="0"/>
        <v>24</v>
      </c>
      <c r="F60" s="159">
        <f t="shared" si="5"/>
        <v>583.33333333333337</v>
      </c>
      <c r="G60" s="159">
        <f t="shared" si="1"/>
        <v>157.50000000000003</v>
      </c>
      <c r="H60" s="159">
        <f t="shared" si="2"/>
        <v>0</v>
      </c>
      <c r="I60" s="159">
        <f t="shared" si="3"/>
        <v>0</v>
      </c>
      <c r="J60" s="159">
        <f t="shared" si="4"/>
        <v>0</v>
      </c>
      <c r="K60" s="159">
        <f t="shared" si="6"/>
        <v>741</v>
      </c>
    </row>
    <row r="61" spans="1:11" ht="12.75" customHeight="1">
      <c r="A61" s="57">
        <f t="shared" si="7"/>
        <v>36</v>
      </c>
      <c r="B61" s="160" t="s">
        <v>292</v>
      </c>
      <c r="C61" s="164"/>
      <c r="D61" s="163">
        <v>15300</v>
      </c>
      <c r="E61" s="162">
        <f t="shared" si="0"/>
        <v>24</v>
      </c>
      <c r="F61" s="159">
        <f>D61/E61</f>
        <v>637.5</v>
      </c>
      <c r="G61" s="159">
        <f t="shared" si="1"/>
        <v>172.125</v>
      </c>
      <c r="H61" s="159">
        <f t="shared" si="2"/>
        <v>0</v>
      </c>
      <c r="I61" s="159">
        <f t="shared" si="3"/>
        <v>0</v>
      </c>
      <c r="J61" s="159">
        <f t="shared" si="4"/>
        <v>0</v>
      </c>
      <c r="K61" s="159">
        <f>ROUNDUP((SUM(F61:J61)),0)</f>
        <v>810</v>
      </c>
    </row>
    <row r="62" spans="1:11" ht="12.75" customHeight="1">
      <c r="A62" s="57">
        <f t="shared" si="7"/>
        <v>37</v>
      </c>
      <c r="B62" s="160" t="s">
        <v>293</v>
      </c>
      <c r="C62" s="164"/>
      <c r="D62" s="157">
        <v>15500</v>
      </c>
      <c r="E62" s="162">
        <f t="shared" si="0"/>
        <v>24</v>
      </c>
      <c r="F62" s="159">
        <f t="shared" si="5"/>
        <v>645.83333333333337</v>
      </c>
      <c r="G62" s="159">
        <f t="shared" si="1"/>
        <v>174.37500000000003</v>
      </c>
      <c r="H62" s="159">
        <f t="shared" si="2"/>
        <v>0</v>
      </c>
      <c r="I62" s="159">
        <f t="shared" si="3"/>
        <v>0</v>
      </c>
      <c r="J62" s="159">
        <f t="shared" si="4"/>
        <v>0</v>
      </c>
      <c r="K62" s="159">
        <f t="shared" si="6"/>
        <v>821</v>
      </c>
    </row>
    <row r="63" spans="1:11" ht="12.75" customHeight="1">
      <c r="A63" s="57">
        <f t="shared" si="7"/>
        <v>38</v>
      </c>
      <c r="B63" s="160" t="s">
        <v>294</v>
      </c>
      <c r="C63" s="164"/>
      <c r="D63" s="157">
        <v>17000</v>
      </c>
      <c r="E63" s="162">
        <f t="shared" si="0"/>
        <v>24</v>
      </c>
      <c r="F63" s="159">
        <f t="shared" si="5"/>
        <v>708.33333333333337</v>
      </c>
      <c r="G63" s="159">
        <f t="shared" si="1"/>
        <v>191.25000000000003</v>
      </c>
      <c r="H63" s="159">
        <f t="shared" si="2"/>
        <v>0</v>
      </c>
      <c r="I63" s="159">
        <f t="shared" si="3"/>
        <v>0</v>
      </c>
      <c r="J63" s="159">
        <f t="shared" si="4"/>
        <v>0</v>
      </c>
      <c r="K63" s="159">
        <f t="shared" si="6"/>
        <v>900</v>
      </c>
    </row>
    <row r="64" spans="1:11" ht="12.75" customHeight="1">
      <c r="A64" s="57">
        <f t="shared" si="7"/>
        <v>39</v>
      </c>
      <c r="B64" s="160" t="s">
        <v>295</v>
      </c>
      <c r="C64" s="164"/>
      <c r="D64" s="163">
        <v>17200</v>
      </c>
      <c r="E64" s="162">
        <f t="shared" si="0"/>
        <v>24</v>
      </c>
      <c r="F64" s="159">
        <f>D64/E64</f>
        <v>716.66666666666663</v>
      </c>
      <c r="G64" s="159">
        <f t="shared" si="1"/>
        <v>193.5</v>
      </c>
      <c r="H64" s="159">
        <f t="shared" si="2"/>
        <v>0</v>
      </c>
      <c r="I64" s="159">
        <f t="shared" si="3"/>
        <v>0</v>
      </c>
      <c r="J64" s="159">
        <f t="shared" si="4"/>
        <v>0</v>
      </c>
      <c r="K64" s="159">
        <f t="shared" si="6"/>
        <v>911</v>
      </c>
    </row>
    <row r="65" spans="1:11" ht="12.75" customHeight="1">
      <c r="A65" s="57">
        <f t="shared" si="7"/>
        <v>40</v>
      </c>
      <c r="B65" s="160" t="s">
        <v>296</v>
      </c>
      <c r="C65" s="164"/>
      <c r="D65" s="163">
        <v>18200</v>
      </c>
      <c r="E65" s="162">
        <f t="shared" si="0"/>
        <v>24</v>
      </c>
      <c r="F65" s="159">
        <f>D65/E65</f>
        <v>758.33333333333337</v>
      </c>
      <c r="G65" s="159">
        <f t="shared" si="1"/>
        <v>204.75000000000003</v>
      </c>
      <c r="H65" s="159">
        <f t="shared" si="2"/>
        <v>0</v>
      </c>
      <c r="I65" s="159">
        <f t="shared" si="3"/>
        <v>0</v>
      </c>
      <c r="J65" s="159">
        <f t="shared" si="4"/>
        <v>0</v>
      </c>
      <c r="K65" s="159">
        <f t="shared" si="6"/>
        <v>964</v>
      </c>
    </row>
    <row r="66" spans="1:11" ht="12.75" customHeight="1">
      <c r="A66" s="57">
        <f t="shared" si="7"/>
        <v>41</v>
      </c>
      <c r="B66" s="160" t="s">
        <v>297</v>
      </c>
      <c r="C66" s="164"/>
      <c r="D66" s="163">
        <v>20300</v>
      </c>
      <c r="E66" s="162">
        <f t="shared" si="0"/>
        <v>24</v>
      </c>
      <c r="F66" s="159">
        <f>D66/E66</f>
        <v>845.83333333333337</v>
      </c>
      <c r="G66" s="159">
        <f t="shared" si="1"/>
        <v>228.37500000000003</v>
      </c>
      <c r="H66" s="159">
        <f t="shared" si="2"/>
        <v>0</v>
      </c>
      <c r="I66" s="159">
        <f t="shared" si="3"/>
        <v>0</v>
      </c>
      <c r="J66" s="159">
        <f t="shared" si="4"/>
        <v>0</v>
      </c>
      <c r="K66" s="159">
        <f>ROUNDUP((SUM(F66:J66)),0)</f>
        <v>1075</v>
      </c>
    </row>
    <row r="67" spans="1:11" ht="12.75" customHeight="1">
      <c r="A67" s="57">
        <f t="shared" si="7"/>
        <v>42</v>
      </c>
      <c r="B67" s="160" t="s">
        <v>297</v>
      </c>
      <c r="C67" s="164"/>
      <c r="D67" s="163">
        <v>24500</v>
      </c>
      <c r="E67" s="162">
        <f t="shared" si="0"/>
        <v>24</v>
      </c>
      <c r="F67" s="159">
        <f>D67/E67</f>
        <v>1020.8333333333334</v>
      </c>
      <c r="G67" s="159">
        <f t="shared" si="1"/>
        <v>275.625</v>
      </c>
      <c r="H67" s="159">
        <f t="shared" si="2"/>
        <v>0</v>
      </c>
      <c r="I67" s="159">
        <f t="shared" si="3"/>
        <v>0</v>
      </c>
      <c r="J67" s="159">
        <f t="shared" si="4"/>
        <v>0</v>
      </c>
      <c r="K67" s="159">
        <f>ROUNDUP((SUM(F67:J67)),0)</f>
        <v>1297</v>
      </c>
    </row>
    <row r="68" spans="1:11" ht="12.75" customHeight="1">
      <c r="A68" s="57">
        <f t="shared" si="7"/>
        <v>43</v>
      </c>
      <c r="B68" s="160" t="s">
        <v>298</v>
      </c>
      <c r="C68" s="164"/>
      <c r="D68" s="163">
        <v>19300</v>
      </c>
      <c r="E68" s="162">
        <f t="shared" si="0"/>
        <v>24</v>
      </c>
      <c r="F68" s="159">
        <f t="shared" si="5"/>
        <v>804.16666666666663</v>
      </c>
      <c r="G68" s="159">
        <f t="shared" si="1"/>
        <v>217.125</v>
      </c>
      <c r="H68" s="159">
        <f t="shared" si="2"/>
        <v>0</v>
      </c>
      <c r="I68" s="159">
        <f t="shared" si="3"/>
        <v>0</v>
      </c>
      <c r="J68" s="159">
        <f t="shared" si="4"/>
        <v>0</v>
      </c>
      <c r="K68" s="159">
        <f t="shared" si="6"/>
        <v>1022</v>
      </c>
    </row>
    <row r="69" spans="1:11" ht="12.75" customHeight="1">
      <c r="A69" s="57">
        <f t="shared" si="7"/>
        <v>44</v>
      </c>
      <c r="B69" s="160" t="s">
        <v>299</v>
      </c>
      <c r="C69" s="164"/>
      <c r="D69" s="163">
        <v>23500</v>
      </c>
      <c r="E69" s="162">
        <f t="shared" si="0"/>
        <v>24</v>
      </c>
      <c r="F69" s="159">
        <f t="shared" si="5"/>
        <v>979.16666666666663</v>
      </c>
      <c r="G69" s="159">
        <f t="shared" si="1"/>
        <v>264.375</v>
      </c>
      <c r="H69" s="159">
        <f t="shared" si="2"/>
        <v>0</v>
      </c>
      <c r="I69" s="159">
        <f t="shared" si="3"/>
        <v>0</v>
      </c>
      <c r="J69" s="159">
        <f t="shared" si="4"/>
        <v>0</v>
      </c>
      <c r="K69" s="159">
        <f t="shared" si="6"/>
        <v>1244</v>
      </c>
    </row>
    <row r="70" spans="1:11" ht="12.75" customHeight="1">
      <c r="A70" s="57">
        <f t="shared" si="7"/>
        <v>45</v>
      </c>
      <c r="B70" s="160" t="s">
        <v>300</v>
      </c>
      <c r="C70" s="164"/>
      <c r="D70" s="157">
        <v>22000</v>
      </c>
      <c r="E70" s="162">
        <f t="shared" si="0"/>
        <v>24</v>
      </c>
      <c r="F70" s="159">
        <f t="shared" si="5"/>
        <v>916.66666666666663</v>
      </c>
      <c r="G70" s="159">
        <f t="shared" si="1"/>
        <v>247.5</v>
      </c>
      <c r="H70" s="159">
        <f t="shared" si="2"/>
        <v>0</v>
      </c>
      <c r="I70" s="159">
        <f t="shared" si="3"/>
        <v>0</v>
      </c>
      <c r="J70" s="159">
        <f t="shared" si="4"/>
        <v>0</v>
      </c>
      <c r="K70" s="159">
        <f t="shared" si="6"/>
        <v>1165</v>
      </c>
    </row>
    <row r="71" spans="1:11" ht="12.75" customHeight="1">
      <c r="A71" s="57">
        <f t="shared" si="7"/>
        <v>46</v>
      </c>
      <c r="B71" s="160" t="s">
        <v>301</v>
      </c>
      <c r="C71" s="164"/>
      <c r="D71" s="163">
        <v>34900</v>
      </c>
      <c r="E71" s="162">
        <f t="shared" si="0"/>
        <v>24</v>
      </c>
      <c r="F71" s="159">
        <f>D71/E71</f>
        <v>1454.1666666666667</v>
      </c>
      <c r="G71" s="159">
        <f t="shared" si="1"/>
        <v>392.62500000000006</v>
      </c>
      <c r="H71" s="159">
        <f t="shared" si="2"/>
        <v>0</v>
      </c>
      <c r="I71" s="159">
        <f t="shared" si="3"/>
        <v>0</v>
      </c>
      <c r="J71" s="159">
        <f t="shared" si="4"/>
        <v>0</v>
      </c>
      <c r="K71" s="159">
        <f>ROUNDUP((SUM(F71:J71)),0)</f>
        <v>1847</v>
      </c>
    </row>
    <row r="72" spans="1:11" ht="12.75" customHeight="1">
      <c r="A72" s="57">
        <f t="shared" si="7"/>
        <v>47</v>
      </c>
      <c r="B72" s="160" t="s">
        <v>302</v>
      </c>
      <c r="C72" s="164"/>
      <c r="D72" s="163">
        <v>43500</v>
      </c>
      <c r="E72" s="162">
        <f t="shared" si="0"/>
        <v>24</v>
      </c>
      <c r="F72" s="159">
        <f>D72/E72</f>
        <v>1812.5</v>
      </c>
      <c r="G72" s="159">
        <f t="shared" si="1"/>
        <v>489.37500000000006</v>
      </c>
      <c r="H72" s="159">
        <f t="shared" si="2"/>
        <v>0</v>
      </c>
      <c r="I72" s="159">
        <f t="shared" si="3"/>
        <v>0</v>
      </c>
      <c r="J72" s="159">
        <f t="shared" si="4"/>
        <v>0</v>
      </c>
      <c r="K72" s="159">
        <f>ROUNDUP((SUM(F72:J72)),0)</f>
        <v>2302</v>
      </c>
    </row>
    <row r="73" spans="1:11" ht="12.75" customHeight="1">
      <c r="B73" s="160" t="s">
        <v>2518</v>
      </c>
      <c r="C73" s="165"/>
      <c r="D73" s="262">
        <v>2750</v>
      </c>
      <c r="E73" s="162">
        <f>$E$11</f>
        <v>24</v>
      </c>
      <c r="F73" s="263">
        <f>D73/E73</f>
        <v>114.58333333333333</v>
      </c>
      <c r="G73" s="263">
        <f>$F73*$G$11</f>
        <v>30.9375</v>
      </c>
      <c r="H73" s="263">
        <f>F73*$H$11</f>
        <v>0</v>
      </c>
      <c r="I73" s="263">
        <f>$F73*$I$11</f>
        <v>0</v>
      </c>
      <c r="J73" s="263">
        <f>($F73+$I73)*$J$11</f>
        <v>0</v>
      </c>
      <c r="K73" s="263">
        <v>145.52000000000001</v>
      </c>
    </row>
    <row r="74" spans="1:11" ht="12.75" customHeight="1">
      <c r="B74" s="160" t="s">
        <v>3240</v>
      </c>
      <c r="C74" s="165"/>
      <c r="D74" s="157">
        <v>2500</v>
      </c>
      <c r="E74" s="162">
        <f>$E$11</f>
        <v>24</v>
      </c>
      <c r="F74" s="159">
        <f>D74/E74</f>
        <v>104.16666666666667</v>
      </c>
      <c r="G74" s="159">
        <f>$F74*$G$11</f>
        <v>28.125000000000004</v>
      </c>
      <c r="H74" s="159">
        <f>F74*$H$11</f>
        <v>0</v>
      </c>
      <c r="I74" s="159">
        <f>$F74*$I$11</f>
        <v>0</v>
      </c>
      <c r="J74" s="159">
        <f>($F74+$I74)*$J$11</f>
        <v>0</v>
      </c>
      <c r="K74" s="159">
        <v>132.29</v>
      </c>
    </row>
    <row r="75" spans="1:11" ht="12.75" customHeight="1">
      <c r="A75" s="57">
        <f>A72+1</f>
        <v>48</v>
      </c>
      <c r="B75" s="160" t="s">
        <v>303</v>
      </c>
      <c r="C75" s="164"/>
      <c r="D75" s="157">
        <v>12000</v>
      </c>
      <c r="E75" s="162">
        <f t="shared" si="0"/>
        <v>24</v>
      </c>
      <c r="F75" s="159">
        <f t="shared" si="5"/>
        <v>500</v>
      </c>
      <c r="G75" s="159">
        <f t="shared" si="1"/>
        <v>135</v>
      </c>
      <c r="H75" s="159">
        <f t="shared" si="2"/>
        <v>0</v>
      </c>
      <c r="I75" s="159">
        <f t="shared" si="3"/>
        <v>0</v>
      </c>
      <c r="J75" s="159">
        <f t="shared" si="4"/>
        <v>0</v>
      </c>
      <c r="K75" s="159">
        <f t="shared" si="6"/>
        <v>635</v>
      </c>
    </row>
    <row r="76" spans="1:11" ht="12.75" customHeight="1">
      <c r="A76" s="57">
        <f t="shared" si="7"/>
        <v>49</v>
      </c>
      <c r="B76" s="160" t="s">
        <v>304</v>
      </c>
      <c r="C76" s="164"/>
      <c r="D76" s="163">
        <v>14500</v>
      </c>
      <c r="E76" s="162">
        <f t="shared" si="0"/>
        <v>24</v>
      </c>
      <c r="F76" s="159">
        <f>D76/E76</f>
        <v>604.16666666666663</v>
      </c>
      <c r="G76" s="159">
        <f t="shared" si="1"/>
        <v>163.125</v>
      </c>
      <c r="H76" s="159">
        <f t="shared" si="2"/>
        <v>0</v>
      </c>
      <c r="I76" s="159">
        <f t="shared" si="3"/>
        <v>0</v>
      </c>
      <c r="J76" s="159">
        <f t="shared" si="4"/>
        <v>0</v>
      </c>
      <c r="K76" s="159">
        <f>ROUNDUP((SUM(F76:J76)),0)</f>
        <v>768</v>
      </c>
    </row>
    <row r="77" spans="1:11" ht="12.75" customHeight="1">
      <c r="A77" s="57">
        <f t="shared" si="7"/>
        <v>50</v>
      </c>
      <c r="B77" s="160" t="s">
        <v>305</v>
      </c>
      <c r="C77" s="164"/>
      <c r="D77" s="163">
        <v>16600</v>
      </c>
      <c r="E77" s="162">
        <f t="shared" si="0"/>
        <v>24</v>
      </c>
      <c r="F77" s="159">
        <f>D77/E77</f>
        <v>691.66666666666663</v>
      </c>
      <c r="G77" s="159">
        <f t="shared" si="1"/>
        <v>186.75</v>
      </c>
      <c r="H77" s="159">
        <f t="shared" si="2"/>
        <v>0</v>
      </c>
      <c r="I77" s="159">
        <f t="shared" si="3"/>
        <v>0</v>
      </c>
      <c r="J77" s="159">
        <f t="shared" si="4"/>
        <v>0</v>
      </c>
      <c r="K77" s="159">
        <f>ROUNDUP((SUM(F77:J77)),0)</f>
        <v>879</v>
      </c>
    </row>
    <row r="78" spans="1:11" ht="12.75" customHeight="1">
      <c r="A78" s="57">
        <f t="shared" si="7"/>
        <v>51</v>
      </c>
      <c r="B78" s="160" t="s">
        <v>306</v>
      </c>
      <c r="C78" s="164"/>
      <c r="D78" s="157">
        <v>15000</v>
      </c>
      <c r="E78" s="162">
        <f t="shared" si="0"/>
        <v>24</v>
      </c>
      <c r="F78" s="159">
        <f t="shared" si="5"/>
        <v>625</v>
      </c>
      <c r="G78" s="159">
        <f t="shared" si="1"/>
        <v>168.75</v>
      </c>
      <c r="H78" s="159">
        <f t="shared" si="2"/>
        <v>0</v>
      </c>
      <c r="I78" s="159">
        <f t="shared" si="3"/>
        <v>0</v>
      </c>
      <c r="J78" s="159">
        <f t="shared" si="4"/>
        <v>0</v>
      </c>
      <c r="K78" s="159">
        <f t="shared" si="6"/>
        <v>794</v>
      </c>
    </row>
    <row r="79" spans="1:11" ht="12.75" customHeight="1">
      <c r="A79" s="57">
        <f t="shared" si="7"/>
        <v>52</v>
      </c>
      <c r="B79" s="160" t="s">
        <v>307</v>
      </c>
      <c r="C79" s="164"/>
      <c r="D79" s="157">
        <v>21500</v>
      </c>
      <c r="E79" s="162">
        <f t="shared" si="0"/>
        <v>24</v>
      </c>
      <c r="F79" s="159">
        <f t="shared" si="5"/>
        <v>895.83333333333337</v>
      </c>
      <c r="G79" s="159">
        <f t="shared" si="1"/>
        <v>241.87500000000003</v>
      </c>
      <c r="H79" s="159">
        <f t="shared" si="2"/>
        <v>0</v>
      </c>
      <c r="I79" s="159">
        <f t="shared" si="3"/>
        <v>0</v>
      </c>
      <c r="J79" s="159">
        <f t="shared" si="4"/>
        <v>0</v>
      </c>
      <c r="K79" s="159">
        <f t="shared" si="6"/>
        <v>1138</v>
      </c>
    </row>
    <row r="80" spans="1:11" ht="12.75" customHeight="1">
      <c r="A80" s="57">
        <f t="shared" si="7"/>
        <v>53</v>
      </c>
      <c r="B80" s="160" t="s">
        <v>308</v>
      </c>
      <c r="C80" s="164"/>
      <c r="D80" s="157">
        <v>24000</v>
      </c>
      <c r="E80" s="162">
        <f t="shared" si="0"/>
        <v>24</v>
      </c>
      <c r="F80" s="159">
        <f t="shared" si="5"/>
        <v>1000</v>
      </c>
      <c r="G80" s="159">
        <f t="shared" si="1"/>
        <v>270</v>
      </c>
      <c r="H80" s="159">
        <f t="shared" si="2"/>
        <v>0</v>
      </c>
      <c r="I80" s="159">
        <f t="shared" si="3"/>
        <v>0</v>
      </c>
      <c r="J80" s="159">
        <f t="shared" si="4"/>
        <v>0</v>
      </c>
      <c r="K80" s="159">
        <f t="shared" si="6"/>
        <v>1270</v>
      </c>
    </row>
    <row r="81" spans="1:11" ht="12.75" customHeight="1">
      <c r="A81" s="57">
        <f t="shared" si="7"/>
        <v>54</v>
      </c>
      <c r="B81" s="160" t="s">
        <v>309</v>
      </c>
      <c r="C81" s="164"/>
      <c r="D81" s="157">
        <v>9000</v>
      </c>
      <c r="E81" s="162">
        <f t="shared" si="0"/>
        <v>24</v>
      </c>
      <c r="F81" s="159">
        <f t="shared" si="5"/>
        <v>375</v>
      </c>
      <c r="G81" s="159">
        <f t="shared" si="1"/>
        <v>101.25</v>
      </c>
      <c r="H81" s="159">
        <f t="shared" si="2"/>
        <v>0</v>
      </c>
      <c r="I81" s="159">
        <f t="shared" si="3"/>
        <v>0</v>
      </c>
      <c r="J81" s="159">
        <f t="shared" si="4"/>
        <v>0</v>
      </c>
      <c r="K81" s="159">
        <f t="shared" si="6"/>
        <v>477</v>
      </c>
    </row>
    <row r="82" spans="1:11">
      <c r="A82" s="57">
        <f t="shared" si="7"/>
        <v>55</v>
      </c>
      <c r="B82" s="160" t="s">
        <v>310</v>
      </c>
      <c r="C82" s="164"/>
      <c r="D82" s="157">
        <v>12000</v>
      </c>
      <c r="E82" s="162">
        <f t="shared" si="0"/>
        <v>24</v>
      </c>
      <c r="F82" s="159">
        <f t="shared" si="5"/>
        <v>500</v>
      </c>
      <c r="G82" s="159">
        <f t="shared" si="1"/>
        <v>135</v>
      </c>
      <c r="H82" s="159">
        <f t="shared" si="2"/>
        <v>0</v>
      </c>
      <c r="I82" s="159">
        <f t="shared" si="3"/>
        <v>0</v>
      </c>
      <c r="J82" s="159">
        <f t="shared" si="4"/>
        <v>0</v>
      </c>
      <c r="K82" s="159">
        <f t="shared" si="6"/>
        <v>635</v>
      </c>
    </row>
    <row r="83" spans="1:11">
      <c r="A83" s="57">
        <f t="shared" si="7"/>
        <v>56</v>
      </c>
      <c r="B83" s="160" t="s">
        <v>311</v>
      </c>
      <c r="C83" s="164"/>
      <c r="D83" s="157">
        <v>15000</v>
      </c>
      <c r="E83" s="162">
        <f t="shared" si="0"/>
        <v>24</v>
      </c>
      <c r="F83" s="159">
        <f t="shared" si="5"/>
        <v>625</v>
      </c>
      <c r="G83" s="159">
        <f t="shared" si="1"/>
        <v>168.75</v>
      </c>
      <c r="H83" s="159">
        <f t="shared" si="2"/>
        <v>0</v>
      </c>
      <c r="I83" s="159">
        <f t="shared" si="3"/>
        <v>0</v>
      </c>
      <c r="J83" s="159">
        <f t="shared" si="4"/>
        <v>0</v>
      </c>
      <c r="K83" s="159">
        <f t="shared" si="6"/>
        <v>794</v>
      </c>
    </row>
    <row r="84" spans="1:11">
      <c r="A84" s="57">
        <f t="shared" si="7"/>
        <v>57</v>
      </c>
      <c r="B84" s="160" t="s">
        <v>312</v>
      </c>
      <c r="C84" s="164"/>
      <c r="D84" s="157">
        <v>20000</v>
      </c>
      <c r="E84" s="162">
        <f t="shared" ref="E84:E151" si="8">$E$11</f>
        <v>24</v>
      </c>
      <c r="F84" s="159">
        <f t="shared" si="5"/>
        <v>833.33333333333337</v>
      </c>
      <c r="G84" s="159">
        <f t="shared" ref="G84:G151" si="9">$F84*$G$11</f>
        <v>225.00000000000003</v>
      </c>
      <c r="H84" s="159">
        <f t="shared" ref="H84:H151" si="10">F84*$H$11</f>
        <v>0</v>
      </c>
      <c r="I84" s="159">
        <f t="shared" ref="I84:I151" si="11">$F84*$I$11</f>
        <v>0</v>
      </c>
      <c r="J84" s="159">
        <f t="shared" ref="J84:J151" si="12">($F84+$I84)*$J$11</f>
        <v>0</v>
      </c>
      <c r="K84" s="159">
        <f t="shared" si="6"/>
        <v>1059</v>
      </c>
    </row>
    <row r="85" spans="1:11">
      <c r="A85" s="57">
        <f t="shared" si="7"/>
        <v>58</v>
      </c>
      <c r="B85" s="160" t="s">
        <v>313</v>
      </c>
      <c r="C85" s="164"/>
      <c r="D85" s="163">
        <v>28890</v>
      </c>
      <c r="E85" s="162">
        <f t="shared" si="8"/>
        <v>24</v>
      </c>
      <c r="F85" s="159">
        <f>D85/E85</f>
        <v>1203.75</v>
      </c>
      <c r="G85" s="159">
        <f t="shared" si="9"/>
        <v>325.01250000000005</v>
      </c>
      <c r="H85" s="159">
        <f t="shared" si="10"/>
        <v>0</v>
      </c>
      <c r="I85" s="159">
        <f t="shared" si="11"/>
        <v>0</v>
      </c>
      <c r="J85" s="159">
        <f t="shared" si="12"/>
        <v>0</v>
      </c>
      <c r="K85" s="159">
        <f>ROUNDUP((SUM(F85:J85)),0)</f>
        <v>1529</v>
      </c>
    </row>
    <row r="86" spans="1:11">
      <c r="A86" s="57">
        <f t="shared" si="7"/>
        <v>59</v>
      </c>
      <c r="B86" s="160" t="s">
        <v>314</v>
      </c>
      <c r="C86" s="164"/>
      <c r="D86" s="157">
        <v>9500</v>
      </c>
      <c r="E86" s="162">
        <f t="shared" si="8"/>
        <v>24</v>
      </c>
      <c r="F86" s="159">
        <f>D86/E86</f>
        <v>395.83333333333331</v>
      </c>
      <c r="G86" s="159">
        <f t="shared" si="9"/>
        <v>106.875</v>
      </c>
      <c r="H86" s="159">
        <f t="shared" si="10"/>
        <v>0</v>
      </c>
      <c r="I86" s="159">
        <f t="shared" si="11"/>
        <v>0</v>
      </c>
      <c r="J86" s="159">
        <f t="shared" si="12"/>
        <v>0</v>
      </c>
      <c r="K86" s="159">
        <f t="shared" si="6"/>
        <v>503</v>
      </c>
    </row>
    <row r="87" spans="1:11">
      <c r="A87" s="57">
        <f t="shared" si="7"/>
        <v>60</v>
      </c>
      <c r="B87" s="160" t="s">
        <v>315</v>
      </c>
      <c r="C87" s="164"/>
      <c r="D87" s="157">
        <v>10000</v>
      </c>
      <c r="E87" s="162">
        <f t="shared" si="8"/>
        <v>24</v>
      </c>
      <c r="F87" s="159">
        <f>D87/E87</f>
        <v>416.66666666666669</v>
      </c>
      <c r="G87" s="159">
        <f t="shared" si="9"/>
        <v>112.50000000000001</v>
      </c>
      <c r="H87" s="159">
        <f t="shared" si="10"/>
        <v>0</v>
      </c>
      <c r="I87" s="159">
        <f t="shared" si="11"/>
        <v>0</v>
      </c>
      <c r="J87" s="159">
        <f t="shared" si="12"/>
        <v>0</v>
      </c>
      <c r="K87" s="159">
        <f t="shared" si="6"/>
        <v>530</v>
      </c>
    </row>
    <row r="88" spans="1:11">
      <c r="A88" s="57">
        <f t="shared" si="7"/>
        <v>61</v>
      </c>
      <c r="B88" s="160" t="s">
        <v>316</v>
      </c>
      <c r="C88" s="164"/>
      <c r="D88" s="157">
        <v>14000</v>
      </c>
      <c r="E88" s="162">
        <f t="shared" si="8"/>
        <v>24</v>
      </c>
      <c r="F88" s="159">
        <f>D88/E88</f>
        <v>583.33333333333337</v>
      </c>
      <c r="G88" s="159">
        <f t="shared" si="9"/>
        <v>157.50000000000003</v>
      </c>
      <c r="H88" s="159">
        <f t="shared" si="10"/>
        <v>0</v>
      </c>
      <c r="I88" s="159">
        <f t="shared" si="11"/>
        <v>0</v>
      </c>
      <c r="J88" s="159">
        <f t="shared" si="12"/>
        <v>0</v>
      </c>
      <c r="K88" s="159">
        <f t="shared" si="6"/>
        <v>741</v>
      </c>
    </row>
    <row r="89" spans="1:11">
      <c r="A89" s="57">
        <f t="shared" si="7"/>
        <v>62</v>
      </c>
      <c r="B89" s="160" t="s">
        <v>317</v>
      </c>
      <c r="C89" s="161"/>
      <c r="D89" s="157">
        <v>75000</v>
      </c>
      <c r="E89" s="162">
        <f t="shared" si="8"/>
        <v>24</v>
      </c>
      <c r="F89" s="159">
        <f t="shared" si="5"/>
        <v>3125</v>
      </c>
      <c r="G89" s="159">
        <f t="shared" si="9"/>
        <v>843.75</v>
      </c>
      <c r="H89" s="159">
        <f t="shared" si="10"/>
        <v>0</v>
      </c>
      <c r="I89" s="159">
        <f t="shared" si="11"/>
        <v>0</v>
      </c>
      <c r="J89" s="159">
        <f t="shared" si="12"/>
        <v>0</v>
      </c>
      <c r="K89" s="159">
        <f t="shared" si="6"/>
        <v>3969</v>
      </c>
    </row>
    <row r="90" spans="1:11">
      <c r="A90" s="57">
        <f t="shared" ref="A90:A157" si="13">A89+1</f>
        <v>63</v>
      </c>
      <c r="B90" s="160" t="s">
        <v>318</v>
      </c>
      <c r="C90" s="161"/>
      <c r="D90" s="157">
        <v>60000</v>
      </c>
      <c r="E90" s="162">
        <f t="shared" si="8"/>
        <v>24</v>
      </c>
      <c r="F90" s="159">
        <f>D90/E90</f>
        <v>2500</v>
      </c>
      <c r="G90" s="159">
        <f t="shared" si="9"/>
        <v>675</v>
      </c>
      <c r="H90" s="159">
        <f t="shared" si="10"/>
        <v>0</v>
      </c>
      <c r="I90" s="159">
        <f t="shared" si="11"/>
        <v>0</v>
      </c>
      <c r="J90" s="159">
        <f t="shared" si="12"/>
        <v>0</v>
      </c>
      <c r="K90" s="159">
        <f t="shared" si="6"/>
        <v>3175</v>
      </c>
    </row>
    <row r="91" spans="1:11">
      <c r="A91" s="57">
        <f t="shared" si="13"/>
        <v>64</v>
      </c>
      <c r="B91" s="160" t="s">
        <v>319</v>
      </c>
      <c r="C91" s="161"/>
      <c r="D91" s="157">
        <v>36000</v>
      </c>
      <c r="E91" s="162">
        <f t="shared" si="8"/>
        <v>24</v>
      </c>
      <c r="F91" s="159">
        <f t="shared" si="5"/>
        <v>1500</v>
      </c>
      <c r="G91" s="159">
        <f t="shared" si="9"/>
        <v>405</v>
      </c>
      <c r="H91" s="159">
        <f t="shared" si="10"/>
        <v>0</v>
      </c>
      <c r="I91" s="159">
        <f t="shared" si="11"/>
        <v>0</v>
      </c>
      <c r="J91" s="159">
        <f t="shared" si="12"/>
        <v>0</v>
      </c>
      <c r="K91" s="159">
        <f t="shared" si="6"/>
        <v>1905</v>
      </c>
    </row>
    <row r="92" spans="1:11">
      <c r="A92" s="57">
        <f t="shared" si="13"/>
        <v>65</v>
      </c>
      <c r="B92" s="160" t="s">
        <v>320</v>
      </c>
      <c r="C92" s="161"/>
      <c r="D92" s="157">
        <v>30000</v>
      </c>
      <c r="E92" s="162">
        <f t="shared" si="8"/>
        <v>24</v>
      </c>
      <c r="F92" s="159">
        <f t="shared" si="5"/>
        <v>1250</v>
      </c>
      <c r="G92" s="159">
        <f t="shared" si="9"/>
        <v>337.5</v>
      </c>
      <c r="H92" s="159">
        <f t="shared" si="10"/>
        <v>0</v>
      </c>
      <c r="I92" s="159">
        <f t="shared" si="11"/>
        <v>0</v>
      </c>
      <c r="J92" s="159">
        <f t="shared" si="12"/>
        <v>0</v>
      </c>
      <c r="K92" s="159">
        <f t="shared" si="6"/>
        <v>1588</v>
      </c>
    </row>
    <row r="93" spans="1:11">
      <c r="A93" s="57">
        <f t="shared" si="13"/>
        <v>66</v>
      </c>
      <c r="B93" s="160" t="s">
        <v>321</v>
      </c>
      <c r="C93" s="161"/>
      <c r="D93" s="157">
        <v>24000</v>
      </c>
      <c r="E93" s="162">
        <f t="shared" si="8"/>
        <v>24</v>
      </c>
      <c r="F93" s="159">
        <f t="shared" si="5"/>
        <v>1000</v>
      </c>
      <c r="G93" s="159">
        <f t="shared" si="9"/>
        <v>270</v>
      </c>
      <c r="H93" s="159">
        <f t="shared" si="10"/>
        <v>0</v>
      </c>
      <c r="I93" s="159">
        <f t="shared" si="11"/>
        <v>0</v>
      </c>
      <c r="J93" s="159">
        <f t="shared" si="12"/>
        <v>0</v>
      </c>
      <c r="K93" s="159">
        <f t="shared" si="6"/>
        <v>1270</v>
      </c>
    </row>
    <row r="94" spans="1:11">
      <c r="A94" s="57">
        <f t="shared" si="13"/>
        <v>67</v>
      </c>
      <c r="B94" s="160" t="s">
        <v>322</v>
      </c>
      <c r="C94" s="161"/>
      <c r="D94" s="157">
        <v>9500</v>
      </c>
      <c r="E94" s="162">
        <f t="shared" si="8"/>
        <v>24</v>
      </c>
      <c r="F94" s="159">
        <f t="shared" si="5"/>
        <v>395.83333333333331</v>
      </c>
      <c r="G94" s="159">
        <f t="shared" si="9"/>
        <v>106.875</v>
      </c>
      <c r="H94" s="159">
        <f t="shared" si="10"/>
        <v>0</v>
      </c>
      <c r="I94" s="159">
        <f t="shared" si="11"/>
        <v>0</v>
      </c>
      <c r="J94" s="159">
        <f t="shared" si="12"/>
        <v>0</v>
      </c>
      <c r="K94" s="159">
        <f t="shared" si="6"/>
        <v>503</v>
      </c>
    </row>
    <row r="95" spans="1:11">
      <c r="A95" s="57">
        <f t="shared" si="13"/>
        <v>68</v>
      </c>
      <c r="B95" s="160" t="s">
        <v>323</v>
      </c>
      <c r="C95" s="161"/>
      <c r="D95" s="157">
        <v>14000</v>
      </c>
      <c r="E95" s="162">
        <f t="shared" si="8"/>
        <v>24</v>
      </c>
      <c r="F95" s="159">
        <f t="shared" si="5"/>
        <v>583.33333333333337</v>
      </c>
      <c r="G95" s="159">
        <f t="shared" si="9"/>
        <v>157.50000000000003</v>
      </c>
      <c r="H95" s="159">
        <f t="shared" si="10"/>
        <v>0</v>
      </c>
      <c r="I95" s="159">
        <f t="shared" si="11"/>
        <v>0</v>
      </c>
      <c r="J95" s="159">
        <f t="shared" si="12"/>
        <v>0</v>
      </c>
      <c r="K95" s="159">
        <f t="shared" si="6"/>
        <v>741</v>
      </c>
    </row>
    <row r="96" spans="1:11">
      <c r="A96" s="57">
        <f t="shared" si="13"/>
        <v>69</v>
      </c>
      <c r="B96" s="160" t="s">
        <v>324</v>
      </c>
      <c r="C96" s="161"/>
      <c r="D96" s="157">
        <v>15000</v>
      </c>
      <c r="E96" s="162">
        <f t="shared" si="8"/>
        <v>24</v>
      </c>
      <c r="F96" s="159">
        <f t="shared" si="5"/>
        <v>625</v>
      </c>
      <c r="G96" s="159">
        <f t="shared" si="9"/>
        <v>168.75</v>
      </c>
      <c r="H96" s="159">
        <f t="shared" si="10"/>
        <v>0</v>
      </c>
      <c r="I96" s="159">
        <f t="shared" si="11"/>
        <v>0</v>
      </c>
      <c r="J96" s="159">
        <f t="shared" si="12"/>
        <v>0</v>
      </c>
      <c r="K96" s="159">
        <f t="shared" si="6"/>
        <v>794</v>
      </c>
    </row>
    <row r="97" spans="1:11">
      <c r="A97" s="57">
        <f t="shared" si="13"/>
        <v>70</v>
      </c>
      <c r="B97" s="160" t="s">
        <v>325</v>
      </c>
      <c r="C97" s="161"/>
      <c r="D97" s="157">
        <v>12000</v>
      </c>
      <c r="E97" s="162">
        <f t="shared" si="8"/>
        <v>24</v>
      </c>
      <c r="F97" s="159">
        <f t="shared" si="5"/>
        <v>500</v>
      </c>
      <c r="G97" s="159">
        <f t="shared" si="9"/>
        <v>135</v>
      </c>
      <c r="H97" s="159">
        <f t="shared" si="10"/>
        <v>0</v>
      </c>
      <c r="I97" s="159">
        <f t="shared" si="11"/>
        <v>0</v>
      </c>
      <c r="J97" s="159">
        <f t="shared" si="12"/>
        <v>0</v>
      </c>
      <c r="K97" s="159">
        <f t="shared" si="6"/>
        <v>635</v>
      </c>
    </row>
    <row r="98" spans="1:11">
      <c r="A98" s="57">
        <f t="shared" si="13"/>
        <v>71</v>
      </c>
      <c r="B98" s="160" t="s">
        <v>893</v>
      </c>
      <c r="C98" s="161"/>
      <c r="D98" s="157">
        <v>8000</v>
      </c>
      <c r="E98" s="162">
        <f t="shared" si="8"/>
        <v>24</v>
      </c>
      <c r="F98" s="159">
        <f t="shared" si="5"/>
        <v>333.33333333333331</v>
      </c>
      <c r="G98" s="159">
        <f t="shared" si="9"/>
        <v>90</v>
      </c>
      <c r="H98" s="159">
        <f t="shared" si="10"/>
        <v>0</v>
      </c>
      <c r="I98" s="159">
        <f t="shared" si="11"/>
        <v>0</v>
      </c>
      <c r="J98" s="159">
        <f t="shared" si="12"/>
        <v>0</v>
      </c>
      <c r="K98" s="159">
        <f t="shared" si="6"/>
        <v>424</v>
      </c>
    </row>
    <row r="99" spans="1:11">
      <c r="A99" s="57">
        <f t="shared" si="13"/>
        <v>72</v>
      </c>
      <c r="B99" s="160" t="s">
        <v>326</v>
      </c>
      <c r="C99" s="161"/>
      <c r="D99" s="157">
        <v>6000</v>
      </c>
      <c r="E99" s="162">
        <f t="shared" si="8"/>
        <v>24</v>
      </c>
      <c r="F99" s="159">
        <f t="shared" si="5"/>
        <v>250</v>
      </c>
      <c r="G99" s="159">
        <f t="shared" si="9"/>
        <v>67.5</v>
      </c>
      <c r="H99" s="159">
        <f t="shared" si="10"/>
        <v>0</v>
      </c>
      <c r="I99" s="159">
        <f t="shared" si="11"/>
        <v>0</v>
      </c>
      <c r="J99" s="159">
        <f t="shared" si="12"/>
        <v>0</v>
      </c>
      <c r="K99" s="159">
        <f t="shared" si="6"/>
        <v>318</v>
      </c>
    </row>
    <row r="100" spans="1:11">
      <c r="A100" s="57">
        <f t="shared" si="13"/>
        <v>73</v>
      </c>
      <c r="B100" s="160" t="s">
        <v>327</v>
      </c>
      <c r="C100" s="161"/>
      <c r="D100" s="157">
        <v>6000</v>
      </c>
      <c r="E100" s="162">
        <f t="shared" si="8"/>
        <v>24</v>
      </c>
      <c r="F100" s="159">
        <f t="shared" si="5"/>
        <v>250</v>
      </c>
      <c r="G100" s="159">
        <f t="shared" si="9"/>
        <v>67.5</v>
      </c>
      <c r="H100" s="159">
        <f t="shared" si="10"/>
        <v>0</v>
      </c>
      <c r="I100" s="159">
        <f t="shared" si="11"/>
        <v>0</v>
      </c>
      <c r="J100" s="159">
        <f t="shared" si="12"/>
        <v>0</v>
      </c>
      <c r="K100" s="159">
        <f t="shared" si="6"/>
        <v>318</v>
      </c>
    </row>
    <row r="101" spans="1:11">
      <c r="A101" s="57">
        <f t="shared" si="13"/>
        <v>74</v>
      </c>
      <c r="B101" s="160" t="s">
        <v>328</v>
      </c>
      <c r="C101" s="161"/>
      <c r="D101" s="157">
        <v>6000</v>
      </c>
      <c r="E101" s="162">
        <f t="shared" si="8"/>
        <v>24</v>
      </c>
      <c r="F101" s="159">
        <f t="shared" si="5"/>
        <v>250</v>
      </c>
      <c r="G101" s="159">
        <f t="shared" si="9"/>
        <v>67.5</v>
      </c>
      <c r="H101" s="159">
        <f t="shared" si="10"/>
        <v>0</v>
      </c>
      <c r="I101" s="159">
        <f t="shared" si="11"/>
        <v>0</v>
      </c>
      <c r="J101" s="159">
        <f t="shared" si="12"/>
        <v>0</v>
      </c>
      <c r="K101" s="159">
        <f t="shared" si="6"/>
        <v>318</v>
      </c>
    </row>
    <row r="102" spans="1:11">
      <c r="A102" s="57">
        <f t="shared" si="13"/>
        <v>75</v>
      </c>
      <c r="B102" s="160" t="s">
        <v>329</v>
      </c>
      <c r="C102" s="161"/>
      <c r="D102" s="157">
        <v>6000</v>
      </c>
      <c r="E102" s="162">
        <f t="shared" si="8"/>
        <v>24</v>
      </c>
      <c r="F102" s="159">
        <f t="shared" si="5"/>
        <v>250</v>
      </c>
      <c r="G102" s="159">
        <f t="shared" si="9"/>
        <v>67.5</v>
      </c>
      <c r="H102" s="159">
        <f t="shared" si="10"/>
        <v>0</v>
      </c>
      <c r="I102" s="159">
        <f t="shared" si="11"/>
        <v>0</v>
      </c>
      <c r="J102" s="159">
        <f t="shared" si="12"/>
        <v>0</v>
      </c>
      <c r="K102" s="159">
        <f>ROUNDUP((SUM(F102:J102)),0)</f>
        <v>318</v>
      </c>
    </row>
    <row r="103" spans="1:11">
      <c r="A103" s="57">
        <f t="shared" si="13"/>
        <v>76</v>
      </c>
      <c r="B103" s="160" t="s">
        <v>330</v>
      </c>
      <c r="C103" s="161"/>
      <c r="D103" s="157">
        <v>6000</v>
      </c>
      <c r="E103" s="162">
        <f t="shared" si="8"/>
        <v>24</v>
      </c>
      <c r="F103" s="159">
        <f t="shared" si="5"/>
        <v>250</v>
      </c>
      <c r="G103" s="159">
        <f t="shared" si="9"/>
        <v>67.5</v>
      </c>
      <c r="H103" s="159">
        <f t="shared" si="10"/>
        <v>0</v>
      </c>
      <c r="I103" s="159">
        <f t="shared" si="11"/>
        <v>0</v>
      </c>
      <c r="J103" s="159">
        <f t="shared" si="12"/>
        <v>0</v>
      </c>
      <c r="K103" s="159">
        <f t="shared" ref="K103:K178" si="14">ROUNDUP((SUM(F103:J103)),0)</f>
        <v>318</v>
      </c>
    </row>
    <row r="104" spans="1:11">
      <c r="A104" s="57">
        <f t="shared" si="13"/>
        <v>77</v>
      </c>
      <c r="B104" s="160" t="s">
        <v>331</v>
      </c>
      <c r="C104" s="161"/>
      <c r="D104" s="157">
        <v>6000</v>
      </c>
      <c r="E104" s="162">
        <f t="shared" si="8"/>
        <v>24</v>
      </c>
      <c r="F104" s="159">
        <f t="shared" si="5"/>
        <v>250</v>
      </c>
      <c r="G104" s="159">
        <f t="shared" si="9"/>
        <v>67.5</v>
      </c>
      <c r="H104" s="159">
        <f t="shared" si="10"/>
        <v>0</v>
      </c>
      <c r="I104" s="159">
        <f t="shared" si="11"/>
        <v>0</v>
      </c>
      <c r="J104" s="159">
        <f t="shared" si="12"/>
        <v>0</v>
      </c>
      <c r="K104" s="159">
        <f t="shared" si="14"/>
        <v>318</v>
      </c>
    </row>
    <row r="105" spans="1:11">
      <c r="A105" s="57">
        <f t="shared" si="13"/>
        <v>78</v>
      </c>
      <c r="B105" s="160" t="s">
        <v>332</v>
      </c>
      <c r="C105" s="161"/>
      <c r="D105" s="157">
        <v>6000</v>
      </c>
      <c r="E105" s="162">
        <f t="shared" si="8"/>
        <v>24</v>
      </c>
      <c r="F105" s="159">
        <f t="shared" si="5"/>
        <v>250</v>
      </c>
      <c r="G105" s="159">
        <f t="shared" si="9"/>
        <v>67.5</v>
      </c>
      <c r="H105" s="159">
        <f t="shared" si="10"/>
        <v>0</v>
      </c>
      <c r="I105" s="159">
        <f t="shared" si="11"/>
        <v>0</v>
      </c>
      <c r="J105" s="159">
        <f t="shared" si="12"/>
        <v>0</v>
      </c>
      <c r="K105" s="159">
        <f t="shared" si="14"/>
        <v>318</v>
      </c>
    </row>
    <row r="106" spans="1:11">
      <c r="A106" s="57">
        <f t="shared" si="13"/>
        <v>79</v>
      </c>
      <c r="B106" s="160" t="s">
        <v>333</v>
      </c>
      <c r="C106" s="161"/>
      <c r="D106" s="157">
        <v>6000</v>
      </c>
      <c r="E106" s="162">
        <f t="shared" si="8"/>
        <v>24</v>
      </c>
      <c r="F106" s="159">
        <f t="shared" si="5"/>
        <v>250</v>
      </c>
      <c r="G106" s="159">
        <f t="shared" si="9"/>
        <v>67.5</v>
      </c>
      <c r="H106" s="159">
        <f t="shared" si="10"/>
        <v>0</v>
      </c>
      <c r="I106" s="159">
        <f t="shared" si="11"/>
        <v>0</v>
      </c>
      <c r="J106" s="159">
        <f t="shared" si="12"/>
        <v>0</v>
      </c>
      <c r="K106" s="159">
        <f t="shared" si="14"/>
        <v>318</v>
      </c>
    </row>
    <row r="107" spans="1:11">
      <c r="A107" s="57">
        <f t="shared" si="13"/>
        <v>80</v>
      </c>
      <c r="B107" s="160" t="s">
        <v>334</v>
      </c>
      <c r="C107" s="161"/>
      <c r="D107" s="157">
        <v>6000</v>
      </c>
      <c r="E107" s="162">
        <f t="shared" si="8"/>
        <v>24</v>
      </c>
      <c r="F107" s="159">
        <f t="shared" si="5"/>
        <v>250</v>
      </c>
      <c r="G107" s="159">
        <f t="shared" si="9"/>
        <v>67.5</v>
      </c>
      <c r="H107" s="159">
        <f t="shared" si="10"/>
        <v>0</v>
      </c>
      <c r="I107" s="159">
        <f t="shared" si="11"/>
        <v>0</v>
      </c>
      <c r="J107" s="159">
        <f t="shared" si="12"/>
        <v>0</v>
      </c>
      <c r="K107" s="159">
        <f t="shared" si="14"/>
        <v>318</v>
      </c>
    </row>
    <row r="108" spans="1:11">
      <c r="A108" s="57">
        <f t="shared" si="13"/>
        <v>81</v>
      </c>
      <c r="B108" s="160" t="s">
        <v>335</v>
      </c>
      <c r="C108" s="161"/>
      <c r="D108" s="157">
        <v>4000</v>
      </c>
      <c r="E108" s="162">
        <f t="shared" si="8"/>
        <v>24</v>
      </c>
      <c r="F108" s="159">
        <f t="shared" si="5"/>
        <v>166.66666666666666</v>
      </c>
      <c r="G108" s="159">
        <f t="shared" si="9"/>
        <v>45</v>
      </c>
      <c r="H108" s="159">
        <f t="shared" si="10"/>
        <v>0</v>
      </c>
      <c r="I108" s="159">
        <f t="shared" si="11"/>
        <v>0</v>
      </c>
      <c r="J108" s="159">
        <f t="shared" si="12"/>
        <v>0</v>
      </c>
      <c r="K108" s="159">
        <f t="shared" si="14"/>
        <v>212</v>
      </c>
    </row>
    <row r="109" spans="1:11">
      <c r="A109" s="57">
        <f t="shared" si="13"/>
        <v>82</v>
      </c>
      <c r="B109" s="160" t="s">
        <v>336</v>
      </c>
      <c r="C109" s="161"/>
      <c r="D109" s="157">
        <v>6000</v>
      </c>
      <c r="E109" s="162">
        <f t="shared" si="8"/>
        <v>24</v>
      </c>
      <c r="F109" s="159">
        <f>D109/E109</f>
        <v>250</v>
      </c>
      <c r="G109" s="159">
        <f t="shared" si="9"/>
        <v>67.5</v>
      </c>
      <c r="H109" s="159">
        <f t="shared" si="10"/>
        <v>0</v>
      </c>
      <c r="I109" s="159">
        <f t="shared" si="11"/>
        <v>0</v>
      </c>
      <c r="J109" s="159">
        <f t="shared" si="12"/>
        <v>0</v>
      </c>
      <c r="K109" s="159">
        <f t="shared" si="14"/>
        <v>318</v>
      </c>
    </row>
    <row r="110" spans="1:11">
      <c r="A110" s="57">
        <f t="shared" si="13"/>
        <v>83</v>
      </c>
      <c r="B110" s="160" t="s">
        <v>337</v>
      </c>
      <c r="C110" s="161"/>
      <c r="D110" s="157">
        <v>700</v>
      </c>
      <c r="E110" s="162">
        <f t="shared" si="8"/>
        <v>24</v>
      </c>
      <c r="F110" s="159">
        <f>D110/E110</f>
        <v>29.166666666666668</v>
      </c>
      <c r="G110" s="159">
        <f t="shared" si="9"/>
        <v>7.8750000000000009</v>
      </c>
      <c r="H110" s="159">
        <f t="shared" si="10"/>
        <v>0</v>
      </c>
      <c r="I110" s="159">
        <f t="shared" si="11"/>
        <v>0</v>
      </c>
      <c r="J110" s="159">
        <f t="shared" si="12"/>
        <v>0</v>
      </c>
      <c r="K110" s="159">
        <f t="shared" si="14"/>
        <v>38</v>
      </c>
    </row>
    <row r="111" spans="1:11">
      <c r="A111" s="57">
        <f t="shared" si="13"/>
        <v>84</v>
      </c>
      <c r="B111" s="160" t="s">
        <v>338</v>
      </c>
      <c r="C111" s="161"/>
      <c r="D111" s="157">
        <v>800</v>
      </c>
      <c r="E111" s="162">
        <f t="shared" si="8"/>
        <v>24</v>
      </c>
      <c r="F111" s="159">
        <f t="shared" si="5"/>
        <v>33.333333333333336</v>
      </c>
      <c r="G111" s="159">
        <f t="shared" si="9"/>
        <v>9.0000000000000018</v>
      </c>
      <c r="H111" s="159">
        <f t="shared" si="10"/>
        <v>0</v>
      </c>
      <c r="I111" s="159">
        <f t="shared" si="11"/>
        <v>0</v>
      </c>
      <c r="J111" s="159">
        <f t="shared" si="12"/>
        <v>0</v>
      </c>
      <c r="K111" s="159">
        <f t="shared" si="14"/>
        <v>43</v>
      </c>
    </row>
    <row r="112" spans="1:11">
      <c r="A112" s="57">
        <f t="shared" si="13"/>
        <v>85</v>
      </c>
      <c r="B112" s="160" t="s">
        <v>339</v>
      </c>
      <c r="C112" s="161"/>
      <c r="D112" s="157">
        <v>900</v>
      </c>
      <c r="E112" s="162">
        <f t="shared" si="8"/>
        <v>24</v>
      </c>
      <c r="F112" s="159">
        <f t="shared" si="5"/>
        <v>37.5</v>
      </c>
      <c r="G112" s="159">
        <f t="shared" si="9"/>
        <v>10.125</v>
      </c>
      <c r="H112" s="159">
        <f t="shared" si="10"/>
        <v>0</v>
      </c>
      <c r="I112" s="159">
        <f t="shared" si="11"/>
        <v>0</v>
      </c>
      <c r="J112" s="159">
        <f t="shared" si="12"/>
        <v>0</v>
      </c>
      <c r="K112" s="159">
        <f t="shared" si="14"/>
        <v>48</v>
      </c>
    </row>
    <row r="113" spans="1:11">
      <c r="A113" s="57">
        <f t="shared" si="13"/>
        <v>86</v>
      </c>
      <c r="B113" s="160" t="s">
        <v>340</v>
      </c>
      <c r="C113" s="161"/>
      <c r="D113" s="157">
        <v>1000</v>
      </c>
      <c r="E113" s="162">
        <f t="shared" si="8"/>
        <v>24</v>
      </c>
      <c r="F113" s="159">
        <f t="shared" si="5"/>
        <v>41.666666666666664</v>
      </c>
      <c r="G113" s="159">
        <f t="shared" si="9"/>
        <v>11.25</v>
      </c>
      <c r="H113" s="159">
        <f t="shared" si="10"/>
        <v>0</v>
      </c>
      <c r="I113" s="159">
        <f t="shared" si="11"/>
        <v>0</v>
      </c>
      <c r="J113" s="159">
        <f t="shared" si="12"/>
        <v>0</v>
      </c>
      <c r="K113" s="159">
        <f t="shared" si="14"/>
        <v>53</v>
      </c>
    </row>
    <row r="114" spans="1:11">
      <c r="A114" s="57">
        <f t="shared" si="13"/>
        <v>87</v>
      </c>
      <c r="B114" s="160" t="s">
        <v>341</v>
      </c>
      <c r="C114" s="161"/>
      <c r="D114" s="157">
        <v>1300</v>
      </c>
      <c r="E114" s="162">
        <f t="shared" si="8"/>
        <v>24</v>
      </c>
      <c r="F114" s="159">
        <f t="shared" si="5"/>
        <v>54.166666666666664</v>
      </c>
      <c r="G114" s="159">
        <f t="shared" si="9"/>
        <v>14.625</v>
      </c>
      <c r="H114" s="159">
        <f t="shared" si="10"/>
        <v>0</v>
      </c>
      <c r="I114" s="159">
        <f t="shared" si="11"/>
        <v>0</v>
      </c>
      <c r="J114" s="159">
        <f t="shared" si="12"/>
        <v>0</v>
      </c>
      <c r="K114" s="159">
        <f t="shared" si="14"/>
        <v>69</v>
      </c>
    </row>
    <row r="115" spans="1:11">
      <c r="B115" s="160" t="s">
        <v>2405</v>
      </c>
      <c r="C115" s="165"/>
      <c r="D115" s="262">
        <v>1493</v>
      </c>
      <c r="E115" s="162">
        <f>$E$11</f>
        <v>24</v>
      </c>
      <c r="F115" s="263">
        <f>D115/E115</f>
        <v>62.208333333333336</v>
      </c>
      <c r="G115" s="263">
        <f>$F115*$G$11</f>
        <v>16.796250000000001</v>
      </c>
      <c r="H115" s="263">
        <f>F115*$H$11</f>
        <v>0</v>
      </c>
      <c r="I115" s="263">
        <f>$F115*$I$11</f>
        <v>0</v>
      </c>
      <c r="J115" s="263">
        <f>($F115+$I115)*$J$11</f>
        <v>0</v>
      </c>
      <c r="K115" s="263">
        <v>79</v>
      </c>
    </row>
    <row r="116" spans="1:11">
      <c r="A116" s="57">
        <f>A114+1</f>
        <v>88</v>
      </c>
      <c r="B116" s="160" t="s">
        <v>342</v>
      </c>
      <c r="C116" s="161"/>
      <c r="D116" s="157">
        <v>2000</v>
      </c>
      <c r="E116" s="162">
        <f t="shared" si="8"/>
        <v>24</v>
      </c>
      <c r="F116" s="159">
        <f t="shared" si="5"/>
        <v>83.333333333333329</v>
      </c>
      <c r="G116" s="159">
        <f t="shared" si="9"/>
        <v>22.5</v>
      </c>
      <c r="H116" s="159">
        <f t="shared" si="10"/>
        <v>0</v>
      </c>
      <c r="I116" s="159">
        <f t="shared" si="11"/>
        <v>0</v>
      </c>
      <c r="J116" s="159">
        <f t="shared" si="12"/>
        <v>0</v>
      </c>
      <c r="K116" s="159">
        <f t="shared" si="14"/>
        <v>106</v>
      </c>
    </row>
    <row r="117" spans="1:11">
      <c r="A117" s="57">
        <f t="shared" si="13"/>
        <v>89</v>
      </c>
      <c r="B117" s="160" t="s">
        <v>343</v>
      </c>
      <c r="C117" s="161"/>
      <c r="D117" s="157">
        <v>2800</v>
      </c>
      <c r="E117" s="162">
        <f t="shared" si="8"/>
        <v>24</v>
      </c>
      <c r="F117" s="159">
        <f t="shared" si="5"/>
        <v>116.66666666666667</v>
      </c>
      <c r="G117" s="159">
        <f t="shared" si="9"/>
        <v>31.500000000000004</v>
      </c>
      <c r="H117" s="159">
        <f t="shared" si="10"/>
        <v>0</v>
      </c>
      <c r="I117" s="159">
        <f t="shared" si="11"/>
        <v>0</v>
      </c>
      <c r="J117" s="159">
        <f t="shared" si="12"/>
        <v>0</v>
      </c>
      <c r="K117" s="159">
        <f t="shared" si="14"/>
        <v>149</v>
      </c>
    </row>
    <row r="118" spans="1:11">
      <c r="A118" s="57">
        <f t="shared" si="13"/>
        <v>90</v>
      </c>
      <c r="B118" s="160" t="s">
        <v>344</v>
      </c>
      <c r="C118" s="161"/>
      <c r="D118" s="157">
        <v>3600</v>
      </c>
      <c r="E118" s="162">
        <f t="shared" si="8"/>
        <v>24</v>
      </c>
      <c r="F118" s="159">
        <f t="shared" si="5"/>
        <v>150</v>
      </c>
      <c r="G118" s="159">
        <f t="shared" si="9"/>
        <v>40.5</v>
      </c>
      <c r="H118" s="159">
        <f t="shared" si="10"/>
        <v>0</v>
      </c>
      <c r="I118" s="159">
        <f t="shared" si="11"/>
        <v>0</v>
      </c>
      <c r="J118" s="159">
        <f t="shared" si="12"/>
        <v>0</v>
      </c>
      <c r="K118" s="159">
        <f t="shared" si="14"/>
        <v>191</v>
      </c>
    </row>
    <row r="119" spans="1:11">
      <c r="A119" s="57">
        <f t="shared" si="13"/>
        <v>91</v>
      </c>
      <c r="B119" s="160" t="s">
        <v>345</v>
      </c>
      <c r="C119" s="161"/>
      <c r="D119" s="157">
        <v>4400</v>
      </c>
      <c r="E119" s="162">
        <f t="shared" si="8"/>
        <v>24</v>
      </c>
      <c r="F119" s="159">
        <f t="shared" si="5"/>
        <v>183.33333333333334</v>
      </c>
      <c r="G119" s="159">
        <f t="shared" si="9"/>
        <v>49.500000000000007</v>
      </c>
      <c r="H119" s="159">
        <f t="shared" si="10"/>
        <v>0</v>
      </c>
      <c r="I119" s="159">
        <f t="shared" si="11"/>
        <v>0</v>
      </c>
      <c r="J119" s="159">
        <f t="shared" si="12"/>
        <v>0</v>
      </c>
      <c r="K119" s="159">
        <f t="shared" si="14"/>
        <v>233</v>
      </c>
    </row>
    <row r="120" spans="1:11" ht="12.75" customHeight="1">
      <c r="A120" s="57">
        <f t="shared" si="13"/>
        <v>92</v>
      </c>
      <c r="B120" s="160" t="s">
        <v>346</v>
      </c>
      <c r="C120" s="161"/>
      <c r="D120" s="157">
        <v>5000</v>
      </c>
      <c r="E120" s="162">
        <f t="shared" si="8"/>
        <v>24</v>
      </c>
      <c r="F120" s="159">
        <f t="shared" si="5"/>
        <v>208.33333333333334</v>
      </c>
      <c r="G120" s="159">
        <f t="shared" si="9"/>
        <v>56.250000000000007</v>
      </c>
      <c r="H120" s="159">
        <f t="shared" si="10"/>
        <v>0</v>
      </c>
      <c r="I120" s="159">
        <f t="shared" si="11"/>
        <v>0</v>
      </c>
      <c r="J120" s="159">
        <f t="shared" si="12"/>
        <v>0</v>
      </c>
      <c r="K120" s="159">
        <f t="shared" si="14"/>
        <v>265</v>
      </c>
    </row>
    <row r="121" spans="1:11" ht="12.75" customHeight="1">
      <c r="B121" s="269" t="s">
        <v>3260</v>
      </c>
      <c r="C121" s="165"/>
      <c r="D121" s="270">
        <v>6700</v>
      </c>
      <c r="E121" s="162">
        <f>$E$11</f>
        <v>24</v>
      </c>
      <c r="F121" s="271">
        <f>D121/E121</f>
        <v>279.16666666666669</v>
      </c>
      <c r="G121" s="271">
        <f>$F121*$G$11</f>
        <v>75.375000000000014</v>
      </c>
      <c r="H121" s="271">
        <f>F121*$H$11</f>
        <v>0</v>
      </c>
      <c r="I121" s="271">
        <f>$F121*$I$11</f>
        <v>0</v>
      </c>
      <c r="J121" s="271">
        <f>($F121+$I121)*$J$11</f>
        <v>0</v>
      </c>
      <c r="K121" s="271">
        <v>354.54</v>
      </c>
    </row>
    <row r="122" spans="1:11" ht="12.75" customHeight="1">
      <c r="B122" s="269" t="s">
        <v>3261</v>
      </c>
      <c r="C122" s="165"/>
      <c r="D122" s="270">
        <v>9300</v>
      </c>
      <c r="E122" s="162">
        <f>$E$11</f>
        <v>24</v>
      </c>
      <c r="F122" s="271">
        <f>D122/E122</f>
        <v>387.5</v>
      </c>
      <c r="G122" s="271">
        <f>$F122*$G$11</f>
        <v>104.625</v>
      </c>
      <c r="H122" s="271">
        <f>F122*$H$11</f>
        <v>0</v>
      </c>
      <c r="I122" s="271">
        <f>$F122*$I$11</f>
        <v>0</v>
      </c>
      <c r="J122" s="271">
        <f>($F122+$I122)*$J$11</f>
        <v>0</v>
      </c>
      <c r="K122" s="271">
        <v>492.13</v>
      </c>
    </row>
    <row r="123" spans="1:11" ht="12.75" customHeight="1">
      <c r="B123" s="269" t="s">
        <v>3262</v>
      </c>
      <c r="C123" s="165"/>
      <c r="D123" s="270">
        <v>4350</v>
      </c>
      <c r="E123" s="162">
        <f>$E$11</f>
        <v>24</v>
      </c>
      <c r="F123" s="271">
        <f>D123/E123</f>
        <v>181.25</v>
      </c>
      <c r="G123" s="271">
        <f>$F123*$G$11</f>
        <v>48.9375</v>
      </c>
      <c r="H123" s="271">
        <f>F123*$H$11</f>
        <v>0</v>
      </c>
      <c r="I123" s="271">
        <f>$F123*$I$11</f>
        <v>0</v>
      </c>
      <c r="J123" s="271">
        <f>($F123+$I123)*$J$11</f>
        <v>0</v>
      </c>
      <c r="K123" s="271">
        <v>230.19</v>
      </c>
    </row>
    <row r="124" spans="1:11" ht="12.75" customHeight="1">
      <c r="B124" s="269" t="s">
        <v>3263</v>
      </c>
      <c r="C124" s="165"/>
      <c r="D124" s="270">
        <v>3655</v>
      </c>
      <c r="E124" s="162">
        <f>$E$11</f>
        <v>24</v>
      </c>
      <c r="F124" s="271">
        <f>D124/E124</f>
        <v>152.29166666666666</v>
      </c>
      <c r="G124" s="271">
        <f>$F124*$G$11</f>
        <v>41.118749999999999</v>
      </c>
      <c r="H124" s="271">
        <f>F124*$H$11</f>
        <v>0</v>
      </c>
      <c r="I124" s="271">
        <f>$F124*$I$11</f>
        <v>0</v>
      </c>
      <c r="J124" s="271">
        <f>($F124+$I124)*$J$11</f>
        <v>0</v>
      </c>
      <c r="K124" s="271">
        <v>193.41</v>
      </c>
    </row>
    <row r="125" spans="1:11">
      <c r="A125" s="57">
        <f>A120+1</f>
        <v>93</v>
      </c>
      <c r="B125" s="160" t="s">
        <v>347</v>
      </c>
      <c r="C125" s="161"/>
      <c r="D125" s="157">
        <v>7000</v>
      </c>
      <c r="E125" s="162">
        <f t="shared" si="8"/>
        <v>24</v>
      </c>
      <c r="F125" s="159">
        <f t="shared" si="5"/>
        <v>291.66666666666669</v>
      </c>
      <c r="G125" s="159">
        <f t="shared" si="9"/>
        <v>78.750000000000014</v>
      </c>
      <c r="H125" s="159">
        <f t="shared" si="10"/>
        <v>0</v>
      </c>
      <c r="I125" s="159">
        <f t="shared" si="11"/>
        <v>0</v>
      </c>
      <c r="J125" s="159">
        <f t="shared" si="12"/>
        <v>0</v>
      </c>
      <c r="K125" s="159">
        <f t="shared" si="14"/>
        <v>371</v>
      </c>
    </row>
    <row r="126" spans="1:11">
      <c r="A126" s="57">
        <f t="shared" si="13"/>
        <v>94</v>
      </c>
      <c r="B126" s="160" t="s">
        <v>348</v>
      </c>
      <c r="C126" s="161"/>
      <c r="D126" s="157">
        <v>960</v>
      </c>
      <c r="E126" s="162">
        <f t="shared" si="8"/>
        <v>24</v>
      </c>
      <c r="F126" s="159">
        <f t="shared" si="5"/>
        <v>40</v>
      </c>
      <c r="G126" s="159">
        <f t="shared" si="9"/>
        <v>10.8</v>
      </c>
      <c r="H126" s="159">
        <f t="shared" si="10"/>
        <v>0</v>
      </c>
      <c r="I126" s="159">
        <f t="shared" si="11"/>
        <v>0</v>
      </c>
      <c r="J126" s="159">
        <f t="shared" si="12"/>
        <v>0</v>
      </c>
      <c r="K126" s="159">
        <f t="shared" si="14"/>
        <v>51</v>
      </c>
    </row>
    <row r="127" spans="1:11">
      <c r="A127" s="57">
        <f t="shared" si="13"/>
        <v>95</v>
      </c>
      <c r="B127" s="160" t="s">
        <v>349</v>
      </c>
      <c r="C127" s="161"/>
      <c r="D127" s="157">
        <v>2000</v>
      </c>
      <c r="E127" s="162">
        <f t="shared" si="8"/>
        <v>24</v>
      </c>
      <c r="F127" s="159">
        <f t="shared" ref="F127:F224" si="15">D127/E127</f>
        <v>83.333333333333329</v>
      </c>
      <c r="G127" s="159">
        <f t="shared" si="9"/>
        <v>22.5</v>
      </c>
      <c r="H127" s="159">
        <f t="shared" si="10"/>
        <v>0</v>
      </c>
      <c r="I127" s="159">
        <f t="shared" si="11"/>
        <v>0</v>
      </c>
      <c r="J127" s="159">
        <f t="shared" si="12"/>
        <v>0</v>
      </c>
      <c r="K127" s="159">
        <f t="shared" si="14"/>
        <v>106</v>
      </c>
    </row>
    <row r="128" spans="1:11">
      <c r="A128" s="57">
        <f t="shared" si="13"/>
        <v>96</v>
      </c>
      <c r="B128" s="160" t="s">
        <v>350</v>
      </c>
      <c r="C128" s="161"/>
      <c r="D128" s="157">
        <v>10000</v>
      </c>
      <c r="E128" s="162">
        <f t="shared" si="8"/>
        <v>24</v>
      </c>
      <c r="F128" s="159">
        <f>D128/E128</f>
        <v>416.66666666666669</v>
      </c>
      <c r="G128" s="159">
        <f t="shared" si="9"/>
        <v>112.50000000000001</v>
      </c>
      <c r="H128" s="159">
        <f t="shared" si="10"/>
        <v>0</v>
      </c>
      <c r="I128" s="159">
        <f t="shared" si="11"/>
        <v>0</v>
      </c>
      <c r="J128" s="159">
        <f t="shared" si="12"/>
        <v>0</v>
      </c>
      <c r="K128" s="159">
        <f t="shared" si="14"/>
        <v>530</v>
      </c>
    </row>
    <row r="129" spans="1:11">
      <c r="A129" s="57">
        <f t="shared" si="13"/>
        <v>97</v>
      </c>
      <c r="B129" s="160" t="s">
        <v>351</v>
      </c>
      <c r="C129" s="161"/>
      <c r="D129" s="163">
        <v>13200</v>
      </c>
      <c r="E129" s="162">
        <f t="shared" si="8"/>
        <v>24</v>
      </c>
      <c r="F129" s="159">
        <f t="shared" si="15"/>
        <v>550</v>
      </c>
      <c r="G129" s="159">
        <f t="shared" si="9"/>
        <v>148.5</v>
      </c>
      <c r="H129" s="159">
        <f t="shared" si="10"/>
        <v>0</v>
      </c>
      <c r="I129" s="159">
        <f t="shared" si="11"/>
        <v>0</v>
      </c>
      <c r="J129" s="159">
        <f t="shared" si="12"/>
        <v>0</v>
      </c>
      <c r="K129" s="159">
        <f t="shared" si="14"/>
        <v>699</v>
      </c>
    </row>
    <row r="130" spans="1:11">
      <c r="A130" s="57">
        <f t="shared" si="13"/>
        <v>98</v>
      </c>
      <c r="B130" s="160" t="s">
        <v>352</v>
      </c>
      <c r="C130" s="161"/>
      <c r="D130" s="163">
        <v>15200</v>
      </c>
      <c r="E130" s="162">
        <f t="shared" si="8"/>
        <v>24</v>
      </c>
      <c r="F130" s="159">
        <f t="shared" si="15"/>
        <v>633.33333333333337</v>
      </c>
      <c r="G130" s="159">
        <f t="shared" si="9"/>
        <v>171.00000000000003</v>
      </c>
      <c r="H130" s="159">
        <f t="shared" si="10"/>
        <v>0</v>
      </c>
      <c r="I130" s="159">
        <f t="shared" si="11"/>
        <v>0</v>
      </c>
      <c r="J130" s="159">
        <f t="shared" si="12"/>
        <v>0</v>
      </c>
      <c r="K130" s="159">
        <f t="shared" si="14"/>
        <v>805</v>
      </c>
    </row>
    <row r="131" spans="1:11">
      <c r="A131" s="57">
        <f t="shared" si="13"/>
        <v>99</v>
      </c>
      <c r="B131" s="160" t="s">
        <v>353</v>
      </c>
      <c r="C131" s="161"/>
      <c r="D131" s="157">
        <v>18500</v>
      </c>
      <c r="E131" s="162">
        <f t="shared" si="8"/>
        <v>24</v>
      </c>
      <c r="F131" s="159">
        <f>D131/E131</f>
        <v>770.83333333333337</v>
      </c>
      <c r="G131" s="159">
        <f t="shared" si="9"/>
        <v>208.12500000000003</v>
      </c>
      <c r="H131" s="159">
        <f t="shared" si="10"/>
        <v>0</v>
      </c>
      <c r="I131" s="159">
        <f t="shared" si="11"/>
        <v>0</v>
      </c>
      <c r="J131" s="159">
        <f t="shared" si="12"/>
        <v>0</v>
      </c>
      <c r="K131" s="159">
        <f t="shared" si="14"/>
        <v>979</v>
      </c>
    </row>
    <row r="132" spans="1:11">
      <c r="A132" s="57">
        <f t="shared" si="13"/>
        <v>100</v>
      </c>
      <c r="B132" s="160" t="s">
        <v>354</v>
      </c>
      <c r="C132" s="161"/>
      <c r="D132" s="163">
        <v>17500</v>
      </c>
      <c r="E132" s="162">
        <f t="shared" si="8"/>
        <v>24</v>
      </c>
      <c r="F132" s="159">
        <f t="shared" si="15"/>
        <v>729.16666666666663</v>
      </c>
      <c r="G132" s="159">
        <f t="shared" si="9"/>
        <v>196.875</v>
      </c>
      <c r="H132" s="159">
        <f t="shared" si="10"/>
        <v>0</v>
      </c>
      <c r="I132" s="159">
        <f t="shared" si="11"/>
        <v>0</v>
      </c>
      <c r="J132" s="159">
        <f t="shared" si="12"/>
        <v>0</v>
      </c>
      <c r="K132" s="159">
        <f t="shared" si="14"/>
        <v>927</v>
      </c>
    </row>
    <row r="133" spans="1:11">
      <c r="A133" s="57">
        <f t="shared" si="13"/>
        <v>101</v>
      </c>
      <c r="B133" s="160" t="s">
        <v>355</v>
      </c>
      <c r="C133" s="161"/>
      <c r="D133" s="163">
        <v>23000</v>
      </c>
      <c r="E133" s="162">
        <f t="shared" si="8"/>
        <v>24</v>
      </c>
      <c r="F133" s="159">
        <f>D133/E133</f>
        <v>958.33333333333337</v>
      </c>
      <c r="G133" s="159">
        <f t="shared" si="9"/>
        <v>258.75</v>
      </c>
      <c r="H133" s="159">
        <f t="shared" si="10"/>
        <v>0</v>
      </c>
      <c r="I133" s="159">
        <f t="shared" si="11"/>
        <v>0</v>
      </c>
      <c r="J133" s="159">
        <f t="shared" si="12"/>
        <v>0</v>
      </c>
      <c r="K133" s="159">
        <f t="shared" si="14"/>
        <v>1218</v>
      </c>
    </row>
    <row r="134" spans="1:11">
      <c r="A134" s="57">
        <f t="shared" si="13"/>
        <v>102</v>
      </c>
      <c r="B134" s="160" t="s">
        <v>356</v>
      </c>
      <c r="C134" s="161"/>
      <c r="D134" s="163">
        <v>25000</v>
      </c>
      <c r="E134" s="162">
        <f t="shared" si="8"/>
        <v>24</v>
      </c>
      <c r="F134" s="159">
        <f t="shared" si="15"/>
        <v>1041.6666666666667</v>
      </c>
      <c r="G134" s="159">
        <f t="shared" si="9"/>
        <v>281.25000000000006</v>
      </c>
      <c r="H134" s="159">
        <f t="shared" si="10"/>
        <v>0</v>
      </c>
      <c r="I134" s="159">
        <f t="shared" si="11"/>
        <v>0</v>
      </c>
      <c r="J134" s="159">
        <f t="shared" si="12"/>
        <v>0</v>
      </c>
      <c r="K134" s="159">
        <f t="shared" si="14"/>
        <v>1323</v>
      </c>
    </row>
    <row r="135" spans="1:11">
      <c r="A135" s="57">
        <f t="shared" si="13"/>
        <v>103</v>
      </c>
      <c r="B135" s="160" t="s">
        <v>357</v>
      </c>
      <c r="C135" s="161"/>
      <c r="D135" s="163">
        <v>25000</v>
      </c>
      <c r="E135" s="162">
        <f t="shared" si="8"/>
        <v>24</v>
      </c>
      <c r="F135" s="159">
        <f>D135/E135</f>
        <v>1041.6666666666667</v>
      </c>
      <c r="G135" s="159">
        <f t="shared" si="9"/>
        <v>281.25000000000006</v>
      </c>
      <c r="H135" s="159">
        <f t="shared" si="10"/>
        <v>0</v>
      </c>
      <c r="I135" s="159">
        <f t="shared" si="11"/>
        <v>0</v>
      </c>
      <c r="J135" s="159">
        <f t="shared" si="12"/>
        <v>0</v>
      </c>
      <c r="K135" s="159">
        <f t="shared" si="14"/>
        <v>1323</v>
      </c>
    </row>
    <row r="136" spans="1:11">
      <c r="A136" s="57">
        <f t="shared" si="13"/>
        <v>104</v>
      </c>
      <c r="B136" s="160" t="s">
        <v>358</v>
      </c>
      <c r="C136" s="161"/>
      <c r="D136" s="157">
        <v>18000</v>
      </c>
      <c r="E136" s="162">
        <f t="shared" si="8"/>
        <v>24</v>
      </c>
      <c r="F136" s="159">
        <f t="shared" si="15"/>
        <v>750</v>
      </c>
      <c r="G136" s="159">
        <f t="shared" si="9"/>
        <v>202.5</v>
      </c>
      <c r="H136" s="159">
        <f t="shared" si="10"/>
        <v>0</v>
      </c>
      <c r="I136" s="159">
        <f t="shared" si="11"/>
        <v>0</v>
      </c>
      <c r="J136" s="159">
        <f t="shared" si="12"/>
        <v>0</v>
      </c>
      <c r="K136" s="159">
        <f t="shared" si="14"/>
        <v>953</v>
      </c>
    </row>
    <row r="137" spans="1:11">
      <c r="A137" s="57">
        <f t="shared" si="13"/>
        <v>105</v>
      </c>
      <c r="B137" s="160" t="s">
        <v>359</v>
      </c>
      <c r="C137" s="161"/>
      <c r="D137" s="157">
        <v>16000</v>
      </c>
      <c r="E137" s="162">
        <f t="shared" si="8"/>
        <v>24</v>
      </c>
      <c r="F137" s="159">
        <f t="shared" si="15"/>
        <v>666.66666666666663</v>
      </c>
      <c r="G137" s="159">
        <f t="shared" si="9"/>
        <v>180</v>
      </c>
      <c r="H137" s="159">
        <f t="shared" si="10"/>
        <v>0</v>
      </c>
      <c r="I137" s="159">
        <f t="shared" si="11"/>
        <v>0</v>
      </c>
      <c r="J137" s="159">
        <f t="shared" si="12"/>
        <v>0</v>
      </c>
      <c r="K137" s="159">
        <f t="shared" si="14"/>
        <v>847</v>
      </c>
    </row>
    <row r="138" spans="1:11">
      <c r="A138" s="57">
        <f t="shared" si="13"/>
        <v>106</v>
      </c>
      <c r="B138" s="160" t="s">
        <v>360</v>
      </c>
      <c r="C138" s="161"/>
      <c r="D138" s="157">
        <v>15000</v>
      </c>
      <c r="E138" s="162">
        <f t="shared" si="8"/>
        <v>24</v>
      </c>
      <c r="F138" s="159">
        <f t="shared" si="15"/>
        <v>625</v>
      </c>
      <c r="G138" s="159">
        <f t="shared" si="9"/>
        <v>168.75</v>
      </c>
      <c r="H138" s="159">
        <f t="shared" si="10"/>
        <v>0</v>
      </c>
      <c r="I138" s="159">
        <f t="shared" si="11"/>
        <v>0</v>
      </c>
      <c r="J138" s="159">
        <f t="shared" si="12"/>
        <v>0</v>
      </c>
      <c r="K138" s="159">
        <f t="shared" si="14"/>
        <v>794</v>
      </c>
    </row>
    <row r="139" spans="1:11">
      <c r="A139" s="57">
        <f t="shared" si="13"/>
        <v>107</v>
      </c>
      <c r="B139" s="160" t="s">
        <v>361</v>
      </c>
      <c r="C139" s="161"/>
      <c r="D139" s="157">
        <v>2000</v>
      </c>
      <c r="E139" s="162">
        <f t="shared" si="8"/>
        <v>24</v>
      </c>
      <c r="F139" s="159">
        <f t="shared" si="15"/>
        <v>83.333333333333329</v>
      </c>
      <c r="G139" s="159">
        <f t="shared" si="9"/>
        <v>22.5</v>
      </c>
      <c r="H139" s="159">
        <f t="shared" si="10"/>
        <v>0</v>
      </c>
      <c r="I139" s="159">
        <f t="shared" si="11"/>
        <v>0</v>
      </c>
      <c r="J139" s="159">
        <f t="shared" si="12"/>
        <v>0</v>
      </c>
      <c r="K139" s="159">
        <f t="shared" si="14"/>
        <v>106</v>
      </c>
    </row>
    <row r="140" spans="1:11">
      <c r="A140" s="57">
        <f t="shared" si="13"/>
        <v>108</v>
      </c>
      <c r="B140" s="160" t="s">
        <v>362</v>
      </c>
      <c r="C140" s="161"/>
      <c r="D140" s="157">
        <v>10000</v>
      </c>
      <c r="E140" s="162">
        <f t="shared" si="8"/>
        <v>24</v>
      </c>
      <c r="F140" s="159">
        <f t="shared" si="15"/>
        <v>416.66666666666669</v>
      </c>
      <c r="G140" s="159">
        <f t="shared" si="9"/>
        <v>112.50000000000001</v>
      </c>
      <c r="H140" s="159">
        <f t="shared" si="10"/>
        <v>0</v>
      </c>
      <c r="I140" s="159">
        <f t="shared" si="11"/>
        <v>0</v>
      </c>
      <c r="J140" s="159">
        <f t="shared" si="12"/>
        <v>0</v>
      </c>
      <c r="K140" s="159">
        <f t="shared" si="14"/>
        <v>530</v>
      </c>
    </row>
    <row r="141" spans="1:11">
      <c r="A141" s="57">
        <f t="shared" si="13"/>
        <v>109</v>
      </c>
      <c r="B141" s="160" t="s">
        <v>363</v>
      </c>
      <c r="C141" s="164"/>
      <c r="D141" s="157">
        <v>20000</v>
      </c>
      <c r="E141" s="162">
        <f t="shared" si="8"/>
        <v>24</v>
      </c>
      <c r="F141" s="159">
        <f t="shared" si="15"/>
        <v>833.33333333333337</v>
      </c>
      <c r="G141" s="159">
        <f t="shared" si="9"/>
        <v>225.00000000000003</v>
      </c>
      <c r="H141" s="159">
        <f t="shared" si="10"/>
        <v>0</v>
      </c>
      <c r="I141" s="159">
        <f t="shared" si="11"/>
        <v>0</v>
      </c>
      <c r="J141" s="159">
        <f t="shared" si="12"/>
        <v>0</v>
      </c>
      <c r="K141" s="159">
        <f t="shared" si="14"/>
        <v>1059</v>
      </c>
    </row>
    <row r="142" spans="1:11">
      <c r="A142" s="57">
        <f t="shared" si="13"/>
        <v>110</v>
      </c>
      <c r="B142" s="160" t="s">
        <v>364</v>
      </c>
      <c r="C142" s="161"/>
      <c r="D142" s="157">
        <v>30000</v>
      </c>
      <c r="E142" s="162">
        <f t="shared" si="8"/>
        <v>24</v>
      </c>
      <c r="F142" s="159">
        <f t="shared" si="15"/>
        <v>1250</v>
      </c>
      <c r="G142" s="159">
        <f t="shared" si="9"/>
        <v>337.5</v>
      </c>
      <c r="H142" s="159">
        <f t="shared" si="10"/>
        <v>0</v>
      </c>
      <c r="I142" s="159">
        <f t="shared" si="11"/>
        <v>0</v>
      </c>
      <c r="J142" s="159">
        <f t="shared" si="12"/>
        <v>0</v>
      </c>
      <c r="K142" s="159">
        <f t="shared" si="14"/>
        <v>1588</v>
      </c>
    </row>
    <row r="143" spans="1:11" ht="14" customHeight="1">
      <c r="A143" s="57">
        <f t="shared" si="13"/>
        <v>111</v>
      </c>
      <c r="B143" s="160" t="s">
        <v>365</v>
      </c>
      <c r="C143" s="161"/>
      <c r="D143" s="157">
        <v>7500</v>
      </c>
      <c r="E143" s="162">
        <f t="shared" si="8"/>
        <v>24</v>
      </c>
      <c r="F143" s="159">
        <f t="shared" si="15"/>
        <v>312.5</v>
      </c>
      <c r="G143" s="159">
        <f t="shared" si="9"/>
        <v>84.375</v>
      </c>
      <c r="H143" s="159">
        <f t="shared" si="10"/>
        <v>0</v>
      </c>
      <c r="I143" s="159">
        <f t="shared" si="11"/>
        <v>0</v>
      </c>
      <c r="J143" s="159">
        <f t="shared" si="12"/>
        <v>0</v>
      </c>
      <c r="K143" s="159">
        <f t="shared" si="14"/>
        <v>397</v>
      </c>
    </row>
    <row r="144" spans="1:11" ht="14" customHeight="1">
      <c r="A144" s="57">
        <f t="shared" si="13"/>
        <v>112</v>
      </c>
      <c r="B144" s="160" t="s">
        <v>366</v>
      </c>
      <c r="C144" s="161"/>
      <c r="D144" s="157">
        <v>17000</v>
      </c>
      <c r="E144" s="162">
        <f t="shared" si="8"/>
        <v>24</v>
      </c>
      <c r="F144" s="159">
        <f t="shared" si="15"/>
        <v>708.33333333333337</v>
      </c>
      <c r="G144" s="159">
        <f t="shared" si="9"/>
        <v>191.25000000000003</v>
      </c>
      <c r="H144" s="159">
        <f t="shared" si="10"/>
        <v>0</v>
      </c>
      <c r="I144" s="159">
        <f t="shared" si="11"/>
        <v>0</v>
      </c>
      <c r="J144" s="159">
        <f t="shared" si="12"/>
        <v>0</v>
      </c>
      <c r="K144" s="159">
        <f t="shared" si="14"/>
        <v>900</v>
      </c>
    </row>
    <row r="145" spans="1:11" ht="14" customHeight="1">
      <c r="A145" s="57">
        <f t="shared" si="13"/>
        <v>113</v>
      </c>
      <c r="B145" s="160" t="s">
        <v>367</v>
      </c>
      <c r="C145" s="161"/>
      <c r="D145" s="157">
        <v>20000</v>
      </c>
      <c r="E145" s="162">
        <f t="shared" si="8"/>
        <v>24</v>
      </c>
      <c r="F145" s="159">
        <f t="shared" si="15"/>
        <v>833.33333333333337</v>
      </c>
      <c r="G145" s="159">
        <f t="shared" si="9"/>
        <v>225.00000000000003</v>
      </c>
      <c r="H145" s="159">
        <f t="shared" si="10"/>
        <v>0</v>
      </c>
      <c r="I145" s="159">
        <f t="shared" si="11"/>
        <v>0</v>
      </c>
      <c r="J145" s="159">
        <f t="shared" si="12"/>
        <v>0</v>
      </c>
      <c r="K145" s="159">
        <f t="shared" si="14"/>
        <v>1059</v>
      </c>
    </row>
    <row r="146" spans="1:11" ht="12.75" customHeight="1">
      <c r="A146" s="57">
        <f t="shared" si="13"/>
        <v>114</v>
      </c>
      <c r="B146" s="160" t="s">
        <v>368</v>
      </c>
      <c r="C146" s="161"/>
      <c r="D146" s="157">
        <v>23000</v>
      </c>
      <c r="E146" s="162">
        <f t="shared" si="8"/>
        <v>24</v>
      </c>
      <c r="F146" s="159">
        <f t="shared" si="15"/>
        <v>958.33333333333337</v>
      </c>
      <c r="G146" s="159">
        <f t="shared" si="9"/>
        <v>258.75</v>
      </c>
      <c r="H146" s="159">
        <f t="shared" si="10"/>
        <v>0</v>
      </c>
      <c r="I146" s="159">
        <f t="shared" si="11"/>
        <v>0</v>
      </c>
      <c r="J146" s="159">
        <f t="shared" si="12"/>
        <v>0</v>
      </c>
      <c r="K146" s="159">
        <f t="shared" si="14"/>
        <v>1218</v>
      </c>
    </row>
    <row r="147" spans="1:11" ht="12.75" customHeight="1">
      <c r="A147" s="57">
        <f t="shared" si="13"/>
        <v>115</v>
      </c>
      <c r="B147" s="160" t="s">
        <v>369</v>
      </c>
      <c r="C147" s="161"/>
      <c r="D147" s="157">
        <v>8000</v>
      </c>
      <c r="E147" s="162">
        <f t="shared" si="8"/>
        <v>24</v>
      </c>
      <c r="F147" s="159">
        <f t="shared" si="15"/>
        <v>333.33333333333331</v>
      </c>
      <c r="G147" s="159">
        <f t="shared" si="9"/>
        <v>90</v>
      </c>
      <c r="H147" s="159">
        <f t="shared" si="10"/>
        <v>0</v>
      </c>
      <c r="I147" s="159">
        <f t="shared" si="11"/>
        <v>0</v>
      </c>
      <c r="J147" s="159">
        <f t="shared" si="12"/>
        <v>0</v>
      </c>
      <c r="K147" s="159">
        <f t="shared" si="14"/>
        <v>424</v>
      </c>
    </row>
    <row r="148" spans="1:11" ht="12.75" customHeight="1">
      <c r="A148" s="57">
        <f t="shared" si="13"/>
        <v>116</v>
      </c>
      <c r="B148" s="160" t="s">
        <v>370</v>
      </c>
      <c r="C148" s="161"/>
      <c r="D148" s="157">
        <v>11500</v>
      </c>
      <c r="E148" s="162">
        <f t="shared" si="8"/>
        <v>24</v>
      </c>
      <c r="F148" s="159">
        <f t="shared" si="15"/>
        <v>479.16666666666669</v>
      </c>
      <c r="G148" s="159">
        <f t="shared" si="9"/>
        <v>129.375</v>
      </c>
      <c r="H148" s="159">
        <f t="shared" si="10"/>
        <v>0</v>
      </c>
      <c r="I148" s="159">
        <f t="shared" si="11"/>
        <v>0</v>
      </c>
      <c r="J148" s="159">
        <f t="shared" si="12"/>
        <v>0</v>
      </c>
      <c r="K148" s="159">
        <f t="shared" si="14"/>
        <v>609</v>
      </c>
    </row>
    <row r="149" spans="1:11" ht="12.75" customHeight="1">
      <c r="A149" s="57">
        <f t="shared" si="13"/>
        <v>117</v>
      </c>
      <c r="B149" s="160" t="s">
        <v>371</v>
      </c>
      <c r="C149" s="161"/>
      <c r="D149" s="157">
        <v>6000</v>
      </c>
      <c r="E149" s="162">
        <f t="shared" si="8"/>
        <v>24</v>
      </c>
      <c r="F149" s="159">
        <f t="shared" si="15"/>
        <v>250</v>
      </c>
      <c r="G149" s="159">
        <f t="shared" si="9"/>
        <v>67.5</v>
      </c>
      <c r="H149" s="159">
        <f t="shared" si="10"/>
        <v>0</v>
      </c>
      <c r="I149" s="159">
        <f t="shared" si="11"/>
        <v>0</v>
      </c>
      <c r="J149" s="159">
        <f t="shared" si="12"/>
        <v>0</v>
      </c>
      <c r="K149" s="159">
        <f t="shared" si="14"/>
        <v>318</v>
      </c>
    </row>
    <row r="150" spans="1:11" ht="12.75" customHeight="1">
      <c r="A150" s="57">
        <f t="shared" si="13"/>
        <v>118</v>
      </c>
      <c r="B150" s="160" t="s">
        <v>372</v>
      </c>
      <c r="C150" s="161"/>
      <c r="D150" s="157">
        <v>2400</v>
      </c>
      <c r="E150" s="162">
        <f t="shared" si="8"/>
        <v>24</v>
      </c>
      <c r="F150" s="159">
        <f t="shared" si="15"/>
        <v>100</v>
      </c>
      <c r="G150" s="159">
        <f t="shared" si="9"/>
        <v>27</v>
      </c>
      <c r="H150" s="159">
        <f t="shared" si="10"/>
        <v>0</v>
      </c>
      <c r="I150" s="159">
        <f t="shared" si="11"/>
        <v>0</v>
      </c>
      <c r="J150" s="159">
        <f t="shared" si="12"/>
        <v>0</v>
      </c>
      <c r="K150" s="159">
        <f t="shared" si="14"/>
        <v>127</v>
      </c>
    </row>
    <row r="151" spans="1:11" ht="12.75" customHeight="1">
      <c r="A151" s="57">
        <f t="shared" si="13"/>
        <v>119</v>
      </c>
      <c r="B151" s="160" t="s">
        <v>373</v>
      </c>
      <c r="C151" s="161"/>
      <c r="D151" s="157">
        <v>2400</v>
      </c>
      <c r="E151" s="162">
        <f t="shared" si="8"/>
        <v>24</v>
      </c>
      <c r="F151" s="159">
        <f t="shared" si="15"/>
        <v>100</v>
      </c>
      <c r="G151" s="159">
        <f t="shared" si="9"/>
        <v>27</v>
      </c>
      <c r="H151" s="159">
        <f t="shared" si="10"/>
        <v>0</v>
      </c>
      <c r="I151" s="159">
        <f t="shared" si="11"/>
        <v>0</v>
      </c>
      <c r="J151" s="159">
        <f t="shared" si="12"/>
        <v>0</v>
      </c>
      <c r="K151" s="159">
        <f t="shared" si="14"/>
        <v>127</v>
      </c>
    </row>
    <row r="152" spans="1:11" ht="12.75" customHeight="1">
      <c r="A152" s="57">
        <f t="shared" si="13"/>
        <v>120</v>
      </c>
      <c r="B152" s="160" t="s">
        <v>374</v>
      </c>
      <c r="C152" s="161"/>
      <c r="D152" s="157">
        <v>3600</v>
      </c>
      <c r="E152" s="162">
        <f t="shared" ref="E152:E214" si="16">$E$11</f>
        <v>24</v>
      </c>
      <c r="F152" s="159">
        <f>D152/E152</f>
        <v>150</v>
      </c>
      <c r="G152" s="159">
        <f t="shared" ref="G152:G214" si="17">$F152*$G$11</f>
        <v>40.5</v>
      </c>
      <c r="H152" s="159">
        <f t="shared" ref="H152:H214" si="18">F152*$H$11</f>
        <v>0</v>
      </c>
      <c r="I152" s="159">
        <f t="shared" ref="I152:I214" si="19">$F152*$I$11</f>
        <v>0</v>
      </c>
      <c r="J152" s="159">
        <f t="shared" ref="J152:J214" si="20">($F152+$I152)*$J$11</f>
        <v>0</v>
      </c>
      <c r="K152" s="159">
        <f t="shared" si="14"/>
        <v>191</v>
      </c>
    </row>
    <row r="153" spans="1:11" ht="12.75" customHeight="1">
      <c r="A153" s="57">
        <f t="shared" si="13"/>
        <v>121</v>
      </c>
      <c r="B153" s="160" t="s">
        <v>375</v>
      </c>
      <c r="C153" s="161"/>
      <c r="D153" s="157">
        <v>4800</v>
      </c>
      <c r="E153" s="162">
        <f t="shared" si="16"/>
        <v>24</v>
      </c>
      <c r="F153" s="159">
        <f>D153/E153</f>
        <v>200</v>
      </c>
      <c r="G153" s="159">
        <f t="shared" si="17"/>
        <v>54</v>
      </c>
      <c r="H153" s="159">
        <f t="shared" si="18"/>
        <v>0</v>
      </c>
      <c r="I153" s="159">
        <f t="shared" si="19"/>
        <v>0</v>
      </c>
      <c r="J153" s="159">
        <f t="shared" si="20"/>
        <v>0</v>
      </c>
      <c r="K153" s="159">
        <f t="shared" si="14"/>
        <v>254</v>
      </c>
    </row>
    <row r="154" spans="1:11" ht="12.75" customHeight="1">
      <c r="A154" s="57">
        <f t="shared" si="13"/>
        <v>122</v>
      </c>
      <c r="B154" s="160" t="s">
        <v>376</v>
      </c>
      <c r="C154" s="161"/>
      <c r="D154" s="157">
        <v>5800</v>
      </c>
      <c r="E154" s="162">
        <f t="shared" si="16"/>
        <v>24</v>
      </c>
      <c r="F154" s="159">
        <f>D154/E154</f>
        <v>241.66666666666666</v>
      </c>
      <c r="G154" s="159">
        <f t="shared" si="17"/>
        <v>65.25</v>
      </c>
      <c r="H154" s="159">
        <f t="shared" si="18"/>
        <v>0</v>
      </c>
      <c r="I154" s="159">
        <f t="shared" si="19"/>
        <v>0</v>
      </c>
      <c r="J154" s="159">
        <f t="shared" si="20"/>
        <v>0</v>
      </c>
      <c r="K154" s="159">
        <f t="shared" si="14"/>
        <v>307</v>
      </c>
    </row>
    <row r="155" spans="1:11" ht="12.75" customHeight="1">
      <c r="A155" s="57">
        <f t="shared" si="13"/>
        <v>123</v>
      </c>
      <c r="B155" s="160" t="s">
        <v>377</v>
      </c>
      <c r="C155" s="161"/>
      <c r="D155" s="157">
        <v>8000</v>
      </c>
      <c r="E155" s="162">
        <f t="shared" si="16"/>
        <v>24</v>
      </c>
      <c r="F155" s="159">
        <f>D155/E155</f>
        <v>333.33333333333331</v>
      </c>
      <c r="G155" s="159">
        <f t="shared" si="17"/>
        <v>90</v>
      </c>
      <c r="H155" s="159">
        <f t="shared" si="18"/>
        <v>0</v>
      </c>
      <c r="I155" s="159">
        <f t="shared" si="19"/>
        <v>0</v>
      </c>
      <c r="J155" s="159">
        <f t="shared" si="20"/>
        <v>0</v>
      </c>
      <c r="K155" s="159">
        <f t="shared" si="14"/>
        <v>424</v>
      </c>
    </row>
    <row r="156" spans="1:11">
      <c r="A156" s="57">
        <f t="shared" si="13"/>
        <v>124</v>
      </c>
      <c r="B156" s="160" t="s">
        <v>378</v>
      </c>
      <c r="C156" s="161"/>
      <c r="D156" s="157">
        <v>9500</v>
      </c>
      <c r="E156" s="162">
        <f t="shared" si="16"/>
        <v>24</v>
      </c>
      <c r="F156" s="159">
        <f t="shared" si="15"/>
        <v>395.83333333333331</v>
      </c>
      <c r="G156" s="159">
        <f t="shared" si="17"/>
        <v>106.875</v>
      </c>
      <c r="H156" s="159">
        <f t="shared" si="18"/>
        <v>0</v>
      </c>
      <c r="I156" s="159">
        <f t="shared" si="19"/>
        <v>0</v>
      </c>
      <c r="J156" s="159">
        <f t="shared" si="20"/>
        <v>0</v>
      </c>
      <c r="K156" s="159">
        <f t="shared" si="14"/>
        <v>503</v>
      </c>
    </row>
    <row r="157" spans="1:11">
      <c r="A157" s="57">
        <f t="shared" si="13"/>
        <v>125</v>
      </c>
      <c r="B157" s="160" t="s">
        <v>379</v>
      </c>
      <c r="C157" s="161"/>
      <c r="D157" s="157">
        <v>12000</v>
      </c>
      <c r="E157" s="162">
        <f t="shared" si="16"/>
        <v>24</v>
      </c>
      <c r="F157" s="159">
        <f t="shared" si="15"/>
        <v>500</v>
      </c>
      <c r="G157" s="159">
        <f t="shared" si="17"/>
        <v>135</v>
      </c>
      <c r="H157" s="159">
        <f t="shared" si="18"/>
        <v>0</v>
      </c>
      <c r="I157" s="159">
        <f t="shared" si="19"/>
        <v>0</v>
      </c>
      <c r="J157" s="159">
        <f t="shared" si="20"/>
        <v>0</v>
      </c>
      <c r="K157" s="159">
        <f t="shared" si="14"/>
        <v>635</v>
      </c>
    </row>
    <row r="158" spans="1:11">
      <c r="A158" s="57">
        <f>A157+1</f>
        <v>126</v>
      </c>
      <c r="B158" s="160" t="s">
        <v>380</v>
      </c>
      <c r="C158" s="161"/>
      <c r="D158" s="157">
        <v>14000</v>
      </c>
      <c r="E158" s="162">
        <f t="shared" si="16"/>
        <v>24</v>
      </c>
      <c r="F158" s="159">
        <f t="shared" si="15"/>
        <v>583.33333333333337</v>
      </c>
      <c r="G158" s="159">
        <f t="shared" si="17"/>
        <v>157.50000000000003</v>
      </c>
      <c r="H158" s="159">
        <f t="shared" si="18"/>
        <v>0</v>
      </c>
      <c r="I158" s="159">
        <f t="shared" si="19"/>
        <v>0</v>
      </c>
      <c r="J158" s="159">
        <f t="shared" si="20"/>
        <v>0</v>
      </c>
      <c r="K158" s="159">
        <f t="shared" si="14"/>
        <v>741</v>
      </c>
    </row>
    <row r="159" spans="1:11">
      <c r="A159" s="57">
        <f>A158+1</f>
        <v>127</v>
      </c>
      <c r="B159" s="160" t="s">
        <v>381</v>
      </c>
      <c r="C159" s="161"/>
      <c r="D159" s="157">
        <v>20000</v>
      </c>
      <c r="E159" s="162">
        <f t="shared" si="16"/>
        <v>24</v>
      </c>
      <c r="F159" s="159">
        <f t="shared" si="15"/>
        <v>833.33333333333337</v>
      </c>
      <c r="G159" s="159">
        <f t="shared" si="17"/>
        <v>225.00000000000003</v>
      </c>
      <c r="H159" s="159">
        <f t="shared" si="18"/>
        <v>0</v>
      </c>
      <c r="I159" s="159">
        <f t="shared" si="19"/>
        <v>0</v>
      </c>
      <c r="J159" s="159">
        <f t="shared" si="20"/>
        <v>0</v>
      </c>
      <c r="K159" s="159">
        <f t="shared" si="14"/>
        <v>1059</v>
      </c>
    </row>
    <row r="160" spans="1:11">
      <c r="A160" s="57">
        <f>A159+1</f>
        <v>128</v>
      </c>
      <c r="B160" s="160" t="s">
        <v>382</v>
      </c>
      <c r="C160" s="161"/>
      <c r="D160" s="157">
        <v>28000</v>
      </c>
      <c r="E160" s="162">
        <f t="shared" si="16"/>
        <v>24</v>
      </c>
      <c r="F160" s="159">
        <f t="shared" si="15"/>
        <v>1166.6666666666667</v>
      </c>
      <c r="G160" s="159">
        <f t="shared" si="17"/>
        <v>315.00000000000006</v>
      </c>
      <c r="H160" s="159">
        <f t="shared" si="18"/>
        <v>0</v>
      </c>
      <c r="I160" s="159">
        <f t="shared" si="19"/>
        <v>0</v>
      </c>
      <c r="J160" s="159">
        <f t="shared" si="20"/>
        <v>0</v>
      </c>
      <c r="K160" s="159">
        <f t="shared" si="14"/>
        <v>1482</v>
      </c>
    </row>
    <row r="161" spans="1:11">
      <c r="A161" s="57">
        <f>A160+1</f>
        <v>129</v>
      </c>
      <c r="B161" s="160" t="s">
        <v>383</v>
      </c>
      <c r="C161" s="161"/>
      <c r="D161" s="157">
        <v>12600</v>
      </c>
      <c r="E161" s="162">
        <f t="shared" si="16"/>
        <v>24</v>
      </c>
      <c r="F161" s="159">
        <f t="shared" si="15"/>
        <v>525</v>
      </c>
      <c r="G161" s="159">
        <f t="shared" si="17"/>
        <v>141.75</v>
      </c>
      <c r="H161" s="159">
        <f t="shared" si="18"/>
        <v>0</v>
      </c>
      <c r="I161" s="159">
        <f t="shared" si="19"/>
        <v>0</v>
      </c>
      <c r="J161" s="159">
        <f t="shared" si="20"/>
        <v>0</v>
      </c>
      <c r="K161" s="159">
        <f t="shared" si="14"/>
        <v>667</v>
      </c>
    </row>
    <row r="162" spans="1:11">
      <c r="B162" s="160" t="s">
        <v>2366</v>
      </c>
      <c r="C162" s="165"/>
      <c r="D162" s="262">
        <v>20000</v>
      </c>
      <c r="E162" s="162">
        <f>$E$11</f>
        <v>24</v>
      </c>
      <c r="F162" s="263">
        <f>D162/E162</f>
        <v>833.33333333333337</v>
      </c>
      <c r="G162" s="263">
        <f>$F162*$G$11</f>
        <v>225.00000000000003</v>
      </c>
      <c r="H162" s="263">
        <f>F162*$H$11</f>
        <v>0</v>
      </c>
      <c r="I162" s="263">
        <f>$F162*$I$11</f>
        <v>0</v>
      </c>
      <c r="J162" s="263">
        <f>($F162+$I162)*$J$11</f>
        <v>0</v>
      </c>
      <c r="K162" s="263">
        <v>1058.33</v>
      </c>
    </row>
    <row r="163" spans="1:11">
      <c r="B163" s="160" t="s">
        <v>2367</v>
      </c>
      <c r="C163" s="165"/>
      <c r="D163" s="262">
        <v>22000</v>
      </c>
      <c r="E163" s="162">
        <f>$E$11</f>
        <v>24</v>
      </c>
      <c r="F163" s="263">
        <f>D163/E163</f>
        <v>916.66666666666663</v>
      </c>
      <c r="G163" s="263">
        <f>$F163*$G$11</f>
        <v>247.5</v>
      </c>
      <c r="H163" s="263">
        <f>F163*$H$11</f>
        <v>0</v>
      </c>
      <c r="I163" s="263">
        <f>$F163*$I$11</f>
        <v>0</v>
      </c>
      <c r="J163" s="263">
        <f>($F163+$I163)*$J$11</f>
        <v>0</v>
      </c>
      <c r="K163" s="263">
        <v>1164.17</v>
      </c>
    </row>
    <row r="164" spans="1:11">
      <c r="A164" s="57">
        <f>A161+1</f>
        <v>130</v>
      </c>
      <c r="B164" s="160" t="s">
        <v>384</v>
      </c>
      <c r="C164" s="161"/>
      <c r="D164" s="157">
        <v>4500</v>
      </c>
      <c r="E164" s="162">
        <f t="shared" si="16"/>
        <v>24</v>
      </c>
      <c r="F164" s="159">
        <f>D164/E164</f>
        <v>187.5</v>
      </c>
      <c r="G164" s="159">
        <f t="shared" si="17"/>
        <v>50.625</v>
      </c>
      <c r="H164" s="159">
        <f t="shared" si="18"/>
        <v>0</v>
      </c>
      <c r="I164" s="159">
        <f t="shared" si="19"/>
        <v>0</v>
      </c>
      <c r="J164" s="159">
        <f t="shared" si="20"/>
        <v>0</v>
      </c>
      <c r="K164" s="159">
        <f t="shared" si="14"/>
        <v>239</v>
      </c>
    </row>
    <row r="165" spans="1:11" ht="12.75" customHeight="1">
      <c r="A165" s="57">
        <f t="shared" ref="A165:A234" si="21">A164+1</f>
        <v>131</v>
      </c>
      <c r="B165" s="160" t="s">
        <v>385</v>
      </c>
      <c r="C165" s="161"/>
      <c r="D165" s="157">
        <v>2800</v>
      </c>
      <c r="E165" s="162">
        <f t="shared" si="16"/>
        <v>24</v>
      </c>
      <c r="F165" s="159">
        <f t="shared" si="15"/>
        <v>116.66666666666667</v>
      </c>
      <c r="G165" s="159">
        <f t="shared" si="17"/>
        <v>31.500000000000004</v>
      </c>
      <c r="H165" s="159">
        <f t="shared" si="18"/>
        <v>0</v>
      </c>
      <c r="I165" s="159">
        <f t="shared" si="19"/>
        <v>0</v>
      </c>
      <c r="J165" s="159">
        <f t="shared" si="20"/>
        <v>0</v>
      </c>
      <c r="K165" s="159">
        <f t="shared" si="14"/>
        <v>149</v>
      </c>
    </row>
    <row r="166" spans="1:11" ht="12.75" customHeight="1">
      <c r="A166" s="57">
        <f t="shared" si="21"/>
        <v>132</v>
      </c>
      <c r="B166" s="160" t="s">
        <v>386</v>
      </c>
      <c r="C166" s="161"/>
      <c r="D166" s="157">
        <v>3200</v>
      </c>
      <c r="E166" s="162">
        <f t="shared" si="16"/>
        <v>24</v>
      </c>
      <c r="F166" s="159">
        <f t="shared" si="15"/>
        <v>133.33333333333334</v>
      </c>
      <c r="G166" s="159">
        <f t="shared" si="17"/>
        <v>36.000000000000007</v>
      </c>
      <c r="H166" s="159">
        <f t="shared" si="18"/>
        <v>0</v>
      </c>
      <c r="I166" s="159">
        <f t="shared" si="19"/>
        <v>0</v>
      </c>
      <c r="J166" s="159">
        <f t="shared" si="20"/>
        <v>0</v>
      </c>
      <c r="K166" s="159">
        <f t="shared" si="14"/>
        <v>170</v>
      </c>
    </row>
    <row r="167" spans="1:11" ht="12.75" customHeight="1">
      <c r="A167" s="57">
        <f t="shared" si="21"/>
        <v>133</v>
      </c>
      <c r="B167" s="160" t="s">
        <v>387</v>
      </c>
      <c r="C167" s="161"/>
      <c r="D167" s="157">
        <v>3200</v>
      </c>
      <c r="E167" s="162">
        <f t="shared" si="16"/>
        <v>24</v>
      </c>
      <c r="F167" s="159">
        <f t="shared" si="15"/>
        <v>133.33333333333334</v>
      </c>
      <c r="G167" s="159">
        <f t="shared" si="17"/>
        <v>36.000000000000007</v>
      </c>
      <c r="H167" s="159">
        <f t="shared" si="18"/>
        <v>0</v>
      </c>
      <c r="I167" s="159">
        <f t="shared" si="19"/>
        <v>0</v>
      </c>
      <c r="J167" s="159">
        <f t="shared" si="20"/>
        <v>0</v>
      </c>
      <c r="K167" s="159">
        <f t="shared" si="14"/>
        <v>170</v>
      </c>
    </row>
    <row r="168" spans="1:11" ht="12.75" customHeight="1">
      <c r="A168" s="57">
        <f t="shared" si="21"/>
        <v>134</v>
      </c>
      <c r="B168" s="160" t="s">
        <v>388</v>
      </c>
      <c r="C168" s="161"/>
      <c r="D168" s="157">
        <v>3200</v>
      </c>
      <c r="E168" s="162">
        <f t="shared" si="16"/>
        <v>24</v>
      </c>
      <c r="F168" s="159">
        <f t="shared" si="15"/>
        <v>133.33333333333334</v>
      </c>
      <c r="G168" s="159">
        <f t="shared" si="17"/>
        <v>36.000000000000007</v>
      </c>
      <c r="H168" s="159">
        <f t="shared" si="18"/>
        <v>0</v>
      </c>
      <c r="I168" s="159">
        <f t="shared" si="19"/>
        <v>0</v>
      </c>
      <c r="J168" s="159">
        <f t="shared" si="20"/>
        <v>0</v>
      </c>
      <c r="K168" s="159">
        <f t="shared" si="14"/>
        <v>170</v>
      </c>
    </row>
    <row r="169" spans="1:11" ht="12.75" customHeight="1">
      <c r="B169" s="273" t="s">
        <v>3539</v>
      </c>
      <c r="C169" s="165"/>
      <c r="D169" s="274">
        <v>2800</v>
      </c>
      <c r="E169" s="162">
        <f>$E$11</f>
        <v>24</v>
      </c>
      <c r="F169" s="275">
        <f>D169/E169</f>
        <v>116.66666666666667</v>
      </c>
      <c r="G169" s="275">
        <f>$F169*$G$11</f>
        <v>31.500000000000004</v>
      </c>
      <c r="H169" s="275">
        <f>F169*$H$11</f>
        <v>0</v>
      </c>
      <c r="I169" s="275">
        <f>$F169*$I$11</f>
        <v>0</v>
      </c>
      <c r="J169" s="275">
        <f>($F169+$I169)*$J$11</f>
        <v>0</v>
      </c>
      <c r="K169" s="275">
        <v>148.16999999999999</v>
      </c>
    </row>
    <row r="170" spans="1:11" ht="12.75" customHeight="1">
      <c r="B170" s="160" t="s">
        <v>2368</v>
      </c>
      <c r="C170" s="165"/>
      <c r="D170" s="262">
        <v>128400</v>
      </c>
      <c r="E170" s="162">
        <f>$E$11</f>
        <v>24</v>
      </c>
      <c r="F170" s="263">
        <f t="shared" si="15"/>
        <v>5350</v>
      </c>
      <c r="G170" s="263">
        <f>$F170*$G$11</f>
        <v>1444.5</v>
      </c>
      <c r="H170" s="263">
        <f>F170*$H$11</f>
        <v>0</v>
      </c>
      <c r="I170" s="263">
        <f>$F170*$I$11</f>
        <v>0</v>
      </c>
      <c r="J170" s="263">
        <f>($F170+$I170)*$J$11</f>
        <v>0</v>
      </c>
      <c r="K170" s="263">
        <v>6794.5</v>
      </c>
    </row>
    <row r="171" spans="1:11" ht="12.75" customHeight="1">
      <c r="B171" s="160" t="s">
        <v>3251</v>
      </c>
      <c r="C171" s="165"/>
      <c r="D171" s="264">
        <v>59000</v>
      </c>
      <c r="E171" s="162">
        <f>$E$11</f>
        <v>24</v>
      </c>
      <c r="F171" s="265">
        <f>D171/E171</f>
        <v>2458.3333333333335</v>
      </c>
      <c r="G171" s="265">
        <f>$F171*$G$11</f>
        <v>663.75000000000011</v>
      </c>
      <c r="H171" s="265">
        <f>F171*$H$11</f>
        <v>0</v>
      </c>
      <c r="I171" s="265">
        <f>$F171*$I$11</f>
        <v>0</v>
      </c>
      <c r="J171" s="265">
        <f>($F171+$I171)*$J$11</f>
        <v>0</v>
      </c>
      <c r="K171" s="265">
        <v>3122.08</v>
      </c>
    </row>
    <row r="172" spans="1:11" ht="12.75" customHeight="1">
      <c r="A172" s="57">
        <f>A168+1</f>
        <v>135</v>
      </c>
      <c r="B172" s="160" t="s">
        <v>389</v>
      </c>
      <c r="C172" s="161"/>
      <c r="D172" s="157">
        <v>6000</v>
      </c>
      <c r="E172" s="162">
        <f t="shared" si="16"/>
        <v>24</v>
      </c>
      <c r="F172" s="159">
        <f t="shared" si="15"/>
        <v>250</v>
      </c>
      <c r="G172" s="159">
        <f t="shared" si="17"/>
        <v>67.5</v>
      </c>
      <c r="H172" s="159">
        <f t="shared" si="18"/>
        <v>0</v>
      </c>
      <c r="I172" s="159">
        <f t="shared" si="19"/>
        <v>0</v>
      </c>
      <c r="J172" s="159">
        <f t="shared" si="20"/>
        <v>0</v>
      </c>
      <c r="K172" s="159">
        <f t="shared" si="14"/>
        <v>318</v>
      </c>
    </row>
    <row r="173" spans="1:11" ht="12.75" customHeight="1">
      <c r="A173" s="57">
        <f t="shared" si="21"/>
        <v>136</v>
      </c>
      <c r="B173" s="160" t="s">
        <v>390</v>
      </c>
      <c r="C173" s="161"/>
      <c r="D173" s="157">
        <v>3000</v>
      </c>
      <c r="E173" s="162">
        <f t="shared" si="16"/>
        <v>24</v>
      </c>
      <c r="F173" s="159">
        <f t="shared" si="15"/>
        <v>125</v>
      </c>
      <c r="G173" s="159">
        <f t="shared" si="17"/>
        <v>33.75</v>
      </c>
      <c r="H173" s="159">
        <f t="shared" si="18"/>
        <v>0</v>
      </c>
      <c r="I173" s="159">
        <f t="shared" si="19"/>
        <v>0</v>
      </c>
      <c r="J173" s="159">
        <f t="shared" si="20"/>
        <v>0</v>
      </c>
      <c r="K173" s="159">
        <f t="shared" si="14"/>
        <v>159</v>
      </c>
    </row>
    <row r="174" spans="1:11" ht="12.75" customHeight="1">
      <c r="B174" s="160" t="s">
        <v>2369</v>
      </c>
      <c r="C174" s="165"/>
      <c r="D174" s="262">
        <v>2000</v>
      </c>
      <c r="E174" s="162">
        <f>$E$11</f>
        <v>24</v>
      </c>
      <c r="F174" s="263">
        <f t="shared" si="15"/>
        <v>83.333333333333329</v>
      </c>
      <c r="G174" s="263">
        <f>$F174*$G$11</f>
        <v>22.5</v>
      </c>
      <c r="H174" s="263">
        <f>F174*$H$11</f>
        <v>0</v>
      </c>
      <c r="I174" s="263">
        <f>$F174*$I$11</f>
        <v>0</v>
      </c>
      <c r="J174" s="263">
        <f>($F174+$I174)*$J$11</f>
        <v>0</v>
      </c>
      <c r="K174" s="263">
        <v>105.83</v>
      </c>
    </row>
    <row r="175" spans="1:11" ht="12.75" customHeight="1">
      <c r="A175" s="57">
        <f>A173+1</f>
        <v>137</v>
      </c>
      <c r="B175" s="160" t="s">
        <v>391</v>
      </c>
      <c r="C175" s="161"/>
      <c r="D175" s="157">
        <v>1800</v>
      </c>
      <c r="E175" s="162">
        <f t="shared" si="16"/>
        <v>24</v>
      </c>
      <c r="F175" s="159">
        <f t="shared" si="15"/>
        <v>75</v>
      </c>
      <c r="G175" s="159">
        <f t="shared" si="17"/>
        <v>20.25</v>
      </c>
      <c r="H175" s="159">
        <f t="shared" si="18"/>
        <v>0</v>
      </c>
      <c r="I175" s="159">
        <f t="shared" si="19"/>
        <v>0</v>
      </c>
      <c r="J175" s="159">
        <f t="shared" si="20"/>
        <v>0</v>
      </c>
      <c r="K175" s="159">
        <f t="shared" si="14"/>
        <v>96</v>
      </c>
    </row>
    <row r="176" spans="1:11" ht="12.75" customHeight="1">
      <c r="B176" s="160" t="s">
        <v>2370</v>
      </c>
      <c r="C176" s="165"/>
      <c r="D176" s="262">
        <v>2000</v>
      </c>
      <c r="E176" s="162">
        <f>$E$11</f>
        <v>24</v>
      </c>
      <c r="F176" s="263">
        <f t="shared" si="15"/>
        <v>83.333333333333329</v>
      </c>
      <c r="G176" s="263">
        <f>$F176*$G$11</f>
        <v>22.5</v>
      </c>
      <c r="H176" s="263">
        <f>F176*$H$11</f>
        <v>0</v>
      </c>
      <c r="I176" s="263">
        <f>$F176*$I$11</f>
        <v>0</v>
      </c>
      <c r="J176" s="263">
        <f>($F176+$I176)*$J$11</f>
        <v>0</v>
      </c>
      <c r="K176" s="263">
        <v>105.83</v>
      </c>
    </row>
    <row r="177" spans="1:11" ht="12.75" customHeight="1">
      <c r="A177" s="57">
        <f>A175+1</f>
        <v>138</v>
      </c>
      <c r="B177" s="160" t="s">
        <v>392</v>
      </c>
      <c r="C177" s="161"/>
      <c r="D177" s="157">
        <v>1200</v>
      </c>
      <c r="E177" s="162">
        <f t="shared" si="16"/>
        <v>24</v>
      </c>
      <c r="F177" s="159">
        <f t="shared" si="15"/>
        <v>50</v>
      </c>
      <c r="G177" s="159">
        <f t="shared" si="17"/>
        <v>13.5</v>
      </c>
      <c r="H177" s="159">
        <f t="shared" si="18"/>
        <v>0</v>
      </c>
      <c r="I177" s="159">
        <f t="shared" si="19"/>
        <v>0</v>
      </c>
      <c r="J177" s="159">
        <f t="shared" si="20"/>
        <v>0</v>
      </c>
      <c r="K177" s="159">
        <f t="shared" si="14"/>
        <v>64</v>
      </c>
    </row>
    <row r="178" spans="1:11" ht="12.75" customHeight="1">
      <c r="A178" s="57">
        <f t="shared" si="21"/>
        <v>139</v>
      </c>
      <c r="B178" s="160" t="s">
        <v>393</v>
      </c>
      <c r="C178" s="161"/>
      <c r="D178" s="157">
        <v>8000</v>
      </c>
      <c r="E178" s="162">
        <f t="shared" si="16"/>
        <v>24</v>
      </c>
      <c r="F178" s="159">
        <f t="shared" si="15"/>
        <v>333.33333333333331</v>
      </c>
      <c r="G178" s="159">
        <f t="shared" si="17"/>
        <v>90</v>
      </c>
      <c r="H178" s="159">
        <f t="shared" si="18"/>
        <v>0</v>
      </c>
      <c r="I178" s="159">
        <f t="shared" si="19"/>
        <v>0</v>
      </c>
      <c r="J178" s="159">
        <f t="shared" si="20"/>
        <v>0</v>
      </c>
      <c r="K178" s="159">
        <f t="shared" si="14"/>
        <v>424</v>
      </c>
    </row>
    <row r="179" spans="1:11" ht="12.75" customHeight="1">
      <c r="B179" s="160" t="s">
        <v>2371</v>
      </c>
      <c r="C179" s="165"/>
      <c r="D179" s="262">
        <v>9000</v>
      </c>
      <c r="E179" s="162">
        <f>$E$11</f>
        <v>24</v>
      </c>
      <c r="F179" s="263">
        <f>D179/E179</f>
        <v>375</v>
      </c>
      <c r="G179" s="263">
        <f>$F179*$G$11</f>
        <v>101.25</v>
      </c>
      <c r="H179" s="263">
        <f>F179*$H$11</f>
        <v>0</v>
      </c>
      <c r="I179" s="263">
        <f>$F179*$I$11</f>
        <v>0</v>
      </c>
      <c r="J179" s="263">
        <f>($F179+$I179)*$J$11</f>
        <v>0</v>
      </c>
      <c r="K179" s="263">
        <v>476.25</v>
      </c>
    </row>
    <row r="180" spans="1:11" ht="12.75" customHeight="1">
      <c r="A180" s="57">
        <f>A178+1</f>
        <v>140</v>
      </c>
      <c r="B180" s="160" t="s">
        <v>394</v>
      </c>
      <c r="C180" s="161"/>
      <c r="D180" s="157">
        <v>8200</v>
      </c>
      <c r="E180" s="162">
        <f t="shared" si="16"/>
        <v>24</v>
      </c>
      <c r="F180" s="159">
        <f t="shared" si="15"/>
        <v>341.66666666666669</v>
      </c>
      <c r="G180" s="159">
        <f t="shared" si="17"/>
        <v>92.250000000000014</v>
      </c>
      <c r="H180" s="159">
        <f t="shared" si="18"/>
        <v>0</v>
      </c>
      <c r="I180" s="159">
        <f t="shared" si="19"/>
        <v>0</v>
      </c>
      <c r="J180" s="159">
        <f t="shared" si="20"/>
        <v>0</v>
      </c>
      <c r="K180" s="159">
        <f t="shared" ref="K180:K251" si="22">ROUNDUP((SUM(F180:J180)),0)</f>
        <v>434</v>
      </c>
    </row>
    <row r="181" spans="1:11" ht="12.75" customHeight="1">
      <c r="B181" s="268" t="s">
        <v>3195</v>
      </c>
      <c r="C181" s="165"/>
      <c r="D181" s="264">
        <v>2550</v>
      </c>
      <c r="E181" s="162">
        <f>$E$11</f>
        <v>24</v>
      </c>
      <c r="F181" s="265">
        <f>D181/E181</f>
        <v>106.25</v>
      </c>
      <c r="G181" s="265">
        <f>$F181*$G$11</f>
        <v>28.687500000000004</v>
      </c>
      <c r="H181" s="265">
        <f>F181*$H$11</f>
        <v>0</v>
      </c>
      <c r="I181" s="265">
        <f>$F181*$I$11</f>
        <v>0</v>
      </c>
      <c r="J181" s="265">
        <f>($F181+$I181)*$J$11</f>
        <v>0</v>
      </c>
      <c r="K181" s="265">
        <v>134.94</v>
      </c>
    </row>
    <row r="182" spans="1:11" ht="12.75" customHeight="1">
      <c r="A182" s="57">
        <f>A180+1</f>
        <v>141</v>
      </c>
      <c r="B182" s="160" t="s">
        <v>395</v>
      </c>
      <c r="C182" s="161"/>
      <c r="D182" s="157">
        <v>14000</v>
      </c>
      <c r="E182" s="162">
        <f t="shared" si="16"/>
        <v>24</v>
      </c>
      <c r="F182" s="159">
        <f t="shared" si="15"/>
        <v>583.33333333333337</v>
      </c>
      <c r="G182" s="159">
        <f t="shared" si="17"/>
        <v>157.50000000000003</v>
      </c>
      <c r="H182" s="159">
        <f t="shared" si="18"/>
        <v>0</v>
      </c>
      <c r="I182" s="159">
        <f t="shared" si="19"/>
        <v>0</v>
      </c>
      <c r="J182" s="159">
        <f t="shared" si="20"/>
        <v>0</v>
      </c>
      <c r="K182" s="159">
        <f t="shared" si="22"/>
        <v>741</v>
      </c>
    </row>
    <row r="183" spans="1:11" ht="12.75" customHeight="1">
      <c r="A183" s="57">
        <f t="shared" si="21"/>
        <v>142</v>
      </c>
      <c r="B183" s="160" t="s">
        <v>396</v>
      </c>
      <c r="C183" s="161"/>
      <c r="D183" s="157">
        <v>11000</v>
      </c>
      <c r="E183" s="162">
        <f t="shared" si="16"/>
        <v>24</v>
      </c>
      <c r="F183" s="159">
        <f t="shared" si="15"/>
        <v>458.33333333333331</v>
      </c>
      <c r="G183" s="159">
        <f t="shared" si="17"/>
        <v>123.75</v>
      </c>
      <c r="H183" s="159">
        <f t="shared" si="18"/>
        <v>0</v>
      </c>
      <c r="I183" s="159">
        <f t="shared" si="19"/>
        <v>0</v>
      </c>
      <c r="J183" s="159">
        <f t="shared" si="20"/>
        <v>0</v>
      </c>
      <c r="K183" s="159">
        <f t="shared" si="22"/>
        <v>583</v>
      </c>
    </row>
    <row r="184" spans="1:11">
      <c r="A184" s="57">
        <f t="shared" si="21"/>
        <v>143</v>
      </c>
      <c r="B184" s="160" t="s">
        <v>397</v>
      </c>
      <c r="C184" s="161"/>
      <c r="D184" s="157">
        <v>14000</v>
      </c>
      <c r="E184" s="162">
        <f t="shared" si="16"/>
        <v>24</v>
      </c>
      <c r="F184" s="159">
        <f>D184/E184</f>
        <v>583.33333333333337</v>
      </c>
      <c r="G184" s="159">
        <f t="shared" si="17"/>
        <v>157.50000000000003</v>
      </c>
      <c r="H184" s="159">
        <f t="shared" si="18"/>
        <v>0</v>
      </c>
      <c r="I184" s="159">
        <f t="shared" si="19"/>
        <v>0</v>
      </c>
      <c r="J184" s="159">
        <f t="shared" si="20"/>
        <v>0</v>
      </c>
      <c r="K184" s="159">
        <f t="shared" si="22"/>
        <v>741</v>
      </c>
    </row>
    <row r="185" spans="1:11">
      <c r="A185" s="57">
        <f t="shared" si="21"/>
        <v>144</v>
      </c>
      <c r="B185" s="160" t="s">
        <v>398</v>
      </c>
      <c r="C185" s="165"/>
      <c r="D185" s="157">
        <v>3000</v>
      </c>
      <c r="E185" s="162">
        <f t="shared" si="16"/>
        <v>24</v>
      </c>
      <c r="F185" s="159">
        <f t="shared" si="15"/>
        <v>125</v>
      </c>
      <c r="G185" s="159">
        <f t="shared" si="17"/>
        <v>33.75</v>
      </c>
      <c r="H185" s="159">
        <f t="shared" si="18"/>
        <v>0</v>
      </c>
      <c r="I185" s="159">
        <f t="shared" si="19"/>
        <v>0</v>
      </c>
      <c r="J185" s="159">
        <f t="shared" si="20"/>
        <v>0</v>
      </c>
      <c r="K185" s="159">
        <f t="shared" si="22"/>
        <v>159</v>
      </c>
    </row>
    <row r="186" spans="1:11">
      <c r="A186" s="57">
        <f t="shared" si="21"/>
        <v>145</v>
      </c>
      <c r="B186" s="160" t="s">
        <v>399</v>
      </c>
      <c r="C186" s="165"/>
      <c r="D186" s="157">
        <v>10000</v>
      </c>
      <c r="E186" s="162">
        <f t="shared" si="16"/>
        <v>24</v>
      </c>
      <c r="F186" s="159">
        <f t="shared" si="15"/>
        <v>416.66666666666669</v>
      </c>
      <c r="G186" s="159">
        <f t="shared" si="17"/>
        <v>112.50000000000001</v>
      </c>
      <c r="H186" s="159">
        <f t="shared" si="18"/>
        <v>0</v>
      </c>
      <c r="I186" s="159">
        <f t="shared" si="19"/>
        <v>0</v>
      </c>
      <c r="J186" s="159">
        <f t="shared" si="20"/>
        <v>0</v>
      </c>
      <c r="K186" s="159">
        <f t="shared" si="22"/>
        <v>530</v>
      </c>
    </row>
    <row r="187" spans="1:11">
      <c r="A187" s="57">
        <f t="shared" si="21"/>
        <v>146</v>
      </c>
      <c r="B187" s="160" t="s">
        <v>400</v>
      </c>
      <c r="C187" s="165"/>
      <c r="D187" s="157">
        <v>2880</v>
      </c>
      <c r="E187" s="162">
        <f t="shared" si="16"/>
        <v>24</v>
      </c>
      <c r="F187" s="159">
        <f t="shared" si="15"/>
        <v>120</v>
      </c>
      <c r="G187" s="159">
        <f t="shared" si="17"/>
        <v>32.400000000000006</v>
      </c>
      <c r="H187" s="159">
        <f t="shared" si="18"/>
        <v>0</v>
      </c>
      <c r="I187" s="159">
        <f t="shared" si="19"/>
        <v>0</v>
      </c>
      <c r="J187" s="159">
        <f t="shared" si="20"/>
        <v>0</v>
      </c>
      <c r="K187" s="159">
        <f t="shared" si="22"/>
        <v>153</v>
      </c>
    </row>
    <row r="188" spans="1:11">
      <c r="A188" s="57">
        <f t="shared" si="21"/>
        <v>147</v>
      </c>
      <c r="B188" s="160" t="s">
        <v>401</v>
      </c>
      <c r="C188" s="165"/>
      <c r="D188" s="157">
        <v>3100</v>
      </c>
      <c r="E188" s="162">
        <f t="shared" si="16"/>
        <v>24</v>
      </c>
      <c r="F188" s="159">
        <f t="shared" si="15"/>
        <v>129.16666666666666</v>
      </c>
      <c r="G188" s="159">
        <f t="shared" si="17"/>
        <v>34.875</v>
      </c>
      <c r="H188" s="159">
        <f t="shared" si="18"/>
        <v>0</v>
      </c>
      <c r="I188" s="159">
        <f t="shared" si="19"/>
        <v>0</v>
      </c>
      <c r="J188" s="159">
        <f t="shared" si="20"/>
        <v>0</v>
      </c>
      <c r="K188" s="159">
        <f t="shared" si="22"/>
        <v>165</v>
      </c>
    </row>
    <row r="189" spans="1:11">
      <c r="A189" s="57">
        <f t="shared" si="21"/>
        <v>148</v>
      </c>
      <c r="B189" s="160" t="s">
        <v>402</v>
      </c>
      <c r="C189" s="165"/>
      <c r="D189" s="157">
        <v>3400</v>
      </c>
      <c r="E189" s="162">
        <f t="shared" si="16"/>
        <v>24</v>
      </c>
      <c r="F189" s="159">
        <f>D189/E189</f>
        <v>141.66666666666666</v>
      </c>
      <c r="G189" s="159">
        <f t="shared" si="17"/>
        <v>38.25</v>
      </c>
      <c r="H189" s="159">
        <f t="shared" si="18"/>
        <v>0</v>
      </c>
      <c r="I189" s="159">
        <f t="shared" si="19"/>
        <v>0</v>
      </c>
      <c r="J189" s="159">
        <f t="shared" si="20"/>
        <v>0</v>
      </c>
      <c r="K189" s="159">
        <f t="shared" si="22"/>
        <v>180</v>
      </c>
    </row>
    <row r="190" spans="1:11">
      <c r="A190" s="57">
        <f t="shared" si="21"/>
        <v>149</v>
      </c>
      <c r="B190" s="160" t="s">
        <v>403</v>
      </c>
      <c r="C190" s="165"/>
      <c r="D190" s="157">
        <v>3900</v>
      </c>
      <c r="E190" s="162">
        <f t="shared" si="16"/>
        <v>24</v>
      </c>
      <c r="F190" s="159">
        <f>D190/E190</f>
        <v>162.5</v>
      </c>
      <c r="G190" s="159">
        <f t="shared" si="17"/>
        <v>43.875</v>
      </c>
      <c r="H190" s="159">
        <f t="shared" si="18"/>
        <v>0</v>
      </c>
      <c r="I190" s="159">
        <f t="shared" si="19"/>
        <v>0</v>
      </c>
      <c r="J190" s="159">
        <f t="shared" si="20"/>
        <v>0</v>
      </c>
      <c r="K190" s="159">
        <f t="shared" si="22"/>
        <v>207</v>
      </c>
    </row>
    <row r="191" spans="1:11">
      <c r="A191" s="57">
        <f t="shared" si="21"/>
        <v>150</v>
      </c>
      <c r="B191" s="160" t="s">
        <v>404</v>
      </c>
      <c r="C191" s="165"/>
      <c r="D191" s="157">
        <v>4200</v>
      </c>
      <c r="E191" s="162">
        <f t="shared" si="16"/>
        <v>24</v>
      </c>
      <c r="F191" s="159">
        <f>D191/E191</f>
        <v>175</v>
      </c>
      <c r="G191" s="159">
        <f t="shared" si="17"/>
        <v>47.25</v>
      </c>
      <c r="H191" s="159">
        <f t="shared" si="18"/>
        <v>0</v>
      </c>
      <c r="I191" s="159">
        <f t="shared" si="19"/>
        <v>0</v>
      </c>
      <c r="J191" s="159">
        <f t="shared" si="20"/>
        <v>0</v>
      </c>
      <c r="K191" s="159">
        <f t="shared" si="22"/>
        <v>223</v>
      </c>
    </row>
    <row r="192" spans="1:11">
      <c r="B192" s="160" t="s">
        <v>3239</v>
      </c>
      <c r="C192" s="165"/>
      <c r="D192" s="157">
        <v>5100</v>
      </c>
      <c r="E192" s="162">
        <f>$E$11</f>
        <v>24</v>
      </c>
      <c r="F192" s="159">
        <f>D192/E192</f>
        <v>212.5</v>
      </c>
      <c r="G192" s="159">
        <f>$F192*$G$11</f>
        <v>57.375000000000007</v>
      </c>
      <c r="H192" s="159">
        <f>F192*$H$11</f>
        <v>0</v>
      </c>
      <c r="I192" s="159">
        <f>$F192*$I$11</f>
        <v>0</v>
      </c>
      <c r="J192" s="159">
        <f>($F192+$I192)*$J$11</f>
        <v>0</v>
      </c>
      <c r="K192" s="159">
        <v>269.88</v>
      </c>
    </row>
    <row r="193" spans="1:11">
      <c r="A193" s="57">
        <f>A191+1</f>
        <v>151</v>
      </c>
      <c r="B193" s="160" t="s">
        <v>405</v>
      </c>
      <c r="C193" s="165"/>
      <c r="D193" s="157">
        <v>3560</v>
      </c>
      <c r="E193" s="162">
        <f t="shared" si="16"/>
        <v>24</v>
      </c>
      <c r="F193" s="159">
        <f>D193/E193</f>
        <v>148.33333333333334</v>
      </c>
      <c r="G193" s="159">
        <f t="shared" si="17"/>
        <v>40.050000000000004</v>
      </c>
      <c r="H193" s="159">
        <f t="shared" si="18"/>
        <v>0</v>
      </c>
      <c r="I193" s="159">
        <f t="shared" si="19"/>
        <v>0</v>
      </c>
      <c r="J193" s="159">
        <f t="shared" si="20"/>
        <v>0</v>
      </c>
      <c r="K193" s="159">
        <f t="shared" si="22"/>
        <v>189</v>
      </c>
    </row>
    <row r="194" spans="1:11" ht="14" customHeight="1">
      <c r="A194" s="57">
        <f t="shared" si="21"/>
        <v>152</v>
      </c>
      <c r="B194" s="160" t="s">
        <v>406</v>
      </c>
      <c r="C194" s="165"/>
      <c r="D194" s="157">
        <v>3560</v>
      </c>
      <c r="E194" s="162">
        <f t="shared" si="16"/>
        <v>24</v>
      </c>
      <c r="F194" s="159">
        <f t="shared" si="15"/>
        <v>148.33333333333334</v>
      </c>
      <c r="G194" s="159">
        <f t="shared" si="17"/>
        <v>40.050000000000004</v>
      </c>
      <c r="H194" s="159">
        <f t="shared" si="18"/>
        <v>0</v>
      </c>
      <c r="I194" s="159">
        <f t="shared" si="19"/>
        <v>0</v>
      </c>
      <c r="J194" s="159">
        <f t="shared" si="20"/>
        <v>0</v>
      </c>
      <c r="K194" s="159">
        <f t="shared" si="22"/>
        <v>189</v>
      </c>
    </row>
    <row r="195" spans="1:11" ht="14" customHeight="1">
      <c r="B195" s="160" t="s">
        <v>2372</v>
      </c>
      <c r="C195" s="165"/>
      <c r="D195" s="262">
        <v>3000</v>
      </c>
      <c r="E195" s="162">
        <f>$E$11</f>
        <v>24</v>
      </c>
      <c r="F195" s="263">
        <f>D195/E195</f>
        <v>125</v>
      </c>
      <c r="G195" s="263">
        <f>$F195*$G$11</f>
        <v>33.75</v>
      </c>
      <c r="H195" s="263">
        <f>F195*$H$11</f>
        <v>0</v>
      </c>
      <c r="I195" s="263">
        <f>$F195*$I$11</f>
        <v>0</v>
      </c>
      <c r="J195" s="263">
        <f>($F195+$I195)*$J$11</f>
        <v>0</v>
      </c>
      <c r="K195" s="263">
        <v>158.75</v>
      </c>
    </row>
    <row r="196" spans="1:11" ht="14" customHeight="1">
      <c r="A196" s="57">
        <f>A194+1</f>
        <v>153</v>
      </c>
      <c r="B196" s="160" t="s">
        <v>407</v>
      </c>
      <c r="C196" s="165"/>
      <c r="D196" s="157">
        <v>7340</v>
      </c>
      <c r="E196" s="162">
        <f t="shared" si="16"/>
        <v>24</v>
      </c>
      <c r="F196" s="159">
        <f t="shared" si="15"/>
        <v>305.83333333333331</v>
      </c>
      <c r="G196" s="159">
        <f t="shared" si="17"/>
        <v>82.575000000000003</v>
      </c>
      <c r="H196" s="159">
        <f t="shared" si="18"/>
        <v>0</v>
      </c>
      <c r="I196" s="159">
        <f t="shared" si="19"/>
        <v>0</v>
      </c>
      <c r="J196" s="159">
        <f t="shared" si="20"/>
        <v>0</v>
      </c>
      <c r="K196" s="159">
        <f t="shared" si="22"/>
        <v>389</v>
      </c>
    </row>
    <row r="197" spans="1:11" ht="14" customHeight="1">
      <c r="A197" s="57">
        <f t="shared" si="21"/>
        <v>154</v>
      </c>
      <c r="B197" s="160" t="s">
        <v>408</v>
      </c>
      <c r="C197" s="165"/>
      <c r="D197" s="157">
        <v>7740</v>
      </c>
      <c r="E197" s="162">
        <f t="shared" si="16"/>
        <v>24</v>
      </c>
      <c r="F197" s="159">
        <f t="shared" si="15"/>
        <v>322.5</v>
      </c>
      <c r="G197" s="159">
        <f t="shared" si="17"/>
        <v>87.075000000000003</v>
      </c>
      <c r="H197" s="159">
        <f t="shared" si="18"/>
        <v>0</v>
      </c>
      <c r="I197" s="159">
        <f t="shared" si="19"/>
        <v>0</v>
      </c>
      <c r="J197" s="159">
        <f t="shared" si="20"/>
        <v>0</v>
      </c>
      <c r="K197" s="159">
        <f t="shared" si="22"/>
        <v>410</v>
      </c>
    </row>
    <row r="198" spans="1:11" ht="16" customHeight="1">
      <c r="A198" s="57">
        <f t="shared" si="21"/>
        <v>155</v>
      </c>
      <c r="B198" s="160" t="s">
        <v>409</v>
      </c>
      <c r="C198" s="165"/>
      <c r="D198" s="157">
        <v>10500</v>
      </c>
      <c r="E198" s="162">
        <f t="shared" si="16"/>
        <v>24</v>
      </c>
      <c r="F198" s="159">
        <f>D198/E198</f>
        <v>437.5</v>
      </c>
      <c r="G198" s="159">
        <f t="shared" si="17"/>
        <v>118.12500000000001</v>
      </c>
      <c r="H198" s="159">
        <f t="shared" si="18"/>
        <v>0</v>
      </c>
      <c r="I198" s="159">
        <f t="shared" si="19"/>
        <v>0</v>
      </c>
      <c r="J198" s="159">
        <f t="shared" si="20"/>
        <v>0</v>
      </c>
      <c r="K198" s="159">
        <f t="shared" si="22"/>
        <v>556</v>
      </c>
    </row>
    <row r="199" spans="1:11" ht="28">
      <c r="A199" s="57">
        <f t="shared" si="21"/>
        <v>156</v>
      </c>
      <c r="B199" s="160" t="s">
        <v>410</v>
      </c>
      <c r="C199" s="165"/>
      <c r="D199" s="157">
        <v>13900</v>
      </c>
      <c r="E199" s="162">
        <f t="shared" si="16"/>
        <v>24</v>
      </c>
      <c r="F199" s="159">
        <f t="shared" si="15"/>
        <v>579.16666666666663</v>
      </c>
      <c r="G199" s="159">
        <f t="shared" si="17"/>
        <v>156.375</v>
      </c>
      <c r="H199" s="159">
        <f t="shared" si="18"/>
        <v>0</v>
      </c>
      <c r="I199" s="159">
        <f t="shared" si="19"/>
        <v>0</v>
      </c>
      <c r="J199" s="159">
        <f t="shared" si="20"/>
        <v>0</v>
      </c>
      <c r="K199" s="159">
        <f t="shared" si="22"/>
        <v>736</v>
      </c>
    </row>
    <row r="200" spans="1:11">
      <c r="A200" s="57">
        <f t="shared" si="21"/>
        <v>157</v>
      </c>
      <c r="B200" s="160" t="s">
        <v>411</v>
      </c>
      <c r="C200" s="165"/>
      <c r="D200" s="157">
        <v>14200</v>
      </c>
      <c r="E200" s="162">
        <f t="shared" si="16"/>
        <v>24</v>
      </c>
      <c r="F200" s="159">
        <f t="shared" si="15"/>
        <v>591.66666666666663</v>
      </c>
      <c r="G200" s="159">
        <f t="shared" si="17"/>
        <v>159.75</v>
      </c>
      <c r="H200" s="159">
        <f t="shared" si="18"/>
        <v>0</v>
      </c>
      <c r="I200" s="159">
        <f t="shared" si="19"/>
        <v>0</v>
      </c>
      <c r="J200" s="159">
        <f t="shared" si="20"/>
        <v>0</v>
      </c>
      <c r="K200" s="159">
        <f t="shared" si="22"/>
        <v>752</v>
      </c>
    </row>
    <row r="201" spans="1:11">
      <c r="A201" s="57">
        <f t="shared" si="21"/>
        <v>158</v>
      </c>
      <c r="B201" s="160" t="s">
        <v>412</v>
      </c>
      <c r="C201" s="165"/>
      <c r="D201" s="157">
        <v>4200</v>
      </c>
      <c r="E201" s="162">
        <f t="shared" si="16"/>
        <v>24</v>
      </c>
      <c r="F201" s="159">
        <f t="shared" si="15"/>
        <v>175</v>
      </c>
      <c r="G201" s="159">
        <f t="shared" si="17"/>
        <v>47.25</v>
      </c>
      <c r="H201" s="159">
        <f t="shared" si="18"/>
        <v>0</v>
      </c>
      <c r="I201" s="159">
        <f t="shared" si="19"/>
        <v>0</v>
      </c>
      <c r="J201" s="159">
        <f t="shared" si="20"/>
        <v>0</v>
      </c>
      <c r="K201" s="159">
        <f t="shared" si="22"/>
        <v>223</v>
      </c>
    </row>
    <row r="202" spans="1:11">
      <c r="B202" s="160" t="s">
        <v>2373</v>
      </c>
      <c r="C202" s="165"/>
      <c r="D202" s="262">
        <v>15000</v>
      </c>
      <c r="E202" s="162">
        <f>$E$11</f>
        <v>24</v>
      </c>
      <c r="F202" s="263">
        <f>D202/E202</f>
        <v>625</v>
      </c>
      <c r="G202" s="263">
        <f>$F202*$G$11</f>
        <v>168.75</v>
      </c>
      <c r="H202" s="263">
        <f>F202*$H$11</f>
        <v>0</v>
      </c>
      <c r="I202" s="263">
        <f>$F202*$I$11</f>
        <v>0</v>
      </c>
      <c r="J202" s="263">
        <f>($F202+$I202)*$J$11</f>
        <v>0</v>
      </c>
      <c r="K202" s="263">
        <v>793.75</v>
      </c>
    </row>
    <row r="203" spans="1:11" ht="12.75" customHeight="1">
      <c r="A203" s="57">
        <f>A201+1</f>
        <v>159</v>
      </c>
      <c r="B203" s="160" t="s">
        <v>413</v>
      </c>
      <c r="C203" s="165"/>
      <c r="D203" s="157">
        <v>4200</v>
      </c>
      <c r="E203" s="162">
        <f t="shared" si="16"/>
        <v>24</v>
      </c>
      <c r="F203" s="159">
        <f t="shared" si="15"/>
        <v>175</v>
      </c>
      <c r="G203" s="159">
        <f t="shared" si="17"/>
        <v>47.25</v>
      </c>
      <c r="H203" s="159">
        <f t="shared" si="18"/>
        <v>0</v>
      </c>
      <c r="I203" s="159">
        <f t="shared" si="19"/>
        <v>0</v>
      </c>
      <c r="J203" s="159">
        <f t="shared" si="20"/>
        <v>0</v>
      </c>
      <c r="K203" s="159">
        <f t="shared" si="22"/>
        <v>223</v>
      </c>
    </row>
    <row r="204" spans="1:11" ht="12.75" customHeight="1">
      <c r="A204" s="57">
        <f t="shared" si="21"/>
        <v>160</v>
      </c>
      <c r="B204" s="160" t="s">
        <v>414</v>
      </c>
      <c r="C204" s="161"/>
      <c r="D204" s="157">
        <v>18000</v>
      </c>
      <c r="E204" s="162">
        <f t="shared" si="16"/>
        <v>24</v>
      </c>
      <c r="F204" s="159">
        <f>D204/E204</f>
        <v>750</v>
      </c>
      <c r="G204" s="159">
        <f t="shared" si="17"/>
        <v>202.5</v>
      </c>
      <c r="H204" s="159">
        <f t="shared" si="18"/>
        <v>0</v>
      </c>
      <c r="I204" s="159">
        <f t="shared" si="19"/>
        <v>0</v>
      </c>
      <c r="J204" s="159">
        <f t="shared" si="20"/>
        <v>0</v>
      </c>
      <c r="K204" s="159">
        <f t="shared" si="22"/>
        <v>953</v>
      </c>
    </row>
    <row r="205" spans="1:11">
      <c r="A205" s="57">
        <f t="shared" si="21"/>
        <v>161</v>
      </c>
      <c r="B205" s="160" t="s">
        <v>415</v>
      </c>
      <c r="C205" s="161"/>
      <c r="D205" s="157">
        <v>3500</v>
      </c>
      <c r="E205" s="162">
        <f t="shared" si="16"/>
        <v>24</v>
      </c>
      <c r="F205" s="159">
        <f>D205/E205</f>
        <v>145.83333333333334</v>
      </c>
      <c r="G205" s="159">
        <f t="shared" si="17"/>
        <v>39.375000000000007</v>
      </c>
      <c r="H205" s="159">
        <f t="shared" si="18"/>
        <v>0</v>
      </c>
      <c r="I205" s="159">
        <f t="shared" si="19"/>
        <v>0</v>
      </c>
      <c r="J205" s="159">
        <f t="shared" si="20"/>
        <v>0</v>
      </c>
      <c r="K205" s="159">
        <f t="shared" si="22"/>
        <v>186</v>
      </c>
    </row>
    <row r="206" spans="1:11">
      <c r="B206" s="160" t="s">
        <v>3238</v>
      </c>
      <c r="C206" s="165"/>
      <c r="D206" s="157">
        <v>19200</v>
      </c>
      <c r="E206" s="162">
        <f>$E$11</f>
        <v>24</v>
      </c>
      <c r="F206" s="159">
        <f>D206/E206</f>
        <v>800</v>
      </c>
      <c r="G206" s="159">
        <f>$F206*$G$11</f>
        <v>216</v>
      </c>
      <c r="H206" s="159">
        <f>F206*$H$11</f>
        <v>0</v>
      </c>
      <c r="I206" s="159">
        <f>$F206*$I$11</f>
        <v>0</v>
      </c>
      <c r="J206" s="159">
        <f>($F206+$I206)*$J$11</f>
        <v>0</v>
      </c>
      <c r="K206" s="159">
        <v>1016</v>
      </c>
    </row>
    <row r="207" spans="1:11">
      <c r="A207" s="57">
        <f>A205+1</f>
        <v>162</v>
      </c>
      <c r="B207" s="160" t="s">
        <v>416</v>
      </c>
      <c r="C207" s="165"/>
      <c r="D207" s="157">
        <v>4800</v>
      </c>
      <c r="E207" s="162">
        <f t="shared" si="16"/>
        <v>24</v>
      </c>
      <c r="F207" s="159">
        <f>D207/E207</f>
        <v>200</v>
      </c>
      <c r="G207" s="159">
        <f t="shared" si="17"/>
        <v>54</v>
      </c>
      <c r="H207" s="159">
        <f t="shared" si="18"/>
        <v>0</v>
      </c>
      <c r="I207" s="159">
        <f t="shared" si="19"/>
        <v>0</v>
      </c>
      <c r="J207" s="159">
        <f t="shared" si="20"/>
        <v>0</v>
      </c>
      <c r="K207" s="159">
        <f t="shared" si="22"/>
        <v>254</v>
      </c>
    </row>
    <row r="208" spans="1:11">
      <c r="A208" s="57">
        <f t="shared" si="21"/>
        <v>163</v>
      </c>
      <c r="B208" s="160" t="s">
        <v>417</v>
      </c>
      <c r="C208" s="165"/>
      <c r="D208" s="157">
        <v>2880</v>
      </c>
      <c r="E208" s="162">
        <f t="shared" si="16"/>
        <v>24</v>
      </c>
      <c r="F208" s="159">
        <f t="shared" si="15"/>
        <v>120</v>
      </c>
      <c r="G208" s="159">
        <f t="shared" si="17"/>
        <v>32.400000000000006</v>
      </c>
      <c r="H208" s="159">
        <f t="shared" si="18"/>
        <v>0</v>
      </c>
      <c r="I208" s="159">
        <f t="shared" si="19"/>
        <v>0</v>
      </c>
      <c r="J208" s="159">
        <f t="shared" si="20"/>
        <v>0</v>
      </c>
      <c r="K208" s="159">
        <f t="shared" si="22"/>
        <v>153</v>
      </c>
    </row>
    <row r="209" spans="1:11" ht="14" customHeight="1">
      <c r="A209" s="57">
        <f t="shared" si="21"/>
        <v>164</v>
      </c>
      <c r="B209" s="160" t="s">
        <v>418</v>
      </c>
      <c r="C209" s="165"/>
      <c r="D209" s="157">
        <v>3080</v>
      </c>
      <c r="E209" s="162">
        <f t="shared" si="16"/>
        <v>24</v>
      </c>
      <c r="F209" s="159">
        <f t="shared" si="15"/>
        <v>128.33333333333334</v>
      </c>
      <c r="G209" s="159">
        <f t="shared" si="17"/>
        <v>34.650000000000006</v>
      </c>
      <c r="H209" s="159">
        <f t="shared" si="18"/>
        <v>0</v>
      </c>
      <c r="I209" s="159">
        <f t="shared" si="19"/>
        <v>0</v>
      </c>
      <c r="J209" s="159">
        <f t="shared" si="20"/>
        <v>0</v>
      </c>
      <c r="K209" s="159">
        <f t="shared" si="22"/>
        <v>163</v>
      </c>
    </row>
    <row r="210" spans="1:11" ht="14" customHeight="1">
      <c r="A210" s="57">
        <f t="shared" si="21"/>
        <v>165</v>
      </c>
      <c r="B210" s="160" t="s">
        <v>419</v>
      </c>
      <c r="C210" s="165"/>
      <c r="D210" s="157">
        <v>2360</v>
      </c>
      <c r="E210" s="162">
        <f t="shared" si="16"/>
        <v>24</v>
      </c>
      <c r="F210" s="159">
        <f t="shared" si="15"/>
        <v>98.333333333333329</v>
      </c>
      <c r="G210" s="159">
        <f t="shared" si="17"/>
        <v>26.55</v>
      </c>
      <c r="H210" s="159">
        <f t="shared" si="18"/>
        <v>0</v>
      </c>
      <c r="I210" s="159">
        <f t="shared" si="19"/>
        <v>0</v>
      </c>
      <c r="J210" s="159">
        <f t="shared" si="20"/>
        <v>0</v>
      </c>
      <c r="K210" s="159">
        <f t="shared" si="22"/>
        <v>125</v>
      </c>
    </row>
    <row r="211" spans="1:11" ht="14" customHeight="1">
      <c r="A211" s="57">
        <f t="shared" si="21"/>
        <v>166</v>
      </c>
      <c r="B211" s="160" t="s">
        <v>420</v>
      </c>
      <c r="C211" s="165"/>
      <c r="D211" s="157">
        <v>2740</v>
      </c>
      <c r="E211" s="162">
        <f t="shared" si="16"/>
        <v>24</v>
      </c>
      <c r="F211" s="159">
        <f t="shared" si="15"/>
        <v>114.16666666666667</v>
      </c>
      <c r="G211" s="159">
        <f t="shared" si="17"/>
        <v>30.825000000000003</v>
      </c>
      <c r="H211" s="159">
        <f t="shared" si="18"/>
        <v>0</v>
      </c>
      <c r="I211" s="159">
        <f t="shared" si="19"/>
        <v>0</v>
      </c>
      <c r="J211" s="159">
        <f t="shared" si="20"/>
        <v>0</v>
      </c>
      <c r="K211" s="159">
        <f t="shared" si="22"/>
        <v>145</v>
      </c>
    </row>
    <row r="212" spans="1:11" ht="14" customHeight="1">
      <c r="A212" s="57">
        <f t="shared" si="21"/>
        <v>167</v>
      </c>
      <c r="B212" s="160" t="s">
        <v>421</v>
      </c>
      <c r="C212" s="165"/>
      <c r="D212" s="157">
        <v>2800</v>
      </c>
      <c r="E212" s="162">
        <f t="shared" si="16"/>
        <v>24</v>
      </c>
      <c r="F212" s="159">
        <f t="shared" si="15"/>
        <v>116.66666666666667</v>
      </c>
      <c r="G212" s="159">
        <f t="shared" si="17"/>
        <v>31.500000000000004</v>
      </c>
      <c r="H212" s="159">
        <f t="shared" si="18"/>
        <v>0</v>
      </c>
      <c r="I212" s="159">
        <f t="shared" si="19"/>
        <v>0</v>
      </c>
      <c r="J212" s="159">
        <f t="shared" si="20"/>
        <v>0</v>
      </c>
      <c r="K212" s="159">
        <f t="shared" si="22"/>
        <v>149</v>
      </c>
    </row>
    <row r="213" spans="1:11" ht="14" customHeight="1">
      <c r="A213" s="57">
        <f t="shared" si="21"/>
        <v>168</v>
      </c>
      <c r="B213" s="160" t="s">
        <v>422</v>
      </c>
      <c r="C213" s="165"/>
      <c r="D213" s="157">
        <v>2600</v>
      </c>
      <c r="E213" s="162">
        <f t="shared" si="16"/>
        <v>24</v>
      </c>
      <c r="F213" s="159">
        <f t="shared" si="15"/>
        <v>108.33333333333333</v>
      </c>
      <c r="G213" s="159">
        <f t="shared" si="17"/>
        <v>29.25</v>
      </c>
      <c r="H213" s="159">
        <f t="shared" si="18"/>
        <v>0</v>
      </c>
      <c r="I213" s="159">
        <f t="shared" si="19"/>
        <v>0</v>
      </c>
      <c r="J213" s="159">
        <f t="shared" si="20"/>
        <v>0</v>
      </c>
      <c r="K213" s="159">
        <f t="shared" si="22"/>
        <v>138</v>
      </c>
    </row>
    <row r="214" spans="1:11" ht="14" customHeight="1">
      <c r="A214" s="57">
        <f t="shared" si="21"/>
        <v>169</v>
      </c>
      <c r="B214" s="160" t="s">
        <v>423</v>
      </c>
      <c r="C214" s="165"/>
      <c r="D214" s="157">
        <v>1900</v>
      </c>
      <c r="E214" s="162">
        <f t="shared" si="16"/>
        <v>24</v>
      </c>
      <c r="F214" s="159">
        <f t="shared" si="15"/>
        <v>79.166666666666671</v>
      </c>
      <c r="G214" s="159">
        <f t="shared" si="17"/>
        <v>21.375000000000004</v>
      </c>
      <c r="H214" s="159">
        <f t="shared" si="18"/>
        <v>0</v>
      </c>
      <c r="I214" s="159">
        <f t="shared" si="19"/>
        <v>0</v>
      </c>
      <c r="J214" s="159">
        <f t="shared" si="20"/>
        <v>0</v>
      </c>
      <c r="K214" s="159">
        <f t="shared" si="22"/>
        <v>101</v>
      </c>
    </row>
    <row r="215" spans="1:11" ht="14" customHeight="1">
      <c r="A215" s="57">
        <f t="shared" si="21"/>
        <v>170</v>
      </c>
      <c r="B215" s="160" t="s">
        <v>424</v>
      </c>
      <c r="C215" s="165"/>
      <c r="D215" s="163">
        <v>48</v>
      </c>
      <c r="E215" s="162" t="s">
        <v>425</v>
      </c>
      <c r="F215" s="166" t="s">
        <v>92</v>
      </c>
      <c r="G215" s="166" t="s">
        <v>92</v>
      </c>
      <c r="H215" s="166" t="s">
        <v>92</v>
      </c>
      <c r="I215" s="166" t="s">
        <v>92</v>
      </c>
      <c r="J215" s="166" t="s">
        <v>92</v>
      </c>
      <c r="K215" s="167">
        <v>48</v>
      </c>
    </row>
    <row r="216" spans="1:11" ht="14" customHeight="1">
      <c r="A216" s="57">
        <f t="shared" si="21"/>
        <v>171</v>
      </c>
      <c r="B216" s="160" t="s">
        <v>426</v>
      </c>
      <c r="C216" s="165"/>
      <c r="D216" s="163">
        <v>48</v>
      </c>
      <c r="E216" s="162" t="s">
        <v>425</v>
      </c>
      <c r="F216" s="166" t="s">
        <v>92</v>
      </c>
      <c r="G216" s="166" t="s">
        <v>92</v>
      </c>
      <c r="H216" s="166" t="s">
        <v>92</v>
      </c>
      <c r="I216" s="166" t="s">
        <v>92</v>
      </c>
      <c r="J216" s="166" t="s">
        <v>92</v>
      </c>
      <c r="K216" s="167">
        <v>48</v>
      </c>
    </row>
    <row r="217" spans="1:11" ht="14" customHeight="1">
      <c r="A217" s="57">
        <f t="shared" si="21"/>
        <v>172</v>
      </c>
      <c r="B217" s="160" t="s">
        <v>427</v>
      </c>
      <c r="C217" s="165"/>
      <c r="D217" s="163">
        <v>48</v>
      </c>
      <c r="E217" s="162" t="s">
        <v>428</v>
      </c>
      <c r="F217" s="166" t="s">
        <v>92</v>
      </c>
      <c r="G217" s="166" t="s">
        <v>92</v>
      </c>
      <c r="H217" s="166" t="s">
        <v>92</v>
      </c>
      <c r="I217" s="166" t="s">
        <v>92</v>
      </c>
      <c r="J217" s="166" t="s">
        <v>92</v>
      </c>
      <c r="K217" s="167">
        <v>48</v>
      </c>
    </row>
    <row r="218" spans="1:11" ht="14" customHeight="1">
      <c r="A218" s="57">
        <f t="shared" si="21"/>
        <v>173</v>
      </c>
      <c r="B218" s="160" t="s">
        <v>429</v>
      </c>
      <c r="C218" s="165"/>
      <c r="D218" s="157">
        <v>22700</v>
      </c>
      <c r="E218" s="162">
        <f t="shared" ref="E218:E286" si="23">$E$11</f>
        <v>24</v>
      </c>
      <c r="F218" s="159">
        <f t="shared" si="15"/>
        <v>945.83333333333337</v>
      </c>
      <c r="G218" s="159">
        <f t="shared" ref="G218:G286" si="24">$F218*$G$11</f>
        <v>255.37500000000003</v>
      </c>
      <c r="H218" s="159">
        <f t="shared" ref="H218:H286" si="25">F218*$H$11</f>
        <v>0</v>
      </c>
      <c r="I218" s="159">
        <f t="shared" ref="I218:I286" si="26">$F218*$I$11</f>
        <v>0</v>
      </c>
      <c r="J218" s="159">
        <f t="shared" ref="J218:J286" si="27">($F218+$I218)*$J$11</f>
        <v>0</v>
      </c>
      <c r="K218" s="159">
        <f t="shared" si="22"/>
        <v>1202</v>
      </c>
    </row>
    <row r="219" spans="1:11" ht="14" customHeight="1">
      <c r="B219" s="160" t="s">
        <v>2712</v>
      </c>
      <c r="C219" s="165"/>
      <c r="D219" s="264"/>
      <c r="E219" s="162">
        <f>$E$11</f>
        <v>24</v>
      </c>
      <c r="F219" s="265">
        <f>D219/E219</f>
        <v>0</v>
      </c>
      <c r="G219" s="265">
        <f>$F219*$G$11</f>
        <v>0</v>
      </c>
      <c r="H219" s="265">
        <f>F219*$H$11</f>
        <v>0</v>
      </c>
      <c r="I219" s="265">
        <f>$F219*$I$11</f>
        <v>0</v>
      </c>
      <c r="J219" s="265">
        <f>($F219+$I219)*$J$11</f>
        <v>0</v>
      </c>
      <c r="K219" s="265">
        <v>899.58</v>
      </c>
    </row>
    <row r="220" spans="1:11" ht="14" customHeight="1">
      <c r="A220" s="57">
        <f>A218+1</f>
        <v>174</v>
      </c>
      <c r="B220" s="160" t="s">
        <v>430</v>
      </c>
      <c r="C220" s="165"/>
      <c r="D220" s="157">
        <v>2800</v>
      </c>
      <c r="E220" s="162">
        <f t="shared" si="23"/>
        <v>24</v>
      </c>
      <c r="F220" s="159">
        <f t="shared" si="15"/>
        <v>116.66666666666667</v>
      </c>
      <c r="G220" s="159">
        <f t="shared" si="24"/>
        <v>31.500000000000004</v>
      </c>
      <c r="H220" s="159">
        <f t="shared" si="25"/>
        <v>0</v>
      </c>
      <c r="I220" s="159">
        <f t="shared" si="26"/>
        <v>0</v>
      </c>
      <c r="J220" s="159">
        <f t="shared" si="27"/>
        <v>0</v>
      </c>
      <c r="K220" s="159">
        <f t="shared" si="22"/>
        <v>149</v>
      </c>
    </row>
    <row r="221" spans="1:11" ht="14" customHeight="1">
      <c r="A221" s="57">
        <f t="shared" si="21"/>
        <v>175</v>
      </c>
      <c r="B221" s="160" t="s">
        <v>431</v>
      </c>
      <c r="C221" s="165"/>
      <c r="D221" s="157">
        <v>14500</v>
      </c>
      <c r="E221" s="162">
        <f t="shared" si="23"/>
        <v>24</v>
      </c>
      <c r="F221" s="159">
        <f t="shared" si="15"/>
        <v>604.16666666666663</v>
      </c>
      <c r="G221" s="159">
        <f t="shared" si="24"/>
        <v>163.125</v>
      </c>
      <c r="H221" s="159">
        <f t="shared" si="25"/>
        <v>0</v>
      </c>
      <c r="I221" s="159">
        <f t="shared" si="26"/>
        <v>0</v>
      </c>
      <c r="J221" s="159">
        <f t="shared" si="27"/>
        <v>0</v>
      </c>
      <c r="K221" s="159">
        <f t="shared" si="22"/>
        <v>768</v>
      </c>
    </row>
    <row r="222" spans="1:11" ht="14" customHeight="1">
      <c r="A222" s="57">
        <f t="shared" si="21"/>
        <v>176</v>
      </c>
      <c r="B222" s="160" t="s">
        <v>432</v>
      </c>
      <c r="C222" s="165"/>
      <c r="D222" s="157">
        <v>1000</v>
      </c>
      <c r="E222" s="162">
        <f t="shared" si="23"/>
        <v>24</v>
      </c>
      <c r="F222" s="159">
        <f t="shared" si="15"/>
        <v>41.666666666666664</v>
      </c>
      <c r="G222" s="159">
        <f t="shared" si="24"/>
        <v>11.25</v>
      </c>
      <c r="H222" s="159">
        <f t="shared" si="25"/>
        <v>0</v>
      </c>
      <c r="I222" s="159">
        <f t="shared" si="26"/>
        <v>0</v>
      </c>
      <c r="J222" s="159">
        <f t="shared" si="27"/>
        <v>0</v>
      </c>
      <c r="K222" s="159">
        <f t="shared" si="22"/>
        <v>53</v>
      </c>
    </row>
    <row r="223" spans="1:11" ht="26.25" customHeight="1">
      <c r="A223" s="57">
        <f t="shared" si="21"/>
        <v>177</v>
      </c>
      <c r="B223" s="160" t="s">
        <v>433</v>
      </c>
      <c r="C223" s="165"/>
      <c r="D223" s="157">
        <v>2800</v>
      </c>
      <c r="E223" s="162">
        <f t="shared" si="23"/>
        <v>24</v>
      </c>
      <c r="F223" s="159">
        <f t="shared" si="15"/>
        <v>116.66666666666667</v>
      </c>
      <c r="G223" s="159">
        <f t="shared" si="24"/>
        <v>31.500000000000004</v>
      </c>
      <c r="H223" s="159">
        <f t="shared" si="25"/>
        <v>0</v>
      </c>
      <c r="I223" s="159">
        <f t="shared" si="26"/>
        <v>0</v>
      </c>
      <c r="J223" s="159">
        <f t="shared" si="27"/>
        <v>0</v>
      </c>
      <c r="K223" s="159">
        <f t="shared" si="22"/>
        <v>149</v>
      </c>
    </row>
    <row r="224" spans="1:11" ht="28">
      <c r="A224" s="57">
        <f t="shared" si="21"/>
        <v>178</v>
      </c>
      <c r="B224" s="160" t="s">
        <v>434</v>
      </c>
      <c r="C224" s="165"/>
      <c r="D224" s="157">
        <v>6900</v>
      </c>
      <c r="E224" s="162">
        <f t="shared" si="23"/>
        <v>24</v>
      </c>
      <c r="F224" s="159">
        <f t="shared" si="15"/>
        <v>287.5</v>
      </c>
      <c r="G224" s="159">
        <f t="shared" si="24"/>
        <v>77.625</v>
      </c>
      <c r="H224" s="159">
        <f t="shared" si="25"/>
        <v>0</v>
      </c>
      <c r="I224" s="159">
        <f t="shared" si="26"/>
        <v>0</v>
      </c>
      <c r="J224" s="159">
        <f t="shared" si="27"/>
        <v>0</v>
      </c>
      <c r="K224" s="159">
        <f t="shared" si="22"/>
        <v>366</v>
      </c>
    </row>
    <row r="225" spans="1:11">
      <c r="A225" s="57">
        <f t="shared" si="21"/>
        <v>179</v>
      </c>
      <c r="B225" s="160" t="s">
        <v>435</v>
      </c>
      <c r="C225" s="165"/>
      <c r="D225" s="157">
        <v>6200</v>
      </c>
      <c r="E225" s="162">
        <f t="shared" si="23"/>
        <v>24</v>
      </c>
      <c r="F225" s="159">
        <f t="shared" ref="F225:F286" si="28">D225/E225</f>
        <v>258.33333333333331</v>
      </c>
      <c r="G225" s="159">
        <f t="shared" si="24"/>
        <v>69.75</v>
      </c>
      <c r="H225" s="159">
        <f t="shared" si="25"/>
        <v>0</v>
      </c>
      <c r="I225" s="159">
        <f t="shared" si="26"/>
        <v>0</v>
      </c>
      <c r="J225" s="159">
        <f t="shared" si="27"/>
        <v>0</v>
      </c>
      <c r="K225" s="159">
        <f t="shared" si="22"/>
        <v>329</v>
      </c>
    </row>
    <row r="226" spans="1:11" ht="32" customHeight="1">
      <c r="A226" s="57">
        <f>A224+1</f>
        <v>179</v>
      </c>
      <c r="B226" s="160" t="s">
        <v>436</v>
      </c>
      <c r="C226" s="165"/>
      <c r="D226" s="157">
        <v>4000</v>
      </c>
      <c r="E226" s="162">
        <f t="shared" si="23"/>
        <v>24</v>
      </c>
      <c r="F226" s="159">
        <f t="shared" si="28"/>
        <v>166.66666666666666</v>
      </c>
      <c r="G226" s="159">
        <f t="shared" si="24"/>
        <v>45</v>
      </c>
      <c r="H226" s="159">
        <f t="shared" si="25"/>
        <v>0</v>
      </c>
      <c r="I226" s="159">
        <f t="shared" si="26"/>
        <v>0</v>
      </c>
      <c r="J226" s="159">
        <f t="shared" si="27"/>
        <v>0</v>
      </c>
      <c r="K226" s="159">
        <f t="shared" si="22"/>
        <v>212</v>
      </c>
    </row>
    <row r="227" spans="1:11" ht="15" customHeight="1">
      <c r="B227" s="249" t="s">
        <v>2188</v>
      </c>
      <c r="C227" s="177"/>
      <c r="D227" s="178"/>
      <c r="E227" s="162">
        <f>$E$11</f>
        <v>24</v>
      </c>
      <c r="F227" s="178">
        <f>D227/E227</f>
        <v>0</v>
      </c>
      <c r="G227" s="178">
        <f>$F227*$G$11</f>
        <v>0</v>
      </c>
      <c r="H227" s="178">
        <f>F227*$H$11</f>
        <v>0</v>
      </c>
      <c r="I227" s="178">
        <f>$F227*$I$11</f>
        <v>0</v>
      </c>
      <c r="J227" s="178">
        <f>($F227+$I227)*$J$11</f>
        <v>0</v>
      </c>
      <c r="K227" s="250">
        <v>1345</v>
      </c>
    </row>
    <row r="228" spans="1:11" ht="32" customHeight="1">
      <c r="A228" s="57">
        <f>A225+1</f>
        <v>180</v>
      </c>
      <c r="B228" s="160" t="s">
        <v>437</v>
      </c>
      <c r="C228" s="165"/>
      <c r="D228" s="157">
        <v>40000</v>
      </c>
      <c r="E228" s="162">
        <f t="shared" si="23"/>
        <v>24</v>
      </c>
      <c r="F228" s="159">
        <f>D228/E228</f>
        <v>1666.6666666666667</v>
      </c>
      <c r="G228" s="159">
        <f t="shared" si="24"/>
        <v>450.00000000000006</v>
      </c>
      <c r="H228" s="159">
        <f t="shared" si="25"/>
        <v>0</v>
      </c>
      <c r="I228" s="159">
        <f t="shared" si="26"/>
        <v>0</v>
      </c>
      <c r="J228" s="159">
        <f t="shared" si="27"/>
        <v>0</v>
      </c>
      <c r="K228" s="159">
        <f>ROUNDUP((SUM(F228:J228)),0)</f>
        <v>2117</v>
      </c>
    </row>
    <row r="229" spans="1:11" ht="29" customHeight="1">
      <c r="A229" s="57">
        <f t="shared" si="21"/>
        <v>181</v>
      </c>
      <c r="B229" s="160" t="s">
        <v>438</v>
      </c>
      <c r="C229" s="165"/>
      <c r="D229" s="157">
        <v>24000</v>
      </c>
      <c r="E229" s="162">
        <f t="shared" si="23"/>
        <v>24</v>
      </c>
      <c r="F229" s="159">
        <f t="shared" si="28"/>
        <v>1000</v>
      </c>
      <c r="G229" s="159">
        <f t="shared" si="24"/>
        <v>270</v>
      </c>
      <c r="H229" s="159">
        <f t="shared" si="25"/>
        <v>0</v>
      </c>
      <c r="I229" s="159">
        <f t="shared" si="26"/>
        <v>0</v>
      </c>
      <c r="J229" s="159">
        <f t="shared" si="27"/>
        <v>0</v>
      </c>
      <c r="K229" s="159">
        <f t="shared" si="22"/>
        <v>1270</v>
      </c>
    </row>
    <row r="230" spans="1:11" ht="29" customHeight="1">
      <c r="A230" s="57">
        <f t="shared" si="21"/>
        <v>182</v>
      </c>
      <c r="B230" s="160" t="s">
        <v>439</v>
      </c>
      <c r="C230" s="165"/>
      <c r="D230" s="157">
        <v>19000</v>
      </c>
      <c r="E230" s="162">
        <f t="shared" si="23"/>
        <v>24</v>
      </c>
      <c r="F230" s="159">
        <f t="shared" si="28"/>
        <v>791.66666666666663</v>
      </c>
      <c r="G230" s="159">
        <f t="shared" si="24"/>
        <v>213.75</v>
      </c>
      <c r="H230" s="159">
        <f t="shared" si="25"/>
        <v>0</v>
      </c>
      <c r="I230" s="159">
        <f t="shared" si="26"/>
        <v>0</v>
      </c>
      <c r="J230" s="159">
        <f t="shared" si="27"/>
        <v>0</v>
      </c>
      <c r="K230" s="159">
        <f t="shared" si="22"/>
        <v>1006</v>
      </c>
    </row>
    <row r="231" spans="1:11" ht="14" customHeight="1">
      <c r="A231" s="57">
        <f t="shared" si="21"/>
        <v>183</v>
      </c>
      <c r="B231" s="160" t="s">
        <v>440</v>
      </c>
      <c r="C231" s="165"/>
      <c r="D231" s="157">
        <v>13000</v>
      </c>
      <c r="E231" s="162">
        <f t="shared" si="23"/>
        <v>24</v>
      </c>
      <c r="F231" s="159">
        <f t="shared" si="28"/>
        <v>541.66666666666663</v>
      </c>
      <c r="G231" s="159">
        <f t="shared" si="24"/>
        <v>146.25</v>
      </c>
      <c r="H231" s="159">
        <f t="shared" si="25"/>
        <v>0</v>
      </c>
      <c r="I231" s="159">
        <f t="shared" si="26"/>
        <v>0</v>
      </c>
      <c r="J231" s="159">
        <f t="shared" si="27"/>
        <v>0</v>
      </c>
      <c r="K231" s="159">
        <f t="shared" si="22"/>
        <v>688</v>
      </c>
    </row>
    <row r="232" spans="1:11" ht="14" customHeight="1">
      <c r="A232" s="57">
        <f t="shared" si="21"/>
        <v>184</v>
      </c>
      <c r="B232" s="160" t="s">
        <v>441</v>
      </c>
      <c r="C232" s="165"/>
      <c r="D232" s="157">
        <v>1840</v>
      </c>
      <c r="E232" s="162">
        <f t="shared" si="23"/>
        <v>24</v>
      </c>
      <c r="F232" s="159">
        <f t="shared" si="28"/>
        <v>76.666666666666671</v>
      </c>
      <c r="G232" s="159">
        <f t="shared" si="24"/>
        <v>20.700000000000003</v>
      </c>
      <c r="H232" s="159">
        <f t="shared" si="25"/>
        <v>0</v>
      </c>
      <c r="I232" s="159">
        <f t="shared" si="26"/>
        <v>0</v>
      </c>
      <c r="J232" s="159">
        <f t="shared" si="27"/>
        <v>0</v>
      </c>
      <c r="K232" s="159">
        <f t="shared" si="22"/>
        <v>98</v>
      </c>
    </row>
    <row r="233" spans="1:11" ht="14" customHeight="1">
      <c r="A233" s="57">
        <f t="shared" si="21"/>
        <v>185</v>
      </c>
      <c r="B233" s="160" t="s">
        <v>442</v>
      </c>
      <c r="C233" s="165"/>
      <c r="D233" s="157">
        <v>2800</v>
      </c>
      <c r="E233" s="162">
        <f t="shared" si="23"/>
        <v>24</v>
      </c>
      <c r="F233" s="159">
        <f t="shared" si="28"/>
        <v>116.66666666666667</v>
      </c>
      <c r="G233" s="159">
        <f t="shared" si="24"/>
        <v>31.500000000000004</v>
      </c>
      <c r="H233" s="159">
        <f t="shared" si="25"/>
        <v>0</v>
      </c>
      <c r="I233" s="159">
        <f t="shared" si="26"/>
        <v>0</v>
      </c>
      <c r="J233" s="159">
        <f t="shared" si="27"/>
        <v>0</v>
      </c>
      <c r="K233" s="159">
        <f t="shared" si="22"/>
        <v>149</v>
      </c>
    </row>
    <row r="234" spans="1:11" ht="14" customHeight="1">
      <c r="A234" s="57">
        <f t="shared" si="21"/>
        <v>186</v>
      </c>
      <c r="B234" s="160" t="s">
        <v>443</v>
      </c>
      <c r="C234" s="165"/>
      <c r="D234" s="157">
        <v>3200</v>
      </c>
      <c r="E234" s="162">
        <f t="shared" si="23"/>
        <v>24</v>
      </c>
      <c r="F234" s="159">
        <f t="shared" si="28"/>
        <v>133.33333333333334</v>
      </c>
      <c r="G234" s="159">
        <f t="shared" si="24"/>
        <v>36.000000000000007</v>
      </c>
      <c r="H234" s="159">
        <f t="shared" si="25"/>
        <v>0</v>
      </c>
      <c r="I234" s="159">
        <f t="shared" si="26"/>
        <v>0</v>
      </c>
      <c r="J234" s="159">
        <f t="shared" si="27"/>
        <v>0</v>
      </c>
      <c r="K234" s="159">
        <f t="shared" si="22"/>
        <v>170</v>
      </c>
    </row>
    <row r="235" spans="1:11" ht="14" customHeight="1">
      <c r="A235" s="57">
        <f t="shared" ref="A235:A276" si="29">A234+1</f>
        <v>187</v>
      </c>
      <c r="B235" s="160" t="s">
        <v>444</v>
      </c>
      <c r="C235" s="165"/>
      <c r="D235" s="157">
        <v>6560</v>
      </c>
      <c r="E235" s="162">
        <f t="shared" si="23"/>
        <v>24</v>
      </c>
      <c r="F235" s="159">
        <f t="shared" si="28"/>
        <v>273.33333333333331</v>
      </c>
      <c r="G235" s="159">
        <f t="shared" si="24"/>
        <v>73.8</v>
      </c>
      <c r="H235" s="159">
        <f t="shared" si="25"/>
        <v>0</v>
      </c>
      <c r="I235" s="159">
        <f t="shared" si="26"/>
        <v>0</v>
      </c>
      <c r="J235" s="159">
        <f t="shared" si="27"/>
        <v>0</v>
      </c>
      <c r="K235" s="159">
        <f t="shared" si="22"/>
        <v>348</v>
      </c>
    </row>
    <row r="236" spans="1:11" ht="14" customHeight="1">
      <c r="A236" s="57">
        <f t="shared" si="29"/>
        <v>188</v>
      </c>
      <c r="B236" s="160" t="s">
        <v>445</v>
      </c>
      <c r="C236" s="165"/>
      <c r="D236" s="157">
        <v>7160</v>
      </c>
      <c r="E236" s="162">
        <f t="shared" si="23"/>
        <v>24</v>
      </c>
      <c r="F236" s="159">
        <f t="shared" si="28"/>
        <v>298.33333333333331</v>
      </c>
      <c r="G236" s="159">
        <f t="shared" si="24"/>
        <v>80.55</v>
      </c>
      <c r="H236" s="159">
        <f t="shared" si="25"/>
        <v>0</v>
      </c>
      <c r="I236" s="159">
        <f t="shared" si="26"/>
        <v>0</v>
      </c>
      <c r="J236" s="159">
        <f t="shared" si="27"/>
        <v>0</v>
      </c>
      <c r="K236" s="159">
        <f t="shared" si="22"/>
        <v>379</v>
      </c>
    </row>
    <row r="237" spans="1:11" ht="14" customHeight="1">
      <c r="A237" s="57">
        <f t="shared" si="29"/>
        <v>189</v>
      </c>
      <c r="B237" s="160" t="s">
        <v>446</v>
      </c>
      <c r="C237" s="168"/>
      <c r="D237" s="157">
        <v>10000</v>
      </c>
      <c r="E237" s="162">
        <f t="shared" si="23"/>
        <v>24</v>
      </c>
      <c r="F237" s="159">
        <f t="shared" si="28"/>
        <v>416.66666666666669</v>
      </c>
      <c r="G237" s="159">
        <f t="shared" si="24"/>
        <v>112.50000000000001</v>
      </c>
      <c r="H237" s="159">
        <f t="shared" si="25"/>
        <v>0</v>
      </c>
      <c r="I237" s="159">
        <f t="shared" si="26"/>
        <v>0</v>
      </c>
      <c r="J237" s="159">
        <f t="shared" si="27"/>
        <v>0</v>
      </c>
      <c r="K237" s="159">
        <f t="shared" si="22"/>
        <v>530</v>
      </c>
    </row>
    <row r="238" spans="1:11" ht="14" customHeight="1">
      <c r="A238" s="57">
        <f t="shared" si="29"/>
        <v>190</v>
      </c>
      <c r="B238" s="160" t="s">
        <v>447</v>
      </c>
      <c r="C238" s="165"/>
      <c r="D238" s="157">
        <v>7600</v>
      </c>
      <c r="E238" s="162">
        <f t="shared" si="23"/>
        <v>24</v>
      </c>
      <c r="F238" s="159">
        <f>D238/E238</f>
        <v>316.66666666666669</v>
      </c>
      <c r="G238" s="159">
        <f t="shared" si="24"/>
        <v>85.500000000000014</v>
      </c>
      <c r="H238" s="159">
        <f t="shared" si="25"/>
        <v>0</v>
      </c>
      <c r="I238" s="159">
        <f t="shared" si="26"/>
        <v>0</v>
      </c>
      <c r="J238" s="159">
        <f t="shared" si="27"/>
        <v>0</v>
      </c>
      <c r="K238" s="159">
        <f t="shared" si="22"/>
        <v>403</v>
      </c>
    </row>
    <row r="239" spans="1:11" ht="14" customHeight="1">
      <c r="A239" s="57">
        <f t="shared" si="29"/>
        <v>191</v>
      </c>
      <c r="B239" s="160" t="s">
        <v>448</v>
      </c>
      <c r="C239" s="165"/>
      <c r="D239" s="157">
        <v>12000</v>
      </c>
      <c r="E239" s="162">
        <f t="shared" si="23"/>
        <v>24</v>
      </c>
      <c r="F239" s="159">
        <f t="shared" si="28"/>
        <v>500</v>
      </c>
      <c r="G239" s="159">
        <f t="shared" si="24"/>
        <v>135</v>
      </c>
      <c r="H239" s="159">
        <f t="shared" si="25"/>
        <v>0</v>
      </c>
      <c r="I239" s="159">
        <f t="shared" si="26"/>
        <v>0</v>
      </c>
      <c r="J239" s="159">
        <f t="shared" si="27"/>
        <v>0</v>
      </c>
      <c r="K239" s="159">
        <f t="shared" si="22"/>
        <v>635</v>
      </c>
    </row>
    <row r="240" spans="1:11" ht="14" customHeight="1">
      <c r="A240" s="57">
        <f t="shared" si="29"/>
        <v>192</v>
      </c>
      <c r="B240" s="160" t="s">
        <v>449</v>
      </c>
      <c r="C240" s="165"/>
      <c r="D240" s="157">
        <v>8200</v>
      </c>
      <c r="E240" s="162">
        <f t="shared" si="23"/>
        <v>24</v>
      </c>
      <c r="F240" s="159">
        <f t="shared" si="28"/>
        <v>341.66666666666669</v>
      </c>
      <c r="G240" s="159">
        <f t="shared" si="24"/>
        <v>92.250000000000014</v>
      </c>
      <c r="H240" s="159">
        <f t="shared" si="25"/>
        <v>0</v>
      </c>
      <c r="I240" s="159">
        <f t="shared" si="26"/>
        <v>0</v>
      </c>
      <c r="J240" s="159">
        <f t="shared" si="27"/>
        <v>0</v>
      </c>
      <c r="K240" s="159">
        <f t="shared" si="22"/>
        <v>434</v>
      </c>
    </row>
    <row r="241" spans="1:11" ht="14" customHeight="1">
      <c r="A241" s="57">
        <f t="shared" si="29"/>
        <v>193</v>
      </c>
      <c r="B241" s="160" t="s">
        <v>450</v>
      </c>
      <c r="C241" s="165"/>
      <c r="D241" s="157">
        <v>22000</v>
      </c>
      <c r="E241" s="162">
        <f t="shared" si="23"/>
        <v>24</v>
      </c>
      <c r="F241" s="159">
        <f t="shared" si="28"/>
        <v>916.66666666666663</v>
      </c>
      <c r="G241" s="159">
        <f t="shared" si="24"/>
        <v>247.5</v>
      </c>
      <c r="H241" s="159">
        <f t="shared" si="25"/>
        <v>0</v>
      </c>
      <c r="I241" s="159">
        <f t="shared" si="26"/>
        <v>0</v>
      </c>
      <c r="J241" s="159">
        <f t="shared" si="27"/>
        <v>0</v>
      </c>
      <c r="K241" s="159">
        <f t="shared" si="22"/>
        <v>1165</v>
      </c>
    </row>
    <row r="242" spans="1:11" ht="14" customHeight="1">
      <c r="A242" s="57">
        <f t="shared" si="29"/>
        <v>194</v>
      </c>
      <c r="B242" s="160" t="s">
        <v>451</v>
      </c>
      <c r="C242" s="165"/>
      <c r="D242" s="157">
        <v>13000</v>
      </c>
      <c r="E242" s="162">
        <f t="shared" si="23"/>
        <v>24</v>
      </c>
      <c r="F242" s="159">
        <f t="shared" si="28"/>
        <v>541.66666666666663</v>
      </c>
      <c r="G242" s="159">
        <f t="shared" si="24"/>
        <v>146.25</v>
      </c>
      <c r="H242" s="159">
        <f t="shared" si="25"/>
        <v>0</v>
      </c>
      <c r="I242" s="159">
        <f t="shared" si="26"/>
        <v>0</v>
      </c>
      <c r="J242" s="159">
        <f t="shared" si="27"/>
        <v>0</v>
      </c>
      <c r="K242" s="159">
        <f t="shared" si="22"/>
        <v>688</v>
      </c>
    </row>
    <row r="243" spans="1:11" ht="14" customHeight="1">
      <c r="A243" s="57">
        <f t="shared" si="29"/>
        <v>195</v>
      </c>
      <c r="B243" s="160" t="s">
        <v>452</v>
      </c>
      <c r="C243" s="165"/>
      <c r="D243" s="157">
        <v>11700</v>
      </c>
      <c r="E243" s="162">
        <f t="shared" si="23"/>
        <v>24</v>
      </c>
      <c r="F243" s="159">
        <f t="shared" si="28"/>
        <v>487.5</v>
      </c>
      <c r="G243" s="159">
        <f t="shared" si="24"/>
        <v>131.625</v>
      </c>
      <c r="H243" s="159">
        <f t="shared" si="25"/>
        <v>0</v>
      </c>
      <c r="I243" s="159">
        <f t="shared" si="26"/>
        <v>0</v>
      </c>
      <c r="J243" s="159">
        <f t="shared" si="27"/>
        <v>0</v>
      </c>
      <c r="K243" s="159">
        <f t="shared" si="22"/>
        <v>620</v>
      </c>
    </row>
    <row r="244" spans="1:11" ht="14" customHeight="1">
      <c r="A244" s="57">
        <f t="shared" si="29"/>
        <v>196</v>
      </c>
      <c r="B244" s="160" t="s">
        <v>453</v>
      </c>
      <c r="C244" s="165"/>
      <c r="D244" s="157">
        <v>8500</v>
      </c>
      <c r="E244" s="162">
        <f t="shared" si="23"/>
        <v>24</v>
      </c>
      <c r="F244" s="159">
        <f t="shared" si="28"/>
        <v>354.16666666666669</v>
      </c>
      <c r="G244" s="159">
        <f t="shared" si="24"/>
        <v>95.625000000000014</v>
      </c>
      <c r="H244" s="159">
        <f t="shared" si="25"/>
        <v>0</v>
      </c>
      <c r="I244" s="159">
        <f t="shared" si="26"/>
        <v>0</v>
      </c>
      <c r="J244" s="159">
        <f t="shared" si="27"/>
        <v>0</v>
      </c>
      <c r="K244" s="159">
        <f t="shared" si="22"/>
        <v>450</v>
      </c>
    </row>
    <row r="245" spans="1:11" ht="14" customHeight="1">
      <c r="A245" s="57">
        <f t="shared" si="29"/>
        <v>197</v>
      </c>
      <c r="B245" s="160" t="s">
        <v>454</v>
      </c>
      <c r="C245" s="165"/>
      <c r="D245" s="157">
        <v>380</v>
      </c>
      <c r="E245" s="162">
        <f t="shared" si="23"/>
        <v>24</v>
      </c>
      <c r="F245" s="159">
        <f>D245/E245</f>
        <v>15.833333333333334</v>
      </c>
      <c r="G245" s="159">
        <f t="shared" si="24"/>
        <v>4.2750000000000004</v>
      </c>
      <c r="H245" s="159">
        <f t="shared" si="25"/>
        <v>0</v>
      </c>
      <c r="I245" s="159">
        <f t="shared" si="26"/>
        <v>0</v>
      </c>
      <c r="J245" s="159">
        <f t="shared" si="27"/>
        <v>0</v>
      </c>
      <c r="K245" s="159">
        <f t="shared" si="22"/>
        <v>21</v>
      </c>
    </row>
    <row r="246" spans="1:11" ht="14" customHeight="1">
      <c r="A246" s="57">
        <f t="shared" si="29"/>
        <v>198</v>
      </c>
      <c r="B246" s="160" t="s">
        <v>455</v>
      </c>
      <c r="C246" s="161"/>
      <c r="D246" s="157">
        <v>28000</v>
      </c>
      <c r="E246" s="162">
        <f t="shared" si="23"/>
        <v>24</v>
      </c>
      <c r="F246" s="159">
        <f>D246/E246</f>
        <v>1166.6666666666667</v>
      </c>
      <c r="G246" s="159">
        <f t="shared" si="24"/>
        <v>315.00000000000006</v>
      </c>
      <c r="H246" s="159">
        <f t="shared" si="25"/>
        <v>0</v>
      </c>
      <c r="I246" s="159">
        <f t="shared" si="26"/>
        <v>0</v>
      </c>
      <c r="J246" s="159">
        <f t="shared" si="27"/>
        <v>0</v>
      </c>
      <c r="K246" s="159">
        <f t="shared" si="22"/>
        <v>1482</v>
      </c>
    </row>
    <row r="247" spans="1:11" ht="14" customHeight="1">
      <c r="A247" s="57">
        <f t="shared" si="29"/>
        <v>199</v>
      </c>
      <c r="B247" s="160" t="s">
        <v>456</v>
      </c>
      <c r="C247" s="161"/>
      <c r="D247" s="157">
        <v>600</v>
      </c>
      <c r="E247" s="162">
        <f t="shared" si="23"/>
        <v>24</v>
      </c>
      <c r="F247" s="159">
        <f>D247/E247</f>
        <v>25</v>
      </c>
      <c r="G247" s="159">
        <f t="shared" si="24"/>
        <v>6.75</v>
      </c>
      <c r="H247" s="159">
        <f t="shared" si="25"/>
        <v>0</v>
      </c>
      <c r="I247" s="159">
        <f t="shared" si="26"/>
        <v>0</v>
      </c>
      <c r="J247" s="159">
        <f t="shared" si="27"/>
        <v>0</v>
      </c>
      <c r="K247" s="159">
        <f t="shared" si="22"/>
        <v>32</v>
      </c>
    </row>
    <row r="248" spans="1:11" ht="14" customHeight="1">
      <c r="A248" s="57">
        <f t="shared" si="29"/>
        <v>200</v>
      </c>
      <c r="B248" s="160" t="s">
        <v>457</v>
      </c>
      <c r="C248" s="165"/>
      <c r="D248" s="157">
        <v>1000</v>
      </c>
      <c r="E248" s="162">
        <f t="shared" si="23"/>
        <v>24</v>
      </c>
      <c r="F248" s="159">
        <f>D248/E248</f>
        <v>41.666666666666664</v>
      </c>
      <c r="G248" s="159">
        <f t="shared" si="24"/>
        <v>11.25</v>
      </c>
      <c r="H248" s="159">
        <f t="shared" si="25"/>
        <v>0</v>
      </c>
      <c r="I248" s="159">
        <f t="shared" si="26"/>
        <v>0</v>
      </c>
      <c r="J248" s="159">
        <f t="shared" si="27"/>
        <v>0</v>
      </c>
      <c r="K248" s="159">
        <f t="shared" si="22"/>
        <v>53</v>
      </c>
    </row>
    <row r="249" spans="1:11">
      <c r="A249" s="57">
        <f t="shared" si="29"/>
        <v>201</v>
      </c>
      <c r="B249" s="160" t="s">
        <v>458</v>
      </c>
      <c r="C249" s="165"/>
      <c r="D249" s="157">
        <v>1400</v>
      </c>
      <c r="E249" s="162">
        <f t="shared" si="23"/>
        <v>24</v>
      </c>
      <c r="F249" s="159">
        <f t="shared" si="28"/>
        <v>58.333333333333336</v>
      </c>
      <c r="G249" s="159">
        <f t="shared" si="24"/>
        <v>15.750000000000002</v>
      </c>
      <c r="H249" s="159">
        <f t="shared" si="25"/>
        <v>0</v>
      </c>
      <c r="I249" s="159">
        <f t="shared" si="26"/>
        <v>0</v>
      </c>
      <c r="J249" s="159">
        <f t="shared" si="27"/>
        <v>0</v>
      </c>
      <c r="K249" s="159">
        <f t="shared" si="22"/>
        <v>75</v>
      </c>
    </row>
    <row r="250" spans="1:11">
      <c r="A250" s="57">
        <f t="shared" si="29"/>
        <v>202</v>
      </c>
      <c r="B250" s="160" t="s">
        <v>459</v>
      </c>
      <c r="C250" s="165"/>
      <c r="D250" s="157">
        <v>3200</v>
      </c>
      <c r="E250" s="162">
        <f t="shared" si="23"/>
        <v>24</v>
      </c>
      <c r="F250" s="159">
        <f t="shared" si="28"/>
        <v>133.33333333333334</v>
      </c>
      <c r="G250" s="159">
        <f t="shared" si="24"/>
        <v>36.000000000000007</v>
      </c>
      <c r="H250" s="159">
        <f t="shared" si="25"/>
        <v>0</v>
      </c>
      <c r="I250" s="159">
        <f t="shared" si="26"/>
        <v>0</v>
      </c>
      <c r="J250" s="159">
        <f t="shared" si="27"/>
        <v>0</v>
      </c>
      <c r="K250" s="159">
        <f t="shared" si="22"/>
        <v>170</v>
      </c>
    </row>
    <row r="251" spans="1:11">
      <c r="A251" s="57">
        <f t="shared" si="29"/>
        <v>203</v>
      </c>
      <c r="B251" s="160" t="s">
        <v>460</v>
      </c>
      <c r="C251" s="165"/>
      <c r="D251" s="157">
        <v>4800</v>
      </c>
      <c r="E251" s="162">
        <f t="shared" si="23"/>
        <v>24</v>
      </c>
      <c r="F251" s="159">
        <f t="shared" si="28"/>
        <v>200</v>
      </c>
      <c r="G251" s="159">
        <f t="shared" si="24"/>
        <v>54</v>
      </c>
      <c r="H251" s="159">
        <f t="shared" si="25"/>
        <v>0</v>
      </c>
      <c r="I251" s="159">
        <f t="shared" si="26"/>
        <v>0</v>
      </c>
      <c r="J251" s="159">
        <f t="shared" si="27"/>
        <v>0</v>
      </c>
      <c r="K251" s="159">
        <f t="shared" si="22"/>
        <v>254</v>
      </c>
    </row>
    <row r="252" spans="1:11" ht="12.75" customHeight="1">
      <c r="A252" s="57">
        <f t="shared" si="29"/>
        <v>204</v>
      </c>
      <c r="B252" s="160" t="s">
        <v>461</v>
      </c>
      <c r="C252" s="165"/>
      <c r="D252" s="157">
        <v>6200</v>
      </c>
      <c r="E252" s="162">
        <f t="shared" si="23"/>
        <v>24</v>
      </c>
      <c r="F252" s="159">
        <f t="shared" si="28"/>
        <v>258.33333333333331</v>
      </c>
      <c r="G252" s="159">
        <f t="shared" si="24"/>
        <v>69.75</v>
      </c>
      <c r="H252" s="159">
        <f t="shared" si="25"/>
        <v>0</v>
      </c>
      <c r="I252" s="159">
        <f t="shared" si="26"/>
        <v>0</v>
      </c>
      <c r="J252" s="159">
        <f t="shared" si="27"/>
        <v>0</v>
      </c>
      <c r="K252" s="159">
        <f t="shared" ref="K252:K277" si="30">ROUNDUP((SUM(F252:J252)),0)</f>
        <v>329</v>
      </c>
    </row>
    <row r="253" spans="1:11">
      <c r="A253" s="57">
        <f t="shared" si="29"/>
        <v>205</v>
      </c>
      <c r="B253" s="160" t="s">
        <v>462</v>
      </c>
      <c r="C253" s="161"/>
      <c r="D253" s="157">
        <v>10000</v>
      </c>
      <c r="E253" s="162">
        <f t="shared" si="23"/>
        <v>24</v>
      </c>
      <c r="F253" s="159">
        <f>D253/E253</f>
        <v>416.66666666666669</v>
      </c>
      <c r="G253" s="159">
        <f t="shared" si="24"/>
        <v>112.50000000000001</v>
      </c>
      <c r="H253" s="159">
        <f t="shared" si="25"/>
        <v>0</v>
      </c>
      <c r="I253" s="159">
        <f t="shared" si="26"/>
        <v>0</v>
      </c>
      <c r="J253" s="159">
        <f t="shared" si="27"/>
        <v>0</v>
      </c>
      <c r="K253" s="159">
        <f t="shared" si="30"/>
        <v>530</v>
      </c>
    </row>
    <row r="254" spans="1:11">
      <c r="A254" s="57">
        <f t="shared" si="29"/>
        <v>206</v>
      </c>
      <c r="B254" s="160" t="s">
        <v>463</v>
      </c>
      <c r="C254" s="165"/>
      <c r="D254" s="157">
        <v>5000</v>
      </c>
      <c r="E254" s="162">
        <f t="shared" si="23"/>
        <v>24</v>
      </c>
      <c r="F254" s="159">
        <f t="shared" si="28"/>
        <v>208.33333333333334</v>
      </c>
      <c r="G254" s="159">
        <f t="shared" si="24"/>
        <v>56.250000000000007</v>
      </c>
      <c r="H254" s="159">
        <f t="shared" si="25"/>
        <v>0</v>
      </c>
      <c r="I254" s="159">
        <f t="shared" si="26"/>
        <v>0</v>
      </c>
      <c r="J254" s="159">
        <f t="shared" si="27"/>
        <v>0</v>
      </c>
      <c r="K254" s="159">
        <f t="shared" si="30"/>
        <v>265</v>
      </c>
    </row>
    <row r="255" spans="1:11">
      <c r="A255" s="57">
        <f t="shared" si="29"/>
        <v>207</v>
      </c>
      <c r="B255" s="160" t="s">
        <v>464</v>
      </c>
      <c r="C255" s="165"/>
      <c r="D255" s="157">
        <v>3000</v>
      </c>
      <c r="E255" s="162">
        <f t="shared" si="23"/>
        <v>24</v>
      </c>
      <c r="F255" s="159">
        <f t="shared" si="28"/>
        <v>125</v>
      </c>
      <c r="G255" s="159">
        <f t="shared" si="24"/>
        <v>33.75</v>
      </c>
      <c r="H255" s="159">
        <f t="shared" si="25"/>
        <v>0</v>
      </c>
      <c r="I255" s="159">
        <f t="shared" si="26"/>
        <v>0</v>
      </c>
      <c r="J255" s="159">
        <f t="shared" si="27"/>
        <v>0</v>
      </c>
      <c r="K255" s="159">
        <f t="shared" si="30"/>
        <v>159</v>
      </c>
    </row>
    <row r="256" spans="1:11" ht="12.75" customHeight="1">
      <c r="B256" s="160" t="s">
        <v>3572</v>
      </c>
      <c r="C256" s="165"/>
      <c r="D256" s="247">
        <v>3720</v>
      </c>
      <c r="E256" s="162">
        <v>24</v>
      </c>
      <c r="F256" s="248">
        <f>D256/E256</f>
        <v>155</v>
      </c>
      <c r="G256" s="248">
        <f>$F256*$G$11</f>
        <v>41.85</v>
      </c>
      <c r="H256" s="248">
        <f>F256*$H$11</f>
        <v>0</v>
      </c>
      <c r="I256" s="248">
        <f>$F256*$I$11</f>
        <v>0</v>
      </c>
      <c r="J256" s="248">
        <v>0</v>
      </c>
      <c r="K256" s="248">
        <v>196.85</v>
      </c>
    </row>
    <row r="257" spans="1:11">
      <c r="A257" s="57">
        <f>A255+1</f>
        <v>208</v>
      </c>
      <c r="B257" s="160" t="s">
        <v>465</v>
      </c>
      <c r="C257" s="165"/>
      <c r="D257" s="157">
        <v>1200</v>
      </c>
      <c r="E257" s="162">
        <f t="shared" si="23"/>
        <v>24</v>
      </c>
      <c r="F257" s="159">
        <f t="shared" si="28"/>
        <v>50</v>
      </c>
      <c r="G257" s="159">
        <f t="shared" si="24"/>
        <v>13.5</v>
      </c>
      <c r="H257" s="159">
        <f t="shared" si="25"/>
        <v>0</v>
      </c>
      <c r="I257" s="159">
        <f t="shared" si="26"/>
        <v>0</v>
      </c>
      <c r="J257" s="159">
        <f t="shared" si="27"/>
        <v>0</v>
      </c>
      <c r="K257" s="159">
        <f t="shared" si="30"/>
        <v>64</v>
      </c>
    </row>
    <row r="258" spans="1:11">
      <c r="A258" s="57">
        <f t="shared" si="29"/>
        <v>209</v>
      </c>
      <c r="B258" s="160" t="s">
        <v>466</v>
      </c>
      <c r="C258" s="165"/>
      <c r="D258" s="157">
        <v>500</v>
      </c>
      <c r="E258" s="162">
        <f t="shared" si="23"/>
        <v>24</v>
      </c>
      <c r="F258" s="159">
        <f t="shared" si="28"/>
        <v>20.833333333333332</v>
      </c>
      <c r="G258" s="159">
        <f t="shared" si="24"/>
        <v>5.625</v>
      </c>
      <c r="H258" s="159">
        <f t="shared" si="25"/>
        <v>0</v>
      </c>
      <c r="I258" s="159">
        <f t="shared" si="26"/>
        <v>0</v>
      </c>
      <c r="J258" s="159">
        <f t="shared" si="27"/>
        <v>0</v>
      </c>
      <c r="K258" s="159">
        <f t="shared" si="30"/>
        <v>27</v>
      </c>
    </row>
    <row r="259" spans="1:11">
      <c r="A259" s="57">
        <f t="shared" si="29"/>
        <v>210</v>
      </c>
      <c r="B259" s="160" t="s">
        <v>467</v>
      </c>
      <c r="C259" s="165"/>
      <c r="D259" s="157">
        <v>2500</v>
      </c>
      <c r="E259" s="162">
        <f t="shared" si="23"/>
        <v>24</v>
      </c>
      <c r="F259" s="159">
        <f t="shared" si="28"/>
        <v>104.16666666666667</v>
      </c>
      <c r="G259" s="159">
        <f t="shared" si="24"/>
        <v>28.125000000000004</v>
      </c>
      <c r="H259" s="159">
        <f t="shared" si="25"/>
        <v>0</v>
      </c>
      <c r="I259" s="159">
        <f t="shared" si="26"/>
        <v>0</v>
      </c>
      <c r="J259" s="159">
        <f t="shared" si="27"/>
        <v>0</v>
      </c>
      <c r="K259" s="159">
        <f t="shared" si="30"/>
        <v>133</v>
      </c>
    </row>
    <row r="260" spans="1:11">
      <c r="A260" s="57">
        <f t="shared" si="29"/>
        <v>211</v>
      </c>
      <c r="B260" s="160" t="s">
        <v>468</v>
      </c>
      <c r="C260" s="165"/>
      <c r="D260" s="157">
        <v>2900</v>
      </c>
      <c r="E260" s="162">
        <f t="shared" si="23"/>
        <v>24</v>
      </c>
      <c r="F260" s="159">
        <f t="shared" si="28"/>
        <v>120.83333333333333</v>
      </c>
      <c r="G260" s="159">
        <f t="shared" si="24"/>
        <v>32.625</v>
      </c>
      <c r="H260" s="159">
        <f t="shared" si="25"/>
        <v>0</v>
      </c>
      <c r="I260" s="159">
        <f t="shared" si="26"/>
        <v>0</v>
      </c>
      <c r="J260" s="159">
        <f t="shared" si="27"/>
        <v>0</v>
      </c>
      <c r="K260" s="159">
        <f t="shared" si="30"/>
        <v>154</v>
      </c>
    </row>
    <row r="261" spans="1:11">
      <c r="A261" s="57">
        <f t="shared" si="29"/>
        <v>212</v>
      </c>
      <c r="B261" s="160" t="s">
        <v>469</v>
      </c>
      <c r="C261" s="165"/>
      <c r="D261" s="157">
        <v>400</v>
      </c>
      <c r="E261" s="162">
        <f t="shared" si="23"/>
        <v>24</v>
      </c>
      <c r="F261" s="159">
        <f t="shared" si="28"/>
        <v>16.666666666666668</v>
      </c>
      <c r="G261" s="159">
        <f t="shared" si="24"/>
        <v>4.5000000000000009</v>
      </c>
      <c r="H261" s="159">
        <f t="shared" si="25"/>
        <v>0</v>
      </c>
      <c r="I261" s="159">
        <f t="shared" si="26"/>
        <v>0</v>
      </c>
      <c r="J261" s="159">
        <f t="shared" si="27"/>
        <v>0</v>
      </c>
      <c r="K261" s="159">
        <f t="shared" si="30"/>
        <v>22</v>
      </c>
    </row>
    <row r="262" spans="1:11">
      <c r="B262" s="160" t="s">
        <v>2374</v>
      </c>
      <c r="C262" s="165"/>
      <c r="D262" s="262">
        <v>55000</v>
      </c>
      <c r="E262" s="162">
        <f>$E$11</f>
        <v>24</v>
      </c>
      <c r="F262" s="263">
        <f>D262/E262</f>
        <v>2291.6666666666665</v>
      </c>
      <c r="G262" s="263">
        <f>$F262*$G$11</f>
        <v>618.75</v>
      </c>
      <c r="H262" s="263">
        <f>F262*$H$11</f>
        <v>0</v>
      </c>
      <c r="I262" s="263">
        <f>$F262*$I$11</f>
        <v>0</v>
      </c>
      <c r="J262" s="263">
        <f>($F262+$I262)*$J$11</f>
        <v>0</v>
      </c>
      <c r="K262" s="263">
        <v>2910.42</v>
      </c>
    </row>
    <row r="263" spans="1:11">
      <c r="A263" s="57">
        <f>A261+1</f>
        <v>213</v>
      </c>
      <c r="B263" s="160" t="s">
        <v>470</v>
      </c>
      <c r="C263" s="165"/>
      <c r="D263" s="157">
        <v>400</v>
      </c>
      <c r="E263" s="162">
        <f t="shared" si="23"/>
        <v>24</v>
      </c>
      <c r="F263" s="159">
        <f t="shared" si="28"/>
        <v>16.666666666666668</v>
      </c>
      <c r="G263" s="159">
        <f t="shared" si="24"/>
        <v>4.5000000000000009</v>
      </c>
      <c r="H263" s="159">
        <f t="shared" si="25"/>
        <v>0</v>
      </c>
      <c r="I263" s="159">
        <f t="shared" si="26"/>
        <v>0</v>
      </c>
      <c r="J263" s="159">
        <f t="shared" si="27"/>
        <v>0</v>
      </c>
      <c r="K263" s="159">
        <f t="shared" si="30"/>
        <v>22</v>
      </c>
    </row>
    <row r="264" spans="1:11">
      <c r="A264" s="57">
        <f t="shared" si="29"/>
        <v>214</v>
      </c>
      <c r="B264" s="160" t="s">
        <v>471</v>
      </c>
      <c r="C264" s="165"/>
      <c r="D264" s="157">
        <v>500</v>
      </c>
      <c r="E264" s="162">
        <f t="shared" si="23"/>
        <v>24</v>
      </c>
      <c r="F264" s="159">
        <f t="shared" si="28"/>
        <v>20.833333333333332</v>
      </c>
      <c r="G264" s="159">
        <f t="shared" si="24"/>
        <v>5.625</v>
      </c>
      <c r="H264" s="159">
        <f t="shared" si="25"/>
        <v>0</v>
      </c>
      <c r="I264" s="159">
        <f t="shared" si="26"/>
        <v>0</v>
      </c>
      <c r="J264" s="159">
        <f t="shared" si="27"/>
        <v>0</v>
      </c>
      <c r="K264" s="159">
        <f t="shared" si="30"/>
        <v>27</v>
      </c>
    </row>
    <row r="265" spans="1:11">
      <c r="A265" s="57">
        <f t="shared" si="29"/>
        <v>215</v>
      </c>
      <c r="B265" s="160" t="s">
        <v>472</v>
      </c>
      <c r="C265" s="165"/>
      <c r="D265" s="157">
        <v>560</v>
      </c>
      <c r="E265" s="162">
        <f t="shared" si="23"/>
        <v>24</v>
      </c>
      <c r="F265" s="159">
        <f t="shared" si="28"/>
        <v>23.333333333333332</v>
      </c>
      <c r="G265" s="159">
        <f t="shared" si="24"/>
        <v>6.3</v>
      </c>
      <c r="H265" s="159">
        <f t="shared" si="25"/>
        <v>0</v>
      </c>
      <c r="I265" s="159">
        <f t="shared" si="26"/>
        <v>0</v>
      </c>
      <c r="J265" s="159">
        <f t="shared" si="27"/>
        <v>0</v>
      </c>
      <c r="K265" s="159">
        <f t="shared" si="30"/>
        <v>30</v>
      </c>
    </row>
    <row r="266" spans="1:11">
      <c r="A266" s="57">
        <f t="shared" si="29"/>
        <v>216</v>
      </c>
      <c r="B266" s="160" t="s">
        <v>473</v>
      </c>
      <c r="C266" s="165"/>
      <c r="D266" s="157">
        <v>735</v>
      </c>
      <c r="E266" s="162">
        <f t="shared" si="23"/>
        <v>24</v>
      </c>
      <c r="F266" s="159">
        <f t="shared" si="28"/>
        <v>30.625</v>
      </c>
      <c r="G266" s="159">
        <f t="shared" si="24"/>
        <v>8.2687500000000007</v>
      </c>
      <c r="H266" s="159">
        <f t="shared" si="25"/>
        <v>0</v>
      </c>
      <c r="I266" s="159">
        <f t="shared" si="26"/>
        <v>0</v>
      </c>
      <c r="J266" s="159">
        <f t="shared" si="27"/>
        <v>0</v>
      </c>
      <c r="K266" s="159">
        <f t="shared" si="30"/>
        <v>39</v>
      </c>
    </row>
    <row r="267" spans="1:11">
      <c r="A267" s="57">
        <f t="shared" si="29"/>
        <v>217</v>
      </c>
      <c r="B267" s="160" t="s">
        <v>474</v>
      </c>
      <c r="C267" s="165"/>
      <c r="D267" s="157">
        <v>670</v>
      </c>
      <c r="E267" s="162">
        <f t="shared" si="23"/>
        <v>24</v>
      </c>
      <c r="F267" s="159">
        <f t="shared" si="28"/>
        <v>27.916666666666668</v>
      </c>
      <c r="G267" s="159">
        <f t="shared" si="24"/>
        <v>7.5375000000000005</v>
      </c>
      <c r="H267" s="159">
        <f t="shared" si="25"/>
        <v>0</v>
      </c>
      <c r="I267" s="159">
        <f t="shared" si="26"/>
        <v>0</v>
      </c>
      <c r="J267" s="159">
        <f t="shared" si="27"/>
        <v>0</v>
      </c>
      <c r="K267" s="159">
        <f t="shared" si="30"/>
        <v>36</v>
      </c>
    </row>
    <row r="268" spans="1:11">
      <c r="A268" s="57">
        <f t="shared" si="29"/>
        <v>218</v>
      </c>
      <c r="B268" s="160" t="s">
        <v>475</v>
      </c>
      <c r="C268" s="165"/>
      <c r="D268" s="157">
        <v>5000</v>
      </c>
      <c r="E268" s="162">
        <f t="shared" si="23"/>
        <v>24</v>
      </c>
      <c r="F268" s="159">
        <f t="shared" si="28"/>
        <v>208.33333333333334</v>
      </c>
      <c r="G268" s="159">
        <f t="shared" si="24"/>
        <v>56.250000000000007</v>
      </c>
      <c r="H268" s="159">
        <f t="shared" si="25"/>
        <v>0</v>
      </c>
      <c r="I268" s="159">
        <f t="shared" si="26"/>
        <v>0</v>
      </c>
      <c r="J268" s="159">
        <f t="shared" si="27"/>
        <v>0</v>
      </c>
      <c r="K268" s="159">
        <f t="shared" si="30"/>
        <v>265</v>
      </c>
    </row>
    <row r="269" spans="1:11" ht="12.75" customHeight="1">
      <c r="A269" s="57">
        <f t="shared" si="29"/>
        <v>219</v>
      </c>
      <c r="B269" s="160" t="s">
        <v>476</v>
      </c>
      <c r="C269" s="165"/>
      <c r="D269" s="157">
        <v>3700</v>
      </c>
      <c r="E269" s="162">
        <f t="shared" si="23"/>
        <v>24</v>
      </c>
      <c r="F269" s="159">
        <f t="shared" si="28"/>
        <v>154.16666666666666</v>
      </c>
      <c r="G269" s="159">
        <f t="shared" si="24"/>
        <v>41.625</v>
      </c>
      <c r="H269" s="159">
        <f t="shared" si="25"/>
        <v>0</v>
      </c>
      <c r="I269" s="159">
        <f t="shared" si="26"/>
        <v>0</v>
      </c>
      <c r="J269" s="159">
        <f t="shared" si="27"/>
        <v>0</v>
      </c>
      <c r="K269" s="159">
        <f t="shared" si="30"/>
        <v>196</v>
      </c>
    </row>
    <row r="270" spans="1:11" ht="12.75" customHeight="1">
      <c r="A270" s="57">
        <f t="shared" si="29"/>
        <v>220</v>
      </c>
      <c r="B270" s="160" t="s">
        <v>477</v>
      </c>
      <c r="C270" s="165"/>
      <c r="D270" s="157">
        <v>2650</v>
      </c>
      <c r="E270" s="162">
        <f t="shared" si="23"/>
        <v>24</v>
      </c>
      <c r="F270" s="159">
        <f t="shared" si="28"/>
        <v>110.41666666666667</v>
      </c>
      <c r="G270" s="159">
        <f t="shared" si="24"/>
        <v>29.812500000000004</v>
      </c>
      <c r="H270" s="159">
        <f t="shared" si="25"/>
        <v>0</v>
      </c>
      <c r="I270" s="159">
        <f t="shared" si="26"/>
        <v>0</v>
      </c>
      <c r="J270" s="159">
        <f t="shared" si="27"/>
        <v>0</v>
      </c>
      <c r="K270" s="159">
        <f t="shared" si="30"/>
        <v>141</v>
      </c>
    </row>
    <row r="271" spans="1:11" ht="12.75" customHeight="1">
      <c r="A271" s="57">
        <f t="shared" si="29"/>
        <v>221</v>
      </c>
      <c r="B271" s="160" t="s">
        <v>478</v>
      </c>
      <c r="C271" s="165"/>
      <c r="D271" s="157">
        <v>2500</v>
      </c>
      <c r="E271" s="162">
        <f t="shared" si="23"/>
        <v>24</v>
      </c>
      <c r="F271" s="159">
        <f t="shared" si="28"/>
        <v>104.16666666666667</v>
      </c>
      <c r="G271" s="159">
        <f t="shared" si="24"/>
        <v>28.125000000000004</v>
      </c>
      <c r="H271" s="159">
        <f t="shared" si="25"/>
        <v>0</v>
      </c>
      <c r="I271" s="159">
        <f t="shared" si="26"/>
        <v>0</v>
      </c>
      <c r="J271" s="159">
        <f t="shared" si="27"/>
        <v>0</v>
      </c>
      <c r="K271" s="159">
        <f t="shared" si="30"/>
        <v>133</v>
      </c>
    </row>
    <row r="272" spans="1:11" ht="12.75" customHeight="1">
      <c r="A272" s="57">
        <f t="shared" si="29"/>
        <v>222</v>
      </c>
      <c r="B272" s="160" t="s">
        <v>479</v>
      </c>
      <c r="C272" s="165"/>
      <c r="D272" s="157">
        <v>2200</v>
      </c>
      <c r="E272" s="162">
        <f t="shared" si="23"/>
        <v>24</v>
      </c>
      <c r="F272" s="159">
        <f t="shared" si="28"/>
        <v>91.666666666666671</v>
      </c>
      <c r="G272" s="159">
        <f t="shared" si="24"/>
        <v>24.750000000000004</v>
      </c>
      <c r="H272" s="159">
        <f t="shared" si="25"/>
        <v>0</v>
      </c>
      <c r="I272" s="159">
        <f t="shared" si="26"/>
        <v>0</v>
      </c>
      <c r="J272" s="159">
        <f t="shared" si="27"/>
        <v>0</v>
      </c>
      <c r="K272" s="159">
        <f t="shared" si="30"/>
        <v>117</v>
      </c>
    </row>
    <row r="273" spans="1:11" ht="12.75" customHeight="1">
      <c r="A273" s="57">
        <f t="shared" si="29"/>
        <v>223</v>
      </c>
      <c r="B273" s="160" t="s">
        <v>480</v>
      </c>
      <c r="C273" s="165"/>
      <c r="D273" s="157">
        <v>2100</v>
      </c>
      <c r="E273" s="162">
        <f t="shared" si="23"/>
        <v>24</v>
      </c>
      <c r="F273" s="159">
        <f t="shared" si="28"/>
        <v>87.5</v>
      </c>
      <c r="G273" s="159">
        <f t="shared" si="24"/>
        <v>23.625</v>
      </c>
      <c r="H273" s="159">
        <f t="shared" si="25"/>
        <v>0</v>
      </c>
      <c r="I273" s="159">
        <f t="shared" si="26"/>
        <v>0</v>
      </c>
      <c r="J273" s="159">
        <f t="shared" si="27"/>
        <v>0</v>
      </c>
      <c r="K273" s="159">
        <f t="shared" si="30"/>
        <v>112</v>
      </c>
    </row>
    <row r="274" spans="1:11" ht="12.75" customHeight="1">
      <c r="A274" s="57">
        <f t="shared" si="29"/>
        <v>224</v>
      </c>
      <c r="B274" s="160" t="s">
        <v>481</v>
      </c>
      <c r="C274" s="165"/>
      <c r="D274" s="157">
        <v>1800</v>
      </c>
      <c r="E274" s="162">
        <f t="shared" si="23"/>
        <v>24</v>
      </c>
      <c r="F274" s="159">
        <f t="shared" si="28"/>
        <v>75</v>
      </c>
      <c r="G274" s="159">
        <f t="shared" si="24"/>
        <v>20.25</v>
      </c>
      <c r="H274" s="159">
        <f t="shared" si="25"/>
        <v>0</v>
      </c>
      <c r="I274" s="159">
        <f t="shared" si="26"/>
        <v>0</v>
      </c>
      <c r="J274" s="159">
        <f t="shared" si="27"/>
        <v>0</v>
      </c>
      <c r="K274" s="159">
        <f t="shared" si="30"/>
        <v>96</v>
      </c>
    </row>
    <row r="275" spans="1:11">
      <c r="A275" s="57">
        <f t="shared" si="29"/>
        <v>225</v>
      </c>
      <c r="B275" s="160" t="s">
        <v>482</v>
      </c>
      <c r="C275" s="165"/>
      <c r="D275" s="157">
        <v>1500</v>
      </c>
      <c r="E275" s="162">
        <f t="shared" si="23"/>
        <v>24</v>
      </c>
      <c r="F275" s="159">
        <f t="shared" si="28"/>
        <v>62.5</v>
      </c>
      <c r="G275" s="159">
        <f t="shared" si="24"/>
        <v>16.875</v>
      </c>
      <c r="H275" s="159">
        <f t="shared" si="25"/>
        <v>0</v>
      </c>
      <c r="I275" s="159">
        <f t="shared" si="26"/>
        <v>0</v>
      </c>
      <c r="J275" s="159">
        <f t="shared" si="27"/>
        <v>0</v>
      </c>
      <c r="K275" s="159">
        <f t="shared" si="30"/>
        <v>80</v>
      </c>
    </row>
    <row r="276" spans="1:11">
      <c r="A276" s="57">
        <f t="shared" si="29"/>
        <v>226</v>
      </c>
      <c r="B276" s="160" t="s">
        <v>483</v>
      </c>
      <c r="C276" s="165"/>
      <c r="D276" s="157">
        <v>5000</v>
      </c>
      <c r="E276" s="162">
        <f t="shared" si="23"/>
        <v>24</v>
      </c>
      <c r="F276" s="159">
        <f t="shared" si="28"/>
        <v>208.33333333333334</v>
      </c>
      <c r="G276" s="159">
        <f t="shared" si="24"/>
        <v>56.250000000000007</v>
      </c>
      <c r="H276" s="159">
        <f t="shared" si="25"/>
        <v>0</v>
      </c>
      <c r="I276" s="159">
        <f t="shared" si="26"/>
        <v>0</v>
      </c>
      <c r="J276" s="159">
        <f t="shared" si="27"/>
        <v>0</v>
      </c>
      <c r="K276" s="159">
        <f t="shared" si="30"/>
        <v>265</v>
      </c>
    </row>
    <row r="277" spans="1:11">
      <c r="B277" s="160" t="s">
        <v>484</v>
      </c>
      <c r="C277" s="165"/>
      <c r="D277" s="157">
        <v>500</v>
      </c>
      <c r="E277" s="162">
        <f t="shared" si="23"/>
        <v>24</v>
      </c>
      <c r="F277" s="159">
        <f t="shared" si="28"/>
        <v>20.833333333333332</v>
      </c>
      <c r="G277" s="159">
        <f t="shared" si="24"/>
        <v>5.625</v>
      </c>
      <c r="H277" s="159">
        <f t="shared" si="25"/>
        <v>0</v>
      </c>
      <c r="I277" s="159">
        <f t="shared" si="26"/>
        <v>0</v>
      </c>
      <c r="J277" s="159">
        <f t="shared" si="27"/>
        <v>0</v>
      </c>
      <c r="K277" s="159">
        <f t="shared" si="30"/>
        <v>27</v>
      </c>
    </row>
    <row r="278" spans="1:11">
      <c r="B278" s="269" t="s">
        <v>3259</v>
      </c>
      <c r="C278" s="165"/>
      <c r="D278" s="270">
        <v>1166</v>
      </c>
      <c r="E278" s="162">
        <f>$E$11</f>
        <v>24</v>
      </c>
      <c r="F278" s="271">
        <f>D278/E278</f>
        <v>48.583333333333336</v>
      </c>
      <c r="G278" s="271">
        <f>$F278*$G$11</f>
        <v>13.117500000000001</v>
      </c>
      <c r="H278" s="271">
        <f>F278*$H$11</f>
        <v>0</v>
      </c>
      <c r="I278" s="271">
        <f>$F278*$I$11</f>
        <v>0</v>
      </c>
      <c r="J278" s="271">
        <f>($F278+$I278)*$J$11</f>
        <v>0</v>
      </c>
      <c r="K278" s="271">
        <v>61.7</v>
      </c>
    </row>
    <row r="279" spans="1:11">
      <c r="B279" s="160" t="s">
        <v>2375</v>
      </c>
      <c r="C279" s="165"/>
      <c r="D279" s="262">
        <v>14000</v>
      </c>
      <c r="E279" s="162">
        <f t="shared" ref="E279:E285" si="31">$E$11</f>
        <v>24</v>
      </c>
      <c r="F279" s="263">
        <f t="shared" ref="F279:F285" si="32">D279/E279</f>
        <v>583.33333333333337</v>
      </c>
      <c r="G279" s="263">
        <f t="shared" ref="G279:G285" si="33">$F279*$G$11</f>
        <v>157.50000000000003</v>
      </c>
      <c r="H279" s="263">
        <f t="shared" ref="H279:H285" si="34">F279*$H$11</f>
        <v>0</v>
      </c>
      <c r="I279" s="263">
        <f t="shared" ref="I279:I285" si="35">$F279*$I$11</f>
        <v>0</v>
      </c>
      <c r="J279" s="263">
        <f t="shared" ref="J279:J285" si="36">($F279+$I279)*$J$11</f>
        <v>0</v>
      </c>
      <c r="K279" s="263">
        <v>740.83</v>
      </c>
    </row>
    <row r="280" spans="1:11">
      <c r="B280" s="160" t="s">
        <v>2376</v>
      </c>
      <c r="C280" s="165"/>
      <c r="D280" s="262">
        <v>66000</v>
      </c>
      <c r="E280" s="162">
        <f t="shared" si="31"/>
        <v>24</v>
      </c>
      <c r="F280" s="263">
        <f t="shared" si="32"/>
        <v>2750</v>
      </c>
      <c r="G280" s="263">
        <f t="shared" si="33"/>
        <v>742.5</v>
      </c>
      <c r="H280" s="263">
        <f t="shared" si="34"/>
        <v>0</v>
      </c>
      <c r="I280" s="263">
        <f t="shared" si="35"/>
        <v>0</v>
      </c>
      <c r="J280" s="263">
        <f t="shared" si="36"/>
        <v>0</v>
      </c>
      <c r="K280" s="263">
        <f>SUM(F280:J280)</f>
        <v>3492.5</v>
      </c>
    </row>
    <row r="281" spans="1:11">
      <c r="B281" s="160" t="s">
        <v>2377</v>
      </c>
      <c r="C281" s="165"/>
      <c r="D281" s="262">
        <v>1320</v>
      </c>
      <c r="E281" s="162">
        <f t="shared" si="31"/>
        <v>24</v>
      </c>
      <c r="F281" s="263">
        <f t="shared" si="32"/>
        <v>55</v>
      </c>
      <c r="G281" s="263">
        <f t="shared" si="33"/>
        <v>14.850000000000001</v>
      </c>
      <c r="H281" s="263">
        <f t="shared" si="34"/>
        <v>0</v>
      </c>
      <c r="I281" s="263">
        <f t="shared" si="35"/>
        <v>0</v>
      </c>
      <c r="J281" s="263">
        <f t="shared" si="36"/>
        <v>0</v>
      </c>
      <c r="K281" s="263">
        <v>69.849999999999994</v>
      </c>
    </row>
    <row r="282" spans="1:11">
      <c r="B282" s="268" t="s">
        <v>2968</v>
      </c>
      <c r="C282" s="165"/>
      <c r="D282" s="264">
        <v>2000</v>
      </c>
      <c r="E282" s="162">
        <f t="shared" si="31"/>
        <v>24</v>
      </c>
      <c r="F282" s="265">
        <f t="shared" si="32"/>
        <v>83.333333333333329</v>
      </c>
      <c r="G282" s="265">
        <f t="shared" si="33"/>
        <v>22.5</v>
      </c>
      <c r="H282" s="265">
        <f t="shared" si="34"/>
        <v>0</v>
      </c>
      <c r="I282" s="265">
        <f t="shared" si="35"/>
        <v>0</v>
      </c>
      <c r="J282" s="265">
        <f t="shared" si="36"/>
        <v>0</v>
      </c>
      <c r="K282" s="265">
        <v>105.83</v>
      </c>
    </row>
    <row r="283" spans="1:11">
      <c r="B283" s="268" t="s">
        <v>3215</v>
      </c>
      <c r="C283" s="165"/>
      <c r="D283" s="264">
        <v>7160</v>
      </c>
      <c r="E283" s="162">
        <f>$E$11</f>
        <v>24</v>
      </c>
      <c r="F283" s="265">
        <f>D283/E283</f>
        <v>298.33333333333331</v>
      </c>
      <c r="G283" s="265">
        <f>$F283*$G$11</f>
        <v>80.55</v>
      </c>
      <c r="H283" s="265">
        <f>F283*$H$11</f>
        <v>0</v>
      </c>
      <c r="I283" s="265">
        <f>$F283*$I$11</f>
        <v>0</v>
      </c>
      <c r="J283" s="265">
        <f>($F283+$I283)*$J$11</f>
        <v>0</v>
      </c>
      <c r="K283" s="265">
        <v>378.88</v>
      </c>
    </row>
    <row r="284" spans="1:11">
      <c r="B284" s="160" t="s">
        <v>2517</v>
      </c>
      <c r="C284" s="165"/>
      <c r="D284" s="262">
        <v>2500</v>
      </c>
      <c r="E284" s="162">
        <f t="shared" si="31"/>
        <v>24</v>
      </c>
      <c r="F284" s="263">
        <f t="shared" si="32"/>
        <v>104.16666666666667</v>
      </c>
      <c r="G284" s="263">
        <f t="shared" si="33"/>
        <v>28.125000000000004</v>
      </c>
      <c r="H284" s="263">
        <f t="shared" si="34"/>
        <v>0</v>
      </c>
      <c r="I284" s="263">
        <f t="shared" si="35"/>
        <v>0</v>
      </c>
      <c r="J284" s="263">
        <f t="shared" si="36"/>
        <v>0</v>
      </c>
      <c r="K284" s="263">
        <v>132.29</v>
      </c>
    </row>
    <row r="285" spans="1:11">
      <c r="B285" s="160" t="s">
        <v>2513</v>
      </c>
      <c r="C285" s="165"/>
      <c r="D285" s="262">
        <v>2678</v>
      </c>
      <c r="E285" s="162">
        <f t="shared" si="31"/>
        <v>24</v>
      </c>
      <c r="F285" s="263">
        <f t="shared" si="32"/>
        <v>111.58333333333333</v>
      </c>
      <c r="G285" s="263">
        <f t="shared" si="33"/>
        <v>30.127500000000001</v>
      </c>
      <c r="H285" s="263">
        <f t="shared" si="34"/>
        <v>0</v>
      </c>
      <c r="I285" s="263">
        <f t="shared" si="35"/>
        <v>0</v>
      </c>
      <c r="J285" s="263">
        <f t="shared" si="36"/>
        <v>0</v>
      </c>
      <c r="K285" s="263">
        <v>141.71</v>
      </c>
    </row>
    <row r="286" spans="1:11">
      <c r="B286" s="251" t="s">
        <v>3333</v>
      </c>
      <c r="C286" s="252"/>
      <c r="D286" s="253">
        <v>4626</v>
      </c>
      <c r="E286" s="254">
        <f t="shared" si="23"/>
        <v>24</v>
      </c>
      <c r="F286" s="255">
        <f t="shared" si="28"/>
        <v>192.75</v>
      </c>
      <c r="G286" s="255">
        <f t="shared" si="24"/>
        <v>52.042500000000004</v>
      </c>
      <c r="H286" s="255">
        <f t="shared" si="25"/>
        <v>0</v>
      </c>
      <c r="I286" s="255">
        <f t="shared" si="26"/>
        <v>0</v>
      </c>
      <c r="J286" s="255">
        <f t="shared" si="27"/>
        <v>0</v>
      </c>
      <c r="K286" s="255">
        <v>244.79</v>
      </c>
    </row>
    <row r="287" spans="1:11">
      <c r="B287" s="160" t="s">
        <v>3455</v>
      </c>
      <c r="C287" s="165"/>
      <c r="D287" s="247">
        <v>3500</v>
      </c>
      <c r="E287" s="162">
        <f>$E$11</f>
        <v>24</v>
      </c>
      <c r="F287" s="248">
        <f>D287/E287</f>
        <v>145.83333333333334</v>
      </c>
      <c r="G287" s="248">
        <f>$F287*$G$11</f>
        <v>39.375000000000007</v>
      </c>
      <c r="H287" s="248">
        <f>F287*$H$11</f>
        <v>0</v>
      </c>
      <c r="I287" s="248">
        <f>$F287*$I$11</f>
        <v>0</v>
      </c>
      <c r="J287" s="248">
        <f>($F287+$I287)*$J$11</f>
        <v>0</v>
      </c>
      <c r="K287" s="248">
        <v>185.21</v>
      </c>
    </row>
    <row r="288" spans="1:11">
      <c r="B288" s="160" t="s">
        <v>3456</v>
      </c>
      <c r="C288" s="165"/>
      <c r="D288" s="247">
        <v>3394</v>
      </c>
      <c r="E288" s="162">
        <f>$E$11</f>
        <v>24</v>
      </c>
      <c r="F288" s="248">
        <f>D288/E288</f>
        <v>141.41666666666666</v>
      </c>
      <c r="G288" s="248">
        <f>$F288*$G$11</f>
        <v>38.182499999999997</v>
      </c>
      <c r="H288" s="248">
        <f>F288*$H$11</f>
        <v>0</v>
      </c>
      <c r="I288" s="248">
        <f>$F288*$I$11</f>
        <v>0</v>
      </c>
      <c r="J288" s="248">
        <f>($F288+$I288)*$J$11</f>
        <v>0</v>
      </c>
      <c r="K288" s="248">
        <v>179.6</v>
      </c>
    </row>
    <row r="289" spans="2:11" ht="12.75" customHeight="1">
      <c r="B289" s="246" t="s">
        <v>3457</v>
      </c>
      <c r="C289" s="165"/>
      <c r="D289" s="247">
        <v>27500</v>
      </c>
      <c r="E289" s="162">
        <v>24</v>
      </c>
      <c r="F289" s="248">
        <f t="shared" ref="F289:F302" si="37">D289/E289</f>
        <v>1145.8333333333333</v>
      </c>
      <c r="G289" s="248">
        <f t="shared" ref="G289:G302" si="38">$F289*$G$11</f>
        <v>309.375</v>
      </c>
      <c r="H289" s="248">
        <f t="shared" ref="H289:H302" si="39">F289*$H$11</f>
        <v>0</v>
      </c>
      <c r="I289" s="248">
        <f t="shared" ref="I289:I302" si="40">$F289*$I$11</f>
        <v>0</v>
      </c>
      <c r="J289" s="248">
        <v>0</v>
      </c>
      <c r="K289" s="248">
        <v>1455.21</v>
      </c>
    </row>
    <row r="290" spans="2:11" ht="12.75" customHeight="1">
      <c r="B290" s="246" t="s">
        <v>3501</v>
      </c>
      <c r="C290" s="165"/>
      <c r="D290" s="247">
        <v>791.67</v>
      </c>
      <c r="E290" s="162">
        <v>24</v>
      </c>
      <c r="F290" s="248">
        <f t="shared" si="37"/>
        <v>32.986249999999998</v>
      </c>
      <c r="G290" s="248">
        <f t="shared" si="38"/>
        <v>8.9062874999999995</v>
      </c>
      <c r="H290" s="248">
        <f t="shared" si="39"/>
        <v>0</v>
      </c>
      <c r="I290" s="248">
        <f t="shared" si="40"/>
        <v>0</v>
      </c>
      <c r="J290" s="248">
        <v>0</v>
      </c>
      <c r="K290" s="248">
        <v>41.89</v>
      </c>
    </row>
    <row r="291" spans="2:11">
      <c r="B291" s="160" t="s">
        <v>3637</v>
      </c>
      <c r="C291" s="165"/>
      <c r="D291" s="247">
        <v>4500</v>
      </c>
      <c r="E291" s="162">
        <v>24</v>
      </c>
      <c r="F291" s="248">
        <f t="shared" si="37"/>
        <v>187.5</v>
      </c>
      <c r="G291" s="248">
        <f t="shared" si="38"/>
        <v>50.625</v>
      </c>
      <c r="H291" s="248">
        <f t="shared" si="39"/>
        <v>0</v>
      </c>
      <c r="I291" s="248">
        <f t="shared" si="40"/>
        <v>0</v>
      </c>
      <c r="J291" s="248">
        <v>0</v>
      </c>
      <c r="K291" s="248">
        <f>SUM(F291:J291)</f>
        <v>238.125</v>
      </c>
    </row>
    <row r="292" spans="2:11">
      <c r="B292" s="160" t="s">
        <v>3638</v>
      </c>
      <c r="C292" s="165"/>
      <c r="D292" s="247">
        <v>2100</v>
      </c>
      <c r="E292" s="162">
        <v>24</v>
      </c>
      <c r="F292" s="248">
        <f t="shared" si="37"/>
        <v>87.5</v>
      </c>
      <c r="G292" s="248">
        <f t="shared" si="38"/>
        <v>23.625</v>
      </c>
      <c r="H292" s="248">
        <f t="shared" si="39"/>
        <v>0</v>
      </c>
      <c r="I292" s="248">
        <f t="shared" si="40"/>
        <v>0</v>
      </c>
      <c r="J292" s="248">
        <v>0</v>
      </c>
      <c r="K292" s="248">
        <v>111.13</v>
      </c>
    </row>
    <row r="293" spans="2:11">
      <c r="B293" s="160" t="s">
        <v>3639</v>
      </c>
      <c r="C293" s="165"/>
      <c r="D293" s="157">
        <v>700</v>
      </c>
      <c r="E293" s="162">
        <v>24</v>
      </c>
      <c r="F293" s="248">
        <f t="shared" si="37"/>
        <v>29.166666666666668</v>
      </c>
      <c r="G293" s="248">
        <f t="shared" si="38"/>
        <v>7.8750000000000009</v>
      </c>
      <c r="H293" s="248">
        <f t="shared" si="39"/>
        <v>0</v>
      </c>
      <c r="I293" s="248">
        <f t="shared" si="40"/>
        <v>0</v>
      </c>
      <c r="J293" s="248">
        <v>0</v>
      </c>
      <c r="K293" s="248">
        <v>37.04</v>
      </c>
    </row>
    <row r="294" spans="2:11">
      <c r="B294" s="246" t="s">
        <v>3640</v>
      </c>
      <c r="C294" s="165"/>
      <c r="D294" s="247">
        <v>9000</v>
      </c>
      <c r="E294" s="162">
        <v>24</v>
      </c>
      <c r="F294" s="248">
        <f t="shared" si="37"/>
        <v>375</v>
      </c>
      <c r="G294" s="248">
        <f t="shared" si="38"/>
        <v>101.25</v>
      </c>
      <c r="H294" s="248">
        <f t="shared" si="39"/>
        <v>0</v>
      </c>
      <c r="I294" s="248">
        <f t="shared" si="40"/>
        <v>0</v>
      </c>
      <c r="J294" s="248">
        <v>0</v>
      </c>
      <c r="K294" s="248">
        <v>476.25</v>
      </c>
    </row>
    <row r="295" spans="2:11">
      <c r="B295" s="160" t="s">
        <v>3708</v>
      </c>
      <c r="C295" s="165"/>
      <c r="D295" s="157">
        <v>3500</v>
      </c>
      <c r="E295" s="162">
        <v>24</v>
      </c>
      <c r="F295" s="248">
        <f>D295/E295</f>
        <v>145.83333333333334</v>
      </c>
      <c r="G295" s="248">
        <f>$F295*$G$11</f>
        <v>39.375000000000007</v>
      </c>
      <c r="H295" s="248">
        <f>F295*$H$11</f>
        <v>0</v>
      </c>
      <c r="I295" s="248">
        <f>$F295*$I$11</f>
        <v>0</v>
      </c>
      <c r="J295" s="248">
        <v>0</v>
      </c>
      <c r="K295" s="248">
        <v>185.21</v>
      </c>
    </row>
    <row r="296" spans="2:11">
      <c r="B296" s="160" t="s">
        <v>3709</v>
      </c>
      <c r="C296" s="165"/>
      <c r="D296" s="247">
        <v>6000</v>
      </c>
      <c r="E296" s="162">
        <v>24</v>
      </c>
      <c r="F296" s="248">
        <f t="shared" si="37"/>
        <v>250</v>
      </c>
      <c r="G296" s="248">
        <f t="shared" si="38"/>
        <v>67.5</v>
      </c>
      <c r="H296" s="248">
        <f t="shared" si="39"/>
        <v>0</v>
      </c>
      <c r="I296" s="248">
        <f t="shared" si="40"/>
        <v>0</v>
      </c>
      <c r="J296" s="248">
        <v>0</v>
      </c>
      <c r="K296" s="248">
        <v>317.5</v>
      </c>
    </row>
    <row r="297" spans="2:11">
      <c r="B297" s="160" t="s">
        <v>3833</v>
      </c>
      <c r="C297" s="165"/>
      <c r="D297" s="247">
        <v>23000</v>
      </c>
      <c r="E297" s="162">
        <v>24</v>
      </c>
      <c r="F297" s="248">
        <f t="shared" si="37"/>
        <v>958.33333333333337</v>
      </c>
      <c r="G297" s="248">
        <f t="shared" si="38"/>
        <v>258.75</v>
      </c>
      <c r="H297" s="248">
        <f t="shared" si="39"/>
        <v>0</v>
      </c>
      <c r="I297" s="248">
        <f t="shared" si="40"/>
        <v>0</v>
      </c>
      <c r="J297" s="248">
        <v>0</v>
      </c>
      <c r="K297" s="248">
        <v>1217.08</v>
      </c>
    </row>
    <row r="298" spans="2:11">
      <c r="B298" s="251" t="s">
        <v>3831</v>
      </c>
      <c r="C298" s="252"/>
      <c r="D298" s="253">
        <v>12000</v>
      </c>
      <c r="E298" s="254">
        <f>$E$11</f>
        <v>24</v>
      </c>
      <c r="F298" s="248">
        <f t="shared" si="37"/>
        <v>500</v>
      </c>
      <c r="G298" s="248">
        <f t="shared" si="38"/>
        <v>135</v>
      </c>
      <c r="H298" s="248">
        <f t="shared" si="39"/>
        <v>0</v>
      </c>
      <c r="I298" s="248">
        <f t="shared" si="40"/>
        <v>0</v>
      </c>
      <c r="J298" s="255">
        <f>($F298+$I298)*$J$11</f>
        <v>0</v>
      </c>
      <c r="K298" s="248">
        <v>635</v>
      </c>
    </row>
    <row r="299" spans="2:11" ht="12.75" customHeight="1">
      <c r="B299" s="160" t="s">
        <v>3887</v>
      </c>
      <c r="C299" s="165"/>
      <c r="D299" s="247">
        <v>5835</v>
      </c>
      <c r="E299" s="162">
        <f>$E$11</f>
        <v>24</v>
      </c>
      <c r="F299" s="248">
        <f t="shared" si="37"/>
        <v>243.125</v>
      </c>
      <c r="G299" s="248">
        <f t="shared" si="38"/>
        <v>65.643750000000011</v>
      </c>
      <c r="H299" s="248">
        <f t="shared" si="39"/>
        <v>0</v>
      </c>
      <c r="I299" s="248">
        <f t="shared" si="40"/>
        <v>0</v>
      </c>
      <c r="J299" s="248">
        <f>($F299+$I299)*$J$11</f>
        <v>0</v>
      </c>
      <c r="K299" s="248">
        <v>308.77</v>
      </c>
    </row>
    <row r="300" spans="2:11" ht="12.75" customHeight="1">
      <c r="B300" s="160" t="s">
        <v>3838</v>
      </c>
      <c r="C300" s="165"/>
      <c r="D300" s="247">
        <v>783</v>
      </c>
      <c r="E300" s="162">
        <f>$E$11</f>
        <v>24</v>
      </c>
      <c r="F300" s="248">
        <f t="shared" si="37"/>
        <v>32.625</v>
      </c>
      <c r="G300" s="248">
        <f t="shared" si="38"/>
        <v>8.8087499999999999</v>
      </c>
      <c r="H300" s="248">
        <f t="shared" si="39"/>
        <v>0</v>
      </c>
      <c r="I300" s="248">
        <f t="shared" si="40"/>
        <v>0</v>
      </c>
      <c r="J300" s="248">
        <f>($F300+$I300)*$J$11</f>
        <v>0</v>
      </c>
      <c r="K300" s="248">
        <v>41.43</v>
      </c>
    </row>
    <row r="301" spans="2:11" ht="12.75" customHeight="1">
      <c r="B301" s="160" t="s">
        <v>3847</v>
      </c>
      <c r="C301" s="165"/>
      <c r="D301" s="247">
        <v>5550</v>
      </c>
      <c r="E301" s="162">
        <f>$E$11</f>
        <v>24</v>
      </c>
      <c r="F301" s="248">
        <f t="shared" si="37"/>
        <v>231.25</v>
      </c>
      <c r="G301" s="248">
        <f t="shared" si="38"/>
        <v>62.437500000000007</v>
      </c>
      <c r="H301" s="248">
        <f t="shared" si="39"/>
        <v>0</v>
      </c>
      <c r="I301" s="248">
        <f t="shared" si="40"/>
        <v>0</v>
      </c>
      <c r="J301" s="248">
        <f>($F301+$I301)*$J$11</f>
        <v>0</v>
      </c>
      <c r="K301" s="248">
        <v>293.69</v>
      </c>
    </row>
    <row r="302" spans="2:11">
      <c r="B302" s="160" t="s">
        <v>3850</v>
      </c>
      <c r="C302" s="165"/>
      <c r="D302" s="247">
        <v>2660</v>
      </c>
      <c r="E302" s="162">
        <f>$E$11</f>
        <v>24</v>
      </c>
      <c r="F302" s="248">
        <f t="shared" si="37"/>
        <v>110.83333333333333</v>
      </c>
      <c r="G302" s="248">
        <f t="shared" si="38"/>
        <v>29.925000000000001</v>
      </c>
      <c r="H302" s="248">
        <f t="shared" si="39"/>
        <v>0</v>
      </c>
      <c r="I302" s="248">
        <f t="shared" si="40"/>
        <v>0</v>
      </c>
      <c r="J302" s="248">
        <f>($F302+$I302)*$J$11</f>
        <v>0</v>
      </c>
      <c r="K302" s="248">
        <v>140.76</v>
      </c>
    </row>
    <row r="303" spans="2:11">
      <c r="B303" s="277" t="s">
        <v>3888</v>
      </c>
      <c r="C303" s="165"/>
      <c r="D303" s="278">
        <v>8400</v>
      </c>
      <c r="E303" s="162">
        <f t="shared" ref="E303:E305" si="41">$E$11</f>
        <v>24</v>
      </c>
      <c r="F303" s="279">
        <f t="shared" ref="F303:F305" si="42">D303/E303</f>
        <v>350</v>
      </c>
      <c r="G303" s="279">
        <f t="shared" ref="G303:G305" si="43">$F303*$G$11</f>
        <v>94.5</v>
      </c>
      <c r="H303" s="279">
        <f t="shared" ref="H303:H305" si="44">F303*$H$11</f>
        <v>0</v>
      </c>
      <c r="I303" s="279">
        <f t="shared" ref="I303:I305" si="45">$F303*$I$11</f>
        <v>0</v>
      </c>
      <c r="J303" s="279">
        <f t="shared" ref="J303:J305" si="46">($F303+$I303)*$J$11</f>
        <v>0</v>
      </c>
      <c r="K303" s="279">
        <v>444.5</v>
      </c>
    </row>
    <row r="304" spans="2:11">
      <c r="B304" s="277" t="s">
        <v>3889</v>
      </c>
      <c r="C304" s="165"/>
      <c r="D304" s="278">
        <v>12450</v>
      </c>
      <c r="E304" s="162">
        <f t="shared" si="41"/>
        <v>24</v>
      </c>
      <c r="F304" s="279">
        <f t="shared" si="42"/>
        <v>518.75</v>
      </c>
      <c r="G304" s="279">
        <f t="shared" si="43"/>
        <v>140.0625</v>
      </c>
      <c r="H304" s="279">
        <f t="shared" si="44"/>
        <v>0</v>
      </c>
      <c r="I304" s="279">
        <f t="shared" si="45"/>
        <v>0</v>
      </c>
      <c r="J304" s="279">
        <f t="shared" si="46"/>
        <v>0</v>
      </c>
      <c r="K304" s="279">
        <v>658.81</v>
      </c>
    </row>
    <row r="305" spans="1:11">
      <c r="B305" s="277" t="s">
        <v>3890</v>
      </c>
      <c r="C305" s="165"/>
      <c r="D305" s="278">
        <v>9300</v>
      </c>
      <c r="E305" s="162">
        <f t="shared" si="41"/>
        <v>24</v>
      </c>
      <c r="F305" s="279">
        <f t="shared" si="42"/>
        <v>387.5</v>
      </c>
      <c r="G305" s="279">
        <f t="shared" si="43"/>
        <v>104.625</v>
      </c>
      <c r="H305" s="279">
        <f t="shared" si="44"/>
        <v>0</v>
      </c>
      <c r="I305" s="279">
        <f t="shared" si="45"/>
        <v>0</v>
      </c>
      <c r="J305" s="279">
        <f t="shared" si="46"/>
        <v>0</v>
      </c>
      <c r="K305" s="279">
        <v>492.13</v>
      </c>
    </row>
    <row r="306" spans="1:11">
      <c r="B306" s="160" t="s">
        <v>3987</v>
      </c>
      <c r="C306" s="165"/>
      <c r="D306" s="157">
        <v>12500</v>
      </c>
      <c r="E306" s="162">
        <f t="shared" ref="E306:E308" si="47">$E$11</f>
        <v>24</v>
      </c>
      <c r="F306" s="159">
        <f t="shared" ref="F306:F308" si="48">D306/E306</f>
        <v>520.83333333333337</v>
      </c>
      <c r="G306" s="159">
        <f t="shared" ref="G306:G308" si="49">$F306*$G$11</f>
        <v>140.62500000000003</v>
      </c>
      <c r="H306" s="159">
        <f t="shared" ref="H306:H308" si="50">F306*$H$11</f>
        <v>0</v>
      </c>
      <c r="I306" s="159">
        <f t="shared" ref="I306:I308" si="51">$F306*$I$11</f>
        <v>0</v>
      </c>
      <c r="J306" s="159">
        <f t="shared" ref="J306:J308" si="52">($F306+$I306)*$J$11</f>
        <v>0</v>
      </c>
      <c r="K306" s="159">
        <v>661.46</v>
      </c>
    </row>
    <row r="307" spans="1:11" ht="28">
      <c r="B307" s="160" t="s">
        <v>3988</v>
      </c>
      <c r="C307" s="165"/>
      <c r="D307" s="157">
        <v>11666</v>
      </c>
      <c r="E307" s="162">
        <f t="shared" si="47"/>
        <v>24</v>
      </c>
      <c r="F307" s="159">
        <f t="shared" si="48"/>
        <v>486.08333333333331</v>
      </c>
      <c r="G307" s="159">
        <f t="shared" si="49"/>
        <v>131.24250000000001</v>
      </c>
      <c r="H307" s="159">
        <f t="shared" si="50"/>
        <v>0</v>
      </c>
      <c r="I307" s="159">
        <f t="shared" si="51"/>
        <v>0</v>
      </c>
      <c r="J307" s="159">
        <f t="shared" si="52"/>
        <v>0</v>
      </c>
      <c r="K307" s="159">
        <v>617.33000000000004</v>
      </c>
    </row>
    <row r="308" spans="1:11">
      <c r="B308" s="160" t="s">
        <v>3989</v>
      </c>
      <c r="C308" s="165"/>
      <c r="D308" s="157">
        <v>66000</v>
      </c>
      <c r="E308" s="162">
        <f t="shared" si="47"/>
        <v>24</v>
      </c>
      <c r="F308" s="159">
        <f t="shared" si="48"/>
        <v>2750</v>
      </c>
      <c r="G308" s="159">
        <f t="shared" si="49"/>
        <v>742.5</v>
      </c>
      <c r="H308" s="159">
        <f t="shared" si="50"/>
        <v>0</v>
      </c>
      <c r="I308" s="159">
        <f t="shared" si="51"/>
        <v>0</v>
      </c>
      <c r="J308" s="159">
        <f t="shared" si="52"/>
        <v>0</v>
      </c>
      <c r="K308" s="159">
        <v>3492.5</v>
      </c>
    </row>
    <row r="309" spans="1:11">
      <c r="B309" s="160" t="s">
        <v>4088</v>
      </c>
      <c r="C309" s="165"/>
      <c r="D309" s="157">
        <v>6736</v>
      </c>
      <c r="E309" s="162">
        <f t="shared" ref="E309:E313" si="53">$E$11</f>
        <v>24</v>
      </c>
      <c r="F309" s="159">
        <f t="shared" ref="F309:F313" si="54">D309/E309</f>
        <v>280.66666666666669</v>
      </c>
      <c r="G309" s="159">
        <f t="shared" ref="G309:G313" si="55">$F309*$G$11</f>
        <v>75.780000000000015</v>
      </c>
      <c r="H309" s="159">
        <f t="shared" ref="H309:H313" si="56">F309*$H$11</f>
        <v>0</v>
      </c>
      <c r="I309" s="159">
        <f t="shared" ref="I309:I313" si="57">$F309*$I$11</f>
        <v>0</v>
      </c>
      <c r="J309" s="159">
        <f t="shared" ref="J309:J313" si="58">($F309+$I309)*$J$11</f>
        <v>0</v>
      </c>
      <c r="K309" s="159">
        <v>356.45</v>
      </c>
    </row>
    <row r="310" spans="1:11">
      <c r="B310" s="160" t="s">
        <v>4089</v>
      </c>
      <c r="C310" s="165"/>
      <c r="D310" s="157">
        <v>1666</v>
      </c>
      <c r="E310" s="162">
        <f t="shared" si="53"/>
        <v>24</v>
      </c>
      <c r="F310" s="159">
        <f t="shared" si="54"/>
        <v>69.416666666666671</v>
      </c>
      <c r="G310" s="159">
        <f t="shared" si="55"/>
        <v>18.742500000000003</v>
      </c>
      <c r="H310" s="159">
        <f t="shared" si="56"/>
        <v>0</v>
      </c>
      <c r="I310" s="159">
        <f t="shared" si="57"/>
        <v>0</v>
      </c>
      <c r="J310" s="159">
        <f t="shared" si="58"/>
        <v>0</v>
      </c>
      <c r="K310" s="159">
        <v>88.16</v>
      </c>
    </row>
    <row r="311" spans="1:11">
      <c r="B311" s="160" t="s">
        <v>4090</v>
      </c>
      <c r="C311" s="165"/>
      <c r="D311" s="157">
        <v>1500</v>
      </c>
      <c r="E311" s="162">
        <f t="shared" si="53"/>
        <v>24</v>
      </c>
      <c r="F311" s="159">
        <f t="shared" si="54"/>
        <v>62.5</v>
      </c>
      <c r="G311" s="159">
        <f t="shared" si="55"/>
        <v>16.875</v>
      </c>
      <c r="H311" s="159">
        <f t="shared" si="56"/>
        <v>0</v>
      </c>
      <c r="I311" s="159">
        <f t="shared" si="57"/>
        <v>0</v>
      </c>
      <c r="J311" s="159">
        <f t="shared" si="58"/>
        <v>0</v>
      </c>
      <c r="K311" s="159">
        <v>79.38</v>
      </c>
    </row>
    <row r="312" spans="1:11">
      <c r="B312" s="160" t="s">
        <v>4091</v>
      </c>
      <c r="C312" s="165"/>
      <c r="D312" s="157">
        <v>2660</v>
      </c>
      <c r="E312" s="162">
        <f t="shared" si="53"/>
        <v>24</v>
      </c>
      <c r="F312" s="159">
        <f t="shared" si="54"/>
        <v>110.83333333333333</v>
      </c>
      <c r="G312" s="159">
        <f t="shared" si="55"/>
        <v>29.925000000000001</v>
      </c>
      <c r="H312" s="159">
        <f t="shared" si="56"/>
        <v>0</v>
      </c>
      <c r="I312" s="159">
        <f t="shared" si="57"/>
        <v>0</v>
      </c>
      <c r="J312" s="159">
        <f t="shared" si="58"/>
        <v>0</v>
      </c>
      <c r="K312" s="159">
        <v>140.76</v>
      </c>
    </row>
    <row r="313" spans="1:11">
      <c r="B313" s="160"/>
      <c r="C313" s="165"/>
      <c r="D313" s="157"/>
      <c r="E313" s="162">
        <f t="shared" si="53"/>
        <v>24</v>
      </c>
      <c r="F313" s="159">
        <f t="shared" si="54"/>
        <v>0</v>
      </c>
      <c r="G313" s="159">
        <f t="shared" si="55"/>
        <v>0</v>
      </c>
      <c r="H313" s="159">
        <f t="shared" si="56"/>
        <v>0</v>
      </c>
      <c r="I313" s="159">
        <f t="shared" si="57"/>
        <v>0</v>
      </c>
      <c r="J313" s="159">
        <f t="shared" si="58"/>
        <v>0</v>
      </c>
      <c r="K313" s="159">
        <f t="shared" ref="K313" si="59">ROUNDUP((SUM(F313:J313)),0)</f>
        <v>0</v>
      </c>
    </row>
    <row r="314" spans="1:11">
      <c r="B314" s="160"/>
      <c r="C314" s="165"/>
      <c r="D314" s="247"/>
      <c r="E314" s="162"/>
      <c r="F314" s="248"/>
      <c r="G314" s="248"/>
      <c r="H314" s="248"/>
      <c r="I314" s="248"/>
      <c r="J314" s="248"/>
      <c r="K314" s="248"/>
    </row>
    <row r="315" spans="1:11" ht="16">
      <c r="B315" s="169" t="s">
        <v>485</v>
      </c>
    </row>
    <row r="317" spans="1:11" ht="17">
      <c r="A317" s="170" t="s">
        <v>486</v>
      </c>
      <c r="B317" s="171" t="s">
        <v>4229</v>
      </c>
      <c r="E317" s="172"/>
    </row>
    <row r="318" spans="1:11">
      <c r="B318" s="171" t="s">
        <v>487</v>
      </c>
      <c r="E318" s="172"/>
    </row>
    <row r="319" spans="1:11">
      <c r="B319" s="171" t="s">
        <v>488</v>
      </c>
      <c r="E319" s="172"/>
    </row>
    <row r="320" spans="1:11" ht="16">
      <c r="B320" s="173" t="s">
        <v>489</v>
      </c>
      <c r="E320" s="172"/>
    </row>
    <row r="321" spans="1:5">
      <c r="B321" s="173" t="s">
        <v>490</v>
      </c>
      <c r="E321" s="172"/>
    </row>
    <row r="322" spans="1:5">
      <c r="E322" s="172"/>
    </row>
    <row r="323" spans="1:5">
      <c r="A323" s="170" t="s">
        <v>216</v>
      </c>
      <c r="B323" s="62" t="s">
        <v>246</v>
      </c>
    </row>
  </sheetData>
  <pageMargins left="0.70866141732283472" right="0.70866141732283472" top="0.74803149606299213" bottom="0.74803149606299213" header="0.31496062992125984" footer="0.31496062992125984"/>
  <pageSetup orientation="portrait" horizontalDpi="4294967292" verticalDpi="4294967292"/>
  <headerFooter>
    <oddFooter>Page &amp;P of &amp;N</oddFooter>
  </headerFooter>
  <tableParts count="1">
    <tablePart r:id="rId1"/>
  </tableParts>
  <extLst>
    <ext xmlns:mx="http://schemas.microsoft.com/office/mac/excel/2008/main" uri="{64002731-A6B0-56B0-2670-7721B7C09600}">
      <mx:PLV Mode="0" OnePage="0" WScale="0"/>
    </ext>
  </extLs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5:B57"/>
  <sheetViews>
    <sheetView topLeftCell="A7" workbookViewId="0">
      <selection activeCell="C10" sqref="C10"/>
    </sheetView>
  </sheetViews>
  <sheetFormatPr baseColWidth="10" defaultColWidth="11.5" defaultRowHeight="15"/>
  <cols>
    <col min="1" max="1" width="11.5" style="193"/>
  </cols>
  <sheetData>
    <row r="5" spans="1:2">
      <c r="A5" s="193" t="s">
        <v>509</v>
      </c>
      <c r="B5" t="s">
        <v>510</v>
      </c>
    </row>
    <row r="6" spans="1:2">
      <c r="A6" s="193" t="s">
        <v>511</v>
      </c>
      <c r="B6" t="s">
        <v>517</v>
      </c>
    </row>
    <row r="7" spans="1:2">
      <c r="A7" s="193" t="s">
        <v>512</v>
      </c>
      <c r="B7" t="s">
        <v>518</v>
      </c>
    </row>
    <row r="8" spans="1:2">
      <c r="A8" s="193" t="s">
        <v>513</v>
      </c>
      <c r="B8" t="s">
        <v>519</v>
      </c>
    </row>
    <row r="9" spans="1:2">
      <c r="A9" s="193" t="s">
        <v>520</v>
      </c>
      <c r="B9" t="s">
        <v>522</v>
      </c>
    </row>
    <row r="10" spans="1:2">
      <c r="A10" s="193" t="s">
        <v>1030</v>
      </c>
      <c r="B10" t="s">
        <v>1031</v>
      </c>
    </row>
    <row r="11" spans="1:2">
      <c r="A11" s="193" t="s">
        <v>521</v>
      </c>
      <c r="B11" t="s">
        <v>523</v>
      </c>
    </row>
    <row r="12" spans="1:2">
      <c r="A12" s="193" t="s">
        <v>524</v>
      </c>
      <c r="B12" t="s">
        <v>525</v>
      </c>
    </row>
    <row r="13" spans="1:2">
      <c r="A13" s="193" t="s">
        <v>526</v>
      </c>
      <c r="B13" t="s">
        <v>527</v>
      </c>
    </row>
    <row r="14" spans="1:2">
      <c r="A14" s="193" t="s">
        <v>528</v>
      </c>
      <c r="B14" t="s">
        <v>529</v>
      </c>
    </row>
    <row r="15" spans="1:2">
      <c r="A15" s="193" t="s">
        <v>530</v>
      </c>
      <c r="B15" t="s">
        <v>531</v>
      </c>
    </row>
    <row r="16" spans="1:2">
      <c r="A16" s="193" t="s">
        <v>532</v>
      </c>
      <c r="B16" t="s">
        <v>533</v>
      </c>
    </row>
    <row r="17" spans="1:2">
      <c r="A17" s="193" t="s">
        <v>514</v>
      </c>
      <c r="B17" t="s">
        <v>534</v>
      </c>
    </row>
    <row r="18" spans="1:2">
      <c r="A18" s="193" t="s">
        <v>535</v>
      </c>
      <c r="B18" t="s">
        <v>536</v>
      </c>
    </row>
    <row r="19" spans="1:2">
      <c r="A19" s="193" t="s">
        <v>537</v>
      </c>
      <c r="B19" t="s">
        <v>539</v>
      </c>
    </row>
    <row r="20" spans="1:2">
      <c r="A20" s="193" t="s">
        <v>538</v>
      </c>
      <c r="B20" t="s">
        <v>540</v>
      </c>
    </row>
    <row r="21" spans="1:2">
      <c r="A21" s="193" t="s">
        <v>541</v>
      </c>
      <c r="B21" t="s">
        <v>542</v>
      </c>
    </row>
    <row r="22" spans="1:2">
      <c r="A22" s="193" t="s">
        <v>543</v>
      </c>
      <c r="B22" t="s">
        <v>544</v>
      </c>
    </row>
    <row r="23" spans="1:2">
      <c r="A23" s="193" t="s">
        <v>515</v>
      </c>
      <c r="B23" t="s">
        <v>545</v>
      </c>
    </row>
    <row r="24" spans="1:2">
      <c r="A24" s="193" t="s">
        <v>516</v>
      </c>
      <c r="B24" t="s">
        <v>546</v>
      </c>
    </row>
    <row r="25" spans="1:2">
      <c r="A25" s="193" t="s">
        <v>547</v>
      </c>
      <c r="B25" t="s">
        <v>505</v>
      </c>
    </row>
    <row r="26" spans="1:2">
      <c r="A26" s="193" t="s">
        <v>548</v>
      </c>
      <c r="B26" t="s">
        <v>549</v>
      </c>
    </row>
    <row r="27" spans="1:2">
      <c r="A27" s="193" t="s">
        <v>550</v>
      </c>
      <c r="B27" t="s">
        <v>551</v>
      </c>
    </row>
    <row r="28" spans="1:2">
      <c r="A28" s="193" t="s">
        <v>553</v>
      </c>
      <c r="B28" t="s">
        <v>554</v>
      </c>
    </row>
    <row r="29" spans="1:2">
      <c r="A29" s="193" t="s">
        <v>552</v>
      </c>
      <c r="B29" t="s">
        <v>556</v>
      </c>
    </row>
    <row r="30" spans="1:2">
      <c r="A30" s="193" t="s">
        <v>557</v>
      </c>
      <c r="B30" t="s">
        <v>555</v>
      </c>
    </row>
    <row r="31" spans="1:2">
      <c r="A31" s="193" t="s">
        <v>559</v>
      </c>
      <c r="B31" t="s">
        <v>558</v>
      </c>
    </row>
    <row r="32" spans="1:2">
      <c r="A32" s="193" t="s">
        <v>560</v>
      </c>
      <c r="B32" t="s">
        <v>561</v>
      </c>
    </row>
    <row r="33" spans="1:2">
      <c r="A33" s="193" t="s">
        <v>562</v>
      </c>
      <c r="B33" t="s">
        <v>563</v>
      </c>
    </row>
    <row r="34" spans="1:2">
      <c r="A34" s="193" t="s">
        <v>564</v>
      </c>
      <c r="B34" t="s">
        <v>565</v>
      </c>
    </row>
    <row r="35" spans="1:2">
      <c r="A35" s="193" t="s">
        <v>567</v>
      </c>
      <c r="B35" t="s">
        <v>566</v>
      </c>
    </row>
    <row r="36" spans="1:2">
      <c r="A36" s="193" t="s">
        <v>568</v>
      </c>
      <c r="B36" t="s">
        <v>569</v>
      </c>
    </row>
    <row r="37" spans="1:2">
      <c r="A37" s="193" t="s">
        <v>570</v>
      </c>
      <c r="B37" t="s">
        <v>571</v>
      </c>
    </row>
    <row r="38" spans="1:2">
      <c r="A38" s="193" t="s">
        <v>572</v>
      </c>
      <c r="B38" t="s">
        <v>573</v>
      </c>
    </row>
    <row r="39" spans="1:2">
      <c r="A39" s="193" t="s">
        <v>575</v>
      </c>
      <c r="B39" t="s">
        <v>574</v>
      </c>
    </row>
    <row r="40" spans="1:2">
      <c r="A40" s="193" t="s">
        <v>576</v>
      </c>
      <c r="B40" t="s">
        <v>577</v>
      </c>
    </row>
    <row r="41" spans="1:2">
      <c r="A41" s="193" t="s">
        <v>578</v>
      </c>
      <c r="B41" t="s">
        <v>579</v>
      </c>
    </row>
    <row r="42" spans="1:2">
      <c r="A42" s="193" t="s">
        <v>580</v>
      </c>
      <c r="B42" t="s">
        <v>581</v>
      </c>
    </row>
    <row r="43" spans="1:2">
      <c r="A43" s="193" t="s">
        <v>582</v>
      </c>
      <c r="B43" t="s">
        <v>583</v>
      </c>
    </row>
    <row r="44" spans="1:2">
      <c r="A44" s="193" t="s">
        <v>584</v>
      </c>
      <c r="B44" t="s">
        <v>585</v>
      </c>
    </row>
    <row r="45" spans="1:2">
      <c r="A45" s="193" t="s">
        <v>586</v>
      </c>
      <c r="B45" t="s">
        <v>587</v>
      </c>
    </row>
    <row r="46" spans="1:2">
      <c r="A46" s="193" t="s">
        <v>588</v>
      </c>
      <c r="B46" t="s">
        <v>589</v>
      </c>
    </row>
    <row r="47" spans="1:2">
      <c r="A47" s="193" t="s">
        <v>590</v>
      </c>
      <c r="B47" t="s">
        <v>591</v>
      </c>
    </row>
    <row r="48" spans="1:2">
      <c r="A48" s="193" t="s">
        <v>592</v>
      </c>
      <c r="B48" t="s">
        <v>593</v>
      </c>
    </row>
    <row r="49" spans="1:2">
      <c r="A49" s="193" t="s">
        <v>594</v>
      </c>
      <c r="B49" t="s">
        <v>595</v>
      </c>
    </row>
    <row r="50" spans="1:2">
      <c r="A50" s="193" t="s">
        <v>596</v>
      </c>
      <c r="B50" t="s">
        <v>597</v>
      </c>
    </row>
    <row r="51" spans="1:2">
      <c r="A51" s="193" t="s">
        <v>598</v>
      </c>
      <c r="B51" t="s">
        <v>599</v>
      </c>
    </row>
    <row r="52" spans="1:2">
      <c r="A52" s="193" t="s">
        <v>600</v>
      </c>
      <c r="B52" t="s">
        <v>601</v>
      </c>
    </row>
    <row r="53" spans="1:2">
      <c r="A53" s="193" t="s">
        <v>602</v>
      </c>
      <c r="B53" t="s">
        <v>603</v>
      </c>
    </row>
    <row r="54" spans="1:2">
      <c r="A54" s="193" t="s">
        <v>604</v>
      </c>
      <c r="B54" t="s">
        <v>605</v>
      </c>
    </row>
    <row r="55" spans="1:2">
      <c r="A55" s="193" t="s">
        <v>606</v>
      </c>
      <c r="B55" t="s">
        <v>607</v>
      </c>
    </row>
    <row r="57" spans="1:2">
      <c r="A57" s="193" t="s">
        <v>509</v>
      </c>
      <c r="B57" t="s">
        <v>608</v>
      </c>
    </row>
  </sheetData>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57</vt:i4>
      </vt:variant>
      <vt:variant>
        <vt:lpstr>Named Ranges</vt:lpstr>
      </vt:variant>
      <vt:variant>
        <vt:i4>54</vt:i4>
      </vt:variant>
    </vt:vector>
  </HeadingPairs>
  <TitlesOfParts>
    <vt:vector size="111" baseType="lpstr">
      <vt:lpstr>Field Log (50)</vt:lpstr>
      <vt:lpstr>Field Log (49)</vt:lpstr>
      <vt:lpstr>Field Log (48)</vt:lpstr>
      <vt:lpstr>Field Log (47)</vt:lpstr>
      <vt:lpstr>Field Log (46)</vt:lpstr>
      <vt:lpstr>Field Log (45)</vt:lpstr>
      <vt:lpstr>Field Log (44)</vt:lpstr>
      <vt:lpstr>Field Log (43)</vt:lpstr>
      <vt:lpstr>Field Log (42)</vt:lpstr>
      <vt:lpstr>Field Log (41)</vt:lpstr>
      <vt:lpstr>Field Log (40)</vt:lpstr>
      <vt:lpstr>Field Log (39)</vt:lpstr>
      <vt:lpstr>Field Log (38)</vt:lpstr>
      <vt:lpstr>Field Log (37)</vt:lpstr>
      <vt:lpstr>Field Log (36)</vt:lpstr>
      <vt:lpstr>Field Log (34)</vt:lpstr>
      <vt:lpstr>Field Log (13)</vt:lpstr>
      <vt:lpstr>Field Log (22)</vt:lpstr>
      <vt:lpstr>Field Log (16)</vt:lpstr>
      <vt:lpstr>Field Log (15)</vt:lpstr>
      <vt:lpstr>Field Log (18)</vt:lpstr>
      <vt:lpstr>Field Log (20)</vt:lpstr>
      <vt:lpstr>Field Log (4)</vt:lpstr>
      <vt:lpstr>Field Log (30)</vt:lpstr>
      <vt:lpstr>Field Log (24)</vt:lpstr>
      <vt:lpstr>Field Log (35)</vt:lpstr>
      <vt:lpstr>Field Log (31)</vt:lpstr>
      <vt:lpstr>Field Log (7)</vt:lpstr>
      <vt:lpstr>Field Log (17)</vt:lpstr>
      <vt:lpstr>Field Log (14)</vt:lpstr>
      <vt:lpstr>Field Log (5)</vt:lpstr>
      <vt:lpstr>Field Log (33)</vt:lpstr>
      <vt:lpstr>Field Log (10)</vt:lpstr>
      <vt:lpstr>Field Log (29)</vt:lpstr>
      <vt:lpstr>Field Log (26)</vt:lpstr>
      <vt:lpstr>Field Log (3)</vt:lpstr>
      <vt:lpstr>Field Log (23)</vt:lpstr>
      <vt:lpstr>Field Log (19)</vt:lpstr>
      <vt:lpstr>Field Log (25)</vt:lpstr>
      <vt:lpstr>Field Log (6)</vt:lpstr>
      <vt:lpstr>Field Log (27)</vt:lpstr>
      <vt:lpstr>Field Log (9)</vt:lpstr>
      <vt:lpstr>Field Log (21)</vt:lpstr>
      <vt:lpstr>Field Log (2)</vt:lpstr>
      <vt:lpstr>Field Log (11)</vt:lpstr>
      <vt:lpstr>Field Log (32)</vt:lpstr>
      <vt:lpstr>Field Log (12)</vt:lpstr>
      <vt:lpstr>Field Log (28)</vt:lpstr>
      <vt:lpstr>Field Log (8)</vt:lpstr>
      <vt:lpstr>Field Log (1)</vt:lpstr>
      <vt:lpstr>Summary</vt:lpstr>
      <vt:lpstr>Sheet2</vt:lpstr>
      <vt:lpstr>Personnel</vt:lpstr>
      <vt:lpstr>Equipment</vt:lpstr>
      <vt:lpstr>Constr. Wage Rate Calculations</vt:lpstr>
      <vt:lpstr>Alberta Equip. Rates Year 3</vt:lpstr>
      <vt:lpstr>Accounts</vt:lpstr>
      <vt:lpstr>'Alberta Equip. Rates Year 3'!Print_Area</vt:lpstr>
      <vt:lpstr>'Constr. Wage Rate Calculations'!Print_Area</vt:lpstr>
      <vt:lpstr>'Field Log (1)'!Print_Area</vt:lpstr>
      <vt:lpstr>'Field Log (10)'!Print_Area</vt:lpstr>
      <vt:lpstr>'Field Log (11)'!Print_Area</vt:lpstr>
      <vt:lpstr>'Field Log (12)'!Print_Area</vt:lpstr>
      <vt:lpstr>'Field Log (13)'!Print_Area</vt:lpstr>
      <vt:lpstr>'Field Log (14)'!Print_Area</vt:lpstr>
      <vt:lpstr>'Field Log (15)'!Print_Area</vt:lpstr>
      <vt:lpstr>'Field Log (16)'!Print_Area</vt:lpstr>
      <vt:lpstr>'Field Log (17)'!Print_Area</vt:lpstr>
      <vt:lpstr>'Field Log (18)'!Print_Area</vt:lpstr>
      <vt:lpstr>'Field Log (19)'!Print_Area</vt:lpstr>
      <vt:lpstr>'Field Log (2)'!Print_Area</vt:lpstr>
      <vt:lpstr>'Field Log (20)'!Print_Area</vt:lpstr>
      <vt:lpstr>'Field Log (21)'!Print_Area</vt:lpstr>
      <vt:lpstr>'Field Log (22)'!Print_Area</vt:lpstr>
      <vt:lpstr>'Field Log (23)'!Print_Area</vt:lpstr>
      <vt:lpstr>'Field Log (24)'!Print_Area</vt:lpstr>
      <vt:lpstr>'Field Log (25)'!Print_Area</vt:lpstr>
      <vt:lpstr>'Field Log (26)'!Print_Area</vt:lpstr>
      <vt:lpstr>'Field Log (27)'!Print_Area</vt:lpstr>
      <vt:lpstr>'Field Log (28)'!Print_Area</vt:lpstr>
      <vt:lpstr>'Field Log (29)'!Print_Area</vt:lpstr>
      <vt:lpstr>'Field Log (3)'!Print_Area</vt:lpstr>
      <vt:lpstr>'Field Log (30)'!Print_Area</vt:lpstr>
      <vt:lpstr>'Field Log (31)'!Print_Area</vt:lpstr>
      <vt:lpstr>'Field Log (32)'!Print_Area</vt:lpstr>
      <vt:lpstr>'Field Log (33)'!Print_Area</vt:lpstr>
      <vt:lpstr>'Field Log (34)'!Print_Area</vt:lpstr>
      <vt:lpstr>'Field Log (35)'!Print_Area</vt:lpstr>
      <vt:lpstr>'Field Log (36)'!Print_Area</vt:lpstr>
      <vt:lpstr>'Field Log (37)'!Print_Area</vt:lpstr>
      <vt:lpstr>'Field Log (38)'!Print_Area</vt:lpstr>
      <vt:lpstr>'Field Log (39)'!Print_Area</vt:lpstr>
      <vt:lpstr>'Field Log (4)'!Print_Area</vt:lpstr>
      <vt:lpstr>'Field Log (40)'!Print_Area</vt:lpstr>
      <vt:lpstr>'Field Log (41)'!Print_Area</vt:lpstr>
      <vt:lpstr>'Field Log (42)'!Print_Area</vt:lpstr>
      <vt:lpstr>'Field Log (43)'!Print_Area</vt:lpstr>
      <vt:lpstr>'Field Log (44)'!Print_Area</vt:lpstr>
      <vt:lpstr>'Field Log (45)'!Print_Area</vt:lpstr>
      <vt:lpstr>'Field Log (46)'!Print_Area</vt:lpstr>
      <vt:lpstr>'Field Log (47)'!Print_Area</vt:lpstr>
      <vt:lpstr>'Field Log (48)'!Print_Area</vt:lpstr>
      <vt:lpstr>'Field Log (49)'!Print_Area</vt:lpstr>
      <vt:lpstr>'Field Log (5)'!Print_Area</vt:lpstr>
      <vt:lpstr>'Field Log (50)'!Print_Area</vt:lpstr>
      <vt:lpstr>'Field Log (6)'!Print_Area</vt:lpstr>
      <vt:lpstr>'Field Log (7)'!Print_Area</vt:lpstr>
      <vt:lpstr>'Field Log (8)'!Print_Area</vt:lpstr>
      <vt:lpstr>'Alberta Equip. Rates Year 3'!Print_Titles</vt:lpstr>
      <vt:lpstr>'Constr. Wage Rate Calculations'!Print_Titles</vt:lpstr>
      <vt:lpstr>Summary!Print_Titles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Somerville-Aecon 7</dc:creator>
  <cp:lastModifiedBy>Rick Judson</cp:lastModifiedBy>
  <cp:lastPrinted>2013-06-10T21:43:58Z</cp:lastPrinted>
  <dcterms:created xsi:type="dcterms:W3CDTF">2012-11-05T18:14:40Z</dcterms:created>
  <dcterms:modified xsi:type="dcterms:W3CDTF">2025-11-27T19:57:49Z</dcterms:modified>
</cp:coreProperties>
</file>