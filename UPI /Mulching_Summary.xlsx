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ardsjudson/Documents/Inspection App and Dashboard/UPI /"/>
    </mc:Choice>
  </mc:AlternateContent>
  <xr:revisionPtr revIDLastSave="0" documentId="8_{23AAA994-3B33-F543-BD98-B9E7F796AAFB}" xr6:coauthVersionLast="47" xr6:coauthVersionMax="47" xr10:uidLastSave="{00000000-0000-0000-0000-000000000000}"/>
  <bookViews>
    <workbookView xWindow="4980" yWindow="760" windowWidth="24600" windowHeight="19740" activeTab="2" xr2:uid="{00000000-000D-0000-FFFF-FFFF00000000}"/>
  </bookViews>
  <sheets>
    <sheet name="Clearing (EWS)" sheetId="9" r:id="rId1"/>
    <sheet name="Clearing" sheetId="6" r:id="rId2"/>
    <sheet name="UPIs (Billing2)" sheetId="8" r:id="rId3"/>
    <sheet name="UPIs (Billing3)" sheetId="10" r:id="rId4"/>
  </sheets>
  <definedNames>
    <definedName name="_xlnm.Print_Area" localSheetId="1">Clearing!$A$1:$O$100</definedName>
    <definedName name="_xlnm.Print_Area" localSheetId="0">'Clearing (EWS)'!$A$1:$P$62</definedName>
    <definedName name="_xlnm.Print_Area" localSheetId="2">'UPIs (Billing2)'!$A$1:$H$22</definedName>
    <definedName name="_xlnm.Print_Area" localSheetId="3">'UPIs (Billing3)'!$A$1:$I$43</definedName>
    <definedName name="_xlnm.Print_Titles" localSheetId="1">Clearing!$1:$5</definedName>
    <definedName name="_xlnm.Print_Titles" localSheetId="0">'Clearing (EWS)'!$1:$5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42" i="6"/>
  <c r="E43" i="6"/>
  <c r="K43" i="6" s="1"/>
  <c r="E44" i="6"/>
  <c r="E45" i="6"/>
  <c r="K45" i="6" s="1"/>
  <c r="E46" i="6"/>
  <c r="E47" i="6"/>
  <c r="K47" i="6" s="1"/>
  <c r="C39" i="6"/>
  <c r="E39" i="6" s="1"/>
  <c r="K39" i="6" s="1"/>
  <c r="C40" i="6"/>
  <c r="E40" i="6"/>
  <c r="K40" i="6" s="1"/>
  <c r="K41" i="6"/>
  <c r="K42" i="6"/>
  <c r="K44" i="6"/>
  <c r="K46" i="6"/>
  <c r="K6" i="6"/>
  <c r="C7" i="6"/>
  <c r="E7" i="6" s="1"/>
  <c r="C8" i="6"/>
  <c r="E8" i="6"/>
  <c r="K8" i="6" s="1"/>
  <c r="C9" i="6"/>
  <c r="E9" i="6"/>
  <c r="K9" i="6" s="1"/>
  <c r="C10" i="6"/>
  <c r="E10" i="6" s="1"/>
  <c r="K10" i="6" s="1"/>
  <c r="C11" i="6"/>
  <c r="E11" i="6"/>
  <c r="K11" i="6" s="1"/>
  <c r="C12" i="6"/>
  <c r="E12" i="6"/>
  <c r="K12" i="6" s="1"/>
  <c r="K13" i="6"/>
  <c r="C14" i="6"/>
  <c r="E14" i="6"/>
  <c r="K14" i="6"/>
  <c r="C15" i="6"/>
  <c r="E15" i="6"/>
  <c r="K15" i="6" s="1"/>
  <c r="C16" i="6"/>
  <c r="E16" i="6"/>
  <c r="K16" i="6"/>
  <c r="C17" i="6"/>
  <c r="E17" i="6" s="1"/>
  <c r="K17" i="6" s="1"/>
  <c r="C18" i="6"/>
  <c r="E18" i="6"/>
  <c r="K18" i="6" s="1"/>
  <c r="C19" i="6"/>
  <c r="E19" i="6"/>
  <c r="K19" i="6" s="1"/>
  <c r="C20" i="6"/>
  <c r="E20" i="6" s="1"/>
  <c r="K20" i="6" s="1"/>
  <c r="C21" i="6"/>
  <c r="E21" i="6"/>
  <c r="K21" i="6" s="1"/>
  <c r="C22" i="6"/>
  <c r="E22" i="6"/>
  <c r="K22" i="6" s="1"/>
  <c r="C23" i="6"/>
  <c r="E23" i="6" s="1"/>
  <c r="K23" i="6" s="1"/>
  <c r="C24" i="6"/>
  <c r="E24" i="6" s="1"/>
  <c r="K24" i="6" s="1"/>
  <c r="C25" i="6"/>
  <c r="E25" i="6"/>
  <c r="K25" i="6"/>
  <c r="C26" i="6"/>
  <c r="E26" i="6" s="1"/>
  <c r="K26" i="6" s="1"/>
  <c r="C27" i="6"/>
  <c r="E27" i="6" s="1"/>
  <c r="K27" i="6" s="1"/>
  <c r="C28" i="6"/>
  <c r="E28" i="6"/>
  <c r="K28" i="6"/>
  <c r="C29" i="6"/>
  <c r="E29" i="6"/>
  <c r="K29" i="6" s="1"/>
  <c r="C30" i="6"/>
  <c r="E30" i="6"/>
  <c r="K30" i="6"/>
  <c r="C31" i="6"/>
  <c r="E31" i="6" s="1"/>
  <c r="K31" i="6" s="1"/>
  <c r="C32" i="6"/>
  <c r="E32" i="6"/>
  <c r="K32" i="6" s="1"/>
  <c r="C33" i="6"/>
  <c r="E33" i="6"/>
  <c r="K33" i="6" s="1"/>
  <c r="C34" i="6"/>
  <c r="E34" i="6" s="1"/>
  <c r="K34" i="6" s="1"/>
  <c r="C35" i="6"/>
  <c r="E35" i="6"/>
  <c r="K35" i="6" s="1"/>
  <c r="C36" i="6"/>
  <c r="E36" i="6"/>
  <c r="K36" i="6" s="1"/>
  <c r="C37" i="6"/>
  <c r="E37" i="6" s="1"/>
  <c r="K37" i="6" s="1"/>
  <c r="C38" i="6"/>
  <c r="E38" i="6" s="1"/>
  <c r="K38" i="6" s="1"/>
  <c r="K49" i="6"/>
  <c r="C50" i="6"/>
  <c r="E50" i="6"/>
  <c r="K50" i="6"/>
  <c r="K51" i="6"/>
  <c r="C52" i="6"/>
  <c r="E52" i="6"/>
  <c r="K52" i="6" s="1"/>
  <c r="K53" i="6"/>
  <c r="C54" i="6"/>
  <c r="E54" i="6"/>
  <c r="K54" i="6"/>
  <c r="K55" i="6"/>
  <c r="C56" i="6"/>
  <c r="E56" i="6" s="1"/>
  <c r="K56" i="6" s="1"/>
  <c r="K57" i="6"/>
  <c r="C58" i="6"/>
  <c r="E58" i="6" s="1"/>
  <c r="K58" i="6" s="1"/>
  <c r="K59" i="6"/>
  <c r="C60" i="6"/>
  <c r="E60" i="6"/>
  <c r="K60" i="6" s="1"/>
  <c r="K61" i="6"/>
  <c r="C62" i="6"/>
  <c r="E62" i="6" s="1"/>
  <c r="K62" i="6" s="1"/>
  <c r="K63" i="6"/>
  <c r="C64" i="6"/>
  <c r="E64" i="6"/>
  <c r="K64" i="6"/>
  <c r="K65" i="6"/>
  <c r="C66" i="6"/>
  <c r="E66" i="6"/>
  <c r="K66" i="6" s="1"/>
  <c r="K67" i="6"/>
  <c r="C68" i="6"/>
  <c r="E68" i="6"/>
  <c r="K68" i="6"/>
  <c r="K69" i="6"/>
  <c r="C70" i="6"/>
  <c r="E70" i="6" s="1"/>
  <c r="K70" i="6" s="1"/>
  <c r="K71" i="6"/>
  <c r="C72" i="6"/>
  <c r="E72" i="6" s="1"/>
  <c r="K72" i="6" s="1"/>
  <c r="K73" i="6"/>
  <c r="C74" i="6"/>
  <c r="E74" i="6"/>
  <c r="K74" i="6" s="1"/>
  <c r="K75" i="6"/>
  <c r="C76" i="6"/>
  <c r="E76" i="6" s="1"/>
  <c r="K76" i="6" s="1"/>
  <c r="K77" i="6"/>
  <c r="C78" i="6"/>
  <c r="E78" i="6"/>
  <c r="K78" i="6"/>
  <c r="C80" i="6"/>
  <c r="E80" i="6" s="1"/>
  <c r="K80" i="6" s="1"/>
  <c r="C81" i="6"/>
  <c r="E81" i="6"/>
  <c r="K81" i="6" s="1"/>
  <c r="C82" i="6"/>
  <c r="E82" i="6"/>
  <c r="K82" i="6" s="1"/>
  <c r="K83" i="6"/>
  <c r="C84" i="6"/>
  <c r="E84" i="6"/>
  <c r="K84" i="6"/>
  <c r="C85" i="6"/>
  <c r="E85" i="6" s="1"/>
  <c r="K85" i="6" s="1"/>
  <c r="C86" i="6"/>
  <c r="E86" i="6" s="1"/>
  <c r="K86" i="6" s="1"/>
  <c r="C87" i="6"/>
  <c r="E87" i="6"/>
  <c r="K87" i="6"/>
  <c r="K88" i="6"/>
  <c r="C89" i="6"/>
  <c r="E89" i="6" s="1"/>
  <c r="K89" i="6" s="1"/>
  <c r="K90" i="6"/>
  <c r="C91" i="6"/>
  <c r="E91" i="6" s="1"/>
  <c r="K91" i="6" s="1"/>
  <c r="C92" i="6"/>
  <c r="E92" i="6" s="1"/>
  <c r="K92" i="6" s="1"/>
  <c r="K93" i="6"/>
  <c r="K95" i="6"/>
  <c r="I11" i="10"/>
  <c r="I18" i="10" s="1"/>
  <c r="G93" i="6"/>
  <c r="G92" i="6"/>
  <c r="C93" i="6"/>
  <c r="I92" i="6"/>
  <c r="J92" i="6"/>
  <c r="L92" i="6"/>
  <c r="I93" i="6"/>
  <c r="J93" i="6"/>
  <c r="L93" i="6"/>
  <c r="J79" i="6"/>
  <c r="J80" i="6"/>
  <c r="J20" i="6"/>
  <c r="J21" i="6"/>
  <c r="I27" i="6"/>
  <c r="I95" i="6"/>
  <c r="I6" i="6"/>
  <c r="I7" i="6"/>
  <c r="I8" i="6"/>
  <c r="I96" i="6" s="1"/>
  <c r="I98" i="6" s="1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80" i="6"/>
  <c r="I81" i="6"/>
  <c r="I82" i="6"/>
  <c r="I83" i="6"/>
  <c r="I84" i="6"/>
  <c r="I85" i="6"/>
  <c r="I86" i="6"/>
  <c r="I87" i="6"/>
  <c r="I88" i="6"/>
  <c r="I89" i="6"/>
  <c r="I90" i="6"/>
  <c r="I91" i="6"/>
  <c r="I94" i="6"/>
  <c r="I79" i="6"/>
  <c r="J27" i="6"/>
  <c r="J95" i="6"/>
  <c r="J6" i="6"/>
  <c r="J96" i="6" s="1"/>
  <c r="J98" i="6" s="1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2" i="6"/>
  <c r="J23" i="6"/>
  <c r="J24" i="6"/>
  <c r="J25" i="6"/>
  <c r="J26" i="6"/>
  <c r="J28" i="6"/>
  <c r="J29" i="6"/>
  <c r="J30" i="6"/>
  <c r="J31" i="6"/>
  <c r="J32" i="6"/>
  <c r="J33" i="6"/>
  <c r="J34" i="6"/>
  <c r="J35" i="6"/>
  <c r="J36" i="6"/>
  <c r="J37" i="6"/>
  <c r="J38" i="6"/>
  <c r="J39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81" i="6"/>
  <c r="J82" i="6"/>
  <c r="J83" i="6"/>
  <c r="J84" i="6"/>
  <c r="J85" i="6"/>
  <c r="J86" i="6"/>
  <c r="J87" i="6"/>
  <c r="J88" i="6"/>
  <c r="J89" i="6"/>
  <c r="J90" i="6"/>
  <c r="J91" i="6"/>
  <c r="H96" i="6"/>
  <c r="H98" i="6" s="1"/>
  <c r="M96" i="6"/>
  <c r="M98" i="6"/>
  <c r="N96" i="6"/>
  <c r="N98" i="6"/>
  <c r="L98" i="6"/>
  <c r="I14" i="10"/>
  <c r="G85" i="6"/>
  <c r="G84" i="6"/>
  <c r="C73" i="6"/>
  <c r="E73" i="6" s="1"/>
  <c r="G73" i="6" s="1"/>
  <c r="G72" i="6"/>
  <c r="L72" i="6"/>
  <c r="C75" i="6"/>
  <c r="E75" i="6" s="1"/>
  <c r="G75" i="6" s="1"/>
  <c r="C69" i="6"/>
  <c r="E69" i="6"/>
  <c r="C65" i="6"/>
  <c r="E65" i="6"/>
  <c r="G65" i="6"/>
  <c r="G64" i="6"/>
  <c r="C59" i="6"/>
  <c r="E59" i="6" s="1"/>
  <c r="G59" i="6" s="1"/>
  <c r="G56" i="6"/>
  <c r="C55" i="6"/>
  <c r="E55" i="6"/>
  <c r="G55" i="6" s="1"/>
  <c r="G38" i="6"/>
  <c r="G37" i="6"/>
  <c r="G28" i="6"/>
  <c r="G19" i="6"/>
  <c r="G18" i="6"/>
  <c r="C13" i="6"/>
  <c r="E13" i="6"/>
  <c r="G13" i="6" s="1"/>
  <c r="C51" i="6"/>
  <c r="E51" i="6" s="1"/>
  <c r="G51" i="6" s="1"/>
  <c r="C53" i="6"/>
  <c r="E53" i="6" s="1"/>
  <c r="G53" i="6" s="1"/>
  <c r="C57" i="6"/>
  <c r="E57" i="6" s="1"/>
  <c r="G57" i="6" s="1"/>
  <c r="C61" i="6"/>
  <c r="E61" i="6" s="1"/>
  <c r="G61" i="6" s="1"/>
  <c r="C63" i="6"/>
  <c r="C67" i="6"/>
  <c r="E67" i="6" s="1"/>
  <c r="G67" i="6" s="1"/>
  <c r="C71" i="6"/>
  <c r="C77" i="6"/>
  <c r="C83" i="6"/>
  <c r="C88" i="6"/>
  <c r="C90" i="6"/>
  <c r="L56" i="6"/>
  <c r="L55" i="6"/>
  <c r="L54" i="6"/>
  <c r="G54" i="6"/>
  <c r="L53" i="6"/>
  <c r="L52" i="6"/>
  <c r="G52" i="6"/>
  <c r="L51" i="6"/>
  <c r="L50" i="6"/>
  <c r="G50" i="6"/>
  <c r="L49" i="6"/>
  <c r="E49" i="6"/>
  <c r="G49" i="6"/>
  <c r="L40" i="6"/>
  <c r="G40" i="6"/>
  <c r="L39" i="6"/>
  <c r="G39" i="6"/>
  <c r="L38" i="6"/>
  <c r="L37" i="6"/>
  <c r="L36" i="6"/>
  <c r="G36" i="6"/>
  <c r="L35" i="6"/>
  <c r="G35" i="6"/>
  <c r="L34" i="6"/>
  <c r="G34" i="6"/>
  <c r="L33" i="6"/>
  <c r="G33" i="6"/>
  <c r="L32" i="6"/>
  <c r="G32" i="6"/>
  <c r="L31" i="6"/>
  <c r="G31" i="6"/>
  <c r="L30" i="6"/>
  <c r="G30" i="6"/>
  <c r="L29" i="6"/>
  <c r="G29" i="6"/>
  <c r="L28" i="6"/>
  <c r="L27" i="6"/>
  <c r="G27" i="6"/>
  <c r="L26" i="6"/>
  <c r="G26" i="6"/>
  <c r="L25" i="6"/>
  <c r="G25" i="6"/>
  <c r="L24" i="6"/>
  <c r="G24" i="6"/>
  <c r="L23" i="6"/>
  <c r="G23" i="6"/>
  <c r="L22" i="6"/>
  <c r="G22" i="6"/>
  <c r="L21" i="6"/>
  <c r="G21" i="6"/>
  <c r="L20" i="6"/>
  <c r="G20" i="6"/>
  <c r="L19" i="6"/>
  <c r="L18" i="6"/>
  <c r="L17" i="6"/>
  <c r="G17" i="6"/>
  <c r="L16" i="6"/>
  <c r="G16" i="6"/>
  <c r="L15" i="6"/>
  <c r="G15" i="6"/>
  <c r="L14" i="6"/>
  <c r="G14" i="6"/>
  <c r="L13" i="6"/>
  <c r="L12" i="6"/>
  <c r="G12" i="6"/>
  <c r="L11" i="6"/>
  <c r="G11" i="6"/>
  <c r="L94" i="6"/>
  <c r="G94" i="6"/>
  <c r="L91" i="6"/>
  <c r="G91" i="6"/>
  <c r="L90" i="6"/>
  <c r="E90" i="6"/>
  <c r="G90" i="6"/>
  <c r="L89" i="6"/>
  <c r="G89" i="6"/>
  <c r="L88" i="6"/>
  <c r="E88" i="6"/>
  <c r="G88" i="6"/>
  <c r="L87" i="6"/>
  <c r="G87" i="6"/>
  <c r="L86" i="6"/>
  <c r="G86" i="6"/>
  <c r="L85" i="6"/>
  <c r="L84" i="6"/>
  <c r="L83" i="6"/>
  <c r="E83" i="6"/>
  <c r="G83" i="6"/>
  <c r="L82" i="6"/>
  <c r="G82" i="6"/>
  <c r="L81" i="6"/>
  <c r="G81" i="6"/>
  <c r="L80" i="6"/>
  <c r="G80" i="6"/>
  <c r="L79" i="6"/>
  <c r="G79" i="6"/>
  <c r="L78" i="6"/>
  <c r="G78" i="6"/>
  <c r="L77" i="6"/>
  <c r="E77" i="6"/>
  <c r="G77" i="6"/>
  <c r="L76" i="6"/>
  <c r="G76" i="6"/>
  <c r="L75" i="6"/>
  <c r="L74" i="6"/>
  <c r="G74" i="6"/>
  <c r="L73" i="6"/>
  <c r="L71" i="6"/>
  <c r="E71" i="6"/>
  <c r="G71" i="6"/>
  <c r="L70" i="6"/>
  <c r="G70" i="6"/>
  <c r="L69" i="6"/>
  <c r="G69" i="6"/>
  <c r="L68" i="6"/>
  <c r="G68" i="6"/>
  <c r="L67" i="6"/>
  <c r="L66" i="6"/>
  <c r="G66" i="6"/>
  <c r="E6" i="6"/>
  <c r="G6" i="6" s="1"/>
  <c r="I12" i="10"/>
  <c r="J16" i="10" s="1"/>
  <c r="I13" i="10"/>
  <c r="I15" i="10"/>
  <c r="I16" i="10"/>
  <c r="I27" i="10"/>
  <c r="I29" i="10" s="1"/>
  <c r="I42" i="10" s="1"/>
  <c r="I37" i="10"/>
  <c r="I38" i="10"/>
  <c r="I39" i="10"/>
  <c r="E63" i="6"/>
  <c r="G63" i="6" s="1"/>
  <c r="H16" i="8"/>
  <c r="H14" i="8"/>
  <c r="H28" i="8"/>
  <c r="H32" i="8" s="1"/>
  <c r="H21" i="8" s="1"/>
  <c r="H29" i="8"/>
  <c r="H31" i="8"/>
  <c r="H30" i="8"/>
  <c r="H27" i="8"/>
  <c r="L8" i="6"/>
  <c r="L6" i="6"/>
  <c r="L7" i="6"/>
  <c r="L9" i="6"/>
  <c r="L10" i="6"/>
  <c r="L57" i="6"/>
  <c r="L58" i="6"/>
  <c r="L60" i="6"/>
  <c r="L59" i="6"/>
  <c r="L61" i="6"/>
  <c r="L62" i="6"/>
  <c r="L63" i="6"/>
  <c r="L64" i="6"/>
  <c r="L65" i="6"/>
  <c r="L95" i="6"/>
  <c r="C16" i="9"/>
  <c r="E16" i="9" s="1"/>
  <c r="C17" i="9"/>
  <c r="E17" i="9" s="1"/>
  <c r="C11" i="9"/>
  <c r="C12" i="9"/>
  <c r="E12" i="9" s="1"/>
  <c r="C13" i="9"/>
  <c r="E13" i="9" s="1"/>
  <c r="C14" i="9"/>
  <c r="E14" i="9" s="1"/>
  <c r="C15" i="9"/>
  <c r="E15" i="9"/>
  <c r="O55" i="9"/>
  <c r="O57" i="9"/>
  <c r="H55" i="9"/>
  <c r="H57" i="9" s="1"/>
  <c r="N54" i="9"/>
  <c r="M54" i="9"/>
  <c r="L54" i="9"/>
  <c r="K54" i="9"/>
  <c r="J54" i="9"/>
  <c r="I54" i="9"/>
  <c r="G54" i="9"/>
  <c r="C54" i="9"/>
  <c r="E54" i="9" s="1"/>
  <c r="N53" i="9"/>
  <c r="M53" i="9"/>
  <c r="L53" i="9"/>
  <c r="K53" i="9"/>
  <c r="J53" i="9"/>
  <c r="I53" i="9"/>
  <c r="G53" i="9"/>
  <c r="C53" i="9"/>
  <c r="E53" i="9"/>
  <c r="N52" i="9"/>
  <c r="L52" i="9"/>
  <c r="K52" i="9"/>
  <c r="J52" i="9"/>
  <c r="I52" i="9"/>
  <c r="G52" i="9"/>
  <c r="E52" i="9"/>
  <c r="M52" i="9"/>
  <c r="N51" i="9"/>
  <c r="M51" i="9"/>
  <c r="L51" i="9"/>
  <c r="K51" i="9"/>
  <c r="J51" i="9"/>
  <c r="I51" i="9"/>
  <c r="G51" i="9"/>
  <c r="C51" i="9"/>
  <c r="E51" i="9"/>
  <c r="N50" i="9"/>
  <c r="M50" i="9"/>
  <c r="L50" i="9"/>
  <c r="K50" i="9"/>
  <c r="J50" i="9"/>
  <c r="I50" i="9"/>
  <c r="G50" i="9"/>
  <c r="C50" i="9"/>
  <c r="E50" i="9"/>
  <c r="N49" i="9"/>
  <c r="M49" i="9"/>
  <c r="L49" i="9"/>
  <c r="K49" i="9"/>
  <c r="J49" i="9"/>
  <c r="I49" i="9"/>
  <c r="G49" i="9"/>
  <c r="C49" i="9"/>
  <c r="E49" i="9"/>
  <c r="N48" i="9"/>
  <c r="M48" i="9"/>
  <c r="L48" i="9"/>
  <c r="K48" i="9"/>
  <c r="J48" i="9"/>
  <c r="I48" i="9"/>
  <c r="G48" i="9"/>
  <c r="C48" i="9"/>
  <c r="E48" i="9"/>
  <c r="N47" i="9"/>
  <c r="M47" i="9"/>
  <c r="L47" i="9"/>
  <c r="K47" i="9"/>
  <c r="J47" i="9"/>
  <c r="I47" i="9"/>
  <c r="G47" i="9"/>
  <c r="C47" i="9"/>
  <c r="E47" i="9"/>
  <c r="N46" i="9"/>
  <c r="M46" i="9"/>
  <c r="L46" i="9"/>
  <c r="K46" i="9"/>
  <c r="J46" i="9"/>
  <c r="I46" i="9"/>
  <c r="G46" i="9"/>
  <c r="C46" i="9"/>
  <c r="E46" i="9" s="1"/>
  <c r="N45" i="9"/>
  <c r="M45" i="9"/>
  <c r="L45" i="9"/>
  <c r="K45" i="9"/>
  <c r="J45" i="9"/>
  <c r="I45" i="9"/>
  <c r="G45" i="9"/>
  <c r="C45" i="9"/>
  <c r="E45" i="9" s="1"/>
  <c r="N44" i="9"/>
  <c r="M44" i="9"/>
  <c r="L44" i="9"/>
  <c r="K44" i="9"/>
  <c r="J44" i="9"/>
  <c r="I44" i="9"/>
  <c r="G44" i="9"/>
  <c r="C44" i="9"/>
  <c r="E44" i="9" s="1"/>
  <c r="N43" i="9"/>
  <c r="M43" i="9"/>
  <c r="L43" i="9"/>
  <c r="K43" i="9"/>
  <c r="J43" i="9"/>
  <c r="I43" i="9"/>
  <c r="G43" i="9"/>
  <c r="C43" i="9"/>
  <c r="E43" i="9" s="1"/>
  <c r="N42" i="9"/>
  <c r="M42" i="9"/>
  <c r="L42" i="9"/>
  <c r="K42" i="9"/>
  <c r="J42" i="9"/>
  <c r="I42" i="9"/>
  <c r="G42" i="9"/>
  <c r="C42" i="9"/>
  <c r="E42" i="9"/>
  <c r="N41" i="9"/>
  <c r="M41" i="9"/>
  <c r="L41" i="9"/>
  <c r="K41" i="9"/>
  <c r="J41" i="9"/>
  <c r="I41" i="9"/>
  <c r="G41" i="9"/>
  <c r="C41" i="9"/>
  <c r="E41" i="9"/>
  <c r="N40" i="9"/>
  <c r="M40" i="9"/>
  <c r="L40" i="9"/>
  <c r="K40" i="9"/>
  <c r="J40" i="9"/>
  <c r="I40" i="9"/>
  <c r="G40" i="9"/>
  <c r="C40" i="9"/>
  <c r="E40" i="9"/>
  <c r="N39" i="9"/>
  <c r="M39" i="9"/>
  <c r="L39" i="9"/>
  <c r="K39" i="9"/>
  <c r="J39" i="9"/>
  <c r="I39" i="9"/>
  <c r="G39" i="9"/>
  <c r="C39" i="9"/>
  <c r="E39" i="9"/>
  <c r="N38" i="9"/>
  <c r="M38" i="9"/>
  <c r="L38" i="9"/>
  <c r="K38" i="9"/>
  <c r="J38" i="9"/>
  <c r="I38" i="9"/>
  <c r="G38" i="9"/>
  <c r="C38" i="9"/>
  <c r="E38" i="9"/>
  <c r="N37" i="9"/>
  <c r="M37" i="9"/>
  <c r="L37" i="9"/>
  <c r="K37" i="9"/>
  <c r="J37" i="9"/>
  <c r="I37" i="9"/>
  <c r="G37" i="9"/>
  <c r="C37" i="9"/>
  <c r="E37" i="9"/>
  <c r="N36" i="9"/>
  <c r="M36" i="9"/>
  <c r="L36" i="9"/>
  <c r="K36" i="9"/>
  <c r="J36" i="9"/>
  <c r="I36" i="9"/>
  <c r="G36" i="9"/>
  <c r="C36" i="9"/>
  <c r="E36" i="9"/>
  <c r="N35" i="9"/>
  <c r="M35" i="9"/>
  <c r="L35" i="9"/>
  <c r="K35" i="9"/>
  <c r="J35" i="9"/>
  <c r="I35" i="9"/>
  <c r="G35" i="9"/>
  <c r="C35" i="9"/>
  <c r="E35" i="9"/>
  <c r="N34" i="9"/>
  <c r="M34" i="9"/>
  <c r="L34" i="9"/>
  <c r="K34" i="9"/>
  <c r="J34" i="9"/>
  <c r="I34" i="9"/>
  <c r="G34" i="9"/>
  <c r="C34" i="9"/>
  <c r="E34" i="9"/>
  <c r="N33" i="9"/>
  <c r="M33" i="9"/>
  <c r="L33" i="9"/>
  <c r="K33" i="9"/>
  <c r="J33" i="9"/>
  <c r="I33" i="9"/>
  <c r="G33" i="9"/>
  <c r="C33" i="9"/>
  <c r="E33" i="9"/>
  <c r="N32" i="9"/>
  <c r="M32" i="9"/>
  <c r="L32" i="9"/>
  <c r="K32" i="9"/>
  <c r="J32" i="9"/>
  <c r="I32" i="9"/>
  <c r="G32" i="9"/>
  <c r="C32" i="9"/>
  <c r="E32" i="9" s="1"/>
  <c r="N31" i="9"/>
  <c r="M31" i="9"/>
  <c r="L31" i="9"/>
  <c r="K31" i="9"/>
  <c r="J31" i="9"/>
  <c r="I31" i="9"/>
  <c r="G31" i="9"/>
  <c r="C31" i="9"/>
  <c r="E31" i="9" s="1"/>
  <c r="N30" i="9"/>
  <c r="M30" i="9"/>
  <c r="L30" i="9"/>
  <c r="K30" i="9"/>
  <c r="J30" i="9"/>
  <c r="I30" i="9"/>
  <c r="G30" i="9"/>
  <c r="C30" i="9"/>
  <c r="E30" i="9" s="1"/>
  <c r="N29" i="9"/>
  <c r="M29" i="9"/>
  <c r="L29" i="9"/>
  <c r="K29" i="9"/>
  <c r="J29" i="9"/>
  <c r="I29" i="9"/>
  <c r="G29" i="9"/>
  <c r="C29" i="9"/>
  <c r="E29" i="9" s="1"/>
  <c r="N28" i="9"/>
  <c r="M28" i="9"/>
  <c r="L28" i="9"/>
  <c r="K28" i="9"/>
  <c r="J28" i="9"/>
  <c r="I28" i="9"/>
  <c r="G28" i="9"/>
  <c r="C28" i="9"/>
  <c r="E28" i="9"/>
  <c r="N27" i="9"/>
  <c r="M27" i="9"/>
  <c r="L27" i="9"/>
  <c r="K27" i="9"/>
  <c r="J27" i="9"/>
  <c r="I27" i="9"/>
  <c r="G27" i="9"/>
  <c r="C27" i="9"/>
  <c r="E27" i="9"/>
  <c r="N26" i="9"/>
  <c r="M26" i="9"/>
  <c r="L26" i="9"/>
  <c r="K26" i="9"/>
  <c r="J26" i="9"/>
  <c r="I26" i="9"/>
  <c r="G26" i="9"/>
  <c r="C26" i="9"/>
  <c r="E26" i="9"/>
  <c r="N25" i="9"/>
  <c r="M25" i="9"/>
  <c r="L25" i="9"/>
  <c r="K25" i="9"/>
  <c r="J25" i="9"/>
  <c r="I25" i="9"/>
  <c r="G25" i="9"/>
  <c r="C25" i="9"/>
  <c r="E25" i="9"/>
  <c r="N24" i="9"/>
  <c r="M24" i="9"/>
  <c r="L24" i="9"/>
  <c r="K24" i="9"/>
  <c r="J24" i="9"/>
  <c r="I24" i="9"/>
  <c r="G24" i="9"/>
  <c r="C24" i="9"/>
  <c r="E24" i="9"/>
  <c r="N23" i="9"/>
  <c r="M23" i="9"/>
  <c r="L23" i="9"/>
  <c r="K23" i="9"/>
  <c r="J23" i="9"/>
  <c r="I23" i="9"/>
  <c r="G23" i="9"/>
  <c r="C23" i="9"/>
  <c r="E23" i="9"/>
  <c r="N22" i="9"/>
  <c r="M22" i="9"/>
  <c r="L22" i="9"/>
  <c r="K22" i="9"/>
  <c r="J22" i="9"/>
  <c r="I22" i="9"/>
  <c r="G22" i="9"/>
  <c r="C22" i="9"/>
  <c r="E22" i="9"/>
  <c r="N21" i="9"/>
  <c r="M21" i="9"/>
  <c r="L21" i="9"/>
  <c r="K21" i="9"/>
  <c r="J21" i="9"/>
  <c r="I21" i="9"/>
  <c r="G21" i="9"/>
  <c r="C21" i="9"/>
  <c r="E21" i="9"/>
  <c r="N20" i="9"/>
  <c r="M20" i="9"/>
  <c r="L20" i="9"/>
  <c r="K20" i="9"/>
  <c r="J20" i="9"/>
  <c r="I20" i="9"/>
  <c r="G20" i="9"/>
  <c r="C20" i="9"/>
  <c r="E20" i="9"/>
  <c r="N19" i="9"/>
  <c r="M19" i="9"/>
  <c r="L19" i="9"/>
  <c r="K19" i="9"/>
  <c r="J19" i="9"/>
  <c r="I19" i="9"/>
  <c r="G19" i="9"/>
  <c r="C19" i="9"/>
  <c r="E19" i="9"/>
  <c r="N18" i="9"/>
  <c r="M18" i="9"/>
  <c r="L18" i="9"/>
  <c r="K18" i="9"/>
  <c r="J18" i="9"/>
  <c r="I18" i="9"/>
  <c r="G18" i="9"/>
  <c r="C18" i="9"/>
  <c r="E18" i="9" s="1"/>
  <c r="N17" i="9"/>
  <c r="M17" i="9"/>
  <c r="L17" i="9"/>
  <c r="K17" i="9"/>
  <c r="J17" i="9"/>
  <c r="I17" i="9"/>
  <c r="G17" i="9"/>
  <c r="N16" i="9"/>
  <c r="M16" i="9"/>
  <c r="L16" i="9"/>
  <c r="K16" i="9"/>
  <c r="J16" i="9"/>
  <c r="I16" i="9"/>
  <c r="G16" i="9"/>
  <c r="N15" i="9"/>
  <c r="M15" i="9"/>
  <c r="L15" i="9"/>
  <c r="K15" i="9"/>
  <c r="J15" i="9"/>
  <c r="I15" i="9"/>
  <c r="G15" i="9"/>
  <c r="N14" i="9"/>
  <c r="M14" i="9"/>
  <c r="L14" i="9"/>
  <c r="K14" i="9"/>
  <c r="J14" i="9"/>
  <c r="J55" i="9" s="1"/>
  <c r="J57" i="9" s="1"/>
  <c r="I14" i="9"/>
  <c r="G14" i="9"/>
  <c r="N13" i="9"/>
  <c r="M13" i="9"/>
  <c r="L13" i="9"/>
  <c r="K13" i="9"/>
  <c r="I13" i="9"/>
  <c r="G13" i="9"/>
  <c r="J13" i="9"/>
  <c r="N12" i="9"/>
  <c r="L12" i="9"/>
  <c r="K12" i="9"/>
  <c r="J12" i="9"/>
  <c r="I12" i="9"/>
  <c r="M12" i="9"/>
  <c r="G12" i="9"/>
  <c r="N11" i="9"/>
  <c r="L11" i="9"/>
  <c r="K11" i="9"/>
  <c r="I11" i="9"/>
  <c r="G11" i="9"/>
  <c r="E11" i="9"/>
  <c r="M11" i="9"/>
  <c r="J11" i="9"/>
  <c r="N10" i="9"/>
  <c r="L10" i="9"/>
  <c r="K10" i="9"/>
  <c r="I10" i="9"/>
  <c r="G10" i="9"/>
  <c r="C10" i="9"/>
  <c r="E10" i="9"/>
  <c r="M10" i="9"/>
  <c r="J10" i="9"/>
  <c r="N9" i="9"/>
  <c r="L9" i="9"/>
  <c r="K9" i="9"/>
  <c r="I9" i="9"/>
  <c r="G9" i="9"/>
  <c r="E9" i="9"/>
  <c r="J9" i="9"/>
  <c r="N8" i="9"/>
  <c r="L8" i="9"/>
  <c r="K8" i="9"/>
  <c r="J8" i="9"/>
  <c r="I8" i="9"/>
  <c r="I55" i="9" s="1"/>
  <c r="I57" i="9" s="1"/>
  <c r="E8" i="9"/>
  <c r="M8" i="9"/>
  <c r="G8" i="9"/>
  <c r="N7" i="9"/>
  <c r="N55" i="9" s="1"/>
  <c r="N57" i="9" s="1"/>
  <c r="L7" i="9"/>
  <c r="L55" i="9" s="1"/>
  <c r="L57" i="9" s="1"/>
  <c r="K7" i="9"/>
  <c r="I7" i="9"/>
  <c r="G7" i="9"/>
  <c r="E7" i="9"/>
  <c r="M7" i="9"/>
  <c r="J7" i="9"/>
  <c r="N6" i="9"/>
  <c r="L6" i="9"/>
  <c r="K6" i="9"/>
  <c r="K55" i="9" s="1"/>
  <c r="K57" i="9" s="1"/>
  <c r="J6" i="9"/>
  <c r="I6" i="9"/>
  <c r="E6" i="9"/>
  <c r="E55" i="9" s="1"/>
  <c r="M6" i="9"/>
  <c r="G6" i="9"/>
  <c r="H17" i="8"/>
  <c r="H15" i="8"/>
  <c r="H13" i="8"/>
  <c r="H12" i="8"/>
  <c r="H18" i="8"/>
  <c r="G62" i="6"/>
  <c r="G60" i="6"/>
  <c r="G7" i="6"/>
  <c r="G9" i="6"/>
  <c r="G10" i="6"/>
  <c r="G58" i="6"/>
  <c r="M9" i="9"/>
  <c r="Q98" i="6"/>
  <c r="R98" i="6"/>
  <c r="G55" i="9"/>
  <c r="M55" i="9"/>
  <c r="M57" i="9" s="1"/>
  <c r="P57" i="9" l="1"/>
  <c r="P98" i="6" s="1"/>
  <c r="G96" i="6"/>
  <c r="E96" i="6"/>
  <c r="K7" i="6"/>
  <c r="K96" i="6" s="1"/>
  <c r="K98" i="6" s="1"/>
  <c r="O98" i="6" s="1"/>
  <c r="T98" i="6" s="1"/>
</calcChain>
</file>

<file path=xl/sharedStrings.xml><?xml version="1.0" encoding="utf-8"?>
<sst xmlns="http://schemas.openxmlformats.org/spreadsheetml/2006/main" count="307" uniqueCount="107">
  <si>
    <t>Date</t>
  </si>
  <si>
    <t xml:space="preserve">From </t>
  </si>
  <si>
    <t xml:space="preserve">To </t>
  </si>
  <si>
    <t>Comments</t>
  </si>
  <si>
    <t>Total:</t>
  </si>
  <si>
    <t>Inspector:</t>
  </si>
  <si>
    <t>Chief Inspector:</t>
  </si>
  <si>
    <t>Signature:</t>
  </si>
  <si>
    <t xml:space="preserve">Code </t>
  </si>
  <si>
    <t>Total (m):</t>
  </si>
  <si>
    <t>No Work         (m)</t>
  </si>
  <si>
    <t>K.D.M. Pipeline Consultants Inc.      
Clearing Unit Price Items</t>
  </si>
  <si>
    <t>UPI 2.4 Grubbing      (ha)</t>
  </si>
  <si>
    <t>UPI 2.3 Mulching   (ha)</t>
  </si>
  <si>
    <t>UPI 2.2 Burning  (ha)</t>
  </si>
  <si>
    <t>Larry Harbarenko</t>
  </si>
  <si>
    <t>Jason Ashdown</t>
  </si>
  <si>
    <t>Length (m)</t>
  </si>
  <si>
    <t>Width  (m)</t>
  </si>
  <si>
    <t>UPI 2.2 Burning- Extra Work Space    (ha)</t>
  </si>
  <si>
    <t>UPI 2.3 Mulching- Extra Work Space     (ha)</t>
  </si>
  <si>
    <t>UPI 2.4 Grubbing- Extra Work Space      (ha)</t>
  </si>
  <si>
    <t>M</t>
  </si>
  <si>
    <t>MW</t>
  </si>
  <si>
    <r>
      <t>UPI 2.1 Salvage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</si>
  <si>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2.5.1 &amp; 2.5.2</t>
  </si>
  <si>
    <r>
      <t>UPI 2.5.1 &amp; 2.5.2   Timber Hauling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</si>
  <si>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Total</t>
  </si>
  <si>
    <t>Unit Price Items</t>
  </si>
  <si>
    <t>UPI Item</t>
  </si>
  <si>
    <t>Quantity</t>
  </si>
  <si>
    <t>Description</t>
  </si>
  <si>
    <t>Location</t>
  </si>
  <si>
    <t>Price</t>
  </si>
  <si>
    <t>Overhead Powerline Crossing</t>
  </si>
  <si>
    <t>510</t>
  </si>
  <si>
    <t>Extra Work Space</t>
  </si>
  <si>
    <t>UPIs</t>
  </si>
  <si>
    <t>Extras</t>
  </si>
  <si>
    <t>TWS</t>
  </si>
  <si>
    <t>Estimate Total</t>
  </si>
  <si>
    <t>Paid all except for extras</t>
  </si>
  <si>
    <t>CNR KIRBY CONNECTION PROJECT</t>
  </si>
  <si>
    <t>Dechen Corporation</t>
  </si>
  <si>
    <t>Inter Pipeline Fund- CNR Kirby Connection Project</t>
  </si>
  <si>
    <r>
      <t>UPI 2.2 Salvage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</si>
  <si>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UPI 2.5 Mulching      (ha)</t>
  </si>
  <si>
    <t>UPI 2.3 Salvage Non-Merch (ha)</t>
  </si>
  <si>
    <t>UPI 2.4 Burn      (ha)</t>
  </si>
  <si>
    <t>UPI 2.6 Grub/Burn      (ha)</t>
  </si>
  <si>
    <t xml:space="preserve">2.7.1 </t>
  </si>
  <si>
    <t>2.7.2</t>
  </si>
  <si>
    <r>
      <t>UPI 2.7.1     Deciduous Hauling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</si>
  <si>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UPI 2.7.2   Coniferous Hauling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</si>
  <si>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NW</t>
  </si>
  <si>
    <t xml:space="preserve"> </t>
  </si>
  <si>
    <t>Timber Salvage</t>
  </si>
  <si>
    <t>KP 35 North</t>
  </si>
  <si>
    <t>KP 35 South</t>
  </si>
  <si>
    <t>Unit Prices</t>
  </si>
  <si>
    <t>Access Development &amp; Maintenance</t>
  </si>
  <si>
    <t>ROW</t>
  </si>
  <si>
    <t>Mulching</t>
  </si>
  <si>
    <t>2.7.1</t>
  </si>
  <si>
    <t>Timber Hauling Deciduous</t>
  </si>
  <si>
    <t>Timber Hauling Coniferous</t>
  </si>
  <si>
    <t>Progress Total:</t>
  </si>
  <si>
    <t>Dechen Progress Payment Summary- February 15, 2012</t>
  </si>
  <si>
    <t>Dechen Limited Partnership</t>
  </si>
  <si>
    <t>Dechen Progress Payment Summary- February 29, 2012</t>
  </si>
  <si>
    <t>Previous</t>
  </si>
  <si>
    <t>This Period</t>
  </si>
  <si>
    <t>Change Orders</t>
  </si>
  <si>
    <t>CO</t>
  </si>
  <si>
    <t>CO 1</t>
  </si>
  <si>
    <t>Cenovus LOC &amp; Pipeline</t>
  </si>
  <si>
    <t>BD1-b</t>
  </si>
  <si>
    <t>Loc 861238</t>
  </si>
  <si>
    <t>Plan 0523862</t>
  </si>
  <si>
    <t>Area cleared- SE 1/4 sec 32</t>
  </si>
  <si>
    <t>Loc 790895</t>
  </si>
  <si>
    <t>Wc7</t>
  </si>
  <si>
    <t>Area cleared- NE 1/4 sec14</t>
  </si>
  <si>
    <t>Loc 790396</t>
  </si>
  <si>
    <t>Loc 013340</t>
  </si>
  <si>
    <t>Plan 0124898</t>
  </si>
  <si>
    <t>Loc 962499</t>
  </si>
  <si>
    <t>Loc 870168</t>
  </si>
  <si>
    <t>Loc 951817</t>
  </si>
  <si>
    <t>Loc 030056</t>
  </si>
  <si>
    <t>Temporary Work Spaces</t>
  </si>
  <si>
    <t>Loc 901190</t>
  </si>
  <si>
    <t>Loc 870133</t>
  </si>
  <si>
    <t xml:space="preserve">Loc 870168 Hornet Ice Road </t>
  </si>
  <si>
    <t>TWS Included</t>
  </si>
  <si>
    <t>Primco Dene EMS Services Jan 20 to Feb 29</t>
  </si>
  <si>
    <t>Open Area</t>
  </si>
  <si>
    <t>Water course SE1/4 25-70-5-4</t>
  </si>
  <si>
    <t>Length is 97 but area is 124 x 35</t>
  </si>
  <si>
    <t/>
  </si>
  <si>
    <t>Loc 790391  &amp; Hornet Ice Road (over payment)</t>
  </si>
  <si>
    <t>Paid Jan 31 Progress (paid previously)</t>
  </si>
  <si>
    <t>Full ROW Mulching</t>
  </si>
  <si>
    <t>Loc 790392 15 m Cenovus a/r</t>
  </si>
  <si>
    <t>Mulching full ROW</t>
  </si>
  <si>
    <t>Loc 790393 &amp; p/l 0322951</t>
  </si>
  <si>
    <t>Mulching Temp. Work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</si>
</sst>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0\+000"/>
    <numFmt numFmtId="166" formatCode="[$-409]d\-mmm\-yy;@"/>
    <numFmt numFmtId="167" formatCode="0.000"/>
    <numFmt numFmtId="168" formatCode="0.0"/>
    <numFmt numFmtId="169" formatCode="&quot;$&quot;#,##0.00"/>
    <numFmt numFmtId="170" formatCode="[$-409]d\-mmm;@"/>
    <numFmt numFmtId="171" formatCode="0.00000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6">
    <xf numFmtId="0" fontId="0" fillId="0" borderId="0" xfId="0"/>
    <xf numFmtId="169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168" fontId="4" fillId="0" borderId="3" xfId="0" applyNumberFormat="1" applyFont="1" applyBorder="1" applyAlignment="1" applyProtection="1">
      <alignment horizontal="center"/>
      <protection locked="0"/>
    </xf>
    <xf numFmtId="168" fontId="4" fillId="0" borderId="4" xfId="0" applyNumberFormat="1" applyFont="1" applyBorder="1" applyAlignment="1" applyProtection="1">
      <alignment horizontal="center"/>
      <protection locked="0"/>
    </xf>
    <xf numFmtId="168" fontId="4" fillId="0" borderId="5" xfId="0" applyNumberFormat="1" applyFont="1" applyBorder="1" applyAlignment="1" applyProtection="1">
      <alignment horizontal="center"/>
      <protection locked="0"/>
    </xf>
    <xf numFmtId="168" fontId="4" fillId="0" borderId="6" xfId="0" applyNumberFormat="1" applyFont="1" applyBorder="1" applyAlignment="1" applyProtection="1">
      <alignment horizontal="center"/>
      <protection locked="0"/>
    </xf>
    <xf numFmtId="0" fontId="6" fillId="0" borderId="7" xfId="0" applyFont="1" applyBorder="1" applyAlignment="1">
      <alignment horizontal="right"/>
    </xf>
    <xf numFmtId="0" fontId="5" fillId="0" borderId="0" xfId="0" applyFont="1"/>
    <xf numFmtId="167" fontId="6" fillId="0" borderId="8" xfId="0" applyNumberFormat="1" applyFont="1" applyBorder="1"/>
    <xf numFmtId="168" fontId="4" fillId="0" borderId="9" xfId="0" applyNumberFormat="1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2" xfId="0" applyFont="1" applyBorder="1" applyAlignment="1">
      <alignment horizontal="right"/>
    </xf>
    <xf numFmtId="0" fontId="6" fillId="0" borderId="0" xfId="0" applyFont="1"/>
    <xf numFmtId="0" fontId="7" fillId="0" borderId="13" xfId="0" applyFont="1" applyBorder="1" applyAlignment="1">
      <alignment vertical="center"/>
    </xf>
    <xf numFmtId="166" fontId="4" fillId="0" borderId="14" xfId="0" applyNumberFormat="1" applyFont="1" applyBorder="1" applyAlignment="1" applyProtection="1">
      <alignment horizontal="center"/>
      <protection locked="0"/>
    </xf>
    <xf numFmtId="165" fontId="4" fillId="0" borderId="4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15" xfId="0" applyFont="1" applyBorder="1" applyAlignment="1" applyProtection="1">
      <alignment horizontal="left"/>
      <protection locked="0"/>
    </xf>
    <xf numFmtId="166" fontId="4" fillId="0" borderId="16" xfId="0" applyNumberFormat="1" applyFont="1" applyBorder="1" applyAlignment="1" applyProtection="1">
      <alignment horizontal="center"/>
      <protection locked="0"/>
    </xf>
    <xf numFmtId="165" fontId="4" fillId="0" borderId="5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7" xfId="0" applyFont="1" applyBorder="1" applyAlignment="1" applyProtection="1">
      <alignment horizontal="left"/>
      <protection locked="0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5" fontId="4" fillId="0" borderId="3" xfId="0" applyNumberFormat="1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6" xfId="0" applyNumberFormat="1" applyFont="1" applyBorder="1" applyAlignment="1" applyProtection="1">
      <alignment horizontal="center"/>
      <protection locked="0"/>
    </xf>
    <xf numFmtId="0" fontId="4" fillId="0" borderId="6" xfId="0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left"/>
      <protection locked="0"/>
    </xf>
    <xf numFmtId="166" fontId="4" fillId="0" borderId="20" xfId="0" applyNumberFormat="1" applyFont="1" applyBorder="1" applyAlignment="1" applyProtection="1">
      <alignment horizontal="center"/>
      <protection locked="0"/>
    </xf>
    <xf numFmtId="166" fontId="4" fillId="0" borderId="21" xfId="0" applyNumberFormat="1" applyFont="1" applyBorder="1" applyAlignment="1" applyProtection="1">
      <alignment horizontal="center"/>
      <protection locked="0"/>
    </xf>
    <xf numFmtId="166" fontId="4" fillId="0" borderId="22" xfId="0" applyNumberFormat="1" applyFont="1" applyBorder="1" applyAlignment="1" applyProtection="1">
      <alignment horizontal="center"/>
      <protection locked="0"/>
    </xf>
    <xf numFmtId="0" fontId="2" fillId="0" borderId="13" xfId="0" applyFont="1" applyBorder="1"/>
    <xf numFmtId="0" fontId="4" fillId="0" borderId="1" xfId="0" applyFont="1" applyBorder="1"/>
    <xf numFmtId="0" fontId="4" fillId="0" borderId="23" xfId="0" applyFont="1" applyBorder="1" applyAlignment="1">
      <alignment horizontal="center"/>
    </xf>
    <xf numFmtId="0" fontId="4" fillId="0" borderId="7" xfId="0" applyFont="1" applyBorder="1"/>
    <xf numFmtId="0" fontId="2" fillId="0" borderId="0" xfId="0" applyFont="1" applyAlignment="1">
      <alignment horizontal="right"/>
    </xf>
    <xf numFmtId="0" fontId="4" fillId="0" borderId="11" xfId="0" applyFont="1" applyBorder="1" applyAlignment="1">
      <alignment horizontal="center"/>
    </xf>
    <xf numFmtId="0" fontId="6" fillId="0" borderId="0" xfId="0" applyFont="1" applyAlignment="1">
      <alignment horizontal="right"/>
    </xf>
    <xf numFmtId="167" fontId="5" fillId="0" borderId="8" xfId="0" applyNumberFormat="1" applyFont="1" applyBorder="1" applyProtection="1">
      <protection locked="0"/>
    </xf>
    <xf numFmtId="0" fontId="4" fillId="0" borderId="11" xfId="0" applyFont="1" applyBorder="1"/>
    <xf numFmtId="0" fontId="5" fillId="0" borderId="8" xfId="0" applyFont="1" applyBorder="1"/>
    <xf numFmtId="0" fontId="6" fillId="0" borderId="8" xfId="0" applyFont="1" applyBorder="1"/>
    <xf numFmtId="0" fontId="4" fillId="0" borderId="24" xfId="0" applyFont="1" applyBorder="1"/>
    <xf numFmtId="166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167" fontId="4" fillId="0" borderId="8" xfId="0" applyNumberFormat="1" applyFont="1" applyBorder="1"/>
    <xf numFmtId="0" fontId="4" fillId="0" borderId="25" xfId="0" applyFont="1" applyBorder="1"/>
    <xf numFmtId="0" fontId="4" fillId="0" borderId="0" xfId="0" applyFont="1"/>
    <xf numFmtId="166" fontId="4" fillId="0" borderId="0" xfId="0" applyNumberFormat="1" applyFont="1" applyAlignment="1">
      <alignment horizontal="center"/>
    </xf>
    <xf numFmtId="167" fontId="4" fillId="0" borderId="0" xfId="0" applyNumberFormat="1" applyFont="1"/>
    <xf numFmtId="169" fontId="0" fillId="0" borderId="0" xfId="0" applyNumberFormat="1"/>
    <xf numFmtId="166" fontId="4" fillId="3" borderId="20" xfId="0" applyNumberFormat="1" applyFont="1" applyFill="1" applyBorder="1" applyAlignment="1" applyProtection="1">
      <alignment horizontal="center"/>
      <protection locked="0"/>
    </xf>
    <xf numFmtId="168" fontId="4" fillId="3" borderId="3" xfId="0" applyNumberFormat="1" applyFont="1" applyFill="1" applyBorder="1" applyAlignment="1" applyProtection="1">
      <alignment horizontal="center"/>
      <protection locked="0"/>
    </xf>
    <xf numFmtId="169" fontId="4" fillId="0" borderId="11" xfId="0" applyNumberFormat="1" applyFont="1" applyBorder="1" applyAlignment="1">
      <alignment horizontal="center"/>
    </xf>
    <xf numFmtId="49" fontId="4" fillId="0" borderId="5" xfId="0" applyNumberFormat="1" applyFont="1" applyBorder="1" applyAlignment="1" applyProtection="1">
      <alignment horizontal="center"/>
      <protection locked="0"/>
    </xf>
    <xf numFmtId="165" fontId="4" fillId="3" borderId="3" xfId="0" applyNumberFormat="1" applyFont="1" applyFill="1" applyBorder="1" applyAlignment="1" applyProtection="1">
      <alignment horizontal="center"/>
      <protection locked="0"/>
    </xf>
    <xf numFmtId="167" fontId="5" fillId="0" borderId="0" xfId="0" applyNumberFormat="1" applyFont="1"/>
    <xf numFmtId="0" fontId="2" fillId="4" borderId="10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169" fontId="2" fillId="4" borderId="27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8" fontId="2" fillId="5" borderId="26" xfId="0" applyNumberFormat="1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169" fontId="2" fillId="5" borderId="27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168" fontId="2" fillId="6" borderId="26" xfId="0" applyNumberFormat="1" applyFont="1" applyFill="1" applyBorder="1" applyAlignment="1">
      <alignment horizontal="center"/>
    </xf>
    <xf numFmtId="169" fontId="2" fillId="6" borderId="27" xfId="0" applyNumberFormat="1" applyFont="1" applyFill="1" applyBorder="1" applyAlignment="1">
      <alignment horizontal="center"/>
    </xf>
    <xf numFmtId="167" fontId="5" fillId="0" borderId="0" xfId="0" applyNumberFormat="1" applyFont="1" applyProtection="1">
      <protection locked="0"/>
    </xf>
    <xf numFmtId="167" fontId="6" fillId="0" borderId="0" xfId="0" applyNumberFormat="1" applyFont="1"/>
    <xf numFmtId="0" fontId="4" fillId="4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left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0" fontId="12" fillId="0" borderId="32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2" fontId="12" fillId="0" borderId="33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170" fontId="13" fillId="0" borderId="35" xfId="0" applyNumberFormat="1" applyFont="1" applyBorder="1" applyAlignment="1">
      <alignment horizontal="center"/>
    </xf>
    <xf numFmtId="2" fontId="13" fillId="0" borderId="36" xfId="0" applyNumberFormat="1" applyFont="1" applyBorder="1" applyAlignment="1">
      <alignment horizontal="center"/>
    </xf>
    <xf numFmtId="0" fontId="13" fillId="0" borderId="36" xfId="0" applyFont="1" applyBorder="1"/>
    <xf numFmtId="165" fontId="13" fillId="0" borderId="36" xfId="0" applyNumberFormat="1" applyFont="1" applyBorder="1" applyAlignment="1">
      <alignment horizontal="center"/>
    </xf>
    <xf numFmtId="44" fontId="13" fillId="0" borderId="36" xfId="1" applyFont="1" applyFill="1" applyBorder="1" applyAlignment="1">
      <alignment horizontal="center"/>
    </xf>
    <xf numFmtId="44" fontId="13" fillId="0" borderId="37" xfId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64" fontId="13" fillId="0" borderId="0" xfId="0" applyNumberFormat="1" applyFont="1"/>
    <xf numFmtId="0" fontId="13" fillId="0" borderId="0" xfId="0" applyFont="1"/>
    <xf numFmtId="44" fontId="13" fillId="0" borderId="38" xfId="1" applyFont="1" applyFill="1" applyBorder="1" applyAlignment="1">
      <alignment horizontal="center"/>
    </xf>
    <xf numFmtId="170" fontId="13" fillId="0" borderId="39" xfId="0" applyNumberFormat="1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68" fontId="13" fillId="0" borderId="40" xfId="0" applyNumberFormat="1" applyFont="1" applyBorder="1" applyAlignment="1">
      <alignment horizontal="center"/>
    </xf>
    <xf numFmtId="2" fontId="13" fillId="0" borderId="40" xfId="0" applyNumberFormat="1" applyFont="1" applyBorder="1" applyAlignment="1">
      <alignment horizontal="center"/>
    </xf>
    <xf numFmtId="165" fontId="13" fillId="0" borderId="40" xfId="0" applyNumberFormat="1" applyFont="1" applyBorder="1" applyAlignment="1">
      <alignment horizontal="center"/>
    </xf>
    <xf numFmtId="44" fontId="13" fillId="0" borderId="40" xfId="1" applyFont="1" applyFill="1" applyBorder="1" applyAlignment="1">
      <alignment horizontal="center"/>
    </xf>
    <xf numFmtId="0" fontId="14" fillId="0" borderId="0" xfId="0" applyFont="1"/>
    <xf numFmtId="0" fontId="13" fillId="0" borderId="40" xfId="0" applyFont="1" applyBorder="1"/>
    <xf numFmtId="169" fontId="13" fillId="0" borderId="0" xfId="0" applyNumberFormat="1" applyFont="1" applyAlignment="1">
      <alignment horizontal="left"/>
    </xf>
    <xf numFmtId="164" fontId="14" fillId="0" borderId="0" xfId="0" applyNumberFormat="1" applyFont="1"/>
    <xf numFmtId="0" fontId="15" fillId="0" borderId="0" xfId="0" applyFont="1" applyAlignment="1">
      <alignment horizontal="left"/>
    </xf>
    <xf numFmtId="44" fontId="13" fillId="0" borderId="40" xfId="1" applyFont="1" applyBorder="1" applyAlignment="1">
      <alignment horizontal="center"/>
    </xf>
    <xf numFmtId="44" fontId="13" fillId="0" borderId="38" xfId="1" applyFont="1" applyBorder="1" applyAlignment="1">
      <alignment horizontal="center"/>
    </xf>
    <xf numFmtId="164" fontId="13" fillId="0" borderId="40" xfId="0" applyNumberFormat="1" applyFont="1" applyBorder="1" applyAlignment="1">
      <alignment horizontal="left"/>
    </xf>
    <xf numFmtId="170" fontId="9" fillId="0" borderId="39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"/>
    </xf>
    <xf numFmtId="0" fontId="9" fillId="0" borderId="40" xfId="0" applyFont="1" applyBorder="1"/>
    <xf numFmtId="165" fontId="9" fillId="0" borderId="40" xfId="0" applyNumberFormat="1" applyFont="1" applyBorder="1" applyAlignment="1">
      <alignment horizontal="center"/>
    </xf>
    <xf numFmtId="44" fontId="9" fillId="0" borderId="40" xfId="1" applyFont="1" applyBorder="1" applyAlignment="1">
      <alignment horizontal="center"/>
    </xf>
    <xf numFmtId="44" fontId="9" fillId="0" borderId="38" xfId="1" applyFont="1" applyBorder="1" applyAlignment="1">
      <alignment horizontal="center"/>
    </xf>
    <xf numFmtId="44" fontId="9" fillId="0" borderId="40" xfId="1" applyFont="1" applyFill="1" applyBorder="1" applyAlignment="1">
      <alignment horizontal="center"/>
    </xf>
    <xf numFmtId="44" fontId="9" fillId="0" borderId="38" xfId="1" applyFont="1" applyFill="1" applyBorder="1" applyAlignment="1">
      <alignment horizontal="center"/>
    </xf>
    <xf numFmtId="164" fontId="13" fillId="0" borderId="40" xfId="0" applyNumberFormat="1" applyFont="1" applyBorder="1"/>
    <xf numFmtId="14" fontId="0" fillId="0" borderId="0" xfId="0" applyNumberFormat="1" applyAlignment="1">
      <alignment horizontal="left"/>
    </xf>
    <xf numFmtId="168" fontId="9" fillId="0" borderId="40" xfId="0" applyNumberFormat="1" applyFont="1" applyBorder="1" applyAlignment="1">
      <alignment horizontal="center"/>
    </xf>
    <xf numFmtId="164" fontId="9" fillId="0" borderId="40" xfId="0" applyNumberFormat="1" applyFont="1" applyBorder="1" applyAlignment="1">
      <alignment horizontal="left"/>
    </xf>
    <xf numFmtId="170" fontId="11" fillId="0" borderId="39" xfId="0" applyNumberFormat="1" applyFont="1" applyBorder="1" applyAlignment="1">
      <alignment horizontal="center"/>
    </xf>
    <xf numFmtId="0" fontId="0" fillId="0" borderId="40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40" xfId="0" applyBorder="1"/>
    <xf numFmtId="164" fontId="0" fillId="0" borderId="38" xfId="0" applyNumberFormat="1" applyBorder="1" applyAlignment="1">
      <alignment horizontal="center"/>
    </xf>
    <xf numFmtId="164" fontId="13" fillId="0" borderId="38" xfId="0" applyNumberFormat="1" applyFont="1" applyBorder="1" applyAlignment="1">
      <alignment horizontal="center"/>
    </xf>
    <xf numFmtId="170" fontId="0" fillId="0" borderId="39" xfId="0" applyNumberFormat="1" applyBorder="1" applyAlignment="1">
      <alignment horizontal="center"/>
    </xf>
    <xf numFmtId="170" fontId="0" fillId="0" borderId="41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10" fillId="0" borderId="42" xfId="0" applyNumberFormat="1" applyFont="1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/>
    </xf>
    <xf numFmtId="168" fontId="13" fillId="0" borderId="36" xfId="0" applyNumberFormat="1" applyFont="1" applyBorder="1" applyAlignment="1">
      <alignment horizontal="center"/>
    </xf>
    <xf numFmtId="49" fontId="4" fillId="0" borderId="3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70" fontId="13" fillId="0" borderId="41" xfId="0" applyNumberFormat="1" applyFont="1" applyBorder="1" applyAlignment="1">
      <alignment horizontal="center"/>
    </xf>
    <xf numFmtId="168" fontId="13" fillId="0" borderId="42" xfId="0" applyNumberFormat="1" applyFont="1" applyBorder="1" applyAlignment="1">
      <alignment horizontal="center"/>
    </xf>
    <xf numFmtId="2" fontId="13" fillId="0" borderId="42" xfId="0" applyNumberFormat="1" applyFont="1" applyBorder="1" applyAlignment="1">
      <alignment horizontal="center"/>
    </xf>
    <xf numFmtId="0" fontId="13" fillId="0" borderId="42" xfId="0" applyFont="1" applyBorder="1"/>
    <xf numFmtId="165" fontId="13" fillId="0" borderId="42" xfId="0" applyNumberFormat="1" applyFont="1" applyBorder="1" applyAlignment="1">
      <alignment horizontal="center"/>
    </xf>
    <xf numFmtId="44" fontId="13" fillId="0" borderId="42" xfId="1" applyFont="1" applyFill="1" applyBorder="1" applyAlignment="1">
      <alignment horizontal="center"/>
    </xf>
    <xf numFmtId="44" fontId="13" fillId="0" borderId="43" xfId="1" applyFont="1" applyFill="1" applyBorder="1" applyAlignment="1">
      <alignment horizontal="center"/>
    </xf>
    <xf numFmtId="170" fontId="13" fillId="0" borderId="44" xfId="0" applyNumberFormat="1" applyFont="1" applyBorder="1" applyAlignment="1">
      <alignment horizontal="center"/>
    </xf>
    <xf numFmtId="168" fontId="13" fillId="0" borderId="44" xfId="0" applyNumberFormat="1" applyFont="1" applyBorder="1" applyAlignment="1">
      <alignment horizontal="center"/>
    </xf>
    <xf numFmtId="2" fontId="13" fillId="0" borderId="44" xfId="0" applyNumberFormat="1" applyFont="1" applyBorder="1" applyAlignment="1">
      <alignment horizontal="center"/>
    </xf>
    <xf numFmtId="0" fontId="13" fillId="0" borderId="44" xfId="0" applyFont="1" applyBorder="1"/>
    <xf numFmtId="165" fontId="13" fillId="0" borderId="44" xfId="0" applyNumberFormat="1" applyFont="1" applyBorder="1" applyAlignment="1">
      <alignment horizontal="center"/>
    </xf>
    <xf numFmtId="44" fontId="13" fillId="0" borderId="44" xfId="1" applyFont="1" applyFill="1" applyBorder="1" applyAlignment="1">
      <alignment horizontal="center"/>
    </xf>
    <xf numFmtId="170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44" fontId="13" fillId="0" borderId="0" xfId="1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44" fontId="13" fillId="0" borderId="0" xfId="1" applyFont="1" applyBorder="1" applyAlignment="1">
      <alignment horizontal="center"/>
    </xf>
    <xf numFmtId="0" fontId="1" fillId="0" borderId="19" xfId="0" applyFont="1" applyBorder="1" applyAlignment="1" applyProtection="1">
      <alignment horizontal="left"/>
      <protection locked="0"/>
    </xf>
    <xf numFmtId="168" fontId="1" fillId="0" borderId="3" xfId="0" applyNumberFormat="1" applyFont="1" applyBorder="1" applyAlignment="1" applyProtection="1">
      <alignment horizontal="center"/>
      <protection locked="0"/>
    </xf>
    <xf numFmtId="0" fontId="7" fillId="7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2" fillId="0" borderId="19" xfId="0" applyFont="1" applyBorder="1" applyAlignment="1" applyProtection="1">
      <alignment horizontal="left"/>
      <protection locked="0"/>
    </xf>
    <xf numFmtId="44" fontId="12" fillId="0" borderId="0" xfId="1" applyFont="1" applyFill="1" applyBorder="1" applyAlignment="1">
      <alignment horizontal="center"/>
    </xf>
    <xf numFmtId="44" fontId="13" fillId="0" borderId="0" xfId="0" applyNumberFormat="1" applyFont="1" applyAlignment="1">
      <alignment horizontal="left"/>
    </xf>
    <xf numFmtId="1" fontId="13" fillId="0" borderId="36" xfId="0" applyNumberFormat="1" applyFont="1" applyBorder="1" applyAlignment="1">
      <alignment horizontal="center"/>
    </xf>
    <xf numFmtId="1" fontId="13" fillId="0" borderId="40" xfId="0" applyNumberFormat="1" applyFont="1" applyBorder="1" applyAlignment="1">
      <alignment horizontal="center"/>
    </xf>
    <xf numFmtId="168" fontId="1" fillId="0" borderId="4" xfId="0" applyNumberFormat="1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locked="0"/>
    </xf>
    <xf numFmtId="2" fontId="13" fillId="8" borderId="40" xfId="0" applyNumberFormat="1" applyFont="1" applyFill="1" applyBorder="1" applyAlignment="1">
      <alignment horizontal="center"/>
    </xf>
    <xf numFmtId="2" fontId="12" fillId="8" borderId="33" xfId="0" applyNumberFormat="1" applyFont="1" applyFill="1" applyBorder="1" applyAlignment="1">
      <alignment horizontal="center"/>
    </xf>
    <xf numFmtId="169" fontId="13" fillId="0" borderId="40" xfId="0" applyNumberFormat="1" applyFont="1" applyBorder="1" applyAlignment="1">
      <alignment horizontal="center"/>
    </xf>
    <xf numFmtId="169" fontId="13" fillId="8" borderId="40" xfId="0" applyNumberFormat="1" applyFont="1" applyFill="1" applyBorder="1" applyAlignment="1">
      <alignment horizontal="center"/>
    </xf>
    <xf numFmtId="171" fontId="13" fillId="8" borderId="40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5" fontId="1" fillId="0" borderId="3" xfId="0" applyNumberFormat="1" applyFont="1" applyBorder="1" applyAlignment="1" applyProtection="1">
      <alignment horizontal="center"/>
      <protection locked="0"/>
    </xf>
    <xf numFmtId="166" fontId="1" fillId="0" borderId="20" xfId="0" applyNumberFormat="1" applyFont="1" applyBorder="1" applyAlignment="1" applyProtection="1">
      <alignment horizontal="center"/>
      <protection locked="0"/>
    </xf>
    <xf numFmtId="0" fontId="1" fillId="6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166" fontId="6" fillId="0" borderId="7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0" fontId="5" fillId="0" borderId="8" xfId="0" applyFont="1" applyBorder="1" applyProtection="1">
      <protection locked="0"/>
    </xf>
    <xf numFmtId="0" fontId="5" fillId="0" borderId="8" xfId="0" applyFont="1" applyBorder="1"/>
    <xf numFmtId="0" fontId="6" fillId="0" borderId="0" xfId="0" applyFont="1" applyAlignment="1">
      <alignment horizontal="right"/>
    </xf>
    <xf numFmtId="0" fontId="6" fillId="0" borderId="0" xfId="0" applyFont="1"/>
    <xf numFmtId="166" fontId="2" fillId="7" borderId="26" xfId="0" applyNumberFormat="1" applyFont="1" applyFill="1" applyBorder="1" applyAlignment="1">
      <alignment horizontal="center" vertical="center" wrapText="1"/>
    </xf>
    <xf numFmtId="166" fontId="2" fillId="7" borderId="27" xfId="0" applyNumberFormat="1" applyFont="1" applyFill="1" applyBorder="1" applyAlignment="1">
      <alignment horizontal="center" vertical="center" wrapText="1"/>
    </xf>
    <xf numFmtId="166" fontId="2" fillId="7" borderId="26" xfId="0" applyNumberFormat="1" applyFont="1" applyFill="1" applyBorder="1" applyAlignment="1">
      <alignment horizontal="center" vertical="center"/>
    </xf>
    <xf numFmtId="166" fontId="2" fillId="7" borderId="27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7" borderId="1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168" fontId="13" fillId="0" borderId="53" xfId="0" applyNumberFormat="1" applyFont="1" applyBorder="1" applyAlignment="1">
      <alignment horizontal="left"/>
    </xf>
    <xf numFmtId="168" fontId="13" fillId="0" borderId="54" xfId="0" applyNumberFormat="1" applyFont="1" applyBorder="1" applyAlignment="1">
      <alignment horizontal="left"/>
    </xf>
    <xf numFmtId="168" fontId="13" fillId="0" borderId="55" xfId="0" applyNumberFormat="1" applyFont="1" applyBorder="1" applyAlignment="1">
      <alignment horizontal="left"/>
    </xf>
    <xf numFmtId="2" fontId="12" fillId="0" borderId="45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46" xfId="0" applyNumberFormat="1" applyFont="1" applyBorder="1" applyAlignment="1">
      <alignment horizontal="center"/>
    </xf>
    <xf numFmtId="2" fontId="13" fillId="0" borderId="47" xfId="0" applyNumberFormat="1" applyFont="1" applyBorder="1" applyAlignment="1">
      <alignment horizontal="center"/>
    </xf>
    <xf numFmtId="2" fontId="13" fillId="0" borderId="48" xfId="0" applyNumberFormat="1" applyFont="1" applyBorder="1" applyAlignment="1">
      <alignment horizontal="center"/>
    </xf>
    <xf numFmtId="2" fontId="13" fillId="0" borderId="49" xfId="0" applyNumberFormat="1" applyFont="1" applyBorder="1" applyAlignment="1">
      <alignment horizontal="center"/>
    </xf>
    <xf numFmtId="2" fontId="13" fillId="0" borderId="50" xfId="0" applyNumberFormat="1" applyFont="1" applyBorder="1" applyAlignment="1">
      <alignment horizontal="left"/>
    </xf>
    <xf numFmtId="2" fontId="13" fillId="0" borderId="51" xfId="0" applyNumberFormat="1" applyFont="1" applyBorder="1" applyAlignment="1">
      <alignment horizontal="left"/>
    </xf>
    <xf numFmtId="2" fontId="13" fillId="0" borderId="52" xfId="0" applyNumberFormat="1" applyFont="1" applyBorder="1" applyAlignment="1">
      <alignment horizontal="left"/>
    </xf>
    <xf numFmtId="44" fontId="13" fillId="0" borderId="50" xfId="1" applyFont="1" applyFill="1" applyBorder="1" applyAlignment="1">
      <alignment horizontal="right"/>
    </xf>
    <xf numFmtId="44" fontId="13" fillId="0" borderId="51" xfId="1" applyFont="1" applyFill="1" applyBorder="1" applyAlignment="1">
      <alignment horizontal="right"/>
    </xf>
    <xf numFmtId="44" fontId="13" fillId="0" borderId="52" xfId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0</xdr:row>
      <xdr:rowOff>66675</xdr:rowOff>
    </xdr:from>
    <xdr:to>
      <xdr:col>15</xdr:col>
      <xdr:colOff>809625</xdr:colOff>
      <xdr:row>0</xdr:row>
      <xdr:rowOff>485775</xdr:rowOff>
    </xdr:to>
    <xdr:pic>
      <xdr:nvPicPr>
        <xdr:cNvPr id="11288" name="Picture 2" descr="Logo left color.jpg">
          <a:extLst>
            <a:ext uri="{FF2B5EF4-FFF2-40B4-BE49-F238E27FC236}">
              <a16:creationId xmlns:a16="http://schemas.microsoft.com/office/drawing/2014/main" id="{00000000-0008-0000-0000-00001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66675"/>
          <a:ext cx="1514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438150</xdr:colOff>
      <xdr:row>0</xdr:row>
      <xdr:rowOff>47625</xdr:rowOff>
    </xdr:from>
    <xdr:to>
      <xdr:col>14</xdr:col>
      <xdr:colOff>1952625</xdr:colOff>
      <xdr:row>0</xdr:row>
      <xdr:rowOff>466725</xdr:rowOff>
    </xdr:to>
    <xdr:pic>
      <xdr:nvPicPr>
        <xdr:cNvPr id="8271" name="Picture 2" descr="Logo left color.jpg">
          <a:extLst>
            <a:ext uri="{FF2B5EF4-FFF2-40B4-BE49-F238E27FC236}">
              <a16:creationId xmlns:a16="http://schemas.microsoft.com/office/drawing/2014/main" id="{00000000-0008-0000-0100-00004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47625"/>
          <a:ext cx="1514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0</xdr:row>
      <xdr:rowOff>114301</xdr:rowOff>
    </xdr:from>
    <xdr:to>
      <xdr:col>4</xdr:col>
      <xdr:colOff>66675</xdr:colOff>
      <xdr:row>0</xdr:row>
      <xdr:rowOff>473704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1"/>
          <a:ext cx="1504950" cy="359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showZeros="0" zoomScaleNormal="100" workbookViewId="0">
      <pane ySplit="5" topLeftCell="A6" activePane="bottomLeft" state="frozen"/>
      <selection pane="bottomLeft" activeCell="H19" sqref="H19"/>
    </sheetView>
  </sheetViews>
  <sheetFormatPr baseColWidth="10" defaultColWidth="8.83203125" defaultRowHeight="13" x14ac:dyDescent="0.15"/>
  <cols>
    <col min="1" max="1" width="9.33203125" style="59" customWidth="1"/>
    <col min="2" max="2" width="6.6640625" style="60" customWidth="1"/>
    <col min="3" max="7" width="8.6640625" style="59" customWidth="1"/>
    <col min="8" max="8" width="10.5" style="59" customWidth="1"/>
    <col min="9" max="9" width="10.6640625" style="59" customWidth="1"/>
    <col min="10" max="10" width="10.6640625" style="61" customWidth="1"/>
    <col min="11" max="11" width="10.6640625" style="59" customWidth="1"/>
    <col min="12" max="12" width="10.6640625" style="61" customWidth="1"/>
    <col min="13" max="15" width="10.6640625" style="59" customWidth="1"/>
    <col min="16" max="16" width="24.1640625" style="59" customWidth="1"/>
    <col min="18" max="18" width="11.1640625" bestFit="1" customWidth="1"/>
  </cols>
  <sheetData>
    <row r="1" spans="1:16" ht="47.25" customHeight="1" thickBot="1" x14ac:dyDescent="0.25">
      <c r="A1" s="212"/>
      <c r="B1" s="213"/>
      <c r="C1" s="213"/>
      <c r="D1" s="213"/>
      <c r="E1" s="213"/>
      <c r="F1" s="214" t="s">
        <v>11</v>
      </c>
      <c r="G1" s="214"/>
      <c r="H1" s="214"/>
      <c r="I1" s="214"/>
      <c r="J1" s="214"/>
      <c r="K1" s="214"/>
      <c r="L1" s="214"/>
      <c r="M1" s="214"/>
      <c r="N1" s="215"/>
      <c r="O1" s="215"/>
      <c r="P1" s="216"/>
    </row>
    <row r="2" spans="1:16" ht="24" customHeight="1" thickBot="1" x14ac:dyDescent="0.2">
      <c r="A2" s="217" t="s">
        <v>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 t="s">
        <v>43</v>
      </c>
      <c r="M2" s="218"/>
      <c r="N2" s="218"/>
      <c r="O2" s="218"/>
      <c r="P2" s="218"/>
    </row>
    <row r="3" spans="1:16" ht="15.5" customHeight="1" thickBot="1" x14ac:dyDescent="0.25">
      <c r="A3" s="2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 ht="22.5" customHeight="1" x14ac:dyDescent="0.15">
      <c r="A4" s="208" t="s">
        <v>0</v>
      </c>
      <c r="B4" s="210" t="s">
        <v>8</v>
      </c>
      <c r="C4" s="200" t="s">
        <v>1</v>
      </c>
      <c r="D4" s="200" t="s">
        <v>2</v>
      </c>
      <c r="E4" s="200" t="s">
        <v>17</v>
      </c>
      <c r="F4" s="200" t="s">
        <v>18</v>
      </c>
      <c r="G4" s="200" t="s">
        <v>10</v>
      </c>
      <c r="H4" s="200" t="s">
        <v>24</v>
      </c>
      <c r="I4" s="200" t="s">
        <v>14</v>
      </c>
      <c r="J4" s="200" t="s">
        <v>13</v>
      </c>
      <c r="K4" s="200" t="s">
        <v>12</v>
      </c>
      <c r="L4" s="200" t="s">
        <v>19</v>
      </c>
      <c r="M4" s="200" t="s">
        <v>20</v>
      </c>
      <c r="N4" s="200" t="s">
        <v>21</v>
      </c>
      <c r="O4" s="200" t="s">
        <v>26</v>
      </c>
      <c r="P4" s="200" t="s">
        <v>3</v>
      </c>
    </row>
    <row r="5" spans="1:16" ht="42" customHeight="1" thickBot="1" x14ac:dyDescent="0.2">
      <c r="A5" s="209"/>
      <c r="B5" s="21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 ht="20" customHeight="1" x14ac:dyDescent="0.15">
      <c r="A6" s="40">
        <v>40442</v>
      </c>
      <c r="B6" s="4" t="s">
        <v>23</v>
      </c>
      <c r="C6" s="154" t="s">
        <v>35</v>
      </c>
      <c r="D6" s="33">
        <v>570</v>
      </c>
      <c r="E6" s="31">
        <f t="shared" ref="E6:E54" si="0">ABS(C6-D6)</f>
        <v>60</v>
      </c>
      <c r="F6" s="31">
        <v>10</v>
      </c>
      <c r="G6" s="32" t="str">
        <f t="shared" ref="G6:G54" si="1">IF(B6="NW",E6,"")</f>
        <v/>
      </c>
      <c r="H6" s="86"/>
      <c r="I6" s="77" t="str">
        <f>IF($B6="B",($E6*$F6)/10000,"")</f>
        <v/>
      </c>
      <c r="J6" s="77" t="str">
        <f>IF($B6="M",($E6*$F6)/10000,"")</f>
        <v/>
      </c>
      <c r="K6" s="77" t="str">
        <f>IF($B6="G",($E6*$F6)/10000,"")</f>
        <v/>
      </c>
      <c r="L6" s="72" t="str">
        <f>IF($B6="BW",($E6*$F6)/10000,"")</f>
        <v/>
      </c>
      <c r="M6" s="72">
        <f>IF($B6="MW",($E6*$F6)/10000,"")</f>
        <v>0.06</v>
      </c>
      <c r="N6" s="72" t="str">
        <f>IF($B6="GW",($E6*$F6)/10000,"")</f>
        <v/>
      </c>
      <c r="O6" s="90"/>
      <c r="P6" s="39" t="s">
        <v>36</v>
      </c>
    </row>
    <row r="7" spans="1:16" ht="20" customHeight="1" x14ac:dyDescent="0.15">
      <c r="A7" s="41"/>
      <c r="B7" s="7"/>
      <c r="C7" s="35">
        <v>2860</v>
      </c>
      <c r="D7" s="35"/>
      <c r="E7" s="36">
        <f t="shared" si="0"/>
        <v>2860</v>
      </c>
      <c r="F7" s="36"/>
      <c r="G7" s="37" t="str">
        <f t="shared" si="1"/>
        <v/>
      </c>
      <c r="H7" s="87"/>
      <c r="I7" s="78" t="str">
        <f t="shared" ref="I7:I54" si="2">IF($B7="B",($E7*$F7)/10000,"")</f>
        <v/>
      </c>
      <c r="J7" s="78" t="str">
        <f t="shared" ref="J7:J54" si="3">IF($B7="M",($E7*$F7)/10000,"")</f>
        <v/>
      </c>
      <c r="K7" s="78" t="str">
        <f t="shared" ref="K7:K54" si="4">IF($B7="G",($E7*$F7)/10000,"")</f>
        <v/>
      </c>
      <c r="L7" s="72" t="str">
        <f>IF($B7="BW",($E7*$F7)/10000,"")</f>
        <v/>
      </c>
      <c r="M7" s="72" t="str">
        <f>IF($B7="MW",($E7*$F7)/10000,"")</f>
        <v/>
      </c>
      <c r="N7" s="72" t="str">
        <f>IF($B7="GW",($E7*$F7)/10000,"")</f>
        <v/>
      </c>
      <c r="O7" s="91"/>
      <c r="P7" s="38" t="s">
        <v>36</v>
      </c>
    </row>
    <row r="8" spans="1:16" ht="20" customHeight="1" x14ac:dyDescent="0.15">
      <c r="A8" s="40"/>
      <c r="B8" s="4"/>
      <c r="C8" s="33">
        <v>3372</v>
      </c>
      <c r="D8" s="33"/>
      <c r="E8" s="31">
        <f t="shared" si="0"/>
        <v>3372</v>
      </c>
      <c r="F8" s="31"/>
      <c r="G8" s="32" t="str">
        <f t="shared" si="1"/>
        <v/>
      </c>
      <c r="H8" s="86"/>
      <c r="I8" s="77" t="str">
        <f t="shared" si="2"/>
        <v/>
      </c>
      <c r="J8" s="77" t="str">
        <f t="shared" si="3"/>
        <v/>
      </c>
      <c r="K8" s="77" t="str">
        <f t="shared" si="4"/>
        <v/>
      </c>
      <c r="L8" s="72" t="str">
        <f t="shared" ref="L8:L54" si="5">IF($B8="BW",($E8*$F8)/10000,"")</f>
        <v/>
      </c>
      <c r="M8" s="72" t="str">
        <f t="shared" ref="M8:M54" si="6">IF($B8="MW",($E8*$F8)/10000,"")</f>
        <v/>
      </c>
      <c r="N8" s="72" t="str">
        <f t="shared" ref="N8:N54" si="7">IF($B8="GW",($E8*$F8)/10000,"")</f>
        <v/>
      </c>
      <c r="O8" s="90"/>
      <c r="P8" s="39"/>
    </row>
    <row r="9" spans="1:16" ht="20" customHeight="1" x14ac:dyDescent="0.15">
      <c r="A9" s="40"/>
      <c r="B9" s="4"/>
      <c r="C9" s="33"/>
      <c r="D9" s="33"/>
      <c r="E9" s="31">
        <f t="shared" si="0"/>
        <v>0</v>
      </c>
      <c r="F9" s="31"/>
      <c r="G9" s="32" t="str">
        <f t="shared" si="1"/>
        <v/>
      </c>
      <c r="H9" s="86"/>
      <c r="I9" s="77" t="str">
        <f t="shared" si="2"/>
        <v/>
      </c>
      <c r="J9" s="77" t="str">
        <f t="shared" si="3"/>
        <v/>
      </c>
      <c r="K9" s="77" t="str">
        <f t="shared" si="4"/>
        <v/>
      </c>
      <c r="L9" s="72" t="str">
        <f t="shared" si="5"/>
        <v/>
      </c>
      <c r="M9" s="72" t="str">
        <f t="shared" si="6"/>
        <v/>
      </c>
      <c r="N9" s="72" t="str">
        <f t="shared" si="7"/>
        <v/>
      </c>
      <c r="O9" s="90"/>
      <c r="P9" s="39"/>
    </row>
    <row r="10" spans="1:16" ht="20" customHeight="1" x14ac:dyDescent="0.15">
      <c r="A10" s="40"/>
      <c r="B10" s="4"/>
      <c r="C10" s="33">
        <f t="shared" ref="C10:C54" si="8">SUM(D9)</f>
        <v>0</v>
      </c>
      <c r="D10" s="33"/>
      <c r="E10" s="31">
        <f t="shared" si="0"/>
        <v>0</v>
      </c>
      <c r="F10" s="31"/>
      <c r="G10" s="32" t="str">
        <f t="shared" si="1"/>
        <v/>
      </c>
      <c r="H10" s="86"/>
      <c r="I10" s="77" t="str">
        <f t="shared" si="2"/>
        <v/>
      </c>
      <c r="J10" s="77" t="str">
        <f t="shared" si="3"/>
        <v/>
      </c>
      <c r="K10" s="77" t="str">
        <f t="shared" si="4"/>
        <v/>
      </c>
      <c r="L10" s="72" t="str">
        <f t="shared" si="5"/>
        <v/>
      </c>
      <c r="M10" s="72" t="str">
        <f t="shared" si="6"/>
        <v/>
      </c>
      <c r="N10" s="72" t="str">
        <f t="shared" si="7"/>
        <v/>
      </c>
      <c r="O10" s="90"/>
      <c r="P10" s="39"/>
    </row>
    <row r="11" spans="1:16" ht="20" customHeight="1" x14ac:dyDescent="0.15">
      <c r="A11" s="40"/>
      <c r="B11" s="4"/>
      <c r="C11" s="33">
        <f t="shared" si="8"/>
        <v>0</v>
      </c>
      <c r="D11" s="33"/>
      <c r="E11" s="31">
        <f t="shared" si="0"/>
        <v>0</v>
      </c>
      <c r="F11" s="31"/>
      <c r="G11" s="32" t="str">
        <f t="shared" si="1"/>
        <v/>
      </c>
      <c r="H11" s="86"/>
      <c r="I11" s="77" t="str">
        <f t="shared" si="2"/>
        <v/>
      </c>
      <c r="J11" s="77" t="str">
        <f t="shared" si="3"/>
        <v/>
      </c>
      <c r="K11" s="77" t="str">
        <f t="shared" si="4"/>
        <v/>
      </c>
      <c r="L11" s="72" t="str">
        <f t="shared" si="5"/>
        <v/>
      </c>
      <c r="M11" s="72" t="str">
        <f t="shared" si="6"/>
        <v/>
      </c>
      <c r="N11" s="72" t="str">
        <f t="shared" si="7"/>
        <v/>
      </c>
      <c r="O11" s="90"/>
      <c r="P11" s="39"/>
    </row>
    <row r="12" spans="1:16" ht="20" customHeight="1" x14ac:dyDescent="0.15">
      <c r="A12" s="40"/>
      <c r="B12" s="4"/>
      <c r="C12" s="33">
        <f t="shared" si="8"/>
        <v>0</v>
      </c>
      <c r="D12" s="33"/>
      <c r="E12" s="31">
        <f t="shared" si="0"/>
        <v>0</v>
      </c>
      <c r="F12" s="31"/>
      <c r="G12" s="32" t="str">
        <f t="shared" si="1"/>
        <v/>
      </c>
      <c r="H12" s="86"/>
      <c r="I12" s="77" t="str">
        <f t="shared" si="2"/>
        <v/>
      </c>
      <c r="J12" s="77" t="str">
        <f t="shared" si="3"/>
        <v/>
      </c>
      <c r="K12" s="77" t="str">
        <f t="shared" si="4"/>
        <v/>
      </c>
      <c r="L12" s="72" t="str">
        <f t="shared" si="5"/>
        <v/>
      </c>
      <c r="M12" s="72" t="str">
        <f t="shared" si="6"/>
        <v/>
      </c>
      <c r="N12" s="72" t="str">
        <f t="shared" si="7"/>
        <v/>
      </c>
      <c r="O12" s="90"/>
      <c r="P12" s="39"/>
    </row>
    <row r="13" spans="1:16" ht="20" customHeight="1" x14ac:dyDescent="0.15">
      <c r="A13" s="40"/>
      <c r="B13" s="4"/>
      <c r="C13" s="33">
        <f t="shared" si="8"/>
        <v>0</v>
      </c>
      <c r="D13" s="33"/>
      <c r="E13" s="31">
        <f t="shared" si="0"/>
        <v>0</v>
      </c>
      <c r="F13" s="31"/>
      <c r="G13" s="32" t="str">
        <f t="shared" si="1"/>
        <v/>
      </c>
      <c r="H13" s="86"/>
      <c r="I13" s="77" t="str">
        <f t="shared" si="2"/>
        <v/>
      </c>
      <c r="J13" s="77" t="str">
        <f t="shared" si="3"/>
        <v/>
      </c>
      <c r="K13" s="77" t="str">
        <f t="shared" si="4"/>
        <v/>
      </c>
      <c r="L13" s="72" t="str">
        <f t="shared" si="5"/>
        <v/>
      </c>
      <c r="M13" s="72" t="str">
        <f t="shared" si="6"/>
        <v/>
      </c>
      <c r="N13" s="72" t="str">
        <f t="shared" si="7"/>
        <v/>
      </c>
      <c r="O13" s="90"/>
      <c r="P13" s="39"/>
    </row>
    <row r="14" spans="1:16" ht="20" customHeight="1" x14ac:dyDescent="0.15">
      <c r="A14" s="40"/>
      <c r="B14" s="4"/>
      <c r="C14" s="33">
        <f t="shared" si="8"/>
        <v>0</v>
      </c>
      <c r="D14" s="33"/>
      <c r="E14" s="31">
        <f t="shared" si="0"/>
        <v>0</v>
      </c>
      <c r="F14" s="31"/>
      <c r="G14" s="32" t="str">
        <f t="shared" si="1"/>
        <v/>
      </c>
      <c r="H14" s="86"/>
      <c r="I14" s="77" t="str">
        <f t="shared" si="2"/>
        <v/>
      </c>
      <c r="J14" s="77" t="str">
        <f t="shared" si="3"/>
        <v/>
      </c>
      <c r="K14" s="77" t="str">
        <f t="shared" si="4"/>
        <v/>
      </c>
      <c r="L14" s="72" t="str">
        <f t="shared" si="5"/>
        <v/>
      </c>
      <c r="M14" s="72" t="str">
        <f t="shared" si="6"/>
        <v/>
      </c>
      <c r="N14" s="72" t="str">
        <f t="shared" si="7"/>
        <v/>
      </c>
      <c r="O14" s="90"/>
      <c r="P14" s="39"/>
    </row>
    <row r="15" spans="1:16" ht="20" customHeight="1" x14ac:dyDescent="0.15">
      <c r="A15" s="40"/>
      <c r="B15" s="4"/>
      <c r="C15" s="33">
        <f t="shared" si="8"/>
        <v>0</v>
      </c>
      <c r="D15" s="33"/>
      <c r="E15" s="31">
        <f t="shared" si="0"/>
        <v>0</v>
      </c>
      <c r="F15" s="31"/>
      <c r="G15" s="32" t="str">
        <f t="shared" si="1"/>
        <v/>
      </c>
      <c r="H15" s="86"/>
      <c r="I15" s="77" t="str">
        <f t="shared" si="2"/>
        <v/>
      </c>
      <c r="J15" s="77" t="str">
        <f t="shared" si="3"/>
        <v/>
      </c>
      <c r="K15" s="77" t="str">
        <f t="shared" si="4"/>
        <v/>
      </c>
      <c r="L15" s="72" t="str">
        <f t="shared" si="5"/>
        <v/>
      </c>
      <c r="M15" s="72" t="str">
        <f t="shared" si="6"/>
        <v/>
      </c>
      <c r="N15" s="72" t="str">
        <f t="shared" si="7"/>
        <v/>
      </c>
      <c r="O15" s="90"/>
      <c r="P15" s="39"/>
    </row>
    <row r="16" spans="1:16" ht="20" customHeight="1" x14ac:dyDescent="0.15">
      <c r="A16" s="40"/>
      <c r="B16" s="4"/>
      <c r="C16" s="33">
        <f t="shared" si="8"/>
        <v>0</v>
      </c>
      <c r="D16" s="33"/>
      <c r="E16" s="31">
        <f t="shared" ref="E16" si="9">ABS(C16-D16)</f>
        <v>0</v>
      </c>
      <c r="F16" s="31"/>
      <c r="G16" s="32" t="str">
        <f t="shared" si="1"/>
        <v/>
      </c>
      <c r="H16" s="86"/>
      <c r="I16" s="77" t="str">
        <f t="shared" si="2"/>
        <v/>
      </c>
      <c r="J16" s="77" t="str">
        <f t="shared" si="3"/>
        <v/>
      </c>
      <c r="K16" s="77" t="str">
        <f t="shared" si="4"/>
        <v/>
      </c>
      <c r="L16" s="72" t="str">
        <f t="shared" si="5"/>
        <v/>
      </c>
      <c r="M16" s="72" t="str">
        <f t="shared" si="6"/>
        <v/>
      </c>
      <c r="N16" s="72" t="str">
        <f t="shared" si="7"/>
        <v/>
      </c>
      <c r="O16" s="90"/>
      <c r="P16" s="39"/>
    </row>
    <row r="17" spans="1:16" ht="20" customHeight="1" x14ac:dyDescent="0.15">
      <c r="A17" s="40"/>
      <c r="B17" s="4"/>
      <c r="C17" s="33">
        <f t="shared" si="8"/>
        <v>0</v>
      </c>
      <c r="D17" s="33"/>
      <c r="E17" s="31">
        <f t="shared" ref="E17" si="10">ABS(C17-D17)</f>
        <v>0</v>
      </c>
      <c r="F17" s="31"/>
      <c r="G17" s="32" t="str">
        <f t="shared" si="1"/>
        <v/>
      </c>
      <c r="H17" s="86"/>
      <c r="I17" s="77" t="str">
        <f t="shared" si="2"/>
        <v/>
      </c>
      <c r="J17" s="77" t="str">
        <f t="shared" si="3"/>
        <v/>
      </c>
      <c r="K17" s="77" t="str">
        <f t="shared" si="4"/>
        <v/>
      </c>
      <c r="L17" s="72" t="str">
        <f t="shared" si="5"/>
        <v/>
      </c>
      <c r="M17" s="72" t="str">
        <f t="shared" si="6"/>
        <v/>
      </c>
      <c r="N17" s="72" t="str">
        <f t="shared" si="7"/>
        <v/>
      </c>
      <c r="O17" s="90"/>
      <c r="P17" s="39"/>
    </row>
    <row r="18" spans="1:16" ht="20" customHeight="1" x14ac:dyDescent="0.15">
      <c r="A18" s="40"/>
      <c r="B18" s="4"/>
      <c r="C18" s="33">
        <f t="shared" si="8"/>
        <v>0</v>
      </c>
      <c r="D18" s="33"/>
      <c r="E18" s="31">
        <f t="shared" si="0"/>
        <v>0</v>
      </c>
      <c r="F18" s="31"/>
      <c r="G18" s="32" t="str">
        <f t="shared" si="1"/>
        <v/>
      </c>
      <c r="H18" s="86"/>
      <c r="I18" s="77" t="str">
        <f t="shared" si="2"/>
        <v/>
      </c>
      <c r="J18" s="77" t="str">
        <f t="shared" si="3"/>
        <v/>
      </c>
      <c r="K18" s="77" t="str">
        <f t="shared" si="4"/>
        <v/>
      </c>
      <c r="L18" s="72" t="str">
        <f t="shared" si="5"/>
        <v/>
      </c>
      <c r="M18" s="72" t="str">
        <f t="shared" si="6"/>
        <v/>
      </c>
      <c r="N18" s="72" t="str">
        <f t="shared" si="7"/>
        <v/>
      </c>
      <c r="O18" s="90"/>
      <c r="P18" s="39"/>
    </row>
    <row r="19" spans="1:16" ht="20" customHeight="1" x14ac:dyDescent="0.15">
      <c r="A19" s="40"/>
      <c r="B19" s="4"/>
      <c r="C19" s="33">
        <f t="shared" si="8"/>
        <v>0</v>
      </c>
      <c r="D19" s="33"/>
      <c r="E19" s="31">
        <f t="shared" si="0"/>
        <v>0</v>
      </c>
      <c r="F19" s="31"/>
      <c r="G19" s="32" t="str">
        <f t="shared" si="1"/>
        <v/>
      </c>
      <c r="H19" s="86"/>
      <c r="I19" s="77" t="str">
        <f t="shared" si="2"/>
        <v/>
      </c>
      <c r="J19" s="77" t="str">
        <f t="shared" si="3"/>
        <v/>
      </c>
      <c r="K19" s="77" t="str">
        <f t="shared" si="4"/>
        <v/>
      </c>
      <c r="L19" s="72" t="str">
        <f t="shared" si="5"/>
        <v/>
      </c>
      <c r="M19" s="72" t="str">
        <f t="shared" si="6"/>
        <v/>
      </c>
      <c r="N19" s="72" t="str">
        <f t="shared" si="7"/>
        <v/>
      </c>
      <c r="O19" s="90"/>
      <c r="P19" s="39"/>
    </row>
    <row r="20" spans="1:16" ht="20" customHeight="1" x14ac:dyDescent="0.15">
      <c r="A20" s="40"/>
      <c r="B20" s="4"/>
      <c r="C20" s="33">
        <f t="shared" si="8"/>
        <v>0</v>
      </c>
      <c r="D20" s="33"/>
      <c r="E20" s="31">
        <f t="shared" si="0"/>
        <v>0</v>
      </c>
      <c r="F20" s="31"/>
      <c r="G20" s="32" t="str">
        <f t="shared" si="1"/>
        <v/>
      </c>
      <c r="H20" s="86"/>
      <c r="I20" s="77" t="str">
        <f t="shared" si="2"/>
        <v/>
      </c>
      <c r="J20" s="77" t="str">
        <f t="shared" si="3"/>
        <v/>
      </c>
      <c r="K20" s="77" t="str">
        <f t="shared" si="4"/>
        <v/>
      </c>
      <c r="L20" s="72" t="str">
        <f t="shared" si="5"/>
        <v/>
      </c>
      <c r="M20" s="72" t="str">
        <f t="shared" si="6"/>
        <v/>
      </c>
      <c r="N20" s="72" t="str">
        <f t="shared" si="7"/>
        <v/>
      </c>
      <c r="O20" s="90"/>
      <c r="P20" s="39"/>
    </row>
    <row r="21" spans="1:16" ht="20" customHeight="1" x14ac:dyDescent="0.15">
      <c r="A21" s="40"/>
      <c r="B21"/>
      <c r="C21" s="33">
        <f t="shared" si="8"/>
        <v>0</v>
      </c>
      <c r="D21" s="33"/>
      <c r="E21" s="31">
        <f t="shared" si="0"/>
        <v>0</v>
      </c>
      <c r="F21" s="31"/>
      <c r="G21" s="32" t="str">
        <f t="shared" si="1"/>
        <v/>
      </c>
      <c r="H21" s="86"/>
      <c r="I21" s="77" t="str">
        <f t="shared" si="2"/>
        <v/>
      </c>
      <c r="J21" s="77" t="str">
        <f t="shared" si="3"/>
        <v/>
      </c>
      <c r="K21" s="77" t="str">
        <f t="shared" si="4"/>
        <v/>
      </c>
      <c r="L21" s="72" t="str">
        <f t="shared" si="5"/>
        <v/>
      </c>
      <c r="M21" s="72" t="str">
        <f t="shared" si="6"/>
        <v/>
      </c>
      <c r="N21" s="72" t="str">
        <f t="shared" si="7"/>
        <v/>
      </c>
      <c r="O21" s="90"/>
      <c r="P21" s="39"/>
    </row>
    <row r="22" spans="1:16" ht="20" customHeight="1" x14ac:dyDescent="0.15">
      <c r="A22" s="40"/>
      <c r="B22" s="4"/>
      <c r="C22" s="33">
        <f t="shared" si="8"/>
        <v>0</v>
      </c>
      <c r="D22" s="33"/>
      <c r="E22" s="31">
        <f t="shared" si="0"/>
        <v>0</v>
      </c>
      <c r="F22" s="31"/>
      <c r="G22" s="32" t="str">
        <f t="shared" si="1"/>
        <v/>
      </c>
      <c r="H22" s="86"/>
      <c r="I22" s="77" t="str">
        <f t="shared" si="2"/>
        <v/>
      </c>
      <c r="J22" s="77" t="str">
        <f t="shared" si="3"/>
        <v/>
      </c>
      <c r="K22" s="77" t="str">
        <f t="shared" si="4"/>
        <v/>
      </c>
      <c r="L22" s="72" t="str">
        <f t="shared" si="5"/>
        <v/>
      </c>
      <c r="M22" s="72" t="str">
        <f t="shared" si="6"/>
        <v/>
      </c>
      <c r="N22" s="72" t="str">
        <f t="shared" si="7"/>
        <v/>
      </c>
      <c r="O22" s="90"/>
      <c r="P22" s="39"/>
    </row>
    <row r="23" spans="1:16" ht="20" customHeight="1" x14ac:dyDescent="0.15">
      <c r="A23" s="40"/>
      <c r="B23" s="4"/>
      <c r="C23" s="33">
        <f t="shared" si="8"/>
        <v>0</v>
      </c>
      <c r="D23" s="33"/>
      <c r="E23" s="31">
        <f t="shared" si="0"/>
        <v>0</v>
      </c>
      <c r="F23" s="31"/>
      <c r="G23" s="32" t="str">
        <f t="shared" si="1"/>
        <v/>
      </c>
      <c r="H23" s="86"/>
      <c r="I23" s="77" t="str">
        <f t="shared" si="2"/>
        <v/>
      </c>
      <c r="J23" s="77" t="str">
        <f t="shared" si="3"/>
        <v/>
      </c>
      <c r="K23" s="77" t="str">
        <f t="shared" si="4"/>
        <v/>
      </c>
      <c r="L23" s="72" t="str">
        <f t="shared" si="5"/>
        <v/>
      </c>
      <c r="M23" s="72" t="str">
        <f t="shared" si="6"/>
        <v/>
      </c>
      <c r="N23" s="72" t="str">
        <f t="shared" si="7"/>
        <v/>
      </c>
      <c r="O23" s="90"/>
      <c r="P23" s="39"/>
    </row>
    <row r="24" spans="1:16" ht="20" customHeight="1" x14ac:dyDescent="0.15">
      <c r="A24" s="40"/>
      <c r="B24" s="4"/>
      <c r="C24" s="33">
        <f t="shared" si="8"/>
        <v>0</v>
      </c>
      <c r="D24" s="33"/>
      <c r="E24" s="31">
        <f t="shared" si="0"/>
        <v>0</v>
      </c>
      <c r="F24" s="31"/>
      <c r="G24" s="32" t="str">
        <f t="shared" si="1"/>
        <v/>
      </c>
      <c r="H24" s="86"/>
      <c r="I24" s="77" t="str">
        <f t="shared" si="2"/>
        <v/>
      </c>
      <c r="J24" s="77" t="str">
        <f t="shared" si="3"/>
        <v/>
      </c>
      <c r="K24" s="77" t="str">
        <f t="shared" si="4"/>
        <v/>
      </c>
      <c r="L24" s="72" t="str">
        <f t="shared" si="5"/>
        <v/>
      </c>
      <c r="M24" s="72" t="str">
        <f t="shared" si="6"/>
        <v/>
      </c>
      <c r="N24" s="72" t="str">
        <f t="shared" si="7"/>
        <v/>
      </c>
      <c r="O24" s="90"/>
      <c r="P24" s="39"/>
    </row>
    <row r="25" spans="1:16" ht="20" customHeight="1" x14ac:dyDescent="0.15">
      <c r="A25" s="40"/>
      <c r="B25" s="4"/>
      <c r="C25" s="33">
        <f t="shared" si="8"/>
        <v>0</v>
      </c>
      <c r="D25" s="33"/>
      <c r="E25" s="31">
        <f t="shared" si="0"/>
        <v>0</v>
      </c>
      <c r="F25" s="31"/>
      <c r="G25" s="32" t="str">
        <f t="shared" si="1"/>
        <v/>
      </c>
      <c r="H25" s="86"/>
      <c r="I25" s="77" t="str">
        <f t="shared" si="2"/>
        <v/>
      </c>
      <c r="J25" s="77" t="str">
        <f t="shared" si="3"/>
        <v/>
      </c>
      <c r="K25" s="77" t="str">
        <f t="shared" si="4"/>
        <v/>
      </c>
      <c r="L25" s="72" t="str">
        <f t="shared" si="5"/>
        <v/>
      </c>
      <c r="M25" s="72" t="str">
        <f t="shared" si="6"/>
        <v/>
      </c>
      <c r="N25" s="72" t="str">
        <f t="shared" si="7"/>
        <v/>
      </c>
      <c r="O25" s="90"/>
      <c r="P25" s="39"/>
    </row>
    <row r="26" spans="1:16" ht="20" customHeight="1" x14ac:dyDescent="0.15">
      <c r="A26" s="40"/>
      <c r="B26" s="4"/>
      <c r="C26" s="33">
        <f t="shared" si="8"/>
        <v>0</v>
      </c>
      <c r="D26" s="33"/>
      <c r="E26" s="31">
        <f t="shared" si="0"/>
        <v>0</v>
      </c>
      <c r="F26" s="31"/>
      <c r="G26" s="32" t="str">
        <f t="shared" si="1"/>
        <v/>
      </c>
      <c r="H26" s="86"/>
      <c r="I26" s="77" t="str">
        <f t="shared" si="2"/>
        <v/>
      </c>
      <c r="J26" s="77" t="str">
        <f t="shared" si="3"/>
        <v/>
      </c>
      <c r="K26" s="77" t="str">
        <f t="shared" si="4"/>
        <v/>
      </c>
      <c r="L26" s="72" t="str">
        <f t="shared" si="5"/>
        <v/>
      </c>
      <c r="M26" s="72" t="str">
        <f t="shared" si="6"/>
        <v/>
      </c>
      <c r="N26" s="72" t="str">
        <f t="shared" si="7"/>
        <v/>
      </c>
      <c r="O26" s="90"/>
      <c r="P26" s="39"/>
    </row>
    <row r="27" spans="1:16" ht="20" customHeight="1" x14ac:dyDescent="0.15">
      <c r="A27" s="40"/>
      <c r="B27" s="4"/>
      <c r="C27" s="33">
        <f t="shared" si="8"/>
        <v>0</v>
      </c>
      <c r="D27" s="33"/>
      <c r="E27" s="31">
        <f t="shared" si="0"/>
        <v>0</v>
      </c>
      <c r="F27" s="31"/>
      <c r="G27" s="32" t="str">
        <f t="shared" si="1"/>
        <v/>
      </c>
      <c r="H27" s="86"/>
      <c r="I27" s="77" t="str">
        <f t="shared" si="2"/>
        <v/>
      </c>
      <c r="J27" s="77" t="str">
        <f t="shared" si="3"/>
        <v/>
      </c>
      <c r="K27" s="77" t="str">
        <f t="shared" si="4"/>
        <v/>
      </c>
      <c r="L27" s="72" t="str">
        <f t="shared" si="5"/>
        <v/>
      </c>
      <c r="M27" s="72" t="str">
        <f t="shared" si="6"/>
        <v/>
      </c>
      <c r="N27" s="72" t="str">
        <f t="shared" si="7"/>
        <v/>
      </c>
      <c r="O27" s="90"/>
      <c r="P27" s="39"/>
    </row>
    <row r="28" spans="1:16" ht="20" customHeight="1" x14ac:dyDescent="0.15">
      <c r="A28" s="40"/>
      <c r="B28" s="4"/>
      <c r="C28" s="33">
        <f t="shared" si="8"/>
        <v>0</v>
      </c>
      <c r="D28" s="33"/>
      <c r="E28" s="31">
        <f t="shared" si="0"/>
        <v>0</v>
      </c>
      <c r="F28" s="31"/>
      <c r="G28" s="32" t="str">
        <f t="shared" si="1"/>
        <v/>
      </c>
      <c r="H28" s="86"/>
      <c r="I28" s="77" t="str">
        <f t="shared" si="2"/>
        <v/>
      </c>
      <c r="J28" s="77" t="str">
        <f t="shared" si="3"/>
        <v/>
      </c>
      <c r="K28" s="77" t="str">
        <f t="shared" si="4"/>
        <v/>
      </c>
      <c r="L28" s="72" t="str">
        <f t="shared" si="5"/>
        <v/>
      </c>
      <c r="M28" s="72" t="str">
        <f t="shared" si="6"/>
        <v/>
      </c>
      <c r="N28" s="72" t="str">
        <f t="shared" si="7"/>
        <v/>
      </c>
      <c r="O28" s="90"/>
      <c r="P28" s="39"/>
    </row>
    <row r="29" spans="1:16" ht="20" customHeight="1" x14ac:dyDescent="0.15">
      <c r="A29" s="40"/>
      <c r="B29" s="4"/>
      <c r="C29" s="33">
        <f t="shared" si="8"/>
        <v>0</v>
      </c>
      <c r="D29" s="33"/>
      <c r="E29" s="31">
        <f t="shared" si="0"/>
        <v>0</v>
      </c>
      <c r="F29" s="31"/>
      <c r="G29" s="31" t="str">
        <f t="shared" si="1"/>
        <v/>
      </c>
      <c r="H29" s="86"/>
      <c r="I29" s="77" t="str">
        <f t="shared" si="2"/>
        <v/>
      </c>
      <c r="J29" s="77" t="str">
        <f t="shared" si="3"/>
        <v/>
      </c>
      <c r="K29" s="77" t="str">
        <f t="shared" si="4"/>
        <v/>
      </c>
      <c r="L29" s="72" t="str">
        <f t="shared" si="5"/>
        <v/>
      </c>
      <c r="M29" s="72" t="str">
        <f t="shared" si="6"/>
        <v/>
      </c>
      <c r="N29" s="72" t="str">
        <f t="shared" si="7"/>
        <v/>
      </c>
      <c r="O29" s="90"/>
      <c r="P29" s="39"/>
    </row>
    <row r="30" spans="1:16" ht="20" customHeight="1" x14ac:dyDescent="0.15">
      <c r="A30" s="40"/>
      <c r="B30" s="4"/>
      <c r="C30" s="33">
        <f t="shared" si="8"/>
        <v>0</v>
      </c>
      <c r="D30" s="33"/>
      <c r="E30" s="31">
        <f t="shared" si="0"/>
        <v>0</v>
      </c>
      <c r="F30" s="31"/>
      <c r="G30" s="31" t="str">
        <f t="shared" si="1"/>
        <v/>
      </c>
      <c r="H30" s="86"/>
      <c r="I30" s="77" t="str">
        <f t="shared" si="2"/>
        <v/>
      </c>
      <c r="J30" s="77" t="str">
        <f t="shared" si="3"/>
        <v/>
      </c>
      <c r="K30" s="77" t="str">
        <f t="shared" si="4"/>
        <v/>
      </c>
      <c r="L30" s="72" t="str">
        <f t="shared" si="5"/>
        <v/>
      </c>
      <c r="M30" s="72" t="str">
        <f t="shared" si="6"/>
        <v/>
      </c>
      <c r="N30" s="72" t="str">
        <f t="shared" si="7"/>
        <v/>
      </c>
      <c r="O30" s="90"/>
      <c r="P30" s="39"/>
    </row>
    <row r="31" spans="1:16" ht="20" customHeight="1" x14ac:dyDescent="0.15">
      <c r="A31" s="40"/>
      <c r="B31" s="4"/>
      <c r="C31" s="33">
        <f t="shared" si="8"/>
        <v>0</v>
      </c>
      <c r="D31" s="33"/>
      <c r="E31" s="31">
        <f t="shared" si="0"/>
        <v>0</v>
      </c>
      <c r="F31" s="31"/>
      <c r="G31" s="31" t="str">
        <f t="shared" si="1"/>
        <v/>
      </c>
      <c r="H31" s="86"/>
      <c r="I31" s="77" t="str">
        <f t="shared" si="2"/>
        <v/>
      </c>
      <c r="J31" s="77" t="str">
        <f t="shared" si="3"/>
        <v/>
      </c>
      <c r="K31" s="77" t="str">
        <f t="shared" si="4"/>
        <v/>
      </c>
      <c r="L31" s="72" t="str">
        <f t="shared" si="5"/>
        <v/>
      </c>
      <c r="M31" s="72" t="str">
        <f t="shared" si="6"/>
        <v/>
      </c>
      <c r="N31" s="72" t="str">
        <f t="shared" si="7"/>
        <v/>
      </c>
      <c r="O31" s="90"/>
      <c r="P31" s="39"/>
    </row>
    <row r="32" spans="1:16" ht="20" customHeight="1" x14ac:dyDescent="0.15">
      <c r="A32" s="40"/>
      <c r="B32" s="4"/>
      <c r="C32" s="33">
        <f t="shared" si="8"/>
        <v>0</v>
      </c>
      <c r="D32" s="33"/>
      <c r="E32" s="31">
        <f t="shared" si="0"/>
        <v>0</v>
      </c>
      <c r="F32" s="31"/>
      <c r="G32" s="31" t="str">
        <f t="shared" si="1"/>
        <v/>
      </c>
      <c r="H32" s="86"/>
      <c r="I32" s="77" t="str">
        <f t="shared" si="2"/>
        <v/>
      </c>
      <c r="J32" s="77" t="str">
        <f t="shared" si="3"/>
        <v/>
      </c>
      <c r="K32" s="77" t="str">
        <f t="shared" si="4"/>
        <v/>
      </c>
      <c r="L32" s="72" t="str">
        <f t="shared" si="5"/>
        <v/>
      </c>
      <c r="M32" s="72" t="str">
        <f t="shared" si="6"/>
        <v/>
      </c>
      <c r="N32" s="72" t="str">
        <f t="shared" si="7"/>
        <v/>
      </c>
      <c r="O32" s="90"/>
      <c r="P32" s="39"/>
    </row>
    <row r="33" spans="1:16" ht="20" customHeight="1" x14ac:dyDescent="0.15">
      <c r="A33" s="40"/>
      <c r="B33" s="4"/>
      <c r="C33" s="33">
        <f t="shared" si="8"/>
        <v>0</v>
      </c>
      <c r="D33" s="33"/>
      <c r="E33" s="31">
        <f t="shared" si="0"/>
        <v>0</v>
      </c>
      <c r="F33" s="31"/>
      <c r="G33" s="31" t="str">
        <f t="shared" si="1"/>
        <v/>
      </c>
      <c r="H33" s="86"/>
      <c r="I33" s="77" t="str">
        <f t="shared" si="2"/>
        <v/>
      </c>
      <c r="J33" s="77" t="str">
        <f t="shared" si="3"/>
        <v/>
      </c>
      <c r="K33" s="77" t="str">
        <f t="shared" si="4"/>
        <v/>
      </c>
      <c r="L33" s="72" t="str">
        <f t="shared" si="5"/>
        <v/>
      </c>
      <c r="M33" s="72" t="str">
        <f t="shared" si="6"/>
        <v/>
      </c>
      <c r="N33" s="72" t="str">
        <f t="shared" si="7"/>
        <v/>
      </c>
      <c r="O33" s="90"/>
      <c r="P33" s="39"/>
    </row>
    <row r="34" spans="1:16" ht="20" customHeight="1" x14ac:dyDescent="0.15">
      <c r="A34" s="40"/>
      <c r="B34" s="4"/>
      <c r="C34" s="33">
        <f t="shared" si="8"/>
        <v>0</v>
      </c>
      <c r="D34" s="33"/>
      <c r="E34" s="31">
        <f t="shared" si="0"/>
        <v>0</v>
      </c>
      <c r="F34" s="31"/>
      <c r="G34" s="31" t="str">
        <f t="shared" si="1"/>
        <v/>
      </c>
      <c r="H34" s="86"/>
      <c r="I34" s="77" t="str">
        <f t="shared" si="2"/>
        <v/>
      </c>
      <c r="J34" s="77" t="str">
        <f t="shared" si="3"/>
        <v/>
      </c>
      <c r="K34" s="77" t="str">
        <f t="shared" si="4"/>
        <v/>
      </c>
      <c r="L34" s="72" t="str">
        <f t="shared" si="5"/>
        <v/>
      </c>
      <c r="M34" s="72" t="str">
        <f t="shared" si="6"/>
        <v/>
      </c>
      <c r="N34" s="72" t="str">
        <f t="shared" si="7"/>
        <v/>
      </c>
      <c r="O34" s="90"/>
      <c r="P34" s="39"/>
    </row>
    <row r="35" spans="1:16" ht="20" customHeight="1" x14ac:dyDescent="0.15">
      <c r="A35" s="40"/>
      <c r="B35" s="4"/>
      <c r="C35" s="33">
        <f t="shared" si="8"/>
        <v>0</v>
      </c>
      <c r="D35" s="33"/>
      <c r="E35" s="31">
        <f t="shared" si="0"/>
        <v>0</v>
      </c>
      <c r="F35" s="31"/>
      <c r="G35" s="31" t="str">
        <f t="shared" si="1"/>
        <v/>
      </c>
      <c r="H35" s="86"/>
      <c r="I35" s="77" t="str">
        <f t="shared" si="2"/>
        <v/>
      </c>
      <c r="J35" s="77" t="str">
        <f t="shared" si="3"/>
        <v/>
      </c>
      <c r="K35" s="77" t="str">
        <f t="shared" si="4"/>
        <v/>
      </c>
      <c r="L35" s="72" t="str">
        <f t="shared" si="5"/>
        <v/>
      </c>
      <c r="M35" s="72" t="str">
        <f t="shared" si="6"/>
        <v/>
      </c>
      <c r="N35" s="72" t="str">
        <f t="shared" si="7"/>
        <v/>
      </c>
      <c r="O35" s="90"/>
      <c r="P35" s="39"/>
    </row>
    <row r="36" spans="1:16" ht="20" customHeight="1" x14ac:dyDescent="0.15">
      <c r="A36" s="40"/>
      <c r="B36" s="4"/>
      <c r="C36" s="33">
        <f t="shared" si="8"/>
        <v>0</v>
      </c>
      <c r="D36" s="33"/>
      <c r="E36" s="31">
        <f t="shared" si="0"/>
        <v>0</v>
      </c>
      <c r="F36" s="31"/>
      <c r="G36" s="31" t="str">
        <f t="shared" si="1"/>
        <v/>
      </c>
      <c r="H36" s="86"/>
      <c r="I36" s="77" t="str">
        <f t="shared" si="2"/>
        <v/>
      </c>
      <c r="J36" s="77" t="str">
        <f t="shared" si="3"/>
        <v/>
      </c>
      <c r="K36" s="77" t="str">
        <f t="shared" si="4"/>
        <v/>
      </c>
      <c r="L36" s="72" t="str">
        <f t="shared" si="5"/>
        <v/>
      </c>
      <c r="M36" s="72" t="str">
        <f t="shared" si="6"/>
        <v/>
      </c>
      <c r="N36" s="72" t="str">
        <f t="shared" si="7"/>
        <v/>
      </c>
      <c r="O36" s="90"/>
      <c r="P36" s="39"/>
    </row>
    <row r="37" spans="1:16" ht="20" customHeight="1" x14ac:dyDescent="0.15">
      <c r="A37" s="40"/>
      <c r="B37" s="4"/>
      <c r="C37" s="33">
        <f t="shared" si="8"/>
        <v>0</v>
      </c>
      <c r="D37" s="33"/>
      <c r="E37" s="31">
        <f t="shared" si="0"/>
        <v>0</v>
      </c>
      <c r="F37" s="31"/>
      <c r="G37" s="31" t="str">
        <f t="shared" si="1"/>
        <v/>
      </c>
      <c r="H37" s="86"/>
      <c r="I37" s="77" t="str">
        <f t="shared" si="2"/>
        <v/>
      </c>
      <c r="J37" s="77" t="str">
        <f t="shared" si="3"/>
        <v/>
      </c>
      <c r="K37" s="77" t="str">
        <f t="shared" si="4"/>
        <v/>
      </c>
      <c r="L37" s="72" t="str">
        <f t="shared" si="5"/>
        <v/>
      </c>
      <c r="M37" s="72" t="str">
        <f t="shared" si="6"/>
        <v/>
      </c>
      <c r="N37" s="72" t="str">
        <f t="shared" si="7"/>
        <v/>
      </c>
      <c r="O37" s="90"/>
      <c r="P37" s="39"/>
    </row>
    <row r="38" spans="1:16" ht="20" customHeight="1" x14ac:dyDescent="0.15">
      <c r="A38" s="40"/>
      <c r="B38" s="4"/>
      <c r="C38" s="33">
        <f t="shared" si="8"/>
        <v>0</v>
      </c>
      <c r="D38" s="33"/>
      <c r="E38" s="31">
        <f t="shared" si="0"/>
        <v>0</v>
      </c>
      <c r="F38" s="31"/>
      <c r="G38" s="31" t="str">
        <f t="shared" si="1"/>
        <v/>
      </c>
      <c r="H38" s="86"/>
      <c r="I38" s="77" t="str">
        <f t="shared" si="2"/>
        <v/>
      </c>
      <c r="J38" s="77" t="str">
        <f t="shared" si="3"/>
        <v/>
      </c>
      <c r="K38" s="77" t="str">
        <f t="shared" si="4"/>
        <v/>
      </c>
      <c r="L38" s="72" t="str">
        <f t="shared" si="5"/>
        <v/>
      </c>
      <c r="M38" s="72" t="str">
        <f t="shared" si="6"/>
        <v/>
      </c>
      <c r="N38" s="72" t="str">
        <f t="shared" si="7"/>
        <v/>
      </c>
      <c r="O38" s="90"/>
      <c r="P38" s="39"/>
    </row>
    <row r="39" spans="1:16" ht="20" customHeight="1" x14ac:dyDescent="0.15">
      <c r="A39" s="40"/>
      <c r="B39" s="4"/>
      <c r="C39" s="33">
        <f t="shared" si="8"/>
        <v>0</v>
      </c>
      <c r="D39" s="33"/>
      <c r="E39" s="31">
        <f t="shared" si="0"/>
        <v>0</v>
      </c>
      <c r="F39" s="31"/>
      <c r="G39" s="31" t="str">
        <f t="shared" si="1"/>
        <v/>
      </c>
      <c r="H39" s="86"/>
      <c r="I39" s="77" t="str">
        <f t="shared" si="2"/>
        <v/>
      </c>
      <c r="J39" s="77" t="str">
        <f t="shared" si="3"/>
        <v/>
      </c>
      <c r="K39" s="77" t="str">
        <f t="shared" si="4"/>
        <v/>
      </c>
      <c r="L39" s="72" t="str">
        <f t="shared" si="5"/>
        <v/>
      </c>
      <c r="M39" s="72" t="str">
        <f t="shared" si="6"/>
        <v/>
      </c>
      <c r="N39" s="72" t="str">
        <f t="shared" si="7"/>
        <v/>
      </c>
      <c r="O39" s="90"/>
      <c r="P39" s="39"/>
    </row>
    <row r="40" spans="1:16" ht="20" customHeight="1" x14ac:dyDescent="0.15">
      <c r="A40" s="40"/>
      <c r="B40" s="4"/>
      <c r="C40" s="33">
        <f t="shared" si="8"/>
        <v>0</v>
      </c>
      <c r="D40" s="33"/>
      <c r="E40" s="31">
        <f t="shared" si="0"/>
        <v>0</v>
      </c>
      <c r="F40" s="31"/>
      <c r="G40" s="32" t="str">
        <f t="shared" si="1"/>
        <v/>
      </c>
      <c r="H40" s="86"/>
      <c r="I40" s="77" t="str">
        <f t="shared" si="2"/>
        <v/>
      </c>
      <c r="J40" s="77" t="str">
        <f t="shared" si="3"/>
        <v/>
      </c>
      <c r="K40" s="77" t="str">
        <f t="shared" si="4"/>
        <v/>
      </c>
      <c r="L40" s="72" t="str">
        <f t="shared" si="5"/>
        <v/>
      </c>
      <c r="M40" s="72" t="str">
        <f t="shared" si="6"/>
        <v/>
      </c>
      <c r="N40" s="72" t="str">
        <f t="shared" si="7"/>
        <v/>
      </c>
      <c r="O40" s="90"/>
      <c r="P40" s="39"/>
    </row>
    <row r="41" spans="1:16" ht="20" customHeight="1" x14ac:dyDescent="0.15">
      <c r="A41" s="40"/>
      <c r="B41" s="4"/>
      <c r="C41" s="33">
        <f t="shared" si="8"/>
        <v>0</v>
      </c>
      <c r="D41" s="33"/>
      <c r="E41" s="31">
        <f t="shared" si="0"/>
        <v>0</v>
      </c>
      <c r="F41" s="31"/>
      <c r="G41" s="32" t="str">
        <f t="shared" si="1"/>
        <v/>
      </c>
      <c r="H41" s="86"/>
      <c r="I41" s="77" t="str">
        <f t="shared" si="2"/>
        <v/>
      </c>
      <c r="J41" s="77" t="str">
        <f t="shared" si="3"/>
        <v/>
      </c>
      <c r="K41" s="77" t="str">
        <f t="shared" si="4"/>
        <v/>
      </c>
      <c r="L41" s="72" t="str">
        <f t="shared" si="5"/>
        <v/>
      </c>
      <c r="M41" s="72" t="str">
        <f t="shared" si="6"/>
        <v/>
      </c>
      <c r="N41" s="72" t="str">
        <f t="shared" si="7"/>
        <v/>
      </c>
      <c r="O41" s="90"/>
      <c r="P41" s="39"/>
    </row>
    <row r="42" spans="1:16" ht="20" customHeight="1" x14ac:dyDescent="0.15">
      <c r="A42" s="40"/>
      <c r="B42" s="4"/>
      <c r="C42" s="33">
        <f t="shared" si="8"/>
        <v>0</v>
      </c>
      <c r="D42" s="33"/>
      <c r="E42" s="31">
        <f t="shared" si="0"/>
        <v>0</v>
      </c>
      <c r="F42" s="31"/>
      <c r="G42" s="32" t="str">
        <f t="shared" si="1"/>
        <v/>
      </c>
      <c r="H42" s="86"/>
      <c r="I42" s="77" t="str">
        <f t="shared" si="2"/>
        <v/>
      </c>
      <c r="J42" s="77" t="str">
        <f t="shared" si="3"/>
        <v/>
      </c>
      <c r="K42" s="77" t="str">
        <f t="shared" si="4"/>
        <v/>
      </c>
      <c r="L42" s="72" t="str">
        <f t="shared" si="5"/>
        <v/>
      </c>
      <c r="M42" s="72" t="str">
        <f t="shared" si="6"/>
        <v/>
      </c>
      <c r="N42" s="72" t="str">
        <f t="shared" si="7"/>
        <v/>
      </c>
      <c r="O42" s="90"/>
      <c r="P42" s="39"/>
    </row>
    <row r="43" spans="1:16" ht="20" customHeight="1" x14ac:dyDescent="0.15">
      <c r="A43" s="40"/>
      <c r="B43" s="4"/>
      <c r="C43" s="33">
        <f t="shared" si="8"/>
        <v>0</v>
      </c>
      <c r="D43" s="33"/>
      <c r="E43" s="31">
        <f t="shared" si="0"/>
        <v>0</v>
      </c>
      <c r="F43" s="31"/>
      <c r="G43" s="32" t="str">
        <f t="shared" si="1"/>
        <v/>
      </c>
      <c r="H43" s="86"/>
      <c r="I43" s="77" t="str">
        <f t="shared" si="2"/>
        <v/>
      </c>
      <c r="J43" s="77" t="str">
        <f t="shared" si="3"/>
        <v/>
      </c>
      <c r="K43" s="77" t="str">
        <f t="shared" si="4"/>
        <v/>
      </c>
      <c r="L43" s="72" t="str">
        <f t="shared" si="5"/>
        <v/>
      </c>
      <c r="M43" s="72" t="str">
        <f t="shared" si="6"/>
        <v/>
      </c>
      <c r="N43" s="72" t="str">
        <f t="shared" si="7"/>
        <v/>
      </c>
      <c r="O43" s="90"/>
      <c r="P43" s="39"/>
    </row>
    <row r="44" spans="1:16" ht="20" customHeight="1" x14ac:dyDescent="0.15">
      <c r="A44" s="40"/>
      <c r="B44" s="4"/>
      <c r="C44" s="33">
        <f t="shared" si="8"/>
        <v>0</v>
      </c>
      <c r="D44" s="33"/>
      <c r="E44" s="31">
        <f t="shared" si="0"/>
        <v>0</v>
      </c>
      <c r="F44" s="31"/>
      <c r="G44" s="32" t="str">
        <f t="shared" si="1"/>
        <v/>
      </c>
      <c r="H44" s="86"/>
      <c r="I44" s="77" t="str">
        <f t="shared" si="2"/>
        <v/>
      </c>
      <c r="J44" s="77" t="str">
        <f t="shared" si="3"/>
        <v/>
      </c>
      <c r="K44" s="77" t="str">
        <f t="shared" si="4"/>
        <v/>
      </c>
      <c r="L44" s="72" t="str">
        <f t="shared" si="5"/>
        <v/>
      </c>
      <c r="M44" s="72" t="str">
        <f t="shared" si="6"/>
        <v/>
      </c>
      <c r="N44" s="72" t="str">
        <f t="shared" si="7"/>
        <v/>
      </c>
      <c r="O44" s="90"/>
      <c r="P44" s="39"/>
    </row>
    <row r="45" spans="1:16" ht="20" customHeight="1" x14ac:dyDescent="0.15">
      <c r="A45" s="40"/>
      <c r="B45" s="4"/>
      <c r="C45" s="33">
        <f t="shared" si="8"/>
        <v>0</v>
      </c>
      <c r="D45" s="33"/>
      <c r="E45" s="31">
        <f t="shared" si="0"/>
        <v>0</v>
      </c>
      <c r="F45" s="31"/>
      <c r="G45" s="32" t="str">
        <f t="shared" si="1"/>
        <v/>
      </c>
      <c r="H45" s="86"/>
      <c r="I45" s="77" t="str">
        <f t="shared" si="2"/>
        <v/>
      </c>
      <c r="J45" s="77" t="str">
        <f t="shared" si="3"/>
        <v/>
      </c>
      <c r="K45" s="77" t="str">
        <f t="shared" si="4"/>
        <v/>
      </c>
      <c r="L45" s="72" t="str">
        <f t="shared" si="5"/>
        <v/>
      </c>
      <c r="M45" s="72" t="str">
        <f t="shared" si="6"/>
        <v/>
      </c>
      <c r="N45" s="72" t="str">
        <f t="shared" si="7"/>
        <v/>
      </c>
      <c r="O45" s="90"/>
      <c r="P45" s="39"/>
    </row>
    <row r="46" spans="1:16" ht="20" customHeight="1" x14ac:dyDescent="0.15">
      <c r="A46" s="40"/>
      <c r="B46" s="4"/>
      <c r="C46" s="33">
        <f t="shared" si="8"/>
        <v>0</v>
      </c>
      <c r="D46" s="33"/>
      <c r="E46" s="31">
        <f t="shared" si="0"/>
        <v>0</v>
      </c>
      <c r="F46" s="31"/>
      <c r="G46" s="32" t="str">
        <f t="shared" si="1"/>
        <v/>
      </c>
      <c r="H46" s="86"/>
      <c r="I46" s="77" t="str">
        <f t="shared" si="2"/>
        <v/>
      </c>
      <c r="J46" s="77" t="str">
        <f t="shared" si="3"/>
        <v/>
      </c>
      <c r="K46" s="77" t="str">
        <f t="shared" si="4"/>
        <v/>
      </c>
      <c r="L46" s="72" t="str">
        <f t="shared" si="5"/>
        <v/>
      </c>
      <c r="M46" s="72" t="str">
        <f t="shared" si="6"/>
        <v/>
      </c>
      <c r="N46" s="72" t="str">
        <f t="shared" si="7"/>
        <v/>
      </c>
      <c r="O46" s="90"/>
      <c r="P46" s="39"/>
    </row>
    <row r="47" spans="1:16" ht="20" customHeight="1" x14ac:dyDescent="0.15">
      <c r="A47" s="40"/>
      <c r="B47" s="4"/>
      <c r="C47" s="33">
        <f t="shared" si="8"/>
        <v>0</v>
      </c>
      <c r="D47" s="33"/>
      <c r="E47" s="31">
        <f t="shared" si="0"/>
        <v>0</v>
      </c>
      <c r="F47" s="31"/>
      <c r="G47" s="32" t="str">
        <f t="shared" si="1"/>
        <v/>
      </c>
      <c r="H47" s="86"/>
      <c r="I47" s="77" t="str">
        <f t="shared" si="2"/>
        <v/>
      </c>
      <c r="J47" s="77" t="str">
        <f t="shared" si="3"/>
        <v/>
      </c>
      <c r="K47" s="77" t="str">
        <f t="shared" si="4"/>
        <v/>
      </c>
      <c r="L47" s="72" t="str">
        <f t="shared" si="5"/>
        <v/>
      </c>
      <c r="M47" s="72" t="str">
        <f t="shared" si="6"/>
        <v/>
      </c>
      <c r="N47" s="72" t="str">
        <f t="shared" si="7"/>
        <v/>
      </c>
      <c r="O47" s="90"/>
      <c r="P47" s="39"/>
    </row>
    <row r="48" spans="1:16" ht="20" customHeight="1" x14ac:dyDescent="0.15">
      <c r="A48" s="21"/>
      <c r="B48" s="5"/>
      <c r="C48" s="22">
        <f t="shared" si="8"/>
        <v>0</v>
      </c>
      <c r="D48" s="22"/>
      <c r="E48" s="23">
        <f t="shared" si="0"/>
        <v>0</v>
      </c>
      <c r="F48" s="23"/>
      <c r="G48" s="24" t="str">
        <f t="shared" si="1"/>
        <v/>
      </c>
      <c r="H48" s="88"/>
      <c r="I48" s="79" t="str">
        <f t="shared" si="2"/>
        <v/>
      </c>
      <c r="J48" s="79" t="str">
        <f t="shared" si="3"/>
        <v/>
      </c>
      <c r="K48" s="79" t="str">
        <f t="shared" si="4"/>
        <v/>
      </c>
      <c r="L48" s="72" t="str">
        <f t="shared" si="5"/>
        <v/>
      </c>
      <c r="M48" s="72" t="str">
        <f t="shared" si="6"/>
        <v/>
      </c>
      <c r="N48" s="72" t="str">
        <f t="shared" si="7"/>
        <v/>
      </c>
      <c r="O48" s="92"/>
      <c r="P48" s="25"/>
    </row>
    <row r="49" spans="1:18" ht="20" customHeight="1" x14ac:dyDescent="0.15">
      <c r="A49" s="40"/>
      <c r="B49" s="4"/>
      <c r="C49" s="33">
        <f t="shared" si="8"/>
        <v>0</v>
      </c>
      <c r="D49" s="33"/>
      <c r="E49" s="31">
        <f t="shared" si="0"/>
        <v>0</v>
      </c>
      <c r="F49" s="31"/>
      <c r="G49" s="32" t="str">
        <f t="shared" si="1"/>
        <v/>
      </c>
      <c r="H49" s="86"/>
      <c r="I49" s="77" t="str">
        <f t="shared" si="2"/>
        <v/>
      </c>
      <c r="J49" s="77" t="str">
        <f t="shared" si="3"/>
        <v/>
      </c>
      <c r="K49" s="77" t="str">
        <f t="shared" si="4"/>
        <v/>
      </c>
      <c r="L49" s="72" t="str">
        <f t="shared" si="5"/>
        <v/>
      </c>
      <c r="M49" s="72" t="str">
        <f t="shared" si="6"/>
        <v/>
      </c>
      <c r="N49" s="72" t="str">
        <f t="shared" si="7"/>
        <v/>
      </c>
      <c r="O49" s="90"/>
      <c r="P49" s="39"/>
    </row>
    <row r="50" spans="1:18" ht="20" customHeight="1" x14ac:dyDescent="0.15">
      <c r="A50" s="26"/>
      <c r="B50" s="6"/>
      <c r="C50" s="33">
        <f t="shared" si="8"/>
        <v>0</v>
      </c>
      <c r="D50" s="66"/>
      <c r="E50" s="28">
        <f t="shared" si="0"/>
        <v>0</v>
      </c>
      <c r="F50" s="28"/>
      <c r="G50" s="29" t="str">
        <f t="shared" si="1"/>
        <v/>
      </c>
      <c r="H50" s="89"/>
      <c r="I50" s="77" t="str">
        <f t="shared" si="2"/>
        <v/>
      </c>
      <c r="J50" s="77" t="str">
        <f t="shared" si="3"/>
        <v/>
      </c>
      <c r="K50" s="77" t="str">
        <f t="shared" si="4"/>
        <v/>
      </c>
      <c r="L50" s="72" t="str">
        <f t="shared" si="5"/>
        <v/>
      </c>
      <c r="M50" s="72" t="str">
        <f t="shared" si="6"/>
        <v/>
      </c>
      <c r="N50" s="72" t="str">
        <f t="shared" si="7"/>
        <v/>
      </c>
      <c r="O50" s="93"/>
      <c r="P50" s="30"/>
    </row>
    <row r="51" spans="1:18" ht="20" customHeight="1" x14ac:dyDescent="0.15">
      <c r="A51" s="26"/>
      <c r="B51" s="6"/>
      <c r="C51" s="33">
        <f t="shared" si="8"/>
        <v>0</v>
      </c>
      <c r="D51" s="27"/>
      <c r="E51" s="28">
        <f t="shared" si="0"/>
        <v>0</v>
      </c>
      <c r="F51" s="28"/>
      <c r="G51" s="29" t="str">
        <f t="shared" si="1"/>
        <v/>
      </c>
      <c r="H51" s="89"/>
      <c r="I51" s="77" t="str">
        <f t="shared" si="2"/>
        <v/>
      </c>
      <c r="J51" s="77" t="str">
        <f t="shared" si="3"/>
        <v/>
      </c>
      <c r="K51" s="77" t="str">
        <f t="shared" si="4"/>
        <v/>
      </c>
      <c r="L51" s="72" t="str">
        <f t="shared" si="5"/>
        <v/>
      </c>
      <c r="M51" s="72" t="str">
        <f t="shared" si="6"/>
        <v/>
      </c>
      <c r="N51" s="72" t="str">
        <f t="shared" si="7"/>
        <v/>
      </c>
      <c r="O51" s="93"/>
      <c r="P51" s="30"/>
    </row>
    <row r="52" spans="1:18" ht="20" customHeight="1" x14ac:dyDescent="0.15">
      <c r="A52" s="63">
        <v>40442</v>
      </c>
      <c r="B52" s="64" t="s">
        <v>23</v>
      </c>
      <c r="C52" s="33">
        <v>19286</v>
      </c>
      <c r="D52" s="67">
        <v>19346</v>
      </c>
      <c r="E52" s="31">
        <f t="shared" si="0"/>
        <v>60</v>
      </c>
      <c r="F52" s="31">
        <v>10</v>
      </c>
      <c r="G52" s="32" t="str">
        <f t="shared" si="1"/>
        <v/>
      </c>
      <c r="H52" s="86"/>
      <c r="I52" s="77" t="str">
        <f t="shared" si="2"/>
        <v/>
      </c>
      <c r="J52" s="77" t="str">
        <f t="shared" si="3"/>
        <v/>
      </c>
      <c r="K52" s="77" t="str">
        <f t="shared" si="4"/>
        <v/>
      </c>
      <c r="L52" s="72" t="str">
        <f t="shared" si="5"/>
        <v/>
      </c>
      <c r="M52" s="72">
        <f t="shared" si="6"/>
        <v>0.06</v>
      </c>
      <c r="N52" s="72" t="str">
        <f t="shared" si="7"/>
        <v/>
      </c>
      <c r="O52" s="90"/>
      <c r="P52" s="39"/>
    </row>
    <row r="53" spans="1:18" ht="20" customHeight="1" x14ac:dyDescent="0.15">
      <c r="A53" s="63"/>
      <c r="B53" s="64"/>
      <c r="C53" s="33">
        <f t="shared" si="8"/>
        <v>19346</v>
      </c>
      <c r="D53" s="67"/>
      <c r="E53" s="31">
        <f t="shared" si="0"/>
        <v>19346</v>
      </c>
      <c r="F53" s="31"/>
      <c r="G53" s="32" t="str">
        <f t="shared" si="1"/>
        <v/>
      </c>
      <c r="H53" s="86"/>
      <c r="I53" s="77" t="str">
        <f t="shared" si="2"/>
        <v/>
      </c>
      <c r="J53" s="77" t="str">
        <f t="shared" si="3"/>
        <v/>
      </c>
      <c r="K53" s="77" t="str">
        <f t="shared" si="4"/>
        <v/>
      </c>
      <c r="L53" s="72" t="str">
        <f t="shared" si="5"/>
        <v/>
      </c>
      <c r="M53" s="72" t="str">
        <f t="shared" si="6"/>
        <v/>
      </c>
      <c r="N53" s="72" t="str">
        <f t="shared" si="7"/>
        <v/>
      </c>
      <c r="O53" s="90"/>
      <c r="P53" s="39"/>
    </row>
    <row r="54" spans="1:18" ht="20" customHeight="1" thickBot="1" x14ac:dyDescent="0.2">
      <c r="A54" s="42"/>
      <c r="B54" s="11"/>
      <c r="C54" s="34">
        <f t="shared" si="8"/>
        <v>0</v>
      </c>
      <c r="D54" s="35"/>
      <c r="E54" s="36">
        <f t="shared" si="0"/>
        <v>0</v>
      </c>
      <c r="F54" s="36"/>
      <c r="G54" s="37" t="str">
        <f t="shared" si="1"/>
        <v/>
      </c>
      <c r="H54" s="87"/>
      <c r="I54" s="77" t="str">
        <f t="shared" si="2"/>
        <v/>
      </c>
      <c r="J54" s="77" t="str">
        <f t="shared" si="3"/>
        <v/>
      </c>
      <c r="K54" s="77" t="str">
        <f t="shared" si="4"/>
        <v/>
      </c>
      <c r="L54" s="72" t="str">
        <f t="shared" si="5"/>
        <v/>
      </c>
      <c r="M54" s="72" t="str">
        <f t="shared" si="6"/>
        <v/>
      </c>
      <c r="N54" s="72" t="str">
        <f t="shared" si="7"/>
        <v/>
      </c>
      <c r="O54" s="91"/>
      <c r="P54" s="38"/>
    </row>
    <row r="55" spans="1:18" ht="21" customHeight="1" thickBot="1" x14ac:dyDescent="0.2">
      <c r="A55" s="43"/>
      <c r="B55" s="44"/>
      <c r="C55" s="44"/>
      <c r="D55" s="12" t="s">
        <v>9</v>
      </c>
      <c r="E55" s="14">
        <f>SUM(E6:E54)</f>
        <v>25698</v>
      </c>
      <c r="F55" s="13"/>
      <c r="G55" s="14">
        <f t="shared" ref="G55:O55" si="11">SUM(G6:G54)</f>
        <v>0</v>
      </c>
      <c r="H55" s="69">
        <f t="shared" si="11"/>
        <v>0</v>
      </c>
      <c r="I55" s="80">
        <f t="shared" si="11"/>
        <v>0</v>
      </c>
      <c r="J55" s="80">
        <f t="shared" si="11"/>
        <v>0</v>
      </c>
      <c r="K55" s="80">
        <f t="shared" si="11"/>
        <v>0</v>
      </c>
      <c r="L55" s="73">
        <f t="shared" si="11"/>
        <v>0</v>
      </c>
      <c r="M55" s="73">
        <f t="shared" si="11"/>
        <v>0.12</v>
      </c>
      <c r="N55" s="73">
        <f t="shared" si="11"/>
        <v>0</v>
      </c>
      <c r="O55" s="69">
        <f t="shared" si="11"/>
        <v>0</v>
      </c>
      <c r="P55" s="45"/>
      <c r="R55" s="45"/>
    </row>
    <row r="56" spans="1:18" ht="24.75" customHeight="1" x14ac:dyDescent="0.15">
      <c r="A56" s="46"/>
      <c r="B56" s="47"/>
      <c r="C56" s="17"/>
      <c r="D56" s="17"/>
      <c r="E56" s="17"/>
      <c r="F56" s="17"/>
      <c r="G56" s="18"/>
      <c r="H56" s="70">
        <v>2.1</v>
      </c>
      <c r="I56" s="81">
        <v>2.2000000000000002</v>
      </c>
      <c r="J56" s="82">
        <v>2.2999999999999998</v>
      </c>
      <c r="K56" s="81">
        <v>2.4</v>
      </c>
      <c r="L56" s="74">
        <v>2.2000000000000002</v>
      </c>
      <c r="M56" s="75">
        <v>2.2999999999999998</v>
      </c>
      <c r="N56" s="75">
        <v>2.4</v>
      </c>
      <c r="O56" s="94" t="s">
        <v>25</v>
      </c>
      <c r="P56" s="48"/>
    </row>
    <row r="57" spans="1:18" ht="24.75" customHeight="1" thickBot="1" x14ac:dyDescent="0.2">
      <c r="A57" s="46"/>
      <c r="B57" s="47"/>
      <c r="C57" s="17"/>
      <c r="D57" s="17"/>
      <c r="E57" s="17"/>
      <c r="F57" s="17"/>
      <c r="G57" s="15" t="s">
        <v>4</v>
      </c>
      <c r="H57" s="71">
        <f>(H55*40)</f>
        <v>0</v>
      </c>
      <c r="I57" s="83">
        <f>(I55*6300)</f>
        <v>0</v>
      </c>
      <c r="J57" s="83">
        <f>(J55*5500)</f>
        <v>0</v>
      </c>
      <c r="K57" s="83">
        <f>(K55*6000)</f>
        <v>0</v>
      </c>
      <c r="L57" s="76">
        <f>(L55*6300)</f>
        <v>0</v>
      </c>
      <c r="M57" s="76">
        <f>(M55*5500)</f>
        <v>660</v>
      </c>
      <c r="N57" s="76">
        <f>(N55*6000)</f>
        <v>0</v>
      </c>
      <c r="O57" s="71">
        <f>(O55*45)</f>
        <v>0</v>
      </c>
      <c r="P57" s="65">
        <f>SUM(I57:N57)</f>
        <v>660</v>
      </c>
      <c r="R57" s="62"/>
    </row>
    <row r="58" spans="1:18" ht="10.5" customHeight="1" x14ac:dyDescent="0.15">
      <c r="A58" s="46"/>
      <c r="B58" s="47"/>
      <c r="C58" s="17"/>
      <c r="D58" s="17"/>
      <c r="E58" s="17"/>
      <c r="F58" s="17"/>
      <c r="G58" s="16"/>
      <c r="H58" s="16"/>
      <c r="I58" s="1"/>
      <c r="J58" s="1"/>
      <c r="K58" s="1"/>
      <c r="L58" s="1"/>
      <c r="M58" s="1"/>
      <c r="N58" s="1"/>
      <c r="O58" s="1"/>
      <c r="P58" s="48"/>
    </row>
    <row r="59" spans="1:18" ht="15.75" customHeight="1" thickBot="1" x14ac:dyDescent="0.2">
      <c r="A59" s="202" t="s">
        <v>5</v>
      </c>
      <c r="B59" s="203"/>
      <c r="C59" s="204" t="s">
        <v>16</v>
      </c>
      <c r="D59" s="205"/>
      <c r="E59" s="9"/>
      <c r="F59" s="9"/>
      <c r="G59" s="9"/>
      <c r="H59" s="9"/>
      <c r="I59" s="206"/>
      <c r="J59" s="206"/>
      <c r="K59" s="206" t="s">
        <v>6</v>
      </c>
      <c r="L59" s="206"/>
      <c r="M59" s="50" t="s">
        <v>15</v>
      </c>
      <c r="N59" s="50"/>
      <c r="O59" s="84"/>
      <c r="P59" s="51"/>
    </row>
    <row r="60" spans="1:18" ht="10.5" customHeight="1" x14ac:dyDescent="0.15">
      <c r="A60" s="8"/>
      <c r="B60" s="9"/>
      <c r="C60" s="9"/>
      <c r="D60" s="9"/>
      <c r="E60" s="9"/>
      <c r="F60" s="9"/>
      <c r="G60" s="9"/>
      <c r="H60" s="9"/>
      <c r="I60" s="207"/>
      <c r="J60" s="207"/>
      <c r="K60" s="207"/>
      <c r="L60" s="207"/>
      <c r="M60" s="9"/>
      <c r="N60" s="9"/>
      <c r="O60" s="9"/>
      <c r="P60" s="51"/>
    </row>
    <row r="61" spans="1:18" ht="15" thickBot="1" x14ac:dyDescent="0.2">
      <c r="A61" s="202" t="s">
        <v>7</v>
      </c>
      <c r="B61" s="203"/>
      <c r="C61" s="52"/>
      <c r="D61" s="52"/>
      <c r="E61" s="9"/>
      <c r="F61" s="9"/>
      <c r="G61" s="9"/>
      <c r="H61" s="9"/>
      <c r="I61" s="19"/>
      <c r="J61" s="68"/>
      <c r="K61" s="9"/>
      <c r="L61" s="49" t="s">
        <v>7</v>
      </c>
      <c r="M61" s="53"/>
      <c r="N61" s="10"/>
      <c r="O61" s="85"/>
      <c r="P61" s="51"/>
    </row>
    <row r="62" spans="1:18" ht="10.5" customHeight="1" thickBot="1" x14ac:dyDescent="0.2">
      <c r="A62" s="54"/>
      <c r="B62" s="55"/>
      <c r="C62" s="56"/>
      <c r="D62" s="56"/>
      <c r="E62" s="56"/>
      <c r="F62" s="56"/>
      <c r="G62" s="56"/>
      <c r="H62" s="56"/>
      <c r="I62" s="56"/>
      <c r="J62" s="57"/>
      <c r="K62" s="56"/>
      <c r="L62" s="57"/>
      <c r="M62" s="56"/>
      <c r="N62" s="56"/>
      <c r="O62" s="56"/>
      <c r="P62" s="58"/>
    </row>
  </sheetData>
  <mergeCells count="28">
    <mergeCell ref="A1:E1"/>
    <mergeCell ref="F1:M1"/>
    <mergeCell ref="N1:P1"/>
    <mergeCell ref="A2:E2"/>
    <mergeCell ref="F2:K2"/>
    <mergeCell ref="L2:P2"/>
    <mergeCell ref="I60:L60"/>
    <mergeCell ref="A61:B61"/>
    <mergeCell ref="M4:M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N4:N5"/>
    <mergeCell ref="O4:O5"/>
    <mergeCell ref="P4:P5"/>
    <mergeCell ref="A59:B59"/>
    <mergeCell ref="C59:D59"/>
    <mergeCell ref="I59:J59"/>
    <mergeCell ref="K59:L59"/>
    <mergeCell ref="K4:K5"/>
    <mergeCell ref="L4:L5"/>
  </mergeCells>
  <pageMargins left="0.74803149606299202" right="0.511811023622047" top="0.33" bottom="0.35" header="0.31" footer="0.26"/>
  <pageSetup scale="75" orientation="landscape" verticalDpi="0" r:id="rId1"/>
  <headerFooter alignWithMargins="0"/>
  <rowBreaks count="1" manualBreakCount="1">
    <brk id="32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showZeros="0" zoomScaleNormal="100" workbookViewId="0">
      <pane ySplit="5" topLeftCell="A15" activePane="bottomLeft" state="frozen"/>
      <selection pane="bottomLeft" activeCell="J44" sqref="J44"/>
    </sheetView>
  </sheetViews>
  <sheetFormatPr baseColWidth="10" defaultColWidth="8.83203125" defaultRowHeight="13" x14ac:dyDescent="0.15"/>
  <cols>
    <col min="1" max="1" width="9.6640625" style="59" customWidth="1"/>
    <col min="2" max="2" width="6.6640625" style="60" customWidth="1"/>
    <col min="3" max="7" width="8.6640625" style="59" customWidth="1"/>
    <col min="8" max="8" width="11.33203125" style="59" customWidth="1"/>
    <col min="9" max="9" width="10.6640625" style="59" customWidth="1"/>
    <col min="10" max="10" width="10.6640625" style="61" customWidth="1"/>
    <col min="11" max="11" width="12.83203125" style="59" customWidth="1"/>
    <col min="12" max="13" width="10.6640625" style="59" customWidth="1"/>
    <col min="14" max="14" width="11.83203125" style="59" customWidth="1"/>
    <col min="15" max="15" width="40.6640625" style="59" customWidth="1"/>
    <col min="16" max="16" width="10.5" bestFit="1" customWidth="1"/>
    <col min="17" max="17" width="13.5" bestFit="1" customWidth="1"/>
    <col min="18" max="18" width="11.5" bestFit="1" customWidth="1"/>
    <col min="20" max="20" width="11.33203125" bestFit="1" customWidth="1"/>
  </cols>
  <sheetData>
    <row r="1" spans="1:15" ht="47.25" customHeight="1" thickBot="1" x14ac:dyDescent="0.25">
      <c r="A1" s="212"/>
      <c r="B1" s="213"/>
      <c r="C1" s="213"/>
      <c r="D1" s="213"/>
      <c r="E1" s="213"/>
      <c r="F1" s="214" t="s">
        <v>11</v>
      </c>
      <c r="G1" s="214"/>
      <c r="H1" s="214"/>
      <c r="I1" s="214"/>
      <c r="J1" s="214"/>
      <c r="K1" s="214"/>
      <c r="L1" s="214"/>
      <c r="M1" s="214"/>
      <c r="N1" s="215"/>
      <c r="O1" s="216"/>
    </row>
    <row r="2" spans="1:15" ht="24" customHeight="1" thickBot="1" x14ac:dyDescent="0.2">
      <c r="A2" s="217" t="s">
        <v>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178"/>
      <c r="M2" s="218" t="s">
        <v>68</v>
      </c>
      <c r="N2" s="218"/>
      <c r="O2" s="219"/>
    </row>
    <row r="3" spans="1:15" ht="15.5" customHeight="1" thickBot="1" x14ac:dyDescent="0.25">
      <c r="A3" s="2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1:15" ht="22.5" customHeight="1" x14ac:dyDescent="0.15">
      <c r="A4" s="208" t="s">
        <v>0</v>
      </c>
      <c r="B4" s="210" t="s">
        <v>8</v>
      </c>
      <c r="C4" s="200" t="s">
        <v>1</v>
      </c>
      <c r="D4" s="200" t="s">
        <v>2</v>
      </c>
      <c r="E4" s="200" t="s">
        <v>17</v>
      </c>
      <c r="F4" s="200" t="s">
        <v>18</v>
      </c>
      <c r="G4" s="200" t="s">
        <v>10</v>
      </c>
      <c r="H4" s="200" t="s">
        <v>45</v>
      </c>
      <c r="I4" s="200" t="s">
        <v>47</v>
      </c>
      <c r="J4" s="200" t="s">
        <v>48</v>
      </c>
      <c r="K4" s="200" t="s">
        <v>46</v>
      </c>
      <c r="L4" s="200" t="s">
        <v>49</v>
      </c>
      <c r="M4" s="200" t="s">
        <v>52</v>
      </c>
      <c r="N4" s="200" t="s">
        <v>53</v>
      </c>
      <c r="O4" s="200" t="s">
        <v>3</v>
      </c>
    </row>
    <row r="5" spans="1:15" ht="42" customHeight="1" thickBot="1" x14ac:dyDescent="0.2">
      <c r="A5" s="209"/>
      <c r="B5" s="21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</row>
    <row r="6" spans="1:15" ht="20" customHeight="1" x14ac:dyDescent="0.15">
      <c r="A6" s="40">
        <v>40968</v>
      </c>
      <c r="B6" s="177" t="s">
        <v>54</v>
      </c>
      <c r="C6" s="33">
        <v>18410</v>
      </c>
      <c r="D6" s="33">
        <v>18430</v>
      </c>
      <c r="E6" s="31">
        <f t="shared" ref="E6:E65" si="0">ABS(C6-D6)</f>
        <v>20</v>
      </c>
      <c r="F6" s="31">
        <v>35</v>
      </c>
      <c r="G6" s="32">
        <f t="shared" ref="G6:G65" si="1">IF(B6="NW",E6,"")</f>
        <v>20</v>
      </c>
      <c r="H6" s="86"/>
      <c r="I6" s="77" t="str">
        <f t="shared" ref="I6:I95" si="2">IF($B6="S",($E6*$F6)/10000,"")</f>
        <v/>
      </c>
      <c r="J6" s="77" t="str">
        <f t="shared" ref="J6:J95" si="3">IF($B6="B",($E6*$F6)/10000,"")</f>
        <v/>
      </c>
      <c r="K6" s="77" t="str">
        <f t="shared" ref="K6:K95" si="4">IF($B6="M",($E6*$F6)/10000,"")</f>
        <v/>
      </c>
      <c r="L6" s="77" t="str">
        <f t="shared" ref="L6:L95" si="5">IF($B6="G",($E6*$F6)/10000,"")</f>
        <v/>
      </c>
      <c r="M6" s="90"/>
      <c r="N6" s="90"/>
      <c r="O6" s="176" t="s">
        <v>96</v>
      </c>
    </row>
    <row r="7" spans="1:15" ht="20" customHeight="1" x14ac:dyDescent="0.15">
      <c r="A7" s="40"/>
      <c r="B7" s="177" t="s">
        <v>22</v>
      </c>
      <c r="C7" s="33">
        <f t="shared" ref="C7:C78" si="6">SUM(D6)</f>
        <v>18430</v>
      </c>
      <c r="D7" s="33">
        <v>18540</v>
      </c>
      <c r="E7" s="31">
        <f t="shared" si="0"/>
        <v>110</v>
      </c>
      <c r="F7" s="31">
        <v>60</v>
      </c>
      <c r="G7" s="32" t="str">
        <f t="shared" si="1"/>
        <v/>
      </c>
      <c r="H7" s="86"/>
      <c r="I7" s="77" t="str">
        <f t="shared" si="2"/>
        <v/>
      </c>
      <c r="J7" s="77" t="str">
        <f t="shared" si="3"/>
        <v/>
      </c>
      <c r="K7" s="77">
        <f t="shared" si="4"/>
        <v>0.66</v>
      </c>
      <c r="L7" s="77" t="str">
        <f t="shared" si="5"/>
        <v/>
      </c>
      <c r="M7" s="90"/>
      <c r="N7" s="90"/>
      <c r="O7" s="176" t="s">
        <v>94</v>
      </c>
    </row>
    <row r="8" spans="1:15" ht="20" customHeight="1" x14ac:dyDescent="0.15">
      <c r="A8" s="40"/>
      <c r="B8" s="177" t="s">
        <v>22</v>
      </c>
      <c r="C8" s="33">
        <f t="shared" si="6"/>
        <v>18540</v>
      </c>
      <c r="D8" s="33">
        <v>18600</v>
      </c>
      <c r="E8" s="31">
        <f t="shared" si="0"/>
        <v>60</v>
      </c>
      <c r="F8" s="31">
        <v>40</v>
      </c>
      <c r="G8" s="32"/>
      <c r="H8" s="86"/>
      <c r="I8" s="77" t="str">
        <f t="shared" si="2"/>
        <v/>
      </c>
      <c r="J8" s="77" t="str">
        <f t="shared" si="3"/>
        <v/>
      </c>
      <c r="K8" s="77">
        <f t="shared" si="4"/>
        <v>0.24</v>
      </c>
      <c r="L8" s="77" t="str">
        <f t="shared" si="5"/>
        <v/>
      </c>
      <c r="M8" s="90"/>
      <c r="N8" s="90"/>
      <c r="O8" s="176" t="s">
        <v>94</v>
      </c>
    </row>
    <row r="9" spans="1:15" ht="20" customHeight="1" x14ac:dyDescent="0.15">
      <c r="A9" s="40"/>
      <c r="B9" s="177" t="s">
        <v>22</v>
      </c>
      <c r="C9" s="33">
        <f t="shared" si="6"/>
        <v>18600</v>
      </c>
      <c r="D9" s="33">
        <v>18830</v>
      </c>
      <c r="E9" s="31">
        <f t="shared" si="0"/>
        <v>230</v>
      </c>
      <c r="F9" s="31">
        <v>35</v>
      </c>
      <c r="G9" s="32" t="str">
        <f t="shared" si="1"/>
        <v/>
      </c>
      <c r="H9" s="86"/>
      <c r="I9" s="77" t="str">
        <f t="shared" si="2"/>
        <v/>
      </c>
      <c r="J9" s="77" t="str">
        <f t="shared" si="3"/>
        <v/>
      </c>
      <c r="K9" s="77">
        <f t="shared" si="4"/>
        <v>0.80500000000000005</v>
      </c>
      <c r="L9" s="77" t="str">
        <f t="shared" si="5"/>
        <v/>
      </c>
      <c r="M9" s="90"/>
      <c r="N9" s="90"/>
      <c r="O9" s="176"/>
    </row>
    <row r="10" spans="1:15" ht="20" customHeight="1" x14ac:dyDescent="0.15">
      <c r="A10" s="40"/>
      <c r="B10" s="177" t="s">
        <v>22</v>
      </c>
      <c r="C10" s="33">
        <f t="shared" si="6"/>
        <v>18830</v>
      </c>
      <c r="D10" s="33">
        <v>18890</v>
      </c>
      <c r="E10" s="31">
        <f t="shared" si="0"/>
        <v>60</v>
      </c>
      <c r="F10" s="31">
        <v>45</v>
      </c>
      <c r="G10" s="32" t="str">
        <f t="shared" si="1"/>
        <v/>
      </c>
      <c r="H10" s="86"/>
      <c r="I10" s="77" t="str">
        <f t="shared" si="2"/>
        <v/>
      </c>
      <c r="J10" s="77" t="str">
        <f t="shared" si="3"/>
        <v/>
      </c>
      <c r="K10" s="77">
        <f t="shared" si="4"/>
        <v>0.27</v>
      </c>
      <c r="L10" s="77" t="str">
        <f t="shared" si="5"/>
        <v/>
      </c>
      <c r="M10" s="90"/>
      <c r="N10" s="90"/>
      <c r="O10" s="176" t="s">
        <v>94</v>
      </c>
    </row>
    <row r="11" spans="1:15" ht="20" customHeight="1" x14ac:dyDescent="0.15">
      <c r="A11" s="40"/>
      <c r="B11" s="177" t="s">
        <v>22</v>
      </c>
      <c r="C11" s="33">
        <f t="shared" si="6"/>
        <v>18890</v>
      </c>
      <c r="D11" s="33">
        <v>19200</v>
      </c>
      <c r="E11" s="31">
        <f t="shared" ref="E11:E13" si="7">ABS(C11-D11)</f>
        <v>310</v>
      </c>
      <c r="F11" s="31">
        <v>35</v>
      </c>
      <c r="G11" s="32" t="str">
        <f t="shared" ref="G11:G12" si="8">IF(B11="NW",E11,"")</f>
        <v/>
      </c>
      <c r="H11" s="86"/>
      <c r="I11" s="77" t="str">
        <f t="shared" si="2"/>
        <v/>
      </c>
      <c r="J11" s="77" t="str">
        <f t="shared" si="3"/>
        <v/>
      </c>
      <c r="K11" s="77">
        <f t="shared" si="4"/>
        <v>1.085</v>
      </c>
      <c r="L11" s="77" t="str">
        <f t="shared" si="5"/>
        <v/>
      </c>
      <c r="M11" s="90"/>
      <c r="N11" s="90"/>
      <c r="O11" s="176"/>
    </row>
    <row r="12" spans="1:15" ht="20" customHeight="1" x14ac:dyDescent="0.15">
      <c r="A12" s="40"/>
      <c r="B12" s="177" t="s">
        <v>22</v>
      </c>
      <c r="C12" s="33">
        <f t="shared" si="6"/>
        <v>19200</v>
      </c>
      <c r="D12" s="33">
        <v>19285</v>
      </c>
      <c r="E12" s="31">
        <f t="shared" si="7"/>
        <v>85</v>
      </c>
      <c r="F12" s="31">
        <v>60</v>
      </c>
      <c r="G12" s="32" t="str">
        <f t="shared" si="8"/>
        <v/>
      </c>
      <c r="H12" s="86"/>
      <c r="I12" s="77" t="str">
        <f t="shared" si="2"/>
        <v/>
      </c>
      <c r="J12" s="77" t="str">
        <f t="shared" si="3"/>
        <v/>
      </c>
      <c r="K12" s="77">
        <f t="shared" si="4"/>
        <v>0.51</v>
      </c>
      <c r="L12" s="77" t="str">
        <f t="shared" si="5"/>
        <v/>
      </c>
      <c r="M12" s="90"/>
      <c r="N12" s="90"/>
      <c r="O12" s="176" t="s">
        <v>94</v>
      </c>
    </row>
    <row r="13" spans="1:15" ht="20" customHeight="1" x14ac:dyDescent="0.15">
      <c r="A13" s="40"/>
      <c r="B13" s="177" t="s">
        <v>54</v>
      </c>
      <c r="C13" s="33">
        <f t="shared" si="6"/>
        <v>19285</v>
      </c>
      <c r="D13" s="33">
        <v>19305</v>
      </c>
      <c r="E13" s="31">
        <f t="shared" si="7"/>
        <v>20</v>
      </c>
      <c r="F13" s="31">
        <v>35</v>
      </c>
      <c r="G13" s="32">
        <f>IF(B13="NW",E13,"")</f>
        <v>20</v>
      </c>
      <c r="H13" s="86"/>
      <c r="I13" s="77" t="str">
        <f>IF($B13="S",($E13*$F13)/10000,"")</f>
        <v/>
      </c>
      <c r="J13" s="77" t="str">
        <f>IF($B13="B",($E13*$F13)/10000,"")</f>
        <v/>
      </c>
      <c r="K13" s="77" t="str">
        <f t="shared" si="4"/>
        <v/>
      </c>
      <c r="L13" s="77" t="str">
        <f>IF($B13="G",($E13*$F13)/10000,"")</f>
        <v/>
      </c>
      <c r="M13" s="90"/>
      <c r="N13" s="90"/>
      <c r="O13" s="176" t="s">
        <v>75</v>
      </c>
    </row>
    <row r="14" spans="1:15" ht="20" customHeight="1" x14ac:dyDescent="0.15">
      <c r="A14" s="40"/>
      <c r="B14" s="177" t="s">
        <v>22</v>
      </c>
      <c r="C14" s="33">
        <f t="shared" si="6"/>
        <v>19305</v>
      </c>
      <c r="D14" s="33">
        <v>19375</v>
      </c>
      <c r="E14" s="31">
        <f t="shared" ref="E14:E19" si="9">ABS(C14-D14)</f>
        <v>70</v>
      </c>
      <c r="F14" s="31">
        <v>60</v>
      </c>
      <c r="G14" s="32" t="str">
        <f t="shared" ref="G14:G19" si="10">IF(B14="NW",E14,"")</f>
        <v/>
      </c>
      <c r="H14" s="86"/>
      <c r="I14" s="77" t="str">
        <f t="shared" si="2"/>
        <v/>
      </c>
      <c r="J14" s="77" t="str">
        <f t="shared" si="3"/>
        <v/>
      </c>
      <c r="K14" s="77">
        <f t="shared" si="4"/>
        <v>0.42</v>
      </c>
      <c r="L14" s="77" t="str">
        <f t="shared" si="5"/>
        <v/>
      </c>
      <c r="M14" s="90"/>
      <c r="N14" s="90"/>
      <c r="O14" s="176" t="s">
        <v>94</v>
      </c>
    </row>
    <row r="15" spans="1:15" ht="20" customHeight="1" x14ac:dyDescent="0.15">
      <c r="A15" s="40"/>
      <c r="B15" s="177" t="s">
        <v>22</v>
      </c>
      <c r="C15" s="33">
        <f t="shared" si="6"/>
        <v>19375</v>
      </c>
      <c r="D15" s="33">
        <v>20040</v>
      </c>
      <c r="E15" s="31">
        <f t="shared" si="9"/>
        <v>665</v>
      </c>
      <c r="F15" s="31">
        <v>35</v>
      </c>
      <c r="G15" s="32" t="str">
        <f t="shared" si="10"/>
        <v/>
      </c>
      <c r="H15" s="86"/>
      <c r="I15" s="77" t="str">
        <f t="shared" si="2"/>
        <v/>
      </c>
      <c r="J15" s="77" t="str">
        <f t="shared" si="3"/>
        <v/>
      </c>
      <c r="K15" s="77">
        <f t="shared" si="4"/>
        <v>2.3275000000000001</v>
      </c>
      <c r="L15" s="77" t="str">
        <f t="shared" si="5"/>
        <v/>
      </c>
      <c r="M15" s="90"/>
      <c r="N15" s="90"/>
      <c r="O15" s="176"/>
    </row>
    <row r="16" spans="1:15" ht="20" customHeight="1" x14ac:dyDescent="0.15">
      <c r="A16" s="40"/>
      <c r="B16" s="177" t="s">
        <v>22</v>
      </c>
      <c r="C16" s="33">
        <f t="shared" si="6"/>
        <v>20040</v>
      </c>
      <c r="D16" s="33">
        <v>20080</v>
      </c>
      <c r="E16" s="31">
        <f t="shared" si="9"/>
        <v>40</v>
      </c>
      <c r="F16" s="31">
        <v>45</v>
      </c>
      <c r="G16" s="32" t="str">
        <f t="shared" si="10"/>
        <v/>
      </c>
      <c r="H16" s="86"/>
      <c r="I16" s="77" t="str">
        <f t="shared" si="2"/>
        <v/>
      </c>
      <c r="J16" s="77" t="str">
        <f t="shared" si="3"/>
        <v/>
      </c>
      <c r="K16" s="77">
        <f t="shared" si="4"/>
        <v>0.18</v>
      </c>
      <c r="L16" s="77" t="str">
        <f t="shared" si="5"/>
        <v/>
      </c>
      <c r="M16" s="90"/>
      <c r="N16" s="90"/>
      <c r="O16" s="176" t="s">
        <v>94</v>
      </c>
    </row>
    <row r="17" spans="1:15" ht="20" customHeight="1" x14ac:dyDescent="0.15">
      <c r="A17" s="40"/>
      <c r="B17" s="177" t="s">
        <v>22</v>
      </c>
      <c r="C17" s="33">
        <f t="shared" si="6"/>
        <v>20080</v>
      </c>
      <c r="D17" s="33">
        <v>20120</v>
      </c>
      <c r="E17" s="31">
        <f t="shared" si="9"/>
        <v>40</v>
      </c>
      <c r="F17" s="31">
        <v>35</v>
      </c>
      <c r="G17" s="31" t="str">
        <f t="shared" si="10"/>
        <v/>
      </c>
      <c r="H17" s="86"/>
      <c r="I17" s="77" t="str">
        <f t="shared" si="2"/>
        <v/>
      </c>
      <c r="J17" s="77" t="str">
        <f t="shared" si="3"/>
        <v/>
      </c>
      <c r="K17" s="77">
        <f t="shared" si="4"/>
        <v>0.14000000000000001</v>
      </c>
      <c r="L17" s="77" t="str">
        <f t="shared" si="5"/>
        <v/>
      </c>
      <c r="M17" s="90"/>
      <c r="N17" s="90"/>
      <c r="O17" s="39"/>
    </row>
    <row r="18" spans="1:15" ht="20" customHeight="1" x14ac:dyDescent="0.15">
      <c r="A18" s="40"/>
      <c r="B18" s="177" t="s">
        <v>22</v>
      </c>
      <c r="C18" s="33">
        <f t="shared" si="6"/>
        <v>20120</v>
      </c>
      <c r="D18" s="33">
        <v>20150</v>
      </c>
      <c r="E18" s="31">
        <f t="shared" si="9"/>
        <v>30</v>
      </c>
      <c r="F18" s="31">
        <v>45</v>
      </c>
      <c r="G18" s="31" t="str">
        <f t="shared" si="10"/>
        <v/>
      </c>
      <c r="H18" s="86"/>
      <c r="I18" s="77" t="str">
        <f t="shared" si="2"/>
        <v/>
      </c>
      <c r="J18" s="77" t="str">
        <f t="shared" si="3"/>
        <v/>
      </c>
      <c r="K18" s="77">
        <f t="shared" si="4"/>
        <v>0.13500000000000001</v>
      </c>
      <c r="L18" s="77" t="str">
        <f t="shared" si="5"/>
        <v/>
      </c>
      <c r="M18" s="90"/>
      <c r="N18" s="90"/>
      <c r="O18" s="176" t="s">
        <v>94</v>
      </c>
    </row>
    <row r="19" spans="1:15" ht="20" customHeight="1" x14ac:dyDescent="0.15">
      <c r="A19" s="40"/>
      <c r="B19" s="177" t="s">
        <v>22</v>
      </c>
      <c r="C19" s="33">
        <f t="shared" si="6"/>
        <v>20150</v>
      </c>
      <c r="D19" s="33">
        <v>20215</v>
      </c>
      <c r="E19" s="31">
        <f t="shared" si="9"/>
        <v>65</v>
      </c>
      <c r="F19" s="31">
        <v>35</v>
      </c>
      <c r="G19" s="31" t="str">
        <f t="shared" si="10"/>
        <v/>
      </c>
      <c r="H19" s="86"/>
      <c r="I19" s="77" t="str">
        <f t="shared" si="2"/>
        <v/>
      </c>
      <c r="J19" s="77" t="str">
        <f t="shared" si="3"/>
        <v/>
      </c>
      <c r="K19" s="77">
        <f t="shared" si="4"/>
        <v>0.22750000000000001</v>
      </c>
      <c r="L19" s="77" t="str">
        <f t="shared" si="5"/>
        <v/>
      </c>
      <c r="M19" s="90"/>
      <c r="N19" s="90"/>
      <c r="O19" s="176"/>
    </row>
    <row r="20" spans="1:15" ht="20" customHeight="1" x14ac:dyDescent="0.15">
      <c r="A20" s="40"/>
      <c r="B20" s="177" t="s">
        <v>22</v>
      </c>
      <c r="C20" s="33">
        <f t="shared" si="6"/>
        <v>20215</v>
      </c>
      <c r="D20" s="33">
        <v>20285</v>
      </c>
      <c r="E20" s="31">
        <f t="shared" ref="E20:E23" si="11">ABS(C20-D20)</f>
        <v>70</v>
      </c>
      <c r="F20" s="31">
        <v>40</v>
      </c>
      <c r="G20" s="32" t="str">
        <f t="shared" ref="G20:G22" si="12">IF(B20="NW",E20,"")</f>
        <v/>
      </c>
      <c r="H20" s="86"/>
      <c r="I20" s="77" t="str">
        <f t="shared" si="2"/>
        <v/>
      </c>
      <c r="J20" s="77" t="str">
        <f t="shared" si="3"/>
        <v/>
      </c>
      <c r="K20" s="77">
        <f t="shared" si="4"/>
        <v>0.28000000000000003</v>
      </c>
      <c r="L20" s="77" t="str">
        <f t="shared" si="5"/>
        <v/>
      </c>
      <c r="M20" s="90"/>
      <c r="N20" s="90"/>
      <c r="O20" s="176" t="s">
        <v>94</v>
      </c>
    </row>
    <row r="21" spans="1:15" ht="20" customHeight="1" x14ac:dyDescent="0.15">
      <c r="A21" s="40"/>
      <c r="B21" s="177" t="s">
        <v>22</v>
      </c>
      <c r="C21" s="33">
        <f t="shared" si="6"/>
        <v>20285</v>
      </c>
      <c r="D21" s="33">
        <v>20430</v>
      </c>
      <c r="E21" s="31">
        <f t="shared" si="11"/>
        <v>145</v>
      </c>
      <c r="F21" s="31">
        <v>35</v>
      </c>
      <c r="G21" s="32" t="str">
        <f t="shared" si="12"/>
        <v/>
      </c>
      <c r="H21" s="86"/>
      <c r="I21" s="77" t="str">
        <f t="shared" si="2"/>
        <v/>
      </c>
      <c r="J21" s="77" t="str">
        <f t="shared" si="3"/>
        <v/>
      </c>
      <c r="K21" s="77">
        <f t="shared" si="4"/>
        <v>0.50749999999999995</v>
      </c>
      <c r="L21" s="77" t="str">
        <f t="shared" si="5"/>
        <v/>
      </c>
      <c r="M21" s="90"/>
      <c r="N21" s="90"/>
      <c r="O21" s="176"/>
    </row>
    <row r="22" spans="1:15" ht="20" customHeight="1" x14ac:dyDescent="0.15">
      <c r="A22" s="40"/>
      <c r="B22" s="177" t="s">
        <v>22</v>
      </c>
      <c r="C22" s="33">
        <f t="shared" si="6"/>
        <v>20430</v>
      </c>
      <c r="D22" s="33">
        <v>20460</v>
      </c>
      <c r="E22" s="31">
        <f t="shared" si="11"/>
        <v>30</v>
      </c>
      <c r="F22" s="31">
        <v>45</v>
      </c>
      <c r="G22" s="32" t="str">
        <f t="shared" si="12"/>
        <v/>
      </c>
      <c r="H22" s="86"/>
      <c r="I22" s="77" t="str">
        <f t="shared" si="2"/>
        <v/>
      </c>
      <c r="J22" s="77" t="str">
        <f t="shared" si="3"/>
        <v/>
      </c>
      <c r="K22" s="77">
        <f t="shared" si="4"/>
        <v>0.13500000000000001</v>
      </c>
      <c r="L22" s="77" t="str">
        <f t="shared" si="5"/>
        <v/>
      </c>
      <c r="M22" s="90"/>
      <c r="N22" s="90"/>
      <c r="O22" s="176" t="s">
        <v>94</v>
      </c>
    </row>
    <row r="23" spans="1:15" ht="20" customHeight="1" x14ac:dyDescent="0.15">
      <c r="A23" s="40"/>
      <c r="B23" s="177" t="s">
        <v>22</v>
      </c>
      <c r="C23" s="33">
        <f t="shared" si="6"/>
        <v>20460</v>
      </c>
      <c r="D23" s="33">
        <v>20500</v>
      </c>
      <c r="E23" s="31">
        <f t="shared" si="11"/>
        <v>40</v>
      </c>
      <c r="F23" s="31">
        <v>35</v>
      </c>
      <c r="G23" s="32" t="str">
        <f>IF(B23="NW",E23,"")</f>
        <v/>
      </c>
      <c r="H23" s="86"/>
      <c r="I23" s="77" t="str">
        <f>IF($B23="S",($E23*$F23)/10000,"")</f>
        <v/>
      </c>
      <c r="J23" s="77" t="str">
        <f>IF($B23="B",($E23*$F23)/10000,"")</f>
        <v/>
      </c>
      <c r="K23" s="77">
        <f t="shared" si="4"/>
        <v>0.14000000000000001</v>
      </c>
      <c r="L23" s="77" t="str">
        <f>IF($B23="G",($E23*$F23)/10000,"")</f>
        <v/>
      </c>
      <c r="M23" s="90"/>
      <c r="N23" s="90"/>
      <c r="O23" s="181"/>
    </row>
    <row r="24" spans="1:15" ht="20" customHeight="1" x14ac:dyDescent="0.15">
      <c r="A24" s="40"/>
      <c r="B24" s="177" t="s">
        <v>22</v>
      </c>
      <c r="C24" s="33">
        <f t="shared" si="6"/>
        <v>20500</v>
      </c>
      <c r="D24" s="33">
        <v>20530</v>
      </c>
      <c r="E24" s="31">
        <f t="shared" ref="E24:E28" si="13">ABS(C24-D24)</f>
        <v>30</v>
      </c>
      <c r="F24" s="31">
        <v>45</v>
      </c>
      <c r="G24" s="32" t="str">
        <f t="shared" ref="G24:G28" si="14">IF(B24="NW",E24,"")</f>
        <v/>
      </c>
      <c r="H24" s="86"/>
      <c r="I24" s="77" t="str">
        <f t="shared" si="2"/>
        <v/>
      </c>
      <c r="J24" s="77" t="str">
        <f t="shared" si="3"/>
        <v/>
      </c>
      <c r="K24" s="77">
        <f t="shared" si="4"/>
        <v>0.13500000000000001</v>
      </c>
      <c r="L24" s="77" t="str">
        <f t="shared" si="5"/>
        <v/>
      </c>
      <c r="M24" s="90"/>
      <c r="N24" s="90"/>
      <c r="O24" s="176" t="s">
        <v>94</v>
      </c>
    </row>
    <row r="25" spans="1:15" ht="20" customHeight="1" x14ac:dyDescent="0.15">
      <c r="A25" s="40"/>
      <c r="B25" s="177" t="s">
        <v>22</v>
      </c>
      <c r="C25" s="33">
        <f t="shared" si="6"/>
        <v>20530</v>
      </c>
      <c r="D25" s="33">
        <v>20720</v>
      </c>
      <c r="E25" s="31">
        <f t="shared" si="13"/>
        <v>190</v>
      </c>
      <c r="F25" s="31">
        <v>35</v>
      </c>
      <c r="G25" s="32" t="str">
        <f t="shared" si="14"/>
        <v/>
      </c>
      <c r="H25" s="86"/>
      <c r="I25" s="77" t="str">
        <f t="shared" si="2"/>
        <v/>
      </c>
      <c r="J25" s="77" t="str">
        <f t="shared" si="3"/>
        <v/>
      </c>
      <c r="K25" s="77">
        <f t="shared" si="4"/>
        <v>0.66500000000000004</v>
      </c>
      <c r="L25" s="77" t="str">
        <f t="shared" si="5"/>
        <v/>
      </c>
      <c r="M25" s="90"/>
      <c r="N25" s="90"/>
      <c r="O25" s="176"/>
    </row>
    <row r="26" spans="1:15" ht="20" customHeight="1" x14ac:dyDescent="0.15">
      <c r="A26" s="40"/>
      <c r="B26" s="177" t="s">
        <v>22</v>
      </c>
      <c r="C26" s="33">
        <f t="shared" si="6"/>
        <v>20720</v>
      </c>
      <c r="D26" s="33">
        <v>20760</v>
      </c>
      <c r="E26" s="31">
        <f t="shared" si="13"/>
        <v>40</v>
      </c>
      <c r="F26" s="31">
        <v>45</v>
      </c>
      <c r="G26" s="32" t="str">
        <f t="shared" si="14"/>
        <v/>
      </c>
      <c r="H26" s="86"/>
      <c r="I26" s="77" t="str">
        <f t="shared" si="2"/>
        <v/>
      </c>
      <c r="J26" s="77" t="str">
        <f t="shared" si="3"/>
        <v/>
      </c>
      <c r="K26" s="77">
        <f t="shared" si="4"/>
        <v>0.18</v>
      </c>
      <c r="L26" s="77" t="str">
        <f t="shared" si="5"/>
        <v/>
      </c>
      <c r="M26" s="90"/>
      <c r="N26" s="90"/>
      <c r="O26" s="176" t="s">
        <v>94</v>
      </c>
    </row>
    <row r="27" spans="1:15" ht="20" customHeight="1" x14ac:dyDescent="0.15">
      <c r="A27" s="40"/>
      <c r="B27" s="177" t="s">
        <v>22</v>
      </c>
      <c r="C27" s="33">
        <f t="shared" si="6"/>
        <v>20760</v>
      </c>
      <c r="D27" s="33">
        <v>21195</v>
      </c>
      <c r="E27" s="31">
        <f t="shared" si="13"/>
        <v>435</v>
      </c>
      <c r="F27" s="31">
        <v>35</v>
      </c>
      <c r="G27" s="31" t="str">
        <f t="shared" si="14"/>
        <v/>
      </c>
      <c r="H27" s="86"/>
      <c r="I27" s="77" t="str">
        <f t="shared" si="2"/>
        <v/>
      </c>
      <c r="J27" s="77" t="str">
        <f t="shared" si="3"/>
        <v/>
      </c>
      <c r="K27" s="77">
        <f t="shared" si="4"/>
        <v>1.5225</v>
      </c>
      <c r="L27" s="77" t="str">
        <f t="shared" si="5"/>
        <v/>
      </c>
      <c r="M27" s="90"/>
      <c r="N27" s="90"/>
      <c r="O27" s="39"/>
    </row>
    <row r="28" spans="1:15" ht="20" customHeight="1" x14ac:dyDescent="0.15">
      <c r="A28" s="40"/>
      <c r="B28" s="177" t="s">
        <v>22</v>
      </c>
      <c r="C28" s="33">
        <f t="shared" si="6"/>
        <v>21195</v>
      </c>
      <c r="D28" s="33">
        <v>21235</v>
      </c>
      <c r="E28" s="31">
        <f t="shared" si="13"/>
        <v>40</v>
      </c>
      <c r="F28" s="31">
        <v>40</v>
      </c>
      <c r="G28" s="31" t="str">
        <f t="shared" si="14"/>
        <v/>
      </c>
      <c r="H28" s="86"/>
      <c r="I28" s="77" t="str">
        <f t="shared" si="2"/>
        <v/>
      </c>
      <c r="J28" s="77" t="str">
        <f t="shared" si="3"/>
        <v/>
      </c>
      <c r="K28" s="77">
        <f t="shared" si="4"/>
        <v>0.16</v>
      </c>
      <c r="L28" s="77" t="str">
        <f t="shared" si="5"/>
        <v/>
      </c>
      <c r="M28" s="90"/>
      <c r="N28" s="90"/>
      <c r="O28" s="176" t="s">
        <v>94</v>
      </c>
    </row>
    <row r="29" spans="1:15" ht="20" customHeight="1" x14ac:dyDescent="0.15">
      <c r="A29" s="40"/>
      <c r="B29" s="177" t="s">
        <v>22</v>
      </c>
      <c r="C29" s="33">
        <f t="shared" si="6"/>
        <v>21235</v>
      </c>
      <c r="D29" s="33">
        <v>21370</v>
      </c>
      <c r="E29" s="31">
        <f t="shared" ref="E29:E32" si="15">ABS(C29-D29)</f>
        <v>135</v>
      </c>
      <c r="F29" s="31">
        <v>35</v>
      </c>
      <c r="G29" s="32" t="str">
        <f t="shared" ref="G29:G31" si="16">IF(B29="NW",E29,"")</f>
        <v/>
      </c>
      <c r="H29" s="86"/>
      <c r="I29" s="77" t="str">
        <f t="shared" si="2"/>
        <v/>
      </c>
      <c r="J29" s="77" t="str">
        <f t="shared" si="3"/>
        <v/>
      </c>
      <c r="K29" s="77">
        <f t="shared" si="4"/>
        <v>0.47249999999999998</v>
      </c>
      <c r="L29" s="77" t="str">
        <f t="shared" si="5"/>
        <v/>
      </c>
      <c r="M29" s="90"/>
      <c r="N29" s="90"/>
      <c r="O29" s="176"/>
    </row>
    <row r="30" spans="1:15" ht="20" customHeight="1" x14ac:dyDescent="0.15">
      <c r="A30" s="40"/>
      <c r="B30" s="177" t="s">
        <v>22</v>
      </c>
      <c r="C30" s="33">
        <f t="shared" si="6"/>
        <v>21370</v>
      </c>
      <c r="D30" s="33">
        <v>21410</v>
      </c>
      <c r="E30" s="31">
        <f t="shared" si="15"/>
        <v>40</v>
      </c>
      <c r="F30" s="31">
        <v>45</v>
      </c>
      <c r="G30" s="32" t="str">
        <f t="shared" si="16"/>
        <v/>
      </c>
      <c r="H30" s="86"/>
      <c r="I30" s="77" t="str">
        <f t="shared" si="2"/>
        <v/>
      </c>
      <c r="J30" s="77" t="str">
        <f t="shared" si="3"/>
        <v/>
      </c>
      <c r="K30" s="77">
        <f t="shared" si="4"/>
        <v>0.18</v>
      </c>
      <c r="L30" s="77" t="str">
        <f t="shared" si="5"/>
        <v/>
      </c>
      <c r="M30" s="90"/>
      <c r="N30" s="90"/>
      <c r="O30" s="176" t="s">
        <v>94</v>
      </c>
    </row>
    <row r="31" spans="1:15" ht="20" customHeight="1" x14ac:dyDescent="0.15">
      <c r="A31" s="40"/>
      <c r="B31" s="177" t="s">
        <v>22</v>
      </c>
      <c r="C31" s="33">
        <f t="shared" si="6"/>
        <v>21410</v>
      </c>
      <c r="D31" s="33">
        <v>21490</v>
      </c>
      <c r="E31" s="31">
        <f t="shared" si="15"/>
        <v>80</v>
      </c>
      <c r="F31" s="31">
        <v>35</v>
      </c>
      <c r="G31" s="32" t="str">
        <f t="shared" si="16"/>
        <v/>
      </c>
      <c r="H31" s="86"/>
      <c r="I31" s="77" t="str">
        <f t="shared" si="2"/>
        <v/>
      </c>
      <c r="J31" s="77" t="str">
        <f t="shared" si="3"/>
        <v/>
      </c>
      <c r="K31" s="77">
        <f t="shared" si="4"/>
        <v>0.28000000000000003</v>
      </c>
      <c r="L31" s="77" t="str">
        <f t="shared" si="5"/>
        <v/>
      </c>
      <c r="M31" s="90"/>
      <c r="N31" s="90"/>
      <c r="O31" s="176"/>
    </row>
    <row r="32" spans="1:15" ht="20" customHeight="1" x14ac:dyDescent="0.15">
      <c r="A32" s="40"/>
      <c r="B32" s="177" t="s">
        <v>22</v>
      </c>
      <c r="C32" s="33">
        <f t="shared" si="6"/>
        <v>21490</v>
      </c>
      <c r="D32" s="33">
        <v>21540</v>
      </c>
      <c r="E32" s="31">
        <f t="shared" si="15"/>
        <v>50</v>
      </c>
      <c r="F32" s="31">
        <v>45</v>
      </c>
      <c r="G32" s="32" t="str">
        <f>IF(B32="NW",E32,"")</f>
        <v/>
      </c>
      <c r="H32" s="86"/>
      <c r="I32" s="77" t="str">
        <f>IF($B32="S",($E32*$F32)/10000,"")</f>
        <v/>
      </c>
      <c r="J32" s="77" t="str">
        <f>IF($B32="B",($E32*$F32)/10000,"")</f>
        <v/>
      </c>
      <c r="K32" s="77">
        <f t="shared" si="4"/>
        <v>0.22500000000000001</v>
      </c>
      <c r="L32" s="77" t="str">
        <f>IF($B32="G",($E32*$F32)/10000,"")</f>
        <v/>
      </c>
      <c r="M32" s="90"/>
      <c r="N32" s="90"/>
      <c r="O32" s="176" t="s">
        <v>94</v>
      </c>
    </row>
    <row r="33" spans="1:15" ht="20" customHeight="1" x14ac:dyDescent="0.15">
      <c r="A33" s="40"/>
      <c r="B33" s="177" t="s">
        <v>22</v>
      </c>
      <c r="C33" s="33">
        <f t="shared" si="6"/>
        <v>21540</v>
      </c>
      <c r="D33" s="33">
        <v>21865</v>
      </c>
      <c r="E33" s="31">
        <f t="shared" ref="E33:E38" si="17">ABS(C33-D33)</f>
        <v>325</v>
      </c>
      <c r="F33" s="31">
        <v>35</v>
      </c>
      <c r="G33" s="32" t="str">
        <f t="shared" ref="G33:G38" si="18">IF(B33="NW",E33,"")</f>
        <v/>
      </c>
      <c r="H33" s="86"/>
      <c r="I33" s="77" t="str">
        <f t="shared" si="2"/>
        <v/>
      </c>
      <c r="J33" s="77" t="str">
        <f t="shared" si="3"/>
        <v/>
      </c>
      <c r="K33" s="77">
        <f t="shared" si="4"/>
        <v>1.1375</v>
      </c>
      <c r="L33" s="77" t="str">
        <f t="shared" si="5"/>
        <v/>
      </c>
      <c r="M33" s="90"/>
      <c r="N33" s="90"/>
      <c r="O33" s="176"/>
    </row>
    <row r="34" spans="1:15" ht="20" customHeight="1" x14ac:dyDescent="0.15">
      <c r="A34" s="40"/>
      <c r="B34" s="177" t="s">
        <v>22</v>
      </c>
      <c r="C34" s="33">
        <f t="shared" si="6"/>
        <v>21865</v>
      </c>
      <c r="D34" s="33">
        <v>21925</v>
      </c>
      <c r="E34" s="31">
        <f t="shared" si="17"/>
        <v>60</v>
      </c>
      <c r="F34" s="31">
        <v>50</v>
      </c>
      <c r="G34" s="32" t="str">
        <f t="shared" si="18"/>
        <v/>
      </c>
      <c r="H34" s="86"/>
      <c r="I34" s="77" t="str">
        <f t="shared" si="2"/>
        <v/>
      </c>
      <c r="J34" s="77" t="str">
        <f t="shared" si="3"/>
        <v/>
      </c>
      <c r="K34" s="77">
        <f t="shared" si="4"/>
        <v>0.3</v>
      </c>
      <c r="L34" s="77" t="str">
        <f t="shared" si="5"/>
        <v/>
      </c>
      <c r="M34" s="90"/>
      <c r="N34" s="90"/>
      <c r="O34" s="176" t="s">
        <v>94</v>
      </c>
    </row>
    <row r="35" spans="1:15" ht="20" customHeight="1" x14ac:dyDescent="0.15">
      <c r="A35" s="40"/>
      <c r="B35" s="177" t="s">
        <v>22</v>
      </c>
      <c r="C35" s="33">
        <f t="shared" si="6"/>
        <v>21925</v>
      </c>
      <c r="D35" s="33">
        <v>22050</v>
      </c>
      <c r="E35" s="31">
        <f t="shared" si="17"/>
        <v>125</v>
      </c>
      <c r="F35" s="31">
        <v>35</v>
      </c>
      <c r="G35" s="32" t="str">
        <f t="shared" si="18"/>
        <v/>
      </c>
      <c r="H35" s="86"/>
      <c r="I35" s="77" t="str">
        <f t="shared" si="2"/>
        <v/>
      </c>
      <c r="J35" s="77" t="str">
        <f t="shared" si="3"/>
        <v/>
      </c>
      <c r="K35" s="77">
        <f t="shared" si="4"/>
        <v>0.4375</v>
      </c>
      <c r="L35" s="77" t="str">
        <f t="shared" si="5"/>
        <v/>
      </c>
      <c r="M35" s="90"/>
      <c r="N35" s="90"/>
      <c r="O35" s="176"/>
    </row>
    <row r="36" spans="1:15" ht="20" customHeight="1" x14ac:dyDescent="0.15">
      <c r="A36" s="40"/>
      <c r="B36" s="177" t="s">
        <v>22</v>
      </c>
      <c r="C36" s="33">
        <f t="shared" si="6"/>
        <v>22050</v>
      </c>
      <c r="D36" s="33">
        <v>22080</v>
      </c>
      <c r="E36" s="31">
        <f t="shared" si="17"/>
        <v>30</v>
      </c>
      <c r="F36" s="31">
        <v>45</v>
      </c>
      <c r="G36" s="31" t="str">
        <f t="shared" si="18"/>
        <v/>
      </c>
      <c r="H36" s="86"/>
      <c r="I36" s="77" t="str">
        <f t="shared" si="2"/>
        <v/>
      </c>
      <c r="J36" s="77" t="str">
        <f t="shared" si="3"/>
        <v/>
      </c>
      <c r="K36" s="77">
        <f t="shared" si="4"/>
        <v>0.13500000000000001</v>
      </c>
      <c r="L36" s="77" t="str">
        <f t="shared" si="5"/>
        <v/>
      </c>
      <c r="M36" s="90"/>
      <c r="N36" s="90"/>
      <c r="O36" s="176" t="s">
        <v>94</v>
      </c>
    </row>
    <row r="37" spans="1:15" ht="20" customHeight="1" x14ac:dyDescent="0.15">
      <c r="A37" s="40"/>
      <c r="B37" s="177" t="s">
        <v>22</v>
      </c>
      <c r="C37" s="33">
        <f t="shared" si="6"/>
        <v>22080</v>
      </c>
      <c r="D37" s="33">
        <v>22340</v>
      </c>
      <c r="E37" s="31">
        <f t="shared" si="17"/>
        <v>260</v>
      </c>
      <c r="F37" s="31">
        <v>35</v>
      </c>
      <c r="G37" s="31" t="str">
        <f t="shared" si="18"/>
        <v/>
      </c>
      <c r="H37" s="86"/>
      <c r="I37" s="77" t="str">
        <f t="shared" si="2"/>
        <v/>
      </c>
      <c r="J37" s="77" t="str">
        <f t="shared" si="3"/>
        <v/>
      </c>
      <c r="K37" s="77">
        <f t="shared" si="4"/>
        <v>0.91</v>
      </c>
      <c r="L37" s="77" t="str">
        <f t="shared" si="5"/>
        <v/>
      </c>
      <c r="M37" s="90"/>
      <c r="N37" s="90"/>
      <c r="O37" s="176"/>
    </row>
    <row r="38" spans="1:15" ht="20" customHeight="1" x14ac:dyDescent="0.15">
      <c r="A38" s="40"/>
      <c r="B38" s="177" t="s">
        <v>22</v>
      </c>
      <c r="C38" s="33">
        <f t="shared" si="6"/>
        <v>22340</v>
      </c>
      <c r="D38" s="33">
        <v>22390</v>
      </c>
      <c r="E38" s="31">
        <f t="shared" si="17"/>
        <v>50</v>
      </c>
      <c r="F38" s="31">
        <v>45</v>
      </c>
      <c r="G38" s="31" t="str">
        <f t="shared" si="18"/>
        <v/>
      </c>
      <c r="H38" s="86"/>
      <c r="I38" s="77" t="str">
        <f t="shared" si="2"/>
        <v/>
      </c>
      <c r="J38" s="77" t="str">
        <f t="shared" si="3"/>
        <v/>
      </c>
      <c r="K38" s="77">
        <f t="shared" si="4"/>
        <v>0.22500000000000001</v>
      </c>
      <c r="L38" s="77" t="str">
        <f t="shared" si="5"/>
        <v/>
      </c>
      <c r="M38" s="90"/>
      <c r="N38" s="90"/>
      <c r="O38" s="176" t="s">
        <v>94</v>
      </c>
    </row>
    <row r="39" spans="1:15" ht="20" customHeight="1" x14ac:dyDescent="0.15">
      <c r="A39" s="40"/>
      <c r="B39" s="177" t="s">
        <v>22</v>
      </c>
      <c r="C39" s="33">
        <f t="shared" si="6"/>
        <v>22390</v>
      </c>
      <c r="D39" s="33">
        <v>22740</v>
      </c>
      <c r="E39" s="31">
        <f t="shared" ref="E39:E50" si="19">ABS(C39-D39)</f>
        <v>350</v>
      </c>
      <c r="F39" s="31">
        <v>35</v>
      </c>
      <c r="G39" s="32" t="str">
        <f t="shared" ref="G39:G49" si="20">IF(B39="NW",E39,"")</f>
        <v/>
      </c>
      <c r="H39" s="86"/>
      <c r="I39" s="77" t="str">
        <f t="shared" si="2"/>
        <v/>
      </c>
      <c r="J39" s="77" t="str">
        <f t="shared" si="3"/>
        <v/>
      </c>
      <c r="K39" s="77">
        <f t="shared" si="4"/>
        <v>1.2250000000000001</v>
      </c>
      <c r="L39" s="77" t="str">
        <f t="shared" si="5"/>
        <v/>
      </c>
      <c r="M39" s="90"/>
      <c r="N39" s="90"/>
      <c r="O39" s="176"/>
    </row>
    <row r="40" spans="1:15" ht="20" customHeight="1" x14ac:dyDescent="0.15">
      <c r="A40" s="40"/>
      <c r="B40" s="177" t="s">
        <v>22</v>
      </c>
      <c r="C40" s="33">
        <f t="shared" si="6"/>
        <v>22740</v>
      </c>
      <c r="D40" s="33">
        <v>22815</v>
      </c>
      <c r="E40" s="31">
        <f t="shared" si="19"/>
        <v>75</v>
      </c>
      <c r="F40" s="31">
        <v>60</v>
      </c>
      <c r="G40" s="32" t="str">
        <f t="shared" si="20"/>
        <v/>
      </c>
      <c r="H40" s="86"/>
      <c r="I40" s="77" t="str">
        <f t="shared" si="2"/>
        <v/>
      </c>
      <c r="J40" s="77"/>
      <c r="K40" s="77">
        <f t="shared" si="4"/>
        <v>0.45</v>
      </c>
      <c r="L40" s="77" t="str">
        <f t="shared" si="5"/>
        <v/>
      </c>
      <c r="M40" s="90"/>
      <c r="N40" s="90"/>
      <c r="O40" s="176" t="s">
        <v>94</v>
      </c>
    </row>
    <row r="41" spans="1:15" ht="20" customHeight="1" x14ac:dyDescent="0.15">
      <c r="A41" s="196">
        <v>40954</v>
      </c>
      <c r="B41" s="177" t="s">
        <v>54</v>
      </c>
      <c r="C41" s="195">
        <v>22815</v>
      </c>
      <c r="D41" s="195">
        <v>22855</v>
      </c>
      <c r="E41" s="31">
        <f t="shared" si="19"/>
        <v>40</v>
      </c>
      <c r="F41" s="193">
        <v>35</v>
      </c>
      <c r="G41" s="194">
        <v>40</v>
      </c>
      <c r="H41" s="198"/>
      <c r="I41" s="197" t="s">
        <v>99</v>
      </c>
      <c r="J41" s="197" t="s">
        <v>99</v>
      </c>
      <c r="K41" s="77" t="str">
        <f t="shared" si="4"/>
        <v/>
      </c>
      <c r="L41" s="197" t="s">
        <v>99</v>
      </c>
      <c r="M41" s="199"/>
      <c r="N41" s="199"/>
      <c r="O41" s="176" t="s">
        <v>100</v>
      </c>
    </row>
    <row r="42" spans="1:15" ht="20" customHeight="1" x14ac:dyDescent="0.15">
      <c r="A42" s="196"/>
      <c r="B42" s="177" t="s">
        <v>22</v>
      </c>
      <c r="C42" s="195">
        <v>22855</v>
      </c>
      <c r="D42" s="195">
        <v>25000</v>
      </c>
      <c r="E42" s="31">
        <f t="shared" si="19"/>
        <v>2145</v>
      </c>
      <c r="F42" s="193">
        <v>35</v>
      </c>
      <c r="G42" s="194">
        <v>2145</v>
      </c>
      <c r="H42" s="198"/>
      <c r="I42" s="197" t="s">
        <v>99</v>
      </c>
      <c r="J42" s="197" t="s">
        <v>99</v>
      </c>
      <c r="K42" s="77">
        <f t="shared" si="4"/>
        <v>7.5075000000000003</v>
      </c>
      <c r="L42" s="197" t="s">
        <v>99</v>
      </c>
      <c r="M42" s="199"/>
      <c r="N42" s="199"/>
      <c r="O42" s="176" t="s">
        <v>101</v>
      </c>
    </row>
    <row r="43" spans="1:15" ht="20" customHeight="1" x14ac:dyDescent="0.15">
      <c r="A43" s="196"/>
      <c r="B43" s="177" t="s">
        <v>22</v>
      </c>
      <c r="C43" s="195">
        <v>25000</v>
      </c>
      <c r="D43" s="195">
        <v>26155</v>
      </c>
      <c r="E43" s="31">
        <f t="shared" si="19"/>
        <v>1155</v>
      </c>
      <c r="F43" s="193">
        <v>35</v>
      </c>
      <c r="G43" s="194"/>
      <c r="H43" s="198"/>
      <c r="I43" s="197" t="s">
        <v>99</v>
      </c>
      <c r="J43" s="197" t="s">
        <v>99</v>
      </c>
      <c r="K43" s="77">
        <f t="shared" si="4"/>
        <v>4.0425000000000004</v>
      </c>
      <c r="L43" s="197" t="s">
        <v>99</v>
      </c>
      <c r="M43" s="199"/>
      <c r="N43" s="199"/>
      <c r="O43" s="176" t="s">
        <v>102</v>
      </c>
    </row>
    <row r="44" spans="1:15" ht="20" customHeight="1" x14ac:dyDescent="0.15">
      <c r="A44" s="196"/>
      <c r="B44" s="177" t="s">
        <v>54</v>
      </c>
      <c r="C44" s="195">
        <v>26155</v>
      </c>
      <c r="D44" s="195">
        <v>26170</v>
      </c>
      <c r="E44" s="31">
        <f t="shared" si="19"/>
        <v>15</v>
      </c>
      <c r="F44" s="193">
        <v>35</v>
      </c>
      <c r="G44" s="194">
        <v>15</v>
      </c>
      <c r="H44" s="198"/>
      <c r="I44" s="197" t="s">
        <v>99</v>
      </c>
      <c r="J44" s="197" t="s">
        <v>99</v>
      </c>
      <c r="K44" s="77" t="str">
        <f t="shared" si="4"/>
        <v/>
      </c>
      <c r="L44" s="197" t="s">
        <v>99</v>
      </c>
      <c r="M44" s="199"/>
      <c r="N44" s="199"/>
      <c r="O44" s="176" t="s">
        <v>103</v>
      </c>
    </row>
    <row r="45" spans="1:15" ht="20" customHeight="1" x14ac:dyDescent="0.15">
      <c r="A45" s="196"/>
      <c r="B45" s="177" t="s">
        <v>22</v>
      </c>
      <c r="C45" s="195">
        <v>26170</v>
      </c>
      <c r="D45" s="195">
        <v>29630</v>
      </c>
      <c r="E45" s="31">
        <f t="shared" si="19"/>
        <v>3460</v>
      </c>
      <c r="F45" s="193">
        <v>35</v>
      </c>
      <c r="G45" s="194" t="s">
        <v>99</v>
      </c>
      <c r="H45" s="198"/>
      <c r="I45" s="197" t="s">
        <v>99</v>
      </c>
      <c r="J45" s="197" t="s">
        <v>99</v>
      </c>
      <c r="K45" s="77">
        <f t="shared" si="4"/>
        <v>12.11</v>
      </c>
      <c r="L45" s="197" t="s">
        <v>99</v>
      </c>
      <c r="M45" s="199"/>
      <c r="N45" s="199"/>
      <c r="O45" s="176" t="s">
        <v>104</v>
      </c>
    </row>
    <row r="46" spans="1:15" ht="20" customHeight="1" x14ac:dyDescent="0.15">
      <c r="A46" s="196"/>
      <c r="B46" s="177" t="s">
        <v>54</v>
      </c>
      <c r="C46" s="195">
        <v>29630</v>
      </c>
      <c r="D46" s="195">
        <v>29645</v>
      </c>
      <c r="E46" s="31">
        <f t="shared" si="19"/>
        <v>15</v>
      </c>
      <c r="F46" s="193">
        <v>35</v>
      </c>
      <c r="G46" s="194">
        <v>15</v>
      </c>
      <c r="H46" s="198"/>
      <c r="I46" s="197" t="s">
        <v>99</v>
      </c>
      <c r="J46" s="197" t="s">
        <v>99</v>
      </c>
      <c r="K46" s="77" t="str">
        <f t="shared" si="4"/>
        <v/>
      </c>
      <c r="L46" s="197" t="s">
        <v>99</v>
      </c>
      <c r="M46" s="199"/>
      <c r="N46" s="199"/>
      <c r="O46" s="176" t="s">
        <v>105</v>
      </c>
    </row>
    <row r="47" spans="1:15" ht="20" customHeight="1" x14ac:dyDescent="0.15">
      <c r="A47" s="196"/>
      <c r="B47" s="177" t="s">
        <v>22</v>
      </c>
      <c r="C47" s="195">
        <v>29645</v>
      </c>
      <c r="D47" s="195">
        <v>32180</v>
      </c>
      <c r="E47" s="31">
        <f t="shared" si="19"/>
        <v>2535</v>
      </c>
      <c r="F47" s="193">
        <v>35</v>
      </c>
      <c r="G47" s="194" t="s">
        <v>99</v>
      </c>
      <c r="H47" s="198"/>
      <c r="I47" s="197" t="s">
        <v>99</v>
      </c>
      <c r="J47" s="197" t="s">
        <v>99</v>
      </c>
      <c r="K47" s="77">
        <f t="shared" si="4"/>
        <v>8.8725000000000005</v>
      </c>
      <c r="L47" s="197" t="s">
        <v>99</v>
      </c>
      <c r="M47" s="199"/>
      <c r="N47" s="199"/>
      <c r="O47" s="176" t="s">
        <v>104</v>
      </c>
    </row>
    <row r="48" spans="1:15" ht="20" customHeight="1" x14ac:dyDescent="0.15">
      <c r="A48" s="196"/>
      <c r="B48" s="177" t="s">
        <v>22</v>
      </c>
      <c r="C48" s="195">
        <v>22855</v>
      </c>
      <c r="D48" s="195">
        <v>32115</v>
      </c>
      <c r="E48" s="193"/>
      <c r="F48" s="193"/>
      <c r="G48" s="194" t="s">
        <v>99</v>
      </c>
      <c r="H48" s="198"/>
      <c r="I48" s="197" t="s">
        <v>99</v>
      </c>
      <c r="J48" s="197"/>
      <c r="K48" s="77">
        <v>2.8574999999999999</v>
      </c>
      <c r="L48" s="197" t="s">
        <v>99</v>
      </c>
      <c r="M48" s="199"/>
      <c r="N48" s="199"/>
      <c r="O48" s="181" t="s">
        <v>106</v>
      </c>
    </row>
    <row r="49" spans="1:15" ht="20" customHeight="1" x14ac:dyDescent="0.15">
      <c r="A49" s="21">
        <v>40968</v>
      </c>
      <c r="B49" s="186" t="s">
        <v>54</v>
      </c>
      <c r="C49" s="22">
        <v>32180</v>
      </c>
      <c r="D49" s="22">
        <v>34444</v>
      </c>
      <c r="E49" s="23">
        <f t="shared" si="19"/>
        <v>2264</v>
      </c>
      <c r="F49" s="23">
        <v>35</v>
      </c>
      <c r="G49" s="24">
        <f t="shared" si="20"/>
        <v>2264</v>
      </c>
      <c r="H49" s="88"/>
      <c r="I49" s="79" t="str">
        <f t="shared" si="2"/>
        <v/>
      </c>
      <c r="J49" s="79" t="str">
        <f t="shared" si="3"/>
        <v/>
      </c>
      <c r="K49" s="79" t="str">
        <f t="shared" si="4"/>
        <v/>
      </c>
      <c r="L49" s="79" t="str">
        <f t="shared" si="5"/>
        <v/>
      </c>
      <c r="M49" s="92"/>
      <c r="N49" s="92"/>
      <c r="O49" s="187" t="s">
        <v>76</v>
      </c>
    </row>
    <row r="50" spans="1:15" ht="20" customHeight="1" x14ac:dyDescent="0.15">
      <c r="A50" s="40"/>
      <c r="B50" s="177" t="s">
        <v>22</v>
      </c>
      <c r="C50" s="33">
        <f t="shared" si="6"/>
        <v>34444</v>
      </c>
      <c r="D50" s="33">
        <v>35734</v>
      </c>
      <c r="E50" s="31">
        <f t="shared" si="19"/>
        <v>1290</v>
      </c>
      <c r="F50" s="31">
        <v>35</v>
      </c>
      <c r="G50" s="32" t="str">
        <f>IF(B50="NW",E50,"")</f>
        <v/>
      </c>
      <c r="H50" s="86"/>
      <c r="I50" s="77" t="str">
        <f>IF($B50="S",($E50*$F50)/10000,"")</f>
        <v/>
      </c>
      <c r="J50" s="77" t="str">
        <f>IF($B50="B",($E50*$F50)/10000,"")</f>
        <v/>
      </c>
      <c r="K50" s="77">
        <f t="shared" si="4"/>
        <v>4.5149999999999997</v>
      </c>
      <c r="L50" s="77" t="str">
        <f>IF($B50="G",($E50*$F50)/10000,"")</f>
        <v/>
      </c>
      <c r="M50" s="90"/>
      <c r="N50" s="90"/>
      <c r="O50" s="181"/>
    </row>
    <row r="51" spans="1:15" ht="20" customHeight="1" x14ac:dyDescent="0.15">
      <c r="A51" s="40"/>
      <c r="B51" s="177" t="s">
        <v>54</v>
      </c>
      <c r="C51" s="33">
        <f t="shared" si="6"/>
        <v>35734</v>
      </c>
      <c r="D51" s="33">
        <v>35745</v>
      </c>
      <c r="E51" s="31">
        <f t="shared" ref="E51:E56" si="21">ABS(C51-D51)</f>
        <v>11</v>
      </c>
      <c r="F51" s="31">
        <v>35</v>
      </c>
      <c r="G51" s="32">
        <f t="shared" ref="G51:G56" si="22">IF(B51="NW",E51,"")</f>
        <v>11</v>
      </c>
      <c r="H51" s="86"/>
      <c r="I51" s="77" t="str">
        <f t="shared" si="2"/>
        <v/>
      </c>
      <c r="J51" s="77" t="str">
        <f t="shared" si="3"/>
        <v/>
      </c>
      <c r="K51" s="77" t="str">
        <f t="shared" si="4"/>
        <v/>
      </c>
      <c r="L51" s="77" t="str">
        <f t="shared" si="5"/>
        <v/>
      </c>
      <c r="M51" s="90"/>
      <c r="N51" s="90"/>
      <c r="O51" s="176" t="s">
        <v>77</v>
      </c>
    </row>
    <row r="52" spans="1:15" ht="20" customHeight="1" x14ac:dyDescent="0.15">
      <c r="A52" s="40"/>
      <c r="B52" s="177" t="s">
        <v>22</v>
      </c>
      <c r="C52" s="33">
        <f t="shared" si="6"/>
        <v>35745</v>
      </c>
      <c r="D52" s="33">
        <v>35853</v>
      </c>
      <c r="E52" s="31">
        <f t="shared" si="21"/>
        <v>108</v>
      </c>
      <c r="F52" s="31">
        <v>35</v>
      </c>
      <c r="G52" s="32" t="str">
        <f t="shared" si="22"/>
        <v/>
      </c>
      <c r="H52" s="86"/>
      <c r="I52" s="77" t="str">
        <f t="shared" si="2"/>
        <v/>
      </c>
      <c r="J52" s="77" t="str">
        <f t="shared" si="3"/>
        <v/>
      </c>
      <c r="K52" s="77">
        <f t="shared" si="4"/>
        <v>0.378</v>
      </c>
      <c r="L52" s="77" t="str">
        <f t="shared" si="5"/>
        <v/>
      </c>
      <c r="M52" s="90"/>
      <c r="N52" s="90"/>
      <c r="O52" s="176"/>
    </row>
    <row r="53" spans="1:15" ht="20" customHeight="1" x14ac:dyDescent="0.15">
      <c r="A53" s="40"/>
      <c r="B53" s="177" t="s">
        <v>54</v>
      </c>
      <c r="C53" s="33">
        <f t="shared" si="6"/>
        <v>35853</v>
      </c>
      <c r="D53" s="33">
        <v>35868</v>
      </c>
      <c r="E53" s="31">
        <f t="shared" si="21"/>
        <v>15</v>
      </c>
      <c r="F53" s="31">
        <v>35</v>
      </c>
      <c r="G53" s="32">
        <f t="shared" si="22"/>
        <v>15</v>
      </c>
      <c r="H53" s="86"/>
      <c r="I53" s="77" t="str">
        <f t="shared" si="2"/>
        <v/>
      </c>
      <c r="J53" s="77" t="str">
        <f t="shared" si="3"/>
        <v/>
      </c>
      <c r="K53" s="77" t="str">
        <f t="shared" si="4"/>
        <v/>
      </c>
      <c r="L53" s="77" t="str">
        <f t="shared" si="5"/>
        <v/>
      </c>
      <c r="M53" s="90"/>
      <c r="N53" s="90"/>
      <c r="O53" s="176" t="s">
        <v>78</v>
      </c>
    </row>
    <row r="54" spans="1:15" ht="20" customHeight="1" x14ac:dyDescent="0.15">
      <c r="A54" s="40"/>
      <c r="B54" s="177" t="s">
        <v>22</v>
      </c>
      <c r="C54" s="33">
        <f t="shared" si="6"/>
        <v>35868</v>
      </c>
      <c r="D54" s="33">
        <v>36134</v>
      </c>
      <c r="E54" s="31">
        <f t="shared" si="21"/>
        <v>266</v>
      </c>
      <c r="F54" s="31">
        <v>35</v>
      </c>
      <c r="G54" s="31" t="str">
        <f t="shared" si="22"/>
        <v/>
      </c>
      <c r="H54" s="86"/>
      <c r="I54" s="77" t="str">
        <f t="shared" si="2"/>
        <v/>
      </c>
      <c r="J54" s="77" t="str">
        <f t="shared" si="3"/>
        <v/>
      </c>
      <c r="K54" s="77">
        <f t="shared" si="4"/>
        <v>0.93100000000000005</v>
      </c>
      <c r="L54" s="77" t="str">
        <f t="shared" si="5"/>
        <v/>
      </c>
      <c r="M54" s="90"/>
      <c r="N54" s="90"/>
      <c r="O54" s="39"/>
    </row>
    <row r="55" spans="1:15" ht="20" customHeight="1" x14ac:dyDescent="0.15">
      <c r="A55" s="40"/>
      <c r="B55" s="177" t="s">
        <v>54</v>
      </c>
      <c r="C55" s="33">
        <f t="shared" si="6"/>
        <v>36134</v>
      </c>
      <c r="D55" s="33">
        <v>36842</v>
      </c>
      <c r="E55" s="31">
        <f t="shared" si="21"/>
        <v>708</v>
      </c>
      <c r="F55" s="31">
        <v>35</v>
      </c>
      <c r="G55" s="31">
        <f t="shared" si="22"/>
        <v>708</v>
      </c>
      <c r="H55" s="86"/>
      <c r="I55" s="77" t="str">
        <f t="shared" si="2"/>
        <v/>
      </c>
      <c r="J55" s="77" t="str">
        <f t="shared" si="3"/>
        <v/>
      </c>
      <c r="K55" s="77" t="str">
        <f t="shared" si="4"/>
        <v/>
      </c>
      <c r="L55" s="77" t="str">
        <f t="shared" si="5"/>
        <v/>
      </c>
      <c r="M55" s="90"/>
      <c r="N55" s="90"/>
      <c r="O55" s="176" t="s">
        <v>79</v>
      </c>
    </row>
    <row r="56" spans="1:15" ht="20" customHeight="1" x14ac:dyDescent="0.15">
      <c r="A56" s="40"/>
      <c r="B56" s="177" t="s">
        <v>22</v>
      </c>
      <c r="C56" s="33">
        <f t="shared" si="6"/>
        <v>36842</v>
      </c>
      <c r="D56" s="33">
        <v>40144</v>
      </c>
      <c r="E56" s="31">
        <f t="shared" si="21"/>
        <v>3302</v>
      </c>
      <c r="F56" s="31">
        <v>35</v>
      </c>
      <c r="G56" s="31" t="str">
        <f t="shared" si="22"/>
        <v/>
      </c>
      <c r="H56" s="86"/>
      <c r="I56" s="77" t="str">
        <f t="shared" si="2"/>
        <v/>
      </c>
      <c r="J56" s="77" t="str">
        <f t="shared" si="3"/>
        <v/>
      </c>
      <c r="K56" s="77">
        <f t="shared" si="4"/>
        <v>11.557</v>
      </c>
      <c r="L56" s="77" t="str">
        <f t="shared" si="5"/>
        <v/>
      </c>
      <c r="M56" s="90"/>
      <c r="N56" s="90"/>
      <c r="O56" s="176"/>
    </row>
    <row r="57" spans="1:15" ht="20" customHeight="1" x14ac:dyDescent="0.15">
      <c r="A57" s="40"/>
      <c r="B57" s="177" t="s">
        <v>54</v>
      </c>
      <c r="C57" s="33">
        <f t="shared" si="6"/>
        <v>40144</v>
      </c>
      <c r="D57" s="33">
        <v>40159</v>
      </c>
      <c r="E57" s="31">
        <f t="shared" si="0"/>
        <v>15</v>
      </c>
      <c r="F57" s="31">
        <v>35</v>
      </c>
      <c r="G57" s="32">
        <f t="shared" si="1"/>
        <v>15</v>
      </c>
      <c r="H57" s="86"/>
      <c r="I57" s="77" t="str">
        <f t="shared" si="2"/>
        <v/>
      </c>
      <c r="J57" s="77" t="str">
        <f t="shared" si="3"/>
        <v/>
      </c>
      <c r="K57" s="77" t="str">
        <f t="shared" si="4"/>
        <v/>
      </c>
      <c r="L57" s="77" t="str">
        <f t="shared" si="5"/>
        <v/>
      </c>
      <c r="M57" s="90"/>
      <c r="N57" s="90"/>
      <c r="O57" s="176" t="s">
        <v>80</v>
      </c>
    </row>
    <row r="58" spans="1:15" ht="20" customHeight="1" x14ac:dyDescent="0.15">
      <c r="A58" s="40"/>
      <c r="B58" s="177" t="s">
        <v>22</v>
      </c>
      <c r="C58" s="33">
        <f t="shared" si="6"/>
        <v>40159</v>
      </c>
      <c r="D58" s="33">
        <v>40330</v>
      </c>
      <c r="E58" s="31">
        <f t="shared" si="0"/>
        <v>171</v>
      </c>
      <c r="F58" s="31">
        <v>35</v>
      </c>
      <c r="G58" s="32" t="str">
        <f t="shared" si="1"/>
        <v/>
      </c>
      <c r="H58" s="86"/>
      <c r="I58" s="77" t="str">
        <f t="shared" si="2"/>
        <v/>
      </c>
      <c r="J58" s="77" t="str">
        <f t="shared" si="3"/>
        <v/>
      </c>
      <c r="K58" s="77">
        <f t="shared" si="4"/>
        <v>0.59850000000000003</v>
      </c>
      <c r="L58" s="77" t="str">
        <f t="shared" si="5"/>
        <v/>
      </c>
      <c r="M58" s="90"/>
      <c r="N58" s="90"/>
      <c r="O58" s="176"/>
    </row>
    <row r="59" spans="1:15" ht="20" customHeight="1" x14ac:dyDescent="0.15">
      <c r="A59" s="40"/>
      <c r="B59" s="177" t="s">
        <v>54</v>
      </c>
      <c r="C59" s="33">
        <f t="shared" si="6"/>
        <v>40330</v>
      </c>
      <c r="D59" s="33">
        <v>40645</v>
      </c>
      <c r="E59" s="31">
        <f t="shared" si="0"/>
        <v>315</v>
      </c>
      <c r="F59" s="31">
        <v>35</v>
      </c>
      <c r="G59" s="32">
        <f>IF(B59="NW",E59,"")</f>
        <v>315</v>
      </c>
      <c r="H59" s="86"/>
      <c r="I59" s="77" t="str">
        <f>IF($B59="S",($E59*$F59)/10000,"")</f>
        <v/>
      </c>
      <c r="J59" s="77" t="str">
        <f>IF($B59="B",($E59*$F59)/10000,"")</f>
        <v/>
      </c>
      <c r="K59" s="77" t="str">
        <f t="shared" si="4"/>
        <v/>
      </c>
      <c r="L59" s="77" t="str">
        <f>IF($B59="G",($E59*$F59)/10000,"")</f>
        <v/>
      </c>
      <c r="M59" s="90"/>
      <c r="N59" s="90"/>
      <c r="O59" s="176" t="s">
        <v>81</v>
      </c>
    </row>
    <row r="60" spans="1:15" ht="20" customHeight="1" x14ac:dyDescent="0.15">
      <c r="A60" s="40"/>
      <c r="B60" s="177" t="s">
        <v>22</v>
      </c>
      <c r="C60" s="33">
        <f t="shared" si="6"/>
        <v>40645</v>
      </c>
      <c r="D60" s="33">
        <v>42710</v>
      </c>
      <c r="E60" s="31">
        <f t="shared" si="0"/>
        <v>2065</v>
      </c>
      <c r="F60" s="31">
        <v>35</v>
      </c>
      <c r="G60" s="32" t="str">
        <f t="shared" si="1"/>
        <v/>
      </c>
      <c r="H60" s="86"/>
      <c r="I60" s="77" t="str">
        <f t="shared" si="2"/>
        <v/>
      </c>
      <c r="J60" s="77" t="str">
        <f t="shared" si="3"/>
        <v/>
      </c>
      <c r="K60" s="77">
        <f t="shared" si="4"/>
        <v>7.2275</v>
      </c>
      <c r="L60" s="77" t="str">
        <f t="shared" si="5"/>
        <v/>
      </c>
      <c r="M60" s="90"/>
      <c r="N60" s="90"/>
      <c r="O60" s="176"/>
    </row>
    <row r="61" spans="1:15" ht="20" customHeight="1" x14ac:dyDescent="0.15">
      <c r="A61" s="40"/>
      <c r="B61" s="177" t="s">
        <v>54</v>
      </c>
      <c r="C61" s="33">
        <f t="shared" si="6"/>
        <v>42710</v>
      </c>
      <c r="D61" s="33">
        <v>42890</v>
      </c>
      <c r="E61" s="31">
        <f t="shared" si="0"/>
        <v>180</v>
      </c>
      <c r="F61" s="31">
        <v>35</v>
      </c>
      <c r="G61" s="32">
        <f t="shared" si="1"/>
        <v>180</v>
      </c>
      <c r="H61" s="86"/>
      <c r="I61" s="77" t="str">
        <f t="shared" si="2"/>
        <v/>
      </c>
      <c r="J61" s="77" t="str">
        <f t="shared" si="3"/>
        <v/>
      </c>
      <c r="K61" s="77" t="str">
        <f t="shared" si="4"/>
        <v/>
      </c>
      <c r="L61" s="77" t="str">
        <f t="shared" si="5"/>
        <v/>
      </c>
      <c r="M61" s="90"/>
      <c r="N61" s="90"/>
      <c r="O61" s="176" t="s">
        <v>82</v>
      </c>
    </row>
    <row r="62" spans="1:15" ht="20" customHeight="1" x14ac:dyDescent="0.15">
      <c r="A62" s="40"/>
      <c r="B62" s="177" t="s">
        <v>22</v>
      </c>
      <c r="C62" s="33">
        <f t="shared" si="6"/>
        <v>42890</v>
      </c>
      <c r="D62" s="33">
        <v>43240</v>
      </c>
      <c r="E62" s="31">
        <f t="shared" si="0"/>
        <v>350</v>
      </c>
      <c r="F62" s="31">
        <v>35</v>
      </c>
      <c r="G62" s="32" t="str">
        <f t="shared" si="1"/>
        <v/>
      </c>
      <c r="H62" s="86"/>
      <c r="I62" s="77" t="str">
        <f t="shared" si="2"/>
        <v/>
      </c>
      <c r="J62" s="77" t="str">
        <f t="shared" si="3"/>
        <v/>
      </c>
      <c r="K62" s="77">
        <f t="shared" si="4"/>
        <v>1.2250000000000001</v>
      </c>
      <c r="L62" s="77" t="str">
        <f t="shared" si="5"/>
        <v/>
      </c>
      <c r="M62" s="90"/>
      <c r="N62" s="90"/>
      <c r="O62" s="176"/>
    </row>
    <row r="63" spans="1:15" ht="20" customHeight="1" x14ac:dyDescent="0.15">
      <c r="A63" s="40"/>
      <c r="B63" s="177" t="s">
        <v>54</v>
      </c>
      <c r="C63" s="33">
        <f t="shared" si="6"/>
        <v>43240</v>
      </c>
      <c r="D63" s="33">
        <v>43255</v>
      </c>
      <c r="E63" s="31">
        <f t="shared" si="0"/>
        <v>15</v>
      </c>
      <c r="F63" s="31">
        <v>35</v>
      </c>
      <c r="G63" s="31">
        <f t="shared" si="1"/>
        <v>15</v>
      </c>
      <c r="H63" s="86"/>
      <c r="I63" s="77" t="str">
        <f t="shared" si="2"/>
        <v/>
      </c>
      <c r="J63" s="77" t="str">
        <f t="shared" si="3"/>
        <v/>
      </c>
      <c r="K63" s="77" t="str">
        <f t="shared" si="4"/>
        <v/>
      </c>
      <c r="L63" s="77" t="str">
        <f t="shared" si="5"/>
        <v/>
      </c>
      <c r="M63" s="90"/>
      <c r="N63" s="90"/>
      <c r="O63" s="176" t="s">
        <v>83</v>
      </c>
    </row>
    <row r="64" spans="1:15" ht="20" customHeight="1" x14ac:dyDescent="0.15">
      <c r="A64" s="40"/>
      <c r="B64" s="177" t="s">
        <v>22</v>
      </c>
      <c r="C64" s="33">
        <f t="shared" si="6"/>
        <v>43255</v>
      </c>
      <c r="D64" s="33">
        <v>45022</v>
      </c>
      <c r="E64" s="31">
        <f t="shared" si="0"/>
        <v>1767</v>
      </c>
      <c r="F64" s="31">
        <v>35</v>
      </c>
      <c r="G64" s="31" t="str">
        <f t="shared" si="1"/>
        <v/>
      </c>
      <c r="H64" s="86"/>
      <c r="I64" s="77" t="str">
        <f t="shared" si="2"/>
        <v/>
      </c>
      <c r="J64" s="77" t="str">
        <f t="shared" si="3"/>
        <v/>
      </c>
      <c r="K64" s="77">
        <f t="shared" si="4"/>
        <v>6.1844999999999999</v>
      </c>
      <c r="L64" s="77" t="str">
        <f t="shared" si="5"/>
        <v/>
      </c>
      <c r="M64" s="90"/>
      <c r="N64" s="90"/>
      <c r="O64" s="176"/>
    </row>
    <row r="65" spans="1:15" ht="20" customHeight="1" x14ac:dyDescent="0.15">
      <c r="A65" s="40"/>
      <c r="B65" s="177" t="s">
        <v>54</v>
      </c>
      <c r="C65" s="33">
        <f t="shared" si="6"/>
        <v>45022</v>
      </c>
      <c r="D65" s="33">
        <v>45030</v>
      </c>
      <c r="E65" s="31">
        <f t="shared" si="0"/>
        <v>8</v>
      </c>
      <c r="F65" s="31">
        <v>35</v>
      </c>
      <c r="G65" s="31">
        <f t="shared" si="1"/>
        <v>8</v>
      </c>
      <c r="H65" s="86"/>
      <c r="I65" s="77" t="str">
        <f t="shared" si="2"/>
        <v/>
      </c>
      <c r="J65" s="77" t="str">
        <f t="shared" si="3"/>
        <v/>
      </c>
      <c r="K65" s="77" t="str">
        <f t="shared" si="4"/>
        <v/>
      </c>
      <c r="L65" s="77" t="str">
        <f t="shared" si="5"/>
        <v/>
      </c>
      <c r="M65" s="90"/>
      <c r="N65" s="90"/>
      <c r="O65" s="176" t="s">
        <v>84</v>
      </c>
    </row>
    <row r="66" spans="1:15" ht="20" customHeight="1" x14ac:dyDescent="0.15">
      <c r="A66" s="40"/>
      <c r="B66" s="177" t="s">
        <v>22</v>
      </c>
      <c r="C66" s="33">
        <f t="shared" si="6"/>
        <v>45030</v>
      </c>
      <c r="D66" s="33">
        <v>46471</v>
      </c>
      <c r="E66" s="31">
        <f t="shared" ref="E66:E69" si="23">ABS(C66-D66)</f>
        <v>1441</v>
      </c>
      <c r="F66" s="31">
        <v>35</v>
      </c>
      <c r="G66" s="32" t="str">
        <f t="shared" ref="G66:G68" si="24">IF(B66="NW",E66,"")</f>
        <v/>
      </c>
      <c r="H66" s="86"/>
      <c r="I66" s="77" t="str">
        <f t="shared" si="2"/>
        <v/>
      </c>
      <c r="J66" s="77" t="str">
        <f t="shared" si="3"/>
        <v/>
      </c>
      <c r="K66" s="77">
        <f t="shared" si="4"/>
        <v>5.0434999999999999</v>
      </c>
      <c r="L66" s="77" t="str">
        <f t="shared" si="5"/>
        <v/>
      </c>
      <c r="M66" s="90"/>
      <c r="N66" s="90"/>
      <c r="O66" s="176"/>
    </row>
    <row r="67" spans="1:15" ht="20" customHeight="1" x14ac:dyDescent="0.15">
      <c r="A67" s="40"/>
      <c r="B67" s="177" t="s">
        <v>54</v>
      </c>
      <c r="C67" s="33">
        <f t="shared" si="6"/>
        <v>46471</v>
      </c>
      <c r="D67" s="33">
        <v>46486</v>
      </c>
      <c r="E67" s="31">
        <f t="shared" si="23"/>
        <v>15</v>
      </c>
      <c r="F67" s="31">
        <v>35</v>
      </c>
      <c r="G67" s="32">
        <f t="shared" si="24"/>
        <v>15</v>
      </c>
      <c r="H67" s="86"/>
      <c r="I67" s="77" t="str">
        <f t="shared" si="2"/>
        <v/>
      </c>
      <c r="J67" s="77" t="str">
        <f t="shared" si="3"/>
        <v/>
      </c>
      <c r="K67" s="77" t="str">
        <f t="shared" si="4"/>
        <v/>
      </c>
      <c r="L67" s="77" t="str">
        <f t="shared" si="5"/>
        <v/>
      </c>
      <c r="M67" s="90"/>
      <c r="N67" s="90"/>
      <c r="O67" s="176" t="s">
        <v>85</v>
      </c>
    </row>
    <row r="68" spans="1:15" ht="20" customHeight="1" x14ac:dyDescent="0.15">
      <c r="A68" s="40"/>
      <c r="B68" s="177" t="s">
        <v>22</v>
      </c>
      <c r="C68" s="33">
        <f t="shared" si="6"/>
        <v>46486</v>
      </c>
      <c r="D68" s="33">
        <v>46646</v>
      </c>
      <c r="E68" s="31">
        <f t="shared" si="23"/>
        <v>160</v>
      </c>
      <c r="F68" s="31">
        <v>35</v>
      </c>
      <c r="G68" s="32" t="str">
        <f t="shared" si="24"/>
        <v/>
      </c>
      <c r="H68" s="86"/>
      <c r="I68" s="77" t="str">
        <f t="shared" si="2"/>
        <v/>
      </c>
      <c r="J68" s="77" t="str">
        <f t="shared" si="3"/>
        <v/>
      </c>
      <c r="K68" s="77">
        <f t="shared" si="4"/>
        <v>0.56000000000000005</v>
      </c>
      <c r="L68" s="77" t="str">
        <f t="shared" si="5"/>
        <v/>
      </c>
      <c r="M68" s="90"/>
      <c r="N68" s="90"/>
      <c r="O68" s="176"/>
    </row>
    <row r="69" spans="1:15" ht="20" customHeight="1" x14ac:dyDescent="0.15">
      <c r="A69" s="40"/>
      <c r="B69" s="177" t="s">
        <v>54</v>
      </c>
      <c r="C69" s="33">
        <f t="shared" si="6"/>
        <v>46646</v>
      </c>
      <c r="D69" s="33">
        <v>46946</v>
      </c>
      <c r="E69" s="31">
        <f t="shared" si="23"/>
        <v>300</v>
      </c>
      <c r="F69" s="31">
        <v>35</v>
      </c>
      <c r="G69" s="32">
        <f>IF(B69="NW",E69,"")</f>
        <v>300</v>
      </c>
      <c r="H69" s="86"/>
      <c r="I69" s="77" t="str">
        <f>IF($B69="S",($E69*$F69)/10000,"")</f>
        <v/>
      </c>
      <c r="J69" s="77" t="str">
        <f>IF($B69="B",($E69*$F69)/10000,"")</f>
        <v/>
      </c>
      <c r="K69" s="77" t="str">
        <f t="shared" si="4"/>
        <v/>
      </c>
      <c r="L69" s="77" t="str">
        <f>IF($B69="G",($E69*$F69)/10000,"")</f>
        <v/>
      </c>
      <c r="M69" s="90"/>
      <c r="N69" s="90"/>
      <c r="O69" s="176" t="s">
        <v>86</v>
      </c>
    </row>
    <row r="70" spans="1:15" ht="20" customHeight="1" x14ac:dyDescent="0.15">
      <c r="A70" s="40"/>
      <c r="B70" s="177" t="s">
        <v>22</v>
      </c>
      <c r="C70" s="33">
        <f t="shared" si="6"/>
        <v>46946</v>
      </c>
      <c r="D70" s="33">
        <v>48550</v>
      </c>
      <c r="E70" s="31">
        <f t="shared" ref="E70:E75" si="25">ABS(C70-D70)</f>
        <v>1604</v>
      </c>
      <c r="F70" s="31">
        <v>35</v>
      </c>
      <c r="G70" s="32" t="str">
        <f t="shared" ref="G70:G75" si="26">IF(B70="NW",E70,"")</f>
        <v/>
      </c>
      <c r="H70" s="86"/>
      <c r="I70" s="77" t="str">
        <f t="shared" si="2"/>
        <v/>
      </c>
      <c r="J70" s="77" t="str">
        <f t="shared" si="3"/>
        <v/>
      </c>
      <c r="K70" s="77">
        <f t="shared" si="4"/>
        <v>5.6139999999999999</v>
      </c>
      <c r="L70" s="77" t="str">
        <f t="shared" si="5"/>
        <v/>
      </c>
      <c r="M70" s="90"/>
      <c r="N70" s="90"/>
      <c r="O70" s="176"/>
    </row>
    <row r="71" spans="1:15" ht="20" customHeight="1" x14ac:dyDescent="0.15">
      <c r="A71" s="40"/>
      <c r="B71" s="177" t="s">
        <v>54</v>
      </c>
      <c r="C71" s="33">
        <f t="shared" si="6"/>
        <v>48550</v>
      </c>
      <c r="D71" s="33">
        <v>48560</v>
      </c>
      <c r="E71" s="31">
        <f t="shared" si="25"/>
        <v>10</v>
      </c>
      <c r="F71" s="31">
        <v>35</v>
      </c>
      <c r="G71" s="32">
        <f t="shared" si="26"/>
        <v>10</v>
      </c>
      <c r="H71" s="86"/>
      <c r="I71" s="77" t="str">
        <f t="shared" si="2"/>
        <v/>
      </c>
      <c r="J71" s="77" t="str">
        <f t="shared" si="3"/>
        <v/>
      </c>
      <c r="K71" s="77" t="str">
        <f t="shared" si="4"/>
        <v/>
      </c>
      <c r="L71" s="77" t="str">
        <f t="shared" si="5"/>
        <v/>
      </c>
      <c r="M71" s="90"/>
      <c r="N71" s="90"/>
      <c r="O71" s="176" t="s">
        <v>87</v>
      </c>
    </row>
    <row r="72" spans="1:15" ht="20" customHeight="1" x14ac:dyDescent="0.15">
      <c r="A72" s="40"/>
      <c r="B72" s="177" t="s">
        <v>22</v>
      </c>
      <c r="C72" s="33">
        <f t="shared" si="6"/>
        <v>48560</v>
      </c>
      <c r="D72" s="33">
        <v>50269</v>
      </c>
      <c r="E72" s="31">
        <f t="shared" ref="E72" si="27">ABS(C72-D72)</f>
        <v>1709</v>
      </c>
      <c r="F72" s="31">
        <v>35</v>
      </c>
      <c r="G72" s="32" t="str">
        <f t="shared" ref="G72" si="28">IF(B72="NW",E72,"")</f>
        <v/>
      </c>
      <c r="H72" s="86"/>
      <c r="I72" s="77" t="str">
        <f t="shared" si="2"/>
        <v/>
      </c>
      <c r="J72" s="77" t="str">
        <f t="shared" si="3"/>
        <v/>
      </c>
      <c r="K72" s="77">
        <f t="shared" si="4"/>
        <v>5.9814999999999996</v>
      </c>
      <c r="L72" s="77" t="str">
        <f t="shared" si="5"/>
        <v/>
      </c>
      <c r="M72" s="90"/>
      <c r="N72" s="90"/>
      <c r="O72" s="176"/>
    </row>
    <row r="73" spans="1:15" ht="20" customHeight="1" x14ac:dyDescent="0.15">
      <c r="A73" s="40"/>
      <c r="B73" s="177" t="s">
        <v>54</v>
      </c>
      <c r="C73" s="33">
        <f>SUM(D72)</f>
        <v>50269</v>
      </c>
      <c r="D73" s="33">
        <v>50277</v>
      </c>
      <c r="E73" s="31">
        <f t="shared" si="25"/>
        <v>8</v>
      </c>
      <c r="F73" s="31">
        <v>35</v>
      </c>
      <c r="G73" s="32">
        <f t="shared" si="26"/>
        <v>8</v>
      </c>
      <c r="H73" s="86"/>
      <c r="I73" s="77" t="str">
        <f t="shared" si="2"/>
        <v/>
      </c>
      <c r="J73" s="77" t="str">
        <f t="shared" si="3"/>
        <v/>
      </c>
      <c r="K73" s="77" t="str">
        <f t="shared" si="4"/>
        <v/>
      </c>
      <c r="L73" s="77" t="str">
        <f t="shared" si="5"/>
        <v/>
      </c>
      <c r="M73" s="90"/>
      <c r="N73" s="90"/>
      <c r="O73" s="176" t="s">
        <v>88</v>
      </c>
    </row>
    <row r="74" spans="1:15" ht="20" customHeight="1" x14ac:dyDescent="0.15">
      <c r="A74" s="40"/>
      <c r="B74" s="177" t="s">
        <v>22</v>
      </c>
      <c r="C74" s="33">
        <f t="shared" si="6"/>
        <v>50277</v>
      </c>
      <c r="D74" s="33">
        <v>50648</v>
      </c>
      <c r="E74" s="31">
        <f t="shared" si="25"/>
        <v>371</v>
      </c>
      <c r="F74" s="31">
        <v>35</v>
      </c>
      <c r="G74" s="31" t="str">
        <f t="shared" si="26"/>
        <v/>
      </c>
      <c r="H74" s="86"/>
      <c r="I74" s="77" t="str">
        <f t="shared" si="2"/>
        <v/>
      </c>
      <c r="J74" s="77" t="str">
        <f t="shared" si="3"/>
        <v/>
      </c>
      <c r="K74" s="77">
        <f t="shared" si="4"/>
        <v>1.2985</v>
      </c>
      <c r="L74" s="77" t="str">
        <f t="shared" si="5"/>
        <v/>
      </c>
      <c r="M74" s="90"/>
      <c r="N74" s="90"/>
      <c r="O74" s="39"/>
    </row>
    <row r="75" spans="1:15" ht="20" customHeight="1" x14ac:dyDescent="0.15">
      <c r="A75" s="40"/>
      <c r="B75" s="177" t="s">
        <v>54</v>
      </c>
      <c r="C75" s="33">
        <f t="shared" si="6"/>
        <v>50648</v>
      </c>
      <c r="D75" s="33">
        <v>50748</v>
      </c>
      <c r="E75" s="31">
        <f t="shared" si="25"/>
        <v>100</v>
      </c>
      <c r="F75" s="31">
        <v>35</v>
      </c>
      <c r="G75" s="31">
        <f t="shared" si="26"/>
        <v>100</v>
      </c>
      <c r="H75" s="86"/>
      <c r="I75" s="77" t="str">
        <f t="shared" si="2"/>
        <v/>
      </c>
      <c r="J75" s="77" t="str">
        <f t="shared" si="3"/>
        <v/>
      </c>
      <c r="K75" s="77" t="str">
        <f t="shared" si="4"/>
        <v/>
      </c>
      <c r="L75" s="77" t="str">
        <f t="shared" si="5"/>
        <v/>
      </c>
      <c r="M75" s="90"/>
      <c r="N75" s="90"/>
      <c r="O75" s="176" t="s">
        <v>97</v>
      </c>
    </row>
    <row r="76" spans="1:15" ht="20" customHeight="1" x14ac:dyDescent="0.15">
      <c r="A76" s="40"/>
      <c r="B76" s="177" t="s">
        <v>22</v>
      </c>
      <c r="C76" s="33">
        <f t="shared" si="6"/>
        <v>50748</v>
      </c>
      <c r="D76" s="33">
        <v>51264</v>
      </c>
      <c r="E76" s="31">
        <f t="shared" ref="E76:E78" si="29">ABS(C76-D76)</f>
        <v>516</v>
      </c>
      <c r="F76" s="31">
        <v>35</v>
      </c>
      <c r="G76" s="32" t="str">
        <f t="shared" ref="G76:G78" si="30">IF(B76="NW",E76,"")</f>
        <v/>
      </c>
      <c r="H76" s="86"/>
      <c r="I76" s="77" t="str">
        <f t="shared" si="2"/>
        <v/>
      </c>
      <c r="J76" s="77" t="str">
        <f t="shared" si="3"/>
        <v/>
      </c>
      <c r="K76" s="77">
        <f t="shared" si="4"/>
        <v>1.806</v>
      </c>
      <c r="L76" s="77" t="str">
        <f t="shared" si="5"/>
        <v/>
      </c>
      <c r="M76" s="90"/>
      <c r="N76" s="90"/>
      <c r="O76" s="176"/>
    </row>
    <row r="77" spans="1:15" ht="20" customHeight="1" x14ac:dyDescent="0.15">
      <c r="A77" s="40"/>
      <c r="B77" s="177" t="s">
        <v>54</v>
      </c>
      <c r="C77" s="33">
        <f t="shared" si="6"/>
        <v>51264</v>
      </c>
      <c r="D77" s="33">
        <v>51272</v>
      </c>
      <c r="E77" s="31">
        <f t="shared" si="29"/>
        <v>8</v>
      </c>
      <c r="F77" s="31">
        <v>35</v>
      </c>
      <c r="G77" s="32">
        <f t="shared" si="30"/>
        <v>8</v>
      </c>
      <c r="H77" s="86"/>
      <c r="I77" s="77" t="str">
        <f t="shared" si="2"/>
        <v/>
      </c>
      <c r="J77" s="77" t="str">
        <f t="shared" si="3"/>
        <v/>
      </c>
      <c r="K77" s="77" t="str">
        <f t="shared" si="4"/>
        <v/>
      </c>
      <c r="L77" s="77" t="str">
        <f t="shared" si="5"/>
        <v/>
      </c>
      <c r="M77" s="90"/>
      <c r="N77" s="90"/>
      <c r="O77" s="176" t="s">
        <v>89</v>
      </c>
    </row>
    <row r="78" spans="1:15" ht="20" customHeight="1" x14ac:dyDescent="0.15">
      <c r="A78" s="40"/>
      <c r="B78" s="177" t="s">
        <v>22</v>
      </c>
      <c r="C78" s="33">
        <f t="shared" si="6"/>
        <v>51272</v>
      </c>
      <c r="D78" s="33">
        <v>51750</v>
      </c>
      <c r="E78" s="31">
        <f t="shared" si="29"/>
        <v>478</v>
      </c>
      <c r="F78" s="31">
        <v>35</v>
      </c>
      <c r="G78" s="32" t="str">
        <f t="shared" si="30"/>
        <v/>
      </c>
      <c r="H78" s="86"/>
      <c r="I78" s="77" t="str">
        <f t="shared" si="2"/>
        <v/>
      </c>
      <c r="J78" s="77" t="str">
        <f t="shared" si="3"/>
        <v/>
      </c>
      <c r="K78" s="77">
        <f t="shared" si="4"/>
        <v>1.673</v>
      </c>
      <c r="L78" s="77" t="str">
        <f t="shared" si="5"/>
        <v/>
      </c>
      <c r="M78" s="90"/>
      <c r="N78" s="90"/>
      <c r="O78" s="176"/>
    </row>
    <row r="79" spans="1:15" ht="20" customHeight="1" x14ac:dyDescent="0.15">
      <c r="A79" s="40"/>
      <c r="B79" s="177" t="s">
        <v>22</v>
      </c>
      <c r="C79" s="33">
        <v>32180</v>
      </c>
      <c r="D79" s="33">
        <v>51750</v>
      </c>
      <c r="E79" s="31"/>
      <c r="F79" s="31"/>
      <c r="G79" s="32" t="str">
        <f>IF(B79="NW",E79,"")</f>
        <v/>
      </c>
      <c r="H79" s="86"/>
      <c r="I79" s="77" t="str">
        <f>IF($B79="S",($E79*$F79)/10000,"")</f>
        <v/>
      </c>
      <c r="J79" s="77" t="str">
        <f t="shared" si="3"/>
        <v/>
      </c>
      <c r="K79" s="77">
        <v>8.8422000000000001</v>
      </c>
      <c r="L79" s="77" t="str">
        <f>IF($B79="G",($E79*$F79)/10000,"")</f>
        <v/>
      </c>
      <c r="M79" s="90"/>
      <c r="N79" s="90"/>
      <c r="O79" s="176" t="s">
        <v>90</v>
      </c>
    </row>
    <row r="80" spans="1:15" ht="20" customHeight="1" x14ac:dyDescent="0.15">
      <c r="A80" s="40">
        <v>40968</v>
      </c>
      <c r="B80" s="177" t="s">
        <v>22</v>
      </c>
      <c r="C80" s="33">
        <f t="shared" ref="C80:C93" si="31">SUM(D79)</f>
        <v>51750</v>
      </c>
      <c r="D80" s="33">
        <v>51865</v>
      </c>
      <c r="E80" s="31">
        <f t="shared" ref="E80:E85" si="32">ABS(C80-D80)</f>
        <v>115</v>
      </c>
      <c r="F80" s="31">
        <v>35</v>
      </c>
      <c r="G80" s="32" t="str">
        <f t="shared" ref="G80:G85" si="33">IF(B80="NW",E80,"")</f>
        <v/>
      </c>
      <c r="H80" s="86"/>
      <c r="I80" s="77" t="str">
        <f t="shared" si="2"/>
        <v/>
      </c>
      <c r="J80" s="77" t="str">
        <f t="shared" si="3"/>
        <v/>
      </c>
      <c r="K80" s="77">
        <f t="shared" si="4"/>
        <v>0.40250000000000002</v>
      </c>
      <c r="L80" s="77" t="str">
        <f t="shared" si="5"/>
        <v/>
      </c>
      <c r="M80" s="90"/>
      <c r="N80" s="90"/>
      <c r="O80" s="176"/>
    </row>
    <row r="81" spans="1:17" ht="20" customHeight="1" x14ac:dyDescent="0.15">
      <c r="A81" s="40"/>
      <c r="B81" s="177" t="s">
        <v>22</v>
      </c>
      <c r="C81" s="33">
        <f t="shared" si="31"/>
        <v>51865</v>
      </c>
      <c r="D81" s="33">
        <v>51940</v>
      </c>
      <c r="E81" s="31">
        <f t="shared" si="32"/>
        <v>75</v>
      </c>
      <c r="F81" s="31">
        <v>35</v>
      </c>
      <c r="G81" s="32" t="str">
        <f t="shared" si="33"/>
        <v/>
      </c>
      <c r="H81" s="86"/>
      <c r="I81" s="77" t="str">
        <f t="shared" si="2"/>
        <v/>
      </c>
      <c r="J81" s="77" t="str">
        <f t="shared" si="3"/>
        <v/>
      </c>
      <c r="K81" s="77">
        <f t="shared" si="4"/>
        <v>0.26250000000000001</v>
      </c>
      <c r="L81" s="77" t="str">
        <f t="shared" si="5"/>
        <v/>
      </c>
      <c r="M81" s="90"/>
      <c r="N81" s="90"/>
      <c r="O81" s="176"/>
    </row>
    <row r="82" spans="1:17" ht="20" customHeight="1" x14ac:dyDescent="0.15">
      <c r="A82" s="40"/>
      <c r="B82" s="177" t="s">
        <v>22</v>
      </c>
      <c r="C82" s="33">
        <f t="shared" si="31"/>
        <v>51940</v>
      </c>
      <c r="D82" s="33">
        <v>52010</v>
      </c>
      <c r="E82" s="31">
        <f t="shared" si="32"/>
        <v>70</v>
      </c>
      <c r="F82" s="31">
        <v>35</v>
      </c>
      <c r="G82" s="32" t="str">
        <f t="shared" si="33"/>
        <v/>
      </c>
      <c r="H82" s="86"/>
      <c r="I82" s="77" t="str">
        <f t="shared" si="2"/>
        <v/>
      </c>
      <c r="J82" s="77" t="str">
        <f t="shared" si="3"/>
        <v/>
      </c>
      <c r="K82" s="77">
        <f t="shared" si="4"/>
        <v>0.245</v>
      </c>
      <c r="L82" s="77" t="str">
        <f t="shared" si="5"/>
        <v/>
      </c>
      <c r="M82" s="90"/>
      <c r="N82" s="90"/>
      <c r="O82" s="176"/>
    </row>
    <row r="83" spans="1:17" ht="20" customHeight="1" x14ac:dyDescent="0.15">
      <c r="A83" s="40"/>
      <c r="B83" s="177" t="s">
        <v>54</v>
      </c>
      <c r="C83" s="33">
        <f t="shared" si="31"/>
        <v>52010</v>
      </c>
      <c r="D83" s="33">
        <v>52028</v>
      </c>
      <c r="E83" s="31">
        <f t="shared" si="32"/>
        <v>18</v>
      </c>
      <c r="F83" s="31">
        <v>35</v>
      </c>
      <c r="G83" s="31">
        <f t="shared" si="33"/>
        <v>18</v>
      </c>
      <c r="H83" s="86"/>
      <c r="I83" s="77" t="str">
        <f t="shared" si="2"/>
        <v/>
      </c>
      <c r="J83" s="77" t="str">
        <f t="shared" si="3"/>
        <v/>
      </c>
      <c r="K83" s="77" t="str">
        <f t="shared" si="4"/>
        <v/>
      </c>
      <c r="L83" s="77" t="str">
        <f t="shared" si="5"/>
        <v/>
      </c>
      <c r="M83" s="90"/>
      <c r="N83" s="90"/>
      <c r="O83" s="176" t="s">
        <v>91</v>
      </c>
    </row>
    <row r="84" spans="1:17" ht="20" customHeight="1" x14ac:dyDescent="0.15">
      <c r="A84" s="40"/>
      <c r="B84" s="177" t="s">
        <v>22</v>
      </c>
      <c r="C84" s="33">
        <f t="shared" si="31"/>
        <v>52028</v>
      </c>
      <c r="D84" s="33">
        <v>52140</v>
      </c>
      <c r="E84" s="31">
        <f t="shared" si="32"/>
        <v>112</v>
      </c>
      <c r="F84" s="31">
        <v>35</v>
      </c>
      <c r="G84" s="31" t="str">
        <f t="shared" si="33"/>
        <v/>
      </c>
      <c r="H84" s="86"/>
      <c r="I84" s="77" t="str">
        <f t="shared" si="2"/>
        <v/>
      </c>
      <c r="J84" s="77" t="str">
        <f t="shared" si="3"/>
        <v/>
      </c>
      <c r="K84" s="77">
        <f t="shared" si="4"/>
        <v>0.39200000000000002</v>
      </c>
      <c r="L84" s="77" t="str">
        <f t="shared" si="5"/>
        <v/>
      </c>
      <c r="M84" s="90"/>
      <c r="N84" s="90"/>
      <c r="O84" s="176"/>
    </row>
    <row r="85" spans="1:17" ht="20" customHeight="1" x14ac:dyDescent="0.15">
      <c r="A85" s="40"/>
      <c r="B85" s="177" t="s">
        <v>22</v>
      </c>
      <c r="C85" s="33">
        <f t="shared" si="31"/>
        <v>52140</v>
      </c>
      <c r="D85" s="33">
        <v>52240</v>
      </c>
      <c r="E85" s="31">
        <f t="shared" si="32"/>
        <v>100</v>
      </c>
      <c r="F85" s="31">
        <v>35</v>
      </c>
      <c r="G85" s="31" t="str">
        <f t="shared" si="33"/>
        <v/>
      </c>
      <c r="H85" s="86"/>
      <c r="I85" s="77" t="str">
        <f t="shared" si="2"/>
        <v/>
      </c>
      <c r="J85" s="77" t="str">
        <f t="shared" si="3"/>
        <v/>
      </c>
      <c r="K85" s="77">
        <f t="shared" si="4"/>
        <v>0.35</v>
      </c>
      <c r="L85" s="77" t="str">
        <f t="shared" si="5"/>
        <v/>
      </c>
      <c r="M85" s="90"/>
      <c r="N85" s="90"/>
      <c r="O85" s="176"/>
    </row>
    <row r="86" spans="1:17" ht="20" customHeight="1" x14ac:dyDescent="0.15">
      <c r="A86" s="40"/>
      <c r="B86" s="177" t="s">
        <v>22</v>
      </c>
      <c r="C86" s="33">
        <f t="shared" si="31"/>
        <v>52240</v>
      </c>
      <c r="D86" s="33">
        <v>52365</v>
      </c>
      <c r="E86" s="31">
        <f t="shared" ref="E86:E89" si="34">ABS(C86-D86)</f>
        <v>125</v>
      </c>
      <c r="F86" s="31">
        <v>35</v>
      </c>
      <c r="G86" s="32" t="str">
        <f t="shared" ref="G86:G88" si="35">IF(B86="NW",E86,"")</f>
        <v/>
      </c>
      <c r="H86" s="86"/>
      <c r="I86" s="77" t="str">
        <f t="shared" si="2"/>
        <v/>
      </c>
      <c r="J86" s="77" t="str">
        <f t="shared" si="3"/>
        <v/>
      </c>
      <c r="K86" s="77">
        <f t="shared" si="4"/>
        <v>0.4375</v>
      </c>
      <c r="L86" s="77" t="str">
        <f t="shared" si="5"/>
        <v/>
      </c>
      <c r="M86" s="90"/>
      <c r="N86" s="90"/>
      <c r="O86" s="176"/>
    </row>
    <row r="87" spans="1:17" ht="20" customHeight="1" x14ac:dyDescent="0.15">
      <c r="A87" s="40"/>
      <c r="B87" s="177" t="s">
        <v>22</v>
      </c>
      <c r="C87" s="33">
        <f t="shared" si="31"/>
        <v>52365</v>
      </c>
      <c r="D87" s="33">
        <v>53670</v>
      </c>
      <c r="E87" s="31">
        <f t="shared" si="34"/>
        <v>1305</v>
      </c>
      <c r="F87" s="31">
        <v>35</v>
      </c>
      <c r="G87" s="32" t="str">
        <f t="shared" si="35"/>
        <v/>
      </c>
      <c r="H87" s="86"/>
      <c r="I87" s="77" t="str">
        <f t="shared" si="2"/>
        <v/>
      </c>
      <c r="J87" s="77" t="str">
        <f t="shared" si="3"/>
        <v/>
      </c>
      <c r="K87" s="77">
        <f t="shared" si="4"/>
        <v>4.5674999999999999</v>
      </c>
      <c r="L87" s="77" t="str">
        <f t="shared" si="5"/>
        <v/>
      </c>
      <c r="M87" s="90"/>
      <c r="N87" s="90"/>
      <c r="O87" s="176"/>
    </row>
    <row r="88" spans="1:17" ht="20" customHeight="1" x14ac:dyDescent="0.15">
      <c r="A88" s="40"/>
      <c r="B88" s="177" t="s">
        <v>54</v>
      </c>
      <c r="C88" s="33">
        <f t="shared" si="31"/>
        <v>53670</v>
      </c>
      <c r="D88" s="33">
        <v>53680</v>
      </c>
      <c r="E88" s="31">
        <f t="shared" si="34"/>
        <v>10</v>
      </c>
      <c r="F88" s="31">
        <v>35</v>
      </c>
      <c r="G88" s="32">
        <f t="shared" si="35"/>
        <v>10</v>
      </c>
      <c r="H88" s="86"/>
      <c r="I88" s="77" t="str">
        <f t="shared" si="2"/>
        <v/>
      </c>
      <c r="J88" s="77" t="str">
        <f t="shared" si="3"/>
        <v/>
      </c>
      <c r="K88" s="77" t="str">
        <f t="shared" si="4"/>
        <v/>
      </c>
      <c r="L88" s="77" t="str">
        <f t="shared" si="5"/>
        <v/>
      </c>
      <c r="M88" s="90"/>
      <c r="N88" s="90"/>
      <c r="O88" s="176" t="s">
        <v>92</v>
      </c>
    </row>
    <row r="89" spans="1:17" ht="20" customHeight="1" x14ac:dyDescent="0.15">
      <c r="A89" s="40"/>
      <c r="B89" s="177" t="s">
        <v>22</v>
      </c>
      <c r="C89" s="33">
        <f t="shared" si="31"/>
        <v>53680</v>
      </c>
      <c r="D89" s="33">
        <v>55417</v>
      </c>
      <c r="E89" s="31">
        <f t="shared" si="34"/>
        <v>1737</v>
      </c>
      <c r="F89" s="31">
        <v>35</v>
      </c>
      <c r="G89" s="32" t="str">
        <f>IF(B89="NW",E89,"")</f>
        <v/>
      </c>
      <c r="H89" s="86"/>
      <c r="I89" s="77" t="str">
        <f>IF($B89="S",($E89*$F89)/10000,"")</f>
        <v/>
      </c>
      <c r="J89" s="77" t="str">
        <f>IF($B89="B",($E89*$F89)/10000,"")</f>
        <v/>
      </c>
      <c r="K89" s="77">
        <f t="shared" si="4"/>
        <v>6.0795000000000003</v>
      </c>
      <c r="L89" s="77" t="str">
        <f>IF($B89="G",($E89*$F89)/10000,"")</f>
        <v/>
      </c>
      <c r="M89" s="90"/>
      <c r="N89" s="90"/>
      <c r="O89" s="181"/>
    </row>
    <row r="90" spans="1:17" ht="20" customHeight="1" x14ac:dyDescent="0.15">
      <c r="A90" s="40"/>
      <c r="B90" s="177" t="s">
        <v>54</v>
      </c>
      <c r="C90" s="33">
        <f t="shared" si="31"/>
        <v>55417</v>
      </c>
      <c r="D90" s="33">
        <v>55427</v>
      </c>
      <c r="E90" s="31">
        <f t="shared" ref="E90:E92" si="36">ABS(C90-D90)</f>
        <v>10</v>
      </c>
      <c r="F90" s="31">
        <v>35</v>
      </c>
      <c r="G90" s="32">
        <f t="shared" ref="G90:G94" si="37">IF(B90="NW",E90,"")</f>
        <v>10</v>
      </c>
      <c r="H90" s="86"/>
      <c r="I90" s="77" t="str">
        <f t="shared" si="2"/>
        <v/>
      </c>
      <c r="J90" s="77" t="str">
        <f t="shared" si="3"/>
        <v/>
      </c>
      <c r="K90" s="77" t="str">
        <f t="shared" si="4"/>
        <v/>
      </c>
      <c r="L90" s="77" t="str">
        <f t="shared" si="5"/>
        <v/>
      </c>
      <c r="M90" s="90"/>
      <c r="N90" s="90"/>
      <c r="O90" s="176" t="s">
        <v>93</v>
      </c>
    </row>
    <row r="91" spans="1:17" ht="20" customHeight="1" x14ac:dyDescent="0.15">
      <c r="A91" s="40"/>
      <c r="B91" s="177" t="s">
        <v>22</v>
      </c>
      <c r="C91" s="33">
        <f t="shared" si="31"/>
        <v>55427</v>
      </c>
      <c r="D91" s="33">
        <v>57215</v>
      </c>
      <c r="E91" s="31">
        <f t="shared" si="36"/>
        <v>1788</v>
      </c>
      <c r="F91" s="31">
        <v>35</v>
      </c>
      <c r="G91" s="32" t="str">
        <f t="shared" si="37"/>
        <v/>
      </c>
      <c r="H91" s="86"/>
      <c r="I91" s="77" t="str">
        <f t="shared" si="2"/>
        <v/>
      </c>
      <c r="J91" s="77" t="str">
        <f t="shared" si="3"/>
        <v/>
      </c>
      <c r="K91" s="77">
        <f t="shared" si="4"/>
        <v>6.258</v>
      </c>
      <c r="L91" s="77" t="str">
        <f t="shared" si="5"/>
        <v/>
      </c>
      <c r="M91" s="90"/>
      <c r="N91" s="90"/>
      <c r="O91" s="176"/>
    </row>
    <row r="92" spans="1:17" ht="20" customHeight="1" x14ac:dyDescent="0.15">
      <c r="A92" s="40"/>
      <c r="B92" s="177" t="s">
        <v>22</v>
      </c>
      <c r="C92" s="33">
        <f t="shared" si="31"/>
        <v>57215</v>
      </c>
      <c r="D92" s="33">
        <v>57245</v>
      </c>
      <c r="E92" s="31">
        <f t="shared" si="36"/>
        <v>30</v>
      </c>
      <c r="F92" s="31">
        <v>35</v>
      </c>
      <c r="G92" s="32" t="str">
        <f t="shared" si="37"/>
        <v/>
      </c>
      <c r="H92" s="86"/>
      <c r="I92" s="77" t="str">
        <f t="shared" si="2"/>
        <v/>
      </c>
      <c r="J92" s="77" t="str">
        <f t="shared" si="3"/>
        <v/>
      </c>
      <c r="K92" s="77">
        <f t="shared" si="4"/>
        <v>0.105</v>
      </c>
      <c r="L92" s="77" t="str">
        <f t="shared" si="5"/>
        <v/>
      </c>
      <c r="M92" s="90"/>
      <c r="N92" s="90"/>
      <c r="O92" s="176"/>
    </row>
    <row r="93" spans="1:17" ht="20" customHeight="1" x14ac:dyDescent="0.15">
      <c r="A93" s="40"/>
      <c r="B93" s="177" t="s">
        <v>22</v>
      </c>
      <c r="C93" s="33">
        <f t="shared" si="31"/>
        <v>57245</v>
      </c>
      <c r="D93" s="33">
        <v>57342</v>
      </c>
      <c r="E93" s="31">
        <v>124</v>
      </c>
      <c r="F93" s="31">
        <v>35</v>
      </c>
      <c r="G93" s="32" t="str">
        <f t="shared" si="37"/>
        <v/>
      </c>
      <c r="H93" s="86"/>
      <c r="I93" s="77" t="str">
        <f t="shared" si="2"/>
        <v/>
      </c>
      <c r="J93" s="77" t="str">
        <f t="shared" si="3"/>
        <v/>
      </c>
      <c r="K93" s="77">
        <f t="shared" si="4"/>
        <v>0.434</v>
      </c>
      <c r="L93" s="77" t="str">
        <f t="shared" si="5"/>
        <v/>
      </c>
      <c r="M93" s="90"/>
      <c r="N93" s="90"/>
      <c r="O93" s="176" t="s">
        <v>98</v>
      </c>
    </row>
    <row r="94" spans="1:17" ht="20" customHeight="1" x14ac:dyDescent="0.15">
      <c r="A94" s="40"/>
      <c r="B94" s="177" t="s">
        <v>22</v>
      </c>
      <c r="C94" s="33">
        <v>51750</v>
      </c>
      <c r="D94" s="33">
        <v>57215</v>
      </c>
      <c r="E94" s="31"/>
      <c r="F94" s="31"/>
      <c r="G94" s="32" t="str">
        <f t="shared" si="37"/>
        <v/>
      </c>
      <c r="H94" s="86"/>
      <c r="I94" s="77" t="str">
        <f t="shared" si="2"/>
        <v/>
      </c>
      <c r="J94" s="77"/>
      <c r="K94" s="77">
        <v>2.7639499999999999</v>
      </c>
      <c r="L94" s="77" t="str">
        <f t="shared" si="5"/>
        <v/>
      </c>
      <c r="M94" s="90"/>
      <c r="N94" s="90"/>
      <c r="O94" s="176" t="s">
        <v>90</v>
      </c>
    </row>
    <row r="95" spans="1:17" ht="20" customHeight="1" thickBot="1" x14ac:dyDescent="0.2">
      <c r="A95" s="40"/>
      <c r="B95" s="177"/>
      <c r="C95" s="33"/>
      <c r="D95" s="33"/>
      <c r="E95" s="31"/>
      <c r="F95" s="31"/>
      <c r="G95" s="31"/>
      <c r="H95" s="86"/>
      <c r="I95" s="77" t="str">
        <f t="shared" si="2"/>
        <v/>
      </c>
      <c r="J95" s="77" t="str">
        <f t="shared" si="3"/>
        <v/>
      </c>
      <c r="K95" s="77" t="str">
        <f t="shared" si="4"/>
        <v/>
      </c>
      <c r="L95" s="77" t="str">
        <f t="shared" si="5"/>
        <v/>
      </c>
      <c r="M95" s="90"/>
      <c r="N95" s="90"/>
      <c r="O95" s="176"/>
    </row>
    <row r="96" spans="1:17" ht="21" customHeight="1" thickBot="1" x14ac:dyDescent="0.2">
      <c r="A96" s="43"/>
      <c r="B96" s="44"/>
      <c r="C96" s="44"/>
      <c r="D96" s="12" t="s">
        <v>9</v>
      </c>
      <c r="E96" s="14">
        <f>SUM(E6:E95)</f>
        <v>38959</v>
      </c>
      <c r="F96" s="13"/>
      <c r="G96" s="14">
        <f>SUM(G6:G95)</f>
        <v>6265</v>
      </c>
      <c r="H96" s="69">
        <f>SUM(H6:H95)</f>
        <v>0</v>
      </c>
      <c r="I96" s="80">
        <f>SUM(I6:I95)</f>
        <v>0</v>
      </c>
      <c r="J96" s="80">
        <f>SUM(J6:J95)</f>
        <v>0</v>
      </c>
      <c r="K96" s="80">
        <f>SUM(K6:K95)</f>
        <v>137.82515000000001</v>
      </c>
      <c r="L96" s="80"/>
      <c r="M96" s="69">
        <f>SUM(M6:M95)</f>
        <v>0</v>
      </c>
      <c r="N96" s="69">
        <f>SUM(N6:N95)</f>
        <v>0</v>
      </c>
      <c r="O96" s="45"/>
      <c r="Q96" s="155"/>
    </row>
    <row r="97" spans="1:20" ht="24.75" customHeight="1" x14ac:dyDescent="0.15">
      <c r="A97" s="46"/>
      <c r="B97" s="47"/>
      <c r="C97" s="17"/>
      <c r="D97" s="17"/>
      <c r="E97" s="17"/>
      <c r="F97" s="17"/>
      <c r="G97" s="18"/>
      <c r="H97" s="70">
        <v>2.2000000000000002</v>
      </c>
      <c r="I97" s="81">
        <v>2.2999999999999998</v>
      </c>
      <c r="J97" s="82">
        <v>2.4</v>
      </c>
      <c r="K97" s="81">
        <v>2.5</v>
      </c>
      <c r="L97" s="81">
        <v>2.6</v>
      </c>
      <c r="M97" s="94" t="s">
        <v>50</v>
      </c>
      <c r="N97" s="94" t="s">
        <v>51</v>
      </c>
      <c r="O97" s="48"/>
      <c r="P97" s="155" t="s">
        <v>39</v>
      </c>
      <c r="Q97" s="155" t="s">
        <v>37</v>
      </c>
      <c r="R97" s="155" t="s">
        <v>38</v>
      </c>
      <c r="T97" s="156" t="s">
        <v>40</v>
      </c>
    </row>
    <row r="98" spans="1:20" ht="24.75" customHeight="1" thickBot="1" x14ac:dyDescent="0.2">
      <c r="A98" s="46"/>
      <c r="B98" s="47"/>
      <c r="C98" s="17"/>
      <c r="D98" s="17"/>
      <c r="E98" s="17"/>
      <c r="F98" s="17"/>
      <c r="G98" s="15" t="s">
        <v>4</v>
      </c>
      <c r="H98" s="71">
        <f>(H96*128)</f>
        <v>0</v>
      </c>
      <c r="I98" s="83">
        <f>(I96*12000)</f>
        <v>0</v>
      </c>
      <c r="J98" s="83">
        <f>(J96*14000)</f>
        <v>0</v>
      </c>
      <c r="K98" s="83">
        <f>(K96*12000)</f>
        <v>1653901.8</v>
      </c>
      <c r="L98" s="83">
        <f>(L96*14000)</f>
        <v>0</v>
      </c>
      <c r="M98" s="71">
        <f>(M96*75)</f>
        <v>0</v>
      </c>
      <c r="N98" s="71">
        <f>(N96*80)</f>
        <v>0</v>
      </c>
      <c r="O98" s="65">
        <f>SUM(H98:N98)</f>
        <v>1653901.8</v>
      </c>
      <c r="P98" s="96">
        <f>'Clearing (EWS)'!P57</f>
        <v>660</v>
      </c>
      <c r="Q98" s="62">
        <f>'UPIs (Billing2)'!H18</f>
        <v>1054883.5</v>
      </c>
      <c r="R98" s="96" t="e">
        <f>#REF!</f>
        <v>#REF!</v>
      </c>
      <c r="T98" s="62" t="e">
        <f>SUM(O98:R98)</f>
        <v>#REF!</v>
      </c>
    </row>
    <row r="99" spans="1:20" ht="10.5" customHeight="1" x14ac:dyDescent="0.15">
      <c r="A99" s="46"/>
      <c r="B99" s="47"/>
      <c r="C99" s="17"/>
      <c r="D99" s="17"/>
      <c r="E99" s="17"/>
      <c r="F99" s="17"/>
      <c r="G99" s="16"/>
      <c r="H99" s="16"/>
      <c r="I99" s="1"/>
      <c r="J99" s="1"/>
      <c r="K99" s="1"/>
      <c r="L99" s="1"/>
      <c r="M99" s="1"/>
      <c r="N99" s="1"/>
      <c r="O99" s="48"/>
    </row>
    <row r="100" spans="1:20" ht="10.5" customHeight="1" thickBot="1" x14ac:dyDescent="0.2">
      <c r="A100" s="54"/>
      <c r="B100" s="55"/>
      <c r="C100" s="56"/>
      <c r="D100" s="56"/>
      <c r="E100" s="56"/>
      <c r="F100" s="56"/>
      <c r="G100" s="56"/>
      <c r="H100" s="56"/>
      <c r="I100" s="56"/>
      <c r="J100" s="57"/>
      <c r="K100" s="56"/>
      <c r="L100" s="56"/>
      <c r="M100" s="56"/>
      <c r="N100" s="56"/>
      <c r="O100" s="58"/>
    </row>
    <row r="102" spans="1:20" x14ac:dyDescent="0.15">
      <c r="P102" t="s">
        <v>41</v>
      </c>
    </row>
    <row r="118" spans="1:1" x14ac:dyDescent="0.15">
      <c r="A118" s="180" t="s">
        <v>55</v>
      </c>
    </row>
  </sheetData>
  <mergeCells count="21">
    <mergeCell ref="C4:C5"/>
    <mergeCell ref="D4:D5"/>
    <mergeCell ref="E4:E5"/>
    <mergeCell ref="G4:G5"/>
    <mergeCell ref="I4:I5"/>
    <mergeCell ref="F1:M1"/>
    <mergeCell ref="N1:O1"/>
    <mergeCell ref="K4:K5"/>
    <mergeCell ref="A4:A5"/>
    <mergeCell ref="A1:E1"/>
    <mergeCell ref="A2:E2"/>
    <mergeCell ref="M2:O2"/>
    <mergeCell ref="F2:K2"/>
    <mergeCell ref="H4:H5"/>
    <mergeCell ref="M4:M5"/>
    <mergeCell ref="B4:B5"/>
    <mergeCell ref="O4:O5"/>
    <mergeCell ref="L4:L5"/>
    <mergeCell ref="N4:N5"/>
    <mergeCell ref="J4:J5"/>
    <mergeCell ref="F4:F5"/>
  </mergeCells>
  <pageMargins left="0.25" right="0.25" top="0.75" bottom="0.75" header="0.3" footer="0.3"/>
  <pageSetup scale="7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K171"/>
  <sheetViews>
    <sheetView tabSelected="1" zoomScale="140" zoomScaleNormal="140" workbookViewId="0">
      <selection activeCell="E42" sqref="E42"/>
    </sheetView>
  </sheetViews>
  <sheetFormatPr baseColWidth="10" defaultColWidth="8.83203125" defaultRowHeight="13" x14ac:dyDescent="0.15"/>
  <cols>
    <col min="1" max="1" width="6.83203125" customWidth="1"/>
    <col min="2" max="2" width="12.83203125" style="98" bestFit="1" customWidth="1"/>
    <col min="3" max="3" width="9.33203125" style="99" bestFit="1" customWidth="1"/>
    <col min="4" max="4" width="9.83203125" style="99" bestFit="1" customWidth="1"/>
    <col min="5" max="5" width="34.33203125" customWidth="1"/>
    <col min="6" max="6" width="18" style="95" customWidth="1"/>
    <col min="7" max="7" width="13.83203125" style="95" bestFit="1" customWidth="1"/>
    <col min="8" max="8" width="14.6640625" style="95" customWidth="1"/>
    <col min="9" max="9" width="18.33203125" style="97" customWidth="1"/>
    <col min="10" max="10" width="8.33203125" customWidth="1"/>
    <col min="11" max="11" width="13.6640625" bestFit="1" customWidth="1"/>
  </cols>
  <sheetData>
    <row r="4" spans="2:11" ht="17" x14ac:dyDescent="0.2">
      <c r="B4" s="220" t="s">
        <v>44</v>
      </c>
      <c r="C4" s="220"/>
      <c r="D4" s="220"/>
      <c r="E4" s="220"/>
      <c r="F4" s="220"/>
      <c r="G4" s="220"/>
      <c r="H4" s="220"/>
    </row>
    <row r="5" spans="2:11" ht="17" x14ac:dyDescent="0.2">
      <c r="B5" s="220" t="s">
        <v>67</v>
      </c>
      <c r="C5" s="220"/>
      <c r="D5" s="220"/>
      <c r="E5" s="220"/>
      <c r="F5" s="220"/>
      <c r="G5" s="220"/>
      <c r="H5" s="220"/>
    </row>
    <row r="6" spans="2:11" ht="17" x14ac:dyDescent="0.2">
      <c r="B6" s="179"/>
      <c r="C6" s="179"/>
      <c r="D6" s="179"/>
      <c r="E6" s="179"/>
      <c r="F6" s="179"/>
      <c r="G6" s="179"/>
      <c r="H6" s="179"/>
    </row>
    <row r="7" spans="2:11" ht="17" x14ac:dyDescent="0.2">
      <c r="B7" s="220" t="s">
        <v>59</v>
      </c>
      <c r="C7" s="220"/>
      <c r="D7" s="220"/>
      <c r="E7" s="220"/>
      <c r="F7" s="220"/>
      <c r="G7" s="220"/>
      <c r="H7" s="220"/>
    </row>
    <row r="8" spans="2:11" ht="14" thickBot="1" x14ac:dyDescent="0.2"/>
    <row r="9" spans="2:11" ht="16" thickBot="1" x14ac:dyDescent="0.25">
      <c r="B9" s="100" t="s">
        <v>0</v>
      </c>
      <c r="C9" s="102" t="s">
        <v>29</v>
      </c>
      <c r="D9" s="102" t="s">
        <v>30</v>
      </c>
      <c r="E9" s="101" t="s">
        <v>31</v>
      </c>
      <c r="F9" s="101" t="s">
        <v>32</v>
      </c>
      <c r="G9" s="101" t="s">
        <v>33</v>
      </c>
      <c r="H9" s="103" t="s">
        <v>27</v>
      </c>
      <c r="I9"/>
    </row>
    <row r="10" spans="2:11" ht="15" x14ac:dyDescent="0.2">
      <c r="B10" s="104"/>
      <c r="C10" s="105"/>
      <c r="D10" s="105"/>
      <c r="E10" s="106"/>
      <c r="F10" s="107"/>
      <c r="G10" s="108"/>
      <c r="H10" s="109"/>
      <c r="I10" s="110"/>
      <c r="J10" s="111"/>
      <c r="K10" s="112"/>
    </row>
    <row r="11" spans="2:11" ht="15" x14ac:dyDescent="0.2">
      <c r="B11" s="114">
        <v>40954</v>
      </c>
      <c r="C11" s="116">
        <v>2.1</v>
      </c>
      <c r="D11" s="117"/>
      <c r="E11" s="121" t="s">
        <v>60</v>
      </c>
      <c r="F11" s="118" t="s">
        <v>61</v>
      </c>
      <c r="G11" s="119"/>
      <c r="H11" s="113">
        <v>325187.5</v>
      </c>
      <c r="I11" s="110"/>
      <c r="J11" s="112"/>
      <c r="K11" s="112"/>
    </row>
    <row r="12" spans="2:11" ht="15" x14ac:dyDescent="0.2">
      <c r="B12" s="114">
        <v>40954</v>
      </c>
      <c r="C12" s="116">
        <v>2.2000000000000002</v>
      </c>
      <c r="D12" s="117">
        <v>1251</v>
      </c>
      <c r="E12" s="106" t="s">
        <v>56</v>
      </c>
      <c r="F12" s="118" t="s">
        <v>57</v>
      </c>
      <c r="G12" s="119">
        <v>128</v>
      </c>
      <c r="H12" s="113">
        <f t="shared" ref="H12:H17" si="0">D12*G12</f>
        <v>160128</v>
      </c>
      <c r="I12" s="110"/>
      <c r="J12" s="120"/>
      <c r="K12" s="112"/>
    </row>
    <row r="13" spans="2:11" ht="15" x14ac:dyDescent="0.2">
      <c r="B13" s="114">
        <v>40954</v>
      </c>
      <c r="C13" s="116">
        <v>2.2000000000000002</v>
      </c>
      <c r="D13" s="117">
        <v>1296</v>
      </c>
      <c r="E13" s="106" t="s">
        <v>56</v>
      </c>
      <c r="F13" s="118" t="s">
        <v>58</v>
      </c>
      <c r="G13" s="119">
        <v>128</v>
      </c>
      <c r="H13" s="113">
        <f t="shared" si="0"/>
        <v>165888</v>
      </c>
      <c r="I13" s="110"/>
      <c r="J13" s="112"/>
      <c r="K13" s="112"/>
    </row>
    <row r="14" spans="2:11" ht="15" x14ac:dyDescent="0.2">
      <c r="B14" s="114">
        <v>40954</v>
      </c>
      <c r="C14" s="116">
        <v>2.5</v>
      </c>
      <c r="D14" s="117">
        <v>27.64</v>
      </c>
      <c r="E14" s="106" t="s">
        <v>62</v>
      </c>
      <c r="F14" s="118" t="s">
        <v>61</v>
      </c>
      <c r="G14" s="119">
        <v>12000</v>
      </c>
      <c r="H14" s="113">
        <f t="shared" si="0"/>
        <v>331680</v>
      </c>
      <c r="I14" s="110"/>
      <c r="J14" s="112"/>
      <c r="K14" s="112"/>
    </row>
    <row r="15" spans="2:11" ht="15" x14ac:dyDescent="0.2">
      <c r="B15" s="114">
        <v>40954</v>
      </c>
      <c r="C15" s="116" t="s">
        <v>63</v>
      </c>
      <c r="D15" s="117">
        <v>320</v>
      </c>
      <c r="E15" s="121" t="s">
        <v>64</v>
      </c>
      <c r="F15" s="118" t="s">
        <v>61</v>
      </c>
      <c r="G15" s="119">
        <v>75</v>
      </c>
      <c r="H15" s="113">
        <f t="shared" si="0"/>
        <v>24000</v>
      </c>
      <c r="I15" s="110"/>
      <c r="J15" s="112"/>
      <c r="K15" s="112"/>
    </row>
    <row r="16" spans="2:11" ht="15" x14ac:dyDescent="0.2">
      <c r="B16" s="114">
        <v>40954</v>
      </c>
      <c r="C16" s="116" t="s">
        <v>51</v>
      </c>
      <c r="D16" s="117">
        <v>600</v>
      </c>
      <c r="E16" s="121" t="s">
        <v>65</v>
      </c>
      <c r="F16" s="118" t="s">
        <v>61</v>
      </c>
      <c r="G16" s="119">
        <v>80</v>
      </c>
      <c r="H16" s="113">
        <f t="shared" si="0"/>
        <v>48000</v>
      </c>
      <c r="I16" s="110"/>
      <c r="J16" s="112"/>
      <c r="K16" s="112"/>
    </row>
    <row r="17" spans="2:11" ht="15" x14ac:dyDescent="0.2">
      <c r="B17" s="114"/>
      <c r="C17" s="116"/>
      <c r="D17" s="117"/>
      <c r="E17" s="121"/>
      <c r="F17" s="118"/>
      <c r="G17" s="119"/>
      <c r="H17" s="113">
        <f t="shared" si="0"/>
        <v>0</v>
      </c>
      <c r="I17" s="110"/>
      <c r="J17" s="111"/>
      <c r="K17" s="112"/>
    </row>
    <row r="18" spans="2:11" ht="15" x14ac:dyDescent="0.2">
      <c r="B18" s="114"/>
      <c r="C18" s="116"/>
      <c r="D18" s="117"/>
      <c r="E18" s="121"/>
      <c r="F18" s="118"/>
      <c r="G18" s="119" t="s">
        <v>4</v>
      </c>
      <c r="H18" s="113">
        <f>SUM(H10:H17)</f>
        <v>1054883.5</v>
      </c>
      <c r="I18" s="110"/>
      <c r="J18" s="111"/>
      <c r="K18" s="112"/>
    </row>
    <row r="19" spans="2:11" ht="16" thickBot="1" x14ac:dyDescent="0.25">
      <c r="B19" s="157"/>
      <c r="C19" s="158"/>
      <c r="D19" s="159"/>
      <c r="E19" s="160"/>
      <c r="F19" s="161"/>
      <c r="G19" s="162"/>
      <c r="H19" s="163"/>
      <c r="I19" s="122"/>
      <c r="J19" s="123"/>
      <c r="K19" s="112"/>
    </row>
    <row r="20" spans="2:11" ht="15" x14ac:dyDescent="0.2">
      <c r="B20" s="164"/>
      <c r="C20" s="165"/>
      <c r="D20" s="166"/>
      <c r="E20" s="167"/>
      <c r="F20" s="168"/>
      <c r="G20" s="169"/>
      <c r="H20" s="169"/>
      <c r="I20" s="122"/>
      <c r="J20" s="120"/>
      <c r="K20" s="112"/>
    </row>
    <row r="21" spans="2:11" ht="15" x14ac:dyDescent="0.2">
      <c r="B21" s="170"/>
      <c r="C21" s="171"/>
      <c r="D21" s="171"/>
      <c r="E21" s="112"/>
      <c r="F21" s="172"/>
      <c r="G21" s="182" t="s">
        <v>66</v>
      </c>
      <c r="H21" s="182">
        <f>H32+H18</f>
        <v>1054883.5</v>
      </c>
    </row>
    <row r="22" spans="2:11" ht="15" x14ac:dyDescent="0.2">
      <c r="B22" s="170"/>
      <c r="C22" s="171"/>
      <c r="D22" s="171"/>
      <c r="E22" s="112"/>
      <c r="F22" s="172"/>
      <c r="G22" s="173"/>
      <c r="H22" s="173"/>
    </row>
    <row r="23" spans="2:11" ht="17" x14ac:dyDescent="0.2">
      <c r="B23" s="220" t="s">
        <v>28</v>
      </c>
      <c r="C23" s="220"/>
      <c r="D23" s="220"/>
      <c r="E23" s="220"/>
      <c r="F23" s="220"/>
      <c r="G23" s="220"/>
      <c r="H23" s="220"/>
    </row>
    <row r="24" spans="2:11" ht="14" thickBot="1" x14ac:dyDescent="0.2"/>
    <row r="25" spans="2:11" ht="16" thickBot="1" x14ac:dyDescent="0.25">
      <c r="B25" s="100" t="s">
        <v>0</v>
      </c>
      <c r="C25" s="102" t="s">
        <v>29</v>
      </c>
      <c r="D25" s="102" t="s">
        <v>30</v>
      </c>
      <c r="E25" s="101" t="s">
        <v>31</v>
      </c>
      <c r="F25" s="101" t="s">
        <v>32</v>
      </c>
      <c r="G25" s="101" t="s">
        <v>33</v>
      </c>
      <c r="H25" s="103" t="s">
        <v>27</v>
      </c>
      <c r="I25"/>
    </row>
    <row r="26" spans="2:11" ht="15" x14ac:dyDescent="0.2">
      <c r="B26" s="104"/>
      <c r="C26" s="105"/>
      <c r="D26" s="105"/>
      <c r="E26" s="106"/>
      <c r="F26" s="107"/>
      <c r="G26" s="108"/>
      <c r="H26" s="109"/>
      <c r="I26" s="110"/>
      <c r="J26" s="111"/>
      <c r="K26" s="112"/>
    </row>
    <row r="27" spans="2:11" ht="15" x14ac:dyDescent="0.2">
      <c r="B27" s="104"/>
      <c r="C27" s="153">
        <v>3.3</v>
      </c>
      <c r="D27" s="105">
        <v>0</v>
      </c>
      <c r="E27" s="106" t="s">
        <v>34</v>
      </c>
      <c r="F27" s="107"/>
      <c r="G27" s="108">
        <v>1450</v>
      </c>
      <c r="H27" s="113">
        <f>D27*G27</f>
        <v>0</v>
      </c>
      <c r="I27" s="110"/>
      <c r="J27" s="112"/>
      <c r="K27" s="112"/>
    </row>
    <row r="28" spans="2:11" ht="15" x14ac:dyDescent="0.2">
      <c r="B28" s="104"/>
      <c r="C28" s="153"/>
      <c r="D28" s="105"/>
      <c r="E28" s="106"/>
      <c r="F28" s="107"/>
      <c r="G28" s="108"/>
      <c r="H28" s="113">
        <f t="shared" ref="H28:H29" si="1">D28*G28</f>
        <v>0</v>
      </c>
      <c r="I28" s="110"/>
      <c r="J28" s="112"/>
      <c r="K28" s="112"/>
    </row>
    <row r="29" spans="2:11" ht="15" x14ac:dyDescent="0.2">
      <c r="B29" s="104"/>
      <c r="C29" s="153"/>
      <c r="D29" s="105"/>
      <c r="E29" s="106"/>
      <c r="F29" s="107"/>
      <c r="G29" s="108"/>
      <c r="H29" s="113">
        <f t="shared" si="1"/>
        <v>0</v>
      </c>
      <c r="I29" s="110"/>
      <c r="J29" s="112"/>
      <c r="K29" s="112"/>
    </row>
    <row r="30" spans="2:11" ht="15" x14ac:dyDescent="0.2">
      <c r="B30" s="114"/>
      <c r="C30" s="116"/>
      <c r="D30" s="117"/>
      <c r="E30" s="121"/>
      <c r="F30" s="118"/>
      <c r="G30" s="119"/>
      <c r="H30" s="113">
        <f t="shared" ref="H30:H31" si="2">D30*G30</f>
        <v>0</v>
      </c>
      <c r="I30" s="110"/>
      <c r="J30" s="112"/>
      <c r="K30" s="112"/>
    </row>
    <row r="31" spans="2:11" ht="15" x14ac:dyDescent="0.2">
      <c r="B31" s="114"/>
      <c r="C31" s="116"/>
      <c r="D31" s="117"/>
      <c r="E31" s="121"/>
      <c r="F31" s="118"/>
      <c r="G31" s="119"/>
      <c r="H31" s="113">
        <f t="shared" si="2"/>
        <v>0</v>
      </c>
      <c r="I31" s="110"/>
      <c r="J31" s="111"/>
      <c r="K31" s="112"/>
    </row>
    <row r="32" spans="2:11" ht="15" x14ac:dyDescent="0.2">
      <c r="B32" s="114"/>
      <c r="C32" s="116"/>
      <c r="D32" s="117"/>
      <c r="E32" s="121"/>
      <c r="F32" s="118"/>
      <c r="G32" s="119" t="s">
        <v>4</v>
      </c>
      <c r="H32" s="113">
        <f>SUM(H27:H31)</f>
        <v>0</v>
      </c>
      <c r="I32" s="110"/>
      <c r="J32" s="111"/>
      <c r="K32" s="112"/>
    </row>
    <row r="33" spans="2:11" ht="16" thickBot="1" x14ac:dyDescent="0.25">
      <c r="B33" s="157"/>
      <c r="C33" s="158"/>
      <c r="D33" s="159"/>
      <c r="E33" s="160"/>
      <c r="F33" s="161"/>
      <c r="G33" s="162"/>
      <c r="H33" s="163"/>
      <c r="I33" s="122"/>
      <c r="J33" s="123"/>
      <c r="K33" s="112"/>
    </row>
    <row r="34" spans="2:11" ht="15" x14ac:dyDescent="0.2">
      <c r="B34" s="170"/>
      <c r="C34" s="171"/>
      <c r="D34" s="171"/>
      <c r="E34" s="112"/>
      <c r="F34" s="172"/>
      <c r="G34" s="173"/>
      <c r="H34" s="173"/>
      <c r="I34" s="124"/>
    </row>
    <row r="35" spans="2:11" ht="15" x14ac:dyDescent="0.2">
      <c r="B35" s="170"/>
      <c r="C35" s="171"/>
      <c r="D35" s="171"/>
      <c r="E35" s="112"/>
      <c r="F35" s="172"/>
      <c r="G35" s="173"/>
      <c r="H35" s="173"/>
    </row>
    <row r="36" spans="2:11" ht="15" x14ac:dyDescent="0.2">
      <c r="B36" s="170"/>
      <c r="C36" s="174"/>
      <c r="D36" s="171"/>
      <c r="E36" s="112"/>
      <c r="F36" s="172"/>
      <c r="G36" s="173"/>
      <c r="H36" s="173"/>
    </row>
    <row r="37" spans="2:11" ht="15" x14ac:dyDescent="0.2">
      <c r="B37" s="170"/>
      <c r="C37" s="171"/>
      <c r="D37" s="171"/>
      <c r="E37" s="112"/>
      <c r="F37" s="172"/>
      <c r="G37" s="173"/>
      <c r="H37" s="173"/>
    </row>
    <row r="38" spans="2:11" ht="15" x14ac:dyDescent="0.2">
      <c r="B38" s="170"/>
      <c r="C38" s="171"/>
      <c r="D38" s="171"/>
      <c r="E38" s="112"/>
      <c r="F38" s="172"/>
      <c r="G38" s="175"/>
      <c r="H38" s="173"/>
    </row>
    <row r="39" spans="2:11" ht="15" x14ac:dyDescent="0.2">
      <c r="B39" s="170"/>
      <c r="C39" s="171"/>
      <c r="D39" s="171"/>
      <c r="E39" s="112"/>
      <c r="F39" s="172"/>
      <c r="G39" s="173"/>
      <c r="H39" s="173"/>
    </row>
    <row r="40" spans="2:11" ht="15" x14ac:dyDescent="0.2">
      <c r="B40" s="170"/>
      <c r="C40" s="171"/>
      <c r="D40" s="171"/>
      <c r="E40" s="112"/>
      <c r="F40" s="172"/>
      <c r="G40" s="173"/>
      <c r="H40" s="173"/>
    </row>
    <row r="41" spans="2:11" ht="15" x14ac:dyDescent="0.2">
      <c r="B41" s="170"/>
      <c r="C41" s="171"/>
      <c r="D41" s="171"/>
      <c r="E41" s="112"/>
      <c r="F41" s="172"/>
      <c r="G41" s="173"/>
      <c r="H41" s="173"/>
    </row>
    <row r="42" spans="2:11" ht="15" x14ac:dyDescent="0.2">
      <c r="B42" s="170"/>
      <c r="C42" s="174"/>
      <c r="D42" s="171"/>
      <c r="E42" s="112"/>
      <c r="F42" s="172"/>
      <c r="G42" s="173"/>
      <c r="H42" s="173"/>
    </row>
    <row r="43" spans="2:11" ht="15" x14ac:dyDescent="0.2">
      <c r="B43" s="170"/>
      <c r="C43" s="174"/>
      <c r="D43" s="171"/>
      <c r="E43" s="112"/>
      <c r="F43" s="172"/>
      <c r="G43" s="173"/>
      <c r="H43" s="173"/>
    </row>
    <row r="44" spans="2:11" ht="15" x14ac:dyDescent="0.2">
      <c r="B44" s="170"/>
      <c r="C44" s="174"/>
      <c r="D44" s="171"/>
      <c r="E44" s="112"/>
      <c r="F44" s="172"/>
      <c r="G44" s="173"/>
      <c r="H44" s="173"/>
    </row>
    <row r="45" spans="2:11" ht="15" x14ac:dyDescent="0.2">
      <c r="B45" s="170"/>
      <c r="C45" s="174"/>
      <c r="D45" s="171"/>
      <c r="E45" s="112"/>
      <c r="F45" s="172"/>
      <c r="G45" s="173"/>
      <c r="H45" s="173"/>
    </row>
    <row r="46" spans="2:11" ht="15" x14ac:dyDescent="0.2">
      <c r="B46" s="104"/>
      <c r="C46" s="153"/>
      <c r="D46" s="105"/>
      <c r="E46" s="106"/>
      <c r="F46" s="107"/>
      <c r="G46" s="108"/>
      <c r="H46" s="109"/>
    </row>
    <row r="47" spans="2:11" ht="15" x14ac:dyDescent="0.2">
      <c r="B47" s="114"/>
      <c r="C47" s="116"/>
      <c r="D47" s="117"/>
      <c r="E47" s="121"/>
      <c r="F47" s="118"/>
      <c r="G47" s="119"/>
      <c r="H47" s="113"/>
    </row>
    <row r="48" spans="2:11" ht="15" x14ac:dyDescent="0.2">
      <c r="B48" s="114"/>
      <c r="C48" s="117"/>
      <c r="D48" s="117"/>
      <c r="E48" s="121"/>
      <c r="F48" s="118"/>
      <c r="G48" s="119"/>
      <c r="H48" s="113"/>
    </row>
    <row r="49" spans="2:8" ht="15" x14ac:dyDescent="0.2">
      <c r="B49" s="114"/>
      <c r="C49" s="115"/>
      <c r="D49" s="117"/>
      <c r="E49" s="121"/>
      <c r="F49" s="118"/>
      <c r="G49" s="119"/>
      <c r="H49" s="113"/>
    </row>
    <row r="50" spans="2:8" ht="15" x14ac:dyDescent="0.2">
      <c r="B50" s="114"/>
      <c r="C50" s="117"/>
      <c r="D50" s="117"/>
      <c r="E50" s="121"/>
      <c r="F50" s="118"/>
      <c r="G50" s="119"/>
      <c r="H50" s="113"/>
    </row>
    <row r="51" spans="2:8" ht="15" x14ac:dyDescent="0.2">
      <c r="B51" s="114"/>
      <c r="C51" s="117"/>
      <c r="D51" s="117"/>
      <c r="E51" s="121"/>
      <c r="F51" s="118"/>
      <c r="G51" s="119"/>
      <c r="H51" s="113"/>
    </row>
    <row r="52" spans="2:8" ht="15" x14ac:dyDescent="0.2">
      <c r="B52" s="114"/>
      <c r="C52" s="117"/>
      <c r="D52" s="117"/>
      <c r="E52" s="121"/>
      <c r="F52" s="118"/>
      <c r="G52" s="119"/>
      <c r="H52" s="113"/>
    </row>
    <row r="53" spans="2:8" ht="15" x14ac:dyDescent="0.2">
      <c r="B53" s="114"/>
      <c r="C53" s="117"/>
      <c r="D53" s="117"/>
      <c r="E53" s="121"/>
      <c r="F53" s="115"/>
      <c r="G53" s="119"/>
      <c r="H53" s="113"/>
    </row>
    <row r="54" spans="2:8" ht="15" x14ac:dyDescent="0.2">
      <c r="B54" s="114"/>
      <c r="C54" s="117"/>
      <c r="D54" s="117"/>
      <c r="E54" s="121"/>
      <c r="F54" s="115"/>
      <c r="G54" s="119"/>
      <c r="H54" s="113"/>
    </row>
    <row r="55" spans="2:8" ht="15" x14ac:dyDescent="0.2">
      <c r="B55" s="114"/>
      <c r="C55" s="117"/>
      <c r="D55" s="117"/>
      <c r="E55" s="121"/>
      <c r="F55" s="115"/>
      <c r="G55" s="119"/>
      <c r="H55" s="113"/>
    </row>
    <row r="56" spans="2:8" ht="15" x14ac:dyDescent="0.2">
      <c r="B56" s="114"/>
      <c r="C56" s="117"/>
      <c r="D56" s="117"/>
      <c r="E56" s="121"/>
      <c r="F56" s="115"/>
      <c r="G56" s="119"/>
      <c r="H56" s="113"/>
    </row>
    <row r="57" spans="2:8" ht="15" x14ac:dyDescent="0.2">
      <c r="B57" s="114"/>
      <c r="C57" s="117"/>
      <c r="D57" s="117"/>
      <c r="E57" s="121"/>
      <c r="F57" s="115"/>
      <c r="G57" s="119"/>
      <c r="H57" s="113"/>
    </row>
    <row r="58" spans="2:8" ht="15" x14ac:dyDescent="0.2">
      <c r="B58" s="114"/>
      <c r="C58" s="117"/>
      <c r="D58" s="117"/>
      <c r="E58" s="121"/>
      <c r="F58" s="118"/>
      <c r="G58" s="125"/>
      <c r="H58" s="126"/>
    </row>
    <row r="59" spans="2:8" ht="15" x14ac:dyDescent="0.2">
      <c r="B59" s="114"/>
      <c r="C59" s="117"/>
      <c r="D59" s="117"/>
      <c r="E59" s="121"/>
      <c r="F59" s="118"/>
      <c r="G59" s="125"/>
      <c r="H59" s="126"/>
    </row>
    <row r="60" spans="2:8" ht="15" x14ac:dyDescent="0.2">
      <c r="B60" s="114"/>
      <c r="C60" s="117"/>
      <c r="D60" s="117"/>
      <c r="E60" s="121"/>
      <c r="F60" s="118"/>
      <c r="G60" s="125"/>
      <c r="H60" s="126"/>
    </row>
    <row r="61" spans="2:8" ht="15" x14ac:dyDescent="0.2">
      <c r="B61" s="114"/>
      <c r="C61" s="117"/>
      <c r="D61" s="117"/>
      <c r="E61" s="121"/>
      <c r="F61" s="118"/>
      <c r="G61" s="125"/>
      <c r="H61" s="126"/>
    </row>
    <row r="62" spans="2:8" ht="15" x14ac:dyDescent="0.2">
      <c r="B62" s="114"/>
      <c r="C62" s="117"/>
      <c r="D62" s="117"/>
      <c r="E62" s="121"/>
      <c r="F62" s="118"/>
      <c r="G62" s="125"/>
      <c r="H62" s="126"/>
    </row>
    <row r="63" spans="2:8" ht="15" x14ac:dyDescent="0.2">
      <c r="B63" s="114"/>
      <c r="C63" s="117"/>
      <c r="D63" s="117"/>
      <c r="E63" s="121"/>
      <c r="F63" s="118"/>
      <c r="G63" s="125"/>
      <c r="H63" s="126"/>
    </row>
    <row r="64" spans="2:8" ht="15" x14ac:dyDescent="0.2">
      <c r="B64" s="114"/>
      <c r="C64" s="117"/>
      <c r="D64" s="117"/>
      <c r="E64" s="121"/>
      <c r="F64" s="118"/>
      <c r="G64" s="125"/>
      <c r="H64" s="126"/>
    </row>
    <row r="65" spans="2:9" ht="15" x14ac:dyDescent="0.2">
      <c r="B65" s="114"/>
      <c r="C65" s="117"/>
      <c r="D65" s="117"/>
      <c r="E65" s="121"/>
      <c r="F65" s="118"/>
      <c r="G65" s="125"/>
      <c r="H65" s="126"/>
    </row>
    <row r="66" spans="2:9" ht="15" x14ac:dyDescent="0.2">
      <c r="B66" s="114"/>
      <c r="C66" s="117"/>
      <c r="D66" s="117"/>
      <c r="E66" s="121"/>
      <c r="F66" s="118"/>
      <c r="G66" s="125"/>
      <c r="H66" s="126"/>
    </row>
    <row r="67" spans="2:9" ht="15" x14ac:dyDescent="0.2">
      <c r="B67" s="114"/>
      <c r="C67" s="117"/>
      <c r="D67" s="117"/>
      <c r="E67" s="121"/>
      <c r="F67" s="118"/>
      <c r="G67" s="125"/>
      <c r="H67" s="126"/>
    </row>
    <row r="68" spans="2:9" ht="15" x14ac:dyDescent="0.2">
      <c r="B68" s="114"/>
      <c r="C68" s="117"/>
      <c r="D68" s="117"/>
      <c r="E68" s="121"/>
      <c r="F68" s="118"/>
      <c r="G68" s="125"/>
      <c r="H68" s="126"/>
    </row>
    <row r="69" spans="2:9" ht="15" x14ac:dyDescent="0.2">
      <c r="B69" s="114"/>
      <c r="C69" s="117"/>
      <c r="D69" s="117"/>
      <c r="E69" s="121"/>
      <c r="F69" s="118"/>
      <c r="G69" s="125"/>
      <c r="H69" s="126"/>
    </row>
    <row r="70" spans="2:9" ht="15" x14ac:dyDescent="0.2">
      <c r="B70" s="114"/>
      <c r="C70" s="117"/>
      <c r="D70" s="117"/>
      <c r="E70" s="121"/>
      <c r="F70" s="118"/>
      <c r="G70" s="125"/>
      <c r="H70" s="126"/>
    </row>
    <row r="71" spans="2:9" ht="15" x14ac:dyDescent="0.2">
      <c r="B71" s="114"/>
      <c r="C71" s="117"/>
      <c r="D71" s="117"/>
      <c r="E71" s="121"/>
      <c r="F71" s="118"/>
      <c r="G71" s="125"/>
      <c r="H71" s="126"/>
    </row>
    <row r="72" spans="2:9" ht="15" x14ac:dyDescent="0.2">
      <c r="B72" s="114"/>
      <c r="C72" s="117"/>
      <c r="D72" s="117"/>
      <c r="E72" s="121"/>
      <c r="F72" s="118"/>
      <c r="G72" s="125"/>
      <c r="H72" s="126"/>
    </row>
    <row r="73" spans="2:9" ht="15" x14ac:dyDescent="0.2">
      <c r="B73" s="114"/>
      <c r="C73" s="117"/>
      <c r="D73" s="117"/>
      <c r="E73" s="121"/>
      <c r="F73" s="118"/>
      <c r="G73" s="125"/>
      <c r="H73" s="126"/>
    </row>
    <row r="74" spans="2:9" ht="15" x14ac:dyDescent="0.2">
      <c r="B74" s="114"/>
      <c r="C74" s="117"/>
      <c r="D74" s="117"/>
      <c r="E74" s="121"/>
      <c r="F74" s="118"/>
      <c r="G74" s="125"/>
      <c r="H74" s="126"/>
    </row>
    <row r="75" spans="2:9" ht="15" x14ac:dyDescent="0.2">
      <c r="B75" s="114"/>
      <c r="C75" s="117"/>
      <c r="D75" s="117"/>
      <c r="E75" s="121"/>
      <c r="F75" s="118"/>
      <c r="G75" s="125"/>
      <c r="H75" s="126"/>
    </row>
    <row r="76" spans="2:9" ht="15" x14ac:dyDescent="0.2">
      <c r="B76" s="114"/>
      <c r="C76" s="117"/>
      <c r="D76" s="117"/>
      <c r="E76" s="121"/>
      <c r="F76" s="118"/>
      <c r="G76" s="125"/>
      <c r="H76" s="126"/>
    </row>
    <row r="77" spans="2:9" ht="15" x14ac:dyDescent="0.2">
      <c r="B77" s="114"/>
      <c r="C77" s="117"/>
      <c r="D77" s="117"/>
      <c r="E77" s="121"/>
      <c r="F77" s="118"/>
      <c r="G77" s="125"/>
      <c r="H77" s="126"/>
    </row>
    <row r="78" spans="2:9" ht="15" x14ac:dyDescent="0.2">
      <c r="B78" s="114"/>
      <c r="C78" s="117"/>
      <c r="D78" s="117"/>
      <c r="E78" s="121"/>
      <c r="F78" s="118"/>
      <c r="G78" s="125"/>
      <c r="H78" s="126"/>
    </row>
    <row r="79" spans="2:9" ht="15" x14ac:dyDescent="0.2">
      <c r="B79" s="114"/>
      <c r="C79" s="117"/>
      <c r="D79" s="117"/>
      <c r="E79" s="121"/>
      <c r="F79" s="118"/>
      <c r="G79" s="125"/>
      <c r="H79" s="126"/>
    </row>
    <row r="80" spans="2:9" ht="15" x14ac:dyDescent="0.2">
      <c r="B80" s="114"/>
      <c r="C80" s="117"/>
      <c r="D80" s="117"/>
      <c r="E80" s="127"/>
      <c r="F80" s="118"/>
      <c r="G80" s="125"/>
      <c r="H80" s="126"/>
      <c r="I80" s="110"/>
    </row>
    <row r="81" spans="2:11" ht="15" x14ac:dyDescent="0.2">
      <c r="B81" s="114"/>
      <c r="C81" s="117"/>
      <c r="D81" s="117"/>
      <c r="E81" s="127"/>
      <c r="F81" s="118"/>
      <c r="G81" s="125"/>
      <c r="H81" s="126"/>
      <c r="I81" s="110"/>
    </row>
    <row r="82" spans="2:11" ht="15" x14ac:dyDescent="0.2">
      <c r="B82" s="114"/>
      <c r="C82" s="117"/>
      <c r="D82" s="117"/>
      <c r="E82" s="127"/>
      <c r="F82" s="118"/>
      <c r="G82" s="125"/>
      <c r="H82" s="126"/>
      <c r="I82" s="110"/>
    </row>
    <row r="83" spans="2:11" ht="15" x14ac:dyDescent="0.2">
      <c r="B83" s="114"/>
      <c r="C83" s="117"/>
      <c r="D83" s="117"/>
      <c r="E83" s="127"/>
      <c r="F83" s="118"/>
      <c r="G83" s="125"/>
      <c r="H83" s="126"/>
      <c r="I83" s="110"/>
    </row>
    <row r="84" spans="2:11" ht="15" x14ac:dyDescent="0.2">
      <c r="B84" s="114"/>
      <c r="C84" s="117"/>
      <c r="D84" s="117"/>
      <c r="E84" s="127"/>
      <c r="F84" s="118"/>
      <c r="G84" s="125"/>
      <c r="H84" s="126"/>
      <c r="I84" s="110"/>
    </row>
    <row r="85" spans="2:11" ht="15" x14ac:dyDescent="0.2">
      <c r="B85" s="114"/>
      <c r="C85" s="117"/>
      <c r="D85" s="117"/>
      <c r="E85" s="127"/>
      <c r="F85" s="118"/>
      <c r="G85" s="125"/>
      <c r="H85" s="126"/>
      <c r="I85" s="110"/>
    </row>
    <row r="86" spans="2:11" ht="15" x14ac:dyDescent="0.2">
      <c r="B86" s="114"/>
      <c r="C86" s="117"/>
      <c r="D86" s="117"/>
      <c r="E86" s="127"/>
      <c r="F86" s="118"/>
      <c r="G86" s="125"/>
      <c r="H86" s="126"/>
      <c r="I86" s="110"/>
    </row>
    <row r="87" spans="2:11" ht="15" x14ac:dyDescent="0.2">
      <c r="B87" s="114"/>
      <c r="C87" s="117"/>
      <c r="D87" s="117"/>
      <c r="E87" s="127"/>
      <c r="F87" s="118"/>
      <c r="G87" s="125"/>
      <c r="H87" s="126"/>
      <c r="I87" s="110"/>
    </row>
    <row r="88" spans="2:11" ht="15" x14ac:dyDescent="0.2">
      <c r="B88" s="114"/>
      <c r="C88" s="117"/>
      <c r="D88" s="117"/>
      <c r="E88" s="127"/>
      <c r="F88" s="118"/>
      <c r="G88" s="125"/>
      <c r="H88" s="126"/>
      <c r="I88" s="110"/>
    </row>
    <row r="89" spans="2:11" ht="15" x14ac:dyDescent="0.2">
      <c r="B89" s="114"/>
      <c r="C89" s="117"/>
      <c r="D89" s="117"/>
      <c r="E89" s="127"/>
      <c r="F89" s="118"/>
      <c r="G89" s="125"/>
      <c r="H89" s="126"/>
      <c r="I89" s="110"/>
    </row>
    <row r="90" spans="2:11" ht="15" x14ac:dyDescent="0.2">
      <c r="B90" s="114"/>
      <c r="C90" s="117"/>
      <c r="D90" s="117"/>
      <c r="E90" s="127"/>
      <c r="F90" s="118"/>
      <c r="G90" s="125"/>
      <c r="H90" s="126"/>
      <c r="I90" s="110"/>
    </row>
    <row r="91" spans="2:11" ht="15" x14ac:dyDescent="0.2">
      <c r="B91" s="114"/>
      <c r="C91" s="117"/>
      <c r="D91" s="117"/>
      <c r="E91" s="127"/>
      <c r="F91" s="118"/>
      <c r="G91" s="125"/>
      <c r="H91" s="126"/>
      <c r="I91" s="110"/>
    </row>
    <row r="92" spans="2:11" ht="15" x14ac:dyDescent="0.2">
      <c r="B92" s="114"/>
      <c r="C92" s="117"/>
      <c r="D92" s="117"/>
      <c r="E92" s="121"/>
      <c r="F92" s="118"/>
      <c r="G92" s="125"/>
      <c r="H92" s="126"/>
      <c r="I92" s="110"/>
    </row>
    <row r="93" spans="2:11" ht="15" x14ac:dyDescent="0.2">
      <c r="B93" s="114"/>
      <c r="C93" s="117"/>
      <c r="D93" s="117"/>
      <c r="E93" s="121"/>
      <c r="F93" s="118"/>
      <c r="G93" s="125"/>
      <c r="H93" s="126"/>
      <c r="I93" s="110"/>
    </row>
    <row r="94" spans="2:11" ht="15" x14ac:dyDescent="0.2">
      <c r="B94" s="128"/>
      <c r="C94" s="129"/>
      <c r="D94" s="129"/>
      <c r="E94" s="130"/>
      <c r="F94" s="131"/>
      <c r="G94" s="132"/>
      <c r="H94" s="133"/>
      <c r="I94" s="110"/>
    </row>
    <row r="95" spans="2:11" ht="15" x14ac:dyDescent="0.2">
      <c r="B95" s="114"/>
      <c r="C95" s="117"/>
      <c r="D95" s="117"/>
      <c r="E95" s="121"/>
      <c r="F95" s="118"/>
      <c r="G95" s="125"/>
      <c r="H95" s="126"/>
      <c r="I95" s="110"/>
      <c r="J95" s="112"/>
      <c r="K95" s="112"/>
    </row>
    <row r="96" spans="2:11" ht="15" x14ac:dyDescent="0.2">
      <c r="B96" s="114"/>
      <c r="C96" s="117"/>
      <c r="D96" s="117"/>
      <c r="E96" s="121"/>
      <c r="F96" s="118"/>
      <c r="G96" s="125"/>
      <c r="H96" s="126"/>
      <c r="I96" s="110"/>
      <c r="J96" s="112"/>
      <c r="K96" s="112"/>
    </row>
    <row r="97" spans="2:11" ht="15" x14ac:dyDescent="0.2">
      <c r="B97" s="114"/>
      <c r="C97" s="117"/>
      <c r="D97" s="117"/>
      <c r="E97" s="121"/>
      <c r="F97" s="118"/>
      <c r="G97" s="125"/>
      <c r="H97" s="126"/>
      <c r="I97" s="110"/>
      <c r="J97" s="112"/>
      <c r="K97" s="112"/>
    </row>
    <row r="98" spans="2:11" ht="15" x14ac:dyDescent="0.2">
      <c r="B98" s="114"/>
      <c r="C98" s="117"/>
      <c r="D98" s="117"/>
      <c r="E98" s="121"/>
      <c r="F98" s="118"/>
      <c r="G98" s="125"/>
      <c r="H98" s="126"/>
      <c r="I98" s="110"/>
      <c r="J98" s="112"/>
      <c r="K98" s="112"/>
    </row>
    <row r="99" spans="2:11" ht="15" x14ac:dyDescent="0.2">
      <c r="B99" s="114"/>
      <c r="C99" s="117"/>
      <c r="D99" s="117"/>
      <c r="E99" s="121"/>
      <c r="F99" s="118"/>
      <c r="G99" s="125"/>
      <c r="H99" s="126"/>
      <c r="I99" s="110"/>
      <c r="J99" s="112"/>
      <c r="K99" s="112"/>
    </row>
    <row r="100" spans="2:11" ht="15" x14ac:dyDescent="0.2">
      <c r="B100" s="114"/>
      <c r="C100" s="117"/>
      <c r="D100" s="117"/>
      <c r="E100" s="121"/>
      <c r="F100" s="118"/>
      <c r="G100" s="125"/>
      <c r="H100" s="126"/>
      <c r="I100" s="110"/>
      <c r="J100" s="112"/>
      <c r="K100" s="112"/>
    </row>
    <row r="101" spans="2:11" ht="15" x14ac:dyDescent="0.2">
      <c r="B101" s="114"/>
      <c r="C101" s="117"/>
      <c r="D101" s="117"/>
      <c r="E101" s="121"/>
      <c r="F101" s="118"/>
      <c r="G101" s="125"/>
      <c r="H101" s="126"/>
      <c r="I101" s="110"/>
      <c r="J101" s="112"/>
      <c r="K101" s="112"/>
    </row>
    <row r="102" spans="2:11" ht="15" x14ac:dyDescent="0.2">
      <c r="B102" s="114"/>
      <c r="C102" s="117"/>
      <c r="D102" s="117"/>
      <c r="E102" s="121"/>
      <c r="F102" s="118"/>
      <c r="G102" s="125"/>
      <c r="H102" s="126"/>
      <c r="I102" s="110"/>
      <c r="J102" s="112"/>
      <c r="K102" s="112"/>
    </row>
    <row r="103" spans="2:11" ht="15" x14ac:dyDescent="0.2">
      <c r="B103" s="114"/>
      <c r="C103" s="117"/>
      <c r="D103" s="117"/>
      <c r="E103" s="121"/>
      <c r="F103" s="118"/>
      <c r="G103" s="125"/>
      <c r="H103" s="126"/>
      <c r="I103" s="110"/>
      <c r="J103" s="112"/>
      <c r="K103" s="112"/>
    </row>
    <row r="104" spans="2:11" ht="15" x14ac:dyDescent="0.2">
      <c r="B104" s="114"/>
      <c r="C104" s="117"/>
      <c r="D104" s="117"/>
      <c r="E104" s="121"/>
      <c r="F104" s="118"/>
      <c r="G104" s="125"/>
      <c r="H104" s="126"/>
      <c r="I104" s="110"/>
      <c r="J104" s="112"/>
      <c r="K104" s="112"/>
    </row>
    <row r="105" spans="2:11" ht="15" x14ac:dyDescent="0.2">
      <c r="B105" s="114"/>
      <c r="C105" s="117"/>
      <c r="D105" s="117"/>
      <c r="E105" s="121"/>
      <c r="F105" s="118"/>
      <c r="G105" s="125"/>
      <c r="H105" s="126"/>
      <c r="I105" s="110"/>
      <c r="J105" s="112"/>
      <c r="K105" s="112"/>
    </row>
    <row r="106" spans="2:11" ht="15" x14ac:dyDescent="0.2">
      <c r="B106" s="114"/>
      <c r="C106" s="117"/>
      <c r="D106" s="117"/>
      <c r="E106" s="121"/>
      <c r="F106" s="118"/>
      <c r="G106" s="125"/>
      <c r="H106" s="126"/>
      <c r="I106" s="110"/>
      <c r="J106" s="112"/>
      <c r="K106" s="112"/>
    </row>
    <row r="107" spans="2:11" ht="15" x14ac:dyDescent="0.2">
      <c r="B107" s="114"/>
      <c r="C107" s="117"/>
      <c r="D107" s="117"/>
      <c r="E107" s="121"/>
      <c r="F107" s="118"/>
      <c r="G107" s="125"/>
      <c r="H107" s="126"/>
      <c r="I107" s="110"/>
      <c r="J107" s="112"/>
      <c r="K107" s="112"/>
    </row>
    <row r="108" spans="2:11" ht="15" x14ac:dyDescent="0.2">
      <c r="B108" s="114"/>
      <c r="C108" s="117"/>
      <c r="D108" s="117"/>
      <c r="E108" s="121"/>
      <c r="F108" s="118"/>
      <c r="G108" s="125"/>
      <c r="H108" s="126"/>
      <c r="I108" s="110"/>
      <c r="J108" s="112"/>
      <c r="K108" s="112"/>
    </row>
    <row r="109" spans="2:11" ht="15" x14ac:dyDescent="0.2">
      <c r="B109" s="128"/>
      <c r="C109" s="129"/>
      <c r="D109" s="129"/>
      <c r="E109" s="130"/>
      <c r="F109" s="131"/>
      <c r="G109" s="134"/>
      <c r="H109" s="135"/>
      <c r="I109" s="110"/>
      <c r="J109" s="112"/>
      <c r="K109" s="112"/>
    </row>
    <row r="110" spans="2:11" ht="15" x14ac:dyDescent="0.2">
      <c r="B110" s="114"/>
      <c r="C110" s="117"/>
      <c r="D110" s="117"/>
      <c r="E110" s="121"/>
      <c r="F110" s="118"/>
      <c r="G110" s="125"/>
      <c r="H110" s="126"/>
      <c r="I110" s="110"/>
      <c r="J110" s="112"/>
      <c r="K110" s="112"/>
    </row>
    <row r="111" spans="2:11" ht="15" x14ac:dyDescent="0.2">
      <c r="B111" s="114"/>
      <c r="C111" s="117"/>
      <c r="D111" s="117"/>
      <c r="E111" s="121"/>
      <c r="F111" s="118"/>
      <c r="G111" s="125"/>
      <c r="H111" s="126"/>
      <c r="I111" s="110"/>
      <c r="J111" s="112"/>
      <c r="K111" s="112"/>
    </row>
    <row r="112" spans="2:11" ht="15" x14ac:dyDescent="0.2">
      <c r="B112" s="114"/>
      <c r="C112" s="117"/>
      <c r="D112" s="117"/>
      <c r="E112" s="121"/>
      <c r="F112" s="118"/>
      <c r="G112" s="125"/>
      <c r="H112" s="126"/>
      <c r="I112" s="110"/>
      <c r="J112" s="112"/>
      <c r="K112" s="112"/>
    </row>
    <row r="113" spans="2:11" ht="15" x14ac:dyDescent="0.2">
      <c r="B113" s="114"/>
      <c r="C113" s="117"/>
      <c r="D113" s="117"/>
      <c r="E113" s="121"/>
      <c r="F113" s="118"/>
      <c r="G113" s="125"/>
      <c r="H113" s="126"/>
      <c r="I113" s="110"/>
      <c r="J113" s="112"/>
      <c r="K113" s="112"/>
    </row>
    <row r="114" spans="2:11" ht="15" x14ac:dyDescent="0.2">
      <c r="B114" s="114"/>
      <c r="C114" s="117"/>
      <c r="D114" s="117"/>
      <c r="E114" s="121"/>
      <c r="F114" s="118"/>
      <c r="G114" s="125"/>
      <c r="H114" s="126"/>
      <c r="I114" s="110"/>
      <c r="J114" s="112"/>
      <c r="K114" s="112"/>
    </row>
    <row r="115" spans="2:11" ht="15" x14ac:dyDescent="0.2">
      <c r="B115" s="114"/>
      <c r="C115" s="117"/>
      <c r="D115" s="117"/>
      <c r="E115" s="121"/>
      <c r="F115" s="118"/>
      <c r="G115" s="125"/>
      <c r="H115" s="126"/>
      <c r="I115" s="110"/>
      <c r="J115" s="112"/>
      <c r="K115" s="112"/>
    </row>
    <row r="116" spans="2:11" ht="15" x14ac:dyDescent="0.2">
      <c r="B116" s="114"/>
      <c r="C116" s="117"/>
      <c r="D116" s="117"/>
      <c r="E116" s="136"/>
      <c r="F116" s="118"/>
      <c r="G116" s="125"/>
      <c r="H116" s="126"/>
      <c r="I116" s="110"/>
      <c r="J116" s="112"/>
      <c r="K116" s="112"/>
    </row>
    <row r="117" spans="2:11" ht="15" x14ac:dyDescent="0.2">
      <c r="B117" s="128"/>
      <c r="C117" s="129"/>
      <c r="D117" s="129"/>
      <c r="E117" s="130"/>
      <c r="F117" s="131"/>
      <c r="G117" s="132"/>
      <c r="H117" s="133"/>
      <c r="I117" s="110"/>
    </row>
    <row r="118" spans="2:11" ht="15" x14ac:dyDescent="0.2">
      <c r="B118" s="128"/>
      <c r="C118" s="129"/>
      <c r="D118" s="129"/>
      <c r="E118" s="130"/>
      <c r="F118" s="131"/>
      <c r="G118" s="132"/>
      <c r="H118" s="133"/>
      <c r="I118" s="110"/>
      <c r="J118" s="125"/>
    </row>
    <row r="119" spans="2:11" ht="15" x14ac:dyDescent="0.2">
      <c r="B119" s="114"/>
      <c r="C119" s="117"/>
      <c r="D119" s="117"/>
      <c r="E119" s="121"/>
      <c r="F119" s="118"/>
      <c r="G119" s="125"/>
      <c r="H119" s="126"/>
      <c r="I119" s="110"/>
      <c r="J119" s="112"/>
      <c r="K119" s="112"/>
    </row>
    <row r="120" spans="2:11" ht="15" x14ac:dyDescent="0.2">
      <c r="B120" s="114"/>
      <c r="C120" s="117"/>
      <c r="D120" s="117"/>
      <c r="E120" s="127"/>
      <c r="F120" s="118"/>
      <c r="G120" s="125"/>
      <c r="H120" s="126"/>
      <c r="I120" s="137"/>
    </row>
    <row r="121" spans="2:11" ht="15" x14ac:dyDescent="0.2">
      <c r="B121" s="128"/>
      <c r="C121" s="129"/>
      <c r="D121" s="129"/>
      <c r="E121" s="130"/>
      <c r="F121" s="131"/>
      <c r="G121" s="132"/>
      <c r="H121" s="133"/>
      <c r="I121" s="110"/>
    </row>
    <row r="122" spans="2:11" ht="15" x14ac:dyDescent="0.2">
      <c r="B122" s="128"/>
      <c r="C122" s="129"/>
      <c r="D122" s="129"/>
      <c r="E122" s="130"/>
      <c r="F122" s="131"/>
      <c r="G122" s="132"/>
      <c r="H122" s="133"/>
      <c r="I122" s="110"/>
    </row>
    <row r="123" spans="2:11" ht="15" x14ac:dyDescent="0.2">
      <c r="B123" s="114"/>
      <c r="C123" s="117"/>
      <c r="D123" s="117"/>
      <c r="E123" s="121"/>
      <c r="F123" s="118"/>
      <c r="G123" s="125"/>
      <c r="H123" s="126"/>
      <c r="I123" s="110"/>
      <c r="J123" s="112"/>
      <c r="K123" s="112"/>
    </row>
    <row r="124" spans="2:11" ht="15" x14ac:dyDescent="0.2">
      <c r="B124" s="114"/>
      <c r="C124" s="117"/>
      <c r="D124" s="117"/>
      <c r="E124" s="121"/>
      <c r="F124" s="118"/>
      <c r="G124" s="125"/>
      <c r="H124" s="126"/>
      <c r="I124" s="110"/>
      <c r="J124" s="112"/>
      <c r="K124" s="112"/>
    </row>
    <row r="125" spans="2:11" ht="15" x14ac:dyDescent="0.2">
      <c r="B125" s="114"/>
      <c r="C125" s="117"/>
      <c r="D125" s="117"/>
      <c r="E125" s="121"/>
      <c r="F125" s="118"/>
      <c r="G125" s="125"/>
      <c r="H125" s="126"/>
      <c r="I125" s="110"/>
      <c r="J125" s="112"/>
      <c r="K125" s="112"/>
    </row>
    <row r="126" spans="2:11" ht="15" x14ac:dyDescent="0.2">
      <c r="B126" s="114"/>
      <c r="C126" s="117"/>
      <c r="D126" s="117"/>
      <c r="E126" s="121"/>
      <c r="F126" s="118"/>
      <c r="G126" s="125"/>
      <c r="H126" s="126"/>
      <c r="I126" s="110"/>
      <c r="J126" s="112"/>
      <c r="K126" s="112"/>
    </row>
    <row r="127" spans="2:11" ht="15" x14ac:dyDescent="0.2">
      <c r="B127" s="114"/>
      <c r="C127" s="117"/>
      <c r="D127" s="117"/>
      <c r="E127" s="121"/>
      <c r="F127" s="118"/>
      <c r="G127" s="125"/>
      <c r="H127" s="126"/>
      <c r="I127" s="110"/>
      <c r="J127" s="112"/>
      <c r="K127" s="112"/>
    </row>
    <row r="128" spans="2:11" ht="15" x14ac:dyDescent="0.2">
      <c r="B128" s="114"/>
      <c r="C128" s="117"/>
      <c r="D128" s="117"/>
      <c r="E128" s="121"/>
      <c r="F128" s="118"/>
      <c r="G128" s="125"/>
      <c r="H128" s="126"/>
      <c r="I128" s="110"/>
      <c r="J128" s="112"/>
      <c r="K128" s="112"/>
    </row>
    <row r="129" spans="2:11" ht="15" x14ac:dyDescent="0.2">
      <c r="B129" s="114"/>
      <c r="C129" s="117"/>
      <c r="D129" s="117"/>
      <c r="E129" s="121"/>
      <c r="F129" s="118"/>
      <c r="G129" s="125"/>
      <c r="H129" s="126"/>
      <c r="I129" s="110"/>
      <c r="J129" s="112"/>
      <c r="K129" s="112"/>
    </row>
    <row r="130" spans="2:11" ht="15" x14ac:dyDescent="0.2">
      <c r="B130" s="114"/>
      <c r="C130" s="117"/>
      <c r="D130" s="117"/>
      <c r="E130" s="121"/>
      <c r="F130" s="118"/>
      <c r="G130" s="125"/>
      <c r="H130" s="126"/>
      <c r="I130" s="110"/>
      <c r="J130" s="112"/>
      <c r="K130" s="112"/>
    </row>
    <row r="131" spans="2:11" ht="15" x14ac:dyDescent="0.2">
      <c r="B131" s="114"/>
      <c r="C131" s="116"/>
      <c r="D131" s="117"/>
      <c r="E131" s="121"/>
      <c r="F131" s="118"/>
      <c r="G131" s="125"/>
      <c r="H131" s="126"/>
      <c r="I131" s="110"/>
      <c r="J131" s="112"/>
      <c r="K131" s="112"/>
    </row>
    <row r="132" spans="2:11" ht="15" x14ac:dyDescent="0.2">
      <c r="B132" s="128"/>
      <c r="C132" s="129"/>
      <c r="D132" s="129"/>
      <c r="E132" s="130"/>
      <c r="F132" s="131"/>
      <c r="G132" s="132"/>
      <c r="H132" s="133"/>
      <c r="I132" s="110"/>
    </row>
    <row r="133" spans="2:11" ht="15" x14ac:dyDescent="0.2">
      <c r="B133" s="114"/>
      <c r="C133" s="117"/>
      <c r="D133" s="117"/>
      <c r="E133" s="121"/>
      <c r="F133" s="118"/>
      <c r="G133" s="125"/>
      <c r="H133" s="126"/>
      <c r="I133" s="110"/>
      <c r="J133" s="112"/>
      <c r="K133" s="112"/>
    </row>
    <row r="134" spans="2:11" ht="15" x14ac:dyDescent="0.2">
      <c r="B134" s="114"/>
      <c r="C134" s="117"/>
      <c r="D134" s="117"/>
      <c r="E134" s="121"/>
      <c r="F134" s="118"/>
      <c r="G134" s="125"/>
      <c r="H134" s="126"/>
      <c r="I134" s="110"/>
      <c r="J134" s="112"/>
      <c r="K134" s="112"/>
    </row>
    <row r="135" spans="2:11" ht="15" x14ac:dyDescent="0.2">
      <c r="B135" s="114"/>
      <c r="C135" s="117"/>
      <c r="D135" s="117"/>
      <c r="E135" s="121"/>
      <c r="F135" s="118"/>
      <c r="G135" s="125"/>
      <c r="H135" s="126"/>
      <c r="I135" s="110"/>
      <c r="J135" s="112"/>
      <c r="K135" s="112"/>
    </row>
    <row r="136" spans="2:11" ht="15" x14ac:dyDescent="0.2">
      <c r="B136" s="114"/>
      <c r="C136" s="117"/>
      <c r="D136" s="117"/>
      <c r="E136" s="121"/>
      <c r="F136" s="118"/>
      <c r="G136" s="125"/>
      <c r="H136" s="126"/>
      <c r="I136" s="110"/>
      <c r="J136" s="112"/>
      <c r="K136" s="112"/>
    </row>
    <row r="137" spans="2:11" ht="15" x14ac:dyDescent="0.2">
      <c r="B137" s="114"/>
      <c r="C137" s="117"/>
      <c r="D137" s="117"/>
      <c r="E137" s="121"/>
      <c r="F137" s="118"/>
      <c r="G137" s="125"/>
      <c r="H137" s="126"/>
      <c r="I137" s="110"/>
      <c r="J137" s="112"/>
      <c r="K137" s="112"/>
    </row>
    <row r="138" spans="2:11" ht="15" x14ac:dyDescent="0.2">
      <c r="B138" s="114"/>
      <c r="C138" s="117"/>
      <c r="D138" s="117"/>
      <c r="E138" s="121"/>
      <c r="F138" s="118"/>
      <c r="G138" s="125"/>
      <c r="H138" s="126"/>
      <c r="I138" s="110"/>
      <c r="J138" s="112"/>
      <c r="K138" s="112"/>
    </row>
    <row r="139" spans="2:11" ht="15" x14ac:dyDescent="0.2">
      <c r="B139" s="114"/>
      <c r="C139" s="117"/>
      <c r="D139" s="117"/>
      <c r="E139" s="121"/>
      <c r="F139" s="118"/>
      <c r="G139" s="125"/>
      <c r="H139" s="126"/>
      <c r="I139" s="110"/>
      <c r="J139" s="112"/>
      <c r="K139" s="112"/>
    </row>
    <row r="140" spans="2:11" ht="15" x14ac:dyDescent="0.2">
      <c r="B140" s="114"/>
      <c r="C140" s="117"/>
      <c r="D140" s="117"/>
      <c r="E140" s="121"/>
      <c r="F140" s="118"/>
      <c r="G140" s="125"/>
      <c r="H140" s="126"/>
      <c r="I140" s="110"/>
      <c r="J140" s="112"/>
      <c r="K140" s="112"/>
    </row>
    <row r="141" spans="2:11" ht="15" x14ac:dyDescent="0.2">
      <c r="B141" s="114"/>
      <c r="C141" s="117"/>
      <c r="D141" s="117"/>
      <c r="E141" s="121"/>
      <c r="F141" s="118"/>
      <c r="G141" s="125"/>
      <c r="H141" s="126"/>
      <c r="I141" s="110"/>
      <c r="J141" s="112"/>
      <c r="K141" s="112"/>
    </row>
    <row r="142" spans="2:11" ht="15" x14ac:dyDescent="0.2">
      <c r="B142" s="114"/>
      <c r="C142" s="117"/>
      <c r="D142" s="117"/>
      <c r="E142" s="121"/>
      <c r="F142" s="118"/>
      <c r="G142" s="119"/>
      <c r="H142" s="113"/>
      <c r="I142" s="110"/>
      <c r="J142" s="112"/>
      <c r="K142" s="112"/>
    </row>
    <row r="143" spans="2:11" ht="15" x14ac:dyDescent="0.2">
      <c r="B143" s="114"/>
      <c r="C143" s="117"/>
      <c r="D143" s="117"/>
      <c r="E143" s="127"/>
      <c r="F143" s="118"/>
      <c r="G143" s="125"/>
      <c r="H143" s="126"/>
      <c r="I143" s="110"/>
      <c r="J143" s="112"/>
      <c r="K143" s="112"/>
    </row>
    <row r="144" spans="2:11" ht="15" x14ac:dyDescent="0.2">
      <c r="B144" s="114"/>
      <c r="C144" s="116"/>
      <c r="D144" s="117"/>
      <c r="E144" s="121"/>
      <c r="F144" s="118"/>
      <c r="G144" s="119"/>
      <c r="H144" s="113"/>
      <c r="I144" s="110"/>
      <c r="J144" s="112"/>
      <c r="K144" s="112"/>
    </row>
    <row r="145" spans="2:11" ht="15" x14ac:dyDescent="0.2">
      <c r="B145" s="114"/>
      <c r="C145" s="116"/>
      <c r="D145" s="117"/>
      <c r="E145" s="121"/>
      <c r="F145" s="118"/>
      <c r="G145" s="125"/>
      <c r="H145" s="126"/>
      <c r="I145" s="110"/>
      <c r="J145" s="112"/>
      <c r="K145" s="112"/>
    </row>
    <row r="146" spans="2:11" ht="15" x14ac:dyDescent="0.2">
      <c r="B146" s="114"/>
      <c r="C146" s="116"/>
      <c r="D146" s="117"/>
      <c r="E146" s="121"/>
      <c r="F146" s="118"/>
      <c r="G146" s="125"/>
      <c r="H146" s="126"/>
      <c r="I146" s="110"/>
      <c r="J146" s="112"/>
      <c r="K146" s="112"/>
    </row>
    <row r="147" spans="2:11" ht="15" x14ac:dyDescent="0.2">
      <c r="B147" s="114"/>
      <c r="C147" s="116"/>
      <c r="D147" s="117"/>
      <c r="E147" s="121"/>
      <c r="F147" s="118"/>
      <c r="G147" s="125"/>
      <c r="H147" s="126"/>
      <c r="I147" s="110"/>
      <c r="J147" s="112"/>
      <c r="K147" s="112"/>
    </row>
    <row r="148" spans="2:11" ht="15" x14ac:dyDescent="0.2">
      <c r="B148" s="128"/>
      <c r="C148" s="129"/>
      <c r="D148" s="129"/>
      <c r="E148" s="130"/>
      <c r="F148" s="131"/>
      <c r="G148" s="134"/>
      <c r="H148" s="135"/>
      <c r="I148" s="110"/>
    </row>
    <row r="149" spans="2:11" ht="15" x14ac:dyDescent="0.2">
      <c r="B149" s="128"/>
      <c r="C149" s="138"/>
      <c r="D149" s="129"/>
      <c r="E149" s="130"/>
      <c r="F149" s="131"/>
      <c r="G149" s="134"/>
      <c r="H149" s="135"/>
      <c r="I149" s="110"/>
    </row>
    <row r="150" spans="2:11" ht="15" x14ac:dyDescent="0.2">
      <c r="B150" s="128"/>
      <c r="C150" s="138"/>
      <c r="D150" s="129"/>
      <c r="E150" s="130"/>
      <c r="F150" s="131"/>
      <c r="G150" s="134"/>
      <c r="H150" s="135"/>
      <c r="I150" s="110"/>
    </row>
    <row r="151" spans="2:11" ht="15" x14ac:dyDescent="0.2">
      <c r="B151" s="128"/>
      <c r="C151" s="138"/>
      <c r="D151" s="129"/>
      <c r="E151" s="130"/>
      <c r="F151" s="131"/>
      <c r="G151" s="134"/>
      <c r="H151" s="135"/>
      <c r="I151" s="110"/>
    </row>
    <row r="152" spans="2:11" ht="15" x14ac:dyDescent="0.2">
      <c r="B152" s="128"/>
      <c r="C152" s="138"/>
      <c r="D152" s="129"/>
      <c r="E152" s="130"/>
      <c r="F152" s="131"/>
      <c r="G152" s="134"/>
      <c r="H152" s="135"/>
      <c r="I152" s="110"/>
    </row>
    <row r="153" spans="2:11" ht="15" x14ac:dyDescent="0.2">
      <c r="B153" s="128"/>
      <c r="C153" s="138"/>
      <c r="D153" s="129"/>
      <c r="E153" s="130"/>
      <c r="F153" s="131"/>
      <c r="G153" s="134"/>
      <c r="H153" s="135"/>
      <c r="I153" s="110"/>
    </row>
    <row r="154" spans="2:11" ht="15" x14ac:dyDescent="0.2">
      <c r="B154" s="128"/>
      <c r="C154" s="138"/>
      <c r="D154" s="129"/>
      <c r="E154" s="130"/>
      <c r="F154" s="131"/>
      <c r="G154" s="134"/>
      <c r="H154" s="135"/>
      <c r="I154" s="110"/>
    </row>
    <row r="155" spans="2:11" ht="15" x14ac:dyDescent="0.2">
      <c r="B155" s="128"/>
      <c r="C155" s="129"/>
      <c r="D155" s="129"/>
      <c r="E155" s="139"/>
      <c r="F155" s="131"/>
      <c r="G155" s="132"/>
      <c r="H155" s="133"/>
      <c r="I155" s="110"/>
    </row>
    <row r="156" spans="2:11" ht="15" x14ac:dyDescent="0.2">
      <c r="B156" s="128"/>
      <c r="C156" s="129"/>
      <c r="D156" s="129"/>
      <c r="E156" s="139"/>
      <c r="F156" s="131"/>
      <c r="G156" s="132"/>
      <c r="H156" s="133"/>
      <c r="I156" s="110"/>
    </row>
    <row r="157" spans="2:11" ht="15" x14ac:dyDescent="0.2">
      <c r="B157" s="128"/>
      <c r="C157" s="129"/>
      <c r="D157" s="129"/>
      <c r="E157" s="139"/>
      <c r="F157" s="131"/>
      <c r="G157" s="132"/>
      <c r="H157" s="133"/>
      <c r="I157" s="110"/>
    </row>
    <row r="158" spans="2:11" ht="15" x14ac:dyDescent="0.2">
      <c r="B158" s="128"/>
      <c r="C158" s="129"/>
      <c r="D158" s="129"/>
      <c r="E158" s="139"/>
      <c r="F158" s="131"/>
      <c r="G158" s="132"/>
      <c r="H158" s="133"/>
      <c r="I158" s="110"/>
    </row>
    <row r="159" spans="2:11" ht="15" x14ac:dyDescent="0.2">
      <c r="B159" s="128"/>
      <c r="C159" s="129"/>
      <c r="D159" s="129"/>
      <c r="E159" s="139"/>
      <c r="F159" s="131"/>
      <c r="G159" s="132"/>
      <c r="H159" s="133"/>
      <c r="I159" s="110"/>
    </row>
    <row r="160" spans="2:11" ht="15" x14ac:dyDescent="0.2">
      <c r="B160" s="128"/>
      <c r="C160" s="129"/>
      <c r="D160" s="129"/>
      <c r="E160" s="130"/>
      <c r="F160" s="131"/>
      <c r="G160" s="134"/>
      <c r="H160" s="133"/>
      <c r="I160" s="110"/>
    </row>
    <row r="161" spans="2:11" ht="15" x14ac:dyDescent="0.2">
      <c r="B161" s="140"/>
      <c r="C161" s="129"/>
      <c r="D161" s="129"/>
      <c r="E161" s="130"/>
      <c r="F161" s="131"/>
      <c r="G161" s="132"/>
      <c r="H161" s="133"/>
    </row>
    <row r="162" spans="2:11" ht="15" x14ac:dyDescent="0.2">
      <c r="B162" s="140"/>
      <c r="C162" s="142"/>
      <c r="D162" s="142"/>
      <c r="E162" s="143"/>
      <c r="F162" s="141"/>
      <c r="G162" s="141"/>
      <c r="H162" s="144"/>
    </row>
    <row r="163" spans="2:11" ht="15" x14ac:dyDescent="0.2">
      <c r="B163" s="114"/>
      <c r="C163" s="117"/>
      <c r="D163" s="117"/>
      <c r="E163" s="121"/>
      <c r="F163" s="115"/>
      <c r="G163" s="115"/>
      <c r="H163" s="145"/>
      <c r="I163" s="110"/>
      <c r="J163" s="112"/>
      <c r="K163" s="112"/>
    </row>
    <row r="164" spans="2:11" ht="15" x14ac:dyDescent="0.2">
      <c r="B164" s="140"/>
      <c r="C164" s="142"/>
      <c r="D164" s="142"/>
      <c r="E164" s="143"/>
      <c r="F164" s="141"/>
      <c r="G164" s="141"/>
      <c r="H164" s="144"/>
    </row>
    <row r="165" spans="2:11" ht="15" x14ac:dyDescent="0.2">
      <c r="B165" s="140"/>
      <c r="C165" s="142"/>
      <c r="D165" s="142"/>
      <c r="E165" s="143"/>
      <c r="F165" s="141"/>
      <c r="G165" s="141"/>
      <c r="H165" s="144"/>
    </row>
    <row r="166" spans="2:11" x14ac:dyDescent="0.15">
      <c r="B166" s="146"/>
      <c r="C166" s="142"/>
      <c r="D166" s="142"/>
      <c r="E166" s="143"/>
      <c r="F166" s="141"/>
      <c r="G166" s="141"/>
      <c r="H166" s="144"/>
    </row>
    <row r="167" spans="2:11" x14ac:dyDescent="0.15">
      <c r="B167" s="146"/>
      <c r="C167" s="142"/>
      <c r="D167" s="142"/>
      <c r="E167" s="143"/>
      <c r="F167" s="141"/>
      <c r="G167" s="141"/>
      <c r="H167" s="144"/>
    </row>
    <row r="168" spans="2:11" x14ac:dyDescent="0.15">
      <c r="B168" s="146"/>
      <c r="C168" s="142"/>
      <c r="D168" s="142"/>
      <c r="E168" s="143"/>
      <c r="F168" s="141"/>
      <c r="G168" s="141"/>
      <c r="H168" s="144"/>
    </row>
    <row r="169" spans="2:11" x14ac:dyDescent="0.15">
      <c r="B169" s="146"/>
      <c r="C169" s="142"/>
      <c r="D169" s="142"/>
      <c r="E169" s="143"/>
      <c r="F169" s="141"/>
      <c r="G169" s="141"/>
      <c r="H169" s="144"/>
    </row>
    <row r="170" spans="2:11" x14ac:dyDescent="0.15">
      <c r="B170" s="146"/>
      <c r="C170" s="142"/>
      <c r="D170" s="142"/>
      <c r="E170" s="143"/>
      <c r="F170" s="141"/>
      <c r="G170" s="141"/>
      <c r="H170" s="144"/>
    </row>
    <row r="171" spans="2:11" ht="16" thickBot="1" x14ac:dyDescent="0.25">
      <c r="B171" s="147"/>
      <c r="C171" s="149"/>
      <c r="D171" s="150"/>
      <c r="E171" s="151"/>
      <c r="F171" s="148"/>
      <c r="G171" s="148"/>
      <c r="H171" s="152"/>
    </row>
  </sheetData>
  <mergeCells count="4">
    <mergeCell ref="B5:H5"/>
    <mergeCell ref="B7:H7"/>
    <mergeCell ref="B4:H4"/>
    <mergeCell ref="B23:H23"/>
  </mergeCells>
  <pageMargins left="0.25" right="0.25" top="0.75" bottom="0.75" header="0.3" footer="0.3"/>
  <pageSetup scale="85" orientation="portrait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4:L177"/>
  <sheetViews>
    <sheetView zoomScaleNormal="100" workbookViewId="0">
      <selection activeCell="B17" sqref="B17"/>
    </sheetView>
  </sheetViews>
  <sheetFormatPr baseColWidth="10" defaultColWidth="8.83203125" defaultRowHeight="13" x14ac:dyDescent="0.15"/>
  <cols>
    <col min="1" max="1" width="2.5" customWidth="1"/>
    <col min="2" max="2" width="11.5" style="98" customWidth="1"/>
    <col min="3" max="3" width="9.33203125" style="99" bestFit="1" customWidth="1"/>
    <col min="4" max="5" width="11.6640625" style="99" customWidth="1"/>
    <col min="6" max="6" width="34.33203125" customWidth="1"/>
    <col min="7" max="7" width="18" style="95" customWidth="1"/>
    <col min="8" max="8" width="13.83203125" style="95" bestFit="1" customWidth="1"/>
    <col min="9" max="9" width="14.6640625" style="95" customWidth="1"/>
    <col min="10" max="10" width="18.33203125" style="97" customWidth="1"/>
    <col min="11" max="11" width="8.33203125" customWidth="1"/>
    <col min="12" max="12" width="13.6640625" bestFit="1" customWidth="1"/>
  </cols>
  <sheetData>
    <row r="4" spans="2:12" ht="17" x14ac:dyDescent="0.2">
      <c r="B4" s="220" t="s">
        <v>44</v>
      </c>
      <c r="C4" s="220"/>
      <c r="D4" s="220"/>
      <c r="E4" s="220"/>
      <c r="F4" s="220"/>
      <c r="G4" s="220"/>
      <c r="H4" s="220"/>
      <c r="I4" s="220"/>
    </row>
    <row r="5" spans="2:12" ht="17" x14ac:dyDescent="0.2">
      <c r="B5" s="220" t="s">
        <v>69</v>
      </c>
      <c r="C5" s="220"/>
      <c r="D5" s="220"/>
      <c r="E5" s="220"/>
      <c r="F5" s="220"/>
      <c r="G5" s="220"/>
      <c r="H5" s="220"/>
      <c r="I5" s="220"/>
    </row>
    <row r="6" spans="2:12" ht="17" x14ac:dyDescent="0.2">
      <c r="B6" s="179"/>
      <c r="C6" s="179"/>
      <c r="D6" s="179"/>
      <c r="E6" s="179"/>
      <c r="F6" s="179"/>
      <c r="G6" s="179"/>
      <c r="H6" s="179"/>
      <c r="I6" s="179"/>
    </row>
    <row r="7" spans="2:12" ht="17" x14ac:dyDescent="0.2">
      <c r="B7" s="220" t="s">
        <v>59</v>
      </c>
      <c r="C7" s="220"/>
      <c r="D7" s="220"/>
      <c r="E7" s="220"/>
      <c r="F7" s="220"/>
      <c r="G7" s="220"/>
      <c r="H7" s="220"/>
      <c r="I7" s="220"/>
    </row>
    <row r="8" spans="2:12" ht="14" thickBot="1" x14ac:dyDescent="0.2"/>
    <row r="9" spans="2:12" ht="16" thickBot="1" x14ac:dyDescent="0.25">
      <c r="B9" s="100" t="s">
        <v>0</v>
      </c>
      <c r="C9" s="102" t="s">
        <v>29</v>
      </c>
      <c r="D9" s="102" t="s">
        <v>70</v>
      </c>
      <c r="E9" s="189" t="s">
        <v>71</v>
      </c>
      <c r="F9" s="101" t="s">
        <v>31</v>
      </c>
      <c r="G9" s="101" t="s">
        <v>32</v>
      </c>
      <c r="H9" s="101" t="s">
        <v>33</v>
      </c>
      <c r="I9" s="103" t="s">
        <v>27</v>
      </c>
      <c r="J9"/>
    </row>
    <row r="10" spans="2:12" ht="15" x14ac:dyDescent="0.2">
      <c r="B10" s="104"/>
      <c r="C10" s="105"/>
      <c r="D10" s="105"/>
      <c r="E10" s="105"/>
      <c r="F10" s="106"/>
      <c r="G10" s="107"/>
      <c r="H10" s="108"/>
      <c r="I10" s="109"/>
      <c r="J10" s="110"/>
      <c r="K10" s="111"/>
      <c r="L10" s="112"/>
    </row>
    <row r="11" spans="2:12" ht="15" x14ac:dyDescent="0.2">
      <c r="B11" s="114">
        <v>40968</v>
      </c>
      <c r="C11" s="116">
        <v>2.1</v>
      </c>
      <c r="D11" s="190">
        <v>325187.5</v>
      </c>
      <c r="E11" s="191">
        <v>352019</v>
      </c>
      <c r="F11" s="121" t="s">
        <v>60</v>
      </c>
      <c r="G11" s="118" t="s">
        <v>61</v>
      </c>
      <c r="H11" s="119"/>
      <c r="I11" s="113">
        <f>E11</f>
        <v>352019</v>
      </c>
      <c r="J11" s="110"/>
      <c r="K11" s="112"/>
      <c r="L11" s="112"/>
    </row>
    <row r="12" spans="2:12" ht="15" x14ac:dyDescent="0.2">
      <c r="B12" s="114">
        <v>40968</v>
      </c>
      <c r="C12" s="116">
        <v>2.2000000000000002</v>
      </c>
      <c r="D12" s="117">
        <v>1251</v>
      </c>
      <c r="E12" s="188">
        <v>1606</v>
      </c>
      <c r="F12" s="106" t="s">
        <v>56</v>
      </c>
      <c r="G12" s="118" t="s">
        <v>57</v>
      </c>
      <c r="H12" s="119">
        <v>128</v>
      </c>
      <c r="I12" s="113">
        <f>E12*H12</f>
        <v>205568</v>
      </c>
      <c r="J12" s="110"/>
      <c r="K12" s="120"/>
      <c r="L12" s="112"/>
    </row>
    <row r="13" spans="2:12" ht="15" x14ac:dyDescent="0.2">
      <c r="B13" s="114">
        <v>40968</v>
      </c>
      <c r="C13" s="116">
        <v>2.2000000000000002</v>
      </c>
      <c r="D13" s="117">
        <v>1296</v>
      </c>
      <c r="E13" s="188">
        <v>2179</v>
      </c>
      <c r="F13" s="106" t="s">
        <v>56</v>
      </c>
      <c r="G13" s="118" t="s">
        <v>58</v>
      </c>
      <c r="H13" s="119">
        <v>128</v>
      </c>
      <c r="I13" s="113">
        <f>E13*H13</f>
        <v>278912</v>
      </c>
      <c r="J13" s="110"/>
      <c r="K13" s="112"/>
      <c r="L13" s="112"/>
    </row>
    <row r="14" spans="2:12" ht="15" x14ac:dyDescent="0.2">
      <c r="B14" s="114">
        <v>40968</v>
      </c>
      <c r="C14" s="116">
        <v>2.5</v>
      </c>
      <c r="D14" s="117">
        <v>35.340000000000003</v>
      </c>
      <c r="E14" s="192">
        <v>102.48515</v>
      </c>
      <c r="F14" s="106" t="s">
        <v>62</v>
      </c>
      <c r="G14" s="118" t="s">
        <v>61</v>
      </c>
      <c r="H14" s="119">
        <v>12000</v>
      </c>
      <c r="I14" s="113">
        <f>E14*H14</f>
        <v>1229821.8</v>
      </c>
      <c r="J14" s="183"/>
      <c r="K14" s="112"/>
      <c r="L14" s="112"/>
    </row>
    <row r="15" spans="2:12" ht="15" x14ac:dyDescent="0.2">
      <c r="B15" s="114">
        <v>40968</v>
      </c>
      <c r="C15" s="116" t="s">
        <v>63</v>
      </c>
      <c r="D15" s="116">
        <v>320</v>
      </c>
      <c r="E15" s="188">
        <v>440</v>
      </c>
      <c r="F15" s="121" t="s">
        <v>64</v>
      </c>
      <c r="G15" s="118" t="s">
        <v>61</v>
      </c>
      <c r="H15" s="119">
        <v>75</v>
      </c>
      <c r="I15" s="113">
        <f>E15*H15</f>
        <v>33000</v>
      </c>
      <c r="J15" s="110"/>
      <c r="K15" s="112"/>
      <c r="L15" s="112"/>
    </row>
    <row r="16" spans="2:12" ht="15" x14ac:dyDescent="0.2">
      <c r="B16" s="114">
        <v>40968</v>
      </c>
      <c r="C16" s="116" t="s">
        <v>51</v>
      </c>
      <c r="D16" s="116">
        <v>600</v>
      </c>
      <c r="E16" s="188">
        <v>2520</v>
      </c>
      <c r="F16" s="121" t="s">
        <v>65</v>
      </c>
      <c r="G16" s="118" t="s">
        <v>61</v>
      </c>
      <c r="H16" s="119">
        <v>80</v>
      </c>
      <c r="I16" s="113">
        <f>E16*H16</f>
        <v>201600</v>
      </c>
      <c r="J16" s="183">
        <f>SUM(I12:I16)</f>
        <v>1948901.8</v>
      </c>
      <c r="K16" s="112"/>
      <c r="L16" s="112"/>
    </row>
    <row r="17" spans="2:12" ht="15" x14ac:dyDescent="0.2">
      <c r="B17" s="114"/>
      <c r="C17" s="116"/>
      <c r="D17" s="116"/>
      <c r="E17" s="117"/>
      <c r="F17" s="121"/>
      <c r="G17" s="118"/>
      <c r="H17" s="119"/>
      <c r="I17" s="113"/>
      <c r="J17" s="110"/>
      <c r="K17" s="111"/>
      <c r="L17" s="112"/>
    </row>
    <row r="18" spans="2:12" ht="15" x14ac:dyDescent="0.2">
      <c r="B18" s="114"/>
      <c r="C18" s="116"/>
      <c r="D18" s="116"/>
      <c r="E18" s="117"/>
      <c r="F18" s="121"/>
      <c r="G18" s="118"/>
      <c r="H18" s="119" t="s">
        <v>4</v>
      </c>
      <c r="I18" s="113">
        <f>SUM(I10:I17)</f>
        <v>2300920.7999999998</v>
      </c>
      <c r="J18" s="110"/>
      <c r="K18" s="111"/>
      <c r="L18" s="112"/>
    </row>
    <row r="19" spans="2:12" ht="16" thickBot="1" x14ac:dyDescent="0.25">
      <c r="B19" s="157"/>
      <c r="C19" s="158"/>
      <c r="D19" s="158"/>
      <c r="E19" s="159"/>
      <c r="F19" s="160"/>
      <c r="G19" s="161"/>
      <c r="H19" s="162"/>
      <c r="I19" s="163"/>
      <c r="J19" s="122"/>
      <c r="K19" s="123"/>
      <c r="L19" s="112"/>
    </row>
    <row r="20" spans="2:12" ht="15" x14ac:dyDescent="0.2">
      <c r="B20" s="164"/>
      <c r="C20" s="165"/>
      <c r="D20" s="165"/>
      <c r="E20" s="166"/>
      <c r="F20" s="167"/>
      <c r="G20" s="168"/>
      <c r="H20" s="169"/>
      <c r="I20" s="169"/>
      <c r="J20" s="122"/>
      <c r="K20" s="120"/>
      <c r="L20" s="112"/>
    </row>
    <row r="21" spans="2:12" ht="15" x14ac:dyDescent="0.2">
      <c r="B21" s="170"/>
      <c r="C21" s="171"/>
      <c r="D21" s="171"/>
      <c r="E21" s="171"/>
      <c r="F21" s="112"/>
      <c r="G21" s="172"/>
    </row>
    <row r="22" spans="2:12" ht="15" x14ac:dyDescent="0.2">
      <c r="B22" s="170"/>
      <c r="C22" s="171"/>
      <c r="D22" s="171"/>
      <c r="E22" s="171"/>
      <c r="F22" s="112"/>
      <c r="G22" s="172"/>
      <c r="H22" s="173"/>
      <c r="I22" s="173"/>
    </row>
    <row r="23" spans="2:12" ht="17" x14ac:dyDescent="0.2">
      <c r="B23" s="220" t="s">
        <v>28</v>
      </c>
      <c r="C23" s="220"/>
      <c r="D23" s="220"/>
      <c r="E23" s="220"/>
      <c r="F23" s="220"/>
      <c r="G23" s="220"/>
      <c r="H23" s="220"/>
      <c r="I23" s="220"/>
    </row>
    <row r="24" spans="2:12" ht="14" thickBot="1" x14ac:dyDescent="0.2"/>
    <row r="25" spans="2:12" ht="16" thickBot="1" x14ac:dyDescent="0.25">
      <c r="B25" s="100" t="s">
        <v>0</v>
      </c>
      <c r="C25" s="102" t="s">
        <v>29</v>
      </c>
      <c r="D25" s="102" t="s">
        <v>70</v>
      </c>
      <c r="E25" s="102" t="s">
        <v>30</v>
      </c>
      <c r="F25" s="101" t="s">
        <v>31</v>
      </c>
      <c r="G25" s="101" t="s">
        <v>32</v>
      </c>
      <c r="H25" s="101" t="s">
        <v>33</v>
      </c>
      <c r="I25" s="103" t="s">
        <v>27</v>
      </c>
      <c r="J25"/>
    </row>
    <row r="26" spans="2:12" ht="15" x14ac:dyDescent="0.2">
      <c r="B26" s="104"/>
      <c r="C26" s="105"/>
      <c r="D26" s="105"/>
      <c r="E26" s="105"/>
      <c r="F26" s="106"/>
      <c r="G26" s="107"/>
      <c r="H26" s="108"/>
      <c r="I26" s="109"/>
      <c r="J26" s="110"/>
      <c r="K26" s="111"/>
      <c r="L26" s="112"/>
    </row>
    <row r="27" spans="2:12" ht="15" x14ac:dyDescent="0.2">
      <c r="B27" s="104"/>
      <c r="C27" s="153">
        <v>3.3</v>
      </c>
      <c r="D27" s="153"/>
      <c r="E27" s="105">
        <v>0</v>
      </c>
      <c r="F27" s="106" t="s">
        <v>34</v>
      </c>
      <c r="G27" s="107"/>
      <c r="H27" s="108">
        <v>1450</v>
      </c>
      <c r="I27" s="113">
        <f>E27*H27</f>
        <v>0</v>
      </c>
      <c r="J27" s="110"/>
      <c r="K27" s="112"/>
      <c r="L27" s="112"/>
    </row>
    <row r="28" spans="2:12" ht="15" x14ac:dyDescent="0.2">
      <c r="B28" s="114"/>
      <c r="C28" s="116"/>
      <c r="D28" s="116"/>
      <c r="E28" s="117"/>
      <c r="F28" s="121"/>
      <c r="G28" s="118"/>
      <c r="H28" s="119"/>
      <c r="I28" s="113"/>
      <c r="J28" s="110"/>
      <c r="K28" s="111"/>
      <c r="L28" s="112"/>
    </row>
    <row r="29" spans="2:12" ht="15" x14ac:dyDescent="0.2">
      <c r="B29" s="114"/>
      <c r="C29" s="116"/>
      <c r="D29" s="116"/>
      <c r="E29" s="117"/>
      <c r="F29" s="121"/>
      <c r="G29" s="118"/>
      <c r="H29" s="119" t="s">
        <v>4</v>
      </c>
      <c r="I29" s="113">
        <f>SUM(I27:I28)</f>
        <v>0</v>
      </c>
      <c r="J29" s="110"/>
      <c r="K29" s="111"/>
      <c r="L29" s="112"/>
    </row>
    <row r="30" spans="2:12" ht="16" thickBot="1" x14ac:dyDescent="0.25">
      <c r="B30" s="157"/>
      <c r="C30" s="158"/>
      <c r="D30" s="158"/>
      <c r="E30" s="159"/>
      <c r="F30" s="160"/>
      <c r="G30" s="161"/>
      <c r="H30" s="162"/>
      <c r="I30" s="163"/>
      <c r="J30" s="122"/>
      <c r="K30" s="123"/>
      <c r="L30" s="112"/>
    </row>
    <row r="31" spans="2:12" ht="15" x14ac:dyDescent="0.2">
      <c r="B31" s="170"/>
      <c r="C31" s="171"/>
      <c r="D31" s="171"/>
      <c r="E31" s="171"/>
      <c r="F31" s="112"/>
      <c r="G31" s="172"/>
      <c r="H31" s="173"/>
      <c r="I31" s="173"/>
      <c r="J31" s="124"/>
    </row>
    <row r="32" spans="2:12" ht="17" x14ac:dyDescent="0.2">
      <c r="B32" s="220" t="s">
        <v>72</v>
      </c>
      <c r="C32" s="220"/>
      <c r="D32" s="220"/>
      <c r="E32" s="220"/>
      <c r="F32" s="220"/>
      <c r="G32" s="220"/>
      <c r="H32" s="220"/>
      <c r="I32" s="220"/>
    </row>
    <row r="33" spans="2:12" ht="14" thickBot="1" x14ac:dyDescent="0.2"/>
    <row r="34" spans="2:12" ht="16" thickBot="1" x14ac:dyDescent="0.25">
      <c r="B34" s="100" t="s">
        <v>0</v>
      </c>
      <c r="C34" s="102" t="s">
        <v>73</v>
      </c>
      <c r="D34" s="224" t="s">
        <v>31</v>
      </c>
      <c r="E34" s="225"/>
      <c r="F34" s="225"/>
      <c r="G34" s="225"/>
      <c r="H34" s="226"/>
      <c r="I34" s="103" t="s">
        <v>27</v>
      </c>
      <c r="J34"/>
    </row>
    <row r="35" spans="2:12" ht="15" x14ac:dyDescent="0.2">
      <c r="B35" s="104"/>
      <c r="C35" s="105"/>
      <c r="D35" s="227"/>
      <c r="E35" s="228"/>
      <c r="F35" s="228"/>
      <c r="G35" s="228"/>
      <c r="H35" s="229"/>
      <c r="I35" s="109"/>
      <c r="J35" s="110"/>
      <c r="K35" s="111"/>
      <c r="L35" s="112"/>
    </row>
    <row r="36" spans="2:12" ht="15" x14ac:dyDescent="0.2">
      <c r="B36" s="104">
        <v>40968</v>
      </c>
      <c r="C36" s="184" t="s">
        <v>74</v>
      </c>
      <c r="D36" s="230" t="s">
        <v>95</v>
      </c>
      <c r="E36" s="231"/>
      <c r="F36" s="231"/>
      <c r="G36" s="231"/>
      <c r="H36" s="232"/>
      <c r="I36" s="113">
        <v>27949.25</v>
      </c>
      <c r="J36" s="110"/>
      <c r="K36" s="112"/>
      <c r="L36" s="112"/>
    </row>
    <row r="37" spans="2:12" ht="15" x14ac:dyDescent="0.2">
      <c r="B37" s="114"/>
      <c r="C37" s="185"/>
      <c r="D37" s="230"/>
      <c r="E37" s="231"/>
      <c r="F37" s="231"/>
      <c r="G37" s="231"/>
      <c r="H37" s="232"/>
      <c r="I37" s="113">
        <f>E37*H37</f>
        <v>0</v>
      </c>
      <c r="J37" s="110"/>
      <c r="K37" s="112"/>
      <c r="L37" s="112"/>
    </row>
    <row r="38" spans="2:12" ht="15" x14ac:dyDescent="0.2">
      <c r="B38" s="114"/>
      <c r="C38" s="185"/>
      <c r="D38" s="230"/>
      <c r="E38" s="231"/>
      <c r="F38" s="231"/>
      <c r="G38" s="231"/>
      <c r="H38" s="232"/>
      <c r="I38" s="113">
        <f>E38*H38</f>
        <v>0</v>
      </c>
      <c r="J38" s="110"/>
      <c r="K38" s="111"/>
      <c r="L38" s="112"/>
    </row>
    <row r="39" spans="2:12" ht="15" x14ac:dyDescent="0.2">
      <c r="B39" s="114"/>
      <c r="C39" s="185"/>
      <c r="D39" s="233" t="s">
        <v>4</v>
      </c>
      <c r="E39" s="234"/>
      <c r="F39" s="234"/>
      <c r="G39" s="234"/>
      <c r="H39" s="235"/>
      <c r="I39" s="113">
        <f>SUM(I36:I38)</f>
        <v>27949.25</v>
      </c>
      <c r="J39" s="110"/>
      <c r="K39" s="111"/>
      <c r="L39" s="112"/>
    </row>
    <row r="40" spans="2:12" ht="16" thickBot="1" x14ac:dyDescent="0.25">
      <c r="B40" s="157"/>
      <c r="C40" s="158"/>
      <c r="D40" s="221"/>
      <c r="E40" s="222"/>
      <c r="F40" s="222"/>
      <c r="G40" s="222"/>
      <c r="H40" s="223"/>
      <c r="I40" s="163"/>
      <c r="J40" s="122"/>
      <c r="K40" s="123"/>
      <c r="L40" s="112"/>
    </row>
    <row r="41" spans="2:12" ht="15" x14ac:dyDescent="0.2">
      <c r="B41" s="170"/>
      <c r="C41" s="171"/>
      <c r="D41" s="171"/>
      <c r="E41" s="171"/>
      <c r="F41" s="112"/>
      <c r="G41" s="172"/>
      <c r="H41" s="173"/>
      <c r="I41" s="173"/>
    </row>
    <row r="42" spans="2:12" ht="15" x14ac:dyDescent="0.2">
      <c r="B42" s="170"/>
      <c r="C42" s="174"/>
      <c r="D42" s="174"/>
      <c r="E42" s="171"/>
      <c r="F42" s="112"/>
      <c r="G42" s="172"/>
      <c r="H42" s="182" t="s">
        <v>66</v>
      </c>
      <c r="I42" s="182">
        <f>I29+I18+I39</f>
        <v>2328870.0499999998</v>
      </c>
    </row>
    <row r="43" spans="2:12" ht="15" x14ac:dyDescent="0.2">
      <c r="B43" s="170"/>
      <c r="C43" s="171"/>
      <c r="D43" s="171"/>
      <c r="E43" s="171"/>
      <c r="F43" s="112"/>
      <c r="G43" s="172"/>
      <c r="H43" s="173"/>
      <c r="I43" s="173"/>
    </row>
    <row r="44" spans="2:12" ht="15" x14ac:dyDescent="0.2">
      <c r="B44" s="170"/>
      <c r="C44" s="171"/>
      <c r="D44" s="171"/>
      <c r="E44" s="171"/>
      <c r="F44" s="112"/>
      <c r="G44" s="172"/>
      <c r="H44" s="175"/>
      <c r="I44" s="173"/>
    </row>
    <row r="45" spans="2:12" ht="15" x14ac:dyDescent="0.2">
      <c r="B45" s="170"/>
      <c r="C45" s="171"/>
      <c r="D45" s="171"/>
      <c r="E45" s="171"/>
      <c r="F45" s="112"/>
      <c r="G45" s="172"/>
      <c r="H45" s="173"/>
      <c r="I45" s="173"/>
    </row>
    <row r="46" spans="2:12" ht="15" x14ac:dyDescent="0.2">
      <c r="B46" s="170"/>
      <c r="C46" s="171"/>
      <c r="D46" s="171"/>
      <c r="E46" s="171"/>
      <c r="F46" s="112"/>
      <c r="G46" s="172"/>
      <c r="H46" s="173"/>
      <c r="I46" s="173"/>
    </row>
    <row r="47" spans="2:12" ht="15" x14ac:dyDescent="0.2">
      <c r="B47" s="170"/>
      <c r="C47" s="171"/>
      <c r="D47" s="171"/>
      <c r="E47" s="171"/>
      <c r="F47" s="112"/>
      <c r="G47" s="172"/>
      <c r="H47" s="173"/>
      <c r="I47" s="173"/>
    </row>
    <row r="48" spans="2:12" ht="15" x14ac:dyDescent="0.2">
      <c r="B48" s="170"/>
      <c r="C48" s="174"/>
      <c r="D48" s="174"/>
      <c r="E48" s="171"/>
      <c r="F48" s="112"/>
      <c r="G48" s="172"/>
      <c r="H48" s="173"/>
      <c r="I48" s="173"/>
    </row>
    <row r="49" spans="2:12" ht="15" x14ac:dyDescent="0.2">
      <c r="B49" s="170"/>
      <c r="C49" s="174"/>
      <c r="D49" s="174"/>
      <c r="E49" s="171"/>
      <c r="F49" s="112"/>
      <c r="G49" s="172"/>
      <c r="H49" s="173"/>
      <c r="I49" s="173"/>
    </row>
    <row r="50" spans="2:12" ht="15" x14ac:dyDescent="0.2">
      <c r="B50" s="170"/>
      <c r="C50" s="174"/>
      <c r="D50" s="174"/>
      <c r="E50" s="171"/>
      <c r="F50" s="112"/>
      <c r="G50" s="172"/>
      <c r="H50" s="173"/>
      <c r="I50" s="173"/>
    </row>
    <row r="51" spans="2:12" ht="15" x14ac:dyDescent="0.2">
      <c r="B51" s="170"/>
      <c r="C51" s="174"/>
      <c r="D51" s="174"/>
      <c r="E51" s="171"/>
      <c r="F51" s="112"/>
      <c r="G51" s="172"/>
      <c r="H51" s="173"/>
      <c r="I51" s="173"/>
    </row>
    <row r="52" spans="2:12" ht="15" x14ac:dyDescent="0.2">
      <c r="B52" s="104"/>
      <c r="C52" s="153"/>
      <c r="D52" s="153"/>
      <c r="E52" s="105"/>
      <c r="F52" s="106"/>
      <c r="G52" s="107"/>
      <c r="H52" s="108"/>
      <c r="I52" s="109"/>
    </row>
    <row r="53" spans="2:12" ht="15" x14ac:dyDescent="0.2">
      <c r="B53" s="114"/>
      <c r="C53" s="116"/>
      <c r="D53" s="116"/>
      <c r="E53" s="117"/>
      <c r="F53" s="121"/>
      <c r="G53" s="118"/>
      <c r="H53" s="119"/>
      <c r="I53" s="113"/>
    </row>
    <row r="54" spans="2:12" ht="15" x14ac:dyDescent="0.2">
      <c r="B54" s="114"/>
      <c r="C54" s="117"/>
      <c r="D54" s="117"/>
      <c r="E54" s="117"/>
      <c r="F54" s="121"/>
      <c r="G54" s="118"/>
      <c r="H54" s="119"/>
      <c r="I54" s="113"/>
    </row>
    <row r="55" spans="2:12" s="97" customFormat="1" ht="15" x14ac:dyDescent="0.2">
      <c r="B55" s="114"/>
      <c r="C55" s="115"/>
      <c r="D55" s="115"/>
      <c r="E55" s="117"/>
      <c r="F55" s="121"/>
      <c r="G55" s="118"/>
      <c r="H55" s="119"/>
      <c r="I55" s="113"/>
      <c r="K55"/>
      <c r="L55"/>
    </row>
    <row r="56" spans="2:12" s="97" customFormat="1" ht="15" x14ac:dyDescent="0.2">
      <c r="B56" s="114"/>
      <c r="C56" s="117"/>
      <c r="D56" s="117"/>
      <c r="E56" s="117"/>
      <c r="F56" s="121"/>
      <c r="G56" s="118"/>
      <c r="H56" s="119"/>
      <c r="I56" s="113"/>
      <c r="K56"/>
      <c r="L56"/>
    </row>
    <row r="57" spans="2:12" s="97" customFormat="1" ht="15" x14ac:dyDescent="0.2">
      <c r="B57" s="114"/>
      <c r="C57" s="117"/>
      <c r="D57" s="117"/>
      <c r="E57" s="117"/>
      <c r="F57" s="121"/>
      <c r="G57" s="118"/>
      <c r="H57" s="119"/>
      <c r="I57" s="113"/>
      <c r="K57"/>
      <c r="L57"/>
    </row>
    <row r="58" spans="2:12" s="97" customFormat="1" ht="15" x14ac:dyDescent="0.2">
      <c r="B58" s="114"/>
      <c r="C58" s="117"/>
      <c r="D58" s="117"/>
      <c r="E58" s="117"/>
      <c r="F58" s="121"/>
      <c r="G58" s="118"/>
      <c r="H58" s="119"/>
      <c r="I58" s="113"/>
      <c r="K58"/>
      <c r="L58"/>
    </row>
    <row r="59" spans="2:12" s="97" customFormat="1" ht="15" x14ac:dyDescent="0.2">
      <c r="B59" s="114"/>
      <c r="C59" s="117"/>
      <c r="D59" s="117"/>
      <c r="E59" s="117"/>
      <c r="F59" s="121"/>
      <c r="G59" s="115"/>
      <c r="H59" s="119"/>
      <c r="I59" s="113"/>
      <c r="K59"/>
      <c r="L59"/>
    </row>
    <row r="60" spans="2:12" s="97" customFormat="1" ht="15" x14ac:dyDescent="0.2">
      <c r="B60" s="114"/>
      <c r="C60" s="117"/>
      <c r="D60" s="117"/>
      <c r="E60" s="117"/>
      <c r="F60" s="121"/>
      <c r="G60" s="115"/>
      <c r="H60" s="119"/>
      <c r="I60" s="113"/>
      <c r="K60"/>
      <c r="L60"/>
    </row>
    <row r="61" spans="2:12" s="97" customFormat="1" ht="15" x14ac:dyDescent="0.2">
      <c r="B61" s="114"/>
      <c r="C61" s="117"/>
      <c r="D61" s="117"/>
      <c r="E61" s="117"/>
      <c r="F61" s="121"/>
      <c r="G61" s="115"/>
      <c r="H61" s="119"/>
      <c r="I61" s="113"/>
      <c r="K61"/>
      <c r="L61"/>
    </row>
    <row r="62" spans="2:12" s="97" customFormat="1" ht="15" x14ac:dyDescent="0.2">
      <c r="B62" s="114"/>
      <c r="C62" s="117"/>
      <c r="D62" s="117"/>
      <c r="E62" s="117"/>
      <c r="F62" s="121"/>
      <c r="G62" s="115"/>
      <c r="H62" s="119"/>
      <c r="I62" s="113"/>
      <c r="K62"/>
      <c r="L62"/>
    </row>
    <row r="63" spans="2:12" s="97" customFormat="1" ht="15" x14ac:dyDescent="0.2">
      <c r="B63" s="114"/>
      <c r="C63" s="117"/>
      <c r="D63" s="117"/>
      <c r="E63" s="117"/>
      <c r="F63" s="121"/>
      <c r="G63" s="115"/>
      <c r="H63" s="119"/>
      <c r="I63" s="113"/>
      <c r="K63"/>
      <c r="L63"/>
    </row>
    <row r="64" spans="2:12" s="97" customFormat="1" ht="15" x14ac:dyDescent="0.2">
      <c r="B64" s="114"/>
      <c r="C64" s="117"/>
      <c r="D64" s="117"/>
      <c r="E64" s="117"/>
      <c r="F64" s="121"/>
      <c r="G64" s="118"/>
      <c r="H64" s="125"/>
      <c r="I64" s="126"/>
      <c r="K64"/>
      <c r="L64"/>
    </row>
    <row r="65" spans="2:12" s="97" customFormat="1" ht="15" x14ac:dyDescent="0.2">
      <c r="B65" s="114"/>
      <c r="C65" s="117"/>
      <c r="D65" s="117"/>
      <c r="E65" s="117"/>
      <c r="F65" s="121"/>
      <c r="G65" s="118"/>
      <c r="H65" s="125"/>
      <c r="I65" s="126"/>
      <c r="K65"/>
      <c r="L65"/>
    </row>
    <row r="66" spans="2:12" s="97" customFormat="1" ht="15" x14ac:dyDescent="0.2">
      <c r="B66" s="114"/>
      <c r="C66" s="117"/>
      <c r="D66" s="117"/>
      <c r="E66" s="117"/>
      <c r="F66" s="121"/>
      <c r="G66" s="118"/>
      <c r="H66" s="125"/>
      <c r="I66" s="126"/>
      <c r="K66"/>
      <c r="L66"/>
    </row>
    <row r="67" spans="2:12" s="97" customFormat="1" ht="15" x14ac:dyDescent="0.2">
      <c r="B67" s="114"/>
      <c r="C67" s="117"/>
      <c r="D67" s="117"/>
      <c r="E67" s="117"/>
      <c r="F67" s="121"/>
      <c r="G67" s="118"/>
      <c r="H67" s="125"/>
      <c r="I67" s="126"/>
      <c r="K67"/>
      <c r="L67"/>
    </row>
    <row r="68" spans="2:12" s="97" customFormat="1" ht="15" x14ac:dyDescent="0.2">
      <c r="B68" s="114"/>
      <c r="C68" s="117"/>
      <c r="D68" s="117"/>
      <c r="E68" s="117"/>
      <c r="F68" s="121"/>
      <c r="G68" s="118"/>
      <c r="H68" s="125"/>
      <c r="I68" s="126"/>
      <c r="K68"/>
      <c r="L68"/>
    </row>
    <row r="69" spans="2:12" s="97" customFormat="1" ht="15" x14ac:dyDescent="0.2">
      <c r="B69" s="114"/>
      <c r="C69" s="117"/>
      <c r="D69" s="117"/>
      <c r="E69" s="117"/>
      <c r="F69" s="121"/>
      <c r="G69" s="118"/>
      <c r="H69" s="125"/>
      <c r="I69" s="126"/>
      <c r="K69"/>
      <c r="L69"/>
    </row>
    <row r="70" spans="2:12" s="97" customFormat="1" ht="15" x14ac:dyDescent="0.2">
      <c r="B70" s="114"/>
      <c r="C70" s="117"/>
      <c r="D70" s="117"/>
      <c r="E70" s="117"/>
      <c r="F70" s="121"/>
      <c r="G70" s="118"/>
      <c r="H70" s="125"/>
      <c r="I70" s="126"/>
      <c r="K70"/>
      <c r="L70"/>
    </row>
    <row r="71" spans="2:12" ht="15" x14ac:dyDescent="0.2">
      <c r="B71" s="114"/>
      <c r="C71" s="117"/>
      <c r="D71" s="117"/>
      <c r="E71" s="117"/>
      <c r="F71" s="121"/>
      <c r="G71" s="118"/>
      <c r="H71" s="125"/>
      <c r="I71" s="126"/>
    </row>
    <row r="72" spans="2:12" ht="15" x14ac:dyDescent="0.2">
      <c r="B72" s="114"/>
      <c r="C72" s="117"/>
      <c r="D72" s="117"/>
      <c r="E72" s="117"/>
      <c r="F72" s="121"/>
      <c r="G72" s="118"/>
      <c r="H72" s="125"/>
      <c r="I72" s="126"/>
    </row>
    <row r="73" spans="2:12" ht="15" x14ac:dyDescent="0.2">
      <c r="B73" s="114"/>
      <c r="C73" s="117"/>
      <c r="D73" s="117"/>
      <c r="E73" s="117"/>
      <c r="F73" s="121"/>
      <c r="G73" s="118"/>
      <c r="H73" s="125"/>
      <c r="I73" s="126"/>
    </row>
    <row r="74" spans="2:12" ht="15" x14ac:dyDescent="0.2">
      <c r="B74" s="114"/>
      <c r="C74" s="117"/>
      <c r="D74" s="117"/>
      <c r="E74" s="117"/>
      <c r="F74" s="121"/>
      <c r="G74" s="118"/>
      <c r="H74" s="125"/>
      <c r="I74" s="126"/>
    </row>
    <row r="75" spans="2:12" ht="15" x14ac:dyDescent="0.2">
      <c r="B75" s="114"/>
      <c r="C75" s="117"/>
      <c r="D75" s="117"/>
      <c r="E75" s="117"/>
      <c r="F75" s="121"/>
      <c r="G75" s="118"/>
      <c r="H75" s="125"/>
      <c r="I75" s="126"/>
    </row>
    <row r="76" spans="2:12" ht="15" x14ac:dyDescent="0.2">
      <c r="B76" s="114"/>
      <c r="C76" s="117"/>
      <c r="D76" s="117"/>
      <c r="E76" s="117"/>
      <c r="F76" s="121"/>
      <c r="G76" s="118"/>
      <c r="H76" s="125"/>
      <c r="I76" s="126"/>
    </row>
    <row r="77" spans="2:12" ht="15" x14ac:dyDescent="0.2">
      <c r="B77" s="114"/>
      <c r="C77" s="117"/>
      <c r="D77" s="117"/>
      <c r="E77" s="117"/>
      <c r="F77" s="121"/>
      <c r="G77" s="118"/>
      <c r="H77" s="125"/>
      <c r="I77" s="126"/>
    </row>
    <row r="78" spans="2:12" ht="15" x14ac:dyDescent="0.2">
      <c r="B78" s="114"/>
      <c r="C78" s="117"/>
      <c r="D78" s="117"/>
      <c r="E78" s="117"/>
      <c r="F78" s="121"/>
      <c r="G78" s="118"/>
      <c r="H78" s="125"/>
      <c r="I78" s="126"/>
    </row>
    <row r="79" spans="2:12" ht="15" x14ac:dyDescent="0.2">
      <c r="B79" s="114"/>
      <c r="C79" s="117"/>
      <c r="D79" s="117"/>
      <c r="E79" s="117"/>
      <c r="F79" s="121"/>
      <c r="G79" s="118"/>
      <c r="H79" s="125"/>
      <c r="I79" s="126"/>
    </row>
    <row r="80" spans="2:12" ht="15" x14ac:dyDescent="0.2">
      <c r="B80" s="114"/>
      <c r="C80" s="117"/>
      <c r="D80" s="117"/>
      <c r="E80" s="117"/>
      <c r="F80" s="121"/>
      <c r="G80" s="118"/>
      <c r="H80" s="125"/>
      <c r="I80" s="126"/>
    </row>
    <row r="81" spans="2:10" ht="15" x14ac:dyDescent="0.2">
      <c r="B81" s="114"/>
      <c r="C81" s="117"/>
      <c r="D81" s="117"/>
      <c r="E81" s="117"/>
      <c r="F81" s="121"/>
      <c r="G81" s="118"/>
      <c r="H81" s="125"/>
      <c r="I81" s="126"/>
    </row>
    <row r="82" spans="2:10" ht="15" x14ac:dyDescent="0.2">
      <c r="B82" s="114"/>
      <c r="C82" s="117"/>
      <c r="D82" s="117"/>
      <c r="E82" s="117"/>
      <c r="F82" s="121"/>
      <c r="G82" s="118"/>
      <c r="H82" s="125"/>
      <c r="I82" s="126"/>
    </row>
    <row r="83" spans="2:10" ht="15" x14ac:dyDescent="0.2">
      <c r="B83" s="114"/>
      <c r="C83" s="117"/>
      <c r="D83" s="117"/>
      <c r="E83" s="117"/>
      <c r="F83" s="121"/>
      <c r="G83" s="118"/>
      <c r="H83" s="125"/>
      <c r="I83" s="126"/>
    </row>
    <row r="84" spans="2:10" ht="15" x14ac:dyDescent="0.2">
      <c r="B84" s="114"/>
      <c r="C84" s="117"/>
      <c r="D84" s="117"/>
      <c r="E84" s="117"/>
      <c r="F84" s="121"/>
      <c r="G84" s="118"/>
      <c r="H84" s="125"/>
      <c r="I84" s="126"/>
    </row>
    <row r="85" spans="2:10" ht="15" x14ac:dyDescent="0.2">
      <c r="B85" s="114"/>
      <c r="C85" s="117"/>
      <c r="D85" s="117"/>
      <c r="E85" s="117"/>
      <c r="F85" s="121"/>
      <c r="G85" s="118"/>
      <c r="H85" s="125"/>
      <c r="I85" s="126"/>
    </row>
    <row r="86" spans="2:10" ht="15" x14ac:dyDescent="0.2">
      <c r="B86" s="114"/>
      <c r="C86" s="117"/>
      <c r="D86" s="117"/>
      <c r="E86" s="117"/>
      <c r="F86" s="127"/>
      <c r="G86" s="118"/>
      <c r="H86" s="125"/>
      <c r="I86" s="126"/>
      <c r="J86" s="110"/>
    </row>
    <row r="87" spans="2:10" ht="15" x14ac:dyDescent="0.2">
      <c r="B87" s="114"/>
      <c r="C87" s="117"/>
      <c r="D87" s="117"/>
      <c r="E87" s="117"/>
      <c r="F87" s="127"/>
      <c r="G87" s="118"/>
      <c r="H87" s="125"/>
      <c r="I87" s="126"/>
      <c r="J87" s="110"/>
    </row>
    <row r="88" spans="2:10" ht="15" x14ac:dyDescent="0.2">
      <c r="B88" s="114"/>
      <c r="C88" s="117"/>
      <c r="D88" s="117"/>
      <c r="E88" s="117"/>
      <c r="F88" s="127"/>
      <c r="G88" s="118"/>
      <c r="H88" s="125"/>
      <c r="I88" s="126"/>
      <c r="J88" s="110"/>
    </row>
    <row r="89" spans="2:10" ht="15" x14ac:dyDescent="0.2">
      <c r="B89" s="114"/>
      <c r="C89" s="117"/>
      <c r="D89" s="117"/>
      <c r="E89" s="117"/>
      <c r="F89" s="127"/>
      <c r="G89" s="118"/>
      <c r="H89" s="125"/>
      <c r="I89" s="126"/>
      <c r="J89" s="110"/>
    </row>
    <row r="90" spans="2:10" ht="15" x14ac:dyDescent="0.2">
      <c r="B90" s="114"/>
      <c r="C90" s="117"/>
      <c r="D90" s="117"/>
      <c r="E90" s="117"/>
      <c r="F90" s="127"/>
      <c r="G90" s="118"/>
      <c r="H90" s="125"/>
      <c r="I90" s="126"/>
      <c r="J90" s="110"/>
    </row>
    <row r="91" spans="2:10" ht="15" x14ac:dyDescent="0.2">
      <c r="B91" s="114"/>
      <c r="C91" s="117"/>
      <c r="D91" s="117"/>
      <c r="E91" s="117"/>
      <c r="F91" s="127"/>
      <c r="G91" s="118"/>
      <c r="H91" s="125"/>
      <c r="I91" s="126"/>
      <c r="J91" s="110"/>
    </row>
    <row r="92" spans="2:10" ht="15" x14ac:dyDescent="0.2">
      <c r="B92" s="114"/>
      <c r="C92" s="117"/>
      <c r="D92" s="117"/>
      <c r="E92" s="117"/>
      <c r="F92" s="127"/>
      <c r="G92" s="118"/>
      <c r="H92" s="125"/>
      <c r="I92" s="126"/>
      <c r="J92" s="110"/>
    </row>
    <row r="93" spans="2:10" ht="15" x14ac:dyDescent="0.2">
      <c r="B93" s="114"/>
      <c r="C93" s="117"/>
      <c r="D93" s="117"/>
      <c r="E93" s="117"/>
      <c r="F93" s="127"/>
      <c r="G93" s="118"/>
      <c r="H93" s="125"/>
      <c r="I93" s="126"/>
      <c r="J93" s="110"/>
    </row>
    <row r="94" spans="2:10" ht="15" x14ac:dyDescent="0.2">
      <c r="B94" s="114"/>
      <c r="C94" s="117"/>
      <c r="D94" s="117"/>
      <c r="E94" s="117"/>
      <c r="F94" s="127"/>
      <c r="G94" s="118"/>
      <c r="H94" s="125"/>
      <c r="I94" s="126"/>
      <c r="J94" s="110"/>
    </row>
    <row r="95" spans="2:10" ht="15" x14ac:dyDescent="0.2">
      <c r="B95" s="114"/>
      <c r="C95" s="117"/>
      <c r="D95" s="117"/>
      <c r="E95" s="117"/>
      <c r="F95" s="127"/>
      <c r="G95" s="118"/>
      <c r="H95" s="125"/>
      <c r="I95" s="126"/>
      <c r="J95" s="110"/>
    </row>
    <row r="96" spans="2:10" ht="15" x14ac:dyDescent="0.2">
      <c r="B96" s="114"/>
      <c r="C96" s="117"/>
      <c r="D96" s="117"/>
      <c r="E96" s="117"/>
      <c r="F96" s="127"/>
      <c r="G96" s="118"/>
      <c r="H96" s="125"/>
      <c r="I96" s="126"/>
      <c r="J96" s="110"/>
    </row>
    <row r="97" spans="2:12" ht="15" x14ac:dyDescent="0.2">
      <c r="B97" s="114"/>
      <c r="C97" s="117"/>
      <c r="D97" s="117"/>
      <c r="E97" s="117"/>
      <c r="F97" s="127"/>
      <c r="G97" s="118"/>
      <c r="H97" s="125"/>
      <c r="I97" s="126"/>
      <c r="J97" s="110"/>
    </row>
    <row r="98" spans="2:12" ht="15" x14ac:dyDescent="0.2">
      <c r="B98" s="114"/>
      <c r="C98" s="117"/>
      <c r="D98" s="117"/>
      <c r="E98" s="117"/>
      <c r="F98" s="121"/>
      <c r="G98" s="118"/>
      <c r="H98" s="125"/>
      <c r="I98" s="126"/>
      <c r="J98" s="110"/>
    </row>
    <row r="99" spans="2:12" ht="15" x14ac:dyDescent="0.2">
      <c r="B99" s="114"/>
      <c r="C99" s="117"/>
      <c r="D99" s="117"/>
      <c r="E99" s="117"/>
      <c r="F99" s="121"/>
      <c r="G99" s="118"/>
      <c r="H99" s="125"/>
      <c r="I99" s="126"/>
      <c r="J99" s="110"/>
    </row>
    <row r="100" spans="2:12" ht="15" x14ac:dyDescent="0.2">
      <c r="B100" s="128"/>
      <c r="C100" s="129"/>
      <c r="D100" s="129"/>
      <c r="E100" s="129"/>
      <c r="F100" s="130"/>
      <c r="G100" s="131"/>
      <c r="H100" s="132"/>
      <c r="I100" s="133"/>
      <c r="J100" s="110"/>
    </row>
    <row r="101" spans="2:12" ht="15" x14ac:dyDescent="0.2">
      <c r="B101" s="114"/>
      <c r="C101" s="117"/>
      <c r="D101" s="117"/>
      <c r="E101" s="117"/>
      <c r="F101" s="121"/>
      <c r="G101" s="118"/>
      <c r="H101" s="125"/>
      <c r="I101" s="126"/>
      <c r="J101" s="110"/>
      <c r="K101" s="112"/>
      <c r="L101" s="112"/>
    </row>
    <row r="102" spans="2:12" ht="15" x14ac:dyDescent="0.2">
      <c r="B102" s="114"/>
      <c r="C102" s="117"/>
      <c r="D102" s="117"/>
      <c r="E102" s="117"/>
      <c r="F102" s="121"/>
      <c r="G102" s="118"/>
      <c r="H102" s="125"/>
      <c r="I102" s="126"/>
      <c r="J102" s="110"/>
      <c r="K102" s="112"/>
      <c r="L102" s="112"/>
    </row>
    <row r="103" spans="2:12" ht="15" x14ac:dyDescent="0.2">
      <c r="B103" s="114"/>
      <c r="C103" s="117"/>
      <c r="D103" s="117"/>
      <c r="E103" s="117"/>
      <c r="F103" s="121"/>
      <c r="G103" s="118"/>
      <c r="H103" s="125"/>
      <c r="I103" s="126"/>
      <c r="J103" s="110"/>
      <c r="K103" s="112"/>
      <c r="L103" s="112"/>
    </row>
    <row r="104" spans="2:12" ht="15" x14ac:dyDescent="0.2">
      <c r="B104" s="114"/>
      <c r="C104" s="117"/>
      <c r="D104" s="117"/>
      <c r="E104" s="117"/>
      <c r="F104" s="121"/>
      <c r="G104" s="118"/>
      <c r="H104" s="125"/>
      <c r="I104" s="126"/>
      <c r="J104" s="110"/>
      <c r="K104" s="112"/>
      <c r="L104" s="112"/>
    </row>
    <row r="105" spans="2:12" ht="15" x14ac:dyDescent="0.2">
      <c r="B105" s="114"/>
      <c r="C105" s="117"/>
      <c r="D105" s="117"/>
      <c r="E105" s="117"/>
      <c r="F105" s="121"/>
      <c r="G105" s="118"/>
      <c r="H105" s="125"/>
      <c r="I105" s="126"/>
      <c r="J105" s="110"/>
      <c r="K105" s="112"/>
      <c r="L105" s="112"/>
    </row>
    <row r="106" spans="2:12" ht="15" x14ac:dyDescent="0.2">
      <c r="B106" s="114"/>
      <c r="C106" s="117"/>
      <c r="D106" s="117"/>
      <c r="E106" s="117"/>
      <c r="F106" s="121"/>
      <c r="G106" s="118"/>
      <c r="H106" s="125"/>
      <c r="I106" s="126"/>
      <c r="J106" s="110"/>
      <c r="K106" s="112"/>
      <c r="L106" s="112"/>
    </row>
    <row r="107" spans="2:12" ht="15" x14ac:dyDescent="0.2">
      <c r="B107" s="114"/>
      <c r="C107" s="117"/>
      <c r="D107" s="117"/>
      <c r="E107" s="117"/>
      <c r="F107" s="121"/>
      <c r="G107" s="118"/>
      <c r="H107" s="125"/>
      <c r="I107" s="126"/>
      <c r="J107" s="110"/>
      <c r="K107" s="112"/>
      <c r="L107" s="112"/>
    </row>
    <row r="108" spans="2:12" ht="15" x14ac:dyDescent="0.2">
      <c r="B108" s="114"/>
      <c r="C108" s="117"/>
      <c r="D108" s="117"/>
      <c r="E108" s="117"/>
      <c r="F108" s="121"/>
      <c r="G108" s="118"/>
      <c r="H108" s="125"/>
      <c r="I108" s="126"/>
      <c r="J108" s="110"/>
      <c r="K108" s="112"/>
      <c r="L108" s="112"/>
    </row>
    <row r="109" spans="2:12" ht="15" x14ac:dyDescent="0.2">
      <c r="B109" s="114"/>
      <c r="C109" s="117"/>
      <c r="D109" s="117"/>
      <c r="E109" s="117"/>
      <c r="F109" s="121"/>
      <c r="G109" s="118"/>
      <c r="H109" s="125"/>
      <c r="I109" s="126"/>
      <c r="J109" s="110"/>
      <c r="K109" s="112"/>
      <c r="L109" s="112"/>
    </row>
    <row r="110" spans="2:12" ht="15" x14ac:dyDescent="0.2">
      <c r="B110" s="114"/>
      <c r="C110" s="117"/>
      <c r="D110" s="117"/>
      <c r="E110" s="117"/>
      <c r="F110" s="121"/>
      <c r="G110" s="118"/>
      <c r="H110" s="125"/>
      <c r="I110" s="126"/>
      <c r="J110" s="110"/>
      <c r="K110" s="112"/>
      <c r="L110" s="112"/>
    </row>
    <row r="111" spans="2:12" ht="15" x14ac:dyDescent="0.2">
      <c r="B111" s="114"/>
      <c r="C111" s="117"/>
      <c r="D111" s="117"/>
      <c r="E111" s="117"/>
      <c r="F111" s="121"/>
      <c r="G111" s="118"/>
      <c r="H111" s="125"/>
      <c r="I111" s="126"/>
      <c r="J111" s="110"/>
      <c r="K111" s="112"/>
      <c r="L111" s="112"/>
    </row>
    <row r="112" spans="2:12" ht="15" x14ac:dyDescent="0.2">
      <c r="B112" s="114"/>
      <c r="C112" s="117"/>
      <c r="D112" s="117"/>
      <c r="E112" s="117"/>
      <c r="F112" s="121"/>
      <c r="G112" s="118"/>
      <c r="H112" s="125"/>
      <c r="I112" s="126"/>
      <c r="J112" s="110"/>
      <c r="K112" s="112"/>
      <c r="L112" s="112"/>
    </row>
    <row r="113" spans="2:12" ht="15" x14ac:dyDescent="0.2">
      <c r="B113" s="114"/>
      <c r="C113" s="117"/>
      <c r="D113" s="117"/>
      <c r="E113" s="117"/>
      <c r="F113" s="121"/>
      <c r="G113" s="118"/>
      <c r="H113" s="125"/>
      <c r="I113" s="126"/>
      <c r="J113" s="110"/>
      <c r="K113" s="112"/>
      <c r="L113" s="112"/>
    </row>
    <row r="114" spans="2:12" ht="15" x14ac:dyDescent="0.2">
      <c r="B114" s="114"/>
      <c r="C114" s="117"/>
      <c r="D114" s="117"/>
      <c r="E114" s="117"/>
      <c r="F114" s="121"/>
      <c r="G114" s="118"/>
      <c r="H114" s="125"/>
      <c r="I114" s="126"/>
      <c r="J114" s="110"/>
      <c r="K114" s="112"/>
      <c r="L114" s="112"/>
    </row>
    <row r="115" spans="2:12" ht="15" x14ac:dyDescent="0.2">
      <c r="B115" s="128"/>
      <c r="C115" s="129"/>
      <c r="D115" s="129"/>
      <c r="E115" s="129"/>
      <c r="F115" s="130"/>
      <c r="G115" s="131"/>
      <c r="H115" s="134"/>
      <c r="I115" s="135"/>
      <c r="J115" s="110"/>
      <c r="K115" s="112"/>
      <c r="L115" s="112"/>
    </row>
    <row r="116" spans="2:12" ht="15" x14ac:dyDescent="0.2">
      <c r="B116" s="114"/>
      <c r="C116" s="117"/>
      <c r="D116" s="117"/>
      <c r="E116" s="117"/>
      <c r="F116" s="121"/>
      <c r="G116" s="118"/>
      <c r="H116" s="125"/>
      <c r="I116" s="126"/>
      <c r="J116" s="110"/>
      <c r="K116" s="112"/>
      <c r="L116" s="112"/>
    </row>
    <row r="117" spans="2:12" ht="15" x14ac:dyDescent="0.2">
      <c r="B117" s="114"/>
      <c r="C117" s="117"/>
      <c r="D117" s="117"/>
      <c r="E117" s="117"/>
      <c r="F117" s="121"/>
      <c r="G117" s="118"/>
      <c r="H117" s="125"/>
      <c r="I117" s="126"/>
      <c r="J117" s="110"/>
      <c r="K117" s="112"/>
      <c r="L117" s="112"/>
    </row>
    <row r="118" spans="2:12" ht="15" x14ac:dyDescent="0.2">
      <c r="B118" s="114"/>
      <c r="C118" s="117"/>
      <c r="D118" s="117"/>
      <c r="E118" s="117"/>
      <c r="F118" s="121"/>
      <c r="G118" s="118"/>
      <c r="H118" s="125"/>
      <c r="I118" s="126"/>
      <c r="J118" s="110"/>
      <c r="K118" s="112"/>
      <c r="L118" s="112"/>
    </row>
    <row r="119" spans="2:12" ht="15" x14ac:dyDescent="0.2">
      <c r="B119" s="114"/>
      <c r="C119" s="117"/>
      <c r="D119" s="117"/>
      <c r="E119" s="117"/>
      <c r="F119" s="121"/>
      <c r="G119" s="118"/>
      <c r="H119" s="125"/>
      <c r="I119" s="126"/>
      <c r="J119" s="110"/>
      <c r="K119" s="112"/>
      <c r="L119" s="112"/>
    </row>
    <row r="120" spans="2:12" ht="15" x14ac:dyDescent="0.2">
      <c r="B120" s="114"/>
      <c r="C120" s="117"/>
      <c r="D120" s="117"/>
      <c r="E120" s="117"/>
      <c r="F120" s="121"/>
      <c r="G120" s="118"/>
      <c r="H120" s="125"/>
      <c r="I120" s="126"/>
      <c r="J120" s="110"/>
      <c r="K120" s="112"/>
      <c r="L120" s="112"/>
    </row>
    <row r="121" spans="2:12" ht="15" x14ac:dyDescent="0.2">
      <c r="B121" s="114"/>
      <c r="C121" s="117"/>
      <c r="D121" s="117"/>
      <c r="E121" s="117"/>
      <c r="F121" s="121"/>
      <c r="G121" s="118"/>
      <c r="H121" s="125"/>
      <c r="I121" s="126"/>
      <c r="J121" s="110"/>
      <c r="K121" s="112"/>
      <c r="L121" s="112"/>
    </row>
    <row r="122" spans="2:12" ht="15" x14ac:dyDescent="0.2">
      <c r="B122" s="114"/>
      <c r="C122" s="117"/>
      <c r="D122" s="117"/>
      <c r="E122" s="117"/>
      <c r="F122" s="136"/>
      <c r="G122" s="118"/>
      <c r="H122" s="125"/>
      <c r="I122" s="126"/>
      <c r="J122" s="110"/>
      <c r="K122" s="112"/>
      <c r="L122" s="112"/>
    </row>
    <row r="123" spans="2:12" ht="15" x14ac:dyDescent="0.2">
      <c r="B123" s="128"/>
      <c r="C123" s="129"/>
      <c r="D123" s="129"/>
      <c r="E123" s="129"/>
      <c r="F123" s="130"/>
      <c r="G123" s="131"/>
      <c r="H123" s="132"/>
      <c r="I123" s="133"/>
      <c r="J123" s="110"/>
    </row>
    <row r="124" spans="2:12" ht="15" x14ac:dyDescent="0.2">
      <c r="B124" s="128"/>
      <c r="C124" s="129"/>
      <c r="D124" s="129"/>
      <c r="E124" s="129"/>
      <c r="F124" s="130"/>
      <c r="G124" s="131"/>
      <c r="H124" s="132"/>
      <c r="I124" s="133"/>
      <c r="J124" s="110"/>
      <c r="K124" s="125"/>
    </row>
    <row r="125" spans="2:12" ht="15" x14ac:dyDescent="0.2">
      <c r="B125" s="114"/>
      <c r="C125" s="117"/>
      <c r="D125" s="117"/>
      <c r="E125" s="117"/>
      <c r="F125" s="121"/>
      <c r="G125" s="118"/>
      <c r="H125" s="125"/>
      <c r="I125" s="126"/>
      <c r="J125" s="110"/>
      <c r="K125" s="112"/>
      <c r="L125" s="112"/>
    </row>
    <row r="126" spans="2:12" ht="15" x14ac:dyDescent="0.2">
      <c r="B126" s="114"/>
      <c r="C126" s="117"/>
      <c r="D126" s="117"/>
      <c r="E126" s="117"/>
      <c r="F126" s="127"/>
      <c r="G126" s="118"/>
      <c r="H126" s="125"/>
      <c r="I126" s="126"/>
      <c r="J126" s="137"/>
    </row>
    <row r="127" spans="2:12" ht="15" x14ac:dyDescent="0.2">
      <c r="B127" s="128"/>
      <c r="C127" s="129"/>
      <c r="D127" s="129"/>
      <c r="E127" s="129"/>
      <c r="F127" s="130"/>
      <c r="G127" s="131"/>
      <c r="H127" s="132"/>
      <c r="I127" s="133"/>
      <c r="J127" s="110"/>
    </row>
    <row r="128" spans="2:12" ht="15" x14ac:dyDescent="0.2">
      <c r="B128" s="128"/>
      <c r="C128" s="129"/>
      <c r="D128" s="129"/>
      <c r="E128" s="129"/>
      <c r="F128" s="130"/>
      <c r="G128" s="131"/>
      <c r="H128" s="132"/>
      <c r="I128" s="133"/>
      <c r="J128" s="110"/>
    </row>
    <row r="129" spans="2:12" ht="15" x14ac:dyDescent="0.2">
      <c r="B129" s="114"/>
      <c r="C129" s="117"/>
      <c r="D129" s="117"/>
      <c r="E129" s="117"/>
      <c r="F129" s="121"/>
      <c r="G129" s="118"/>
      <c r="H129" s="125"/>
      <c r="I129" s="126"/>
      <c r="J129" s="110"/>
      <c r="K129" s="112"/>
      <c r="L129" s="112"/>
    </row>
    <row r="130" spans="2:12" ht="15" x14ac:dyDescent="0.2">
      <c r="B130" s="114"/>
      <c r="C130" s="117"/>
      <c r="D130" s="117"/>
      <c r="E130" s="117"/>
      <c r="F130" s="121"/>
      <c r="G130" s="118"/>
      <c r="H130" s="125"/>
      <c r="I130" s="126"/>
      <c r="J130" s="110"/>
      <c r="K130" s="112"/>
      <c r="L130" s="112"/>
    </row>
    <row r="131" spans="2:12" ht="15" x14ac:dyDescent="0.2">
      <c r="B131" s="114"/>
      <c r="C131" s="117"/>
      <c r="D131" s="117"/>
      <c r="E131" s="117"/>
      <c r="F131" s="121"/>
      <c r="G131" s="118"/>
      <c r="H131" s="125"/>
      <c r="I131" s="126"/>
      <c r="J131" s="110"/>
      <c r="K131" s="112"/>
      <c r="L131" s="112"/>
    </row>
    <row r="132" spans="2:12" ht="15" x14ac:dyDescent="0.2">
      <c r="B132" s="114"/>
      <c r="C132" s="117"/>
      <c r="D132" s="117"/>
      <c r="E132" s="117"/>
      <c r="F132" s="121"/>
      <c r="G132" s="118"/>
      <c r="H132" s="125"/>
      <c r="I132" s="126"/>
      <c r="J132" s="110"/>
      <c r="K132" s="112"/>
      <c r="L132" s="112"/>
    </row>
    <row r="133" spans="2:12" ht="15" x14ac:dyDescent="0.2">
      <c r="B133" s="114"/>
      <c r="C133" s="117"/>
      <c r="D133" s="117"/>
      <c r="E133" s="117"/>
      <c r="F133" s="121"/>
      <c r="G133" s="118"/>
      <c r="H133" s="125"/>
      <c r="I133" s="126"/>
      <c r="J133" s="110"/>
      <c r="K133" s="112"/>
      <c r="L133" s="112"/>
    </row>
    <row r="134" spans="2:12" ht="15" x14ac:dyDescent="0.2">
      <c r="B134" s="114"/>
      <c r="C134" s="117"/>
      <c r="D134" s="117"/>
      <c r="E134" s="117"/>
      <c r="F134" s="121"/>
      <c r="G134" s="118"/>
      <c r="H134" s="125"/>
      <c r="I134" s="126"/>
      <c r="J134" s="110"/>
      <c r="K134" s="112"/>
      <c r="L134" s="112"/>
    </row>
    <row r="135" spans="2:12" ht="15" x14ac:dyDescent="0.2">
      <c r="B135" s="114"/>
      <c r="C135" s="117"/>
      <c r="D135" s="117"/>
      <c r="E135" s="117"/>
      <c r="F135" s="121"/>
      <c r="G135" s="118"/>
      <c r="H135" s="125"/>
      <c r="I135" s="126"/>
      <c r="J135" s="110"/>
      <c r="K135" s="112"/>
      <c r="L135" s="112"/>
    </row>
    <row r="136" spans="2:12" ht="15" x14ac:dyDescent="0.2">
      <c r="B136" s="114"/>
      <c r="C136" s="117"/>
      <c r="D136" s="117"/>
      <c r="E136" s="117"/>
      <c r="F136" s="121"/>
      <c r="G136" s="118"/>
      <c r="H136" s="125"/>
      <c r="I136" s="126"/>
      <c r="J136" s="110"/>
      <c r="K136" s="112"/>
      <c r="L136" s="112"/>
    </row>
    <row r="137" spans="2:12" ht="15" x14ac:dyDescent="0.2">
      <c r="B137" s="114"/>
      <c r="C137" s="116"/>
      <c r="D137" s="116"/>
      <c r="E137" s="117"/>
      <c r="F137" s="121"/>
      <c r="G137" s="118"/>
      <c r="H137" s="125"/>
      <c r="I137" s="126"/>
      <c r="J137" s="110"/>
      <c r="K137" s="112"/>
      <c r="L137" s="112"/>
    </row>
    <row r="138" spans="2:12" ht="15" x14ac:dyDescent="0.2">
      <c r="B138" s="128"/>
      <c r="C138" s="129"/>
      <c r="D138" s="129"/>
      <c r="E138" s="129"/>
      <c r="F138" s="130"/>
      <c r="G138" s="131"/>
      <c r="H138" s="132"/>
      <c r="I138" s="133"/>
      <c r="J138" s="110"/>
    </row>
    <row r="139" spans="2:12" ht="15" x14ac:dyDescent="0.2">
      <c r="B139" s="114"/>
      <c r="C139" s="117"/>
      <c r="D139" s="117"/>
      <c r="E139" s="117"/>
      <c r="F139" s="121"/>
      <c r="G139" s="118"/>
      <c r="H139" s="125"/>
      <c r="I139" s="126"/>
      <c r="J139" s="110"/>
      <c r="K139" s="112"/>
      <c r="L139" s="112"/>
    </row>
    <row r="140" spans="2:12" ht="15" x14ac:dyDescent="0.2">
      <c r="B140" s="114"/>
      <c r="C140" s="117"/>
      <c r="D140" s="117"/>
      <c r="E140" s="117"/>
      <c r="F140" s="121"/>
      <c r="G140" s="118"/>
      <c r="H140" s="125"/>
      <c r="I140" s="126"/>
      <c r="J140" s="110"/>
      <c r="K140" s="112"/>
      <c r="L140" s="112"/>
    </row>
    <row r="141" spans="2:12" ht="15" x14ac:dyDescent="0.2">
      <c r="B141" s="114"/>
      <c r="C141" s="117"/>
      <c r="D141" s="117"/>
      <c r="E141" s="117"/>
      <c r="F141" s="121"/>
      <c r="G141" s="118"/>
      <c r="H141" s="125"/>
      <c r="I141" s="126"/>
      <c r="J141" s="110"/>
      <c r="K141" s="112"/>
      <c r="L141" s="112"/>
    </row>
    <row r="142" spans="2:12" ht="15" x14ac:dyDescent="0.2">
      <c r="B142" s="114"/>
      <c r="C142" s="117"/>
      <c r="D142" s="117"/>
      <c r="E142" s="117"/>
      <c r="F142" s="121"/>
      <c r="G142" s="118"/>
      <c r="H142" s="125"/>
      <c r="I142" s="126"/>
      <c r="J142" s="110"/>
      <c r="K142" s="112"/>
      <c r="L142" s="112"/>
    </row>
    <row r="143" spans="2:12" ht="15" x14ac:dyDescent="0.2">
      <c r="B143" s="114"/>
      <c r="C143" s="117"/>
      <c r="D143" s="117"/>
      <c r="E143" s="117"/>
      <c r="F143" s="121"/>
      <c r="G143" s="118"/>
      <c r="H143" s="125"/>
      <c r="I143" s="126"/>
      <c r="J143" s="110"/>
      <c r="K143" s="112"/>
      <c r="L143" s="112"/>
    </row>
    <row r="144" spans="2:12" ht="15" x14ac:dyDescent="0.2">
      <c r="B144" s="114"/>
      <c r="C144" s="117"/>
      <c r="D144" s="117"/>
      <c r="E144" s="117"/>
      <c r="F144" s="121"/>
      <c r="G144" s="118"/>
      <c r="H144" s="125"/>
      <c r="I144" s="126"/>
      <c r="J144" s="110"/>
      <c r="K144" s="112"/>
      <c r="L144" s="112"/>
    </row>
    <row r="145" spans="2:12" ht="15" x14ac:dyDescent="0.2">
      <c r="B145" s="114"/>
      <c r="C145" s="117"/>
      <c r="D145" s="117"/>
      <c r="E145" s="117"/>
      <c r="F145" s="121"/>
      <c r="G145" s="118"/>
      <c r="H145" s="125"/>
      <c r="I145" s="126"/>
      <c r="J145" s="110"/>
      <c r="K145" s="112"/>
      <c r="L145" s="112"/>
    </row>
    <row r="146" spans="2:12" ht="15" x14ac:dyDescent="0.2">
      <c r="B146" s="114"/>
      <c r="C146" s="117"/>
      <c r="D146" s="117"/>
      <c r="E146" s="117"/>
      <c r="F146" s="121"/>
      <c r="G146" s="118"/>
      <c r="H146" s="125"/>
      <c r="I146" s="126"/>
      <c r="J146" s="110"/>
      <c r="K146" s="112"/>
      <c r="L146" s="112"/>
    </row>
    <row r="147" spans="2:12" ht="15" x14ac:dyDescent="0.2">
      <c r="B147" s="114"/>
      <c r="C147" s="117"/>
      <c r="D147" s="117"/>
      <c r="E147" s="117"/>
      <c r="F147" s="121"/>
      <c r="G147" s="118"/>
      <c r="H147" s="125"/>
      <c r="I147" s="126"/>
      <c r="J147" s="110"/>
      <c r="K147" s="112"/>
      <c r="L147" s="112"/>
    </row>
    <row r="148" spans="2:12" ht="15" x14ac:dyDescent="0.2">
      <c r="B148" s="114"/>
      <c r="C148" s="117"/>
      <c r="D148" s="117"/>
      <c r="E148" s="117"/>
      <c r="F148" s="121"/>
      <c r="G148" s="118"/>
      <c r="H148" s="119"/>
      <c r="I148" s="113"/>
      <c r="J148" s="110"/>
      <c r="K148" s="112"/>
      <c r="L148" s="112"/>
    </row>
    <row r="149" spans="2:12" ht="15" x14ac:dyDescent="0.2">
      <c r="B149" s="114"/>
      <c r="C149" s="117"/>
      <c r="D149" s="117"/>
      <c r="E149" s="117"/>
      <c r="F149" s="127"/>
      <c r="G149" s="118"/>
      <c r="H149" s="125"/>
      <c r="I149" s="126"/>
      <c r="J149" s="110"/>
      <c r="K149" s="112"/>
      <c r="L149" s="112"/>
    </row>
    <row r="150" spans="2:12" ht="15" x14ac:dyDescent="0.2">
      <c r="B150" s="114"/>
      <c r="C150" s="116"/>
      <c r="D150" s="116"/>
      <c r="E150" s="117"/>
      <c r="F150" s="121"/>
      <c r="G150" s="118"/>
      <c r="H150" s="119"/>
      <c r="I150" s="113"/>
      <c r="J150" s="110"/>
      <c r="K150" s="112"/>
      <c r="L150" s="112"/>
    </row>
    <row r="151" spans="2:12" ht="15" x14ac:dyDescent="0.2">
      <c r="B151" s="114"/>
      <c r="C151" s="116"/>
      <c r="D151" s="116"/>
      <c r="E151" s="117"/>
      <c r="F151" s="121"/>
      <c r="G151" s="118"/>
      <c r="H151" s="125"/>
      <c r="I151" s="126"/>
      <c r="J151" s="110"/>
      <c r="K151" s="112"/>
      <c r="L151" s="112"/>
    </row>
    <row r="152" spans="2:12" ht="15" x14ac:dyDescent="0.2">
      <c r="B152" s="114"/>
      <c r="C152" s="116"/>
      <c r="D152" s="116"/>
      <c r="E152" s="117"/>
      <c r="F152" s="121"/>
      <c r="G152" s="118"/>
      <c r="H152" s="125"/>
      <c r="I152" s="126"/>
      <c r="J152" s="110"/>
      <c r="K152" s="112"/>
      <c r="L152" s="112"/>
    </row>
    <row r="153" spans="2:12" ht="15" x14ac:dyDescent="0.2">
      <c r="B153" s="114"/>
      <c r="C153" s="116"/>
      <c r="D153" s="116"/>
      <c r="E153" s="117"/>
      <c r="F153" s="121"/>
      <c r="G153" s="118"/>
      <c r="H153" s="125"/>
      <c r="I153" s="126"/>
      <c r="J153" s="110"/>
      <c r="K153" s="112"/>
      <c r="L153" s="112"/>
    </row>
    <row r="154" spans="2:12" ht="15" x14ac:dyDescent="0.2">
      <c r="B154" s="128"/>
      <c r="C154" s="129"/>
      <c r="D154" s="129"/>
      <c r="E154" s="129"/>
      <c r="F154" s="130"/>
      <c r="G154" s="131"/>
      <c r="H154" s="134"/>
      <c r="I154" s="135"/>
      <c r="J154" s="110"/>
    </row>
    <row r="155" spans="2:12" ht="15" x14ac:dyDescent="0.2">
      <c r="B155" s="128"/>
      <c r="C155" s="138"/>
      <c r="D155" s="138"/>
      <c r="E155" s="129"/>
      <c r="F155" s="130"/>
      <c r="G155" s="131"/>
      <c r="H155" s="134"/>
      <c r="I155" s="135"/>
      <c r="J155" s="110"/>
    </row>
    <row r="156" spans="2:12" ht="15" x14ac:dyDescent="0.2">
      <c r="B156" s="128"/>
      <c r="C156" s="138"/>
      <c r="D156" s="138"/>
      <c r="E156" s="129"/>
      <c r="F156" s="130"/>
      <c r="G156" s="131"/>
      <c r="H156" s="134"/>
      <c r="I156" s="135"/>
      <c r="J156" s="110"/>
    </row>
    <row r="157" spans="2:12" ht="15" x14ac:dyDescent="0.2">
      <c r="B157" s="128"/>
      <c r="C157" s="138"/>
      <c r="D157" s="138"/>
      <c r="E157" s="129"/>
      <c r="F157" s="130"/>
      <c r="G157" s="131"/>
      <c r="H157" s="134"/>
      <c r="I157" s="135"/>
      <c r="J157" s="110"/>
    </row>
    <row r="158" spans="2:12" ht="15" x14ac:dyDescent="0.2">
      <c r="B158" s="128"/>
      <c r="C158" s="138"/>
      <c r="D158" s="138"/>
      <c r="E158" s="129"/>
      <c r="F158" s="130"/>
      <c r="G158" s="131"/>
      <c r="H158" s="134"/>
      <c r="I158" s="135"/>
      <c r="J158" s="110"/>
    </row>
    <row r="159" spans="2:12" ht="15" x14ac:dyDescent="0.2">
      <c r="B159" s="128"/>
      <c r="C159" s="138"/>
      <c r="D159" s="138"/>
      <c r="E159" s="129"/>
      <c r="F159" s="130"/>
      <c r="G159" s="131"/>
      <c r="H159" s="134"/>
      <c r="I159" s="135"/>
      <c r="J159" s="110"/>
    </row>
    <row r="160" spans="2:12" ht="15" x14ac:dyDescent="0.2">
      <c r="B160" s="128"/>
      <c r="C160" s="138"/>
      <c r="D160" s="138"/>
      <c r="E160" s="129"/>
      <c r="F160" s="130"/>
      <c r="G160" s="131"/>
      <c r="H160" s="134"/>
      <c r="I160" s="135"/>
      <c r="J160" s="110"/>
    </row>
    <row r="161" spans="2:12" ht="15" x14ac:dyDescent="0.2">
      <c r="B161" s="128"/>
      <c r="C161" s="129"/>
      <c r="D161" s="129"/>
      <c r="E161" s="129"/>
      <c r="F161" s="139"/>
      <c r="G161" s="131"/>
      <c r="H161" s="132"/>
      <c r="I161" s="133"/>
      <c r="J161" s="110"/>
    </row>
    <row r="162" spans="2:12" ht="15" x14ac:dyDescent="0.2">
      <c r="B162" s="128"/>
      <c r="C162" s="129"/>
      <c r="D162" s="129"/>
      <c r="E162" s="129"/>
      <c r="F162" s="139"/>
      <c r="G162" s="131"/>
      <c r="H162" s="132"/>
      <c r="I162" s="133"/>
      <c r="J162" s="110"/>
    </row>
    <row r="163" spans="2:12" ht="15" x14ac:dyDescent="0.2">
      <c r="B163" s="128"/>
      <c r="C163" s="129"/>
      <c r="D163" s="129"/>
      <c r="E163" s="129"/>
      <c r="F163" s="139"/>
      <c r="G163" s="131"/>
      <c r="H163" s="132"/>
      <c r="I163" s="133"/>
      <c r="J163" s="110"/>
    </row>
    <row r="164" spans="2:12" ht="15" x14ac:dyDescent="0.2">
      <c r="B164" s="128"/>
      <c r="C164" s="129"/>
      <c r="D164" s="129"/>
      <c r="E164" s="129"/>
      <c r="F164" s="139"/>
      <c r="G164" s="131"/>
      <c r="H164" s="132"/>
      <c r="I164" s="133"/>
      <c r="J164" s="110"/>
    </row>
    <row r="165" spans="2:12" ht="15" x14ac:dyDescent="0.2">
      <c r="B165" s="128"/>
      <c r="C165" s="129"/>
      <c r="D165" s="129"/>
      <c r="E165" s="129"/>
      <c r="F165" s="139"/>
      <c r="G165" s="131"/>
      <c r="H165" s="132"/>
      <c r="I165" s="133"/>
      <c r="J165" s="110"/>
    </row>
    <row r="166" spans="2:12" ht="15" x14ac:dyDescent="0.2">
      <c r="B166" s="128"/>
      <c r="C166" s="129"/>
      <c r="D166" s="129"/>
      <c r="E166" s="129"/>
      <c r="F166" s="130"/>
      <c r="G166" s="131"/>
      <c r="H166" s="134"/>
      <c r="I166" s="133"/>
      <c r="J166" s="110"/>
    </row>
    <row r="167" spans="2:12" ht="15" x14ac:dyDescent="0.2">
      <c r="B167" s="140"/>
      <c r="C167" s="129"/>
      <c r="D167" s="129"/>
      <c r="E167" s="129"/>
      <c r="F167" s="130"/>
      <c r="G167" s="131"/>
      <c r="H167" s="132"/>
      <c r="I167" s="133"/>
    </row>
    <row r="168" spans="2:12" ht="15" x14ac:dyDescent="0.2">
      <c r="B168" s="140"/>
      <c r="C168" s="142"/>
      <c r="D168" s="142"/>
      <c r="E168" s="142"/>
      <c r="F168" s="143"/>
      <c r="G168" s="141"/>
      <c r="H168" s="141"/>
      <c r="I168" s="144"/>
    </row>
    <row r="169" spans="2:12" ht="15" x14ac:dyDescent="0.2">
      <c r="B169" s="114"/>
      <c r="C169" s="117"/>
      <c r="D169" s="117"/>
      <c r="E169" s="117"/>
      <c r="F169" s="121"/>
      <c r="G169" s="115"/>
      <c r="H169" s="115"/>
      <c r="I169" s="145"/>
      <c r="J169" s="110"/>
      <c r="K169" s="112"/>
      <c r="L169" s="112"/>
    </row>
    <row r="170" spans="2:12" ht="15" x14ac:dyDescent="0.2">
      <c r="B170" s="140"/>
      <c r="C170" s="142"/>
      <c r="D170" s="142"/>
      <c r="E170" s="142"/>
      <c r="F170" s="143"/>
      <c r="G170" s="141"/>
      <c r="H170" s="141"/>
      <c r="I170" s="144"/>
    </row>
    <row r="171" spans="2:12" ht="15" x14ac:dyDescent="0.2">
      <c r="B171" s="140"/>
      <c r="C171" s="142"/>
      <c r="D171" s="142"/>
      <c r="E171" s="142"/>
      <c r="F171" s="143"/>
      <c r="G171" s="141"/>
      <c r="H171" s="141"/>
      <c r="I171" s="144"/>
    </row>
    <row r="172" spans="2:12" x14ac:dyDescent="0.15">
      <c r="B172" s="146"/>
      <c r="C172" s="142"/>
      <c r="D172" s="142"/>
      <c r="E172" s="142"/>
      <c r="F172" s="143"/>
      <c r="G172" s="141"/>
      <c r="H172" s="141"/>
      <c r="I172" s="144"/>
    </row>
    <row r="173" spans="2:12" x14ac:dyDescent="0.15">
      <c r="B173" s="146"/>
      <c r="C173" s="142"/>
      <c r="D173" s="142"/>
      <c r="E173" s="142"/>
      <c r="F173" s="143"/>
      <c r="G173" s="141"/>
      <c r="H173" s="141"/>
      <c r="I173" s="144"/>
    </row>
    <row r="174" spans="2:12" x14ac:dyDescent="0.15">
      <c r="B174" s="146"/>
      <c r="C174" s="142"/>
      <c r="D174" s="142"/>
      <c r="E174" s="142"/>
      <c r="F174" s="143"/>
      <c r="G174" s="141"/>
      <c r="H174" s="141"/>
      <c r="I174" s="144"/>
    </row>
    <row r="175" spans="2:12" x14ac:dyDescent="0.15">
      <c r="B175" s="146"/>
      <c r="C175" s="142"/>
      <c r="D175" s="142"/>
      <c r="E175" s="142"/>
      <c r="F175" s="143"/>
      <c r="G175" s="141"/>
      <c r="H175" s="141"/>
      <c r="I175" s="144"/>
    </row>
    <row r="176" spans="2:12" x14ac:dyDescent="0.15">
      <c r="B176" s="146"/>
      <c r="C176" s="142"/>
      <c r="D176" s="142"/>
      <c r="E176" s="142"/>
      <c r="F176" s="143"/>
      <c r="G176" s="141"/>
      <c r="H176" s="141"/>
      <c r="I176" s="144"/>
    </row>
    <row r="177" spans="2:9" ht="16" thickBot="1" x14ac:dyDescent="0.25">
      <c r="B177" s="147"/>
      <c r="C177" s="149"/>
      <c r="D177" s="149"/>
      <c r="E177" s="150"/>
      <c r="F177" s="151"/>
      <c r="G177" s="148"/>
      <c r="H177" s="148"/>
      <c r="I177" s="152"/>
    </row>
  </sheetData>
  <mergeCells count="12">
    <mergeCell ref="D40:H40"/>
    <mergeCell ref="B4:I4"/>
    <mergeCell ref="B5:I5"/>
    <mergeCell ref="B7:I7"/>
    <mergeCell ref="B23:I23"/>
    <mergeCell ref="B32:I32"/>
    <mergeCell ref="D34:H34"/>
    <mergeCell ref="D35:H35"/>
    <mergeCell ref="D36:H36"/>
    <mergeCell ref="D37:H37"/>
    <mergeCell ref="D38:H38"/>
    <mergeCell ref="D39:H39"/>
  </mergeCells>
  <pageMargins left="0.25" right="0.25" top="0.75" bottom="0.75" header="0.3" footer="0.3"/>
  <pageSetup scale="80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Clearing (EWS)</vt:lpstr>
      <vt:lpstr>Clearing</vt:lpstr>
      <vt:lpstr>UPIs (Billing2)</vt:lpstr>
      <vt:lpstr>UPIs (Billing3)</vt:lpstr>
      <vt:lpstr>Clearing!Print_Area</vt:lpstr>
      <vt:lpstr>'Clearing (EWS)'!Print_Area</vt:lpstr>
      <vt:lpstr>'UPIs (Billing2)'!Print_Area</vt:lpstr>
      <vt:lpstr>'UPIs (Billing3)'!Print_Area</vt:lpstr>
      <vt:lpstr>Clearing!Print_Titles</vt:lpstr>
      <vt:lpstr>'Clearing (EWS)'!Print_Titles</vt:lpstr>
    </vt:vector>
  </TitlesOfParts>
  <Company>Geo Nav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Thompson</dc:creator>
  <cp:lastModifiedBy>Rick Judson</cp:lastModifiedBy>
  <cp:lastPrinted>2012-03-22T18:52:09Z</cp:lastPrinted>
  <dcterms:created xsi:type="dcterms:W3CDTF">2007-01-18T14:03:05Z</dcterms:created>
  <dcterms:modified xsi:type="dcterms:W3CDTF">2025-12-28T21:08:12Z</dcterms:modified>
</cp:coreProperties>
</file>