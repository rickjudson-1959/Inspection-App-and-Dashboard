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Volumes/KINGSTON/Fox Creek To Namao/Trackers/"/>
    </mc:Choice>
  </mc:AlternateContent>
  <bookViews>
    <workbookView xWindow="0" yWindow="460" windowWidth="26020" windowHeight="1746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4" i="1" l="1"/>
  <c r="H41" i="1"/>
  <c r="I41" i="1"/>
  <c r="G41" i="1"/>
  <c r="I36" i="1"/>
  <c r="I35" i="1"/>
  <c r="I33" i="1"/>
  <c r="G36" i="1"/>
  <c r="G35" i="1"/>
  <c r="G33" i="1"/>
  <c r="E36" i="1"/>
  <c r="E35" i="1"/>
  <c r="E33" i="1"/>
  <c r="H39" i="1"/>
  <c r="G39" i="1"/>
  <c r="I39" i="1"/>
  <c r="G16" i="1"/>
  <c r="G24" i="1"/>
  <c r="H16" i="1"/>
  <c r="H24" i="1"/>
  <c r="I24" i="1"/>
  <c r="I16" i="1"/>
</calcChain>
</file>

<file path=xl/sharedStrings.xml><?xml version="1.0" encoding="utf-8"?>
<sst xmlns="http://schemas.openxmlformats.org/spreadsheetml/2006/main" count="60" uniqueCount="52">
  <si>
    <t>Date from- to</t>
  </si>
  <si>
    <t>PO#</t>
  </si>
  <si>
    <t>PO VALUE:$</t>
  </si>
  <si>
    <t>BASE LAY</t>
  </si>
  <si>
    <t>Grade</t>
  </si>
  <si>
    <t>Stringing</t>
  </si>
  <si>
    <t>Welding</t>
  </si>
  <si>
    <t>Ditch</t>
  </si>
  <si>
    <t>Lower-in</t>
  </si>
  <si>
    <t>Backfill</t>
  </si>
  <si>
    <t>Clean Up</t>
  </si>
  <si>
    <t>Final Clean Up</t>
  </si>
  <si>
    <t>Demobilization</t>
  </si>
  <si>
    <t>Mobilization</t>
  </si>
  <si>
    <t>%</t>
  </si>
  <si>
    <t>Progress</t>
  </si>
  <si>
    <t>Previous</t>
  </si>
  <si>
    <t>Current</t>
  </si>
  <si>
    <t>To Date</t>
  </si>
  <si>
    <t>UPIs</t>
  </si>
  <si>
    <t>Rock Trench</t>
  </si>
  <si>
    <t>Bag Weights</t>
  </si>
  <si>
    <t>Sand Padding</t>
  </si>
  <si>
    <t>Sand Bedding</t>
  </si>
  <si>
    <t>Sand Bed/Pad In One Operation</t>
  </si>
  <si>
    <t>Price</t>
  </si>
  <si>
    <t>Units</t>
  </si>
  <si>
    <t>2.3a</t>
  </si>
  <si>
    <t>2.3b</t>
  </si>
  <si>
    <t>2.3c</t>
  </si>
  <si>
    <t>Change Orders &amp; Change Requests</t>
  </si>
  <si>
    <t>CO#</t>
  </si>
  <si>
    <t>CR#</t>
  </si>
  <si>
    <t>LEM/Ticket #</t>
  </si>
  <si>
    <t>Statement #1:</t>
  </si>
  <si>
    <t>NTL</t>
  </si>
  <si>
    <t>July 1-7, 2016</t>
  </si>
  <si>
    <t>Inv# 178333</t>
  </si>
  <si>
    <t>001</t>
  </si>
  <si>
    <t>002</t>
  </si>
  <si>
    <t>003</t>
  </si>
  <si>
    <t>Inv# PB-1234</t>
  </si>
  <si>
    <t>Base Lay Total:</t>
  </si>
  <si>
    <t>UPI Total:</t>
  </si>
  <si>
    <t>CO/CR Total:</t>
  </si>
  <si>
    <t>Value:</t>
  </si>
  <si>
    <t>Total:</t>
  </si>
  <si>
    <t>Statement Total:</t>
  </si>
  <si>
    <t>Office Manager</t>
  </si>
  <si>
    <t>Construction Manager</t>
  </si>
  <si>
    <t>Contractor</t>
  </si>
  <si>
    <t>% PO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</si>
</sst>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  <xf numFmtId="43" fontId="0" fillId="0" borderId="0" xfId="0" applyNumberFormat="1"/>
    <xf numFmtId="4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wrapText="1"/>
    </xf>
    <xf numFmtId="49" fontId="0" fillId="0" borderId="0" xfId="0" applyNumberFormat="1" applyFont="1" applyAlignment="1">
      <alignment horizontal="center"/>
    </xf>
    <xf numFmtId="44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right"/>
    </xf>
    <xf numFmtId="44" fontId="1" fillId="0" borderId="2" xfId="0" applyNumberFormat="1" applyFont="1" applyBorder="1"/>
    <xf numFmtId="0" fontId="1" fillId="0" borderId="3" xfId="0" applyFont="1" applyBorder="1" applyAlignment="1">
      <alignment horizontal="right"/>
    </xf>
    <xf numFmtId="44" fontId="1" fillId="0" borderId="4" xfId="0" applyNumberFormat="1" applyFont="1" applyBorder="1"/>
    <xf numFmtId="0" fontId="0" fillId="0" borderId="5" xfId="0" applyBorder="1"/>
    <xf numFmtId="9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topLeftCell="A7" workbookViewId="0">
      <selection activeCell="C20" sqref="C20"/>
    </sheetView>
  </sheetViews>
  <sheetFormatPr baseColWidth="10" defaultRowHeight="16" x14ac:dyDescent="0.2"/>
  <cols>
    <col min="1" max="1" width="12.33203125" customWidth="1"/>
    <col min="2" max="2" width="9.33203125" customWidth="1"/>
    <col min="3" max="3" width="13.83203125" customWidth="1"/>
    <col min="6" max="6" width="14.6640625" customWidth="1"/>
    <col min="7" max="7" width="12.5" bestFit="1" customWidth="1"/>
    <col min="8" max="8" width="11" bestFit="1" customWidth="1"/>
    <col min="9" max="9" width="12.5" bestFit="1" customWidth="1"/>
    <col min="10" max="10" width="12.5" style="13" bestFit="1" customWidth="1"/>
  </cols>
  <sheetData>
    <row r="1" spans="1:10" x14ac:dyDescent="0.2">
      <c r="A1" s="5"/>
      <c r="B1" s="5"/>
      <c r="C1" s="5"/>
      <c r="D1" s="5"/>
    </row>
    <row r="2" spans="1:10" x14ac:dyDescent="0.2">
      <c r="A2" s="5" t="s">
        <v>34</v>
      </c>
      <c r="B2" s="5" t="s">
        <v>35</v>
      </c>
      <c r="C2" s="5" t="s">
        <v>36</v>
      </c>
      <c r="D2" s="5"/>
      <c r="E2" t="s">
        <v>0</v>
      </c>
      <c r="G2" t="s">
        <v>1</v>
      </c>
      <c r="I2" t="s">
        <v>2</v>
      </c>
      <c r="J2" s="13">
        <v>108945</v>
      </c>
    </row>
    <row r="4" spans="1:10" x14ac:dyDescent="0.2">
      <c r="C4" s="3" t="s">
        <v>14</v>
      </c>
      <c r="D4" s="3" t="s">
        <v>15</v>
      </c>
      <c r="E4" s="3" t="s">
        <v>16</v>
      </c>
      <c r="F4" s="3" t="s">
        <v>18</v>
      </c>
      <c r="G4" s="4" t="s">
        <v>17</v>
      </c>
      <c r="H4" s="4" t="s">
        <v>16</v>
      </c>
      <c r="I4" s="4" t="s">
        <v>18</v>
      </c>
    </row>
    <row r="5" spans="1:10" x14ac:dyDescent="0.2">
      <c r="A5" s="1" t="s">
        <v>3</v>
      </c>
      <c r="B5" s="2" t="s">
        <v>13</v>
      </c>
      <c r="G5" s="6"/>
      <c r="H5" s="6"/>
      <c r="I5" s="6"/>
    </row>
    <row r="6" spans="1:10" x14ac:dyDescent="0.2">
      <c r="B6" s="2" t="s">
        <v>4</v>
      </c>
      <c r="G6" s="6"/>
      <c r="H6" s="6"/>
      <c r="I6" s="6"/>
    </row>
    <row r="7" spans="1:10" x14ac:dyDescent="0.2">
      <c r="B7" s="2" t="s">
        <v>5</v>
      </c>
      <c r="G7" s="6"/>
      <c r="H7" s="6"/>
      <c r="I7" s="6"/>
    </row>
    <row r="8" spans="1:10" x14ac:dyDescent="0.2">
      <c r="B8" s="2" t="s">
        <v>6</v>
      </c>
      <c r="G8" s="6"/>
      <c r="H8" s="6"/>
      <c r="I8" s="6"/>
    </row>
    <row r="9" spans="1:10" x14ac:dyDescent="0.2">
      <c r="B9" s="2" t="s">
        <v>7</v>
      </c>
      <c r="G9" s="6"/>
      <c r="H9" s="6"/>
      <c r="I9" s="6"/>
    </row>
    <row r="10" spans="1:10" x14ac:dyDescent="0.2">
      <c r="B10" s="2" t="s">
        <v>8</v>
      </c>
      <c r="G10" s="6"/>
      <c r="H10" s="6"/>
      <c r="I10" s="6"/>
    </row>
    <row r="11" spans="1:10" x14ac:dyDescent="0.2">
      <c r="B11" s="2" t="s">
        <v>9</v>
      </c>
      <c r="G11" s="6"/>
      <c r="H11" s="6"/>
      <c r="I11" s="6"/>
    </row>
    <row r="12" spans="1:10" x14ac:dyDescent="0.2">
      <c r="B12" s="2" t="s">
        <v>10</v>
      </c>
      <c r="G12" s="6"/>
      <c r="H12" s="6"/>
      <c r="I12" s="6"/>
    </row>
    <row r="13" spans="1:10" x14ac:dyDescent="0.2">
      <c r="B13" s="2" t="s">
        <v>12</v>
      </c>
      <c r="G13" s="6"/>
      <c r="H13" s="6"/>
      <c r="I13" s="6"/>
    </row>
    <row r="14" spans="1:10" x14ac:dyDescent="0.2">
      <c r="B14" s="2" t="s">
        <v>11</v>
      </c>
      <c r="G14" s="6"/>
      <c r="H14" s="6"/>
      <c r="I14" s="6"/>
    </row>
    <row r="15" spans="1:10" x14ac:dyDescent="0.2">
      <c r="G15" s="6"/>
      <c r="H15" s="6"/>
      <c r="I15" s="6"/>
    </row>
    <row r="16" spans="1:10" x14ac:dyDescent="0.2">
      <c r="F16" s="16" t="s">
        <v>42</v>
      </c>
      <c r="G16" s="7">
        <f>SUM(G5:G14)</f>
        <v>0</v>
      </c>
      <c r="H16" s="7">
        <f>SUM(H5:H14)</f>
        <v>0</v>
      </c>
      <c r="I16" s="7">
        <f>G16+H16</f>
        <v>0</v>
      </c>
    </row>
    <row r="18" spans="1:9" x14ac:dyDescent="0.2">
      <c r="A18" s="1" t="s">
        <v>19</v>
      </c>
      <c r="E18" s="3" t="s">
        <v>25</v>
      </c>
      <c r="F18" s="3" t="s">
        <v>26</v>
      </c>
      <c r="G18" s="4" t="s">
        <v>17</v>
      </c>
      <c r="H18" s="4" t="s">
        <v>16</v>
      </c>
      <c r="I18" s="4" t="s">
        <v>18</v>
      </c>
    </row>
    <row r="19" spans="1:9" x14ac:dyDescent="0.2">
      <c r="B19">
        <v>2.1</v>
      </c>
      <c r="C19" t="s">
        <v>20</v>
      </c>
    </row>
    <row r="20" spans="1:9" x14ac:dyDescent="0.2">
      <c r="B20">
        <v>2.2000000000000002</v>
      </c>
      <c r="C20" t="s">
        <v>21</v>
      </c>
    </row>
    <row r="21" spans="1:9" x14ac:dyDescent="0.2">
      <c r="B21" s="2" t="s">
        <v>27</v>
      </c>
      <c r="C21" t="s">
        <v>22</v>
      </c>
    </row>
    <row r="22" spans="1:9" x14ac:dyDescent="0.2">
      <c r="B22" s="2" t="s">
        <v>28</v>
      </c>
      <c r="C22" t="s">
        <v>23</v>
      </c>
    </row>
    <row r="23" spans="1:9" x14ac:dyDescent="0.2">
      <c r="B23" s="2" t="s">
        <v>29</v>
      </c>
      <c r="C23" t="s">
        <v>24</v>
      </c>
    </row>
    <row r="24" spans="1:9" x14ac:dyDescent="0.2">
      <c r="F24" s="16" t="s">
        <v>43</v>
      </c>
      <c r="G24" s="7">
        <f>SUM(G11:G20)</f>
        <v>0</v>
      </c>
      <c r="H24" s="7">
        <f>SUM(H11:H20)</f>
        <v>0</v>
      </c>
      <c r="I24" s="7">
        <f>G24+H24</f>
        <v>0</v>
      </c>
    </row>
    <row r="26" spans="1:9" x14ac:dyDescent="0.2">
      <c r="A26" t="s">
        <v>30</v>
      </c>
    </row>
    <row r="27" spans="1:9" x14ac:dyDescent="0.2">
      <c r="A27" s="8" t="s">
        <v>31</v>
      </c>
      <c r="B27" s="8" t="s">
        <v>32</v>
      </c>
      <c r="C27" s="8" t="s">
        <v>33</v>
      </c>
      <c r="D27" s="14" t="s">
        <v>45</v>
      </c>
      <c r="E27" s="14" t="s">
        <v>46</v>
      </c>
      <c r="F27" s="15"/>
      <c r="G27" s="4" t="s">
        <v>17</v>
      </c>
      <c r="H27" s="4" t="s">
        <v>16</v>
      </c>
      <c r="I27" s="4" t="s">
        <v>18</v>
      </c>
    </row>
    <row r="28" spans="1:9" x14ac:dyDescent="0.2">
      <c r="A28" s="10" t="s">
        <v>38</v>
      </c>
      <c r="B28" s="11">
        <v>1</v>
      </c>
      <c r="C28" s="2">
        <v>45673</v>
      </c>
      <c r="D28" s="6">
        <v>1500</v>
      </c>
      <c r="G28" s="6"/>
      <c r="H28" s="6"/>
      <c r="I28" s="6"/>
    </row>
    <row r="29" spans="1:9" x14ac:dyDescent="0.2">
      <c r="A29" s="10"/>
      <c r="B29" s="12"/>
      <c r="C29" s="2">
        <v>45674</v>
      </c>
      <c r="D29" s="6">
        <v>1342.7</v>
      </c>
      <c r="G29" s="6"/>
      <c r="H29" s="6"/>
      <c r="I29" s="6"/>
    </row>
    <row r="30" spans="1:9" x14ac:dyDescent="0.2">
      <c r="A30" s="10"/>
      <c r="B30" s="12"/>
      <c r="C30" s="2">
        <v>45675</v>
      </c>
      <c r="D30" s="6">
        <v>2325</v>
      </c>
      <c r="G30" s="6"/>
      <c r="H30" s="6"/>
      <c r="I30" s="6"/>
    </row>
    <row r="31" spans="1:9" x14ac:dyDescent="0.2">
      <c r="A31" s="10"/>
      <c r="B31" s="12"/>
      <c r="C31" s="2">
        <v>45676</v>
      </c>
      <c r="D31" s="6">
        <v>2354</v>
      </c>
      <c r="G31" s="6"/>
      <c r="H31" s="6"/>
      <c r="I31" s="6"/>
    </row>
    <row r="32" spans="1:9" x14ac:dyDescent="0.2">
      <c r="A32" s="10"/>
      <c r="B32" s="12"/>
      <c r="C32" s="2">
        <v>45677</v>
      </c>
      <c r="D32" s="6">
        <v>10055</v>
      </c>
      <c r="G32" s="6"/>
      <c r="H32" s="6"/>
      <c r="I32" s="6"/>
    </row>
    <row r="33" spans="1:10" x14ac:dyDescent="0.2">
      <c r="A33" s="10"/>
      <c r="B33" s="12"/>
      <c r="C33" s="2" t="s">
        <v>37</v>
      </c>
      <c r="D33" s="6">
        <v>46534</v>
      </c>
      <c r="E33" s="6">
        <f>SUM(D28:D33)</f>
        <v>64110.7</v>
      </c>
      <c r="G33" s="6">
        <f>E33</f>
        <v>64110.7</v>
      </c>
      <c r="H33" s="6">
        <v>0</v>
      </c>
      <c r="I33" s="6">
        <f>G33+H33</f>
        <v>64110.7</v>
      </c>
    </row>
    <row r="34" spans="1:10" x14ac:dyDescent="0.2">
      <c r="A34" s="10" t="s">
        <v>39</v>
      </c>
      <c r="B34" s="12">
        <v>4</v>
      </c>
      <c r="C34" s="2">
        <v>44886</v>
      </c>
      <c r="D34" s="6">
        <v>345</v>
      </c>
      <c r="G34" s="6"/>
      <c r="H34" s="6"/>
      <c r="I34" s="6"/>
    </row>
    <row r="35" spans="1:10" x14ac:dyDescent="0.2">
      <c r="A35" s="10"/>
      <c r="B35" s="12"/>
      <c r="C35" s="2">
        <v>44789</v>
      </c>
      <c r="D35" s="6">
        <v>688</v>
      </c>
      <c r="E35" s="6">
        <f>SUM(D34:D35)</f>
        <v>1033</v>
      </c>
      <c r="G35" s="6">
        <f>E35</f>
        <v>1033</v>
      </c>
      <c r="H35" s="6">
        <v>0</v>
      </c>
      <c r="I35" s="6">
        <f>G35+H35</f>
        <v>1033</v>
      </c>
    </row>
    <row r="36" spans="1:10" x14ac:dyDescent="0.2">
      <c r="A36" s="10" t="s">
        <v>40</v>
      </c>
      <c r="B36" s="12">
        <v>5</v>
      </c>
      <c r="C36" s="2" t="s">
        <v>41</v>
      </c>
      <c r="D36" s="6">
        <v>12345.98</v>
      </c>
      <c r="E36" s="6">
        <f>SUM(D36)</f>
        <v>12345.98</v>
      </c>
      <c r="G36" s="6">
        <f>E36</f>
        <v>12345.98</v>
      </c>
      <c r="H36" s="6">
        <v>0</v>
      </c>
      <c r="I36" s="6">
        <f>G36+H36</f>
        <v>12345.98</v>
      </c>
    </row>
    <row r="37" spans="1:10" x14ac:dyDescent="0.2">
      <c r="A37" s="10"/>
      <c r="B37" s="12"/>
      <c r="C37" s="2"/>
      <c r="G37" s="6"/>
      <c r="H37" s="6"/>
      <c r="I37" s="6"/>
    </row>
    <row r="38" spans="1:10" x14ac:dyDescent="0.2">
      <c r="A38" s="10"/>
      <c r="B38" s="12"/>
      <c r="C38" s="2"/>
      <c r="G38" s="6"/>
      <c r="H38" s="6"/>
      <c r="I38" s="6"/>
    </row>
    <row r="39" spans="1:10" x14ac:dyDescent="0.2">
      <c r="A39" s="3"/>
      <c r="B39" s="9"/>
      <c r="C39" s="2"/>
      <c r="F39" s="16" t="s">
        <v>44</v>
      </c>
      <c r="G39" s="7">
        <f>SUM(G28:G37)</f>
        <v>77489.679999999993</v>
      </c>
      <c r="H39" s="7">
        <f>SUM(H28:H38)</f>
        <v>0</v>
      </c>
      <c r="I39" s="7">
        <f>G39+H39</f>
        <v>77489.679999999993</v>
      </c>
    </row>
    <row r="40" spans="1:10" x14ac:dyDescent="0.2">
      <c r="B40" s="9"/>
    </row>
    <row r="41" spans="1:10" ht="17" thickBot="1" x14ac:dyDescent="0.25">
      <c r="B41" s="9"/>
      <c r="F41" s="18" t="s">
        <v>47</v>
      </c>
      <c r="G41" s="17">
        <f>G39+G24+G16</f>
        <v>77489.679999999993</v>
      </c>
      <c r="H41" s="17">
        <f t="shared" ref="H41:I41" si="0">H39+H24+H16</f>
        <v>0</v>
      </c>
      <c r="I41" s="19">
        <f t="shared" si="0"/>
        <v>77489.679999999993</v>
      </c>
    </row>
    <row r="42" spans="1:10" ht="17" thickTop="1" x14ac:dyDescent="0.2">
      <c r="B42" s="9"/>
    </row>
    <row r="43" spans="1:10" ht="17" thickBot="1" x14ac:dyDescent="0.25">
      <c r="B43" s="9"/>
    </row>
    <row r="44" spans="1:10" ht="17" thickBot="1" x14ac:dyDescent="0.25">
      <c r="B44" s="9"/>
      <c r="J44" s="21">
        <f>I41/J2</f>
        <v>0.71127339483225471</v>
      </c>
    </row>
    <row r="45" spans="1:10" x14ac:dyDescent="0.2">
      <c r="A45" s="20" t="s">
        <v>48</v>
      </c>
      <c r="B45" s="20"/>
      <c r="D45" s="20" t="s">
        <v>49</v>
      </c>
      <c r="E45" s="20"/>
      <c r="G45" s="20" t="s">
        <v>50</v>
      </c>
      <c r="H45" s="20"/>
      <c r="J45" s="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Richard Judson</cp:lastModifiedBy>
  <dcterms:created xsi:type="dcterms:W3CDTF">2016-07-12T22:22:54Z</dcterms:created>
  <dcterms:modified xsi:type="dcterms:W3CDTF">2016-07-18T13:56:07Z</dcterms:modified>
</cp:coreProperties>
</file>